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4240" windowHeight="8240"/>
  </bookViews>
  <sheets>
    <sheet name="Import" sheetId="14" r:id="rId1"/>
    <sheet name="All_Scenarios" sheetId="225" r:id="rId2"/>
    <sheet name="Elec production" sheetId="425" r:id="rId3"/>
    <sheet name="Electricity consumption" sheetId="374" r:id="rId4"/>
    <sheet name="Production cost" sheetId="367" r:id="rId5"/>
    <sheet name="Cost breakdown" sheetId="370" r:id="rId6"/>
    <sheet name="Installed capacities" sheetId="393" r:id="rId7"/>
  </sheets>
  <calcPr calcId="162913"/>
  <pivotCaches>
    <pivotCache cacheId="38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367" l="1"/>
  <c r="K38" i="367"/>
  <c r="J39" i="367"/>
  <c r="K39" i="367"/>
  <c r="K37" i="367"/>
  <c r="J37" i="367"/>
</calcChain>
</file>

<file path=xl/connections.xml><?xml version="1.0" encoding="utf-8"?>
<connections xmlns="http://schemas.openxmlformats.org/spreadsheetml/2006/main">
  <connection id="1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<sst xmlns="http://schemas.openxmlformats.org/spreadsheetml/2006/main" count="339" uniqueCount="83">
  <si>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</si>
  <si>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</si>
  <si>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</si>
  <si>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</si>
  <si>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</si>
  <si>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</si>
  <si>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</si>
  <si>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Total investment(MEuros)</t>
  </si>
  <si>
    <t>Annualised investment(MEuros)</t>
  </si>
  <si>
    <t>Fixed O&amp;M(MEuros)</t>
  </si>
  <si>
    <t>Variable O&amp;M(MEuros)</t>
  </si>
  <si>
    <t>Fuel cost(MEuros)</t>
  </si>
  <si>
    <t>Cost per unit(MEuros)</t>
  </si>
  <si>
    <t>Production(kton or GWh)</t>
  </si>
  <si>
    <t>Sale (MEuros)</t>
  </si>
  <si>
    <t>Electricity consumption(GWh)</t>
  </si>
  <si>
    <t>Heat from district heating</t>
  </si>
  <si>
    <t>Heat sent to district heating</t>
  </si>
  <si>
    <t>Sale of oxygen</t>
  </si>
  <si>
    <t>Electricity from the grid</t>
  </si>
  <si>
    <t>Charge batteries</t>
  </si>
  <si>
    <t>Discharge batteries</t>
  </si>
  <si>
    <t xml:space="preserve">Hourly results folder </t>
  </si>
  <si>
    <t>Electrolyser</t>
  </si>
  <si>
    <t>NaN</t>
  </si>
  <si>
    <t>Solar fixed</t>
  </si>
  <si>
    <t>Solar tracking</t>
  </si>
  <si>
    <t>Load average</t>
  </si>
  <si>
    <t>Full load hours</t>
  </si>
  <si>
    <t>Location</t>
  </si>
  <si>
    <t>Fuel</t>
  </si>
  <si>
    <t>AEC</t>
  </si>
  <si>
    <t>Sum of Production(kton or GWh)</t>
  </si>
  <si>
    <t>CO2 capture</t>
  </si>
  <si>
    <t>Av electricity cost(Euros/MWh)</t>
  </si>
  <si>
    <t>MeOH</t>
  </si>
  <si>
    <t>Sum of Cost per unit(MEuros)</t>
  </si>
  <si>
    <t>NH3</t>
  </si>
  <si>
    <t>None</t>
  </si>
  <si>
    <t>H2 pipeline to NH3 plant</t>
  </si>
  <si>
    <t>Grid</t>
  </si>
  <si>
    <t>SI</t>
  </si>
  <si>
    <t>SI_O2</t>
  </si>
  <si>
    <t>SI_Heat</t>
  </si>
  <si>
    <t>SI_O2_Heat</t>
  </si>
  <si>
    <t>Heat sale</t>
  </si>
  <si>
    <t>O2 sale</t>
  </si>
  <si>
    <t>O2 and Heat sale</t>
  </si>
  <si>
    <t>ON_SP198-HH100</t>
  </si>
  <si>
    <t>ON_SP198-HH150</t>
  </si>
  <si>
    <t>ON_SP237-HH100</t>
  </si>
  <si>
    <t>ON_SP237-HH150</t>
  </si>
  <si>
    <t>ON_SP277-HH100</t>
  </si>
  <si>
    <t>ON_SP277-HH150</t>
  </si>
  <si>
    <t>ON_SP321-HH100</t>
  </si>
  <si>
    <t>ON_SP321-HH150</t>
  </si>
  <si>
    <t>OFF_SP379-HH100</t>
  </si>
  <si>
    <t>OFF_SP379-HH150</t>
  </si>
  <si>
    <t>OFF_SP450-HH100</t>
  </si>
  <si>
    <t>OFF_SP450-HH150</t>
  </si>
  <si>
    <t>H2 storage (buried pipes)</t>
  </si>
  <si>
    <t>Wind onshore (SP198-HH100)</t>
  </si>
  <si>
    <t>Wind onshore (SP198-HH150)</t>
  </si>
  <si>
    <t>Curtailment</t>
  </si>
  <si>
    <r>
      <t>C:\Users\njbca\Documents\Models\OptiPlantGit2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\Results_base_case</t>
    </r>
    <r>
      <rPr>
        <sz val="11"/>
        <color theme="5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Main results\</t>
    </r>
  </si>
  <si>
    <r>
      <t>C:\Users\njbca\Documents\Models\OptiPlantGit2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\Results_base_case\</t>
    </r>
    <r>
      <rPr>
        <sz val="11"/>
        <color theme="1"/>
        <rFont val="Calibri"/>
        <family val="2"/>
        <scheme val="minor"/>
      </rPr>
      <t>Hourly results\Flows\</t>
    </r>
  </si>
  <si>
    <t>Year data</t>
  </si>
  <si>
    <t>Profile</t>
  </si>
  <si>
    <t>Installed capacity (MW (electrical unit), t/h (non electrical), MWh (batteries), t (h2 tank))</t>
  </si>
  <si>
    <t>Production cost fuel (Euros/kgfuel)</t>
  </si>
  <si>
    <t>Production cost fuel (Euros/GJfuel)</t>
  </si>
  <si>
    <t>Production cost fuel (Euros/MWhfuel)</t>
  </si>
  <si>
    <t>Production cost per unit (Euros/kg or kWh output)</t>
  </si>
  <si>
    <t>Behind-the-meter</t>
  </si>
  <si>
    <t>NH3 plant + ASU with AEC</t>
  </si>
  <si>
    <t>Esbjerg</t>
  </si>
  <si>
    <t>Water supply (desalination plant)</t>
  </si>
  <si>
    <t>Electrolysers AEC</t>
  </si>
  <si>
    <t>H2 storage compressor</t>
  </si>
  <si>
    <t>H2 storage valve</t>
  </si>
  <si>
    <t>Sum of Electricity consumption(GWh)</t>
  </si>
  <si>
    <t>Sum of Production cost fuel (Euros/MWhfuel)</t>
  </si>
  <si>
    <t>Sum of Installed capacity (MW (electrical unit), t/h (non electrical), MWh (batteries), t (h2 tank))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</si>
</sst>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" fontId="0" fillId="0" borderId="0" xfId="0" applyNumberFormat="1"/>
    <xf numFmtId="0" fontId="2" fillId="0" borderId="1" xfId="0" applyFont="1" applyBorder="1" applyAlignment="1">
      <alignment horizontal="left"/>
    </xf>
    <xf numFmtId="1" fontId="2" fillId="0" borderId="1" xfId="0" applyNumberFormat="1" applyFont="1" applyBorder="1"/>
    <xf numFmtId="164" fontId="2" fillId="0" borderId="1" xfId="0" applyNumberFormat="1" applyFont="1" applyBorder="1"/>
    <xf numFmtId="0" fontId="0" fillId="0" borderId="0" xfId="0" applyAlignment="1">
      <alignment horizontal="left" indent="2"/>
    </xf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1"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69" formatCode="0.0000000"/>
    </dxf>
    <dxf>
      <numFmt numFmtId="168" formatCode="0.000000"/>
    </dxf>
  </dxfs>
  <tableStyles count="0" defaultTableStyle="TableStyleMedium2" defaultPivotStyle="PivotStyleLight16"/>
  <colors>
    <mruColors>
      <color rgb="FFCCFF66"/>
      <color rgb="FFFF9933"/>
      <color rgb="FFFFFF66"/>
      <color rgb="FFFF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[Results.xlsm]Elec production!PivotTable2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 production'!$B$3:$B$4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production'!$B$5:$B$8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E4-400D-873F-8F6312F222FD}"/>
            </c:ext>
          </c:extLst>
        </c:ser>
        <c:ser>
          <c:idx val="1"/>
          <c:order val="1"/>
          <c:tx>
            <c:strRef>
              <c:f>'Elec production'!$C$3:$C$4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production'!$C$5:$C$8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1-4779-A9BF-77B35C1F0B12}"/>
            </c:ext>
          </c:extLst>
        </c:ser>
        <c:ser>
          <c:idx val="2"/>
          <c:order val="2"/>
          <c:tx>
            <c:strRef>
              <c:f>'Elec production'!$D$3:$D$4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production'!$D$5:$D$8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1-4779-A9BF-77B35C1F0B12}"/>
            </c:ext>
          </c:extLst>
        </c:ser>
        <c:ser>
          <c:idx val="3"/>
          <c:order val="3"/>
          <c:tx>
            <c:strRef>
              <c:f>'Elec production'!$E$3:$E$4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production'!$E$5:$E$8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1-4779-A9BF-77B35C1F0B12}"/>
            </c:ext>
          </c:extLst>
        </c:ser>
        <c:ser>
          <c:idx val="4"/>
          <c:order val="4"/>
          <c:tx>
            <c:strRef>
              <c:f>'Elec production'!$F$3:$F$4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production'!$F$5:$F$8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1-4779-A9BF-77B35C1F0B12}"/>
            </c:ext>
          </c:extLst>
        </c:ser>
        <c:ser>
          <c:idx val="5"/>
          <c:order val="5"/>
          <c:tx>
            <c:strRef>
              <c:f>'Elec production'!$G$3:$G$4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production'!$G$5:$G$8</c:f>
              <c:numCache>
                <c:formatCode>0</c:formatCode>
                <c:ptCount val="1"/>
                <c:pt idx="0">
                  <c:v>1071.11622382666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1-4779-A9BF-77B35C1F0B12}"/>
            </c:ext>
          </c:extLst>
        </c:ser>
        <c:ser>
          <c:idx val="6"/>
          <c:order val="6"/>
          <c:tx>
            <c:strRef>
              <c:f>'Elec production'!$H$3:$H$4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production'!$H$5:$H$8</c:f>
              <c:numCache>
                <c:formatCode>0</c:formatCode>
                <c:ptCount val="1"/>
                <c:pt idx="0">
                  <c:v>1791.1596327500399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1-4779-A9BF-77B35C1F0B12}"/>
            </c:ext>
          </c:extLst>
        </c:ser>
        <c:ser>
          <c:idx val="7"/>
          <c:order val="7"/>
          <c:tx>
            <c:strRef>
              <c:f>'Elec production'!$I$3:$I$4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production'!$I$5:$I$8</c:f>
              <c:numCache>
                <c:formatCode>0</c:formatCode>
                <c:ptCount val="1"/>
                <c:pt idx="0">
                  <c:v>1846.8213784081599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F1-4779-A9BF-77B35C1F0B12}"/>
            </c:ext>
          </c:extLst>
        </c:ser>
        <c:ser>
          <c:idx val="8"/>
          <c:order val="8"/>
          <c:tx>
            <c:strRef>
              <c:f>'Elec production'!$J$3:$J$4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production'!$J$5:$J$8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F1-4779-A9BF-77B35C1F0B12}"/>
            </c:ext>
          </c:extLst>
        </c:ser>
        <c:ser>
          <c:idx val="9"/>
          <c:order val="9"/>
          <c:tx>
            <c:strRef>
              <c:f>'Elec production'!$K$3:$K$4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production'!$K$5:$K$8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F1-4779-A9BF-77B35C1F0B12}"/>
            </c:ext>
          </c:extLst>
        </c:ser>
        <c:ser>
          <c:idx val="10"/>
          <c:order val="10"/>
          <c:tx>
            <c:strRef>
              <c:f>'Elec production'!$L$3:$L$4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production'!$L$5:$L$8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F1-4779-A9BF-77B35C1F0B12}"/>
            </c:ext>
          </c:extLst>
        </c:ser>
        <c:ser>
          <c:idx val="11"/>
          <c:order val="11"/>
          <c:tx>
            <c:strRef>
              <c:f>'Elec production'!$M$3:$M$4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production'!$M$5:$M$8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F1-4779-A9BF-77B35C1F0B12}"/>
            </c:ext>
          </c:extLst>
        </c:ser>
        <c:ser>
          <c:idx val="12"/>
          <c:order val="12"/>
          <c:tx>
            <c:strRef>
              <c:f>'Elec production'!$N$3:$N$4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production'!$N$5:$N$8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F1-4779-A9BF-77B35C1F0B12}"/>
            </c:ext>
          </c:extLst>
        </c:ser>
        <c:ser>
          <c:idx val="13"/>
          <c:order val="13"/>
          <c:tx>
            <c:strRef>
              <c:f>'Elec production'!$O$3:$O$4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production'!$O$5:$O$8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FF1-4779-A9BF-77B35C1F0B12}"/>
            </c:ext>
          </c:extLst>
        </c:ser>
        <c:ser>
          <c:idx val="14"/>
          <c:order val="14"/>
          <c:tx>
            <c:strRef>
              <c:f>'Elec production'!$P$3:$P$4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production'!$A$5:$A$8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 production'!$P$5:$P$8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F1-4779-A9BF-77B35C1F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overlap val="100"/>
        <c:axId val="463133240"/>
        <c:axId val="463138488"/>
      </c:barChart>
      <c:catAx>
        <c:axId val="46313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8488"/>
        <c:crosses val="autoZero"/>
        <c:auto val="1"/>
        <c:lblAlgn val="ctr"/>
        <c:lblOffset val="100"/>
        <c:noMultiLvlLbl val="0"/>
      </c:catAx>
      <c:valAx>
        <c:axId val="463138488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[Results.xlsm]Electricity consumption!PivotTable1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'Electricity consumption'!$B$4:$B$5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consumption'!$B$6:$B$9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C-4DA1-BB92-EB451CA0AFD8}"/>
            </c:ext>
          </c:extLst>
        </c:ser>
        <c:ser>
          <c:idx val="1"/>
          <c:order val="1"/>
          <c:tx>
            <c:strRef>
              <c:f>'Electricity consumption'!$C$4:$C$5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consumption'!$C$6:$C$9</c:f>
              <c:numCache>
                <c:formatCode>General</c:formatCode>
                <c:ptCount val="1"/>
                <c:pt idx="0">
                  <c:v>0.44387586414161301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49-435D-9069-976AE6F75031}"/>
            </c:ext>
          </c:extLst>
        </c:ser>
        <c:ser>
          <c:idx val="2"/>
          <c:order val="2"/>
          <c:tx>
            <c:strRef>
              <c:f>'Electricity consumption'!$D$4:$D$5</c:f>
              <c:strCache>
                <c:ptCount val="1"/>
                <c:pt idx="0">
                  <c:v>Discharge batteries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consumption'!$D$6:$D$9</c:f>
              <c:numCache>
                <c:formatCode>General</c:formatCode>
                <c:ptCount val="1"/>
                <c:pt idx="0">
                  <c:v>0.55381032224489402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9-435D-9069-976AE6F75031}"/>
            </c:ext>
          </c:extLst>
        </c:ser>
        <c:ser>
          <c:idx val="3"/>
          <c:order val="3"/>
          <c:tx>
            <c:strRef>
              <c:f>'Electricity consumption'!$E$4:$E$5</c:f>
              <c:strCache>
                <c:ptCount val="1"/>
                <c:pt idx="0">
                  <c:v>Electricity from the grid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consumption'!$E$6:$E$9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9-435D-9069-976AE6F75031}"/>
            </c:ext>
          </c:extLst>
        </c:ser>
        <c:ser>
          <c:idx val="4"/>
          <c:order val="4"/>
          <c:tx>
            <c:strRef>
              <c:f>'Electricity consumption'!$F$4:$F$5</c:f>
              <c:strCache>
                <c:ptCount val="1"/>
                <c:pt idx="0">
                  <c:v>Heat from district heating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consumption'!$F$6:$F$9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9-435D-9069-976AE6F75031}"/>
            </c:ext>
          </c:extLst>
        </c:ser>
        <c:ser>
          <c:idx val="5"/>
          <c:order val="5"/>
          <c:tx>
            <c:strRef>
              <c:f>'Electricity consumption'!$G$4:$G$5</c:f>
              <c:strCache>
                <c:ptCount val="1"/>
                <c:pt idx="0">
                  <c:v>Heat sent to district heating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consumption'!$G$6:$G$9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9-435D-9069-976AE6F75031}"/>
            </c:ext>
          </c:extLst>
        </c:ser>
        <c:ser>
          <c:idx val="6"/>
          <c:order val="6"/>
          <c:tx>
            <c:strRef>
              <c:f>'Electricity consumption'!$H$4:$H$5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consumption'!$H$6:$H$9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9-435D-9069-976AE6F75031}"/>
            </c:ext>
          </c:extLst>
        </c:ser>
        <c:ser>
          <c:idx val="7"/>
          <c:order val="7"/>
          <c:tx>
            <c:strRef>
              <c:f>'Electricity consumption'!$I$4:$I$5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consumption'!$I$6:$I$9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9-435D-9069-976AE6F75031}"/>
            </c:ext>
          </c:extLst>
        </c:ser>
        <c:ser>
          <c:idx val="8"/>
          <c:order val="8"/>
          <c:tx>
            <c:strRef>
              <c:f>'Electricity consumption'!$J$4:$J$5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consumption'!$J$6:$J$9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9-435D-9069-976AE6F75031}"/>
            </c:ext>
          </c:extLst>
        </c:ser>
        <c:ser>
          <c:idx val="9"/>
          <c:order val="9"/>
          <c:tx>
            <c:strRef>
              <c:f>'Electricity consumption'!$K$4:$K$5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consumption'!$K$6:$K$9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49-435D-9069-976AE6F75031}"/>
            </c:ext>
          </c:extLst>
        </c:ser>
        <c:ser>
          <c:idx val="10"/>
          <c:order val="10"/>
          <c:tx>
            <c:strRef>
              <c:f>'Electricity consumption'!$L$4:$L$5</c:f>
              <c:strCache>
                <c:ptCount val="1"/>
                <c:pt idx="0">
                  <c:v>ON_SP198-HH100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consumption'!$L$6:$L$9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49-435D-9069-976AE6F75031}"/>
            </c:ext>
          </c:extLst>
        </c:ser>
        <c:ser>
          <c:idx val="11"/>
          <c:order val="11"/>
          <c:tx>
            <c:strRef>
              <c:f>'Electricity consumption'!$M$4:$M$5</c:f>
              <c:strCache>
                <c:ptCount val="1"/>
                <c:pt idx="0">
                  <c:v>ON_SP198-HH150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consumption'!$M$6:$M$9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49-435D-9069-976AE6F75031}"/>
            </c:ext>
          </c:extLst>
        </c:ser>
        <c:ser>
          <c:idx val="12"/>
          <c:order val="12"/>
          <c:tx>
            <c:strRef>
              <c:f>'Electricity consumption'!$N$4:$N$5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consumption'!$N$6:$N$9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49-435D-9069-976AE6F75031}"/>
            </c:ext>
          </c:extLst>
        </c:ser>
        <c:ser>
          <c:idx val="13"/>
          <c:order val="13"/>
          <c:tx>
            <c:strRef>
              <c:f>'Electricity consumption'!$O$4:$O$5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consumption'!$O$6:$O$9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49-435D-9069-976AE6F75031}"/>
            </c:ext>
          </c:extLst>
        </c:ser>
        <c:ser>
          <c:idx val="14"/>
          <c:order val="14"/>
          <c:tx>
            <c:strRef>
              <c:f>'Electricity consumption'!$P$4:$P$5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consumption'!$P$6:$P$9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49-435D-9069-976AE6F75031}"/>
            </c:ext>
          </c:extLst>
        </c:ser>
        <c:ser>
          <c:idx val="15"/>
          <c:order val="15"/>
          <c:tx>
            <c:strRef>
              <c:f>'Electricity consumption'!$Q$4:$Q$5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consumption'!$Q$6:$Q$9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49-435D-9069-976AE6F75031}"/>
            </c:ext>
          </c:extLst>
        </c:ser>
        <c:ser>
          <c:idx val="16"/>
          <c:order val="16"/>
          <c:tx>
            <c:strRef>
              <c:f>'Electricity consumption'!$R$4:$R$5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consumption'!$R$6:$R$9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E49-435D-9069-976AE6F75031}"/>
            </c:ext>
          </c:extLst>
        </c:ser>
        <c:ser>
          <c:idx val="17"/>
          <c:order val="17"/>
          <c:tx>
            <c:strRef>
              <c:f>'Electricity consumption'!$S$4:$S$5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consumption'!$S$6:$S$9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E49-435D-9069-976AE6F75031}"/>
            </c:ext>
          </c:extLst>
        </c:ser>
        <c:ser>
          <c:idx val="18"/>
          <c:order val="18"/>
          <c:tx>
            <c:strRef>
              <c:f>'Electricity consumption'!$T$4:$T$5</c:f>
              <c:strCache>
                <c:ptCount val="1"/>
                <c:pt idx="0">
                  <c:v>Sale of oxygen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consumption'!$T$6:$T$9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49-435D-9069-976AE6F75031}"/>
            </c:ext>
          </c:extLst>
        </c:ser>
        <c:ser>
          <c:idx val="19"/>
          <c:order val="19"/>
          <c:tx>
            <c:strRef>
              <c:f>'Electricity consumption'!$U$4:$U$5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consumption'!$U$6:$U$9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E49-435D-9069-976AE6F75031}"/>
            </c:ext>
          </c:extLst>
        </c:ser>
        <c:ser>
          <c:idx val="20"/>
          <c:order val="20"/>
          <c:tx>
            <c:strRef>
              <c:f>'Electricity consumption'!$V$4:$V$5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consumption'!$V$6:$V$9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E49-435D-9069-976AE6F75031}"/>
            </c:ext>
          </c:extLst>
        </c:ser>
        <c:ser>
          <c:idx val="21"/>
          <c:order val="21"/>
          <c:tx>
            <c:strRef>
              <c:f>'Electricity consumption'!$W$4:$W$5</c:f>
              <c:strCache>
                <c:ptCount val="1"/>
                <c:pt idx="0">
                  <c:v>H2 pipeline to NH3 plant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consumption'!$W$6:$W$9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E49-435D-9069-976AE6F75031}"/>
            </c:ext>
          </c:extLst>
        </c:ser>
        <c:ser>
          <c:idx val="22"/>
          <c:order val="22"/>
          <c:tx>
            <c:strRef>
              <c:f>'Electricity consumption'!$X$4:$X$5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consumption'!$X$6:$X$9</c:f>
              <c:numCache>
                <c:formatCode>General</c:formatCode>
                <c:ptCount val="1"/>
                <c:pt idx="0">
                  <c:v>163.4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E49-435D-9069-976AE6F75031}"/>
            </c:ext>
          </c:extLst>
        </c:ser>
        <c:ser>
          <c:idx val="23"/>
          <c:order val="23"/>
          <c:tx>
            <c:strRef>
              <c:f>'Electricity consumption'!$Y$4:$Y$5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consumption'!$Y$6:$Y$9</c:f>
              <c:numCache>
                <c:formatCode>General</c:formatCode>
                <c:ptCount val="1"/>
                <c:pt idx="0">
                  <c:v>4.8533809153715399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49-435D-9069-976AE6F75031}"/>
            </c:ext>
          </c:extLst>
        </c:ser>
        <c:ser>
          <c:idx val="24"/>
          <c:order val="24"/>
          <c:tx>
            <c:strRef>
              <c:f>'Electricity consumption'!$Z$4:$Z$5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consumption'!$Z$6:$Z$9</c:f>
              <c:numCache>
                <c:formatCode>General</c:formatCode>
                <c:ptCount val="1"/>
                <c:pt idx="0">
                  <c:v>4186.6477121221196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E49-435D-9069-976AE6F75031}"/>
            </c:ext>
          </c:extLst>
        </c:ser>
        <c:ser>
          <c:idx val="25"/>
          <c:order val="25"/>
          <c:tx>
            <c:strRef>
              <c:f>'Electricity consumption'!$AA$4:$AA$5</c:f>
              <c:strCache>
                <c:ptCount val="1"/>
                <c:pt idx="0">
                  <c:v>H2 storage compressor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consumption'!$AA$6:$AA$9</c:f>
              <c:numCache>
                <c:formatCode>General</c:formatCode>
                <c:ptCount val="1"/>
                <c:pt idx="0">
                  <c:v>8.3952146116601707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E49-435D-9069-976AE6F75031}"/>
            </c:ext>
          </c:extLst>
        </c:ser>
        <c:ser>
          <c:idx val="26"/>
          <c:order val="26"/>
          <c:tx>
            <c:strRef>
              <c:f>'Electricity consumption'!$AB$4:$AB$5</c:f>
              <c:strCache>
                <c:ptCount val="1"/>
                <c:pt idx="0">
                  <c:v>H2 storage valve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consumption'!$AB$6:$AB$9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E49-435D-9069-976AE6F75031}"/>
            </c:ext>
          </c:extLst>
        </c:ser>
        <c:ser>
          <c:idx val="27"/>
          <c:order val="27"/>
          <c:tx>
            <c:strRef>
              <c:f>'Electricity consumption'!$AC$4:$AC$5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consumption'!$AC$6:$AC$9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E49-435D-9069-976AE6F75031}"/>
            </c:ext>
          </c:extLst>
        </c:ser>
        <c:ser>
          <c:idx val="28"/>
          <c:order val="28"/>
          <c:tx>
            <c:strRef>
              <c:f>'Electricity consumption'!$AD$4:$AD$5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'Electricity consumption'!$AD$6:$AD$9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E49-435D-9069-976AE6F75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[Results.xlsm]Production cost!PivotTable1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noFill/>
            <a:round/>
          </a:ln>
          <a:effectLst/>
        </c:spPr>
      </c:pivotFmt>
      <c:pivotFmt>
        <c:idx val="59"/>
        <c:spPr>
          <a:solidFill>
            <a:schemeClr val="accent1"/>
          </a:solidFill>
          <a:ln w="28575" cap="rnd">
            <a:solidFill>
              <a:srgbClr val="000000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4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'Production cost'!$B$4:$B$5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'Production cost'!$A$6:$A$9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'Production cost'!$B$6:$B$9</c:f>
              <c:numCache>
                <c:formatCode>0</c:formatCode>
                <c:ptCount val="1"/>
                <c:pt idx="0">
                  <c:v>206.531662568721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A-483B-89EA-D55CDE86D5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73424"/>
        <c:axId val="694866864"/>
      </c:line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375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Production cost [€/MWh fuel]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'Production cost'!$J$36</c:f>
              <c:strCache>
                <c:ptCount val="1"/>
                <c:pt idx="0">
                  <c:v>MeOH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'Production cost'!$I$37:$I$39</c:f>
              <c:strCache>
                <c:ptCount val="3"/>
                <c:pt idx="0">
                  <c:v>Heat sale</c:v>
                </c:pt>
                <c:pt idx="1">
                  <c:v>O2 sale</c:v>
                </c:pt>
                <c:pt idx="2">
                  <c:v>O2 and Heat sale</c:v>
                </c:pt>
              </c:strCache>
            </c:strRef>
          </c:cat>
          <c:val>
            <c:numRef>
              <c:f>'Production cost'!$J$37:$J$39</c:f>
              <c:numCache>
                <c:formatCode>0.0</c:formatCode>
                <c:ptCount val="3"/>
                <c:pt idx="0">
                  <c:v>-5.3353180460122918</c:v>
                </c:pt>
                <c:pt idx="1">
                  <c:v>-15.002057495758217</c:v>
                </c:pt>
                <c:pt idx="2">
                  <c:v>-20.337375541769898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1D2-87FC-78ADF1901827}"/>
            </c:ext>
          </c:extLst>
        </c:ser>
        <c:ser>
          <c:idx val="1"/>
          <c:order val="1"/>
          <c:tx>
            <c:strRef>
              <c:f>'Production cost'!$K$36</c:f>
              <c:strCache>
                <c:ptCount val="1"/>
                <c:pt idx="0">
                  <c:v>NH3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'Production cost'!$I$37:$I$39</c:f>
              <c:strCache>
                <c:ptCount val="3"/>
                <c:pt idx="0">
                  <c:v>Heat sale</c:v>
                </c:pt>
                <c:pt idx="1">
                  <c:v>O2 sale</c:v>
                </c:pt>
                <c:pt idx="2">
                  <c:v>O2 and Heat sale</c:v>
                </c:pt>
              </c:strCache>
            </c:strRef>
          </c:cat>
          <c:val>
            <c:numRef>
              <c:f>'Production cost'!$K$37:$K$39</c:f>
              <c:numCache>
                <c:formatCode>0.0</c:formatCode>
                <c:ptCount val="3"/>
                <c:pt idx="0">
                  <c:v>-6.9355475986463953</c:v>
                </c:pt>
                <c:pt idx="1">
                  <c:v>-16.550514913252176</c:v>
                </c:pt>
                <c:pt idx="2">
                  <c:v>-23.486062511893905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99-41D2-87FC-78ADF19018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5921760"/>
        <c:axId val="547731016"/>
      </c:barChart>
      <c:catAx>
        <c:axId val="43592176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731016"/>
        <c:crosses val="max"/>
        <c:auto val="1"/>
        <c:lblAlgn val="ctr"/>
        <c:lblOffset val="100"/>
        <c:noMultiLvlLbl val="0"/>
      </c:catAx>
      <c:valAx>
        <c:axId val="54773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production cost variation (%)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2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[Results.xlsm]Cost breakdown!PivotTable1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pattFill prst="ltDn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pattFill prst="ltDnDiag">
            <a:fgClr>
              <a:schemeClr val="tx1"/>
            </a:fgClr>
            <a:bgClr>
              <a:schemeClr val="accent3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7"/>
        <c:spPr>
          <a:pattFill prst="openDmnd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pattFill prst="wd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pattFill prst="wd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1"/>
        <c:spPr>
          <a:pattFill prst="wd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'Cost breakdown'!$B$4:$B$5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breakdown'!$B$6:$B$9</c:f>
              <c:numCache>
                <c:formatCode>General</c:formatCode>
                <c:ptCount val="1"/>
                <c:pt idx="0">
                  <c:v>65.296812306783806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B-430C-ACD1-50BCE6789FF6}"/>
            </c:ext>
          </c:extLst>
        </c:ser>
        <c:ser>
          <c:idx val="1"/>
          <c:order val="1"/>
          <c:tx>
            <c:strRef>
              <c:f>'Cost breakdown'!$C$4:$C$5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breakdown'!$C$6:$C$9</c:f>
              <c:numCache>
                <c:formatCode>General</c:formatCode>
                <c:ptCount val="1"/>
                <c:pt idx="0">
                  <c:v>98.507015596128895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8-4A2D-BBBF-E8ABDC794973}"/>
            </c:ext>
          </c:extLst>
        </c:ser>
        <c:ser>
          <c:idx val="2"/>
          <c:order val="2"/>
          <c:tx>
            <c:strRef>
              <c:f>'Cost breakdown'!$D$4:$D$5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breakdown'!$D$6:$D$9</c:f>
              <c:numCache>
                <c:formatCode>General</c:formatCode>
                <c:ptCount val="1"/>
                <c:pt idx="0">
                  <c:v>108.390751404055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8-4A2D-BBBF-E8ABDC794973}"/>
            </c:ext>
          </c:extLst>
        </c:ser>
        <c:ser>
          <c:idx val="3"/>
          <c:order val="3"/>
          <c:tx>
            <c:strRef>
              <c:f>'Cost breakdown'!$E$4:$E$5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breakdown'!$E$6:$E$9</c:f>
              <c:numCache>
                <c:formatCode>General</c:formatCode>
                <c:ptCount val="1"/>
                <c:pt idx="0">
                  <c:v>2.3143465618411602E-2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8-4A2D-BBBF-E8ABDC794973}"/>
            </c:ext>
          </c:extLst>
        </c:ser>
        <c:ser>
          <c:idx val="4"/>
          <c:order val="4"/>
          <c:tx>
            <c:strRef>
              <c:f>'Cost breakdown'!$F$4:$F$5</c:f>
              <c:strCache>
                <c:ptCount val="1"/>
                <c:pt idx="0">
                  <c:v>Batteries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breakdown'!$F$6:$F$9</c:f>
              <c:numCache>
                <c:formatCode>General</c:formatCode>
                <c:ptCount val="1"/>
                <c:pt idx="0">
                  <c:v>4.3376149640801103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8-4A2D-BBBF-E8ABDC794973}"/>
            </c:ext>
          </c:extLst>
        </c:ser>
        <c:ser>
          <c:idx val="5"/>
          <c:order val="5"/>
          <c:tx>
            <c:strRef>
              <c:f>'Cost breakdown'!$G$4:$G$5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breakdown'!$G$6:$G$9</c:f>
              <c:numCache>
                <c:formatCode>General</c:formatCode>
                <c:ptCount val="1"/>
                <c:pt idx="0">
                  <c:v>59.814125005685803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8-4A2D-BBBF-E8ABDC794973}"/>
            </c:ext>
          </c:extLst>
        </c:ser>
        <c:ser>
          <c:idx val="6"/>
          <c:order val="6"/>
          <c:tx>
            <c:strRef>
              <c:f>'Cost breakdown'!$H$4:$H$5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breakdown'!$H$6:$H$9</c:f>
              <c:numCache>
                <c:formatCode>General</c:formatCode>
                <c:ptCount val="1"/>
                <c:pt idx="0">
                  <c:v>1.0021923171270799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8-4A2D-BBBF-E8ABDC794973}"/>
            </c:ext>
          </c:extLst>
        </c:ser>
        <c:ser>
          <c:idx val="7"/>
          <c:order val="7"/>
          <c:tx>
            <c:strRef>
              <c:f>'Cost breakdown'!$I$4:$I$5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breakdown'!$I$6:$I$9</c:f>
              <c:numCache>
                <c:formatCode>General</c:formatCode>
                <c:ptCount val="1"/>
                <c:pt idx="0">
                  <c:v>111.10883959424601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8-4A2D-BBBF-E8ABDC794973}"/>
            </c:ext>
          </c:extLst>
        </c:ser>
        <c:ser>
          <c:idx val="8"/>
          <c:order val="8"/>
          <c:tx>
            <c:strRef>
              <c:f>'Cost breakdown'!$J$4:$J$5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breakdown'!$A$6:$A$9</c:f>
              <c:multiLvlStrCache>
                <c:ptCount val="1"/>
                <c:lvl>
                  <c:pt idx="0">
                    <c:v>AEC</c:v>
                  </c:pt>
                </c:lvl>
                <c:lvl>
                  <c:pt idx="0">
                    <c:v>Esbjerg</c:v>
                  </c:pt>
                </c:lvl>
                <c:lvl>
                  <c:pt idx="0">
                    <c:v>Behind-the-meter</c:v>
                  </c:pt>
                </c:lvl>
              </c:multiLvlStrCache>
            </c:multiLvlStrRef>
          </c:cat>
          <c:val>
            <c:numRef>
              <c:f>'Cost breakdown'!$J$6:$J$9</c:f>
              <c:numCache>
                <c:formatCode>General</c:formatCode>
                <c:ptCount val="1"/>
                <c:pt idx="0">
                  <c:v>10.364015686524001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68-4A2D-BBBF-E8ABDC79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(M€)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solidFill>
            <a:schemeClr val="bg1">
              <a:alpha val="97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[Results.xlsm]Installed capacities!PivotTable1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'Installed capacities'!$B$3:$B$6</c:f>
              <c:strCache>
                <c:ptCount val="1"/>
                <c:pt idx="0">
                  <c:v>Behind-the-meter - Esbjerg - AEC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capacities'!$B$7:$B$12</c:f>
              <c:numCache>
                <c:formatCode>0</c:formatCode>
                <c:ptCount val="5"/>
                <c:pt idx="0">
                  <c:v>0</c:v>
                </c:pt>
                <c:pt idx="1">
                  <c:v>979.95852217673996</c:v>
                </c:pt>
                <c:pt idx="2">
                  <c:v>545.55612411787604</c:v>
                </c:pt>
                <c:pt idx="3">
                  <c:v>491.25514969827702</c:v>
                </c:pt>
                <c:pt idx="4">
                  <c:v>103.450793212232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5-49F8-89AE-2AF1BEA0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9</xdr:row>
      <xdr:rowOff>174624</xdr:rowOff>
    </xdr:from>
    <xdr:to>
      <xdr:col>7</xdr:col>
      <xdr:colOff>120650</xdr:colOff>
      <xdr:row>28</xdr:row>
      <xdr:rowOff>76199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12</xdr:row>
      <xdr:rowOff>76200</xdr:rowOff>
    </xdr:from>
    <xdr:to>
      <xdr:col>8</xdr:col>
      <xdr:colOff>444500</xdr:colOff>
      <xdr:row>36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561689</xdr:colOff>
      <xdr:row>4</xdr:row>
      <xdr:rowOff>89647</xdr:rowOff>
    </xdr:from>
    <xdr:to>
      <xdr:col>11</xdr:col>
      <xdr:colOff>258156</xdr:colOff>
      <xdr:row>28</xdr:row>
      <xdr:rowOff>135341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359984</xdr:colOff>
      <xdr:row>37</xdr:row>
      <xdr:rowOff>11271</xdr:rowOff>
    </xdr:from>
    <xdr:to>
      <xdr:col>7</xdr:col>
      <xdr:colOff>422088</xdr:colOff>
      <xdr:row>52</xdr:row>
      <xdr:rowOff>21210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11</xdr:row>
      <xdr:rowOff>92074</xdr:rowOff>
    </xdr:from>
    <xdr:to>
      <xdr:col>8</xdr:col>
      <xdr:colOff>425450</xdr:colOff>
      <xdr:row>46</xdr:row>
      <xdr:rowOff>107950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501650</xdr:colOff>
      <xdr:row>21</xdr:row>
      <xdr:rowOff>85725</xdr:rowOff>
    </xdr:from>
    <xdr:to>
      <xdr:col>7</xdr:col>
      <xdr:colOff>361950</xdr:colOff>
      <xdr:row>36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062.690200462966" missingItemsLimit="0" createdVersion="6" refreshedVersion="6" minRefreshableVersion="3" recordCount="523">
  <cacheSource type="worksheet">
    <worksheetSource ref="A1:Y1048576" sheet="All_Scenarios"/>
  </cacheSource>
  <cacheFields count="25">
    <cacheField name="Scenario" numFmtId="0">
      <sharedItems containsBlank="1" count="2">
        <s v="Behind-the-meter"/>
        <m/>
      </sharedItems>
    </cacheField>
    <cacheField name="Type of unit" numFmtId="0">
      <sharedItems containsBlank="1" count="30">
        <s v="NH3 plant + ASU with AEC"/>
        <s v="Water supply (desalination plant)"/>
        <s v="Electrolysers AEC"/>
        <s v="H2 pipeline to NH3 plant"/>
        <s v="Sale of oxygen"/>
        <s v="Heat from district heating"/>
        <s v="Heat sent to district heating"/>
        <s v="H2 storage compressor"/>
        <s v="H2 storage valve"/>
        <s v="H2 storage (buried pipes)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Curtailment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0" maxValue="2020"/>
    </cacheField>
    <cacheField name="Location" numFmtId="0">
      <sharedItems containsBlank="1" count="2">
        <s v="Esbjerg"/>
        <m/>
      </sharedItems>
    </cacheField>
    <cacheField name="Profile" numFmtId="0">
      <sharedItems containsString="0" containsBlank="1" containsNumber="1" containsInteger="1" minValue="2019" maxValue="2019"/>
    </cacheField>
    <cacheField name="Fuel" numFmtId="0">
      <sharedItems containsBlank="1"/>
    </cacheField>
    <cacheField name="Electrolyser" numFmtId="0">
      <sharedItems containsBlank="1" count="2">
        <s v="AEC"/>
        <m/>
      </sharedItems>
    </cacheField>
    <cacheField name="CO2 capture" numFmtId="0">
      <sharedItems containsBlank="1"/>
    </cacheField>
    <cacheField name="Installed capacity (MW (electrical unit), t/h (non electrical), MWh (batteries), t (h2 tank))" numFmtId="0">
      <sharedItems containsString="0" containsBlank="1" containsNumber="1" minValue="0" maxValue="979.95852217673996"/>
    </cacheField>
    <cacheField name="Total investment(MEuros)" numFmtId="0">
      <sharedItems containsString="0" containsBlank="1" containsNumber="1" minValue="0" maxValue="1075.2560389811799"/>
    </cacheField>
    <cacheField name="Annualised investment(MEuros)" numFmtId="0">
      <sharedItems containsString="0" containsBlank="1" containsNumber="1" minValue="0" maxValue="98.330117700515999"/>
    </cacheField>
    <cacheField name="Fixed O&amp;M(MEuros)" numFmtId="0">
      <sharedItems containsString="0" containsBlank="1" containsNumber="1" minValue="0" maxValue="31.469667105054"/>
    </cacheField>
    <cacheField name="Variable O&amp;M(MEuros)" numFmtId="0">
      <sharedItems containsString="0" containsBlank="1" containsNumber="1" minValue="0" maxValue="2.88877029778536"/>
    </cacheField>
    <cacheField name="Fuel cost(MEuros)" numFmtId="0">
      <sharedItems containsString="0" containsBlank="1" containsNumber="1" containsInteger="1" minValue="0" maxValue="0"/>
    </cacheField>
    <cacheField name="Cost per unit(MEuros)" numFmtId="0">
      <sharedItems containsString="0" containsBlank="1" containsNumber="1" minValue="0" maxValue="111.10883959424601"/>
    </cacheField>
    <cacheField name="Production(kton or GWh)" numFmtId="0">
      <sharedItems containsString="0" containsBlank="1" containsNumber="1" minValue="0" maxValue="1846.8213784081599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4186.6477121221196"/>
    </cacheField>
    <cacheField name="Production cost fuel (Euros/kgfuel)" numFmtId="0">
      <sharedItems containsString="0" containsBlank="1" containsNumber="1" minValue="0" maxValue="1.0670802566050499"/>
    </cacheField>
    <cacheField name="Production cost fuel (Euros/GJfuel)" numFmtId="0">
      <sharedItems containsString="0" containsBlank="1" containsNumber="1" minValue="0" maxValue="57.369906269089199"/>
    </cacheField>
    <cacheField name="Production cost fuel (Euros/MWhfuel)" numFmtId="0">
      <sharedItems containsString="0" containsBlank="1" containsNumber="1" minValue="0" maxValue="206.531662568721"/>
    </cacheField>
    <cacheField name="Production cost per unit (Euros/kg or kWh output)" numFmtId="0">
      <sharedItems containsString="0" containsBlank="1" containsNumber="1" minValue="0" maxValue="1.36675106972474"/>
    </cacheField>
    <cacheField name="Load average" numFmtId="0">
      <sharedItems containsBlank="1" containsMixedTypes="1" containsNumber="1" minValue="1.36039810037955E-2" maxValue="0.75554632645643205"/>
    </cacheField>
    <cacheField name="Full load hours" numFmtId="0">
      <sharedItems containsBlank="1" containsMixedTypes="1" containsNumber="1" minValue="107.267390214927" maxValue="5957.48278410896"/>
    </cacheField>
    <cacheField name="Av electricity cost(Euros/MWh)" numFmtId="0">
      <sharedItems containsString="0" containsBlank="1" containsNumber="1" minValue="57.801860043317198" maxValue="57.8018600433171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3">
  <r>
    <x v="0"/>
    <x v="0"/>
    <n v="2020"/>
    <x v="0"/>
    <n v="2019"/>
    <s v="NH3"/>
    <x v="0"/>
    <s v="None"/>
    <n v="72.1781355620505"/>
    <n v="302.57074427611502"/>
    <n v="28.344457900631799"/>
    <n v="31.469667105054"/>
    <n v="0"/>
    <n v="0"/>
    <n v="59.814125005685803"/>
    <n v="430.00000000005298"/>
    <n v="0"/>
    <n v="163.4"/>
    <n v="1.0670802566050499"/>
    <n v="57.369906269089199"/>
    <n v="206.531662568721"/>
    <n v="0.13910261629227499"/>
    <n v="0.75554632645643205"/>
    <n v="5957.48278410896"/>
    <n v="57.801860043317198"/>
  </r>
  <r>
    <x v="0"/>
    <x v="1"/>
    <n v="2020"/>
    <x v="0"/>
    <n v="2019"/>
    <s v="NH3"/>
    <x v="0"/>
    <s v="None"/>
    <n v="258.358466197219"/>
    <n v="6.7548315834043997"/>
    <n v="0.68799451699811798"/>
    <n v="0"/>
    <n v="0.31419780012896498"/>
    <n v="0"/>
    <n v="1.0021923171270799"/>
    <n v="1213.34522884286"/>
    <n v="0"/>
    <n v="4.8533809153715399"/>
    <n v="0"/>
    <n v="0"/>
    <n v="0"/>
    <n v="8.25974581103227E-4"/>
    <n v="0.59560727184681195"/>
    <n v="4696.3633385121102"/>
    <n v="57.801860043317198"/>
  </r>
  <r>
    <x v="0"/>
    <x v="2"/>
    <n v="2020"/>
    <x v="0"/>
    <n v="2019"/>
    <s v="NH3"/>
    <x v="0"/>
    <s v="None"/>
    <n v="17.310017235213699"/>
    <n v="977.44474322081203"/>
    <n v="91.565830135690206"/>
    <n v="19.543009458556199"/>
    <n v="0"/>
    <n v="0"/>
    <n v="111.10883959424601"/>
    <n v="81.294130332470104"/>
    <n v="0"/>
    <n v="4186.6477121221196"/>
    <n v="0"/>
    <n v="0"/>
    <n v="0"/>
    <n v="1.36675106972474"/>
    <n v="0.59560727184681295"/>
    <n v="4696.3633385121202"/>
    <n v="57.801860043317198"/>
  </r>
  <r>
    <x v="0"/>
    <x v="3"/>
    <n v="2020"/>
    <x v="0"/>
    <n v="2019"/>
    <s v="NH3"/>
    <x v="0"/>
    <s v="None"/>
    <n v="13.6416676212275"/>
    <n v="0"/>
    <n v="0"/>
    <n v="0"/>
    <n v="0"/>
    <n v="0"/>
    <n v="0"/>
    <n v="81.269999999995505"/>
    <n v="0"/>
    <n v="0"/>
    <n v="0"/>
    <n v="0"/>
    <n v="0"/>
    <n v="0"/>
    <n v="0.75554632645643205"/>
    <n v="5957.48278410896"/>
    <n v="57.801860043317198"/>
  </r>
  <r>
    <x v="0"/>
    <x v="4"/>
    <n v="2020"/>
    <x v="0"/>
    <n v="2019"/>
    <s v="NH3"/>
    <x v="0"/>
    <s v="None"/>
    <n v="134.32573374525799"/>
    <n v="0"/>
    <n v="0"/>
    <n v="0"/>
    <n v="0"/>
    <n v="0"/>
    <n v="0"/>
    <n v="630.842451379968"/>
    <n v="0"/>
    <n v="0"/>
    <n v="0"/>
    <n v="0"/>
    <n v="0"/>
    <n v="0"/>
    <n v="0.59560727184681295"/>
    <n v="4696.3633385121202"/>
    <n v="57.801860043317198"/>
  </r>
  <r>
    <x v="0"/>
    <x v="5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6"/>
    <n v="2020"/>
    <x v="0"/>
    <n v="2019"/>
    <s v="NH3"/>
    <x v="0"/>
    <s v="None"/>
    <n v="122.38182185296"/>
    <n v="0"/>
    <n v="0"/>
    <n v="0"/>
    <n v="0"/>
    <n v="0"/>
    <n v="0"/>
    <n v="574.74950145057301"/>
    <n v="0"/>
    <n v="0"/>
    <n v="0"/>
    <n v="0"/>
    <n v="0"/>
    <n v="0"/>
    <n v="0.59560727184681295"/>
    <n v="4696.3633385121202"/>
    <n v="57.801860043317198"/>
  </r>
  <r>
    <x v="0"/>
    <x v="7"/>
    <n v="2020"/>
    <x v="0"/>
    <n v="2019"/>
    <s v="NH3"/>
    <x v="0"/>
    <s v="None"/>
    <n v="11.235523997455401"/>
    <n v="0"/>
    <n v="0"/>
    <n v="0"/>
    <n v="0"/>
    <n v="0"/>
    <n v="0"/>
    <n v="8.9310793741063605"/>
    <n v="0"/>
    <n v="8.3952146116601707"/>
    <n v="0"/>
    <n v="0"/>
    <n v="0"/>
    <n v="0"/>
    <n v="0.10081123143781"/>
    <n v="794.89655988713605"/>
    <n v="57.801860043317198"/>
  </r>
  <r>
    <x v="0"/>
    <x v="8"/>
    <n v="2020"/>
    <x v="0"/>
    <n v="2019"/>
    <s v="NH3"/>
    <x v="0"/>
    <s v="None"/>
    <n v="13.6416676212275"/>
    <n v="0"/>
    <n v="0"/>
    <n v="0"/>
    <n v="0"/>
    <n v="0"/>
    <n v="0"/>
    <n v="8.9069490416389598"/>
    <n v="0"/>
    <n v="0"/>
    <n v="0"/>
    <n v="0"/>
    <n v="0"/>
    <n v="0"/>
    <n v="8.2805618658114699E-2"/>
    <n v="652.92230311923402"/>
    <n v="57.801860043317198"/>
  </r>
  <r>
    <x v="0"/>
    <x v="9"/>
    <n v="2020"/>
    <x v="0"/>
    <n v="2019"/>
    <s v="NH3"/>
    <x v="0"/>
    <s v="None"/>
    <n v="268.11480519402699"/>
    <n v="123.53535090643599"/>
    <n v="10.0981326670902"/>
    <n v="0.26588301943380499"/>
    <n v="0"/>
    <n v="0"/>
    <n v="10.364015686524001"/>
    <n v="885.96039656133405"/>
    <n v="0"/>
    <n v="0"/>
    <n v="0"/>
    <n v="0"/>
    <n v="0"/>
    <n v="1.16980575280224E-2"/>
    <n v="0.41907505914913401"/>
    <n v="3304.4068413909199"/>
    <n v="57.801860043317198"/>
  </r>
  <r>
    <x v="0"/>
    <x v="10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1"/>
    <n v="2020"/>
    <x v="0"/>
    <n v="2019"/>
    <s v="NH3"/>
    <x v="0"/>
    <s v="None"/>
    <n v="979.95852217673996"/>
    <n v="633.57238735122303"/>
    <n v="54.362579170238497"/>
    <n v="10.9342331365453"/>
    <n v="0"/>
    <n v="0"/>
    <n v="65.296812306783806"/>
    <n v="1071.11622382666"/>
    <n v="0"/>
    <n v="0"/>
    <n v="0"/>
    <n v="0"/>
    <n v="0"/>
    <n v="6.0961463242060199E-2"/>
    <n v="0.13862041851616899"/>
    <n v="1093.0219999999999"/>
    <n v="57.801860043317198"/>
  </r>
  <r>
    <x v="0"/>
    <x v="12"/>
    <n v="2020"/>
    <x v="0"/>
    <n v="2019"/>
    <s v="NH3"/>
    <x v="0"/>
    <s v="None"/>
    <n v="545.55612411787604"/>
    <n v="959.45905508477597"/>
    <n v="87.7407039766114"/>
    <n v="7.9646065893643199"/>
    <n v="2.8017050301531499"/>
    <n v="0"/>
    <n v="98.507015596128895"/>
    <n v="1791.1596327500399"/>
    <n v="0"/>
    <n v="0"/>
    <n v="0"/>
    <n v="0"/>
    <n v="0"/>
    <n v="5.49962235609825E-2"/>
    <n v="0.41638316312553297"/>
    <n v="3283.1812412448198"/>
    <n v="57.801860043317198"/>
  </r>
  <r>
    <x v="0"/>
    <x v="13"/>
    <n v="2020"/>
    <x v="0"/>
    <n v="2019"/>
    <s v="NH3"/>
    <x v="0"/>
    <s v="None"/>
    <n v="491.25514969827702"/>
    <n v="1075.2560389811799"/>
    <n v="98.330117700515999"/>
    <n v="7.1718634057541299"/>
    <n v="2.88877029778536"/>
    <n v="0"/>
    <n v="108.390751404055"/>
    <n v="1846.8213784081599"/>
    <n v="0"/>
    <n v="0"/>
    <n v="0"/>
    <n v="0"/>
    <n v="0"/>
    <n v="5.8690435724477498E-2"/>
    <n v="0.47677785950812102"/>
    <n v="3759.3934222215298"/>
    <n v="57.801860043317198"/>
  </r>
  <r>
    <x v="0"/>
    <x v="14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5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6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7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8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19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0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1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2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3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4"/>
    <n v="2020"/>
    <x v="0"/>
    <n v="2019"/>
    <s v="NH3"/>
    <x v="0"/>
    <s v="None"/>
    <n v="0"/>
    <n v="0"/>
    <n v="0"/>
    <n v="0"/>
    <n v="0"/>
    <n v="0"/>
    <n v="0"/>
    <n v="0"/>
    <n v="0"/>
    <n v="0"/>
    <n v="0"/>
    <n v="0"/>
    <n v="0"/>
    <n v="0"/>
    <s v="NaN"/>
    <s v="NaN"/>
    <n v="57.801860043317198"/>
  </r>
  <r>
    <x v="0"/>
    <x v="25"/>
    <n v="2020"/>
    <x v="0"/>
    <n v="2019"/>
    <s v="NH3"/>
    <x v="0"/>
    <s v="None"/>
    <n v="926.27516509031"/>
    <n v="0"/>
    <n v="0"/>
    <n v="0"/>
    <n v="0"/>
    <n v="0"/>
    <n v="0"/>
    <n v="344.782550990581"/>
    <n v="0"/>
    <n v="0"/>
    <n v="0"/>
    <n v="0"/>
    <n v="0"/>
    <n v="0"/>
    <n v="4.7206691181808702E-2"/>
    <n v="372.22475996856099"/>
    <n v="57.801860043317198"/>
  </r>
  <r>
    <x v="0"/>
    <x v="26"/>
    <n v="2020"/>
    <x v="0"/>
    <n v="2019"/>
    <s v="NH3"/>
    <x v="0"/>
    <s v="None"/>
    <n v="103.450793212232"/>
    <n v="0"/>
    <n v="0"/>
    <n v="0"/>
    <n v="2.3143465618411602E-2"/>
    <n v="0"/>
    <n v="2.3143465618411602E-2"/>
    <n v="11.0968966035403"/>
    <n v="0"/>
    <n v="0.44387586414161301"/>
    <n v="0"/>
    <n v="0"/>
    <n v="0"/>
    <n v="2.0855799999999901E-3"/>
    <n v="1.36039810037955E-2"/>
    <n v="107.267390214927"/>
    <n v="57.801860043317198"/>
  </r>
  <r>
    <x v="0"/>
    <x v="27"/>
    <n v="2020"/>
    <x v="0"/>
    <n v="2019"/>
    <s v="NH3"/>
    <x v="0"/>
    <s v="None"/>
    <n v="82.760634569786006"/>
    <n v="0"/>
    <n v="0"/>
    <n v="0"/>
    <n v="0"/>
    <n v="0"/>
    <n v="0"/>
    <n v="11.076206444897901"/>
    <n v="0"/>
    <n v="0.55381032224489402"/>
    <n v="0"/>
    <n v="0"/>
    <n v="0"/>
    <n v="0"/>
    <n v="1.69732704842941E-2"/>
    <n v="133.83423776865899"/>
    <n v="57.801860043317198"/>
  </r>
  <r>
    <x v="0"/>
    <x v="28"/>
    <n v="2020"/>
    <x v="0"/>
    <n v="2019"/>
    <s v="NH3"/>
    <x v="0"/>
    <s v="None"/>
    <n v="103.450793212232"/>
    <n v="37.431573028280901"/>
    <n v="3.8124883926555002"/>
    <n v="0.52512657142461305"/>
    <n v="0"/>
    <n v="0"/>
    <n v="4.3376149640801103"/>
    <n v="280.98215279312598"/>
    <n v="0"/>
    <n v="0"/>
    <n v="0"/>
    <n v="0"/>
    <n v="0"/>
    <n v="1.5437332659607301E-2"/>
    <n v="0.344463502325839"/>
    <n v="2716.0947158392401"/>
    <n v="57.801860043317198"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  <r>
    <x v="1"/>
    <x v="29"/>
    <m/>
    <x v="1"/>
    <m/>
    <m/>
    <x v="1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3">
  <location ref="A3:Q8" firstHeaderRow="1" firstDataRow="2" firstDataCol="1"/>
  <pivotFields count="25">
    <pivotField axis="axisRow" showAll="0" defaultSubtotal="0">
      <items count="2">
        <item h="1" x="1"/>
        <item x="0"/>
      </items>
    </pivotField>
    <pivotField axis="axisCol" multipleItemSelectionAllowed="1" showAll="0" defaultSubtotal="0">
      <items count="30">
        <item h="1" x="28"/>
        <item h="1" x="26"/>
        <item h="1" x="27"/>
        <item n="Grid" x="24"/>
        <item h="1" x="3"/>
        <item h="1" x="5"/>
        <item h="1" x="6"/>
        <item x="20"/>
        <item x="21"/>
        <item x="22"/>
        <item x="23"/>
        <item x="11"/>
        <item n="Wind onshore (SP198-HH100)" x="12"/>
        <item n="Wind onshore (SP198-HH150)" x="13"/>
        <item x="14"/>
        <item x="15"/>
        <item x="16"/>
        <item x="17"/>
        <item x="18"/>
        <item x="19"/>
        <item h="1" x="4"/>
        <item x="10"/>
        <item h="1" x="29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howAll="0" defaultSubtotal="0">
      <items count="2">
        <item x="1"/>
        <item x="0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0"/>
    <field x="3"/>
    <field x="6"/>
  </rowFields>
  <rowItems count="4">
    <i>
      <x v="1"/>
    </i>
    <i r="1">
      <x v="1"/>
    </i>
    <i r="2">
      <x/>
    </i>
    <i t="grand">
      <x/>
    </i>
  </rowItems>
  <colFields count="1">
    <field x="1"/>
  </colFields>
  <colItems count="16"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 t="grand">
      <x/>
    </i>
  </colItems>
  <dataFields count="1">
    <dataField name="Sum of Production(kton or GWh)" fld="15" baseField="0" baseItem="0"/>
  </dataFields>
  <formats count="17">
    <format dxfId="5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9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8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7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6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5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4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3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2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1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4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3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4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5"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AE9" firstHeaderRow="1" firstDataRow="2" firstDataCol="1"/>
  <pivotFields count="25">
    <pivotField axis="axisRow" showAll="0" defaultSubtotal="0">
      <items count="2">
        <item h="1" x="1"/>
        <item x="0"/>
      </items>
    </pivotField>
    <pivotField axis="axisCol" showAll="0" defaultSubtotal="0">
      <items count="30">
        <item x="28"/>
        <item x="26"/>
        <item x="27"/>
        <item x="24"/>
        <item x="5"/>
        <item x="6"/>
        <item x="20"/>
        <item x="21"/>
        <item x="22"/>
        <item x="23"/>
        <item x="12"/>
        <item x="13"/>
        <item x="14"/>
        <item x="15"/>
        <item x="16"/>
        <item x="17"/>
        <item x="18"/>
        <item x="19"/>
        <item x="4"/>
        <item x="10"/>
        <item x="11"/>
        <item x="29"/>
        <item x="3"/>
        <item x="0"/>
        <item x="1"/>
        <item x="2"/>
        <item x="7"/>
        <item x="8"/>
        <item x="9"/>
        <item x="25"/>
      </items>
    </pivotField>
    <pivotField showAll="0" defaultSubtotal="0"/>
    <pivotField axis="axisRow" showAll="0" defaultSubtotal="0">
      <items count="2">
        <item h="1" x="1"/>
        <item x="0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0"/>
    <field x="3"/>
    <field x="6"/>
  </rowFields>
  <rowItems count="4">
    <i>
      <x v="1"/>
    </i>
    <i r="1">
      <x v="1"/>
    </i>
    <i r="2">
      <x/>
    </i>
    <i t="grand">
      <x/>
    </i>
  </rowItems>
  <colFields count="1">
    <field x="1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Sum of Electricity consumption(GWh)" fld="17" baseField="0" baseItem="0"/>
  </dataFields>
  <formats count="9">
    <format dxfId="33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2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1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30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2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2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2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2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2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6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2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2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2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2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2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25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26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27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28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29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30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31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2" format="85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8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2" format="8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2" format="8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2" format="8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2" format="9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2" format="9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2" format="9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2" format="9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2" format="9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2" format="9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2" format="9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2" format="9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2" format="98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2" format="99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2" format="15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" format="159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" format="16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2" format="169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2" format="170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2" format="17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19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3" format="19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3" format="19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3" format="19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3" format="19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3" format="20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3" format="20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3" format="202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3" format="203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3" format="204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3" format="205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3" format="206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3" format="207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3" format="208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3" format="209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210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3" format="211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3" format="21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21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3" format="21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480" series="1">
      <pivotArea type="data" outline="0" fieldPosition="0"/>
    </chartFormat>
    <chartFormat chart="4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0">
  <location ref="A4:C9" firstHeaderRow="1" firstDataRow="2" firstDataCol="1"/>
  <pivotFields count="25">
    <pivotField axis="axisRow" subtotalTop="0" multipleItemSelectionAllowed="1" showAll="0" defaultSubtotal="0">
      <items count="2">
        <item h="1" x="1"/>
        <item x="0"/>
      </items>
    </pivotField>
    <pivotField axis="axisCol" subtotalTop="0" showAll="0" defaultSubtotal="0">
      <items count="30">
        <item h="1" x="28"/>
        <item h="1" x="26"/>
        <item h="1" x="27"/>
        <item h="1" x="24"/>
        <item h="1" x="3"/>
        <item h="1" x="5"/>
        <item h="1" x="6"/>
        <item h="1" x="20"/>
        <item h="1" x="21"/>
        <item h="1" x="22"/>
        <item h="1" x="23"/>
        <item h="1" x="12"/>
        <item h="1" x="13"/>
        <item h="1" x="14"/>
        <item h="1" x="15"/>
        <item h="1" x="16"/>
        <item h="1" x="17"/>
        <item h="1" x="18"/>
        <item h="1" x="19"/>
        <item h="1" x="4"/>
        <item h="1" x="10"/>
        <item h="1" x="11"/>
        <item h="1" x="29"/>
        <item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ubtotalTop="0" showAll="0" defaultSubtotal="0">
      <items count="2">
        <item x="1"/>
        <item x="0"/>
      </items>
    </pivotField>
    <pivotField showAll="0" defaultSubtotal="0"/>
    <pivotField subtotalTop="0" multipleItemSelectionAllowed="1" showAll="0" defaultSubtotal="0"/>
    <pivotField axis="axisRow" subtotalTop="0" showAll="0" defaultSubtotal="0">
      <items count="2">
        <item x="0"/>
        <item x="1"/>
      </items>
    </pivotField>
    <pivotField subtotalTop="0" showAll="0" defaultSubtotal="0"/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showAll="0" defaultSubtotal="0"/>
    <pivotField dataField="1" showAll="0" defaultSubtotal="0"/>
    <pivotField showAll="0" defaultSubtotal="0"/>
    <pivotField subtotalTop="0" showAll="0" defaultSubtotal="0"/>
    <pivotField subtotalTop="0" showAll="0" defaultSubtotal="0"/>
    <pivotField showAll="0" defaultSubtotal="0"/>
  </pivotFields>
  <rowFields count="3">
    <field x="0"/>
    <field x="3"/>
    <field x="6"/>
  </rowFields>
  <rowItems count="4">
    <i>
      <x v="1"/>
    </i>
    <i r="1">
      <x v="1"/>
    </i>
    <i r="2">
      <x/>
    </i>
    <i t="grand">
      <x/>
    </i>
  </rowItems>
  <colFields count="1">
    <field x="1"/>
  </colFields>
  <colItems count="2">
    <i>
      <x v="23"/>
    </i>
    <i t="grand">
      <x/>
    </i>
  </colItems>
  <dataFields count="1">
    <dataField name="Sum of Production cost fuel (Euros/MWhfuel)" fld="20" baseField="0" baseItem="0"/>
  </dataFields>
  <formats count="20">
    <format dxfId="24">
      <pivotArea grandRow="1" outline="0" collapsedLevelsAreSubtotals="1" fieldPosition="0"/>
    </format>
    <format dxfId="23">
      <pivotArea grandRow="1" outline="0" collapsedLevelsAreSubtotals="1" fieldPosition="0"/>
    </format>
    <format dxfId="22">
      <pivotArea grandRow="1" outline="0" collapsedLevelsAreSubtotals="1" fieldPosition="0"/>
    </format>
    <format dxfId="21">
      <pivotArea grandRow="1" outline="0" collapsedLevelsAreSubtotals="1" fieldPosition="0"/>
    </format>
    <format dxfId="20">
      <pivotArea grandRow="1" outline="0" collapsedLevelsAreSubtotals="1" fieldPosition="0"/>
    </format>
    <format dxfId="19">
      <pivotArea grandRow="1" outline="0" collapsedLevelsAreSubtotals="1" fieldPosition="0"/>
    </format>
    <format dxfId="18">
      <pivotArea grandRow="1"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</formats>
  <chartFormats count="3">
    <chartFormat chart="0" format="65" series="1">
      <pivotArea type="data" outline="0" fieldPosition="0"/>
    </chartFormat>
    <chartFormat chart="0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5">
  <location ref="A4:K9" firstHeaderRow="1" firstDataRow="2" firstDataCol="1"/>
  <pivotFields count="25">
    <pivotField axis="axisRow" multipleItemSelectionAllowed="1" showAll="0">
      <items count="3">
        <item h="1" x="1"/>
        <item x="0"/>
        <item t="default"/>
      </items>
    </pivotField>
    <pivotField axis="axisCol" showAll="0" measureFilter="1">
      <items count="31">
        <item n="Grid" x="24"/>
        <item x="11"/>
        <item n="Wind onshore (SP198-HH100)" x="12"/>
        <item n="Wind onshore (SP198-HH150)" x="13"/>
        <item x="27"/>
        <item x="3"/>
        <item x="5"/>
        <item x="6"/>
        <item x="4"/>
        <item x="10"/>
        <item x="29"/>
        <item x="14"/>
        <item x="15"/>
        <item x="16"/>
        <item x="17"/>
        <item x="18"/>
        <item x="19"/>
        <item x="20"/>
        <item x="21"/>
        <item x="22"/>
        <item x="23"/>
        <item x="26"/>
        <item x="28"/>
        <item x="0"/>
        <item x="1"/>
        <item x="2"/>
        <item x="7"/>
        <item x="8"/>
        <item x="9"/>
        <item x="25"/>
        <item t="default"/>
      </items>
    </pivotField>
    <pivotField showAll="0" defaultSubtotal="0"/>
    <pivotField axis="axisRow" showAll="0">
      <items count="3">
        <item x="1"/>
        <item x="0"/>
        <item t="default"/>
      </items>
    </pivotField>
    <pivotField showAll="0" defaultSubtotal="0"/>
    <pivotField multipleItemSelectionAllowed="1" showAll="0"/>
    <pivotField axis="axisRow" showAll="0">
      <items count="3">
        <item x="0"/>
        <item x="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</pivotFields>
  <rowFields count="3">
    <field x="0"/>
    <field x="3"/>
    <field x="6"/>
  </rowFields>
  <rowItems count="4">
    <i>
      <x v="1"/>
    </i>
    <i r="1">
      <x v="1"/>
    </i>
    <i r="2">
      <x/>
    </i>
    <i t="grand">
      <x/>
    </i>
  </rowItems>
  <colFields count="1">
    <field x="1"/>
  </colFields>
  <colItems count="10">
    <i>
      <x v="1"/>
    </i>
    <i>
      <x v="2"/>
    </i>
    <i>
      <x v="3"/>
    </i>
    <i>
      <x v="21"/>
    </i>
    <i>
      <x v="22"/>
    </i>
    <i>
      <x v="23"/>
    </i>
    <i>
      <x v="24"/>
    </i>
    <i>
      <x v="25"/>
    </i>
    <i>
      <x v="28"/>
    </i>
    <i t="grand">
      <x/>
    </i>
  </colItems>
  <dataFields count="1">
    <dataField name="Sum of Cost per unit(MEuros)" fld="14" baseField="0" baseItem="0"/>
  </dataFields>
  <chartFormats count="18">
    <chartFormat chart="0" format="0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1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2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C12" firstHeaderRow="1" firstDataRow="4" firstDataCol="1"/>
  <pivotFields count="25">
    <pivotField axis="axisCol" showAll="0" defaultSubtotal="0">
      <items count="2">
        <item h="1" x="1"/>
        <item x="0"/>
      </items>
    </pivotField>
    <pivotField axis="axisRow" showAll="0" defaultSubtotal="0">
      <items count="30">
        <item n="Grid" x="24"/>
        <item x="11"/>
        <item n="Wind onshore (SP198-HH100)" x="12"/>
        <item n="Wind onshore (SP198-HH150)" x="13"/>
        <item h="1" x="26"/>
        <item h="1" x="27"/>
        <item h="1" x="5"/>
        <item h="1" x="6"/>
        <item h="1" x="20"/>
        <item h="1" x="21"/>
        <item h="1" x="22"/>
        <item h="1" x="23"/>
        <item h="1" x="14"/>
        <item h="1" x="15"/>
        <item h="1" x="16"/>
        <item h="1" x="17"/>
        <item h="1" x="18"/>
        <item h="1" x="19"/>
        <item h="1" x="4"/>
        <item h="1" x="10"/>
        <item h="1" x="29"/>
        <item h="1" x="3"/>
        <item x="28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Col" showAll="0" defaultSubtotal="0">
      <items count="2">
        <item h="1" x="1"/>
        <item x="0"/>
      </items>
    </pivotField>
    <pivotField showAll="0" defaultSubtotal="0"/>
    <pivotField showAll="0" defaultSubtotal="0"/>
    <pivotField axis="axisCol" showAll="0" defaultSubtotal="0">
      <items count="2">
        <item x="0"/>
        <item x="1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22"/>
    </i>
    <i t="grand">
      <x/>
    </i>
  </rowItems>
  <colFields count="3">
    <field x="0"/>
    <field x="3"/>
    <field x="6"/>
  </colFields>
  <colItems count="2">
    <i>
      <x v="1"/>
      <x v="1"/>
      <x/>
    </i>
    <i t="grand">
      <x/>
    </i>
  </colItems>
  <dataFields count="1">
    <dataField name="Sum of Installed capacity (MW (electrical unit), t/h (non electrical), MWh (batteries), t (h2 tank))" fld="8" baseField="1" baseItem="0"/>
  </dataFields>
  <formats count="5">
    <format dxfId="4">
      <pivotArea collapsedLevelsAreSubtotals="1" fieldPosition="0">
        <references count="1">
          <reference field="1" count="0"/>
        </references>
      </pivotArea>
    </format>
    <format dxfId="3">
      <pivotArea collapsedLevelsAreSubtotals="1" fieldPosition="0">
        <references count="1">
          <reference field="1" count="0"/>
        </references>
      </pivotArea>
    </format>
    <format dxfId="2">
      <pivotArea collapsedLevelsAreSubtotals="1" fieldPosition="0">
        <references count="1">
          <reference field="1" count="0"/>
        </references>
      </pivotArea>
    </format>
    <format dxfId="1">
      <pivotArea collapsedLevelsAreSubtotals="1" fieldPosition="0">
        <references count="1">
          <reference field="1" count="0"/>
        </references>
      </pivotArea>
    </format>
    <format dxfId="0">
      <pivotArea collapsedLevelsAreSubtotals="1" fieldPosition="0">
        <references count="1">
          <reference field="1" count="0"/>
        </references>
      </pivotArea>
    </format>
  </formats>
  <chartFormats count="2">
    <chartFormat chart="0" format="51" series="1">
      <pivotArea type="data" outline="0" fieldPosition="0"/>
    </chartFormat>
    <chartFormat chart="0" format="52" series="1">
      <pivotArea type="data" outline="0" fieldPosition="0">
        <references count="3">
          <reference field="0" count="1" selected="0">
            <x v="1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M4"/>
  <sheetViews>
    <sheetView tabSelected="1" workbookViewId="0">
      <selection activeCell="L5" sqref="L5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6" t="s">
        <v>0</v>
      </c>
      <c r="B2" s="16"/>
      <c r="C2" s="16"/>
      <c r="D2" s="1" t="s">
        <v>64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6" t="s">
        <v>22</v>
      </c>
      <c r="B4" s="16"/>
      <c r="C4" s="16"/>
      <c r="D4" s="2" t="s">
        <v>65</v>
      </c>
      <c r="E4" s="2"/>
      <c r="F4" s="2"/>
      <c r="G4" s="2"/>
      <c r="H4" s="2"/>
      <c r="I4" s="2"/>
      <c r="J4" s="2"/>
      <c r="K4" s="2"/>
      <c r="L4" s="2"/>
      <c r="M4" s="2"/>
    </row>
  </sheetData>
  <mergeCells count="2">
    <mergeCell ref="A2:C2"/>
    <mergeCell ref="A4:C4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3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15" sqref="P15"/>
    </sheetView>
  </sheetViews>
  <sheetFormatPr defaultRowHeight="14.5" x14ac:dyDescent="0.35"/>
  <cols>
    <col min="1" max="1" width="13.6328125" bestFit="1" customWidth="1"/>
    <col min="2" max="2" width="27.1796875" bestFit="1" customWidth="1"/>
    <col min="3" max="3" width="4.81640625" bestFit="1" customWidth="1"/>
    <col min="4" max="4" width="10.26953125" bestFit="1" customWidth="1"/>
    <col min="5" max="5" width="6.1796875" bestFit="1" customWidth="1"/>
    <col min="6" max="6" width="10.453125" bestFit="1" customWidth="1"/>
    <col min="7" max="7" width="11.08984375" bestFit="1" customWidth="1"/>
    <col min="8" max="8" width="7.26953125" bestFit="1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2.08984375" bestFit="1" customWidth="1"/>
    <col min="17" max="17" width="12.36328125" bestFit="1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</cols>
  <sheetData>
    <row r="1" spans="1:25" x14ac:dyDescent="0.35">
      <c r="A1" t="s">
        <v>5</v>
      </c>
      <c r="B1" t="s">
        <v>6</v>
      </c>
      <c r="C1" t="s">
        <v>66</v>
      </c>
      <c r="D1" t="s">
        <v>29</v>
      </c>
      <c r="E1" t="s">
        <v>67</v>
      </c>
      <c r="F1" t="s">
        <v>30</v>
      </c>
      <c r="G1" t="s">
        <v>23</v>
      </c>
      <c r="H1" t="s">
        <v>33</v>
      </c>
      <c r="I1" t="s">
        <v>68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69</v>
      </c>
      <c r="T1" t="s">
        <v>70</v>
      </c>
      <c r="U1" t="s">
        <v>71</v>
      </c>
      <c r="V1" t="s">
        <v>72</v>
      </c>
      <c r="W1" t="s">
        <v>27</v>
      </c>
      <c r="X1" t="s">
        <v>28</v>
      </c>
      <c r="Y1" t="s">
        <v>34</v>
      </c>
    </row>
    <row r="2" spans="1:25" x14ac:dyDescent="0.35">
      <c r="A2" t="s">
        <v>73</v>
      </c>
      <c r="B2" t="s">
        <v>74</v>
      </c>
      <c r="C2">
        <v>2020</v>
      </c>
      <c r="D2" t="s">
        <v>75</v>
      </c>
      <c r="E2">
        <v>2019</v>
      </c>
      <c r="F2" t="s">
        <v>37</v>
      </c>
      <c r="G2" t="s">
        <v>31</v>
      </c>
      <c r="H2" t="s">
        <v>38</v>
      </c>
      <c r="I2">
        <v>72.1781355620505</v>
      </c>
      <c r="J2">
        <v>302.57074427611502</v>
      </c>
      <c r="K2">
        <v>28.344457900631799</v>
      </c>
      <c r="L2">
        <v>31.469667105054</v>
      </c>
      <c r="M2">
        <v>0</v>
      </c>
      <c r="N2">
        <v>0</v>
      </c>
      <c r="O2">
        <v>59.814125005685803</v>
      </c>
      <c r="P2">
        <v>430.00000000005298</v>
      </c>
      <c r="Q2">
        <v>0</v>
      </c>
      <c r="R2">
        <v>163.4</v>
      </c>
      <c r="S2">
        <v>1.0670802566050499</v>
      </c>
      <c r="T2">
        <v>57.369906269089199</v>
      </c>
      <c r="U2">
        <v>206.531662568721</v>
      </c>
      <c r="V2">
        <v>0.13910261629227499</v>
      </c>
      <c r="W2">
        <v>0.75554632645643205</v>
      </c>
      <c r="X2">
        <v>5957.48278410896</v>
      </c>
      <c r="Y2">
        <v>57.801860043317198</v>
      </c>
    </row>
    <row r="3" spans="1:25" x14ac:dyDescent="0.35">
      <c r="A3" t="s">
        <v>73</v>
      </c>
      <c r="B3" t="s">
        <v>76</v>
      </c>
      <c r="C3">
        <v>2020</v>
      </c>
      <c r="D3" t="s">
        <v>75</v>
      </c>
      <c r="E3">
        <v>2019</v>
      </c>
      <c r="F3" t="s">
        <v>37</v>
      </c>
      <c r="G3" t="s">
        <v>31</v>
      </c>
      <c r="H3" t="s">
        <v>38</v>
      </c>
      <c r="I3">
        <v>258.358466197219</v>
      </c>
      <c r="J3">
        <v>6.7548315834043997</v>
      </c>
      <c r="K3">
        <v>0.68799451699811798</v>
      </c>
      <c r="L3">
        <v>0</v>
      </c>
      <c r="M3">
        <v>0.31419780012896498</v>
      </c>
      <c r="N3">
        <v>0</v>
      </c>
      <c r="O3">
        <v>1.0021923171270799</v>
      </c>
      <c r="P3">
        <v>1213.34522884286</v>
      </c>
      <c r="Q3">
        <v>0</v>
      </c>
      <c r="R3">
        <v>4.8533809153715399</v>
      </c>
      <c r="S3">
        <v>0</v>
      </c>
      <c r="T3">
        <v>0</v>
      </c>
      <c r="U3">
        <v>0</v>
      </c>
      <c r="V3">
        <v>8.25974581103227E-4</v>
      </c>
      <c r="W3">
        <v>0.59560727184681195</v>
      </c>
      <c r="X3">
        <v>4696.3633385121102</v>
      </c>
      <c r="Y3">
        <v>57.801860043317198</v>
      </c>
    </row>
    <row r="4" spans="1:25" x14ac:dyDescent="0.35">
      <c r="A4" t="s">
        <v>73</v>
      </c>
      <c r="B4" t="s">
        <v>77</v>
      </c>
      <c r="C4">
        <v>2020</v>
      </c>
      <c r="D4" t="s">
        <v>75</v>
      </c>
      <c r="E4">
        <v>2019</v>
      </c>
      <c r="F4" t="s">
        <v>37</v>
      </c>
      <c r="G4" t="s">
        <v>31</v>
      </c>
      <c r="H4" t="s">
        <v>38</v>
      </c>
      <c r="I4">
        <v>17.310017235213699</v>
      </c>
      <c r="J4">
        <v>977.44474322081203</v>
      </c>
      <c r="K4">
        <v>91.565830135690206</v>
      </c>
      <c r="L4">
        <v>19.543009458556199</v>
      </c>
      <c r="M4">
        <v>0</v>
      </c>
      <c r="N4">
        <v>0</v>
      </c>
      <c r="O4">
        <v>111.10883959424601</v>
      </c>
      <c r="P4">
        <v>81.294130332470104</v>
      </c>
      <c r="Q4">
        <v>0</v>
      </c>
      <c r="R4">
        <v>4186.6477121221196</v>
      </c>
      <c r="S4">
        <v>0</v>
      </c>
      <c r="T4">
        <v>0</v>
      </c>
      <c r="U4">
        <v>0</v>
      </c>
      <c r="V4">
        <v>1.36675106972474</v>
      </c>
      <c r="W4">
        <v>0.59560727184681295</v>
      </c>
      <c r="X4">
        <v>4696.3633385121202</v>
      </c>
      <c r="Y4">
        <v>57.801860043317198</v>
      </c>
    </row>
    <row r="5" spans="1:25" x14ac:dyDescent="0.35">
      <c r="A5" t="s">
        <v>73</v>
      </c>
      <c r="B5" t="s">
        <v>39</v>
      </c>
      <c r="C5">
        <v>2020</v>
      </c>
      <c r="D5" t="s">
        <v>75</v>
      </c>
      <c r="E5">
        <v>2019</v>
      </c>
      <c r="F5" t="s">
        <v>37</v>
      </c>
      <c r="G5" t="s">
        <v>31</v>
      </c>
      <c r="H5" t="s">
        <v>38</v>
      </c>
      <c r="I5">
        <v>13.6416676212275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81.269999999995505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0.75554632645643205</v>
      </c>
      <c r="X5">
        <v>5957.48278410896</v>
      </c>
      <c r="Y5">
        <v>57.801860043317198</v>
      </c>
    </row>
    <row r="6" spans="1:25" x14ac:dyDescent="0.35">
      <c r="A6" t="s">
        <v>73</v>
      </c>
      <c r="B6" t="s">
        <v>18</v>
      </c>
      <c r="C6">
        <v>2020</v>
      </c>
      <c r="D6" t="s">
        <v>75</v>
      </c>
      <c r="E6">
        <v>2019</v>
      </c>
      <c r="F6" t="s">
        <v>37</v>
      </c>
      <c r="G6" t="s">
        <v>31</v>
      </c>
      <c r="H6" t="s">
        <v>38</v>
      </c>
      <c r="I6">
        <v>134.32573374525799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630.842451379968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0.59560727184681295</v>
      </c>
      <c r="X6">
        <v>4696.3633385121202</v>
      </c>
      <c r="Y6">
        <v>57.801860043317198</v>
      </c>
    </row>
    <row r="7" spans="1:25" x14ac:dyDescent="0.35">
      <c r="A7" t="s">
        <v>73</v>
      </c>
      <c r="B7" t="s">
        <v>16</v>
      </c>
      <c r="C7">
        <v>2020</v>
      </c>
      <c r="D7" t="s">
        <v>75</v>
      </c>
      <c r="E7">
        <v>2019</v>
      </c>
      <c r="F7" t="s">
        <v>37</v>
      </c>
      <c r="G7" t="s">
        <v>31</v>
      </c>
      <c r="H7" t="s">
        <v>38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24</v>
      </c>
      <c r="X7" t="s">
        <v>24</v>
      </c>
      <c r="Y7">
        <v>57.801860043317198</v>
      </c>
    </row>
    <row r="8" spans="1:25" x14ac:dyDescent="0.35">
      <c r="A8" t="s">
        <v>73</v>
      </c>
      <c r="B8" t="s">
        <v>17</v>
      </c>
      <c r="C8">
        <v>2020</v>
      </c>
      <c r="D8" t="s">
        <v>75</v>
      </c>
      <c r="E8">
        <v>2019</v>
      </c>
      <c r="F8" t="s">
        <v>37</v>
      </c>
      <c r="G8" t="s">
        <v>31</v>
      </c>
      <c r="H8" t="s">
        <v>38</v>
      </c>
      <c r="I8">
        <v>122.38182185296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574.74950145057301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0.59560727184681295</v>
      </c>
      <c r="X8">
        <v>4696.3633385121202</v>
      </c>
      <c r="Y8">
        <v>57.801860043317198</v>
      </c>
    </row>
    <row r="9" spans="1:25" x14ac:dyDescent="0.35">
      <c r="A9" t="s">
        <v>73</v>
      </c>
      <c r="B9" t="s">
        <v>78</v>
      </c>
      <c r="C9">
        <v>2020</v>
      </c>
      <c r="D9" t="s">
        <v>75</v>
      </c>
      <c r="E9">
        <v>2019</v>
      </c>
      <c r="F9" t="s">
        <v>37</v>
      </c>
      <c r="G9" t="s">
        <v>31</v>
      </c>
      <c r="H9" t="s">
        <v>38</v>
      </c>
      <c r="I9">
        <v>11.235523997455401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8.9310793741063605</v>
      </c>
      <c r="Q9">
        <v>0</v>
      </c>
      <c r="R9">
        <v>8.3952146116601707</v>
      </c>
      <c r="S9">
        <v>0</v>
      </c>
      <c r="T9">
        <v>0</v>
      </c>
      <c r="U9">
        <v>0</v>
      </c>
      <c r="V9">
        <v>0</v>
      </c>
      <c r="W9">
        <v>0.10081123143781</v>
      </c>
      <c r="X9">
        <v>794.89655988713605</v>
      </c>
      <c r="Y9">
        <v>57.801860043317198</v>
      </c>
    </row>
    <row r="10" spans="1:25" x14ac:dyDescent="0.35">
      <c r="A10" t="s">
        <v>73</v>
      </c>
      <c r="B10" t="s">
        <v>79</v>
      </c>
      <c r="C10">
        <v>2020</v>
      </c>
      <c r="D10" t="s">
        <v>75</v>
      </c>
      <c r="E10">
        <v>2019</v>
      </c>
      <c r="F10" t="s">
        <v>37</v>
      </c>
      <c r="G10" t="s">
        <v>31</v>
      </c>
      <c r="H10" t="s">
        <v>38</v>
      </c>
      <c r="I10">
        <v>13.6416676212275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8.9069490416389598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8.2805618658114699E-2</v>
      </c>
      <c r="X10">
        <v>652.92230311923402</v>
      </c>
      <c r="Y10">
        <v>57.801860043317198</v>
      </c>
    </row>
    <row r="11" spans="1:25" x14ac:dyDescent="0.35">
      <c r="A11" t="s">
        <v>73</v>
      </c>
      <c r="B11" t="s">
        <v>60</v>
      </c>
      <c r="C11">
        <v>2020</v>
      </c>
      <c r="D11" t="s">
        <v>75</v>
      </c>
      <c r="E11">
        <v>2019</v>
      </c>
      <c r="F11" t="s">
        <v>37</v>
      </c>
      <c r="G11" t="s">
        <v>31</v>
      </c>
      <c r="H11" t="s">
        <v>38</v>
      </c>
      <c r="I11">
        <v>268.11480519402699</v>
      </c>
      <c r="J11">
        <v>123.53535090643599</v>
      </c>
      <c r="K11">
        <v>10.0981326670902</v>
      </c>
      <c r="L11">
        <v>0.26588301943380499</v>
      </c>
      <c r="M11">
        <v>0</v>
      </c>
      <c r="N11">
        <v>0</v>
      </c>
      <c r="O11">
        <v>10.364015686524001</v>
      </c>
      <c r="P11">
        <v>885.96039656133405</v>
      </c>
      <c r="Q11">
        <v>0</v>
      </c>
      <c r="R11">
        <v>0</v>
      </c>
      <c r="S11">
        <v>0</v>
      </c>
      <c r="T11">
        <v>0</v>
      </c>
      <c r="U11">
        <v>0</v>
      </c>
      <c r="V11">
        <v>1.16980575280224E-2</v>
      </c>
      <c r="W11">
        <v>0.41907505914913401</v>
      </c>
      <c r="X11">
        <v>3304.4068413909199</v>
      </c>
      <c r="Y11">
        <v>57.801860043317198</v>
      </c>
    </row>
    <row r="12" spans="1:25" x14ac:dyDescent="0.35">
      <c r="A12" t="s">
        <v>73</v>
      </c>
      <c r="B12" t="s">
        <v>25</v>
      </c>
      <c r="C12">
        <v>2020</v>
      </c>
      <c r="D12" t="s">
        <v>75</v>
      </c>
      <c r="E12">
        <v>2019</v>
      </c>
      <c r="F12" t="s">
        <v>37</v>
      </c>
      <c r="G12" t="s">
        <v>31</v>
      </c>
      <c r="H12" t="s">
        <v>38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24</v>
      </c>
      <c r="X12" t="s">
        <v>24</v>
      </c>
      <c r="Y12">
        <v>57.801860043317198</v>
      </c>
    </row>
    <row r="13" spans="1:25" x14ac:dyDescent="0.35">
      <c r="A13" t="s">
        <v>73</v>
      </c>
      <c r="B13" t="s">
        <v>26</v>
      </c>
      <c r="C13">
        <v>2020</v>
      </c>
      <c r="D13" t="s">
        <v>75</v>
      </c>
      <c r="E13">
        <v>2019</v>
      </c>
      <c r="F13" t="s">
        <v>37</v>
      </c>
      <c r="G13" t="s">
        <v>31</v>
      </c>
      <c r="H13" t="s">
        <v>38</v>
      </c>
      <c r="I13">
        <v>979.95852217673996</v>
      </c>
      <c r="J13">
        <v>633.57238735122303</v>
      </c>
      <c r="K13">
        <v>54.362579170238497</v>
      </c>
      <c r="L13">
        <v>10.9342331365453</v>
      </c>
      <c r="M13">
        <v>0</v>
      </c>
      <c r="N13">
        <v>0</v>
      </c>
      <c r="O13">
        <v>65.296812306783806</v>
      </c>
      <c r="P13">
        <v>1071.11622382666</v>
      </c>
      <c r="Q13">
        <v>0</v>
      </c>
      <c r="R13">
        <v>0</v>
      </c>
      <c r="S13">
        <v>0</v>
      </c>
      <c r="T13">
        <v>0</v>
      </c>
      <c r="U13">
        <v>0</v>
      </c>
      <c r="V13">
        <v>6.0961463242060199E-2</v>
      </c>
      <c r="W13">
        <v>0.13862041851616899</v>
      </c>
      <c r="X13">
        <v>1093.0219999999999</v>
      </c>
      <c r="Y13">
        <v>57.801860043317198</v>
      </c>
    </row>
    <row r="14" spans="1:25" x14ac:dyDescent="0.35">
      <c r="A14" t="s">
        <v>73</v>
      </c>
      <c r="B14" t="s">
        <v>48</v>
      </c>
      <c r="C14">
        <v>2020</v>
      </c>
      <c r="D14" t="s">
        <v>75</v>
      </c>
      <c r="E14">
        <v>2019</v>
      </c>
      <c r="F14" t="s">
        <v>37</v>
      </c>
      <c r="G14" t="s">
        <v>31</v>
      </c>
      <c r="H14" t="s">
        <v>38</v>
      </c>
      <c r="I14">
        <v>545.55612411787604</v>
      </c>
      <c r="J14">
        <v>959.45905508477597</v>
      </c>
      <c r="K14">
        <v>87.7407039766114</v>
      </c>
      <c r="L14">
        <v>7.9646065893643199</v>
      </c>
      <c r="M14">
        <v>2.8017050301531499</v>
      </c>
      <c r="N14">
        <v>0</v>
      </c>
      <c r="O14">
        <v>98.507015596128895</v>
      </c>
      <c r="P14">
        <v>1791.1596327500399</v>
      </c>
      <c r="Q14">
        <v>0</v>
      </c>
      <c r="R14">
        <v>0</v>
      </c>
      <c r="S14">
        <v>0</v>
      </c>
      <c r="T14">
        <v>0</v>
      </c>
      <c r="U14">
        <v>0</v>
      </c>
      <c r="V14">
        <v>5.49962235609825E-2</v>
      </c>
      <c r="W14">
        <v>0.41638316312553297</v>
      </c>
      <c r="X14">
        <v>3283.1812412448198</v>
      </c>
      <c r="Y14">
        <v>57.801860043317198</v>
      </c>
    </row>
    <row r="15" spans="1:25" x14ac:dyDescent="0.35">
      <c r="A15" t="s">
        <v>73</v>
      </c>
      <c r="B15" t="s">
        <v>49</v>
      </c>
      <c r="C15">
        <v>2020</v>
      </c>
      <c r="D15" t="s">
        <v>75</v>
      </c>
      <c r="E15">
        <v>2019</v>
      </c>
      <c r="F15" t="s">
        <v>37</v>
      </c>
      <c r="G15" t="s">
        <v>31</v>
      </c>
      <c r="H15" t="s">
        <v>38</v>
      </c>
      <c r="I15">
        <v>491.25514969827702</v>
      </c>
      <c r="J15">
        <v>1075.2560389811799</v>
      </c>
      <c r="K15">
        <v>98.330117700515999</v>
      </c>
      <c r="L15">
        <v>7.1718634057541299</v>
      </c>
      <c r="M15">
        <v>2.88877029778536</v>
      </c>
      <c r="N15">
        <v>0</v>
      </c>
      <c r="O15">
        <v>108.390751404055</v>
      </c>
      <c r="P15">
        <v>1846.8213784081599</v>
      </c>
      <c r="Q15">
        <v>0</v>
      </c>
      <c r="R15">
        <v>0</v>
      </c>
      <c r="S15">
        <v>0</v>
      </c>
      <c r="T15">
        <v>0</v>
      </c>
      <c r="U15">
        <v>0</v>
      </c>
      <c r="V15">
        <v>5.8690435724477498E-2</v>
      </c>
      <c r="W15">
        <v>0.47677785950812102</v>
      </c>
      <c r="X15">
        <v>3759.3934222215298</v>
      </c>
      <c r="Y15">
        <v>57.801860043317198</v>
      </c>
    </row>
    <row r="16" spans="1:25" x14ac:dyDescent="0.35">
      <c r="A16" t="s">
        <v>73</v>
      </c>
      <c r="B16" t="s">
        <v>50</v>
      </c>
      <c r="C16">
        <v>2020</v>
      </c>
      <c r="D16" t="s">
        <v>75</v>
      </c>
      <c r="E16">
        <v>2019</v>
      </c>
      <c r="F16" t="s">
        <v>37</v>
      </c>
      <c r="G16" t="s">
        <v>31</v>
      </c>
      <c r="H16" t="s">
        <v>38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24</v>
      </c>
      <c r="X16" t="s">
        <v>24</v>
      </c>
      <c r="Y16">
        <v>57.801860043317198</v>
      </c>
    </row>
    <row r="17" spans="1:25" x14ac:dyDescent="0.35">
      <c r="A17" t="s">
        <v>73</v>
      </c>
      <c r="B17" t="s">
        <v>51</v>
      </c>
      <c r="C17">
        <v>2020</v>
      </c>
      <c r="D17" t="s">
        <v>75</v>
      </c>
      <c r="E17">
        <v>2019</v>
      </c>
      <c r="F17" t="s">
        <v>37</v>
      </c>
      <c r="G17" t="s">
        <v>31</v>
      </c>
      <c r="H17" t="s">
        <v>38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24</v>
      </c>
      <c r="X17" t="s">
        <v>24</v>
      </c>
      <c r="Y17">
        <v>57.801860043317198</v>
      </c>
    </row>
    <row r="18" spans="1:25" x14ac:dyDescent="0.35">
      <c r="A18" t="s">
        <v>73</v>
      </c>
      <c r="B18" t="s">
        <v>52</v>
      </c>
      <c r="C18">
        <v>2020</v>
      </c>
      <c r="D18" t="s">
        <v>75</v>
      </c>
      <c r="E18">
        <v>2019</v>
      </c>
      <c r="F18" t="s">
        <v>37</v>
      </c>
      <c r="G18" t="s">
        <v>31</v>
      </c>
      <c r="H18" t="s">
        <v>38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24</v>
      </c>
      <c r="X18" t="s">
        <v>24</v>
      </c>
      <c r="Y18">
        <v>57.801860043317198</v>
      </c>
    </row>
    <row r="19" spans="1:25" x14ac:dyDescent="0.35">
      <c r="A19" t="s">
        <v>73</v>
      </c>
      <c r="B19" t="s">
        <v>53</v>
      </c>
      <c r="C19">
        <v>2020</v>
      </c>
      <c r="D19" t="s">
        <v>75</v>
      </c>
      <c r="E19">
        <v>2019</v>
      </c>
      <c r="F19" t="s">
        <v>37</v>
      </c>
      <c r="G19" t="s">
        <v>31</v>
      </c>
      <c r="H19" t="s">
        <v>38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24</v>
      </c>
      <c r="X19" t="s">
        <v>24</v>
      </c>
      <c r="Y19">
        <v>57.801860043317198</v>
      </c>
    </row>
    <row r="20" spans="1:25" x14ac:dyDescent="0.35">
      <c r="A20" t="s">
        <v>73</v>
      </c>
      <c r="B20" t="s">
        <v>54</v>
      </c>
      <c r="C20">
        <v>2020</v>
      </c>
      <c r="D20" t="s">
        <v>75</v>
      </c>
      <c r="E20">
        <v>2019</v>
      </c>
      <c r="F20" t="s">
        <v>37</v>
      </c>
      <c r="G20" t="s">
        <v>31</v>
      </c>
      <c r="H20" t="s">
        <v>38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24</v>
      </c>
      <c r="X20" t="s">
        <v>24</v>
      </c>
      <c r="Y20">
        <v>57.801860043317198</v>
      </c>
    </row>
    <row r="21" spans="1:25" x14ac:dyDescent="0.35">
      <c r="A21" t="s">
        <v>73</v>
      </c>
      <c r="B21" t="s">
        <v>55</v>
      </c>
      <c r="C21">
        <v>2020</v>
      </c>
      <c r="D21" t="s">
        <v>75</v>
      </c>
      <c r="E21">
        <v>2019</v>
      </c>
      <c r="F21" t="s">
        <v>37</v>
      </c>
      <c r="G21" t="s">
        <v>31</v>
      </c>
      <c r="H21" t="s">
        <v>38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24</v>
      </c>
      <c r="X21" t="s">
        <v>24</v>
      </c>
      <c r="Y21">
        <v>57.801860043317198</v>
      </c>
    </row>
    <row r="22" spans="1:25" x14ac:dyDescent="0.35">
      <c r="A22" t="s">
        <v>73</v>
      </c>
      <c r="B22" t="s">
        <v>56</v>
      </c>
      <c r="C22">
        <v>2020</v>
      </c>
      <c r="D22" t="s">
        <v>75</v>
      </c>
      <c r="E22">
        <v>2019</v>
      </c>
      <c r="F22" t="s">
        <v>37</v>
      </c>
      <c r="G22" t="s">
        <v>31</v>
      </c>
      <c r="H22" t="s">
        <v>38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24</v>
      </c>
      <c r="X22" t="s">
        <v>24</v>
      </c>
      <c r="Y22">
        <v>57.801860043317198</v>
      </c>
    </row>
    <row r="23" spans="1:25" x14ac:dyDescent="0.35">
      <c r="A23" t="s">
        <v>73</v>
      </c>
      <c r="B23" t="s">
        <v>57</v>
      </c>
      <c r="C23">
        <v>2020</v>
      </c>
      <c r="D23" t="s">
        <v>75</v>
      </c>
      <c r="E23">
        <v>2019</v>
      </c>
      <c r="F23" t="s">
        <v>37</v>
      </c>
      <c r="G23" t="s">
        <v>31</v>
      </c>
      <c r="H23" t="s">
        <v>38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24</v>
      </c>
      <c r="X23" t="s">
        <v>24</v>
      </c>
      <c r="Y23">
        <v>57.801860043317198</v>
      </c>
    </row>
    <row r="24" spans="1:25" x14ac:dyDescent="0.35">
      <c r="A24" t="s">
        <v>73</v>
      </c>
      <c r="B24" t="s">
        <v>58</v>
      </c>
      <c r="C24">
        <v>2020</v>
      </c>
      <c r="D24" t="s">
        <v>75</v>
      </c>
      <c r="E24">
        <v>2019</v>
      </c>
      <c r="F24" t="s">
        <v>37</v>
      </c>
      <c r="G24" t="s">
        <v>31</v>
      </c>
      <c r="H24" t="s">
        <v>38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24</v>
      </c>
      <c r="X24" t="s">
        <v>24</v>
      </c>
      <c r="Y24">
        <v>57.801860043317198</v>
      </c>
    </row>
    <row r="25" spans="1:25" x14ac:dyDescent="0.35">
      <c r="A25" t="s">
        <v>73</v>
      </c>
      <c r="B25" t="s">
        <v>59</v>
      </c>
      <c r="C25">
        <v>2020</v>
      </c>
      <c r="D25" t="s">
        <v>75</v>
      </c>
      <c r="E25">
        <v>2019</v>
      </c>
      <c r="F25" t="s">
        <v>37</v>
      </c>
      <c r="G25" t="s">
        <v>31</v>
      </c>
      <c r="H25" t="s">
        <v>38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24</v>
      </c>
      <c r="X25" t="s">
        <v>24</v>
      </c>
      <c r="Y25">
        <v>57.801860043317198</v>
      </c>
    </row>
    <row r="26" spans="1:25" x14ac:dyDescent="0.35">
      <c r="A26" t="s">
        <v>73</v>
      </c>
      <c r="B26" t="s">
        <v>19</v>
      </c>
      <c r="C26">
        <v>2020</v>
      </c>
      <c r="D26" t="s">
        <v>75</v>
      </c>
      <c r="E26">
        <v>2019</v>
      </c>
      <c r="F26" t="s">
        <v>37</v>
      </c>
      <c r="G26" t="s">
        <v>31</v>
      </c>
      <c r="H26" t="s">
        <v>38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24</v>
      </c>
      <c r="X26" t="s">
        <v>24</v>
      </c>
      <c r="Y26">
        <v>57.801860043317198</v>
      </c>
    </row>
    <row r="27" spans="1:25" x14ac:dyDescent="0.35">
      <c r="A27" t="s">
        <v>73</v>
      </c>
      <c r="B27" t="s">
        <v>63</v>
      </c>
      <c r="C27">
        <v>2020</v>
      </c>
      <c r="D27" t="s">
        <v>75</v>
      </c>
      <c r="E27">
        <v>2019</v>
      </c>
      <c r="F27" t="s">
        <v>37</v>
      </c>
      <c r="G27" t="s">
        <v>31</v>
      </c>
      <c r="H27" t="s">
        <v>38</v>
      </c>
      <c r="I27">
        <v>926.27516509031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344.782550990581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4.7206691181808702E-2</v>
      </c>
      <c r="X27">
        <v>372.22475996856099</v>
      </c>
      <c r="Y27">
        <v>57.801860043317198</v>
      </c>
    </row>
    <row r="28" spans="1:25" x14ac:dyDescent="0.35">
      <c r="A28" t="s">
        <v>73</v>
      </c>
      <c r="B28" t="s">
        <v>20</v>
      </c>
      <c r="C28">
        <v>2020</v>
      </c>
      <c r="D28" t="s">
        <v>75</v>
      </c>
      <c r="E28">
        <v>2019</v>
      </c>
      <c r="F28" t="s">
        <v>37</v>
      </c>
      <c r="G28" t="s">
        <v>31</v>
      </c>
      <c r="H28" t="s">
        <v>38</v>
      </c>
      <c r="I28">
        <v>103.450793212232</v>
      </c>
      <c r="J28">
        <v>0</v>
      </c>
      <c r="K28">
        <v>0</v>
      </c>
      <c r="L28">
        <v>0</v>
      </c>
      <c r="M28">
        <v>2.3143465618411602E-2</v>
      </c>
      <c r="N28">
        <v>0</v>
      </c>
      <c r="O28">
        <v>2.3143465618411602E-2</v>
      </c>
      <c r="P28">
        <v>11.0968966035403</v>
      </c>
      <c r="Q28">
        <v>0</v>
      </c>
      <c r="R28">
        <v>0.44387586414161301</v>
      </c>
      <c r="S28">
        <v>0</v>
      </c>
      <c r="T28">
        <v>0</v>
      </c>
      <c r="U28">
        <v>0</v>
      </c>
      <c r="V28">
        <v>2.0855799999999901E-3</v>
      </c>
      <c r="W28">
        <v>1.36039810037955E-2</v>
      </c>
      <c r="X28">
        <v>107.267390214927</v>
      </c>
      <c r="Y28">
        <v>57.801860043317198</v>
      </c>
    </row>
    <row r="29" spans="1:25" x14ac:dyDescent="0.35">
      <c r="A29" t="s">
        <v>73</v>
      </c>
      <c r="B29" t="s">
        <v>21</v>
      </c>
      <c r="C29">
        <v>2020</v>
      </c>
      <c r="D29" t="s">
        <v>75</v>
      </c>
      <c r="E29">
        <v>2019</v>
      </c>
      <c r="F29" t="s">
        <v>37</v>
      </c>
      <c r="G29" t="s">
        <v>31</v>
      </c>
      <c r="H29" t="s">
        <v>38</v>
      </c>
      <c r="I29">
        <v>82.760634569786006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11.076206444897901</v>
      </c>
      <c r="Q29">
        <v>0</v>
      </c>
      <c r="R29">
        <v>0.55381032224489402</v>
      </c>
      <c r="S29">
        <v>0</v>
      </c>
      <c r="T29">
        <v>0</v>
      </c>
      <c r="U29">
        <v>0</v>
      </c>
      <c r="V29">
        <v>0</v>
      </c>
      <c r="W29">
        <v>1.69732704842941E-2</v>
      </c>
      <c r="X29">
        <v>133.83423776865899</v>
      </c>
      <c r="Y29">
        <v>57.801860043317198</v>
      </c>
    </row>
    <row r="30" spans="1:25" x14ac:dyDescent="0.35">
      <c r="A30" t="s">
        <v>73</v>
      </c>
      <c r="B30" t="s">
        <v>4</v>
      </c>
      <c r="C30">
        <v>2020</v>
      </c>
      <c r="D30" t="s">
        <v>75</v>
      </c>
      <c r="E30">
        <v>2019</v>
      </c>
      <c r="F30" t="s">
        <v>37</v>
      </c>
      <c r="G30" t="s">
        <v>31</v>
      </c>
      <c r="H30" t="s">
        <v>38</v>
      </c>
      <c r="I30">
        <v>103.450793212232</v>
      </c>
      <c r="J30">
        <v>37.431573028280901</v>
      </c>
      <c r="K30">
        <v>3.8124883926555002</v>
      </c>
      <c r="L30">
        <v>0.52512657142461305</v>
      </c>
      <c r="M30">
        <v>0</v>
      </c>
      <c r="N30">
        <v>0</v>
      </c>
      <c r="O30">
        <v>4.3376149640801103</v>
      </c>
      <c r="P30">
        <v>280.98215279312598</v>
      </c>
      <c r="Q30">
        <v>0</v>
      </c>
      <c r="R30">
        <v>0</v>
      </c>
      <c r="S30">
        <v>0</v>
      </c>
      <c r="T30">
        <v>0</v>
      </c>
      <c r="U30">
        <v>0</v>
      </c>
      <c r="V30">
        <v>1.5437332659607301E-2</v>
      </c>
      <c r="W30">
        <v>0.344463502325839</v>
      </c>
      <c r="X30">
        <v>2716.0947158392401</v>
      </c>
      <c r="Y30">
        <v>57.801860043317198</v>
      </c>
    </row>
  </sheetData>
  <pageMargins left="0.7" right="0.7" top="0.75" bottom="0.75" header="0.3" footer="0.3"/>
  <pageSetup paperSize="9"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8"/>
  <sheetViews>
    <sheetView workbookViewId="0">
      <selection activeCell="A10" sqref="A10"/>
    </sheetView>
  </sheetViews>
  <sheetFormatPr defaultRowHeight="14.5" x14ac:dyDescent="0.35"/>
  <cols>
    <col min="1" max="1" width="28.81640625" customWidth="1"/>
    <col min="2" max="2" width="15.26953125" customWidth="1"/>
    <col min="3" max="5" width="16.26953125" customWidth="1"/>
    <col min="6" max="6" width="16.26953125" bestFit="1" customWidth="1"/>
    <col min="7" max="7" width="12.1796875" customWidth="1"/>
    <col min="8" max="9" width="25.90625" customWidth="1"/>
    <col min="10" max="15" width="15.7265625" customWidth="1"/>
    <col min="16" max="16" width="9.54296875" customWidth="1"/>
    <col min="17" max="17" width="11.81640625" customWidth="1"/>
    <col min="18" max="18" width="5.1796875" customWidth="1"/>
    <col min="19" max="19" width="7.7265625" customWidth="1"/>
    <col min="20" max="20" width="5.1796875" customWidth="1"/>
    <col min="21" max="21" width="11.6328125" customWidth="1"/>
    <col min="22" max="22" width="5.1796875" customWidth="1"/>
    <col min="23" max="23" width="27.7265625" customWidth="1"/>
    <col min="24" max="24" width="5.1796875" customWidth="1"/>
    <col min="25" max="25" width="7.7265625" customWidth="1"/>
    <col min="26" max="26" width="5.1796875" customWidth="1"/>
    <col min="27" max="27" width="11.6328125" customWidth="1"/>
    <col min="28" max="28" width="5.1796875" customWidth="1"/>
    <col min="29" max="29" width="11.81640625" customWidth="1"/>
    <col min="30" max="30" width="5.1796875" customWidth="1"/>
    <col min="31" max="31" width="7.7265625" customWidth="1"/>
    <col min="32" max="32" width="5.1796875" customWidth="1"/>
    <col min="33" max="33" width="11.6328125" bestFit="1" customWidth="1"/>
    <col min="34" max="34" width="5.1796875" customWidth="1"/>
    <col min="35" max="35" width="27.7265625" bestFit="1" customWidth="1"/>
    <col min="36" max="36" width="5.1796875" customWidth="1"/>
    <col min="37" max="37" width="7.7265625" customWidth="1"/>
    <col min="38" max="38" width="5.1796875" customWidth="1"/>
    <col min="39" max="39" width="11.6328125" bestFit="1" customWidth="1"/>
    <col min="40" max="40" width="5.1796875" customWidth="1"/>
    <col min="41" max="41" width="7.81640625" customWidth="1"/>
    <col min="42" max="42" width="5.1796875" customWidth="1"/>
    <col min="43" max="43" width="7.7265625" customWidth="1"/>
    <col min="44" max="44" width="5.1796875" customWidth="1"/>
    <col min="45" max="45" width="11.6328125" bestFit="1" customWidth="1"/>
    <col min="46" max="46" width="5.1796875" customWidth="1"/>
    <col min="47" max="47" width="27.7265625" bestFit="1" customWidth="1"/>
    <col min="48" max="48" width="5.1796875" customWidth="1"/>
    <col min="49" max="49" width="7.7265625" customWidth="1"/>
    <col min="50" max="50" width="5.1796875" customWidth="1"/>
    <col min="51" max="51" width="11.6328125" bestFit="1" customWidth="1"/>
    <col min="52" max="52" width="5.1796875" customWidth="1"/>
    <col min="53" max="53" width="7.81640625" customWidth="1"/>
    <col min="54" max="54" width="5.1796875" customWidth="1"/>
    <col min="55" max="55" width="7.7265625" customWidth="1"/>
    <col min="56" max="56" width="5.1796875" customWidth="1"/>
    <col min="57" max="57" width="11.6328125" bestFit="1" customWidth="1"/>
    <col min="58" max="58" width="5.1796875" customWidth="1"/>
    <col min="59" max="59" width="11.81640625" bestFit="1" customWidth="1"/>
  </cols>
  <sheetData>
    <row r="3" spans="1:17" x14ac:dyDescent="0.35">
      <c r="A3" s="3" t="s">
        <v>32</v>
      </c>
      <c r="B3" s="3" t="s">
        <v>3</v>
      </c>
    </row>
    <row r="4" spans="1:17" x14ac:dyDescent="0.35">
      <c r="A4" s="3" t="s">
        <v>1</v>
      </c>
      <c r="B4" t="s">
        <v>40</v>
      </c>
      <c r="C4" t="s">
        <v>56</v>
      </c>
      <c r="D4" t="s">
        <v>57</v>
      </c>
      <c r="E4" t="s">
        <v>58</v>
      </c>
      <c r="F4" t="s">
        <v>59</v>
      </c>
      <c r="G4" t="s">
        <v>26</v>
      </c>
      <c r="H4" t="s">
        <v>61</v>
      </c>
      <c r="I4" t="s">
        <v>62</v>
      </c>
      <c r="J4" t="s">
        <v>50</v>
      </c>
      <c r="K4" t="s">
        <v>51</v>
      </c>
      <c r="L4" t="s">
        <v>52</v>
      </c>
      <c r="M4" t="s">
        <v>53</v>
      </c>
      <c r="N4" t="s">
        <v>54</v>
      </c>
      <c r="O4" t="s">
        <v>55</v>
      </c>
      <c r="P4" t="s">
        <v>25</v>
      </c>
      <c r="Q4" t="s">
        <v>2</v>
      </c>
    </row>
    <row r="5" spans="1:17" x14ac:dyDescent="0.35">
      <c r="A5" s="4" t="s">
        <v>73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5">
      <c r="A6" s="6" t="s">
        <v>75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35">
      <c r="A7" s="11" t="s">
        <v>31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1071.11622382666</v>
      </c>
      <c r="H7" s="7">
        <v>1791.1596327500399</v>
      </c>
      <c r="I7" s="7">
        <v>1846.8213784081599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4709.0972349848598</v>
      </c>
    </row>
    <row r="8" spans="1:17" x14ac:dyDescent="0.35">
      <c r="A8" s="4" t="s">
        <v>2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1071.11622382666</v>
      </c>
      <c r="H8" s="5">
        <v>1791.1596327500399</v>
      </c>
      <c r="I8" s="5">
        <v>1846.8213784081599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4709.0972349848598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AE9"/>
  <sheetViews>
    <sheetView workbookViewId="0">
      <selection activeCell="C11" sqref="C11"/>
    </sheetView>
  </sheetViews>
  <sheetFormatPr defaultRowHeight="14.5" x14ac:dyDescent="0.35"/>
  <cols>
    <col min="1" max="1" width="32.54296875" customWidth="1"/>
    <col min="2" max="2" width="15.26953125" customWidth="1"/>
    <col min="3" max="3" width="14.7265625" customWidth="1"/>
    <col min="4" max="4" width="17.08984375" bestFit="1" customWidth="1"/>
    <col min="5" max="5" width="20.54296875" bestFit="1" customWidth="1"/>
    <col min="6" max="6" width="22.6328125" customWidth="1"/>
    <col min="7" max="7" width="24.453125" customWidth="1"/>
    <col min="8" max="8" width="16.26953125" bestFit="1" customWidth="1"/>
    <col min="9" max="11" width="16.26953125" customWidth="1"/>
    <col min="12" max="19" width="15.7265625" customWidth="1"/>
    <col min="20" max="20" width="12.7265625" customWidth="1"/>
    <col min="21" max="21" width="9.54296875" customWidth="1"/>
    <col min="22" max="22" width="12.1796875" customWidth="1"/>
    <col min="23" max="23" width="21.54296875" customWidth="1"/>
    <col min="24" max="24" width="22.6328125" customWidth="1"/>
    <col min="25" max="25" width="29.26953125" customWidth="1"/>
    <col min="26" max="26" width="15.1796875" customWidth="1"/>
    <col min="27" max="27" width="20.26953125" customWidth="1"/>
    <col min="28" max="28" width="14.6328125" customWidth="1"/>
    <col min="29" max="29" width="22.1796875" customWidth="1"/>
    <col min="30" max="30" width="10.81640625" customWidth="1"/>
    <col min="31" max="31" width="11.81640625" customWidth="1"/>
    <col min="32" max="32" width="20.54296875" customWidth="1"/>
    <col min="33" max="35" width="11.81640625" customWidth="1"/>
    <col min="36" max="36" width="21.26953125" customWidth="1"/>
    <col min="37" max="37" width="24.26953125" customWidth="1"/>
    <col min="38" max="38" width="20.26953125" customWidth="1"/>
    <col min="39" max="39" width="10.81640625" customWidth="1"/>
    <col min="40" max="40" width="23.26953125" customWidth="1"/>
    <col min="41" max="41" width="22.36328125" customWidth="1"/>
    <col min="42" max="42" width="25.453125" customWidth="1"/>
    <col min="43" max="43" width="11.81640625" customWidth="1"/>
    <col min="44" max="44" width="16.54296875" customWidth="1"/>
    <col min="45" max="45" width="11.81640625" customWidth="1"/>
    <col min="46" max="46" width="19.54296875" customWidth="1"/>
    <col min="47" max="47" width="18" customWidth="1"/>
    <col min="48" max="48" width="11.81640625" customWidth="1"/>
    <col min="49" max="49" width="21.08984375" customWidth="1"/>
    <col min="50" max="50" width="18.90625" customWidth="1"/>
    <col min="51" max="51" width="11.81640625" customWidth="1"/>
    <col min="52" max="52" width="21.90625" customWidth="1"/>
    <col min="53" max="53" width="16.1796875" customWidth="1"/>
    <col min="54" max="54" width="19.1796875" customWidth="1"/>
    <col min="55" max="55" width="17.26953125" customWidth="1"/>
    <col min="56" max="56" width="20.26953125" customWidth="1"/>
    <col min="57" max="57" width="21.26953125" customWidth="1"/>
    <col min="58" max="58" width="24.26953125" customWidth="1"/>
    <col min="59" max="59" width="20.26953125" customWidth="1"/>
    <col min="60" max="60" width="11.81640625" customWidth="1"/>
    <col min="61" max="61" width="23.26953125" customWidth="1"/>
    <col min="62" max="62" width="22.36328125" customWidth="1"/>
    <col min="63" max="63" width="25.453125" customWidth="1"/>
    <col min="64" max="64" width="11.81640625" customWidth="1"/>
    <col min="65" max="65" width="17.26953125" customWidth="1"/>
    <col min="66" max="66" width="18" customWidth="1"/>
    <col min="67" max="67" width="11.81640625" customWidth="1"/>
    <col min="68" max="68" width="21.08984375" customWidth="1"/>
    <col min="69" max="69" width="16.1796875" customWidth="1"/>
    <col min="70" max="70" width="19.1796875" customWidth="1"/>
    <col min="71" max="71" width="17.26953125" customWidth="1"/>
    <col min="72" max="72" width="20.26953125" customWidth="1"/>
    <col min="73" max="73" width="21.26953125" customWidth="1"/>
    <col min="74" max="74" width="24.26953125" bestFit="1" customWidth="1"/>
    <col min="75" max="75" width="20.26953125" bestFit="1" customWidth="1"/>
    <col min="76" max="76" width="12.453125" bestFit="1" customWidth="1"/>
    <col min="77" max="77" width="23.26953125" bestFit="1" customWidth="1"/>
    <col min="78" max="78" width="22.36328125" bestFit="1" customWidth="1"/>
    <col min="79" max="79" width="25.453125" bestFit="1" customWidth="1"/>
    <col min="80" max="80" width="11.81640625" bestFit="1" customWidth="1"/>
    <col min="81" max="81" width="16.54296875" bestFit="1" customWidth="1"/>
    <col min="82" max="82" width="12.453125" bestFit="1" customWidth="1"/>
    <col min="83" max="83" width="19.54296875" bestFit="1" customWidth="1"/>
    <col min="84" max="84" width="18" bestFit="1" customWidth="1"/>
    <col min="85" max="85" width="11.81640625" bestFit="1" customWidth="1"/>
    <col min="86" max="86" width="21.08984375" bestFit="1" customWidth="1"/>
    <col min="87" max="87" width="18.90625" bestFit="1" customWidth="1"/>
    <col min="88" max="88" width="12.453125" bestFit="1" customWidth="1"/>
    <col min="89" max="89" width="21.90625" bestFit="1" customWidth="1"/>
    <col min="90" max="90" width="16.1796875" bestFit="1" customWidth="1"/>
    <col min="91" max="91" width="19.1796875" bestFit="1" customWidth="1"/>
    <col min="92" max="92" width="17.26953125" bestFit="1" customWidth="1"/>
    <col min="93" max="93" width="20.26953125" bestFit="1" customWidth="1"/>
    <col min="94" max="94" width="21.26953125" bestFit="1" customWidth="1"/>
    <col min="95" max="95" width="24.26953125" bestFit="1" customWidth="1"/>
    <col min="96" max="96" width="20.26953125" bestFit="1" customWidth="1"/>
    <col min="97" max="97" width="11.81640625" bestFit="1" customWidth="1"/>
    <col min="98" max="98" width="23.26953125" bestFit="1" customWidth="1"/>
    <col min="99" max="99" width="22.36328125" bestFit="1" customWidth="1"/>
    <col min="100" max="100" width="25.453125" bestFit="1" customWidth="1"/>
    <col min="101" max="101" width="11.81640625" bestFit="1" customWidth="1"/>
    <col min="102" max="102" width="16.54296875" bestFit="1" customWidth="1"/>
    <col min="103" max="103" width="11.81640625" bestFit="1" customWidth="1"/>
    <col min="104" max="104" width="19.54296875" bestFit="1" customWidth="1"/>
    <col min="105" max="105" width="18" bestFit="1" customWidth="1"/>
    <col min="106" max="106" width="11.81640625" bestFit="1" customWidth="1"/>
    <col min="107" max="107" width="21.08984375" bestFit="1" customWidth="1"/>
    <col min="108" max="108" width="18.90625" bestFit="1" customWidth="1"/>
    <col min="109" max="109" width="10.81640625" bestFit="1" customWidth="1"/>
    <col min="110" max="110" width="21.90625" bestFit="1" customWidth="1"/>
    <col min="111" max="111" width="16.1796875" bestFit="1" customWidth="1"/>
    <col min="112" max="112" width="19.1796875" bestFit="1" customWidth="1"/>
    <col min="113" max="113" width="17.26953125" bestFit="1" customWidth="1"/>
    <col min="114" max="114" width="20.26953125" bestFit="1" customWidth="1"/>
    <col min="115" max="115" width="21.26953125" bestFit="1" customWidth="1"/>
    <col min="116" max="116" width="24.26953125" bestFit="1" customWidth="1"/>
    <col min="117" max="117" width="20.26953125" bestFit="1" customWidth="1"/>
    <col min="118" max="118" width="11.81640625" bestFit="1" customWidth="1"/>
    <col min="119" max="119" width="23.26953125" bestFit="1" customWidth="1"/>
    <col min="120" max="120" width="22.36328125" bestFit="1" customWidth="1"/>
    <col min="121" max="121" width="25.453125" bestFit="1" customWidth="1"/>
    <col min="122" max="124" width="11.81640625" bestFit="1" customWidth="1"/>
  </cols>
  <sheetData>
    <row r="4" spans="1:31" x14ac:dyDescent="0.35">
      <c r="A4" s="3" t="s">
        <v>80</v>
      </c>
      <c r="B4" s="3" t="s">
        <v>3</v>
      </c>
    </row>
    <row r="5" spans="1:31" x14ac:dyDescent="0.35">
      <c r="A5" s="3" t="s">
        <v>1</v>
      </c>
      <c r="B5" t="s">
        <v>4</v>
      </c>
      <c r="C5" t="s">
        <v>20</v>
      </c>
      <c r="D5" t="s">
        <v>21</v>
      </c>
      <c r="E5" t="s">
        <v>19</v>
      </c>
      <c r="F5" t="s">
        <v>16</v>
      </c>
      <c r="G5" t="s">
        <v>17</v>
      </c>
      <c r="H5" t="s">
        <v>56</v>
      </c>
      <c r="I5" t="s">
        <v>57</v>
      </c>
      <c r="J5" t="s">
        <v>58</v>
      </c>
      <c r="K5" t="s">
        <v>59</v>
      </c>
      <c r="L5" t="s">
        <v>48</v>
      </c>
      <c r="M5" t="s">
        <v>49</v>
      </c>
      <c r="N5" t="s">
        <v>50</v>
      </c>
      <c r="O5" t="s">
        <v>51</v>
      </c>
      <c r="P5" t="s">
        <v>52</v>
      </c>
      <c r="Q5" t="s">
        <v>53</v>
      </c>
      <c r="R5" t="s">
        <v>54</v>
      </c>
      <c r="S5" t="s">
        <v>55</v>
      </c>
      <c r="T5" t="s">
        <v>18</v>
      </c>
      <c r="U5" t="s">
        <v>25</v>
      </c>
      <c r="V5" t="s">
        <v>26</v>
      </c>
      <c r="W5" t="s">
        <v>39</v>
      </c>
      <c r="X5" t="s">
        <v>74</v>
      </c>
      <c r="Y5" t="s">
        <v>76</v>
      </c>
      <c r="Z5" t="s">
        <v>77</v>
      </c>
      <c r="AA5" t="s">
        <v>78</v>
      </c>
      <c r="AB5" t="s">
        <v>79</v>
      </c>
      <c r="AC5" t="s">
        <v>60</v>
      </c>
      <c r="AD5" t="s">
        <v>63</v>
      </c>
      <c r="AE5" t="s">
        <v>2</v>
      </c>
    </row>
    <row r="6" spans="1:31" x14ac:dyDescent="0.35">
      <c r="A6" s="4" t="s">
        <v>73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</row>
    <row r="7" spans="1:31" x14ac:dyDescent="0.35">
      <c r="A7" s="6" t="s">
        <v>75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</row>
    <row r="8" spans="1:31" x14ac:dyDescent="0.35">
      <c r="A8" s="11" t="s">
        <v>31</v>
      </c>
      <c r="B8" s="5">
        <v>0</v>
      </c>
      <c r="C8" s="5">
        <v>0.44387586414161301</v>
      </c>
      <c r="D8" s="5">
        <v>0.55381032224489402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163.4</v>
      </c>
      <c r="Y8" s="5">
        <v>4.8533809153715399</v>
      </c>
      <c r="Z8" s="5">
        <v>4186.6477121221196</v>
      </c>
      <c r="AA8" s="5">
        <v>8.3952146116601707</v>
      </c>
      <c r="AB8" s="5">
        <v>0</v>
      </c>
      <c r="AC8" s="5">
        <v>0</v>
      </c>
      <c r="AD8" s="5">
        <v>0</v>
      </c>
      <c r="AE8" s="12">
        <v>4364.2939938355375</v>
      </c>
    </row>
    <row r="9" spans="1:31" x14ac:dyDescent="0.35">
      <c r="A9" s="4" t="s">
        <v>2</v>
      </c>
      <c r="B9" s="5">
        <v>0</v>
      </c>
      <c r="C9" s="5">
        <v>0.44387586414161301</v>
      </c>
      <c r="D9" s="5">
        <v>0.55381032224489402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163.4</v>
      </c>
      <c r="Y9" s="5">
        <v>4.8533809153715399</v>
      </c>
      <c r="Z9" s="5">
        <v>4186.6477121221196</v>
      </c>
      <c r="AA9" s="5">
        <v>8.3952146116601707</v>
      </c>
      <c r="AB9" s="5">
        <v>0</v>
      </c>
      <c r="AC9" s="5">
        <v>0</v>
      </c>
      <c r="AD9" s="5">
        <v>0</v>
      </c>
      <c r="AE9" s="5">
        <v>4364.2939938355375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K39"/>
  <sheetViews>
    <sheetView zoomScale="85" zoomScaleNormal="85" workbookViewId="0">
      <selection activeCell="A18" sqref="A18"/>
    </sheetView>
  </sheetViews>
  <sheetFormatPr defaultRowHeight="14.5" x14ac:dyDescent="0.35"/>
  <cols>
    <col min="1" max="1" width="40.1796875" customWidth="1"/>
    <col min="2" max="2" width="23.1796875" customWidth="1"/>
    <col min="3" max="4" width="10.81640625" customWidth="1"/>
    <col min="5" max="5" width="43.1796875" customWidth="1"/>
    <col min="6" max="6" width="11.81640625" customWidth="1"/>
    <col min="7" max="7" width="16.1796875" bestFit="1" customWidth="1"/>
    <col min="8" max="8" width="17.08984375" bestFit="1" customWidth="1"/>
    <col min="9" max="9" width="20.54296875" bestFit="1" customWidth="1"/>
    <col min="10" max="10" width="18.26953125" bestFit="1" customWidth="1"/>
    <col min="11" max="11" width="14.36328125" bestFit="1" customWidth="1"/>
    <col min="12" max="12" width="26.08984375" bestFit="1" customWidth="1"/>
    <col min="13" max="13" width="27.36328125" bestFit="1" customWidth="1"/>
    <col min="14" max="14" width="21.54296875" bestFit="1" customWidth="1"/>
    <col min="15" max="15" width="12.453125" customWidth="1"/>
    <col min="16" max="16" width="17.81640625" bestFit="1" customWidth="1"/>
    <col min="17" max="17" width="12.453125" bestFit="1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4" spans="1:3" x14ac:dyDescent="0.35">
      <c r="A4" s="3" t="s">
        <v>81</v>
      </c>
      <c r="B4" s="3" t="s">
        <v>3</v>
      </c>
    </row>
    <row r="5" spans="1:3" x14ac:dyDescent="0.35">
      <c r="A5" s="3" t="s">
        <v>1</v>
      </c>
      <c r="B5" t="s">
        <v>74</v>
      </c>
      <c r="C5" t="s">
        <v>2</v>
      </c>
    </row>
    <row r="6" spans="1:3" x14ac:dyDescent="0.35">
      <c r="A6" s="4" t="s">
        <v>73</v>
      </c>
      <c r="B6" s="7"/>
      <c r="C6" s="7"/>
    </row>
    <row r="7" spans="1:3" x14ac:dyDescent="0.35">
      <c r="A7" s="6" t="s">
        <v>75</v>
      </c>
      <c r="B7" s="7"/>
      <c r="C7" s="7"/>
    </row>
    <row r="8" spans="1:3" x14ac:dyDescent="0.35">
      <c r="A8" s="11" t="s">
        <v>31</v>
      </c>
      <c r="B8" s="7">
        <v>206.531662568721</v>
      </c>
      <c r="C8" s="7">
        <v>206.531662568721</v>
      </c>
    </row>
    <row r="9" spans="1:3" x14ac:dyDescent="0.35">
      <c r="A9" s="4" t="s">
        <v>2</v>
      </c>
      <c r="B9" s="7">
        <v>206.531662568721</v>
      </c>
      <c r="C9" s="7">
        <v>206.531662568721</v>
      </c>
    </row>
    <row r="31" spans="9:11" x14ac:dyDescent="0.35">
      <c r="J31" s="9" t="s">
        <v>35</v>
      </c>
      <c r="K31" s="9" t="s">
        <v>37</v>
      </c>
    </row>
    <row r="32" spans="9:11" x14ac:dyDescent="0.35">
      <c r="I32" s="8" t="s">
        <v>41</v>
      </c>
      <c r="J32" s="7">
        <v>162.75143597377601</v>
      </c>
      <c r="K32" s="7">
        <v>149.903925128163</v>
      </c>
    </row>
    <row r="33" spans="9:11" x14ac:dyDescent="0.35">
      <c r="I33" s="8" t="s">
        <v>43</v>
      </c>
      <c r="J33" s="7">
        <v>154.068129240123</v>
      </c>
      <c r="K33" s="7">
        <v>139.50726704866</v>
      </c>
    </row>
    <row r="34" spans="9:11" x14ac:dyDescent="0.35">
      <c r="I34" s="8" t="s">
        <v>42</v>
      </c>
      <c r="J34" s="7">
        <v>138.33537197381801</v>
      </c>
      <c r="K34" s="7">
        <v>125.094053644276</v>
      </c>
    </row>
    <row r="35" spans="9:11" x14ac:dyDescent="0.35">
      <c r="I35" s="8" t="s">
        <v>44</v>
      </c>
      <c r="J35" s="7">
        <v>129.652065240166</v>
      </c>
      <c r="K35" s="7">
        <v>114.69739556478</v>
      </c>
    </row>
    <row r="36" spans="9:11" x14ac:dyDescent="0.35">
      <c r="I36" s="6"/>
      <c r="J36" s="9" t="s">
        <v>35</v>
      </c>
      <c r="K36" s="9" t="s">
        <v>37</v>
      </c>
    </row>
    <row r="37" spans="9:11" x14ac:dyDescent="0.35">
      <c r="I37" s="8" t="s">
        <v>45</v>
      </c>
      <c r="J37" s="10">
        <f t="shared" ref="J37:K39" si="0">((J33-J$32)/J$32)*100</f>
        <v>-5.3353180460122918</v>
      </c>
      <c r="K37" s="10">
        <f t="shared" si="0"/>
        <v>-6.9355475986463953</v>
      </c>
    </row>
    <row r="38" spans="9:11" x14ac:dyDescent="0.35">
      <c r="I38" s="8" t="s">
        <v>46</v>
      </c>
      <c r="J38" s="10">
        <f t="shared" si="0"/>
        <v>-15.002057495758217</v>
      </c>
      <c r="K38" s="10">
        <f t="shared" si="0"/>
        <v>-16.550514913252176</v>
      </c>
    </row>
    <row r="39" spans="9:11" x14ac:dyDescent="0.35">
      <c r="I39" s="8" t="s">
        <v>47</v>
      </c>
      <c r="J39" s="10">
        <f t="shared" si="0"/>
        <v>-20.337375541769898</v>
      </c>
      <c r="K39" s="10">
        <f t="shared" si="0"/>
        <v>-23.486062511893905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K9"/>
  <sheetViews>
    <sheetView topLeftCell="F1" zoomScaleNormal="100" workbookViewId="0">
      <selection activeCell="J17" sqref="J17"/>
    </sheetView>
  </sheetViews>
  <sheetFormatPr defaultRowHeight="14.5" x14ac:dyDescent="0.35"/>
  <cols>
    <col min="1" max="1" width="26" customWidth="1"/>
    <col min="2" max="2" width="15.26953125" bestFit="1" customWidth="1"/>
    <col min="3" max="3" width="25.90625" customWidth="1"/>
    <col min="4" max="4" width="25.90625" bestFit="1" customWidth="1"/>
    <col min="5" max="5" width="14.7265625" customWidth="1"/>
    <col min="6" max="6" width="11.81640625" customWidth="1"/>
    <col min="7" max="7" width="22.6328125" bestFit="1" customWidth="1"/>
    <col min="8" max="8" width="29.26953125" bestFit="1" customWidth="1"/>
    <col min="9" max="9" width="15.1796875" customWidth="1"/>
    <col min="10" max="10" width="22.1796875" bestFit="1" customWidth="1"/>
    <col min="11" max="11" width="11.81640625" customWidth="1"/>
    <col min="12" max="12" width="11.81640625" bestFit="1" customWidth="1"/>
    <col min="13" max="13" width="16.1796875" bestFit="1" customWidth="1"/>
    <col min="14" max="16" width="11.81640625" bestFit="1" customWidth="1"/>
    <col min="17" max="17" width="42.453125" customWidth="1"/>
    <col min="18" max="18" width="26" bestFit="1" customWidth="1"/>
    <col min="19" max="19" width="42.453125" customWidth="1"/>
    <col min="20" max="20" width="26" bestFit="1" customWidth="1"/>
    <col min="21" max="21" width="42.453125" customWidth="1"/>
    <col min="22" max="22" width="26" bestFit="1" customWidth="1"/>
    <col min="23" max="23" width="42.453125" customWidth="1"/>
    <col min="24" max="24" width="30.81640625" bestFit="1" customWidth="1"/>
    <col min="25" max="25" width="47.26953125" customWidth="1"/>
    <col min="26" max="28" width="15.7265625" bestFit="1" customWidth="1"/>
    <col min="29" max="29" width="12.7265625" bestFit="1" customWidth="1"/>
    <col min="30" max="30" width="9.54296875" bestFit="1" customWidth="1"/>
    <col min="31" max="31" width="12.1796875" bestFit="1" customWidth="1"/>
    <col min="32" max="32" width="21.08984375" bestFit="1" customWidth="1"/>
    <col min="33" max="33" width="15.453125" customWidth="1"/>
    <col min="34" max="34" width="11.81640625" customWidth="1"/>
    <col min="35" max="35" width="10.7265625" bestFit="1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11" x14ac:dyDescent="0.35">
      <c r="A4" s="3" t="s">
        <v>36</v>
      </c>
      <c r="B4" s="3" t="s">
        <v>3</v>
      </c>
    </row>
    <row r="5" spans="1:11" x14ac:dyDescent="0.35">
      <c r="A5" s="3" t="s">
        <v>1</v>
      </c>
      <c r="B5" t="s">
        <v>26</v>
      </c>
      <c r="C5" t="s">
        <v>61</v>
      </c>
      <c r="D5" t="s">
        <v>62</v>
      </c>
      <c r="E5" t="s">
        <v>20</v>
      </c>
      <c r="F5" t="s">
        <v>4</v>
      </c>
      <c r="G5" t="s">
        <v>74</v>
      </c>
      <c r="H5" t="s">
        <v>76</v>
      </c>
      <c r="I5" t="s">
        <v>77</v>
      </c>
      <c r="J5" t="s">
        <v>60</v>
      </c>
      <c r="K5" t="s">
        <v>2</v>
      </c>
    </row>
    <row r="6" spans="1:11" x14ac:dyDescent="0.35">
      <c r="A6" s="4" t="s">
        <v>73</v>
      </c>
      <c r="B6" s="5">
        <v>65.296812306783806</v>
      </c>
      <c r="C6" s="5">
        <v>98.507015596128895</v>
      </c>
      <c r="D6" s="5">
        <v>108.390751404055</v>
      </c>
      <c r="E6" s="5">
        <v>2.3143465618411602E-2</v>
      </c>
      <c r="F6" s="5">
        <v>4.3376149640801103</v>
      </c>
      <c r="G6" s="5">
        <v>59.814125005685803</v>
      </c>
      <c r="H6" s="5">
        <v>1.0021923171270799</v>
      </c>
      <c r="I6" s="5">
        <v>111.10883959424601</v>
      </c>
      <c r="J6" s="5">
        <v>10.364015686524001</v>
      </c>
      <c r="K6" s="5">
        <v>458.84451034024914</v>
      </c>
    </row>
    <row r="7" spans="1:11" x14ac:dyDescent="0.35">
      <c r="A7" s="6" t="s">
        <v>75</v>
      </c>
      <c r="B7" s="5">
        <v>65.296812306783806</v>
      </c>
      <c r="C7" s="5">
        <v>98.507015596128895</v>
      </c>
      <c r="D7" s="5">
        <v>108.390751404055</v>
      </c>
      <c r="E7" s="5">
        <v>2.3143465618411602E-2</v>
      </c>
      <c r="F7" s="5">
        <v>4.3376149640801103</v>
      </c>
      <c r="G7" s="5">
        <v>59.814125005685803</v>
      </c>
      <c r="H7" s="5">
        <v>1.0021923171270799</v>
      </c>
      <c r="I7" s="5">
        <v>111.10883959424601</v>
      </c>
      <c r="J7" s="5">
        <v>10.364015686524001</v>
      </c>
      <c r="K7" s="5">
        <v>458.84451034024914</v>
      </c>
    </row>
    <row r="8" spans="1:11" x14ac:dyDescent="0.35">
      <c r="A8" s="11" t="s">
        <v>31</v>
      </c>
      <c r="B8" s="5">
        <v>65.296812306783806</v>
      </c>
      <c r="C8" s="5">
        <v>98.507015596128895</v>
      </c>
      <c r="D8" s="5">
        <v>108.390751404055</v>
      </c>
      <c r="E8" s="5">
        <v>2.3143465618411602E-2</v>
      </c>
      <c r="F8" s="5">
        <v>4.3376149640801103</v>
      </c>
      <c r="G8" s="5">
        <v>59.814125005685803</v>
      </c>
      <c r="H8" s="5">
        <v>1.0021923171270799</v>
      </c>
      <c r="I8" s="5">
        <v>111.10883959424601</v>
      </c>
      <c r="J8" s="5">
        <v>10.364015686524001</v>
      </c>
      <c r="K8" s="5">
        <v>458.84451034024914</v>
      </c>
    </row>
    <row r="9" spans="1:11" x14ac:dyDescent="0.35">
      <c r="A9" s="4" t="s">
        <v>2</v>
      </c>
      <c r="B9" s="5">
        <v>65.296812306783806</v>
      </c>
      <c r="C9" s="5">
        <v>98.507015596128895</v>
      </c>
      <c r="D9" s="5">
        <v>108.390751404055</v>
      </c>
      <c r="E9" s="5">
        <v>2.3143465618411602E-2</v>
      </c>
      <c r="F9" s="5">
        <v>4.3376149640801103</v>
      </c>
      <c r="G9" s="5">
        <v>59.814125005685803</v>
      </c>
      <c r="H9" s="5">
        <v>1.0021923171270799</v>
      </c>
      <c r="I9" s="5">
        <v>111.10883959424601</v>
      </c>
      <c r="J9" s="5">
        <v>10.364015686524001</v>
      </c>
      <c r="K9" s="5">
        <v>458.84451034024914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M53"/>
  <sheetViews>
    <sheetView workbookViewId="0">
      <selection activeCell="A16" sqref="A16"/>
    </sheetView>
  </sheetViews>
  <sheetFormatPr defaultRowHeight="14.5" x14ac:dyDescent="0.35"/>
  <cols>
    <col min="1" max="1" width="82.7265625" customWidth="1"/>
    <col min="2" max="2" width="17.7265625" bestFit="1" customWidth="1"/>
    <col min="3" max="5" width="11.81640625" customWidth="1"/>
    <col min="6" max="6" width="11.6328125" customWidth="1"/>
    <col min="7" max="14" width="11.81640625" customWidth="1"/>
    <col min="15" max="15" width="19.54296875" customWidth="1"/>
    <col min="16" max="16" width="15.54296875" customWidth="1"/>
    <col min="17" max="17" width="11.81640625" customWidth="1"/>
    <col min="18" max="18" width="12.08984375" customWidth="1"/>
    <col min="19" max="19" width="15.08984375" customWidth="1"/>
    <col min="20" max="21" width="11.81640625" customWidth="1"/>
    <col min="22" max="22" width="18.54296875" customWidth="1"/>
    <col min="23" max="23" width="18" customWidth="1"/>
    <col min="24" max="24" width="11.81640625" customWidth="1"/>
    <col min="25" max="25" width="12.08984375" customWidth="1"/>
    <col min="26" max="26" width="15.08984375" customWidth="1"/>
    <col min="27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3" x14ac:dyDescent="0.35">
      <c r="A3" s="3" t="s">
        <v>82</v>
      </c>
      <c r="B3" s="3" t="s">
        <v>3</v>
      </c>
    </row>
    <row r="4" spans="1:3" x14ac:dyDescent="0.35">
      <c r="B4" t="s">
        <v>73</v>
      </c>
      <c r="C4" t="s">
        <v>2</v>
      </c>
    </row>
    <row r="5" spans="1:3" x14ac:dyDescent="0.35">
      <c r="B5" t="s">
        <v>75</v>
      </c>
    </row>
    <row r="6" spans="1:3" x14ac:dyDescent="0.35">
      <c r="A6" s="3" t="s">
        <v>1</v>
      </c>
      <c r="B6" t="s">
        <v>31</v>
      </c>
    </row>
    <row r="7" spans="1:3" x14ac:dyDescent="0.35">
      <c r="A7" s="4" t="s">
        <v>40</v>
      </c>
      <c r="B7" s="7">
        <v>0</v>
      </c>
      <c r="C7" s="7">
        <v>0</v>
      </c>
    </row>
    <row r="8" spans="1:3" x14ac:dyDescent="0.35">
      <c r="A8" s="4" t="s">
        <v>26</v>
      </c>
      <c r="B8" s="7">
        <v>979.95852217673996</v>
      </c>
      <c r="C8" s="7">
        <v>979.95852217673996</v>
      </c>
    </row>
    <row r="9" spans="1:3" x14ac:dyDescent="0.35">
      <c r="A9" s="4" t="s">
        <v>61</v>
      </c>
      <c r="B9" s="7">
        <v>545.55612411787604</v>
      </c>
      <c r="C9" s="7">
        <v>545.55612411787604</v>
      </c>
    </row>
    <row r="10" spans="1:3" x14ac:dyDescent="0.35">
      <c r="A10" s="4" t="s">
        <v>62</v>
      </c>
      <c r="B10" s="7">
        <v>491.25514969827702</v>
      </c>
      <c r="C10" s="7">
        <v>491.25514969827702</v>
      </c>
    </row>
    <row r="11" spans="1:3" x14ac:dyDescent="0.35">
      <c r="A11" s="4" t="s">
        <v>4</v>
      </c>
      <c r="B11" s="7">
        <v>103.450793212232</v>
      </c>
      <c r="C11" s="7">
        <v>103.450793212232</v>
      </c>
    </row>
    <row r="12" spans="1:3" x14ac:dyDescent="0.35">
      <c r="A12" s="4" t="s">
        <v>2</v>
      </c>
      <c r="B12" s="5">
        <v>2120.2205892051247</v>
      </c>
      <c r="C12" s="5">
        <v>2120.2205892051247</v>
      </c>
    </row>
    <row r="38" spans="1:13" x14ac:dyDescent="0.35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</row>
    <row r="39" spans="1:13" x14ac:dyDescent="0.35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</row>
    <row r="40" spans="1:13" x14ac:dyDescent="0.35"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</row>
    <row r="41" spans="1:13" x14ac:dyDescent="0.35">
      <c r="A41" s="15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</row>
    <row r="42" spans="1:13" x14ac:dyDescent="0.35">
      <c r="A42" s="15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</row>
    <row r="43" spans="1:13" x14ac:dyDescent="0.35">
      <c r="A43" s="15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</row>
    <row r="44" spans="1:13" x14ac:dyDescent="0.35">
      <c r="A44" s="15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</row>
    <row r="45" spans="1:13" x14ac:dyDescent="0.35">
      <c r="A45" s="15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</row>
    <row r="46" spans="1:13" x14ac:dyDescent="0.35">
      <c r="A46" s="15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</row>
    <row r="47" spans="1:13" x14ac:dyDescent="0.35">
      <c r="A47" s="15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</row>
    <row r="48" spans="1:13" x14ac:dyDescent="0.35">
      <c r="A48" s="15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</row>
    <row r="49" spans="1:13" x14ac:dyDescent="0.35">
      <c r="A49" s="15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</row>
    <row r="50" spans="1:13" x14ac:dyDescent="0.35">
      <c r="A50" s="15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</row>
    <row r="51" spans="1:13" x14ac:dyDescent="0.3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</row>
    <row r="52" spans="1:13" x14ac:dyDescent="0.3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1:13" x14ac:dyDescent="0.3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</sheetData>
  <mergeCells count="8">
    <mergeCell ref="B39:C39"/>
    <mergeCell ref="D39:E39"/>
    <mergeCell ref="F39:G39"/>
    <mergeCell ref="H38:M38"/>
    <mergeCell ref="H39:I39"/>
    <mergeCell ref="J39:K39"/>
    <mergeCell ref="L39:M39"/>
    <mergeCell ref="B38:G38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</vt:lpstr>
      <vt:lpstr>All_Scenarios</vt:lpstr>
      <vt:lpstr>Elec production</vt:lpstr>
      <vt:lpstr>Electricity consumption</vt:lpstr>
      <vt:lpstr>Production cost</vt:lpstr>
      <vt:lpstr>Cost breakdown</vt:lpstr>
      <vt:lpstr>Installed capacities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2023-05-16T14:34:41Z</dcterms:modified>
</cp:coreProperties>
</file>