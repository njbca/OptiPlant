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hisWorkbook"/>
  <xr:revisionPtr revIDLastSave="0" documentId="13_ncr:1_{81142797-EB2F-427E-956A-0AEA155DFCD9}" xr6:coauthVersionLast="47" xr6:coauthVersionMax="47" xr10:uidLastSave="{00000000-0000-0000-0000-000000000000}"/>
  <bookViews>
    <workbookView xWindow="45972" yWindow="-756" windowWidth="23256" windowHeight="12456" firstSheet="3" activeTab="3" xr2:uid="{00000000-000D-0000-FFFF-FFFF00000000}"/>
  </bookViews>
  <sheets>
    <sheet name="Data_base_case" sheetId="79" r:id="rId1"/>
    <sheet name="Excluded_units" sheetId="104" r:id="rId2"/>
    <sheet name="Scenarios_definition" sheetId="80" r:id="rId3"/>
    <sheet name="ScenariosToRun" sheetId="95" r:id="rId4"/>
    <sheet name="Scenarios_cheapest" sheetId="101" r:id="rId5"/>
    <sheet name="Scenarios_emissions" sheetId="102" r:id="rId6"/>
    <sheet name="Ref_base_case" sheetId="99" r:id="rId7"/>
    <sheet name="Sources" sheetId="97" r:id="rId8"/>
  </sheets>
  <externalReferences>
    <externalReference r:id="rId9"/>
  </externalReferences>
  <definedNames>
    <definedName name="CEPCI_ref">[1]Calculations!$C$28</definedName>
    <definedName name="CEPCI2014">[1]Calculations!$C$22</definedName>
    <definedName name="CEPCI2015">[1]Calculations!$C$23</definedName>
    <definedName name="DE2014_">[1]Calculations!$C$8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 i="95" l="1"/>
  <c r="S18" i="95"/>
  <c r="A19" i="95" l="1"/>
  <c r="A18" i="95" l="1"/>
  <c r="CC2" i="79" l="1"/>
  <c r="CB2" i="79"/>
  <c r="CA2" i="79"/>
  <c r="BZ2" i="79"/>
  <c r="BY2" i="79"/>
  <c r="BX2" i="79"/>
  <c r="BW2" i="79"/>
  <c r="BV2" i="79"/>
  <c r="BU2" i="79"/>
  <c r="BT2" i="79"/>
  <c r="BS2" i="79"/>
  <c r="BR2" i="79"/>
  <c r="BQ2" i="79"/>
  <c r="BP2" i="79"/>
  <c r="BO2" i="79"/>
  <c r="BN2" i="79"/>
  <c r="BM2" i="79"/>
  <c r="BL2" i="79"/>
  <c r="BK2" i="79"/>
  <c r="BJ2" i="79"/>
  <c r="BI2" i="79"/>
  <c r="BH2" i="79"/>
  <c r="BG2" i="79"/>
  <c r="BF2" i="79"/>
  <c r="BE2" i="79"/>
  <c r="BD2" i="79"/>
  <c r="BC2" i="79"/>
  <c r="BB2" i="79"/>
  <c r="BA2" i="79"/>
  <c r="AZ2" i="79"/>
  <c r="AY2" i="79"/>
  <c r="AX2" i="79"/>
  <c r="AW2" i="79"/>
  <c r="AV2" i="79"/>
  <c r="AU2" i="79"/>
  <c r="AT2" i="79"/>
  <c r="AS2" i="79"/>
  <c r="AR2" i="79"/>
  <c r="AQ2" i="79"/>
  <c r="AP2" i="79"/>
  <c r="AO2" i="79"/>
  <c r="AN2" i="79"/>
  <c r="AM2" i="79"/>
  <c r="AL2" i="79"/>
  <c r="AK2" i="79"/>
  <c r="AJ2" i="79"/>
  <c r="AI2" i="79"/>
  <c r="AH2" i="79"/>
  <c r="AG2" i="79"/>
  <c r="AF2" i="79"/>
  <c r="AE2" i="79"/>
  <c r="AD2" i="79"/>
  <c r="AC2" i="79"/>
  <c r="AB2" i="79"/>
  <c r="AA2" i="79"/>
  <c r="Z2" i="79"/>
  <c r="Y2" i="79"/>
  <c r="X2" i="79"/>
  <c r="W2" i="79"/>
  <c r="V2" i="79"/>
  <c r="U2" i="79"/>
  <c r="T2" i="79"/>
  <c r="S2" i="79"/>
  <c r="R2" i="79"/>
  <c r="L2" i="79"/>
  <c r="M2" i="79"/>
  <c r="N2" i="79"/>
  <c r="O2" i="79"/>
  <c r="P2" i="79"/>
  <c r="Q2" i="79"/>
  <c r="H2" i="79"/>
  <c r="I2" i="79"/>
  <c r="J2" i="79"/>
  <c r="K2" i="79"/>
  <c r="G2" i="79"/>
  <c r="BJ68" i="79" l="1"/>
  <c r="BJ69" i="79"/>
  <c r="BJ70" i="79"/>
  <c r="BJ67" i="79"/>
  <c r="BJ39" i="79"/>
  <c r="BJ38" i="79"/>
  <c r="BJ17" i="79"/>
  <c r="F7" i="79" l="1"/>
  <c r="F8" i="79"/>
  <c r="F9" i="79"/>
  <c r="F10" i="79"/>
  <c r="F11" i="79"/>
  <c r="F12" i="79"/>
  <c r="F13" i="79"/>
  <c r="F14" i="79"/>
  <c r="F15" i="79"/>
  <c r="F16" i="79"/>
  <c r="F17" i="79"/>
  <c r="F18" i="79"/>
  <c r="F19" i="79"/>
  <c r="F20" i="79"/>
  <c r="F21" i="79"/>
  <c r="F22" i="79"/>
  <c r="F23" i="79"/>
  <c r="F24" i="79"/>
  <c r="F25" i="79"/>
  <c r="F26" i="79"/>
  <c r="F27" i="79"/>
  <c r="F28" i="79"/>
  <c r="F29" i="79"/>
  <c r="F30" i="79"/>
  <c r="F31" i="79"/>
  <c r="F32" i="79"/>
  <c r="F33" i="79"/>
  <c r="F34" i="79"/>
  <c r="F35" i="79"/>
  <c r="F36" i="79"/>
  <c r="F37" i="79"/>
  <c r="F38" i="79"/>
  <c r="F39" i="79"/>
  <c r="F40" i="79"/>
  <c r="F41" i="79"/>
  <c r="F42" i="79"/>
  <c r="F43" i="79"/>
  <c r="F44" i="79"/>
  <c r="F45" i="79"/>
  <c r="F46" i="79"/>
  <c r="F47" i="79"/>
  <c r="F48" i="79"/>
  <c r="F49" i="79"/>
  <c r="F50" i="79"/>
  <c r="F51" i="79"/>
  <c r="F52" i="79"/>
  <c r="F53" i="79"/>
  <c r="F54" i="79"/>
  <c r="F55" i="79"/>
  <c r="F56" i="79"/>
  <c r="F57" i="79"/>
  <c r="F58" i="79"/>
  <c r="F59" i="79"/>
  <c r="F60" i="79"/>
  <c r="F61" i="79"/>
  <c r="F62" i="79"/>
  <c r="F63" i="79"/>
  <c r="F64" i="79"/>
  <c r="F65" i="79"/>
  <c r="F66" i="79"/>
  <c r="F67" i="79"/>
  <c r="F68" i="79"/>
  <c r="F69" i="79"/>
  <c r="F70" i="79"/>
  <c r="F71" i="79"/>
  <c r="F72" i="79"/>
  <c r="F73" i="79"/>
  <c r="F74" i="79"/>
  <c r="F75" i="79"/>
  <c r="F76" i="79"/>
  <c r="F77" i="79"/>
  <c r="F78" i="79"/>
  <c r="F79" i="79"/>
  <c r="F80" i="79"/>
  <c r="F81" i="79"/>
  <c r="F82" i="79"/>
  <c r="B66" i="99" l="1"/>
  <c r="B65" i="99"/>
  <c r="B64" i="99"/>
  <c r="B63" i="99"/>
  <c r="B62" i="99"/>
  <c r="B61" i="99"/>
  <c r="B60" i="99"/>
  <c r="B59" i="99"/>
  <c r="B58" i="99"/>
  <c r="B57" i="99"/>
  <c r="B56" i="99"/>
  <c r="B55" i="99"/>
  <c r="J43" i="99"/>
  <c r="J42" i="99"/>
  <c r="J41" i="99"/>
  <c r="J40" i="99"/>
  <c r="J39" i="99"/>
  <c r="J38" i="99"/>
  <c r="B37" i="99"/>
  <c r="B36" i="99"/>
  <c r="J33" i="99"/>
  <c r="J32" i="99"/>
  <c r="J31" i="99"/>
  <c r="J30" i="99"/>
  <c r="J29" i="99"/>
  <c r="J28" i="99"/>
  <c r="J27" i="99"/>
  <c r="J26" i="99"/>
  <c r="J25" i="99"/>
  <c r="J24" i="99"/>
  <c r="J23" i="99"/>
  <c r="J22" i="99"/>
  <c r="J21" i="99"/>
  <c r="J20" i="99"/>
  <c r="J19" i="99"/>
  <c r="J18" i="99"/>
  <c r="J17" i="99"/>
  <c r="J16" i="99"/>
  <c r="J15" i="99"/>
  <c r="J14" i="99"/>
  <c r="J13" i="99"/>
  <c r="J12" i="99"/>
  <c r="J11" i="99"/>
  <c r="BR12" i="99"/>
  <c r="AU10" i="99"/>
  <c r="AV10" i="99" s="1"/>
  <c r="J10" i="99"/>
  <c r="J9" i="99"/>
  <c r="J8" i="99"/>
  <c r="J7" i="99"/>
  <c r="J6" i="99"/>
  <c r="CB4" i="99"/>
  <c r="CA4" i="99"/>
  <c r="BZ4" i="99"/>
  <c r="BY4" i="99"/>
  <c r="BX4" i="99"/>
  <c r="BW4" i="99"/>
  <c r="BV4" i="99"/>
  <c r="BU4" i="99"/>
  <c r="BT4" i="99"/>
  <c r="BS4" i="99"/>
  <c r="BR4" i="99"/>
  <c r="BQ4" i="99"/>
  <c r="BP4" i="99"/>
  <c r="BO4" i="99"/>
  <c r="BN4" i="99"/>
  <c r="BM4" i="99"/>
  <c r="BL4" i="99"/>
  <c r="BK4" i="99"/>
  <c r="BJ4" i="99"/>
  <c r="BI4" i="99"/>
  <c r="BH4" i="99"/>
  <c r="BG4" i="99"/>
  <c r="BF4" i="99"/>
  <c r="BE4" i="99"/>
  <c r="BD4" i="99"/>
  <c r="BC4" i="99"/>
  <c r="BB4" i="99"/>
  <c r="BA4" i="99"/>
  <c r="AZ4" i="99"/>
  <c r="AY4" i="99"/>
  <c r="AX4" i="99"/>
  <c r="AW4" i="99"/>
  <c r="AV4" i="99"/>
  <c r="AU4" i="99"/>
  <c r="AT4" i="99"/>
  <c r="AS4" i="99"/>
  <c r="AR4" i="99"/>
  <c r="AQ4" i="99"/>
  <c r="AP4" i="99"/>
  <c r="AO4" i="99"/>
  <c r="AN4" i="99"/>
  <c r="AM4" i="99"/>
  <c r="AL4" i="99"/>
  <c r="AK4" i="99"/>
  <c r="AJ4" i="99"/>
  <c r="AI4" i="99"/>
  <c r="AH4" i="99"/>
  <c r="AG4" i="99"/>
  <c r="AF4" i="99"/>
  <c r="AE4" i="99"/>
  <c r="AD4" i="99"/>
  <c r="AC4" i="99"/>
  <c r="AB4" i="99"/>
  <c r="AA4" i="99"/>
  <c r="Z4" i="99"/>
  <c r="Y4" i="99"/>
  <c r="X4" i="99"/>
  <c r="W4" i="99"/>
  <c r="V4" i="99"/>
  <c r="U4" i="99"/>
  <c r="T4" i="99"/>
  <c r="S4" i="99"/>
  <c r="R4" i="99"/>
  <c r="Q4" i="99"/>
  <c r="P4" i="99"/>
  <c r="O4" i="99"/>
  <c r="N4" i="99"/>
  <c r="M4" i="99"/>
  <c r="L4" i="99"/>
  <c r="K4" i="99"/>
  <c r="J4" i="99"/>
  <c r="F4" i="99"/>
  <c r="I2" i="99"/>
  <c r="I4" i="99" s="1"/>
  <c r="H2" i="99"/>
  <c r="H4" i="99" s="1"/>
  <c r="G2" i="99"/>
  <c r="G4" i="99" s="1"/>
  <c r="F6" i="79"/>
  <c r="BO39" i="79" l="1"/>
  <c r="BP39" i="79"/>
  <c r="BQ39" i="79"/>
  <c r="BO38" i="79"/>
  <c r="BO40" i="79" s="1"/>
  <c r="BP38" i="79"/>
  <c r="BP40" i="79" s="1"/>
  <c r="BQ38" i="79"/>
  <c r="BQ40" i="79" s="1"/>
  <c r="BT10" i="79" l="1"/>
  <c r="BT12" i="79" s="1"/>
  <c r="BU10" i="79"/>
  <c r="BU12" i="79" s="1"/>
  <c r="AX10" i="79"/>
  <c r="AX8" i="79"/>
  <c r="AT12" i="79"/>
  <c r="AX12" i="79" s="1"/>
  <c r="K12" i="79"/>
  <c r="K10" i="79"/>
  <c r="K8" i="79"/>
  <c r="S12" i="79"/>
  <c r="T12" i="79" s="1"/>
  <c r="U12" i="79" s="1"/>
  <c r="S11" i="79"/>
  <c r="T11" i="79" s="1"/>
  <c r="U11" i="79" s="1"/>
  <c r="K11" i="79"/>
  <c r="J11" i="79"/>
  <c r="J12" i="79" s="1"/>
  <c r="BS10" i="79"/>
  <c r="BS12" i="79" s="1"/>
  <c r="K9" i="79"/>
  <c r="J9" i="79"/>
  <c r="J10" i="79" s="1"/>
  <c r="S8" i="79"/>
  <c r="T8" i="79" s="1"/>
  <c r="U8" i="79" s="1"/>
  <c r="BC7" i="79"/>
  <c r="BD7" i="79" s="1"/>
  <c r="BE7" i="79" s="1"/>
  <c r="K7" i="79"/>
  <c r="J7" i="79"/>
  <c r="J8" i="79" s="1"/>
  <c r="S6" i="79"/>
  <c r="T6" i="79" s="1"/>
  <c r="U6" i="79" s="1"/>
  <c r="K6" i="79"/>
  <c r="I5" i="79" l="1"/>
  <c r="I4" i="79"/>
  <c r="K24" i="79" l="1"/>
  <c r="BR24" i="79"/>
  <c r="BS24" i="79"/>
  <c r="BT24" i="79"/>
  <c r="BU24" i="79"/>
  <c r="K26" i="79"/>
  <c r="BR26" i="79"/>
  <c r="BS26" i="79"/>
  <c r="BT26" i="79"/>
  <c r="BU26" i="79"/>
  <c r="K25" i="79"/>
  <c r="BR25" i="79"/>
  <c r="BS25" i="79"/>
  <c r="BT25" i="79"/>
  <c r="BU25" i="79"/>
  <c r="J30" i="79"/>
  <c r="K30" i="79"/>
  <c r="BB30" i="79"/>
  <c r="BC30" i="79"/>
  <c r="BD30" i="79"/>
  <c r="BE30" i="79"/>
  <c r="BR30" i="79"/>
  <c r="BS30" i="79"/>
  <c r="BT30" i="79"/>
  <c r="BU30" i="79"/>
  <c r="J29" i="79"/>
  <c r="K29" i="79"/>
  <c r="BB29" i="79"/>
  <c r="BC29" i="79"/>
  <c r="BD29" i="79"/>
  <c r="BE29" i="79"/>
  <c r="BR29" i="79"/>
  <c r="BS29" i="79"/>
  <c r="BT29" i="79"/>
  <c r="BU29" i="79"/>
  <c r="K22" i="79"/>
  <c r="J28" i="79"/>
  <c r="K28" i="79"/>
  <c r="Q28" i="79"/>
  <c r="BB28" i="79"/>
  <c r="BC28" i="79"/>
  <c r="BD28" i="79"/>
  <c r="BE28" i="79"/>
  <c r="BR28" i="79"/>
  <c r="BS28" i="79"/>
  <c r="BT28" i="79"/>
  <c r="BU28" i="79"/>
  <c r="BS82" i="79" l="1"/>
  <c r="BT82" i="79"/>
  <c r="BU82" i="79"/>
  <c r="BS78" i="79"/>
  <c r="BT78" i="79"/>
  <c r="BU78" i="79"/>
  <c r="BR79" i="79"/>
  <c r="BR80" i="79"/>
  <c r="BR81" i="79"/>
  <c r="BR82" i="79"/>
  <c r="AV82" i="79"/>
  <c r="BR78" i="79"/>
  <c r="AU68" i="79" l="1"/>
  <c r="AV68" i="79" s="1"/>
  <c r="AW68" i="79" s="1"/>
  <c r="AY68" i="79"/>
  <c r="AZ68" i="79" s="1"/>
  <c r="BA68" i="79" s="1"/>
  <c r="BC68" i="79"/>
  <c r="BD68" i="79" s="1"/>
  <c r="BE68" i="79" s="1"/>
  <c r="BR68" i="79"/>
  <c r="BS68" i="79"/>
  <c r="BT68" i="79"/>
  <c r="BU68" i="79"/>
  <c r="AU69" i="79"/>
  <c r="AV69" i="79" s="1"/>
  <c r="AW69" i="79" s="1"/>
  <c r="AY69" i="79"/>
  <c r="AZ69" i="79" s="1"/>
  <c r="BA69" i="79" s="1"/>
  <c r="BC69" i="79"/>
  <c r="BD69" i="79" s="1"/>
  <c r="BE69" i="79" s="1"/>
  <c r="BR69" i="79"/>
  <c r="BS69" i="79"/>
  <c r="BT69" i="79"/>
  <c r="BU69" i="79"/>
  <c r="AU70" i="79"/>
  <c r="AV70" i="79" s="1"/>
  <c r="AW70" i="79" s="1"/>
  <c r="AY70" i="79"/>
  <c r="AZ70" i="79" s="1"/>
  <c r="BA70" i="79" s="1"/>
  <c r="BC70" i="79"/>
  <c r="BD70" i="79" s="1"/>
  <c r="BE70" i="79" s="1"/>
  <c r="BR70" i="79"/>
  <c r="BS70" i="79"/>
  <c r="BT70" i="79"/>
  <c r="BU70" i="79"/>
  <c r="AU71" i="79"/>
  <c r="AV71" i="79" s="1"/>
  <c r="AW71" i="79" s="1"/>
  <c r="AY71" i="79"/>
  <c r="AZ71" i="79" s="1"/>
  <c r="BA71" i="79" s="1"/>
  <c r="BC71" i="79"/>
  <c r="BD71" i="79" s="1"/>
  <c r="BE71" i="79" s="1"/>
  <c r="BR71" i="79"/>
  <c r="BS71" i="79"/>
  <c r="BT71" i="79"/>
  <c r="BU71" i="79"/>
  <c r="AU72" i="79"/>
  <c r="AV72" i="79" s="1"/>
  <c r="AW72" i="79" s="1"/>
  <c r="AY72" i="79"/>
  <c r="AZ72" i="79" s="1"/>
  <c r="BA72" i="79" s="1"/>
  <c r="BC72" i="79"/>
  <c r="BD72" i="79" s="1"/>
  <c r="BE72" i="79" s="1"/>
  <c r="BR72" i="79"/>
  <c r="BS72" i="79"/>
  <c r="BT72" i="79"/>
  <c r="BU72" i="79"/>
  <c r="AU73" i="79"/>
  <c r="AV73" i="79" s="1"/>
  <c r="AW73" i="79" s="1"/>
  <c r="AY73" i="79"/>
  <c r="AZ73" i="79" s="1"/>
  <c r="BA73" i="79" s="1"/>
  <c r="BC73" i="79"/>
  <c r="BD73" i="79" s="1"/>
  <c r="BE73" i="79" s="1"/>
  <c r="BR73" i="79"/>
  <c r="BS73" i="79"/>
  <c r="BT73" i="79"/>
  <c r="BU73" i="79"/>
  <c r="AU74" i="79"/>
  <c r="AV74" i="79" s="1"/>
  <c r="AW74" i="79" s="1"/>
  <c r="AY74" i="79"/>
  <c r="AZ74" i="79" s="1"/>
  <c r="BA74" i="79" s="1"/>
  <c r="BC74" i="79"/>
  <c r="BD74" i="79" s="1"/>
  <c r="BE74" i="79" s="1"/>
  <c r="BR74" i="79"/>
  <c r="BS74" i="79"/>
  <c r="BT74" i="79"/>
  <c r="BU74" i="79"/>
  <c r="AU75" i="79"/>
  <c r="AV75" i="79" s="1"/>
  <c r="AW75" i="79" s="1"/>
  <c r="AY75" i="79"/>
  <c r="AZ75" i="79" s="1"/>
  <c r="BA75" i="79" s="1"/>
  <c r="BC75" i="79"/>
  <c r="BD75" i="79" s="1"/>
  <c r="BE75" i="79" s="1"/>
  <c r="BR75" i="79"/>
  <c r="BS75" i="79"/>
  <c r="BT75" i="79"/>
  <c r="BU75" i="79"/>
  <c r="AU76" i="79"/>
  <c r="AV76" i="79" s="1"/>
  <c r="AW76" i="79" s="1"/>
  <c r="AY76" i="79"/>
  <c r="AZ76" i="79" s="1"/>
  <c r="BA76" i="79" s="1"/>
  <c r="BC76" i="79"/>
  <c r="BD76" i="79" s="1"/>
  <c r="BE76" i="79" s="1"/>
  <c r="BR76" i="79"/>
  <c r="BS76" i="79"/>
  <c r="BT76" i="79"/>
  <c r="BU76" i="79"/>
  <c r="AU77" i="79"/>
  <c r="AV77" i="79" s="1"/>
  <c r="AW77" i="79" s="1"/>
  <c r="AY77" i="79"/>
  <c r="AZ77" i="79" s="1"/>
  <c r="BA77" i="79" s="1"/>
  <c r="BC77" i="79"/>
  <c r="BD77" i="79" s="1"/>
  <c r="BE77" i="79" s="1"/>
  <c r="BR77" i="79"/>
  <c r="BS77" i="79"/>
  <c r="BT77" i="79"/>
  <c r="BU77" i="79"/>
  <c r="BS67" i="79"/>
  <c r="BT67" i="79"/>
  <c r="BU67" i="79"/>
  <c r="BR67" i="79"/>
  <c r="BC67" i="79"/>
  <c r="BD67" i="79" s="1"/>
  <c r="BE67" i="79" s="1"/>
  <c r="AY67" i="79"/>
  <c r="AZ67" i="79" s="1"/>
  <c r="BA67" i="79" s="1"/>
  <c r="AU67" i="79"/>
  <c r="AV67" i="79" s="1"/>
  <c r="AW67" i="79" s="1"/>
  <c r="BR56" i="79" l="1"/>
  <c r="BS56" i="79"/>
  <c r="BT56" i="79"/>
  <c r="BU56" i="79"/>
  <c r="BR57" i="79"/>
  <c r="BS57" i="79"/>
  <c r="BT57" i="79"/>
  <c r="BU57" i="79"/>
  <c r="BR58" i="79"/>
  <c r="BS58" i="79"/>
  <c r="BT58" i="79"/>
  <c r="BU58" i="79"/>
  <c r="BR59" i="79"/>
  <c r="BS59" i="79"/>
  <c r="BT59" i="79"/>
  <c r="BU59" i="79"/>
  <c r="BR60" i="79"/>
  <c r="BS60" i="79"/>
  <c r="BT60" i="79"/>
  <c r="BU60" i="79"/>
  <c r="BR61" i="79"/>
  <c r="BS61" i="79"/>
  <c r="BT61" i="79"/>
  <c r="BU61" i="79"/>
  <c r="BR62" i="79"/>
  <c r="BS62" i="79"/>
  <c r="BT62" i="79"/>
  <c r="BU62" i="79"/>
  <c r="BR63" i="79"/>
  <c r="BS63" i="79"/>
  <c r="BT63" i="79"/>
  <c r="BU63" i="79"/>
  <c r="BR64" i="79"/>
  <c r="BS64" i="79"/>
  <c r="BT64" i="79"/>
  <c r="BU64" i="79"/>
  <c r="BR65" i="79"/>
  <c r="BS65" i="79"/>
  <c r="BT65" i="79"/>
  <c r="BU65" i="79"/>
  <c r="BR66" i="79"/>
  <c r="BS66" i="79"/>
  <c r="BT66" i="79"/>
  <c r="BU66" i="79"/>
  <c r="BR55" i="79"/>
  <c r="BS55" i="79"/>
  <c r="BT55" i="79"/>
  <c r="BU55" i="79"/>
  <c r="BR54" i="79"/>
  <c r="BS54" i="79"/>
  <c r="BT54" i="79"/>
  <c r="BU54" i="79"/>
  <c r="BS52" i="79"/>
  <c r="BT52" i="79"/>
  <c r="BU52" i="79"/>
  <c r="BS53" i="79"/>
  <c r="BT53" i="79"/>
  <c r="BU53" i="79"/>
  <c r="BR53" i="79"/>
  <c r="BS49" i="79"/>
  <c r="BT49" i="79"/>
  <c r="BU49" i="79"/>
  <c r="BS50" i="79"/>
  <c r="BT50" i="79"/>
  <c r="BU50" i="79"/>
  <c r="BS51" i="79"/>
  <c r="BT51" i="79"/>
  <c r="BU51" i="79"/>
  <c r="BR50" i="79"/>
  <c r="BR51" i="79"/>
  <c r="BR52" i="79"/>
  <c r="BR49" i="79"/>
  <c r="BS41" i="79"/>
  <c r="BT41" i="79"/>
  <c r="BU41" i="79"/>
  <c r="BR41" i="79"/>
  <c r="BR27" i="79" l="1"/>
  <c r="BS27" i="79"/>
  <c r="BT27" i="79"/>
  <c r="BU27" i="79"/>
  <c r="BR23" i="79"/>
  <c r="BS23" i="79"/>
  <c r="BT23" i="79"/>
  <c r="BU23" i="79"/>
  <c r="BR22" i="79"/>
  <c r="BS22" i="79"/>
  <c r="BT22" i="79"/>
  <c r="BU22" i="79"/>
  <c r="BS21" i="79"/>
  <c r="BT21" i="79"/>
  <c r="BU21" i="79"/>
  <c r="BR21" i="79"/>
  <c r="BS20" i="79" l="1"/>
  <c r="BT20" i="79"/>
  <c r="BU20" i="79"/>
  <c r="BR20" i="79"/>
  <c r="BS17" i="79"/>
  <c r="BT17" i="79"/>
  <c r="BU17" i="79"/>
  <c r="BR17" i="79"/>
  <c r="BS15" i="79"/>
  <c r="BT15" i="79"/>
  <c r="BU15" i="79"/>
  <c r="BR15" i="79"/>
  <c r="CC5" i="79" l="1"/>
  <c r="CB5" i="79"/>
  <c r="CA5" i="79"/>
  <c r="BZ5" i="79"/>
  <c r="CC4" i="79"/>
  <c r="CB4" i="79"/>
  <c r="CA4" i="79"/>
  <c r="BZ4" i="79"/>
  <c r="BV4" i="79"/>
  <c r="BY5" i="79"/>
  <c r="BX5" i="79"/>
  <c r="BW5" i="79"/>
  <c r="BV5" i="79"/>
  <c r="BY4" i="79"/>
  <c r="BX4" i="79"/>
  <c r="BW4" i="79"/>
  <c r="J27" i="79" l="1"/>
  <c r="J21" i="79"/>
  <c r="J17" i="79"/>
  <c r="J15" i="79"/>
  <c r="A12" i="102"/>
  <c r="A13" i="102"/>
  <c r="A14" i="102"/>
  <c r="A15" i="102"/>
  <c r="A16" i="102"/>
  <c r="A17" i="102"/>
  <c r="A18" i="102"/>
  <c r="A19" i="102"/>
  <c r="A20" i="102"/>
  <c r="A21" i="102"/>
  <c r="A22" i="102"/>
  <c r="A23" i="102"/>
  <c r="A24" i="102"/>
  <c r="A25" i="102"/>
  <c r="A48" i="101" l="1"/>
  <c r="A47" i="101"/>
  <c r="A46" i="101"/>
  <c r="A45" i="101"/>
  <c r="A44" i="101"/>
  <c r="A43" i="101"/>
  <c r="A42" i="101"/>
  <c r="A41" i="101"/>
  <c r="A40" i="101"/>
  <c r="A39" i="101"/>
  <c r="A38" i="101"/>
  <c r="A37" i="101"/>
  <c r="A36" i="101"/>
  <c r="A35" i="101"/>
  <c r="A34" i="101"/>
  <c r="A33" i="101"/>
  <c r="A32" i="101"/>
  <c r="A31" i="101"/>
  <c r="A30" i="101"/>
  <c r="A29" i="101"/>
  <c r="A28" i="101"/>
  <c r="A27" i="101"/>
  <c r="A26" i="101"/>
  <c r="A25" i="101"/>
  <c r="A24" i="101"/>
  <c r="A23" i="101"/>
  <c r="A22" i="101"/>
  <c r="A21" i="101"/>
  <c r="A20" i="101"/>
  <c r="A19" i="101"/>
  <c r="A18" i="101"/>
  <c r="A17" i="101"/>
  <c r="A16" i="101"/>
  <c r="A15" i="101"/>
  <c r="A14" i="101"/>
  <c r="A13" i="101"/>
  <c r="A12" i="101"/>
  <c r="J33" i="79" l="1"/>
  <c r="J32" i="79"/>
  <c r="J31" i="79"/>
  <c r="AT32" i="79" l="1"/>
  <c r="AU32" i="79"/>
  <c r="AV32" i="79"/>
  <c r="AW32" i="79"/>
  <c r="AW31" i="79"/>
  <c r="AT31" i="79"/>
  <c r="AV31" i="79"/>
  <c r="AU31" i="79"/>
  <c r="BK17" i="79" l="1"/>
  <c r="BL17" i="79"/>
  <c r="BM17" i="79"/>
  <c r="R21" i="79" l="1"/>
  <c r="S21" i="79"/>
  <c r="T21" i="79"/>
  <c r="U21" i="79"/>
  <c r="R20" i="79"/>
  <c r="S20" i="79"/>
  <c r="T20" i="79"/>
  <c r="U20" i="79"/>
  <c r="R19" i="79"/>
  <c r="S19" i="79"/>
  <c r="T19" i="79"/>
  <c r="U19" i="79"/>
  <c r="R18" i="79"/>
  <c r="S18" i="79"/>
  <c r="T18" i="79"/>
  <c r="U18" i="79"/>
  <c r="K19" i="79"/>
  <c r="K33" i="79" l="1"/>
  <c r="K21" i="79"/>
  <c r="K17" i="79"/>
  <c r="K15" i="79"/>
  <c r="K32" i="79"/>
  <c r="K31" i="79"/>
  <c r="K27" i="79"/>
  <c r="K20" i="79"/>
  <c r="K18" i="79"/>
  <c r="K16" i="79"/>
  <c r="AW15" i="79" l="1"/>
  <c r="AU15" i="79"/>
  <c r="AT15" i="79"/>
  <c r="AV15" i="79"/>
  <c r="AU17" i="79"/>
  <c r="AV17" i="79"/>
  <c r="AW17" i="79"/>
  <c r="AT17" i="79"/>
  <c r="A17" i="95" l="1"/>
  <c r="A16" i="95"/>
  <c r="BS31" i="79" l="1"/>
  <c r="BT31" i="79"/>
  <c r="BU31" i="79"/>
  <c r="BS32" i="79"/>
  <c r="BT32" i="79"/>
  <c r="BU32" i="79"/>
  <c r="K23" i="79" l="1"/>
  <c r="BB27" i="79" l="1"/>
  <c r="BC27" i="79"/>
  <c r="BD27" i="79"/>
  <c r="BE27" i="79"/>
  <c r="BA82" i="79" l="1"/>
  <c r="AY82" i="79"/>
  <c r="AX82" i="79"/>
  <c r="AZ82" i="79"/>
  <c r="AR81" i="79"/>
  <c r="Q81" i="79"/>
  <c r="AR80" i="79"/>
  <c r="Q80" i="79"/>
  <c r="Q78" i="79"/>
  <c r="Q66" i="79"/>
  <c r="B66" i="79"/>
  <c r="Q65" i="79"/>
  <c r="B65" i="79"/>
  <c r="Q64" i="79"/>
  <c r="B64" i="79"/>
  <c r="Q63" i="79"/>
  <c r="B63" i="79"/>
  <c r="Q62" i="79"/>
  <c r="B62" i="79"/>
  <c r="Q61" i="79"/>
  <c r="B61" i="79"/>
  <c r="Q60" i="79"/>
  <c r="B60" i="79"/>
  <c r="Q59" i="79"/>
  <c r="B59" i="79"/>
  <c r="Q58" i="79"/>
  <c r="B58" i="79"/>
  <c r="Q57" i="79"/>
  <c r="B57" i="79"/>
  <c r="Q56" i="79"/>
  <c r="B56" i="79"/>
  <c r="Q55" i="79"/>
  <c r="B55" i="79"/>
  <c r="Q54" i="79"/>
  <c r="Q46" i="79" s="1"/>
  <c r="BA52" i="79"/>
  <c r="AZ52" i="79"/>
  <c r="AY52" i="79"/>
  <c r="AX52" i="79"/>
  <c r="Q51" i="79"/>
  <c r="BA49" i="79"/>
  <c r="AY49" i="79"/>
  <c r="AX49" i="79"/>
  <c r="AV49" i="79"/>
  <c r="AZ49" i="79" s="1"/>
  <c r="Q48" i="79"/>
  <c r="Q40" i="79"/>
  <c r="K40" i="79"/>
  <c r="Q45" i="79"/>
  <c r="Q44" i="79"/>
  <c r="BN39" i="79"/>
  <c r="BI39" i="79"/>
  <c r="BH39" i="79"/>
  <c r="BG39" i="79"/>
  <c r="BF39" i="79"/>
  <c r="BE39" i="79"/>
  <c r="BD39" i="79"/>
  <c r="BC39" i="79"/>
  <c r="BB39" i="79"/>
  <c r="AW39" i="79"/>
  <c r="AU39" i="79"/>
  <c r="AT39" i="79"/>
  <c r="AS39" i="79"/>
  <c r="AQ39" i="79"/>
  <c r="AP39" i="79"/>
  <c r="Y39" i="79"/>
  <c r="X39" i="79"/>
  <c r="W39" i="79"/>
  <c r="V39" i="79"/>
  <c r="U39" i="79"/>
  <c r="T39" i="79"/>
  <c r="S39" i="79"/>
  <c r="R39" i="79"/>
  <c r="K39" i="79"/>
  <c r="BN38" i="79"/>
  <c r="BI38" i="79"/>
  <c r="BH38" i="79"/>
  <c r="BG38" i="79"/>
  <c r="BF38" i="79"/>
  <c r="BE38" i="79"/>
  <c r="BD38" i="79"/>
  <c r="BC38" i="79"/>
  <c r="BB38" i="79"/>
  <c r="AW38" i="79"/>
  <c r="AU38" i="79"/>
  <c r="AT38" i="79"/>
  <c r="AS38" i="79"/>
  <c r="AQ38" i="79"/>
  <c r="AP38" i="79"/>
  <c r="Y38" i="79"/>
  <c r="X38" i="79"/>
  <c r="W38" i="79"/>
  <c r="V38" i="79"/>
  <c r="U38" i="79"/>
  <c r="T38" i="79"/>
  <c r="S38" i="79"/>
  <c r="R38" i="79"/>
  <c r="K38" i="79"/>
  <c r="BU37" i="79"/>
  <c r="BT37" i="79"/>
  <c r="BS37" i="79"/>
  <c r="BR37" i="79"/>
  <c r="BA37" i="79"/>
  <c r="AY37" i="79"/>
  <c r="AX37" i="79"/>
  <c r="AV37" i="79"/>
  <c r="AZ37" i="79" s="1"/>
  <c r="AR37" i="79"/>
  <c r="U37" i="79"/>
  <c r="T37" i="79"/>
  <c r="S37" i="79"/>
  <c r="R37" i="79"/>
  <c r="K37" i="79"/>
  <c r="BU36" i="79"/>
  <c r="BT36" i="79"/>
  <c r="BS36" i="79"/>
  <c r="BR36" i="79"/>
  <c r="BA36" i="79"/>
  <c r="AY36" i="79"/>
  <c r="AX36" i="79"/>
  <c r="AV36" i="79"/>
  <c r="AZ36" i="79" s="1"/>
  <c r="U36" i="79"/>
  <c r="T36" i="79"/>
  <c r="S36" i="79"/>
  <c r="R36" i="79"/>
  <c r="Q36" i="79"/>
  <c r="K36" i="79"/>
  <c r="BU35" i="79"/>
  <c r="BT35" i="79"/>
  <c r="BS35" i="79"/>
  <c r="BR35" i="79"/>
  <c r="BA35" i="79"/>
  <c r="AY35" i="79"/>
  <c r="AX35" i="79"/>
  <c r="AV35" i="79"/>
  <c r="AR35" i="79"/>
  <c r="AR38" i="79" s="1"/>
  <c r="U35" i="79"/>
  <c r="T35" i="79"/>
  <c r="S35" i="79"/>
  <c r="R35" i="79"/>
  <c r="K35" i="79"/>
  <c r="BA43" i="79"/>
  <c r="AZ43" i="79"/>
  <c r="AY43" i="79"/>
  <c r="AX43" i="79"/>
  <c r="AS43" i="79"/>
  <c r="AR43" i="79"/>
  <c r="B43" i="79"/>
  <c r="BA42" i="79"/>
  <c r="AZ42" i="79"/>
  <c r="AY42" i="79"/>
  <c r="AX42" i="79"/>
  <c r="B42" i="79"/>
  <c r="BA41" i="79"/>
  <c r="AZ41" i="79"/>
  <c r="AY41" i="79"/>
  <c r="AX41" i="79"/>
  <c r="BR32" i="79"/>
  <c r="BA32" i="79"/>
  <c r="AY32" i="79"/>
  <c r="AX32" i="79"/>
  <c r="AZ32" i="79"/>
  <c r="U32" i="79"/>
  <c r="T32" i="79"/>
  <c r="S32" i="79"/>
  <c r="R32" i="79"/>
  <c r="Q32" i="79"/>
  <c r="Q33" i="79" s="1"/>
  <c r="BR31" i="79"/>
  <c r="BA31" i="79"/>
  <c r="AY31" i="79"/>
  <c r="AX31" i="79"/>
  <c r="AZ31" i="79"/>
  <c r="U31" i="79"/>
  <c r="T31" i="79"/>
  <c r="S31" i="79"/>
  <c r="R31" i="79"/>
  <c r="Q27" i="79"/>
  <c r="Q30" i="79" s="1"/>
  <c r="Q29" i="79" s="1"/>
  <c r="AX15" i="79"/>
  <c r="BA15" i="79"/>
  <c r="AY15" i="79"/>
  <c r="Q14" i="79"/>
  <c r="Q22" i="79" s="1"/>
  <c r="K14" i="79"/>
  <c r="K13" i="79"/>
  <c r="BU5" i="79"/>
  <c r="BT5" i="79"/>
  <c r="BS5" i="79"/>
  <c r="BR5" i="79"/>
  <c r="BQ5" i="79"/>
  <c r="BP5" i="79"/>
  <c r="BO5" i="79"/>
  <c r="BN5" i="79"/>
  <c r="BM5" i="79"/>
  <c r="BL5" i="79"/>
  <c r="BK5" i="79"/>
  <c r="BJ5" i="79"/>
  <c r="BI5" i="79"/>
  <c r="BH5" i="79"/>
  <c r="BG5" i="79"/>
  <c r="BF5" i="79"/>
  <c r="BE5" i="79"/>
  <c r="BD5" i="79"/>
  <c r="BC5" i="79"/>
  <c r="BB5" i="79"/>
  <c r="BA5" i="79"/>
  <c r="AZ5" i="79"/>
  <c r="AY5" i="79"/>
  <c r="AX5" i="79"/>
  <c r="AW5" i="79"/>
  <c r="AV5" i="79"/>
  <c r="AU5" i="79"/>
  <c r="AT5" i="79"/>
  <c r="AS5" i="79"/>
  <c r="AR5" i="79"/>
  <c r="AQ5" i="79"/>
  <c r="AP5" i="79"/>
  <c r="AO5" i="79"/>
  <c r="AN5" i="79"/>
  <c r="AM5" i="79"/>
  <c r="AL5" i="79"/>
  <c r="AK5" i="79"/>
  <c r="AJ5" i="79"/>
  <c r="AI5" i="79"/>
  <c r="AH5" i="79"/>
  <c r="AG5" i="79"/>
  <c r="AF5" i="79"/>
  <c r="AE5" i="79"/>
  <c r="AD5" i="79"/>
  <c r="AC5" i="79"/>
  <c r="AB5" i="79"/>
  <c r="AA5" i="79"/>
  <c r="Z5" i="79"/>
  <c r="Y5" i="79"/>
  <c r="X5" i="79"/>
  <c r="W5" i="79"/>
  <c r="V5" i="79"/>
  <c r="U5" i="79"/>
  <c r="T5" i="79"/>
  <c r="S5" i="79"/>
  <c r="R5" i="79"/>
  <c r="Q5" i="79"/>
  <c r="P5" i="79"/>
  <c r="O5" i="79"/>
  <c r="N5" i="79"/>
  <c r="M5" i="79"/>
  <c r="L5" i="79"/>
  <c r="K5" i="79"/>
  <c r="J5" i="79"/>
  <c r="H5" i="79"/>
  <c r="G5" i="79"/>
  <c r="BU4" i="79"/>
  <c r="BT4" i="79"/>
  <c r="BS4" i="79"/>
  <c r="BR4" i="79"/>
  <c r="BQ4" i="79"/>
  <c r="BP4" i="79"/>
  <c r="BO4" i="79"/>
  <c r="BN4" i="79"/>
  <c r="BM4" i="79"/>
  <c r="BL4" i="79"/>
  <c r="BK4" i="79"/>
  <c r="BJ4" i="79"/>
  <c r="BI4" i="79"/>
  <c r="BH4" i="79"/>
  <c r="BG4" i="79"/>
  <c r="BF4" i="79"/>
  <c r="BE4" i="79"/>
  <c r="BD4" i="79"/>
  <c r="BC4" i="79"/>
  <c r="BB4" i="79"/>
  <c r="BA4" i="79"/>
  <c r="AZ4" i="79"/>
  <c r="AY4" i="79"/>
  <c r="AX4" i="79"/>
  <c r="AW4" i="79"/>
  <c r="AV4" i="79"/>
  <c r="AU4" i="79"/>
  <c r="AT4" i="79"/>
  <c r="AS4" i="79"/>
  <c r="AR4" i="79"/>
  <c r="AQ4" i="79"/>
  <c r="AP4" i="79"/>
  <c r="AO4" i="79"/>
  <c r="AN4" i="79"/>
  <c r="AM4" i="79"/>
  <c r="AL4" i="79"/>
  <c r="AK4" i="79"/>
  <c r="AJ4" i="79"/>
  <c r="AI4" i="79"/>
  <c r="AH4" i="79"/>
  <c r="AG4" i="79"/>
  <c r="AF4" i="79"/>
  <c r="AE4" i="79"/>
  <c r="AD4" i="79"/>
  <c r="AC4" i="79"/>
  <c r="AB4" i="79"/>
  <c r="AA4" i="79"/>
  <c r="Z4" i="79"/>
  <c r="Y4" i="79"/>
  <c r="X4" i="79"/>
  <c r="W4" i="79"/>
  <c r="V4" i="79"/>
  <c r="U4" i="79"/>
  <c r="T4" i="79"/>
  <c r="S4" i="79"/>
  <c r="R4" i="79"/>
  <c r="Q4" i="79"/>
  <c r="P4" i="79"/>
  <c r="O4" i="79"/>
  <c r="N4" i="79"/>
  <c r="M4" i="79"/>
  <c r="L4" i="79"/>
  <c r="K4" i="79"/>
  <c r="J4" i="79"/>
  <c r="G4" i="79"/>
  <c r="H4" i="79"/>
  <c r="AV38" i="79" l="1"/>
  <c r="BR39" i="79"/>
  <c r="AY39" i="79"/>
  <c r="BS38" i="79"/>
  <c r="AZ35" i="79"/>
  <c r="AZ39" i="79" s="1"/>
  <c r="BT38" i="79"/>
  <c r="BT39" i="79"/>
  <c r="H6" i="80"/>
  <c r="AX38" i="79"/>
  <c r="BA39" i="79"/>
  <c r="BU39" i="79"/>
  <c r="BR38" i="79"/>
  <c r="AY38" i="79"/>
  <c r="BU38" i="79"/>
  <c r="AR39" i="79"/>
  <c r="AV39" i="79"/>
  <c r="BA38" i="79"/>
  <c r="AZ15" i="79"/>
  <c r="AX39" i="79"/>
  <c r="BS39" i="79"/>
  <c r="Q37" i="79"/>
  <c r="Q39" i="79" s="1"/>
  <c r="Q38" i="79"/>
  <c r="Q34" i="79" s="1"/>
  <c r="AU10" i="79" l="1"/>
  <c r="AV10" i="79" s="1"/>
  <c r="AW10" i="79" s="1"/>
  <c r="AZ38" i="79"/>
  <c r="A11" i="97" l="1"/>
  <c r="A7" i="97" l="1"/>
  <c r="A6" i="97" l="1"/>
  <c r="A5" i="97"/>
  <c r="A4" i="97"/>
  <c r="DW4" i="80" l="1"/>
  <c r="H5" i="80" l="1"/>
  <c r="F5" i="8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8" authorId="0" shapeId="0" xr:uid="{00000000-0006-0000-00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Mar Pérez-Fortes et al. 2016/ Bornholm report</t>
        </r>
      </text>
    </comment>
    <comment ref="AE8" authorId="0" shapeId="0" xr:uid="{00000000-0006-0000-0000-00000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Hank et al. (2018)/ Bornholm report</t>
        </r>
      </text>
    </comment>
    <comment ref="AI8" authorId="0" shapeId="0" xr:uid="{00000000-0006-0000-0000-00000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MMZCS2023</t>
        </r>
      </text>
    </comment>
    <comment ref="AM8" authorId="0" shapeId="0" xr:uid="{00000000-0006-0000-0000-000004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MMZCS2023
</t>
        </r>
      </text>
    </comment>
    <comment ref="AQ8" authorId="0" shapeId="0" xr:uid="{00000000-0006-0000-0000-00000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MMZCS2023</t>
        </r>
      </text>
    </comment>
    <comment ref="AU8" authorId="0" shapeId="0" xr:uid="{00000000-0006-0000-0000-000006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For a small-scale 6.7 t$_{MeOH}$/h plant capacity based on MMZCS2023
Reply:
    To do adjust sources</t>
        </r>
      </text>
    </comment>
    <comment ref="AY8" authorId="0" shapeId="0" xr:uid="{00000000-0006-0000-0000-00000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 Capex based on MMZCS2023/ Bornholm report
Reply:
    Refers to CAPEX in the literature; not taking the +10% CAPEX for transport to Faroe islands into account.</t>
        </r>
      </text>
    </comment>
    <comment ref="BS8" authorId="0" shapeId="0" xr:uid="{00000000-0006-0000-0000-000008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years lifetime assumed based on Technology Data-Energy Plants for Electricity and District heating generation, Tech rep. (2020)/ Bornholm report</t>
        </r>
      </text>
    </comment>
    <comment ref="S9" authorId="0" shapeId="0" xr:uid="{00000000-0006-0000-0000-00000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Moioli2022
Reply:
    Stoichiometrically defined with 100% conversion of carbon and gases</t>
        </r>
      </text>
    </comment>
    <comment ref="S10" authorId="0" shapeId="0" xr:uid="{00000000-0006-0000-0000-00000A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Moioli2022
</t>
        </r>
      </text>
    </comment>
    <comment ref="W10" authorId="0" shapeId="0" xr:uid="{00000000-0006-0000-0000-00000B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Thanh Son Phan et al. 2022/ Bornholm report</t>
        </r>
      </text>
    </comment>
    <comment ref="AE10" authorId="0" shapeId="0" xr:uid="{00000000-0006-0000-0000-00000C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Hank et al. (2018)/ Bornholm report
</t>
        </r>
      </text>
    </comment>
    <comment ref="AI10" authorId="0" shapeId="0" xr:uid="{00000000-0006-0000-0000-00000D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MMZCS2023</t>
        </r>
      </text>
    </comment>
    <comment ref="AM10" authorId="0" shapeId="0" xr:uid="{00000000-0006-0000-0000-00000E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MMZCS2023
</t>
        </r>
      </text>
    </comment>
    <comment ref="AU10" authorId="0" shapeId="0" xr:uid="{00000000-0006-0000-0000-00000F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130% of capital investment compared to MeOH plant - CO2. Estimated additional cost of reformer Based on Oni et al. 2022 , and assuming similar costs for electrical vs conventional reformers. Both validated by stakeholders.  /Bornholm report </t>
        </r>
      </text>
    </comment>
    <comment ref="AY10" authorId="0" shapeId="0" xr:uid="{00000000-0006-0000-0000-000010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Based on Moioli2022 case 1a. 5 % of investment.
Reply:
    4% of capital investment based on MMZCS2023/ Bornholm report
Reply:
    Refers to CAPEX in the literature; not taking the +10% CAPEX for transport to Faroe islands into account.</t>
        </r>
      </text>
    </comment>
    <comment ref="BS10" authorId="0" shapeId="0" xr:uid="{00000000-0006-0000-0000-00001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years lifetime assumed based on Technology Data-Energy Plants for Electricity and District heating generation, Tech rep. (2020)/ Bornholm report</t>
        </r>
      </text>
    </comment>
    <comment ref="R13" authorId="0" shapeId="0" xr:uid="{00000000-0006-0000-0000-000012000000}">
      <text>
        <r>
          <rPr>
            <b/>
            <sz val="9"/>
            <color indexed="81"/>
            <rFont val="Tahoma"/>
            <family val="2"/>
          </rPr>
          <t>Author:</t>
        </r>
        <r>
          <rPr>
            <sz val="9"/>
            <color indexed="81"/>
            <rFont val="Tahoma"/>
            <family val="2"/>
          </rPr>
          <t xml:space="preserve">
Based on MMZCS2023</t>
        </r>
      </text>
    </comment>
    <comment ref="S13" authorId="0" shapeId="0" xr:uid="{00000000-0006-0000-0000-000013000000}">
      <text>
        <r>
          <rPr>
            <b/>
            <sz val="9"/>
            <color indexed="81"/>
            <rFont val="Tahoma"/>
            <family val="2"/>
          </rPr>
          <t>Author:</t>
        </r>
        <r>
          <rPr>
            <sz val="9"/>
            <color indexed="81"/>
            <rFont val="Tahoma"/>
            <family val="2"/>
          </rPr>
          <t xml:space="preserve">
Based on MMZCS2023</t>
        </r>
      </text>
    </comment>
    <comment ref="T13" authorId="0" shapeId="0" xr:uid="{00000000-0006-0000-0000-000014000000}">
      <text>
        <r>
          <rPr>
            <b/>
            <sz val="9"/>
            <color indexed="81"/>
            <rFont val="Tahoma"/>
            <family val="2"/>
          </rPr>
          <t>Author:</t>
        </r>
        <r>
          <rPr>
            <sz val="9"/>
            <color indexed="81"/>
            <rFont val="Tahoma"/>
            <family val="2"/>
          </rPr>
          <t xml:space="preserve">
Based on MMZCS2023</t>
        </r>
      </text>
    </comment>
    <comment ref="U13" authorId="0" shapeId="0" xr:uid="{00000000-0006-0000-0000-000015000000}">
      <text>
        <r>
          <rPr>
            <b/>
            <sz val="9"/>
            <color indexed="81"/>
            <rFont val="Tahoma"/>
            <family val="2"/>
          </rPr>
          <t>Author:</t>
        </r>
        <r>
          <rPr>
            <sz val="9"/>
            <color indexed="81"/>
            <rFont val="Tahoma"/>
            <family val="2"/>
          </rPr>
          <t xml:space="preserve">
Based on MMZCS2023</t>
        </r>
      </text>
    </comment>
    <comment ref="R14" authorId="0" shapeId="0" xr:uid="{00000000-0006-0000-0000-000016000000}">
      <text>
        <r>
          <rPr>
            <b/>
            <sz val="9"/>
            <color indexed="81"/>
            <rFont val="Tahoma"/>
            <family val="2"/>
          </rPr>
          <t>Author:</t>
        </r>
        <r>
          <rPr>
            <sz val="9"/>
            <color indexed="81"/>
            <rFont val="Tahoma"/>
            <family val="2"/>
          </rPr>
          <t xml:space="preserve">
Based on MMZCS2023</t>
        </r>
      </text>
    </comment>
    <comment ref="S14" authorId="0" shapeId="0" xr:uid="{00000000-0006-0000-0000-000017000000}">
      <text>
        <r>
          <rPr>
            <b/>
            <sz val="9"/>
            <color indexed="81"/>
            <rFont val="Tahoma"/>
            <family val="2"/>
          </rPr>
          <t>Author:</t>
        </r>
        <r>
          <rPr>
            <sz val="9"/>
            <color indexed="81"/>
            <rFont val="Tahoma"/>
            <family val="2"/>
          </rPr>
          <t xml:space="preserve">
Based on MMZCS2023</t>
        </r>
      </text>
    </comment>
    <comment ref="T14" authorId="0" shapeId="0" xr:uid="{00000000-0006-0000-0000-000018000000}">
      <text>
        <r>
          <rPr>
            <b/>
            <sz val="9"/>
            <color indexed="81"/>
            <rFont val="Tahoma"/>
            <family val="2"/>
          </rPr>
          <t>Author:</t>
        </r>
        <r>
          <rPr>
            <sz val="9"/>
            <color indexed="81"/>
            <rFont val="Tahoma"/>
            <family val="2"/>
          </rPr>
          <t xml:space="preserve">
Based on MMZCS2023</t>
        </r>
      </text>
    </comment>
    <comment ref="U14" authorId="0" shapeId="0" xr:uid="{00000000-0006-0000-0000-000019000000}">
      <text>
        <r>
          <rPr>
            <b/>
            <sz val="9"/>
            <color indexed="81"/>
            <rFont val="Tahoma"/>
            <family val="2"/>
          </rPr>
          <t>Author:</t>
        </r>
        <r>
          <rPr>
            <sz val="9"/>
            <color indexed="81"/>
            <rFont val="Tahoma"/>
            <family val="2"/>
          </rPr>
          <t xml:space="preserve">
Based on MMZCS2023</t>
        </r>
      </text>
    </comment>
    <comment ref="R15" authorId="0" shapeId="0" xr:uid="{00000000-0006-0000-0000-00001A000000}">
      <text>
        <r>
          <rPr>
            <b/>
            <sz val="9"/>
            <color indexed="81"/>
            <rFont val="Tahoma"/>
            <family val="2"/>
          </rPr>
          <t>Author:</t>
        </r>
        <r>
          <rPr>
            <sz val="9"/>
            <color indexed="81"/>
            <rFont val="Tahoma"/>
            <family val="2"/>
          </rPr>
          <t xml:space="preserve">
Based on MMZCS2023</t>
        </r>
      </text>
    </comment>
    <comment ref="S15" authorId="0" shapeId="0" xr:uid="{00000000-0006-0000-0000-00001B000000}">
      <text>
        <r>
          <rPr>
            <b/>
            <sz val="9"/>
            <color indexed="81"/>
            <rFont val="Tahoma"/>
            <family val="2"/>
          </rPr>
          <t>Author:</t>
        </r>
        <r>
          <rPr>
            <sz val="9"/>
            <color indexed="81"/>
            <rFont val="Tahoma"/>
            <family val="2"/>
          </rPr>
          <t xml:space="preserve">
Based on MMZCS2023</t>
        </r>
      </text>
    </comment>
    <comment ref="T15" authorId="0" shapeId="0" xr:uid="{00000000-0006-0000-0000-00001C000000}">
      <text>
        <r>
          <rPr>
            <b/>
            <sz val="9"/>
            <color indexed="81"/>
            <rFont val="Tahoma"/>
            <family val="2"/>
          </rPr>
          <t>Author:</t>
        </r>
        <r>
          <rPr>
            <sz val="9"/>
            <color indexed="81"/>
            <rFont val="Tahoma"/>
            <family val="2"/>
          </rPr>
          <t xml:space="preserve">
Based on MMZCS2023</t>
        </r>
      </text>
    </comment>
    <comment ref="U15" authorId="0" shapeId="0" xr:uid="{00000000-0006-0000-0000-00001D000000}">
      <text>
        <r>
          <rPr>
            <b/>
            <sz val="9"/>
            <color indexed="81"/>
            <rFont val="Tahoma"/>
            <family val="2"/>
          </rPr>
          <t>Author:</t>
        </r>
        <r>
          <rPr>
            <sz val="9"/>
            <color indexed="81"/>
            <rFont val="Tahoma"/>
            <family val="2"/>
          </rPr>
          <t xml:space="preserve">
Based on MMZCS2023</t>
        </r>
      </text>
    </comment>
    <comment ref="AD15" authorId="0" shapeId="0" xr:uid="{00000000-0006-0000-0000-00001E000000}">
      <text>
        <r>
          <rPr>
            <b/>
            <sz val="9"/>
            <color indexed="81"/>
            <rFont val="Tahoma"/>
            <family val="2"/>
          </rPr>
          <t>Author:</t>
        </r>
        <r>
          <rPr>
            <sz val="9"/>
            <color indexed="81"/>
            <rFont val="Tahoma"/>
            <family val="2"/>
          </rPr>
          <t xml:space="preserve">
Based on MMZCS2023</t>
        </r>
      </text>
    </comment>
    <comment ref="AE15" authorId="0" shapeId="0" xr:uid="{00000000-0006-0000-0000-00001F000000}">
      <text>
        <r>
          <rPr>
            <b/>
            <sz val="9"/>
            <color indexed="81"/>
            <rFont val="Tahoma"/>
            <family val="2"/>
          </rPr>
          <t>Author:</t>
        </r>
        <r>
          <rPr>
            <sz val="9"/>
            <color indexed="81"/>
            <rFont val="Tahoma"/>
            <family val="2"/>
          </rPr>
          <t xml:space="preserve">
Based on MMZCS2023</t>
        </r>
      </text>
    </comment>
    <comment ref="AF15" authorId="0" shapeId="0" xr:uid="{00000000-0006-0000-0000-000020000000}">
      <text>
        <r>
          <rPr>
            <b/>
            <sz val="9"/>
            <color indexed="81"/>
            <rFont val="Tahoma"/>
            <family val="2"/>
          </rPr>
          <t>Author:</t>
        </r>
        <r>
          <rPr>
            <sz val="9"/>
            <color indexed="81"/>
            <rFont val="Tahoma"/>
            <family val="2"/>
          </rPr>
          <t xml:space="preserve">
Based on MMZCS2023</t>
        </r>
      </text>
    </comment>
    <comment ref="AG15" authorId="0" shapeId="0" xr:uid="{00000000-0006-0000-0000-000021000000}">
      <text>
        <r>
          <rPr>
            <b/>
            <sz val="9"/>
            <color indexed="81"/>
            <rFont val="Tahoma"/>
            <family val="2"/>
          </rPr>
          <t>Author:</t>
        </r>
        <r>
          <rPr>
            <sz val="9"/>
            <color indexed="81"/>
            <rFont val="Tahoma"/>
            <family val="2"/>
          </rPr>
          <t xml:space="preserve">
Based on MMZCS2023</t>
        </r>
      </text>
    </comment>
    <comment ref="AH15" authorId="0" shapeId="0" xr:uid="{00000000-0006-0000-0000-000022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I15" authorId="0" shapeId="0" xr:uid="{00000000-0006-0000-0000-000023000000}">
      <text>
        <r>
          <rPr>
            <b/>
            <sz val="9"/>
            <color indexed="81"/>
            <rFont val="Tahoma"/>
            <family val="2"/>
          </rPr>
          <t>Author:</t>
        </r>
        <r>
          <rPr>
            <sz val="9"/>
            <color indexed="81"/>
            <rFont val="Tahoma"/>
            <family val="2"/>
          </rPr>
          <t xml:space="preserve">
Based on MMZCS2023</t>
        </r>
      </text>
    </comment>
    <comment ref="AJ15" authorId="0" shapeId="0" xr:uid="{00000000-0006-0000-0000-000024000000}">
      <text>
        <r>
          <rPr>
            <b/>
            <sz val="9"/>
            <color indexed="81"/>
            <rFont val="Tahoma"/>
            <family val="2"/>
          </rPr>
          <t>Author:</t>
        </r>
        <r>
          <rPr>
            <sz val="9"/>
            <color indexed="81"/>
            <rFont val="Tahoma"/>
            <family val="2"/>
          </rPr>
          <t xml:space="preserve">
Based on MMZCS2023</t>
        </r>
      </text>
    </comment>
    <comment ref="AK15" authorId="0" shapeId="0" xr:uid="{00000000-0006-0000-0000-000025000000}">
      <text>
        <r>
          <rPr>
            <b/>
            <sz val="9"/>
            <color indexed="81"/>
            <rFont val="Tahoma"/>
            <family val="2"/>
          </rPr>
          <t>Author:</t>
        </r>
        <r>
          <rPr>
            <sz val="9"/>
            <color indexed="81"/>
            <rFont val="Tahoma"/>
            <family val="2"/>
          </rPr>
          <t xml:space="preserve">
Based on MMZCS2023</t>
        </r>
      </text>
    </comment>
    <comment ref="AL15" authorId="0" shapeId="0" xr:uid="{00000000-0006-0000-0000-000026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M15" authorId="0" shapeId="0" xr:uid="{00000000-0006-0000-0000-000027000000}">
      <text>
        <r>
          <rPr>
            <b/>
            <sz val="9"/>
            <color indexed="81"/>
            <rFont val="Tahoma"/>
            <family val="2"/>
          </rPr>
          <t>Author:</t>
        </r>
        <r>
          <rPr>
            <sz val="9"/>
            <color indexed="81"/>
            <rFont val="Tahoma"/>
            <family val="2"/>
          </rPr>
          <t xml:space="preserve">
Based on MMZCS2023</t>
        </r>
      </text>
    </comment>
    <comment ref="AN15" authorId="0" shapeId="0" xr:uid="{00000000-0006-0000-0000-000028000000}">
      <text>
        <r>
          <rPr>
            <b/>
            <sz val="9"/>
            <color indexed="81"/>
            <rFont val="Tahoma"/>
            <family val="2"/>
          </rPr>
          <t>Author:</t>
        </r>
        <r>
          <rPr>
            <sz val="9"/>
            <color indexed="81"/>
            <rFont val="Tahoma"/>
            <family val="2"/>
          </rPr>
          <t xml:space="preserve">
Based on MMZCS2023</t>
        </r>
      </text>
    </comment>
    <comment ref="AO15" authorId="0" shapeId="0" xr:uid="{00000000-0006-0000-0000-000029000000}">
      <text>
        <r>
          <rPr>
            <b/>
            <sz val="9"/>
            <color indexed="81"/>
            <rFont val="Tahoma"/>
            <family val="2"/>
          </rPr>
          <t>Author:</t>
        </r>
        <r>
          <rPr>
            <sz val="9"/>
            <color indexed="81"/>
            <rFont val="Tahoma"/>
            <family val="2"/>
          </rPr>
          <t xml:space="preserve">
Based on MMZCS2023</t>
        </r>
      </text>
    </comment>
    <comment ref="AP15" authorId="0" shapeId="0" xr:uid="{00000000-0006-0000-0000-00002A000000}">
      <text>
        <r>
          <rPr>
            <b/>
            <sz val="9"/>
            <color indexed="81"/>
            <rFont val="Tahoma"/>
            <family val="2"/>
          </rPr>
          <t>Author:</t>
        </r>
        <r>
          <rPr>
            <sz val="9"/>
            <color indexed="81"/>
            <rFont val="Tahoma"/>
            <family val="2"/>
          </rPr>
          <t xml:space="preserve">
Based on MMZCS2023</t>
        </r>
      </text>
    </comment>
    <comment ref="AQ15" authorId="0" shapeId="0" xr:uid="{00000000-0006-0000-0000-00002B000000}">
      <text>
        <r>
          <rPr>
            <b/>
            <sz val="9"/>
            <color indexed="81"/>
            <rFont val="Tahoma"/>
            <family val="2"/>
          </rPr>
          <t>Author:</t>
        </r>
        <r>
          <rPr>
            <sz val="9"/>
            <color indexed="81"/>
            <rFont val="Tahoma"/>
            <family val="2"/>
          </rPr>
          <t xml:space="preserve">
Based on MMZCS2023</t>
        </r>
      </text>
    </comment>
    <comment ref="AR15" authorId="0" shapeId="0" xr:uid="{00000000-0006-0000-0000-00002C000000}">
      <text>
        <r>
          <rPr>
            <b/>
            <sz val="9"/>
            <color indexed="81"/>
            <rFont val="Tahoma"/>
            <family val="2"/>
          </rPr>
          <t>Author:</t>
        </r>
        <r>
          <rPr>
            <sz val="9"/>
            <color indexed="81"/>
            <rFont val="Tahoma"/>
            <family val="2"/>
          </rPr>
          <t xml:space="preserve">
Based on MMZCS2023</t>
        </r>
      </text>
    </comment>
    <comment ref="AS15" authorId="0" shapeId="0" xr:uid="{00000000-0006-0000-0000-00002D000000}">
      <text>
        <r>
          <rPr>
            <b/>
            <sz val="9"/>
            <color indexed="81"/>
            <rFont val="Tahoma"/>
            <family val="2"/>
          </rPr>
          <t>Author:</t>
        </r>
        <r>
          <rPr>
            <sz val="9"/>
            <color indexed="81"/>
            <rFont val="Tahoma"/>
            <family val="2"/>
          </rPr>
          <t xml:space="preserve">
Based on MMZCS2023</t>
        </r>
      </text>
    </comment>
    <comment ref="AT15" authorId="0" shapeId="0" xr:uid="{00000000-0006-0000-0000-00002E000000}">
      <text>
        <r>
          <rPr>
            <b/>
            <sz val="9"/>
            <color indexed="81"/>
            <rFont val="Tahoma"/>
            <family val="2"/>
          </rPr>
          <t>Author:</t>
        </r>
        <r>
          <rPr>
            <sz val="9"/>
            <color indexed="81"/>
            <rFont val="Tahoma"/>
            <family val="2"/>
          </rPr>
          <t xml:space="preserve">
Based on MMZCS2023 using a power law</t>
        </r>
      </text>
    </comment>
    <comment ref="AU15" authorId="0" shapeId="0" xr:uid="{00000000-0006-0000-0000-00002F000000}">
      <text>
        <r>
          <rPr>
            <b/>
            <sz val="9"/>
            <color indexed="81"/>
            <rFont val="Tahoma"/>
            <family val="2"/>
          </rPr>
          <t>Author:</t>
        </r>
        <r>
          <rPr>
            <sz val="9"/>
            <color indexed="81"/>
            <rFont val="Tahoma"/>
            <family val="2"/>
          </rPr>
          <t xml:space="preserve">
Based on MMZCS2023 using a power law</t>
        </r>
      </text>
    </comment>
    <comment ref="AV15" authorId="0" shapeId="0" xr:uid="{00000000-0006-0000-0000-000030000000}">
      <text>
        <r>
          <rPr>
            <b/>
            <sz val="9"/>
            <color indexed="81"/>
            <rFont val="Tahoma"/>
            <family val="2"/>
          </rPr>
          <t>Author:</t>
        </r>
        <r>
          <rPr>
            <sz val="9"/>
            <color indexed="81"/>
            <rFont val="Tahoma"/>
            <family val="2"/>
          </rPr>
          <t xml:space="preserve">
Based on MMZCS2023 using a power law</t>
        </r>
      </text>
    </comment>
    <comment ref="AW15" authorId="0" shapeId="0" xr:uid="{00000000-0006-0000-0000-000031000000}">
      <text>
        <r>
          <rPr>
            <b/>
            <sz val="9"/>
            <color indexed="81"/>
            <rFont val="Tahoma"/>
            <family val="2"/>
          </rPr>
          <t>Author:</t>
        </r>
        <r>
          <rPr>
            <sz val="9"/>
            <color indexed="81"/>
            <rFont val="Tahoma"/>
            <family val="2"/>
          </rPr>
          <t xml:space="preserve">
Based on MMZCS2023 using a power law</t>
        </r>
      </text>
    </comment>
    <comment ref="AX15" authorId="0" shapeId="0" xr:uid="{00000000-0006-0000-0000-000032000000}">
      <text>
        <r>
          <rPr>
            <b/>
            <sz val="9"/>
            <color indexed="81"/>
            <rFont val="Tahoma"/>
            <family val="2"/>
          </rPr>
          <t>Author:</t>
        </r>
        <r>
          <rPr>
            <sz val="9"/>
            <color indexed="81"/>
            <rFont val="Tahoma"/>
            <family val="2"/>
          </rPr>
          <t xml:space="preserve">
4% Capex based on MMZCS2023</t>
        </r>
      </text>
    </comment>
    <comment ref="AY15" authorId="0" shapeId="0" xr:uid="{00000000-0006-0000-0000-000033000000}">
      <text>
        <r>
          <rPr>
            <b/>
            <sz val="9"/>
            <color indexed="81"/>
            <rFont val="Tahoma"/>
            <family val="2"/>
          </rPr>
          <t>Author:</t>
        </r>
        <r>
          <rPr>
            <sz val="9"/>
            <color indexed="81"/>
            <rFont val="Tahoma"/>
            <family val="2"/>
          </rPr>
          <t xml:space="preserve">
4% Capex based on MMZCS2023</t>
        </r>
      </text>
    </comment>
    <comment ref="AZ15" authorId="0" shapeId="0" xr:uid="{00000000-0006-0000-0000-000034000000}">
      <text>
        <r>
          <rPr>
            <b/>
            <sz val="9"/>
            <color indexed="81"/>
            <rFont val="Tahoma"/>
            <family val="2"/>
          </rPr>
          <t>Author:</t>
        </r>
        <r>
          <rPr>
            <sz val="9"/>
            <color indexed="81"/>
            <rFont val="Tahoma"/>
            <family val="2"/>
          </rPr>
          <t xml:space="preserve">
4% Capex based on MMZCS2023</t>
        </r>
      </text>
    </comment>
    <comment ref="BA15" authorId="0" shapeId="0" xr:uid="{00000000-0006-0000-0000-000035000000}">
      <text>
        <r>
          <rPr>
            <b/>
            <sz val="9"/>
            <color indexed="81"/>
            <rFont val="Tahoma"/>
            <family val="2"/>
          </rPr>
          <t>Author:</t>
        </r>
        <r>
          <rPr>
            <sz val="9"/>
            <color indexed="81"/>
            <rFont val="Tahoma"/>
            <family val="2"/>
          </rPr>
          <t xml:space="preserve">
4% Capex based on MMZCS2023</t>
        </r>
      </text>
    </comment>
    <comment ref="BR15" authorId="0" shapeId="0" xr:uid="{00000000-0006-0000-0000-000036000000}">
      <text>
        <r>
          <rPr>
            <b/>
            <sz val="9"/>
            <color indexed="81"/>
            <rFont val="Tahoma"/>
            <family val="2"/>
          </rPr>
          <t>Author:</t>
        </r>
        <r>
          <rPr>
            <sz val="9"/>
            <color indexed="81"/>
            <rFont val="Tahoma"/>
            <family val="2"/>
          </rPr>
          <t xml:space="preserve">
From MMZCS2023</t>
        </r>
      </text>
    </comment>
    <comment ref="BS15" authorId="0" shapeId="0" xr:uid="{00000000-0006-0000-0000-000037000000}">
      <text>
        <r>
          <rPr>
            <b/>
            <sz val="9"/>
            <color indexed="81"/>
            <rFont val="Tahoma"/>
            <family val="2"/>
          </rPr>
          <t>Author:</t>
        </r>
        <r>
          <rPr>
            <sz val="9"/>
            <color indexed="81"/>
            <rFont val="Tahoma"/>
            <family val="2"/>
          </rPr>
          <t xml:space="preserve">
From MMZCS2023</t>
        </r>
      </text>
    </comment>
    <comment ref="BT15" authorId="0" shapeId="0" xr:uid="{00000000-0006-0000-0000-000038000000}">
      <text>
        <r>
          <rPr>
            <b/>
            <sz val="9"/>
            <color indexed="81"/>
            <rFont val="Tahoma"/>
            <family val="2"/>
          </rPr>
          <t>Author:</t>
        </r>
        <r>
          <rPr>
            <sz val="9"/>
            <color indexed="81"/>
            <rFont val="Tahoma"/>
            <family val="2"/>
          </rPr>
          <t xml:space="preserve">
From MMZCS2023</t>
        </r>
      </text>
    </comment>
    <comment ref="BU15" authorId="0" shapeId="0" xr:uid="{00000000-0006-0000-0000-000039000000}">
      <text>
        <r>
          <rPr>
            <b/>
            <sz val="9"/>
            <color indexed="81"/>
            <rFont val="Tahoma"/>
            <family val="2"/>
          </rPr>
          <t>Author:</t>
        </r>
        <r>
          <rPr>
            <sz val="9"/>
            <color indexed="81"/>
            <rFont val="Tahoma"/>
            <family val="2"/>
          </rPr>
          <t xml:space="preserve">
From MMZCS2023</t>
        </r>
      </text>
    </comment>
    <comment ref="R16" authorId="0" shapeId="0" xr:uid="{00000000-0006-0000-0000-00003A000000}">
      <text>
        <r>
          <rPr>
            <b/>
            <sz val="9"/>
            <color indexed="81"/>
            <rFont val="Tahoma"/>
            <family val="2"/>
          </rPr>
          <t>Author:</t>
        </r>
        <r>
          <rPr>
            <sz val="9"/>
            <color indexed="81"/>
            <rFont val="Tahoma"/>
            <family val="2"/>
          </rPr>
          <t xml:space="preserve">
Based on Butera2021</t>
        </r>
      </text>
    </comment>
    <comment ref="S16" authorId="0" shapeId="0" xr:uid="{00000000-0006-0000-0000-00003B000000}">
      <text>
        <r>
          <rPr>
            <b/>
            <sz val="9"/>
            <color indexed="81"/>
            <rFont val="Tahoma"/>
            <family val="2"/>
          </rPr>
          <t>Author:</t>
        </r>
        <r>
          <rPr>
            <sz val="9"/>
            <color indexed="81"/>
            <rFont val="Tahoma"/>
            <family val="2"/>
          </rPr>
          <t xml:space="preserve">
Based on Butera2021</t>
        </r>
      </text>
    </comment>
    <comment ref="T16" authorId="0" shapeId="0" xr:uid="{00000000-0006-0000-0000-00003C000000}">
      <text>
        <r>
          <rPr>
            <b/>
            <sz val="9"/>
            <color indexed="81"/>
            <rFont val="Tahoma"/>
            <family val="2"/>
          </rPr>
          <t>Author:</t>
        </r>
        <r>
          <rPr>
            <sz val="9"/>
            <color indexed="81"/>
            <rFont val="Tahoma"/>
            <family val="2"/>
          </rPr>
          <t xml:space="preserve">
Based on Butera2021</t>
        </r>
      </text>
    </comment>
    <comment ref="U16" authorId="0" shapeId="0" xr:uid="{00000000-0006-0000-0000-00003D000000}">
      <text>
        <r>
          <rPr>
            <b/>
            <sz val="9"/>
            <color indexed="81"/>
            <rFont val="Tahoma"/>
            <family val="2"/>
          </rPr>
          <t>Author:</t>
        </r>
        <r>
          <rPr>
            <sz val="9"/>
            <color indexed="81"/>
            <rFont val="Tahoma"/>
            <family val="2"/>
          </rPr>
          <t xml:space="preserve">
Based on Butera2021</t>
        </r>
      </text>
    </comment>
    <comment ref="R17" authorId="0" shapeId="0" xr:uid="{00000000-0006-0000-0000-00003E000000}">
      <text>
        <r>
          <rPr>
            <b/>
            <sz val="9"/>
            <color indexed="81"/>
            <rFont val="Tahoma"/>
            <family val="2"/>
          </rPr>
          <t>Author:</t>
        </r>
        <r>
          <rPr>
            <sz val="9"/>
            <color indexed="81"/>
            <rFont val="Tahoma"/>
            <family val="2"/>
          </rPr>
          <t xml:space="preserve">
Based on Butera2021</t>
        </r>
      </text>
    </comment>
    <comment ref="S17" authorId="0" shapeId="0" xr:uid="{00000000-0006-0000-0000-00003F000000}">
      <text>
        <r>
          <rPr>
            <b/>
            <sz val="9"/>
            <color indexed="81"/>
            <rFont val="Tahoma"/>
            <family val="2"/>
          </rPr>
          <t>Author:</t>
        </r>
        <r>
          <rPr>
            <sz val="9"/>
            <color indexed="81"/>
            <rFont val="Tahoma"/>
            <family val="2"/>
          </rPr>
          <t xml:space="preserve">
Based on Butera2021</t>
        </r>
      </text>
    </comment>
    <comment ref="T17" authorId="0" shapeId="0" xr:uid="{00000000-0006-0000-0000-000040000000}">
      <text>
        <r>
          <rPr>
            <b/>
            <sz val="9"/>
            <color indexed="81"/>
            <rFont val="Tahoma"/>
            <family val="2"/>
          </rPr>
          <t>Author:</t>
        </r>
        <r>
          <rPr>
            <sz val="9"/>
            <color indexed="81"/>
            <rFont val="Tahoma"/>
            <family val="2"/>
          </rPr>
          <t xml:space="preserve">
Based on Butera2021</t>
        </r>
      </text>
    </comment>
    <comment ref="U17" authorId="0" shapeId="0" xr:uid="{00000000-0006-0000-0000-000041000000}">
      <text>
        <r>
          <rPr>
            <b/>
            <sz val="9"/>
            <color indexed="81"/>
            <rFont val="Tahoma"/>
            <family val="2"/>
          </rPr>
          <t>Author:</t>
        </r>
        <r>
          <rPr>
            <sz val="9"/>
            <color indexed="81"/>
            <rFont val="Tahoma"/>
            <family val="2"/>
          </rPr>
          <t xml:space="preserve">
Based on Butera2021</t>
        </r>
      </text>
    </comment>
    <comment ref="AD17" authorId="0" shapeId="0" xr:uid="{00000000-0006-0000-0000-000042000000}">
      <text>
        <r>
          <rPr>
            <b/>
            <sz val="9"/>
            <color indexed="81"/>
            <rFont val="Tahoma"/>
            <family val="2"/>
          </rPr>
          <t>Author:</t>
        </r>
        <r>
          <rPr>
            <sz val="9"/>
            <color indexed="81"/>
            <rFont val="Tahoma"/>
            <family val="2"/>
          </rPr>
          <t xml:space="preserve">
Based on MMZCS2023</t>
        </r>
      </text>
    </comment>
    <comment ref="AE17" authorId="0" shapeId="0" xr:uid="{00000000-0006-0000-0000-000043000000}">
      <text>
        <r>
          <rPr>
            <b/>
            <sz val="9"/>
            <color indexed="81"/>
            <rFont val="Tahoma"/>
            <family val="2"/>
          </rPr>
          <t>Author:</t>
        </r>
        <r>
          <rPr>
            <sz val="9"/>
            <color indexed="81"/>
            <rFont val="Tahoma"/>
            <family val="2"/>
          </rPr>
          <t xml:space="preserve">
Based on MMZCS2023</t>
        </r>
      </text>
    </comment>
    <comment ref="AF17" authorId="0" shapeId="0" xr:uid="{00000000-0006-0000-0000-000044000000}">
      <text>
        <r>
          <rPr>
            <b/>
            <sz val="9"/>
            <color indexed="81"/>
            <rFont val="Tahoma"/>
            <family val="2"/>
          </rPr>
          <t>Author:</t>
        </r>
        <r>
          <rPr>
            <sz val="9"/>
            <color indexed="81"/>
            <rFont val="Tahoma"/>
            <family val="2"/>
          </rPr>
          <t xml:space="preserve">
Based on MMZCS2023</t>
        </r>
      </text>
    </comment>
    <comment ref="AG17" authorId="0" shapeId="0" xr:uid="{00000000-0006-0000-0000-000045000000}">
      <text>
        <r>
          <rPr>
            <b/>
            <sz val="9"/>
            <color indexed="81"/>
            <rFont val="Tahoma"/>
            <family val="2"/>
          </rPr>
          <t>Author:</t>
        </r>
        <r>
          <rPr>
            <sz val="9"/>
            <color indexed="81"/>
            <rFont val="Tahoma"/>
            <family val="2"/>
          </rPr>
          <t xml:space="preserve">
Based on MMZCS2023</t>
        </r>
      </text>
    </comment>
    <comment ref="AH17" authorId="0" shapeId="0" xr:uid="{00000000-0006-0000-0000-000046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I17" authorId="0" shapeId="0" xr:uid="{00000000-0006-0000-0000-000047000000}">
      <text>
        <r>
          <rPr>
            <b/>
            <sz val="9"/>
            <color indexed="81"/>
            <rFont val="Tahoma"/>
            <family val="2"/>
          </rPr>
          <t>Author:</t>
        </r>
        <r>
          <rPr>
            <sz val="9"/>
            <color indexed="81"/>
            <rFont val="Tahoma"/>
            <family val="2"/>
          </rPr>
          <t xml:space="preserve">
Based on MMZCS2023</t>
        </r>
      </text>
    </comment>
    <comment ref="AJ17" authorId="0" shapeId="0" xr:uid="{00000000-0006-0000-0000-000048000000}">
      <text>
        <r>
          <rPr>
            <b/>
            <sz val="9"/>
            <color indexed="81"/>
            <rFont val="Tahoma"/>
            <family val="2"/>
          </rPr>
          <t>Author:</t>
        </r>
        <r>
          <rPr>
            <sz val="9"/>
            <color indexed="81"/>
            <rFont val="Tahoma"/>
            <family val="2"/>
          </rPr>
          <t xml:space="preserve">
Based on MMZCS2023</t>
        </r>
      </text>
    </comment>
    <comment ref="AK17" authorId="0" shapeId="0" xr:uid="{00000000-0006-0000-0000-000049000000}">
      <text>
        <r>
          <rPr>
            <b/>
            <sz val="9"/>
            <color indexed="81"/>
            <rFont val="Tahoma"/>
            <family val="2"/>
          </rPr>
          <t>Author:</t>
        </r>
        <r>
          <rPr>
            <sz val="9"/>
            <color indexed="81"/>
            <rFont val="Tahoma"/>
            <family val="2"/>
          </rPr>
          <t xml:space="preserve">
Based on MMZCS2023</t>
        </r>
      </text>
    </comment>
    <comment ref="AL17" authorId="0" shapeId="0" xr:uid="{00000000-0006-0000-0000-00004A000000}">
      <text>
        <r>
          <rPr>
            <b/>
            <sz val="9"/>
            <color indexed="81"/>
            <rFont val="Tahoma"/>
            <family val="2"/>
          </rPr>
          <t>Author:</t>
        </r>
        <r>
          <rPr>
            <sz val="9"/>
            <color indexed="81"/>
            <rFont val="Tahoma"/>
            <family val="2"/>
          </rPr>
          <t xml:space="preserve">
Assumed to be similar to an ammonia plant. Ramp rate for an ammonia plant is from Armijo2020</t>
        </r>
      </text>
    </comment>
    <comment ref="AM17" authorId="0" shapeId="0" xr:uid="{00000000-0006-0000-0000-00004B000000}">
      <text>
        <r>
          <rPr>
            <b/>
            <sz val="9"/>
            <color indexed="81"/>
            <rFont val="Tahoma"/>
            <family val="2"/>
          </rPr>
          <t>Author:</t>
        </r>
        <r>
          <rPr>
            <sz val="9"/>
            <color indexed="81"/>
            <rFont val="Tahoma"/>
            <family val="2"/>
          </rPr>
          <t xml:space="preserve">
Based on MMZCS2023</t>
        </r>
      </text>
    </comment>
    <comment ref="AN17" authorId="0" shapeId="0" xr:uid="{00000000-0006-0000-0000-00004C000000}">
      <text>
        <r>
          <rPr>
            <b/>
            <sz val="9"/>
            <color indexed="81"/>
            <rFont val="Tahoma"/>
            <family val="2"/>
          </rPr>
          <t>Author:</t>
        </r>
        <r>
          <rPr>
            <sz val="9"/>
            <color indexed="81"/>
            <rFont val="Tahoma"/>
            <family val="2"/>
          </rPr>
          <t xml:space="preserve">
Based on MMZCS2023</t>
        </r>
      </text>
    </comment>
    <comment ref="AO17" authorId="0" shapeId="0" xr:uid="{00000000-0006-0000-0000-00004D000000}">
      <text>
        <r>
          <rPr>
            <b/>
            <sz val="9"/>
            <color indexed="81"/>
            <rFont val="Tahoma"/>
            <family val="2"/>
          </rPr>
          <t>Author:</t>
        </r>
        <r>
          <rPr>
            <sz val="9"/>
            <color indexed="81"/>
            <rFont val="Tahoma"/>
            <family val="2"/>
          </rPr>
          <t xml:space="preserve">
Based on MMZCS2023</t>
        </r>
      </text>
    </comment>
    <comment ref="AP17" authorId="0" shapeId="0" xr:uid="{00000000-0006-0000-0000-00004E000000}">
      <text>
        <r>
          <rPr>
            <b/>
            <sz val="9"/>
            <color indexed="81"/>
            <rFont val="Tahoma"/>
            <family val="2"/>
          </rPr>
          <t>Author:</t>
        </r>
        <r>
          <rPr>
            <sz val="9"/>
            <color indexed="81"/>
            <rFont val="Tahoma"/>
            <family val="2"/>
          </rPr>
          <t xml:space="preserve">
Based on Butera2021</t>
        </r>
      </text>
    </comment>
    <comment ref="AQ17" authorId="0" shapeId="0" xr:uid="{00000000-0006-0000-0000-00004F000000}">
      <text>
        <r>
          <rPr>
            <b/>
            <sz val="9"/>
            <color indexed="81"/>
            <rFont val="Tahoma"/>
            <family val="2"/>
          </rPr>
          <t>Author:</t>
        </r>
        <r>
          <rPr>
            <sz val="9"/>
            <color indexed="81"/>
            <rFont val="Tahoma"/>
            <family val="2"/>
          </rPr>
          <t xml:space="preserve">
Based on Butera2021</t>
        </r>
      </text>
    </comment>
    <comment ref="AR17" authorId="0" shapeId="0" xr:uid="{00000000-0006-0000-0000-000050000000}">
      <text>
        <r>
          <rPr>
            <b/>
            <sz val="9"/>
            <color indexed="81"/>
            <rFont val="Tahoma"/>
            <family val="2"/>
          </rPr>
          <t>Author:</t>
        </r>
        <r>
          <rPr>
            <sz val="9"/>
            <color indexed="81"/>
            <rFont val="Tahoma"/>
            <family val="2"/>
          </rPr>
          <t xml:space="preserve">
Based on Butera2021</t>
        </r>
      </text>
    </comment>
    <comment ref="AS17" authorId="0" shapeId="0" xr:uid="{00000000-0006-0000-0000-000051000000}">
      <text>
        <r>
          <rPr>
            <b/>
            <sz val="9"/>
            <color indexed="81"/>
            <rFont val="Tahoma"/>
            <family val="2"/>
          </rPr>
          <t>Author:</t>
        </r>
        <r>
          <rPr>
            <sz val="9"/>
            <color indexed="81"/>
            <rFont val="Tahoma"/>
            <family val="2"/>
          </rPr>
          <t xml:space="preserve">
Based on Butera2021</t>
        </r>
      </text>
    </comment>
    <comment ref="AT17" authorId="0" shapeId="0" xr:uid="{00000000-0006-0000-0000-000052000000}">
      <text>
        <r>
          <rPr>
            <b/>
            <sz val="9"/>
            <color indexed="81"/>
            <rFont val="Tahoma"/>
            <family val="2"/>
          </rPr>
          <t>Author:</t>
        </r>
        <r>
          <rPr>
            <sz val="9"/>
            <color indexed="81"/>
            <rFont val="Tahoma"/>
            <family val="2"/>
          </rPr>
          <t xml:space="preserve">
Based on Butera2021</t>
        </r>
      </text>
    </comment>
    <comment ref="AU17" authorId="0" shapeId="0" xr:uid="{00000000-0006-0000-0000-000053000000}">
      <text>
        <r>
          <rPr>
            <b/>
            <sz val="9"/>
            <color indexed="81"/>
            <rFont val="Tahoma"/>
            <family val="2"/>
          </rPr>
          <t>Author:</t>
        </r>
        <r>
          <rPr>
            <sz val="9"/>
            <color indexed="81"/>
            <rFont val="Tahoma"/>
            <family val="2"/>
          </rPr>
          <t xml:space="preserve">
Based on Butera2021</t>
        </r>
      </text>
    </comment>
    <comment ref="AV17" authorId="0" shapeId="0" xr:uid="{00000000-0006-0000-0000-000054000000}">
      <text>
        <r>
          <rPr>
            <b/>
            <sz val="9"/>
            <color indexed="81"/>
            <rFont val="Tahoma"/>
            <family val="2"/>
          </rPr>
          <t>Author:</t>
        </r>
        <r>
          <rPr>
            <sz val="9"/>
            <color indexed="81"/>
            <rFont val="Tahoma"/>
            <family val="2"/>
          </rPr>
          <t xml:space="preserve">
Based on Butera2021</t>
        </r>
      </text>
    </comment>
    <comment ref="AW17" authorId="0" shapeId="0" xr:uid="{00000000-0006-0000-0000-000055000000}">
      <text>
        <r>
          <rPr>
            <b/>
            <sz val="9"/>
            <color indexed="81"/>
            <rFont val="Tahoma"/>
            <family val="2"/>
          </rPr>
          <t>Author:</t>
        </r>
        <r>
          <rPr>
            <sz val="9"/>
            <color indexed="81"/>
            <rFont val="Tahoma"/>
            <family val="2"/>
          </rPr>
          <t xml:space="preserve">
Based on Butera2021</t>
        </r>
      </text>
    </comment>
    <comment ref="AX17" authorId="0" shapeId="0" xr:uid="{00000000-0006-0000-0000-000056000000}">
      <text>
        <r>
          <rPr>
            <b/>
            <sz val="9"/>
            <color indexed="81"/>
            <rFont val="Tahoma"/>
            <family val="2"/>
          </rPr>
          <t>Author:</t>
        </r>
        <r>
          <rPr>
            <sz val="9"/>
            <color indexed="81"/>
            <rFont val="Tahoma"/>
            <family val="2"/>
          </rPr>
          <t xml:space="preserve">
Based on DEA2023.</t>
        </r>
      </text>
    </comment>
    <comment ref="AY17" authorId="0" shapeId="0" xr:uid="{00000000-0006-0000-0000-000057000000}">
      <text>
        <r>
          <rPr>
            <b/>
            <sz val="9"/>
            <color indexed="81"/>
            <rFont val="Tahoma"/>
            <family val="2"/>
          </rPr>
          <t>Author:</t>
        </r>
        <r>
          <rPr>
            <sz val="9"/>
            <color indexed="81"/>
            <rFont val="Tahoma"/>
            <family val="2"/>
          </rPr>
          <t xml:space="preserve">
Based on DEA2023.</t>
        </r>
      </text>
    </comment>
    <comment ref="AZ17" authorId="0" shapeId="0" xr:uid="{00000000-0006-0000-0000-000058000000}">
      <text>
        <r>
          <rPr>
            <b/>
            <sz val="9"/>
            <color indexed="81"/>
            <rFont val="Tahoma"/>
            <family val="2"/>
          </rPr>
          <t>Author:</t>
        </r>
        <r>
          <rPr>
            <sz val="9"/>
            <color indexed="81"/>
            <rFont val="Tahoma"/>
            <family val="2"/>
          </rPr>
          <t xml:space="preserve">
Based on DEA2023.</t>
        </r>
      </text>
    </comment>
    <comment ref="BA17" authorId="0" shapeId="0" xr:uid="{00000000-0006-0000-0000-000059000000}">
      <text>
        <r>
          <rPr>
            <b/>
            <sz val="9"/>
            <color indexed="81"/>
            <rFont val="Tahoma"/>
            <family val="2"/>
          </rPr>
          <t>Author:</t>
        </r>
        <r>
          <rPr>
            <sz val="9"/>
            <color indexed="81"/>
            <rFont val="Tahoma"/>
            <family val="2"/>
          </rPr>
          <t xml:space="preserve">
Based on DEA2023.</t>
        </r>
      </text>
    </comment>
    <comment ref="BR17" authorId="0" shapeId="0" xr:uid="{00000000-0006-0000-0000-00005A000000}">
      <text>
        <r>
          <rPr>
            <b/>
            <sz val="9"/>
            <color indexed="81"/>
            <rFont val="Tahoma"/>
            <family val="2"/>
          </rPr>
          <t>Author:</t>
        </r>
        <r>
          <rPr>
            <sz val="9"/>
            <color indexed="81"/>
            <rFont val="Tahoma"/>
            <family val="2"/>
          </rPr>
          <t xml:space="preserve">
From MMZCS2023</t>
        </r>
      </text>
    </comment>
    <comment ref="BS17" authorId="0" shapeId="0" xr:uid="{00000000-0006-0000-0000-00005B000000}">
      <text>
        <r>
          <rPr>
            <b/>
            <sz val="9"/>
            <color indexed="81"/>
            <rFont val="Tahoma"/>
            <family val="2"/>
          </rPr>
          <t>Author:</t>
        </r>
        <r>
          <rPr>
            <sz val="9"/>
            <color indexed="81"/>
            <rFont val="Tahoma"/>
            <family val="2"/>
          </rPr>
          <t xml:space="preserve">
From MMZCS2023</t>
        </r>
      </text>
    </comment>
    <comment ref="BT17" authorId="0" shapeId="0" xr:uid="{00000000-0006-0000-0000-00005C000000}">
      <text>
        <r>
          <rPr>
            <b/>
            <sz val="9"/>
            <color indexed="81"/>
            <rFont val="Tahoma"/>
            <family val="2"/>
          </rPr>
          <t>Author:</t>
        </r>
        <r>
          <rPr>
            <sz val="9"/>
            <color indexed="81"/>
            <rFont val="Tahoma"/>
            <family val="2"/>
          </rPr>
          <t xml:space="preserve">
From MMZCS2023</t>
        </r>
      </text>
    </comment>
    <comment ref="BU17" authorId="0" shapeId="0" xr:uid="{00000000-0006-0000-0000-00005D000000}">
      <text>
        <r>
          <rPr>
            <b/>
            <sz val="9"/>
            <color indexed="81"/>
            <rFont val="Tahoma"/>
            <family val="2"/>
          </rPr>
          <t>Author:</t>
        </r>
        <r>
          <rPr>
            <sz val="9"/>
            <color indexed="81"/>
            <rFont val="Tahoma"/>
            <family val="2"/>
          </rPr>
          <t xml:space="preserve">
From MMZCS2023</t>
        </r>
      </text>
    </comment>
    <comment ref="R18" authorId="0" shapeId="0" xr:uid="{00000000-0006-0000-0000-00005E000000}">
      <text>
        <r>
          <rPr>
            <b/>
            <sz val="9"/>
            <color indexed="81"/>
            <rFont val="Tahoma"/>
            <family val="2"/>
          </rPr>
          <t>Author:</t>
        </r>
        <r>
          <rPr>
            <sz val="9"/>
            <color indexed="81"/>
            <rFont val="Tahoma"/>
            <family val="2"/>
          </rPr>
          <t xml:space="preserve">
From this study </t>
        </r>
      </text>
    </comment>
    <comment ref="S18" authorId="0" shapeId="0" xr:uid="{00000000-0006-0000-0000-00005F000000}">
      <text>
        <r>
          <rPr>
            <b/>
            <sz val="9"/>
            <color indexed="81"/>
            <rFont val="Tahoma"/>
            <family val="2"/>
          </rPr>
          <t>Author:</t>
        </r>
        <r>
          <rPr>
            <sz val="9"/>
            <color indexed="81"/>
            <rFont val="Tahoma"/>
            <family val="2"/>
          </rPr>
          <t xml:space="preserve">
From this study </t>
        </r>
      </text>
    </comment>
    <comment ref="T18" authorId="0" shapeId="0" xr:uid="{00000000-0006-0000-0000-000060000000}">
      <text>
        <r>
          <rPr>
            <b/>
            <sz val="9"/>
            <color indexed="81"/>
            <rFont val="Tahoma"/>
            <family val="2"/>
          </rPr>
          <t>Author:</t>
        </r>
        <r>
          <rPr>
            <sz val="9"/>
            <color indexed="81"/>
            <rFont val="Tahoma"/>
            <family val="2"/>
          </rPr>
          <t xml:space="preserve">
From this study </t>
        </r>
      </text>
    </comment>
    <comment ref="U18" authorId="0" shapeId="0" xr:uid="{00000000-0006-0000-0000-000061000000}">
      <text>
        <r>
          <rPr>
            <b/>
            <sz val="9"/>
            <color indexed="81"/>
            <rFont val="Tahoma"/>
            <family val="2"/>
          </rPr>
          <t>Author:</t>
        </r>
        <r>
          <rPr>
            <sz val="9"/>
            <color indexed="81"/>
            <rFont val="Tahoma"/>
            <family val="2"/>
          </rPr>
          <t xml:space="preserve">
From this study </t>
        </r>
      </text>
    </comment>
    <comment ref="BN18" authorId="0" shapeId="0" xr:uid="{00000000-0006-0000-0000-000062000000}">
      <text>
        <r>
          <rPr>
            <b/>
            <sz val="9"/>
            <color indexed="81"/>
            <rFont val="Tahoma"/>
            <family val="2"/>
          </rPr>
          <t>Author:</t>
        </r>
        <r>
          <rPr>
            <sz val="9"/>
            <color indexed="81"/>
            <rFont val="Tahoma"/>
            <family val="2"/>
          </rPr>
          <t xml:space="preserve">
Carbon sequestration median value from different sources taken from Campion2023</t>
        </r>
      </text>
    </comment>
    <comment ref="BO18" authorId="0" shapeId="0" xr:uid="{00000000-0006-0000-0000-000063000000}">
      <text>
        <r>
          <rPr>
            <b/>
            <sz val="9"/>
            <color indexed="81"/>
            <rFont val="Tahoma"/>
            <family val="2"/>
          </rPr>
          <t>Author:</t>
        </r>
        <r>
          <rPr>
            <sz val="9"/>
            <color indexed="81"/>
            <rFont val="Tahoma"/>
            <family val="2"/>
          </rPr>
          <t xml:space="preserve">
Carbon sequestration median value from different sources taken from Campion2023</t>
        </r>
      </text>
    </comment>
    <comment ref="BP18" authorId="0" shapeId="0" xr:uid="{00000000-0006-0000-0000-000064000000}">
      <text>
        <r>
          <rPr>
            <b/>
            <sz val="9"/>
            <color indexed="81"/>
            <rFont val="Tahoma"/>
            <family val="2"/>
          </rPr>
          <t>Author:</t>
        </r>
        <r>
          <rPr>
            <sz val="9"/>
            <color indexed="81"/>
            <rFont val="Tahoma"/>
            <family val="2"/>
          </rPr>
          <t xml:space="preserve">
Carbon sequestration median value from different sources taken from Campion2023</t>
        </r>
      </text>
    </comment>
    <comment ref="BQ18" authorId="0" shapeId="0" xr:uid="{00000000-0006-0000-0000-000065000000}">
      <text>
        <r>
          <rPr>
            <b/>
            <sz val="9"/>
            <color indexed="81"/>
            <rFont val="Tahoma"/>
            <family val="2"/>
          </rPr>
          <t>Author:</t>
        </r>
        <r>
          <rPr>
            <sz val="9"/>
            <color indexed="81"/>
            <rFont val="Tahoma"/>
            <family val="2"/>
          </rPr>
          <t xml:space="preserve">
Carbon sequestration median value from different sources taken from Campion2023</t>
        </r>
      </text>
    </comment>
    <comment ref="R19" authorId="0" shapeId="0" xr:uid="{00000000-0006-0000-0000-000066000000}">
      <text>
        <r>
          <rPr>
            <b/>
            <sz val="9"/>
            <color indexed="81"/>
            <rFont val="Tahoma"/>
            <family val="2"/>
          </rPr>
          <t>Author:</t>
        </r>
        <r>
          <rPr>
            <sz val="9"/>
            <color indexed="81"/>
            <rFont val="Tahoma"/>
            <family val="2"/>
          </rPr>
          <t xml:space="preserve">
From Paper III </t>
        </r>
      </text>
    </comment>
    <comment ref="S19" authorId="0" shapeId="0" xr:uid="{00000000-0006-0000-0000-000067000000}">
      <text>
        <r>
          <rPr>
            <b/>
            <sz val="9"/>
            <color indexed="81"/>
            <rFont val="Tahoma"/>
            <family val="2"/>
          </rPr>
          <t>Author:</t>
        </r>
        <r>
          <rPr>
            <sz val="9"/>
            <color indexed="81"/>
            <rFont val="Tahoma"/>
            <family val="2"/>
          </rPr>
          <t xml:space="preserve">
From Paper III </t>
        </r>
      </text>
    </comment>
    <comment ref="T19" authorId="0" shapeId="0" xr:uid="{00000000-0006-0000-0000-000068000000}">
      <text>
        <r>
          <rPr>
            <b/>
            <sz val="9"/>
            <color indexed="81"/>
            <rFont val="Tahoma"/>
            <family val="2"/>
          </rPr>
          <t>Author:</t>
        </r>
        <r>
          <rPr>
            <sz val="9"/>
            <color indexed="81"/>
            <rFont val="Tahoma"/>
            <family val="2"/>
          </rPr>
          <t xml:space="preserve">
From Paper III </t>
        </r>
      </text>
    </comment>
    <comment ref="U19" authorId="0" shapeId="0" xr:uid="{00000000-0006-0000-0000-000069000000}">
      <text>
        <r>
          <rPr>
            <b/>
            <sz val="9"/>
            <color indexed="81"/>
            <rFont val="Tahoma"/>
            <family val="2"/>
          </rPr>
          <t>Author:</t>
        </r>
        <r>
          <rPr>
            <sz val="9"/>
            <color indexed="81"/>
            <rFont val="Tahoma"/>
            <family val="2"/>
          </rPr>
          <t xml:space="preserve">
From Paper III </t>
        </r>
      </text>
    </comment>
    <comment ref="R20" authorId="0" shapeId="0" xr:uid="{00000000-0006-0000-0000-00006A000000}">
      <text>
        <r>
          <rPr>
            <b/>
            <sz val="9"/>
            <color indexed="81"/>
            <rFont val="Tahoma"/>
            <family val="2"/>
          </rPr>
          <t>Author:</t>
        </r>
        <r>
          <rPr>
            <sz val="9"/>
            <color indexed="81"/>
            <rFont val="Tahoma"/>
            <family val="2"/>
          </rPr>
          <t xml:space="preserve">
From Paper III </t>
        </r>
      </text>
    </comment>
    <comment ref="S20" authorId="0" shapeId="0" xr:uid="{00000000-0006-0000-0000-00006B000000}">
      <text>
        <r>
          <rPr>
            <b/>
            <sz val="9"/>
            <color indexed="81"/>
            <rFont val="Tahoma"/>
            <family val="2"/>
          </rPr>
          <t>Author:</t>
        </r>
        <r>
          <rPr>
            <sz val="9"/>
            <color indexed="81"/>
            <rFont val="Tahoma"/>
            <family val="2"/>
          </rPr>
          <t xml:space="preserve">
From Paper III </t>
        </r>
      </text>
    </comment>
    <comment ref="T20" authorId="0" shapeId="0" xr:uid="{00000000-0006-0000-0000-00006C000000}">
      <text>
        <r>
          <rPr>
            <b/>
            <sz val="9"/>
            <color indexed="81"/>
            <rFont val="Tahoma"/>
            <family val="2"/>
          </rPr>
          <t>Author:</t>
        </r>
        <r>
          <rPr>
            <sz val="9"/>
            <color indexed="81"/>
            <rFont val="Tahoma"/>
            <family val="2"/>
          </rPr>
          <t xml:space="preserve">
From Paper III </t>
        </r>
      </text>
    </comment>
    <comment ref="U20" authorId="0" shapeId="0" xr:uid="{00000000-0006-0000-0000-00006D000000}">
      <text>
        <r>
          <rPr>
            <b/>
            <sz val="9"/>
            <color indexed="81"/>
            <rFont val="Tahoma"/>
            <family val="2"/>
          </rPr>
          <t>Author:</t>
        </r>
        <r>
          <rPr>
            <sz val="9"/>
            <color indexed="81"/>
            <rFont val="Tahoma"/>
            <family val="2"/>
          </rPr>
          <t xml:space="preserve">
From Paper III </t>
        </r>
      </text>
    </comment>
    <comment ref="V20" authorId="0" shapeId="0" xr:uid="{00000000-0006-0000-0000-00006E000000}">
      <text>
        <r>
          <rPr>
            <b/>
            <sz val="9"/>
            <color indexed="81"/>
            <rFont val="Tahoma"/>
            <family val="2"/>
          </rPr>
          <t>Author:</t>
        </r>
        <r>
          <rPr>
            <sz val="9"/>
            <color indexed="81"/>
            <rFont val="Tahoma"/>
            <family val="2"/>
          </rPr>
          <t xml:space="preserve">
From Paper III </t>
        </r>
      </text>
    </comment>
    <comment ref="W20" authorId="0" shapeId="0" xr:uid="{00000000-0006-0000-0000-00006F000000}">
      <text>
        <r>
          <rPr>
            <b/>
            <sz val="9"/>
            <color indexed="81"/>
            <rFont val="Tahoma"/>
            <family val="2"/>
          </rPr>
          <t>Author:</t>
        </r>
        <r>
          <rPr>
            <sz val="9"/>
            <color indexed="81"/>
            <rFont val="Tahoma"/>
            <family val="2"/>
          </rPr>
          <t xml:space="preserve">
From Paper III </t>
        </r>
      </text>
    </comment>
    <comment ref="X20" authorId="0" shapeId="0" xr:uid="{00000000-0006-0000-0000-000070000000}">
      <text>
        <r>
          <rPr>
            <b/>
            <sz val="9"/>
            <color indexed="81"/>
            <rFont val="Tahoma"/>
            <family val="2"/>
          </rPr>
          <t>Author:</t>
        </r>
        <r>
          <rPr>
            <sz val="9"/>
            <color indexed="81"/>
            <rFont val="Tahoma"/>
            <family val="2"/>
          </rPr>
          <t xml:space="preserve">
From Paper III </t>
        </r>
      </text>
    </comment>
    <comment ref="Y20" authorId="0" shapeId="0" xr:uid="{00000000-0006-0000-0000-000071000000}">
      <text>
        <r>
          <rPr>
            <b/>
            <sz val="9"/>
            <color indexed="81"/>
            <rFont val="Tahoma"/>
            <family val="2"/>
          </rPr>
          <t>Author:</t>
        </r>
        <r>
          <rPr>
            <sz val="9"/>
            <color indexed="81"/>
            <rFont val="Tahoma"/>
            <family val="2"/>
          </rPr>
          <t xml:space="preserve">
From Paper III </t>
        </r>
      </text>
    </comment>
    <comment ref="AP20" authorId="0" shapeId="0" xr:uid="{00000000-0006-0000-0000-000072000000}">
      <text>
        <r>
          <rPr>
            <b/>
            <sz val="9"/>
            <color indexed="81"/>
            <rFont val="Tahoma"/>
            <family val="2"/>
          </rPr>
          <t>Author:</t>
        </r>
        <r>
          <rPr>
            <sz val="9"/>
            <color indexed="81"/>
            <rFont val="Tahoma"/>
            <family val="2"/>
          </rPr>
          <t xml:space="preserve">
From Paper III </t>
        </r>
      </text>
    </comment>
    <comment ref="AQ20" authorId="0" shapeId="0" xr:uid="{00000000-0006-0000-0000-000073000000}">
      <text>
        <r>
          <rPr>
            <b/>
            <sz val="9"/>
            <color indexed="81"/>
            <rFont val="Tahoma"/>
            <family val="2"/>
          </rPr>
          <t>Author:</t>
        </r>
        <r>
          <rPr>
            <sz val="9"/>
            <color indexed="81"/>
            <rFont val="Tahoma"/>
            <family val="2"/>
          </rPr>
          <t xml:space="preserve">
From Paper III </t>
        </r>
      </text>
    </comment>
    <comment ref="AR20" authorId="0" shapeId="0" xr:uid="{00000000-0006-0000-0000-000074000000}">
      <text>
        <r>
          <rPr>
            <b/>
            <sz val="9"/>
            <color indexed="81"/>
            <rFont val="Tahoma"/>
            <family val="2"/>
          </rPr>
          <t>Author:</t>
        </r>
        <r>
          <rPr>
            <sz val="9"/>
            <color indexed="81"/>
            <rFont val="Tahoma"/>
            <family val="2"/>
          </rPr>
          <t xml:space="preserve">
From Paper III </t>
        </r>
      </text>
    </comment>
    <comment ref="AS20" authorId="0" shapeId="0" xr:uid="{00000000-0006-0000-0000-000075000000}">
      <text>
        <r>
          <rPr>
            <b/>
            <sz val="9"/>
            <color indexed="81"/>
            <rFont val="Tahoma"/>
            <family val="2"/>
          </rPr>
          <t>Author:</t>
        </r>
        <r>
          <rPr>
            <sz val="9"/>
            <color indexed="81"/>
            <rFont val="Tahoma"/>
            <family val="2"/>
          </rPr>
          <t xml:space="preserve">
From Paper III </t>
        </r>
      </text>
    </comment>
    <comment ref="AT20" authorId="0" shapeId="0" xr:uid="{00000000-0006-0000-0000-000076000000}">
      <text>
        <r>
          <rPr>
            <b/>
            <sz val="9"/>
            <color indexed="81"/>
            <rFont val="Tahoma"/>
            <family val="2"/>
          </rPr>
          <t>Author:</t>
        </r>
        <r>
          <rPr>
            <sz val="9"/>
            <color indexed="81"/>
            <rFont val="Tahoma"/>
            <family val="2"/>
          </rPr>
          <t xml:space="preserve">
From Paper III </t>
        </r>
      </text>
    </comment>
    <comment ref="AU20" authorId="0" shapeId="0" xr:uid="{00000000-0006-0000-0000-000077000000}">
      <text>
        <r>
          <rPr>
            <b/>
            <sz val="9"/>
            <color indexed="81"/>
            <rFont val="Tahoma"/>
            <family val="2"/>
          </rPr>
          <t>Author:</t>
        </r>
        <r>
          <rPr>
            <sz val="9"/>
            <color indexed="81"/>
            <rFont val="Tahoma"/>
            <family val="2"/>
          </rPr>
          <t xml:space="preserve">
From Paper III </t>
        </r>
      </text>
    </comment>
    <comment ref="AV20" authorId="0" shapeId="0" xr:uid="{00000000-0006-0000-0000-000078000000}">
      <text>
        <r>
          <rPr>
            <b/>
            <sz val="9"/>
            <color indexed="81"/>
            <rFont val="Tahoma"/>
            <family val="2"/>
          </rPr>
          <t>Author:</t>
        </r>
        <r>
          <rPr>
            <sz val="9"/>
            <color indexed="81"/>
            <rFont val="Tahoma"/>
            <family val="2"/>
          </rPr>
          <t xml:space="preserve">
From Paper III </t>
        </r>
      </text>
    </comment>
    <comment ref="AW20" authorId="0" shapeId="0" xr:uid="{00000000-0006-0000-0000-000079000000}">
      <text>
        <r>
          <rPr>
            <b/>
            <sz val="9"/>
            <color indexed="81"/>
            <rFont val="Tahoma"/>
            <family val="2"/>
          </rPr>
          <t>Author:</t>
        </r>
        <r>
          <rPr>
            <sz val="9"/>
            <color indexed="81"/>
            <rFont val="Tahoma"/>
            <family val="2"/>
          </rPr>
          <t xml:space="preserve">
From Paper III </t>
        </r>
      </text>
    </comment>
    <comment ref="AX20" authorId="0" shapeId="0" xr:uid="{00000000-0006-0000-0000-00007A000000}">
      <text>
        <r>
          <rPr>
            <b/>
            <sz val="9"/>
            <color indexed="81"/>
            <rFont val="Tahoma"/>
            <family val="2"/>
          </rPr>
          <t>Author:</t>
        </r>
        <r>
          <rPr>
            <sz val="9"/>
            <color indexed="81"/>
            <rFont val="Tahoma"/>
            <family val="2"/>
          </rPr>
          <t xml:space="preserve">
From Paper III </t>
        </r>
      </text>
    </comment>
    <comment ref="AY20" authorId="0" shapeId="0" xr:uid="{00000000-0006-0000-0000-00007B000000}">
      <text>
        <r>
          <rPr>
            <b/>
            <sz val="9"/>
            <color indexed="81"/>
            <rFont val="Tahoma"/>
            <family val="2"/>
          </rPr>
          <t>Author:</t>
        </r>
        <r>
          <rPr>
            <sz val="9"/>
            <color indexed="81"/>
            <rFont val="Tahoma"/>
            <family val="2"/>
          </rPr>
          <t xml:space="preserve">
From Paper III </t>
        </r>
      </text>
    </comment>
    <comment ref="AZ20" authorId="0" shapeId="0" xr:uid="{00000000-0006-0000-0000-00007C000000}">
      <text>
        <r>
          <rPr>
            <b/>
            <sz val="9"/>
            <color indexed="81"/>
            <rFont val="Tahoma"/>
            <family val="2"/>
          </rPr>
          <t>Author:</t>
        </r>
        <r>
          <rPr>
            <sz val="9"/>
            <color indexed="81"/>
            <rFont val="Tahoma"/>
            <family val="2"/>
          </rPr>
          <t xml:space="preserve">
From Paper III </t>
        </r>
      </text>
    </comment>
    <comment ref="BA20" authorId="0" shapeId="0" xr:uid="{00000000-0006-0000-0000-00007D000000}">
      <text>
        <r>
          <rPr>
            <b/>
            <sz val="9"/>
            <color indexed="81"/>
            <rFont val="Tahoma"/>
            <family val="2"/>
          </rPr>
          <t>Author:</t>
        </r>
        <r>
          <rPr>
            <sz val="9"/>
            <color indexed="81"/>
            <rFont val="Tahoma"/>
            <family val="2"/>
          </rPr>
          <t xml:space="preserve">
From Paper III </t>
        </r>
      </text>
    </comment>
    <comment ref="BV20" authorId="0" shapeId="0" xr:uid="{00000000-0006-0000-0000-00007E000000}">
      <text>
        <r>
          <rPr>
            <b/>
            <sz val="9"/>
            <color indexed="81"/>
            <rFont val="Tahoma"/>
            <family val="2"/>
          </rPr>
          <t>Author:</t>
        </r>
        <r>
          <rPr>
            <sz val="9"/>
            <color indexed="81"/>
            <rFont val="Tahoma"/>
            <family val="2"/>
          </rPr>
          <t xml:space="preserve">
From Letoffet2024</t>
        </r>
      </text>
    </comment>
    <comment ref="BW20" authorId="0" shapeId="0" xr:uid="{00000000-0006-0000-0000-00007F000000}">
      <text>
        <r>
          <rPr>
            <b/>
            <sz val="9"/>
            <color indexed="81"/>
            <rFont val="Tahoma"/>
            <family val="2"/>
          </rPr>
          <t>Author:</t>
        </r>
        <r>
          <rPr>
            <sz val="9"/>
            <color indexed="81"/>
            <rFont val="Tahoma"/>
            <family val="2"/>
          </rPr>
          <t xml:space="preserve">
From Letoffet2024</t>
        </r>
      </text>
    </comment>
    <comment ref="BX20" authorId="0" shapeId="0" xr:uid="{00000000-0006-0000-0000-000080000000}">
      <text>
        <r>
          <rPr>
            <b/>
            <sz val="9"/>
            <color indexed="81"/>
            <rFont val="Tahoma"/>
            <family val="2"/>
          </rPr>
          <t>Author:</t>
        </r>
        <r>
          <rPr>
            <sz val="9"/>
            <color indexed="81"/>
            <rFont val="Tahoma"/>
            <family val="2"/>
          </rPr>
          <t xml:space="preserve">
From Letoffet2024</t>
        </r>
      </text>
    </comment>
    <comment ref="BY20" authorId="0" shapeId="0" xr:uid="{00000000-0006-0000-0000-000081000000}">
      <text>
        <r>
          <rPr>
            <b/>
            <sz val="9"/>
            <color indexed="81"/>
            <rFont val="Tahoma"/>
            <family val="2"/>
          </rPr>
          <t>Author:</t>
        </r>
        <r>
          <rPr>
            <sz val="9"/>
            <color indexed="81"/>
            <rFont val="Tahoma"/>
            <family val="2"/>
          </rPr>
          <t xml:space="preserve">
From Letoffet2024</t>
        </r>
      </text>
    </comment>
    <comment ref="R21" authorId="0" shapeId="0" xr:uid="{00000000-0006-0000-0000-000082000000}">
      <text>
        <r>
          <rPr>
            <b/>
            <sz val="9"/>
            <color indexed="81"/>
            <rFont val="Tahoma"/>
            <family val="2"/>
          </rPr>
          <t>Author:</t>
        </r>
        <r>
          <rPr>
            <sz val="9"/>
            <color indexed="81"/>
            <rFont val="Tahoma"/>
            <family val="2"/>
          </rPr>
          <t xml:space="preserve">
From Paper III </t>
        </r>
      </text>
    </comment>
    <comment ref="S21" authorId="0" shapeId="0" xr:uid="{00000000-0006-0000-0000-000083000000}">
      <text>
        <r>
          <rPr>
            <b/>
            <sz val="9"/>
            <color indexed="81"/>
            <rFont val="Tahoma"/>
            <family val="2"/>
          </rPr>
          <t>Author:</t>
        </r>
        <r>
          <rPr>
            <sz val="9"/>
            <color indexed="81"/>
            <rFont val="Tahoma"/>
            <family val="2"/>
          </rPr>
          <t xml:space="preserve">
From Paper III </t>
        </r>
      </text>
    </comment>
    <comment ref="T21" authorId="0" shapeId="0" xr:uid="{00000000-0006-0000-0000-000084000000}">
      <text>
        <r>
          <rPr>
            <b/>
            <sz val="9"/>
            <color indexed="81"/>
            <rFont val="Tahoma"/>
            <family val="2"/>
          </rPr>
          <t>Author:</t>
        </r>
        <r>
          <rPr>
            <sz val="9"/>
            <color indexed="81"/>
            <rFont val="Tahoma"/>
            <family val="2"/>
          </rPr>
          <t xml:space="preserve">
From Paper III </t>
        </r>
      </text>
    </comment>
    <comment ref="U21" authorId="0" shapeId="0" xr:uid="{00000000-0006-0000-0000-000085000000}">
      <text>
        <r>
          <rPr>
            <b/>
            <sz val="9"/>
            <color indexed="81"/>
            <rFont val="Tahoma"/>
            <family val="2"/>
          </rPr>
          <t>Author:</t>
        </r>
        <r>
          <rPr>
            <sz val="9"/>
            <color indexed="81"/>
            <rFont val="Tahoma"/>
            <family val="2"/>
          </rPr>
          <t xml:space="preserve">
From Paper III </t>
        </r>
      </text>
    </comment>
    <comment ref="AP21" authorId="0" shapeId="0" xr:uid="{00000000-0006-0000-0000-000086000000}">
      <text>
        <r>
          <rPr>
            <b/>
            <sz val="9"/>
            <color indexed="81"/>
            <rFont val="Tahoma"/>
            <family val="2"/>
          </rPr>
          <t>Author:</t>
        </r>
        <r>
          <rPr>
            <sz val="9"/>
            <color indexed="81"/>
            <rFont val="Tahoma"/>
            <family val="2"/>
          </rPr>
          <t xml:space="preserve">
From Paper III </t>
        </r>
      </text>
    </comment>
    <comment ref="AQ21" authorId="0" shapeId="0" xr:uid="{00000000-0006-0000-0000-000087000000}">
      <text>
        <r>
          <rPr>
            <b/>
            <sz val="9"/>
            <color indexed="81"/>
            <rFont val="Tahoma"/>
            <family val="2"/>
          </rPr>
          <t>Author:</t>
        </r>
        <r>
          <rPr>
            <sz val="9"/>
            <color indexed="81"/>
            <rFont val="Tahoma"/>
            <family val="2"/>
          </rPr>
          <t xml:space="preserve">
From Paper III </t>
        </r>
      </text>
    </comment>
    <comment ref="AR21" authorId="0" shapeId="0" xr:uid="{00000000-0006-0000-0000-000088000000}">
      <text>
        <r>
          <rPr>
            <b/>
            <sz val="9"/>
            <color indexed="81"/>
            <rFont val="Tahoma"/>
            <family val="2"/>
          </rPr>
          <t>Author:</t>
        </r>
        <r>
          <rPr>
            <sz val="9"/>
            <color indexed="81"/>
            <rFont val="Tahoma"/>
            <family val="2"/>
          </rPr>
          <t xml:space="preserve">
From Paper III </t>
        </r>
      </text>
    </comment>
    <comment ref="AS21" authorId="0" shapeId="0" xr:uid="{00000000-0006-0000-0000-000089000000}">
      <text>
        <r>
          <rPr>
            <b/>
            <sz val="9"/>
            <color indexed="81"/>
            <rFont val="Tahoma"/>
            <family val="2"/>
          </rPr>
          <t>Author:</t>
        </r>
        <r>
          <rPr>
            <sz val="9"/>
            <color indexed="81"/>
            <rFont val="Tahoma"/>
            <family val="2"/>
          </rPr>
          <t xml:space="preserve">
From Paper III </t>
        </r>
      </text>
    </comment>
    <comment ref="AT21" authorId="0" shapeId="0" xr:uid="{00000000-0006-0000-0000-00008A000000}">
      <text>
        <r>
          <rPr>
            <b/>
            <sz val="9"/>
            <color indexed="81"/>
            <rFont val="Tahoma"/>
            <family val="2"/>
          </rPr>
          <t>Author:</t>
        </r>
        <r>
          <rPr>
            <sz val="9"/>
            <color indexed="81"/>
            <rFont val="Tahoma"/>
            <family val="2"/>
          </rPr>
          <t xml:space="preserve">
From Paper III </t>
        </r>
      </text>
    </comment>
    <comment ref="AU21" authorId="0" shapeId="0" xr:uid="{00000000-0006-0000-0000-00008B000000}">
      <text>
        <r>
          <rPr>
            <b/>
            <sz val="9"/>
            <color indexed="81"/>
            <rFont val="Tahoma"/>
            <family val="2"/>
          </rPr>
          <t>Author:</t>
        </r>
        <r>
          <rPr>
            <sz val="9"/>
            <color indexed="81"/>
            <rFont val="Tahoma"/>
            <family val="2"/>
          </rPr>
          <t xml:space="preserve">
From Paper III </t>
        </r>
      </text>
    </comment>
    <comment ref="AV21" authorId="0" shapeId="0" xr:uid="{00000000-0006-0000-0000-00008C000000}">
      <text>
        <r>
          <rPr>
            <b/>
            <sz val="9"/>
            <color indexed="81"/>
            <rFont val="Tahoma"/>
            <family val="2"/>
          </rPr>
          <t>Author:</t>
        </r>
        <r>
          <rPr>
            <sz val="9"/>
            <color indexed="81"/>
            <rFont val="Tahoma"/>
            <family val="2"/>
          </rPr>
          <t xml:space="preserve">
From Paper III </t>
        </r>
      </text>
    </comment>
    <comment ref="AW21" authorId="0" shapeId="0" xr:uid="{00000000-0006-0000-0000-00008D000000}">
      <text>
        <r>
          <rPr>
            <b/>
            <sz val="9"/>
            <color indexed="81"/>
            <rFont val="Tahoma"/>
            <family val="2"/>
          </rPr>
          <t>Author:</t>
        </r>
        <r>
          <rPr>
            <sz val="9"/>
            <color indexed="81"/>
            <rFont val="Tahoma"/>
            <family val="2"/>
          </rPr>
          <t xml:space="preserve">
From Paper III </t>
        </r>
      </text>
    </comment>
    <comment ref="AX21" authorId="0" shapeId="0" xr:uid="{00000000-0006-0000-0000-00008E000000}">
      <text>
        <r>
          <rPr>
            <b/>
            <sz val="9"/>
            <color indexed="81"/>
            <rFont val="Tahoma"/>
            <family val="2"/>
          </rPr>
          <t>Author:</t>
        </r>
        <r>
          <rPr>
            <sz val="9"/>
            <color indexed="81"/>
            <rFont val="Tahoma"/>
            <family val="2"/>
          </rPr>
          <t xml:space="preserve">
From Paper III </t>
        </r>
      </text>
    </comment>
    <comment ref="AY21" authorId="0" shapeId="0" xr:uid="{00000000-0006-0000-0000-00008F000000}">
      <text>
        <r>
          <rPr>
            <b/>
            <sz val="9"/>
            <color indexed="81"/>
            <rFont val="Tahoma"/>
            <family val="2"/>
          </rPr>
          <t>Author:</t>
        </r>
        <r>
          <rPr>
            <sz val="9"/>
            <color indexed="81"/>
            <rFont val="Tahoma"/>
            <family val="2"/>
          </rPr>
          <t xml:space="preserve">
From Paper III </t>
        </r>
      </text>
    </comment>
    <comment ref="AZ21" authorId="0" shapeId="0" xr:uid="{00000000-0006-0000-0000-000090000000}">
      <text>
        <r>
          <rPr>
            <b/>
            <sz val="9"/>
            <color indexed="81"/>
            <rFont val="Tahoma"/>
            <family val="2"/>
          </rPr>
          <t>Author:</t>
        </r>
        <r>
          <rPr>
            <sz val="9"/>
            <color indexed="81"/>
            <rFont val="Tahoma"/>
            <family val="2"/>
          </rPr>
          <t xml:space="preserve">
From Paper III </t>
        </r>
      </text>
    </comment>
    <comment ref="BA21" authorId="0" shapeId="0" xr:uid="{00000000-0006-0000-0000-000091000000}">
      <text>
        <r>
          <rPr>
            <b/>
            <sz val="9"/>
            <color indexed="81"/>
            <rFont val="Tahoma"/>
            <family val="2"/>
          </rPr>
          <t>Author:</t>
        </r>
        <r>
          <rPr>
            <sz val="9"/>
            <color indexed="81"/>
            <rFont val="Tahoma"/>
            <family val="2"/>
          </rPr>
          <t xml:space="preserve">
From Paper III </t>
        </r>
      </text>
    </comment>
    <comment ref="BV21" authorId="0" shapeId="0" xr:uid="{00000000-0006-0000-0000-000092000000}">
      <text>
        <r>
          <rPr>
            <b/>
            <sz val="9"/>
            <color indexed="81"/>
            <rFont val="Tahoma"/>
            <family val="2"/>
          </rPr>
          <t>Author:</t>
        </r>
        <r>
          <rPr>
            <sz val="9"/>
            <color indexed="81"/>
            <rFont val="Tahoma"/>
            <family val="2"/>
          </rPr>
          <t xml:space="preserve">
From Letoffet2024</t>
        </r>
      </text>
    </comment>
    <comment ref="BW21" authorId="0" shapeId="0" xr:uid="{00000000-0006-0000-0000-000093000000}">
      <text>
        <r>
          <rPr>
            <b/>
            <sz val="9"/>
            <color indexed="81"/>
            <rFont val="Tahoma"/>
            <family val="2"/>
          </rPr>
          <t>Author:</t>
        </r>
        <r>
          <rPr>
            <sz val="9"/>
            <color indexed="81"/>
            <rFont val="Tahoma"/>
            <family val="2"/>
          </rPr>
          <t xml:space="preserve">
From Letoffet2024</t>
        </r>
      </text>
    </comment>
    <comment ref="BX21" authorId="0" shapeId="0" xr:uid="{00000000-0006-0000-0000-000094000000}">
      <text>
        <r>
          <rPr>
            <b/>
            <sz val="9"/>
            <color indexed="81"/>
            <rFont val="Tahoma"/>
            <family val="2"/>
          </rPr>
          <t>Author:</t>
        </r>
        <r>
          <rPr>
            <sz val="9"/>
            <color indexed="81"/>
            <rFont val="Tahoma"/>
            <family val="2"/>
          </rPr>
          <t xml:space="preserve">
From Letoffet2024</t>
        </r>
      </text>
    </comment>
    <comment ref="BY21" authorId="0" shapeId="0" xr:uid="{00000000-0006-0000-0000-000095000000}">
      <text>
        <r>
          <rPr>
            <b/>
            <sz val="9"/>
            <color indexed="81"/>
            <rFont val="Tahoma"/>
            <family val="2"/>
          </rPr>
          <t>Author:</t>
        </r>
        <r>
          <rPr>
            <sz val="9"/>
            <color indexed="81"/>
            <rFont val="Tahoma"/>
            <family val="2"/>
          </rPr>
          <t xml:space="preserve">
From Letoffet2024</t>
        </r>
      </text>
    </comment>
    <comment ref="R22" authorId="0" shapeId="0" xr:uid="{00000000-0006-0000-0000-000096000000}">
      <text>
        <r>
          <rPr>
            <b/>
            <sz val="9"/>
            <color indexed="81"/>
            <rFont val="Tahoma"/>
            <family val="2"/>
          </rPr>
          <t>Author:</t>
        </r>
        <r>
          <rPr>
            <sz val="9"/>
            <color indexed="81"/>
            <rFont val="Tahoma"/>
            <family val="2"/>
          </rPr>
          <t xml:space="preserve">
From Kofler2024</t>
        </r>
      </text>
    </comment>
    <comment ref="S22" authorId="0" shapeId="0" xr:uid="{00000000-0006-0000-0000-000097000000}">
      <text>
        <r>
          <rPr>
            <b/>
            <sz val="9"/>
            <color indexed="81"/>
            <rFont val="Tahoma"/>
            <family val="2"/>
          </rPr>
          <t>Author:</t>
        </r>
        <r>
          <rPr>
            <sz val="9"/>
            <color indexed="81"/>
            <rFont val="Tahoma"/>
            <family val="2"/>
          </rPr>
          <t xml:space="preserve">
From Kofler2024</t>
        </r>
      </text>
    </comment>
    <comment ref="T22" authorId="0" shapeId="0" xr:uid="{00000000-0006-0000-0000-000098000000}">
      <text>
        <r>
          <rPr>
            <b/>
            <sz val="9"/>
            <color indexed="81"/>
            <rFont val="Tahoma"/>
            <family val="2"/>
          </rPr>
          <t>Author:</t>
        </r>
        <r>
          <rPr>
            <sz val="9"/>
            <color indexed="81"/>
            <rFont val="Tahoma"/>
            <family val="2"/>
          </rPr>
          <t xml:space="preserve">
From Kofler2024</t>
        </r>
      </text>
    </comment>
    <comment ref="U22" authorId="0" shapeId="0" xr:uid="{00000000-0006-0000-0000-000099000000}">
      <text>
        <r>
          <rPr>
            <b/>
            <sz val="9"/>
            <color indexed="81"/>
            <rFont val="Tahoma"/>
            <family val="2"/>
          </rPr>
          <t>Author:</t>
        </r>
        <r>
          <rPr>
            <sz val="9"/>
            <color indexed="81"/>
            <rFont val="Tahoma"/>
            <family val="2"/>
          </rPr>
          <t xml:space="preserve">
From Kofler2024</t>
        </r>
      </text>
    </comment>
    <comment ref="BN22" authorId="0" shapeId="0" xr:uid="{00000000-0006-0000-0000-00009A000000}">
      <text>
        <r>
          <rPr>
            <b/>
            <sz val="9"/>
            <color indexed="81"/>
            <rFont val="Tahoma"/>
            <family val="2"/>
          </rPr>
          <t>Author:</t>
        </r>
        <r>
          <rPr>
            <sz val="9"/>
            <color indexed="81"/>
            <rFont val="Tahoma"/>
            <family val="2"/>
          </rPr>
          <t xml:space="preserve">
Carbon sequestration median value from different sources taken from Campion2023</t>
        </r>
      </text>
    </comment>
    <comment ref="BO22" authorId="0" shapeId="0" xr:uid="{00000000-0006-0000-0000-00009B000000}">
      <text>
        <r>
          <rPr>
            <b/>
            <sz val="9"/>
            <color indexed="81"/>
            <rFont val="Tahoma"/>
            <family val="2"/>
          </rPr>
          <t>Author:</t>
        </r>
        <r>
          <rPr>
            <sz val="9"/>
            <color indexed="81"/>
            <rFont val="Tahoma"/>
            <family val="2"/>
          </rPr>
          <t xml:space="preserve">
Carbon sequestration median value from different sources taken from Campion2023</t>
        </r>
      </text>
    </comment>
    <comment ref="BP22" authorId="0" shapeId="0" xr:uid="{00000000-0006-0000-0000-00009C000000}">
      <text>
        <r>
          <rPr>
            <b/>
            <sz val="9"/>
            <color indexed="81"/>
            <rFont val="Tahoma"/>
            <family val="2"/>
          </rPr>
          <t>Author:</t>
        </r>
        <r>
          <rPr>
            <sz val="9"/>
            <color indexed="81"/>
            <rFont val="Tahoma"/>
            <family val="2"/>
          </rPr>
          <t xml:space="preserve">
Carbon sequestration median value from different sources taken from Campion2023</t>
        </r>
      </text>
    </comment>
    <comment ref="BQ22" authorId="0" shapeId="0" xr:uid="{00000000-0006-0000-0000-00009D000000}">
      <text>
        <r>
          <rPr>
            <b/>
            <sz val="9"/>
            <color indexed="81"/>
            <rFont val="Tahoma"/>
            <family val="2"/>
          </rPr>
          <t>Author:</t>
        </r>
        <r>
          <rPr>
            <sz val="9"/>
            <color indexed="81"/>
            <rFont val="Tahoma"/>
            <family val="2"/>
          </rPr>
          <t xml:space="preserve">
Carbon sequestration median value from different sources taken from Campion2023</t>
        </r>
      </text>
    </comment>
    <comment ref="R23" authorId="0" shapeId="0" xr:uid="{00000000-0006-0000-0000-00009E000000}">
      <text>
        <r>
          <rPr>
            <b/>
            <sz val="9"/>
            <color indexed="81"/>
            <rFont val="Tahoma"/>
            <family val="2"/>
          </rPr>
          <t>Author:</t>
        </r>
        <r>
          <rPr>
            <sz val="9"/>
            <color indexed="81"/>
            <rFont val="Tahoma"/>
            <family val="2"/>
          </rPr>
          <t xml:space="preserve">
From Kofler2024</t>
        </r>
      </text>
    </comment>
    <comment ref="S23" authorId="0" shapeId="0" xr:uid="{00000000-0006-0000-0000-00009F000000}">
      <text>
        <r>
          <rPr>
            <b/>
            <sz val="9"/>
            <color indexed="81"/>
            <rFont val="Tahoma"/>
            <family val="2"/>
          </rPr>
          <t>Author:</t>
        </r>
        <r>
          <rPr>
            <sz val="9"/>
            <color indexed="81"/>
            <rFont val="Tahoma"/>
            <family val="2"/>
          </rPr>
          <t xml:space="preserve">
From Kofler2024</t>
        </r>
      </text>
    </comment>
    <comment ref="T23" authorId="0" shapeId="0" xr:uid="{00000000-0006-0000-0000-0000A0000000}">
      <text>
        <r>
          <rPr>
            <b/>
            <sz val="9"/>
            <color indexed="81"/>
            <rFont val="Tahoma"/>
            <family val="2"/>
          </rPr>
          <t>Author:</t>
        </r>
        <r>
          <rPr>
            <sz val="9"/>
            <color indexed="81"/>
            <rFont val="Tahoma"/>
            <family val="2"/>
          </rPr>
          <t xml:space="preserve">
From Kofler2024</t>
        </r>
      </text>
    </comment>
    <comment ref="U23" authorId="0" shapeId="0" xr:uid="{00000000-0006-0000-0000-0000A1000000}">
      <text>
        <r>
          <rPr>
            <b/>
            <sz val="9"/>
            <color indexed="81"/>
            <rFont val="Tahoma"/>
            <family val="2"/>
          </rPr>
          <t>Author:</t>
        </r>
        <r>
          <rPr>
            <sz val="9"/>
            <color indexed="81"/>
            <rFont val="Tahoma"/>
            <family val="2"/>
          </rPr>
          <t xml:space="preserve">
From Kofler2024</t>
        </r>
      </text>
    </comment>
    <comment ref="BB23" authorId="0" shapeId="0" xr:uid="{00000000-0006-0000-0000-0000A2000000}">
      <text>
        <r>
          <rPr>
            <b/>
            <sz val="9"/>
            <color indexed="81"/>
            <rFont val="Tahoma"/>
            <family val="2"/>
          </rPr>
          <t>Author:</t>
        </r>
        <r>
          <rPr>
            <sz val="9"/>
            <color indexed="81"/>
            <rFont val="Tahoma"/>
            <family val="2"/>
          </rPr>
          <t xml:space="preserve">
From Paper II</t>
        </r>
      </text>
    </comment>
    <comment ref="BC23" authorId="0" shapeId="0" xr:uid="{00000000-0006-0000-0000-0000A3000000}">
      <text>
        <r>
          <rPr>
            <b/>
            <sz val="9"/>
            <color indexed="81"/>
            <rFont val="Tahoma"/>
            <family val="2"/>
          </rPr>
          <t>Author:</t>
        </r>
        <r>
          <rPr>
            <sz val="9"/>
            <color indexed="81"/>
            <rFont val="Tahoma"/>
            <family val="2"/>
          </rPr>
          <t xml:space="preserve">
From Paper II</t>
        </r>
      </text>
    </comment>
    <comment ref="BD23" authorId="0" shapeId="0" xr:uid="{00000000-0006-0000-0000-0000A4000000}">
      <text>
        <r>
          <rPr>
            <b/>
            <sz val="9"/>
            <color indexed="81"/>
            <rFont val="Tahoma"/>
            <family val="2"/>
          </rPr>
          <t>Author:</t>
        </r>
        <r>
          <rPr>
            <sz val="9"/>
            <color indexed="81"/>
            <rFont val="Tahoma"/>
            <family val="2"/>
          </rPr>
          <t xml:space="preserve">
From Paper II</t>
        </r>
      </text>
    </comment>
    <comment ref="BE23" authorId="0" shapeId="0" xr:uid="{00000000-0006-0000-0000-0000A5000000}">
      <text>
        <r>
          <rPr>
            <b/>
            <sz val="9"/>
            <color indexed="81"/>
            <rFont val="Tahoma"/>
            <family val="2"/>
          </rPr>
          <t>Author:</t>
        </r>
        <r>
          <rPr>
            <sz val="9"/>
            <color indexed="81"/>
            <rFont val="Tahoma"/>
            <family val="2"/>
          </rPr>
          <t xml:space="preserve">
From Paper II</t>
        </r>
      </text>
    </comment>
    <comment ref="R24" authorId="0" shapeId="0" xr:uid="{00000000-0006-0000-0000-0000A6000000}">
      <text>
        <r>
          <rPr>
            <b/>
            <sz val="9"/>
            <color indexed="81"/>
            <rFont val="Tahoma"/>
            <family val="2"/>
          </rPr>
          <t>Author:</t>
        </r>
        <r>
          <rPr>
            <sz val="9"/>
            <color indexed="81"/>
            <rFont val="Tahoma"/>
            <family val="2"/>
          </rPr>
          <t xml:space="preserve">
From Kofler2024</t>
        </r>
      </text>
    </comment>
    <comment ref="S24" authorId="0" shapeId="0" xr:uid="{00000000-0006-0000-0000-0000A7000000}">
      <text>
        <r>
          <rPr>
            <b/>
            <sz val="9"/>
            <color indexed="81"/>
            <rFont val="Tahoma"/>
            <family val="2"/>
          </rPr>
          <t>Author:</t>
        </r>
        <r>
          <rPr>
            <sz val="9"/>
            <color indexed="81"/>
            <rFont val="Tahoma"/>
            <family val="2"/>
          </rPr>
          <t xml:space="preserve">
From Kofler2024</t>
        </r>
      </text>
    </comment>
    <comment ref="T24" authorId="0" shapeId="0" xr:uid="{00000000-0006-0000-0000-0000A8000000}">
      <text>
        <r>
          <rPr>
            <b/>
            <sz val="9"/>
            <color indexed="81"/>
            <rFont val="Tahoma"/>
            <family val="2"/>
          </rPr>
          <t>Author:</t>
        </r>
        <r>
          <rPr>
            <sz val="9"/>
            <color indexed="81"/>
            <rFont val="Tahoma"/>
            <family val="2"/>
          </rPr>
          <t xml:space="preserve">
From Kofler2024</t>
        </r>
      </text>
    </comment>
    <comment ref="U24" authorId="0" shapeId="0" xr:uid="{00000000-0006-0000-0000-0000A9000000}">
      <text>
        <r>
          <rPr>
            <b/>
            <sz val="9"/>
            <color indexed="81"/>
            <rFont val="Tahoma"/>
            <family val="2"/>
          </rPr>
          <t>Author:</t>
        </r>
        <r>
          <rPr>
            <sz val="9"/>
            <color indexed="81"/>
            <rFont val="Tahoma"/>
            <family val="2"/>
          </rPr>
          <t xml:space="preserve">
From Kofler2024</t>
        </r>
      </text>
    </comment>
    <comment ref="BB24" authorId="0" shapeId="0" xr:uid="{00000000-0006-0000-0000-0000AA000000}">
      <text>
        <r>
          <rPr>
            <b/>
            <sz val="9"/>
            <color indexed="81"/>
            <rFont val="Tahoma"/>
            <family val="2"/>
          </rPr>
          <t>Author:</t>
        </r>
        <r>
          <rPr>
            <sz val="9"/>
            <color indexed="81"/>
            <rFont val="Tahoma"/>
            <family val="2"/>
          </rPr>
          <t xml:space="preserve">
From Paper II</t>
        </r>
      </text>
    </comment>
    <comment ref="BC24" authorId="0" shapeId="0" xr:uid="{00000000-0006-0000-0000-0000AB000000}">
      <text>
        <r>
          <rPr>
            <b/>
            <sz val="9"/>
            <color indexed="81"/>
            <rFont val="Tahoma"/>
            <family val="2"/>
          </rPr>
          <t>Author:</t>
        </r>
        <r>
          <rPr>
            <sz val="9"/>
            <color indexed="81"/>
            <rFont val="Tahoma"/>
            <family val="2"/>
          </rPr>
          <t xml:space="preserve">
From Paper II</t>
        </r>
      </text>
    </comment>
    <comment ref="BD24" authorId="0" shapeId="0" xr:uid="{00000000-0006-0000-0000-0000AC000000}">
      <text>
        <r>
          <rPr>
            <b/>
            <sz val="9"/>
            <color indexed="81"/>
            <rFont val="Tahoma"/>
            <family val="2"/>
          </rPr>
          <t>Author:</t>
        </r>
        <r>
          <rPr>
            <sz val="9"/>
            <color indexed="81"/>
            <rFont val="Tahoma"/>
            <family val="2"/>
          </rPr>
          <t xml:space="preserve">
From Paper II</t>
        </r>
      </text>
    </comment>
    <comment ref="BE24" authorId="0" shapeId="0" xr:uid="{00000000-0006-0000-0000-0000AD000000}">
      <text>
        <r>
          <rPr>
            <b/>
            <sz val="9"/>
            <color indexed="81"/>
            <rFont val="Tahoma"/>
            <family val="2"/>
          </rPr>
          <t>Author:</t>
        </r>
        <r>
          <rPr>
            <sz val="9"/>
            <color indexed="81"/>
            <rFont val="Tahoma"/>
            <family val="2"/>
          </rPr>
          <t xml:space="preserve">
From Paper II</t>
        </r>
      </text>
    </comment>
    <comment ref="R25" authorId="0" shapeId="0" xr:uid="{00000000-0006-0000-0000-0000AE000000}">
      <text>
        <r>
          <rPr>
            <b/>
            <sz val="9"/>
            <color indexed="81"/>
            <rFont val="Tahoma"/>
            <family val="2"/>
          </rPr>
          <t>Author:</t>
        </r>
        <r>
          <rPr>
            <sz val="9"/>
            <color indexed="81"/>
            <rFont val="Tahoma"/>
            <family val="2"/>
          </rPr>
          <t xml:space="preserve">
From Kofler2024</t>
        </r>
      </text>
    </comment>
    <comment ref="S25" authorId="0" shapeId="0" xr:uid="{00000000-0006-0000-0000-0000AF000000}">
      <text>
        <r>
          <rPr>
            <b/>
            <sz val="9"/>
            <color indexed="81"/>
            <rFont val="Tahoma"/>
            <family val="2"/>
          </rPr>
          <t>Author:</t>
        </r>
        <r>
          <rPr>
            <sz val="9"/>
            <color indexed="81"/>
            <rFont val="Tahoma"/>
            <family val="2"/>
          </rPr>
          <t xml:space="preserve">
From Kofler2024</t>
        </r>
      </text>
    </comment>
    <comment ref="T25" authorId="0" shapeId="0" xr:uid="{00000000-0006-0000-0000-0000B0000000}">
      <text>
        <r>
          <rPr>
            <b/>
            <sz val="9"/>
            <color indexed="81"/>
            <rFont val="Tahoma"/>
            <family val="2"/>
          </rPr>
          <t>Author:</t>
        </r>
        <r>
          <rPr>
            <sz val="9"/>
            <color indexed="81"/>
            <rFont val="Tahoma"/>
            <family val="2"/>
          </rPr>
          <t xml:space="preserve">
From Kofler2024</t>
        </r>
      </text>
    </comment>
    <comment ref="U25" authorId="0" shapeId="0" xr:uid="{00000000-0006-0000-0000-0000B1000000}">
      <text>
        <r>
          <rPr>
            <b/>
            <sz val="9"/>
            <color indexed="81"/>
            <rFont val="Tahoma"/>
            <family val="2"/>
          </rPr>
          <t>Author:</t>
        </r>
        <r>
          <rPr>
            <sz val="9"/>
            <color indexed="81"/>
            <rFont val="Tahoma"/>
            <family val="2"/>
          </rPr>
          <t xml:space="preserve">
From Kofler2024</t>
        </r>
      </text>
    </comment>
    <comment ref="BB25" authorId="0" shapeId="0" xr:uid="{00000000-0006-0000-0000-0000B2000000}">
      <text>
        <r>
          <rPr>
            <b/>
            <sz val="9"/>
            <color indexed="81"/>
            <rFont val="Tahoma"/>
            <family val="2"/>
          </rPr>
          <t>Author:</t>
        </r>
        <r>
          <rPr>
            <sz val="9"/>
            <color indexed="81"/>
            <rFont val="Tahoma"/>
            <family val="2"/>
          </rPr>
          <t xml:space="preserve">
From Paper II</t>
        </r>
      </text>
    </comment>
    <comment ref="BC25" authorId="0" shapeId="0" xr:uid="{00000000-0006-0000-0000-0000B3000000}">
      <text>
        <r>
          <rPr>
            <b/>
            <sz val="9"/>
            <color indexed="81"/>
            <rFont val="Tahoma"/>
            <family val="2"/>
          </rPr>
          <t>Author:</t>
        </r>
        <r>
          <rPr>
            <sz val="9"/>
            <color indexed="81"/>
            <rFont val="Tahoma"/>
            <family val="2"/>
          </rPr>
          <t xml:space="preserve">
From Paper II</t>
        </r>
      </text>
    </comment>
    <comment ref="BD25" authorId="0" shapeId="0" xr:uid="{00000000-0006-0000-0000-0000B4000000}">
      <text>
        <r>
          <rPr>
            <b/>
            <sz val="9"/>
            <color indexed="81"/>
            <rFont val="Tahoma"/>
            <family val="2"/>
          </rPr>
          <t>Author:</t>
        </r>
        <r>
          <rPr>
            <sz val="9"/>
            <color indexed="81"/>
            <rFont val="Tahoma"/>
            <family val="2"/>
          </rPr>
          <t xml:space="preserve">
From Paper II</t>
        </r>
      </text>
    </comment>
    <comment ref="BE25" authorId="0" shapeId="0" xr:uid="{00000000-0006-0000-0000-0000B5000000}">
      <text>
        <r>
          <rPr>
            <b/>
            <sz val="9"/>
            <color indexed="81"/>
            <rFont val="Tahoma"/>
            <family val="2"/>
          </rPr>
          <t>Author:</t>
        </r>
        <r>
          <rPr>
            <sz val="9"/>
            <color indexed="81"/>
            <rFont val="Tahoma"/>
            <family val="2"/>
          </rPr>
          <t xml:space="preserve">
From Paper II</t>
        </r>
      </text>
    </comment>
    <comment ref="R26" authorId="0" shapeId="0" xr:uid="{00000000-0006-0000-0000-0000B6000000}">
      <text>
        <r>
          <rPr>
            <b/>
            <sz val="9"/>
            <color indexed="81"/>
            <rFont val="Tahoma"/>
            <family val="2"/>
          </rPr>
          <t>Author:</t>
        </r>
        <r>
          <rPr>
            <sz val="9"/>
            <color indexed="81"/>
            <rFont val="Tahoma"/>
            <family val="2"/>
          </rPr>
          <t xml:space="preserve">
From Kofler2024</t>
        </r>
      </text>
    </comment>
    <comment ref="S26" authorId="0" shapeId="0" xr:uid="{00000000-0006-0000-0000-0000B7000000}">
      <text>
        <r>
          <rPr>
            <b/>
            <sz val="9"/>
            <color indexed="81"/>
            <rFont val="Tahoma"/>
            <family val="2"/>
          </rPr>
          <t>Author:</t>
        </r>
        <r>
          <rPr>
            <sz val="9"/>
            <color indexed="81"/>
            <rFont val="Tahoma"/>
            <family val="2"/>
          </rPr>
          <t xml:space="preserve">
From Kofler2024</t>
        </r>
      </text>
    </comment>
    <comment ref="T26" authorId="0" shapeId="0" xr:uid="{00000000-0006-0000-0000-0000B8000000}">
      <text>
        <r>
          <rPr>
            <b/>
            <sz val="9"/>
            <color indexed="81"/>
            <rFont val="Tahoma"/>
            <family val="2"/>
          </rPr>
          <t>Author:</t>
        </r>
        <r>
          <rPr>
            <sz val="9"/>
            <color indexed="81"/>
            <rFont val="Tahoma"/>
            <family val="2"/>
          </rPr>
          <t xml:space="preserve">
From Kofler2024</t>
        </r>
      </text>
    </comment>
    <comment ref="U26" authorId="0" shapeId="0" xr:uid="{00000000-0006-0000-0000-0000B9000000}">
      <text>
        <r>
          <rPr>
            <b/>
            <sz val="9"/>
            <color indexed="81"/>
            <rFont val="Tahoma"/>
            <family val="2"/>
          </rPr>
          <t>Author:</t>
        </r>
        <r>
          <rPr>
            <sz val="9"/>
            <color indexed="81"/>
            <rFont val="Tahoma"/>
            <family val="2"/>
          </rPr>
          <t xml:space="preserve">
From Kofler2024</t>
        </r>
      </text>
    </comment>
    <comment ref="BB26" authorId="0" shapeId="0" xr:uid="{00000000-0006-0000-0000-0000BA000000}">
      <text>
        <r>
          <rPr>
            <b/>
            <sz val="9"/>
            <color indexed="81"/>
            <rFont val="Tahoma"/>
            <family val="2"/>
          </rPr>
          <t>Author:</t>
        </r>
        <r>
          <rPr>
            <sz val="9"/>
            <color indexed="81"/>
            <rFont val="Tahoma"/>
            <family val="2"/>
          </rPr>
          <t xml:space="preserve">
From Paper II</t>
        </r>
      </text>
    </comment>
    <comment ref="BC26" authorId="0" shapeId="0" xr:uid="{00000000-0006-0000-0000-0000BB000000}">
      <text>
        <r>
          <rPr>
            <b/>
            <sz val="9"/>
            <color indexed="81"/>
            <rFont val="Tahoma"/>
            <family val="2"/>
          </rPr>
          <t>Author:</t>
        </r>
        <r>
          <rPr>
            <sz val="9"/>
            <color indexed="81"/>
            <rFont val="Tahoma"/>
            <family val="2"/>
          </rPr>
          <t xml:space="preserve">
From Paper II</t>
        </r>
      </text>
    </comment>
    <comment ref="BD26" authorId="0" shapeId="0" xr:uid="{00000000-0006-0000-0000-0000BC000000}">
      <text>
        <r>
          <rPr>
            <b/>
            <sz val="9"/>
            <color indexed="81"/>
            <rFont val="Tahoma"/>
            <family val="2"/>
          </rPr>
          <t>Author:</t>
        </r>
        <r>
          <rPr>
            <sz val="9"/>
            <color indexed="81"/>
            <rFont val="Tahoma"/>
            <family val="2"/>
          </rPr>
          <t xml:space="preserve">
From Paper II</t>
        </r>
      </text>
    </comment>
    <comment ref="BE26" authorId="0" shapeId="0" xr:uid="{00000000-0006-0000-0000-0000BD000000}">
      <text>
        <r>
          <rPr>
            <b/>
            <sz val="9"/>
            <color indexed="81"/>
            <rFont val="Tahoma"/>
            <family val="2"/>
          </rPr>
          <t>Author:</t>
        </r>
        <r>
          <rPr>
            <sz val="9"/>
            <color indexed="81"/>
            <rFont val="Tahoma"/>
            <family val="2"/>
          </rPr>
          <t xml:space="preserve">
From Paper II</t>
        </r>
      </text>
    </comment>
    <comment ref="R27" authorId="0" shapeId="0" xr:uid="{00000000-0006-0000-0000-0000BE000000}">
      <text>
        <r>
          <rPr>
            <b/>
            <sz val="9"/>
            <color indexed="81"/>
            <rFont val="Tahoma"/>
            <family val="2"/>
          </rPr>
          <t>Author:</t>
        </r>
        <r>
          <rPr>
            <sz val="9"/>
            <color indexed="81"/>
            <rFont val="Tahoma"/>
            <family val="2"/>
          </rPr>
          <t xml:space="preserve">
From Kofler2024</t>
        </r>
      </text>
    </comment>
    <comment ref="S27" authorId="0" shapeId="0" xr:uid="{00000000-0006-0000-0000-0000BF000000}">
      <text>
        <r>
          <rPr>
            <b/>
            <sz val="9"/>
            <color indexed="81"/>
            <rFont val="Tahoma"/>
            <family val="2"/>
          </rPr>
          <t>Author:</t>
        </r>
        <r>
          <rPr>
            <sz val="9"/>
            <color indexed="81"/>
            <rFont val="Tahoma"/>
            <family val="2"/>
          </rPr>
          <t xml:space="preserve">
From Kofler2024</t>
        </r>
      </text>
    </comment>
    <comment ref="T27" authorId="0" shapeId="0" xr:uid="{00000000-0006-0000-0000-0000C0000000}">
      <text>
        <r>
          <rPr>
            <b/>
            <sz val="9"/>
            <color indexed="81"/>
            <rFont val="Tahoma"/>
            <family val="2"/>
          </rPr>
          <t>Author:</t>
        </r>
        <r>
          <rPr>
            <sz val="9"/>
            <color indexed="81"/>
            <rFont val="Tahoma"/>
            <family val="2"/>
          </rPr>
          <t xml:space="preserve">
From Kofler2024</t>
        </r>
      </text>
    </comment>
    <comment ref="U27" authorId="0" shapeId="0" xr:uid="{00000000-0006-0000-0000-0000C1000000}">
      <text>
        <r>
          <rPr>
            <b/>
            <sz val="9"/>
            <color indexed="81"/>
            <rFont val="Tahoma"/>
            <family val="2"/>
          </rPr>
          <t>Author:</t>
        </r>
        <r>
          <rPr>
            <sz val="9"/>
            <color indexed="81"/>
            <rFont val="Tahoma"/>
            <family val="2"/>
          </rPr>
          <t xml:space="preserve">
From Kofler2024</t>
        </r>
      </text>
    </comment>
    <comment ref="V27" authorId="0" shapeId="0" xr:uid="{00000000-0006-0000-0000-0000C2000000}">
      <text>
        <r>
          <rPr>
            <b/>
            <sz val="9"/>
            <color indexed="81"/>
            <rFont val="Tahoma"/>
            <family val="2"/>
          </rPr>
          <t>Author:</t>
        </r>
        <r>
          <rPr>
            <sz val="9"/>
            <color indexed="81"/>
            <rFont val="Tahoma"/>
            <family val="2"/>
          </rPr>
          <t xml:space="preserve">
From Kofler2024</t>
        </r>
      </text>
    </comment>
    <comment ref="W27" authorId="0" shapeId="0" xr:uid="{00000000-0006-0000-0000-0000C3000000}">
      <text>
        <r>
          <rPr>
            <b/>
            <sz val="9"/>
            <color indexed="81"/>
            <rFont val="Tahoma"/>
            <family val="2"/>
          </rPr>
          <t>Author:</t>
        </r>
        <r>
          <rPr>
            <sz val="9"/>
            <color indexed="81"/>
            <rFont val="Tahoma"/>
            <family val="2"/>
          </rPr>
          <t xml:space="preserve">
From Kofler2024</t>
        </r>
      </text>
    </comment>
    <comment ref="X27" authorId="0" shapeId="0" xr:uid="{00000000-0006-0000-0000-0000C4000000}">
      <text>
        <r>
          <rPr>
            <b/>
            <sz val="9"/>
            <color indexed="81"/>
            <rFont val="Tahoma"/>
            <family val="2"/>
          </rPr>
          <t>Author:</t>
        </r>
        <r>
          <rPr>
            <sz val="9"/>
            <color indexed="81"/>
            <rFont val="Tahoma"/>
            <family val="2"/>
          </rPr>
          <t xml:space="preserve">
From Kofler2024</t>
        </r>
      </text>
    </comment>
    <comment ref="Y27" authorId="0" shapeId="0" xr:uid="{00000000-0006-0000-0000-0000C5000000}">
      <text>
        <r>
          <rPr>
            <b/>
            <sz val="9"/>
            <color indexed="81"/>
            <rFont val="Tahoma"/>
            <family val="2"/>
          </rPr>
          <t>Author:</t>
        </r>
        <r>
          <rPr>
            <sz val="9"/>
            <color indexed="81"/>
            <rFont val="Tahoma"/>
            <family val="2"/>
          </rPr>
          <t xml:space="preserve">
From Kofler2024</t>
        </r>
      </text>
    </comment>
    <comment ref="Z27" authorId="0" shapeId="0" xr:uid="{00000000-0006-0000-0000-0000C6000000}">
      <text>
        <r>
          <rPr>
            <b/>
            <sz val="9"/>
            <color indexed="81"/>
            <rFont val="Tahoma"/>
            <family val="2"/>
          </rPr>
          <t>Author:</t>
        </r>
        <r>
          <rPr>
            <sz val="9"/>
            <color indexed="81"/>
            <rFont val="Tahoma"/>
            <family val="2"/>
          </rPr>
          <t xml:space="preserve">
From Kofler2024</t>
        </r>
      </text>
    </comment>
    <comment ref="AA27" authorId="0" shapeId="0" xr:uid="{00000000-0006-0000-0000-0000C7000000}">
      <text>
        <r>
          <rPr>
            <b/>
            <sz val="9"/>
            <color indexed="81"/>
            <rFont val="Tahoma"/>
            <family val="2"/>
          </rPr>
          <t>Author:</t>
        </r>
        <r>
          <rPr>
            <sz val="9"/>
            <color indexed="81"/>
            <rFont val="Tahoma"/>
            <family val="2"/>
          </rPr>
          <t xml:space="preserve">
From Kofler2024</t>
        </r>
      </text>
    </comment>
    <comment ref="AB27" authorId="0" shapeId="0" xr:uid="{00000000-0006-0000-0000-0000C8000000}">
      <text>
        <r>
          <rPr>
            <b/>
            <sz val="9"/>
            <color indexed="81"/>
            <rFont val="Tahoma"/>
            <family val="2"/>
          </rPr>
          <t>Author:</t>
        </r>
        <r>
          <rPr>
            <sz val="9"/>
            <color indexed="81"/>
            <rFont val="Tahoma"/>
            <family val="2"/>
          </rPr>
          <t xml:space="preserve">
From Kofler2024</t>
        </r>
      </text>
    </comment>
    <comment ref="AC27" authorId="0" shapeId="0" xr:uid="{00000000-0006-0000-0000-0000C9000000}">
      <text>
        <r>
          <rPr>
            <b/>
            <sz val="9"/>
            <color indexed="81"/>
            <rFont val="Tahoma"/>
            <family val="2"/>
          </rPr>
          <t>Author:</t>
        </r>
        <r>
          <rPr>
            <sz val="9"/>
            <color indexed="81"/>
            <rFont val="Tahoma"/>
            <family val="2"/>
          </rPr>
          <t xml:space="preserve">
From Kofler2024</t>
        </r>
      </text>
    </comment>
    <comment ref="AD27" authorId="0" shapeId="0" xr:uid="{00000000-0006-0000-0000-0000CA000000}">
      <text>
        <r>
          <rPr>
            <b/>
            <sz val="9"/>
            <color indexed="81"/>
            <rFont val="Tahoma"/>
            <family val="2"/>
          </rPr>
          <t>Author:</t>
        </r>
        <r>
          <rPr>
            <sz val="9"/>
            <color indexed="81"/>
            <rFont val="Tahoma"/>
            <family val="2"/>
          </rPr>
          <t xml:space="preserve">
From Kofler2024</t>
        </r>
      </text>
    </comment>
    <comment ref="AE27" authorId="0" shapeId="0" xr:uid="{00000000-0006-0000-0000-0000CB000000}">
      <text>
        <r>
          <rPr>
            <b/>
            <sz val="9"/>
            <color indexed="81"/>
            <rFont val="Tahoma"/>
            <family val="2"/>
          </rPr>
          <t>Author:</t>
        </r>
        <r>
          <rPr>
            <sz val="9"/>
            <color indexed="81"/>
            <rFont val="Tahoma"/>
            <family val="2"/>
          </rPr>
          <t xml:space="preserve">
From Kofler2024</t>
        </r>
      </text>
    </comment>
    <comment ref="AF27" authorId="0" shapeId="0" xr:uid="{00000000-0006-0000-0000-0000CC000000}">
      <text>
        <r>
          <rPr>
            <b/>
            <sz val="9"/>
            <color indexed="81"/>
            <rFont val="Tahoma"/>
            <family val="2"/>
          </rPr>
          <t>Author:</t>
        </r>
        <r>
          <rPr>
            <sz val="9"/>
            <color indexed="81"/>
            <rFont val="Tahoma"/>
            <family val="2"/>
          </rPr>
          <t xml:space="preserve">
From Kofler2024</t>
        </r>
      </text>
    </comment>
    <comment ref="AG27" authorId="0" shapeId="0" xr:uid="{00000000-0006-0000-0000-0000CD000000}">
      <text>
        <r>
          <rPr>
            <b/>
            <sz val="9"/>
            <color indexed="81"/>
            <rFont val="Tahoma"/>
            <family val="2"/>
          </rPr>
          <t>Author:</t>
        </r>
        <r>
          <rPr>
            <sz val="9"/>
            <color indexed="81"/>
            <rFont val="Tahoma"/>
            <family val="2"/>
          </rPr>
          <t xml:space="preserve">
From Kofler2024</t>
        </r>
      </text>
    </comment>
    <comment ref="AH27" authorId="0" shapeId="0" xr:uid="{00000000-0006-0000-0000-0000CE000000}">
      <text>
        <r>
          <rPr>
            <b/>
            <sz val="9"/>
            <color indexed="81"/>
            <rFont val="Tahoma"/>
            <family val="2"/>
          </rPr>
          <t>Author:</t>
        </r>
        <r>
          <rPr>
            <sz val="9"/>
            <color indexed="81"/>
            <rFont val="Tahoma"/>
            <family val="2"/>
          </rPr>
          <t xml:space="preserve">
From Kofler2024</t>
        </r>
      </text>
    </comment>
    <comment ref="AI27" authorId="0" shapeId="0" xr:uid="{00000000-0006-0000-0000-0000CF000000}">
      <text>
        <r>
          <rPr>
            <b/>
            <sz val="9"/>
            <color indexed="81"/>
            <rFont val="Tahoma"/>
            <family val="2"/>
          </rPr>
          <t>Author:</t>
        </r>
        <r>
          <rPr>
            <sz val="9"/>
            <color indexed="81"/>
            <rFont val="Tahoma"/>
            <family val="2"/>
          </rPr>
          <t xml:space="preserve">
From Kofler2024</t>
        </r>
      </text>
    </comment>
    <comment ref="AJ27" authorId="0" shapeId="0" xr:uid="{00000000-0006-0000-0000-0000D0000000}">
      <text>
        <r>
          <rPr>
            <b/>
            <sz val="9"/>
            <color indexed="81"/>
            <rFont val="Tahoma"/>
            <family val="2"/>
          </rPr>
          <t>Author:</t>
        </r>
        <r>
          <rPr>
            <sz val="9"/>
            <color indexed="81"/>
            <rFont val="Tahoma"/>
            <family val="2"/>
          </rPr>
          <t xml:space="preserve">
From Kofler2024</t>
        </r>
      </text>
    </comment>
    <comment ref="AK27" authorId="0" shapeId="0" xr:uid="{00000000-0006-0000-0000-0000D1000000}">
      <text>
        <r>
          <rPr>
            <b/>
            <sz val="9"/>
            <color indexed="81"/>
            <rFont val="Tahoma"/>
            <family val="2"/>
          </rPr>
          <t>Author:</t>
        </r>
        <r>
          <rPr>
            <sz val="9"/>
            <color indexed="81"/>
            <rFont val="Tahoma"/>
            <family val="2"/>
          </rPr>
          <t xml:space="preserve">
From Kofler2024</t>
        </r>
      </text>
    </comment>
    <comment ref="AL27" authorId="0" shapeId="0" xr:uid="{00000000-0006-0000-0000-0000D2000000}">
      <text>
        <r>
          <rPr>
            <b/>
            <sz val="9"/>
            <color indexed="81"/>
            <rFont val="Tahoma"/>
            <family val="2"/>
          </rPr>
          <t>Author:</t>
        </r>
        <r>
          <rPr>
            <sz val="9"/>
            <color indexed="81"/>
            <rFont val="Tahoma"/>
            <family val="2"/>
          </rPr>
          <t xml:space="preserve">
From Kofler2024</t>
        </r>
      </text>
    </comment>
    <comment ref="AM27" authorId="0" shapeId="0" xr:uid="{00000000-0006-0000-0000-0000D3000000}">
      <text>
        <r>
          <rPr>
            <b/>
            <sz val="9"/>
            <color indexed="81"/>
            <rFont val="Tahoma"/>
            <family val="2"/>
          </rPr>
          <t>Author:</t>
        </r>
        <r>
          <rPr>
            <sz val="9"/>
            <color indexed="81"/>
            <rFont val="Tahoma"/>
            <family val="2"/>
          </rPr>
          <t xml:space="preserve">
From Kofler2024</t>
        </r>
      </text>
    </comment>
    <comment ref="AN27" authorId="0" shapeId="0" xr:uid="{00000000-0006-0000-0000-0000D4000000}">
      <text>
        <r>
          <rPr>
            <b/>
            <sz val="9"/>
            <color indexed="81"/>
            <rFont val="Tahoma"/>
            <family val="2"/>
          </rPr>
          <t>Author:</t>
        </r>
        <r>
          <rPr>
            <sz val="9"/>
            <color indexed="81"/>
            <rFont val="Tahoma"/>
            <family val="2"/>
          </rPr>
          <t xml:space="preserve">
From Kofler2024</t>
        </r>
      </text>
    </comment>
    <comment ref="AO27" authorId="0" shapeId="0" xr:uid="{00000000-0006-0000-0000-0000D5000000}">
      <text>
        <r>
          <rPr>
            <b/>
            <sz val="9"/>
            <color indexed="81"/>
            <rFont val="Tahoma"/>
            <family val="2"/>
          </rPr>
          <t>Author:</t>
        </r>
        <r>
          <rPr>
            <sz val="9"/>
            <color indexed="81"/>
            <rFont val="Tahoma"/>
            <family val="2"/>
          </rPr>
          <t xml:space="preserve">
From Kofler2024</t>
        </r>
      </text>
    </comment>
    <comment ref="AP27" authorId="0" shapeId="0" xr:uid="{00000000-0006-0000-0000-0000D6000000}">
      <text>
        <r>
          <rPr>
            <b/>
            <sz val="9"/>
            <color indexed="81"/>
            <rFont val="Tahoma"/>
            <family val="2"/>
          </rPr>
          <t>Author:</t>
        </r>
        <r>
          <rPr>
            <sz val="9"/>
            <color indexed="81"/>
            <rFont val="Tahoma"/>
            <family val="2"/>
          </rPr>
          <t xml:space="preserve">
From Kofler2024</t>
        </r>
      </text>
    </comment>
    <comment ref="AQ27" authorId="0" shapeId="0" xr:uid="{00000000-0006-0000-0000-0000D7000000}">
      <text>
        <r>
          <rPr>
            <b/>
            <sz val="9"/>
            <color indexed="81"/>
            <rFont val="Tahoma"/>
            <family val="2"/>
          </rPr>
          <t>Author:</t>
        </r>
        <r>
          <rPr>
            <sz val="9"/>
            <color indexed="81"/>
            <rFont val="Tahoma"/>
            <family val="2"/>
          </rPr>
          <t xml:space="preserve">
From Kofler2024</t>
        </r>
      </text>
    </comment>
    <comment ref="AR27" authorId="0" shapeId="0" xr:uid="{00000000-0006-0000-0000-0000D8000000}">
      <text>
        <r>
          <rPr>
            <b/>
            <sz val="9"/>
            <color indexed="81"/>
            <rFont val="Tahoma"/>
            <family val="2"/>
          </rPr>
          <t>Author:</t>
        </r>
        <r>
          <rPr>
            <sz val="9"/>
            <color indexed="81"/>
            <rFont val="Tahoma"/>
            <family val="2"/>
          </rPr>
          <t xml:space="preserve">
From Kofler2024</t>
        </r>
      </text>
    </comment>
    <comment ref="AS27" authorId="0" shapeId="0" xr:uid="{00000000-0006-0000-0000-0000D9000000}">
      <text>
        <r>
          <rPr>
            <b/>
            <sz val="9"/>
            <color indexed="81"/>
            <rFont val="Tahoma"/>
            <family val="2"/>
          </rPr>
          <t>Author:</t>
        </r>
        <r>
          <rPr>
            <sz val="9"/>
            <color indexed="81"/>
            <rFont val="Tahoma"/>
            <family val="2"/>
          </rPr>
          <t xml:space="preserve">
From Kofler2024</t>
        </r>
      </text>
    </comment>
    <comment ref="AT27" authorId="0" shapeId="0" xr:uid="{00000000-0006-0000-0000-0000DA000000}">
      <text>
        <r>
          <rPr>
            <b/>
            <sz val="9"/>
            <color indexed="81"/>
            <rFont val="Tahoma"/>
            <family val="2"/>
          </rPr>
          <t>Author:</t>
        </r>
        <r>
          <rPr>
            <sz val="9"/>
            <color indexed="81"/>
            <rFont val="Tahoma"/>
            <family val="2"/>
          </rPr>
          <t xml:space="preserve">
From Kofler2024</t>
        </r>
      </text>
    </comment>
    <comment ref="AU27" authorId="0" shapeId="0" xr:uid="{00000000-0006-0000-0000-0000DB000000}">
      <text>
        <r>
          <rPr>
            <b/>
            <sz val="9"/>
            <color indexed="81"/>
            <rFont val="Tahoma"/>
            <family val="2"/>
          </rPr>
          <t>Author:</t>
        </r>
        <r>
          <rPr>
            <sz val="9"/>
            <color indexed="81"/>
            <rFont val="Tahoma"/>
            <family val="2"/>
          </rPr>
          <t xml:space="preserve">
From Kofler2024</t>
        </r>
      </text>
    </comment>
    <comment ref="AV27" authorId="0" shapeId="0" xr:uid="{00000000-0006-0000-0000-0000DC000000}">
      <text>
        <r>
          <rPr>
            <b/>
            <sz val="9"/>
            <color indexed="81"/>
            <rFont val="Tahoma"/>
            <family val="2"/>
          </rPr>
          <t>Author:</t>
        </r>
        <r>
          <rPr>
            <sz val="9"/>
            <color indexed="81"/>
            <rFont val="Tahoma"/>
            <family val="2"/>
          </rPr>
          <t xml:space="preserve">
From Kofler2024</t>
        </r>
      </text>
    </comment>
    <comment ref="AW27" authorId="0" shapeId="0" xr:uid="{00000000-0006-0000-0000-0000DD000000}">
      <text>
        <r>
          <rPr>
            <b/>
            <sz val="9"/>
            <color indexed="81"/>
            <rFont val="Tahoma"/>
            <family val="2"/>
          </rPr>
          <t>Author:</t>
        </r>
        <r>
          <rPr>
            <sz val="9"/>
            <color indexed="81"/>
            <rFont val="Tahoma"/>
            <family val="2"/>
          </rPr>
          <t xml:space="preserve">
From Kofler2024</t>
        </r>
      </text>
    </comment>
    <comment ref="AX27" authorId="0" shapeId="0" xr:uid="{00000000-0006-0000-0000-0000DE000000}">
      <text>
        <r>
          <rPr>
            <b/>
            <sz val="9"/>
            <color indexed="81"/>
            <rFont val="Tahoma"/>
            <family val="2"/>
          </rPr>
          <t>Author:</t>
        </r>
        <r>
          <rPr>
            <sz val="9"/>
            <color indexed="81"/>
            <rFont val="Tahoma"/>
            <family val="2"/>
          </rPr>
          <t xml:space="preserve">
From Kofler2024</t>
        </r>
      </text>
    </comment>
    <comment ref="AY27" authorId="0" shapeId="0" xr:uid="{00000000-0006-0000-0000-0000DF000000}">
      <text>
        <r>
          <rPr>
            <b/>
            <sz val="9"/>
            <color indexed="81"/>
            <rFont val="Tahoma"/>
            <family val="2"/>
          </rPr>
          <t>Author:</t>
        </r>
        <r>
          <rPr>
            <sz val="9"/>
            <color indexed="81"/>
            <rFont val="Tahoma"/>
            <family val="2"/>
          </rPr>
          <t xml:space="preserve">
From Kofler2024</t>
        </r>
      </text>
    </comment>
    <comment ref="AZ27" authorId="0" shapeId="0" xr:uid="{00000000-0006-0000-0000-0000E0000000}">
      <text>
        <r>
          <rPr>
            <b/>
            <sz val="9"/>
            <color indexed="81"/>
            <rFont val="Tahoma"/>
            <family val="2"/>
          </rPr>
          <t>Author:</t>
        </r>
        <r>
          <rPr>
            <sz val="9"/>
            <color indexed="81"/>
            <rFont val="Tahoma"/>
            <family val="2"/>
          </rPr>
          <t xml:space="preserve">
From Kofler2024</t>
        </r>
      </text>
    </comment>
    <comment ref="BA27" authorId="0" shapeId="0" xr:uid="{00000000-0006-0000-0000-0000E1000000}">
      <text>
        <r>
          <rPr>
            <b/>
            <sz val="9"/>
            <color indexed="81"/>
            <rFont val="Tahoma"/>
            <family val="2"/>
          </rPr>
          <t>Author:</t>
        </r>
        <r>
          <rPr>
            <sz val="9"/>
            <color indexed="81"/>
            <rFont val="Tahoma"/>
            <family val="2"/>
          </rPr>
          <t xml:space="preserve">
From Kofler2024</t>
        </r>
      </text>
    </comment>
    <comment ref="BB27" authorId="0" shapeId="0" xr:uid="{00000000-0006-0000-0000-0000E2000000}">
      <text>
        <r>
          <rPr>
            <b/>
            <sz val="9"/>
            <color indexed="81"/>
            <rFont val="Tahoma"/>
            <family val="2"/>
          </rPr>
          <t>Author:</t>
        </r>
        <r>
          <rPr>
            <sz val="9"/>
            <color indexed="81"/>
            <rFont val="Tahoma"/>
            <family val="2"/>
          </rPr>
          <t xml:space="preserve">
From Kofler2024</t>
        </r>
      </text>
    </comment>
    <comment ref="BC27" authorId="0" shapeId="0" xr:uid="{00000000-0006-0000-0000-0000E3000000}">
      <text>
        <r>
          <rPr>
            <b/>
            <sz val="9"/>
            <color indexed="81"/>
            <rFont val="Tahoma"/>
            <family val="2"/>
          </rPr>
          <t>Author:</t>
        </r>
        <r>
          <rPr>
            <sz val="9"/>
            <color indexed="81"/>
            <rFont val="Tahoma"/>
            <family val="2"/>
          </rPr>
          <t xml:space="preserve">
From Kofler2024</t>
        </r>
      </text>
    </comment>
    <comment ref="BD27" authorId="0" shapeId="0" xr:uid="{00000000-0006-0000-0000-0000E4000000}">
      <text>
        <r>
          <rPr>
            <b/>
            <sz val="9"/>
            <color indexed="81"/>
            <rFont val="Tahoma"/>
            <family val="2"/>
          </rPr>
          <t>Author:</t>
        </r>
        <r>
          <rPr>
            <sz val="9"/>
            <color indexed="81"/>
            <rFont val="Tahoma"/>
            <family val="2"/>
          </rPr>
          <t xml:space="preserve">
From Kofler2024</t>
        </r>
      </text>
    </comment>
    <comment ref="BE27" authorId="0" shapeId="0" xr:uid="{00000000-0006-0000-0000-0000E5000000}">
      <text>
        <r>
          <rPr>
            <b/>
            <sz val="9"/>
            <color indexed="81"/>
            <rFont val="Tahoma"/>
            <family val="2"/>
          </rPr>
          <t>Author:</t>
        </r>
        <r>
          <rPr>
            <sz val="9"/>
            <color indexed="81"/>
            <rFont val="Tahoma"/>
            <family val="2"/>
          </rPr>
          <t xml:space="preserve">
From Kofler2024</t>
        </r>
      </text>
    </comment>
    <comment ref="BF27" authorId="0" shapeId="0" xr:uid="{00000000-0006-0000-0000-0000E6000000}">
      <text>
        <r>
          <rPr>
            <b/>
            <sz val="9"/>
            <color indexed="81"/>
            <rFont val="Tahoma"/>
            <family val="2"/>
          </rPr>
          <t>Author:</t>
        </r>
        <r>
          <rPr>
            <sz val="9"/>
            <color indexed="81"/>
            <rFont val="Tahoma"/>
            <family val="2"/>
          </rPr>
          <t xml:space="preserve">
From Kofler2024</t>
        </r>
      </text>
    </comment>
    <comment ref="BG27" authorId="0" shapeId="0" xr:uid="{00000000-0006-0000-0000-0000E7000000}">
      <text>
        <r>
          <rPr>
            <b/>
            <sz val="9"/>
            <color indexed="81"/>
            <rFont val="Tahoma"/>
            <family val="2"/>
          </rPr>
          <t>Author:</t>
        </r>
        <r>
          <rPr>
            <sz val="9"/>
            <color indexed="81"/>
            <rFont val="Tahoma"/>
            <family val="2"/>
          </rPr>
          <t xml:space="preserve">
From Kofler2024</t>
        </r>
      </text>
    </comment>
    <comment ref="BH27" authorId="0" shapeId="0" xr:uid="{00000000-0006-0000-0000-0000E8000000}">
      <text>
        <r>
          <rPr>
            <b/>
            <sz val="9"/>
            <color indexed="81"/>
            <rFont val="Tahoma"/>
            <family val="2"/>
          </rPr>
          <t>Author:</t>
        </r>
        <r>
          <rPr>
            <sz val="9"/>
            <color indexed="81"/>
            <rFont val="Tahoma"/>
            <family val="2"/>
          </rPr>
          <t xml:space="preserve">
From Kofler2024</t>
        </r>
      </text>
    </comment>
    <comment ref="BI27" authorId="0" shapeId="0" xr:uid="{00000000-0006-0000-0000-0000E9000000}">
      <text>
        <r>
          <rPr>
            <b/>
            <sz val="9"/>
            <color indexed="81"/>
            <rFont val="Tahoma"/>
            <family val="2"/>
          </rPr>
          <t>Author:</t>
        </r>
        <r>
          <rPr>
            <sz val="9"/>
            <color indexed="81"/>
            <rFont val="Tahoma"/>
            <family val="2"/>
          </rPr>
          <t xml:space="preserve">
From Kofler2024</t>
        </r>
      </text>
    </comment>
    <comment ref="BJ27" authorId="0" shapeId="0" xr:uid="{00000000-0006-0000-0000-0000EA000000}">
      <text>
        <r>
          <rPr>
            <b/>
            <sz val="9"/>
            <color indexed="81"/>
            <rFont val="Tahoma"/>
            <family val="2"/>
          </rPr>
          <t>Author:</t>
        </r>
        <r>
          <rPr>
            <sz val="9"/>
            <color indexed="81"/>
            <rFont val="Tahoma"/>
            <family val="2"/>
          </rPr>
          <t xml:space="preserve">
From this study </t>
        </r>
      </text>
    </comment>
    <comment ref="BK27" authorId="0" shapeId="0" xr:uid="{00000000-0006-0000-0000-0000EB000000}">
      <text>
        <r>
          <rPr>
            <b/>
            <sz val="9"/>
            <color indexed="81"/>
            <rFont val="Tahoma"/>
            <family val="2"/>
          </rPr>
          <t>Author:</t>
        </r>
        <r>
          <rPr>
            <sz val="9"/>
            <color indexed="81"/>
            <rFont val="Tahoma"/>
            <family val="2"/>
          </rPr>
          <t xml:space="preserve">
From this study </t>
        </r>
      </text>
    </comment>
    <comment ref="BL27" authorId="0" shapeId="0" xr:uid="{00000000-0006-0000-0000-0000EC000000}">
      <text>
        <r>
          <rPr>
            <b/>
            <sz val="9"/>
            <color indexed="81"/>
            <rFont val="Tahoma"/>
            <family val="2"/>
          </rPr>
          <t>Author:</t>
        </r>
        <r>
          <rPr>
            <sz val="9"/>
            <color indexed="81"/>
            <rFont val="Tahoma"/>
            <family val="2"/>
          </rPr>
          <t xml:space="preserve">
From this study </t>
        </r>
      </text>
    </comment>
    <comment ref="BM27" authorId="0" shapeId="0" xr:uid="{00000000-0006-0000-0000-0000ED000000}">
      <text>
        <r>
          <rPr>
            <b/>
            <sz val="9"/>
            <color indexed="81"/>
            <rFont val="Tahoma"/>
            <family val="2"/>
          </rPr>
          <t>Author:</t>
        </r>
        <r>
          <rPr>
            <sz val="9"/>
            <color indexed="81"/>
            <rFont val="Tahoma"/>
            <family val="2"/>
          </rPr>
          <t xml:space="preserve">
From this study </t>
        </r>
      </text>
    </comment>
    <comment ref="BN27" authorId="0" shapeId="0" xr:uid="{00000000-0006-0000-0000-0000EE000000}">
      <text>
        <r>
          <rPr>
            <b/>
            <sz val="9"/>
            <color indexed="81"/>
            <rFont val="Tahoma"/>
            <family val="2"/>
          </rPr>
          <t>Author:</t>
        </r>
        <r>
          <rPr>
            <sz val="9"/>
            <color indexed="81"/>
            <rFont val="Tahoma"/>
            <family val="2"/>
          </rPr>
          <t xml:space="preserve">
From this study </t>
        </r>
      </text>
    </comment>
    <comment ref="BO27" authorId="0" shapeId="0" xr:uid="{00000000-0006-0000-0000-0000EF000000}">
      <text>
        <r>
          <rPr>
            <b/>
            <sz val="9"/>
            <color indexed="81"/>
            <rFont val="Tahoma"/>
            <family val="2"/>
          </rPr>
          <t>Author:</t>
        </r>
        <r>
          <rPr>
            <sz val="9"/>
            <color indexed="81"/>
            <rFont val="Tahoma"/>
            <family val="2"/>
          </rPr>
          <t xml:space="preserve">
From this study </t>
        </r>
      </text>
    </comment>
    <comment ref="BP27" authorId="0" shapeId="0" xr:uid="{00000000-0006-0000-0000-0000F0000000}">
      <text>
        <r>
          <rPr>
            <b/>
            <sz val="9"/>
            <color indexed="81"/>
            <rFont val="Tahoma"/>
            <family val="2"/>
          </rPr>
          <t>Author:</t>
        </r>
        <r>
          <rPr>
            <sz val="9"/>
            <color indexed="81"/>
            <rFont val="Tahoma"/>
            <family val="2"/>
          </rPr>
          <t xml:space="preserve">
From this study </t>
        </r>
      </text>
    </comment>
    <comment ref="BQ27" authorId="0" shapeId="0" xr:uid="{00000000-0006-0000-0000-0000F1000000}">
      <text>
        <r>
          <rPr>
            <b/>
            <sz val="9"/>
            <color indexed="81"/>
            <rFont val="Tahoma"/>
            <family val="2"/>
          </rPr>
          <t>Author:</t>
        </r>
        <r>
          <rPr>
            <sz val="9"/>
            <color indexed="81"/>
            <rFont val="Tahoma"/>
            <family val="2"/>
          </rPr>
          <t xml:space="preserve">
From this study </t>
        </r>
      </text>
    </comment>
    <comment ref="BR27" authorId="0" shapeId="0" xr:uid="{00000000-0006-0000-0000-0000F2000000}">
      <text>
        <r>
          <rPr>
            <b/>
            <sz val="9"/>
            <color indexed="81"/>
            <rFont val="Tahoma"/>
            <family val="2"/>
          </rPr>
          <t>Author:</t>
        </r>
        <r>
          <rPr>
            <sz val="9"/>
            <color indexed="81"/>
            <rFont val="Tahoma"/>
            <family val="2"/>
          </rPr>
          <t xml:space="preserve">
From Kofler2024</t>
        </r>
      </text>
    </comment>
    <comment ref="BS27" authorId="0" shapeId="0" xr:uid="{00000000-0006-0000-0000-0000F3000000}">
      <text>
        <r>
          <rPr>
            <b/>
            <sz val="9"/>
            <color indexed="81"/>
            <rFont val="Tahoma"/>
            <family val="2"/>
          </rPr>
          <t>Author:</t>
        </r>
        <r>
          <rPr>
            <sz val="9"/>
            <color indexed="81"/>
            <rFont val="Tahoma"/>
            <family val="2"/>
          </rPr>
          <t xml:space="preserve">
From Kofler2024</t>
        </r>
      </text>
    </comment>
    <comment ref="BT27" authorId="0" shapeId="0" xr:uid="{00000000-0006-0000-0000-0000F4000000}">
      <text>
        <r>
          <rPr>
            <b/>
            <sz val="9"/>
            <color indexed="81"/>
            <rFont val="Tahoma"/>
            <family val="2"/>
          </rPr>
          <t>Author:</t>
        </r>
        <r>
          <rPr>
            <sz val="9"/>
            <color indexed="81"/>
            <rFont val="Tahoma"/>
            <family val="2"/>
          </rPr>
          <t xml:space="preserve">
From Kofler2024</t>
        </r>
      </text>
    </comment>
    <comment ref="BU27" authorId="0" shapeId="0" xr:uid="{00000000-0006-0000-0000-0000F5000000}">
      <text>
        <r>
          <rPr>
            <b/>
            <sz val="9"/>
            <color indexed="81"/>
            <rFont val="Tahoma"/>
            <family val="2"/>
          </rPr>
          <t>Author:</t>
        </r>
        <r>
          <rPr>
            <sz val="9"/>
            <color indexed="81"/>
            <rFont val="Tahoma"/>
            <family val="2"/>
          </rPr>
          <t xml:space="preserve">
From Kofler2024</t>
        </r>
      </text>
    </comment>
    <comment ref="R28" authorId="0" shapeId="0" xr:uid="{00000000-0006-0000-0000-0000F6000000}">
      <text>
        <r>
          <rPr>
            <b/>
            <sz val="9"/>
            <color indexed="81"/>
            <rFont val="Tahoma"/>
            <family val="2"/>
          </rPr>
          <t>Author:</t>
        </r>
        <r>
          <rPr>
            <sz val="9"/>
            <color indexed="81"/>
            <rFont val="Tahoma"/>
            <family val="2"/>
          </rPr>
          <t xml:space="preserve">
From Kofler2024</t>
        </r>
      </text>
    </comment>
    <comment ref="S28" authorId="0" shapeId="0" xr:uid="{00000000-0006-0000-0000-0000F7000000}">
      <text>
        <r>
          <rPr>
            <b/>
            <sz val="9"/>
            <color indexed="81"/>
            <rFont val="Tahoma"/>
            <family val="2"/>
          </rPr>
          <t>Author:</t>
        </r>
        <r>
          <rPr>
            <sz val="9"/>
            <color indexed="81"/>
            <rFont val="Tahoma"/>
            <family val="2"/>
          </rPr>
          <t xml:space="preserve">
From Kofler2024</t>
        </r>
      </text>
    </comment>
    <comment ref="T28" authorId="0" shapeId="0" xr:uid="{00000000-0006-0000-0000-0000F8000000}">
      <text>
        <r>
          <rPr>
            <b/>
            <sz val="9"/>
            <color indexed="81"/>
            <rFont val="Tahoma"/>
            <family val="2"/>
          </rPr>
          <t>Author:</t>
        </r>
        <r>
          <rPr>
            <sz val="9"/>
            <color indexed="81"/>
            <rFont val="Tahoma"/>
            <family val="2"/>
          </rPr>
          <t xml:space="preserve">
From Kofler2024</t>
        </r>
      </text>
    </comment>
    <comment ref="U28" authorId="0" shapeId="0" xr:uid="{00000000-0006-0000-0000-0000F9000000}">
      <text>
        <r>
          <rPr>
            <b/>
            <sz val="9"/>
            <color indexed="81"/>
            <rFont val="Tahoma"/>
            <family val="2"/>
          </rPr>
          <t>Author:</t>
        </r>
        <r>
          <rPr>
            <sz val="9"/>
            <color indexed="81"/>
            <rFont val="Tahoma"/>
            <family val="2"/>
          </rPr>
          <t xml:space="preserve">
From Kofler2024</t>
        </r>
      </text>
    </comment>
    <comment ref="V28" authorId="0" shapeId="0" xr:uid="{00000000-0006-0000-0000-0000FA000000}">
      <text>
        <r>
          <rPr>
            <b/>
            <sz val="9"/>
            <color indexed="81"/>
            <rFont val="Tahoma"/>
            <family val="2"/>
          </rPr>
          <t>Author:</t>
        </r>
        <r>
          <rPr>
            <sz val="9"/>
            <color indexed="81"/>
            <rFont val="Tahoma"/>
            <family val="2"/>
          </rPr>
          <t xml:space="preserve">
From Kofler2024</t>
        </r>
      </text>
    </comment>
    <comment ref="W28" authorId="0" shapeId="0" xr:uid="{00000000-0006-0000-0000-0000FB000000}">
      <text>
        <r>
          <rPr>
            <b/>
            <sz val="9"/>
            <color indexed="81"/>
            <rFont val="Tahoma"/>
            <family val="2"/>
          </rPr>
          <t>Author:</t>
        </r>
        <r>
          <rPr>
            <sz val="9"/>
            <color indexed="81"/>
            <rFont val="Tahoma"/>
            <family val="2"/>
          </rPr>
          <t xml:space="preserve">
From Kofler2024</t>
        </r>
      </text>
    </comment>
    <comment ref="X28" authorId="0" shapeId="0" xr:uid="{00000000-0006-0000-0000-0000FC000000}">
      <text>
        <r>
          <rPr>
            <b/>
            <sz val="9"/>
            <color indexed="81"/>
            <rFont val="Tahoma"/>
            <family val="2"/>
          </rPr>
          <t>Author:</t>
        </r>
        <r>
          <rPr>
            <sz val="9"/>
            <color indexed="81"/>
            <rFont val="Tahoma"/>
            <family val="2"/>
          </rPr>
          <t xml:space="preserve">
From Kofler2024</t>
        </r>
      </text>
    </comment>
    <comment ref="Y28" authorId="0" shapeId="0" xr:uid="{00000000-0006-0000-0000-0000FD000000}">
      <text>
        <r>
          <rPr>
            <b/>
            <sz val="9"/>
            <color indexed="81"/>
            <rFont val="Tahoma"/>
            <family val="2"/>
          </rPr>
          <t>Author:</t>
        </r>
        <r>
          <rPr>
            <sz val="9"/>
            <color indexed="81"/>
            <rFont val="Tahoma"/>
            <family val="2"/>
          </rPr>
          <t xml:space="preserve">
From Kofler2024</t>
        </r>
      </text>
    </comment>
    <comment ref="Z28" authorId="0" shapeId="0" xr:uid="{00000000-0006-0000-0000-0000FE000000}">
      <text>
        <r>
          <rPr>
            <b/>
            <sz val="9"/>
            <color indexed="81"/>
            <rFont val="Tahoma"/>
            <family val="2"/>
          </rPr>
          <t>Author:</t>
        </r>
        <r>
          <rPr>
            <sz val="9"/>
            <color indexed="81"/>
            <rFont val="Tahoma"/>
            <family val="2"/>
          </rPr>
          <t xml:space="preserve">
From Kofler2024</t>
        </r>
      </text>
    </comment>
    <comment ref="AA28" authorId="0" shapeId="0" xr:uid="{00000000-0006-0000-0000-0000FF000000}">
      <text>
        <r>
          <rPr>
            <b/>
            <sz val="9"/>
            <color indexed="81"/>
            <rFont val="Tahoma"/>
            <family val="2"/>
          </rPr>
          <t>Author:</t>
        </r>
        <r>
          <rPr>
            <sz val="9"/>
            <color indexed="81"/>
            <rFont val="Tahoma"/>
            <family val="2"/>
          </rPr>
          <t xml:space="preserve">
From Kofler2024</t>
        </r>
      </text>
    </comment>
    <comment ref="AB28" authorId="0" shapeId="0" xr:uid="{00000000-0006-0000-0000-000000010000}">
      <text>
        <r>
          <rPr>
            <b/>
            <sz val="9"/>
            <color indexed="81"/>
            <rFont val="Tahoma"/>
            <family val="2"/>
          </rPr>
          <t>Author:</t>
        </r>
        <r>
          <rPr>
            <sz val="9"/>
            <color indexed="81"/>
            <rFont val="Tahoma"/>
            <family val="2"/>
          </rPr>
          <t xml:space="preserve">
From Kofler2024</t>
        </r>
      </text>
    </comment>
    <comment ref="AC28" authorId="0" shapeId="0" xr:uid="{00000000-0006-0000-0000-000001010000}">
      <text>
        <r>
          <rPr>
            <b/>
            <sz val="9"/>
            <color indexed="81"/>
            <rFont val="Tahoma"/>
            <family val="2"/>
          </rPr>
          <t>Author:</t>
        </r>
        <r>
          <rPr>
            <sz val="9"/>
            <color indexed="81"/>
            <rFont val="Tahoma"/>
            <family val="2"/>
          </rPr>
          <t xml:space="preserve">
From Kofler2024</t>
        </r>
      </text>
    </comment>
    <comment ref="AD28" authorId="0" shapeId="0" xr:uid="{00000000-0006-0000-0000-000002010000}">
      <text>
        <r>
          <rPr>
            <b/>
            <sz val="9"/>
            <color indexed="81"/>
            <rFont val="Tahoma"/>
            <family val="2"/>
          </rPr>
          <t>Author:</t>
        </r>
        <r>
          <rPr>
            <sz val="9"/>
            <color indexed="81"/>
            <rFont val="Tahoma"/>
            <family val="2"/>
          </rPr>
          <t xml:space="preserve">
From Kofler2024</t>
        </r>
      </text>
    </comment>
    <comment ref="AE28" authorId="0" shapeId="0" xr:uid="{00000000-0006-0000-0000-000003010000}">
      <text>
        <r>
          <rPr>
            <b/>
            <sz val="9"/>
            <color indexed="81"/>
            <rFont val="Tahoma"/>
            <family val="2"/>
          </rPr>
          <t>Author:</t>
        </r>
        <r>
          <rPr>
            <sz val="9"/>
            <color indexed="81"/>
            <rFont val="Tahoma"/>
            <family val="2"/>
          </rPr>
          <t xml:space="preserve">
From Kofler2024</t>
        </r>
      </text>
    </comment>
    <comment ref="AF28" authorId="0" shapeId="0" xr:uid="{00000000-0006-0000-0000-000004010000}">
      <text>
        <r>
          <rPr>
            <b/>
            <sz val="9"/>
            <color indexed="81"/>
            <rFont val="Tahoma"/>
            <family val="2"/>
          </rPr>
          <t>Author:</t>
        </r>
        <r>
          <rPr>
            <sz val="9"/>
            <color indexed="81"/>
            <rFont val="Tahoma"/>
            <family val="2"/>
          </rPr>
          <t xml:space="preserve">
From Kofler2024</t>
        </r>
      </text>
    </comment>
    <comment ref="AG28" authorId="0" shapeId="0" xr:uid="{00000000-0006-0000-0000-000005010000}">
      <text>
        <r>
          <rPr>
            <b/>
            <sz val="9"/>
            <color indexed="81"/>
            <rFont val="Tahoma"/>
            <family val="2"/>
          </rPr>
          <t>Author:</t>
        </r>
        <r>
          <rPr>
            <sz val="9"/>
            <color indexed="81"/>
            <rFont val="Tahoma"/>
            <family val="2"/>
          </rPr>
          <t xml:space="preserve">
From Kofler2024</t>
        </r>
      </text>
    </comment>
    <comment ref="AH28" authorId="0" shapeId="0" xr:uid="{00000000-0006-0000-0000-000006010000}">
      <text>
        <r>
          <rPr>
            <b/>
            <sz val="9"/>
            <color indexed="81"/>
            <rFont val="Tahoma"/>
            <family val="2"/>
          </rPr>
          <t>Author:</t>
        </r>
        <r>
          <rPr>
            <sz val="9"/>
            <color indexed="81"/>
            <rFont val="Tahoma"/>
            <family val="2"/>
          </rPr>
          <t xml:space="preserve">
From Kofler2024</t>
        </r>
      </text>
    </comment>
    <comment ref="AI28" authorId="0" shapeId="0" xr:uid="{00000000-0006-0000-0000-000007010000}">
      <text>
        <r>
          <rPr>
            <b/>
            <sz val="9"/>
            <color indexed="81"/>
            <rFont val="Tahoma"/>
            <family val="2"/>
          </rPr>
          <t>Author:</t>
        </r>
        <r>
          <rPr>
            <sz val="9"/>
            <color indexed="81"/>
            <rFont val="Tahoma"/>
            <family val="2"/>
          </rPr>
          <t xml:space="preserve">
From Kofler2024</t>
        </r>
      </text>
    </comment>
    <comment ref="AJ28" authorId="0" shapeId="0" xr:uid="{00000000-0006-0000-0000-000008010000}">
      <text>
        <r>
          <rPr>
            <b/>
            <sz val="9"/>
            <color indexed="81"/>
            <rFont val="Tahoma"/>
            <family val="2"/>
          </rPr>
          <t>Author:</t>
        </r>
        <r>
          <rPr>
            <sz val="9"/>
            <color indexed="81"/>
            <rFont val="Tahoma"/>
            <family val="2"/>
          </rPr>
          <t xml:space="preserve">
From Kofler2024</t>
        </r>
      </text>
    </comment>
    <comment ref="AK28" authorId="0" shapeId="0" xr:uid="{00000000-0006-0000-0000-000009010000}">
      <text>
        <r>
          <rPr>
            <b/>
            <sz val="9"/>
            <color indexed="81"/>
            <rFont val="Tahoma"/>
            <family val="2"/>
          </rPr>
          <t>Author:</t>
        </r>
        <r>
          <rPr>
            <sz val="9"/>
            <color indexed="81"/>
            <rFont val="Tahoma"/>
            <family val="2"/>
          </rPr>
          <t xml:space="preserve">
From Kofler2024</t>
        </r>
      </text>
    </comment>
    <comment ref="AL28" authorId="0" shapeId="0" xr:uid="{00000000-0006-0000-0000-00000A010000}">
      <text>
        <r>
          <rPr>
            <b/>
            <sz val="9"/>
            <color indexed="81"/>
            <rFont val="Tahoma"/>
            <family val="2"/>
          </rPr>
          <t>Author:</t>
        </r>
        <r>
          <rPr>
            <sz val="9"/>
            <color indexed="81"/>
            <rFont val="Tahoma"/>
            <family val="2"/>
          </rPr>
          <t xml:space="preserve">
From Kofler2024</t>
        </r>
      </text>
    </comment>
    <comment ref="AM28" authorId="0" shapeId="0" xr:uid="{00000000-0006-0000-0000-00000B010000}">
      <text>
        <r>
          <rPr>
            <b/>
            <sz val="9"/>
            <color indexed="81"/>
            <rFont val="Tahoma"/>
            <family val="2"/>
          </rPr>
          <t>Author:</t>
        </r>
        <r>
          <rPr>
            <sz val="9"/>
            <color indexed="81"/>
            <rFont val="Tahoma"/>
            <family val="2"/>
          </rPr>
          <t xml:space="preserve">
From Kofler2024</t>
        </r>
      </text>
    </comment>
    <comment ref="AN28" authorId="0" shapeId="0" xr:uid="{00000000-0006-0000-0000-00000C010000}">
      <text>
        <r>
          <rPr>
            <b/>
            <sz val="9"/>
            <color indexed="81"/>
            <rFont val="Tahoma"/>
            <family val="2"/>
          </rPr>
          <t>Author:</t>
        </r>
        <r>
          <rPr>
            <sz val="9"/>
            <color indexed="81"/>
            <rFont val="Tahoma"/>
            <family val="2"/>
          </rPr>
          <t xml:space="preserve">
From Kofler2024</t>
        </r>
      </text>
    </comment>
    <comment ref="AO28" authorId="0" shapeId="0" xr:uid="{00000000-0006-0000-0000-00000D010000}">
      <text>
        <r>
          <rPr>
            <b/>
            <sz val="9"/>
            <color indexed="81"/>
            <rFont val="Tahoma"/>
            <family val="2"/>
          </rPr>
          <t>Author:</t>
        </r>
        <r>
          <rPr>
            <sz val="9"/>
            <color indexed="81"/>
            <rFont val="Tahoma"/>
            <family val="2"/>
          </rPr>
          <t xml:space="preserve">
From Kofler2024</t>
        </r>
      </text>
    </comment>
    <comment ref="AP28" authorId="0" shapeId="0" xr:uid="{00000000-0006-0000-0000-00000E010000}">
      <text>
        <r>
          <rPr>
            <b/>
            <sz val="9"/>
            <color indexed="81"/>
            <rFont val="Tahoma"/>
            <family val="2"/>
          </rPr>
          <t>Author:</t>
        </r>
        <r>
          <rPr>
            <sz val="9"/>
            <color indexed="81"/>
            <rFont val="Tahoma"/>
            <family val="2"/>
          </rPr>
          <t xml:space="preserve">
From Kofler2024</t>
        </r>
      </text>
    </comment>
    <comment ref="AQ28" authorId="0" shapeId="0" xr:uid="{00000000-0006-0000-0000-00000F010000}">
      <text>
        <r>
          <rPr>
            <b/>
            <sz val="9"/>
            <color indexed="81"/>
            <rFont val="Tahoma"/>
            <family val="2"/>
          </rPr>
          <t>Author:</t>
        </r>
        <r>
          <rPr>
            <sz val="9"/>
            <color indexed="81"/>
            <rFont val="Tahoma"/>
            <family val="2"/>
          </rPr>
          <t xml:space="preserve">
From Kofler2024</t>
        </r>
      </text>
    </comment>
    <comment ref="AR28" authorId="0" shapeId="0" xr:uid="{00000000-0006-0000-0000-000010010000}">
      <text>
        <r>
          <rPr>
            <b/>
            <sz val="9"/>
            <color indexed="81"/>
            <rFont val="Tahoma"/>
            <family val="2"/>
          </rPr>
          <t>Author:</t>
        </r>
        <r>
          <rPr>
            <sz val="9"/>
            <color indexed="81"/>
            <rFont val="Tahoma"/>
            <family val="2"/>
          </rPr>
          <t xml:space="preserve">
From Kofler2024</t>
        </r>
      </text>
    </comment>
    <comment ref="AS28" authorId="0" shapeId="0" xr:uid="{00000000-0006-0000-0000-000011010000}">
      <text>
        <r>
          <rPr>
            <b/>
            <sz val="9"/>
            <color indexed="81"/>
            <rFont val="Tahoma"/>
            <family val="2"/>
          </rPr>
          <t>Author:</t>
        </r>
        <r>
          <rPr>
            <sz val="9"/>
            <color indexed="81"/>
            <rFont val="Tahoma"/>
            <family val="2"/>
          </rPr>
          <t xml:space="preserve">
From Kofler2024</t>
        </r>
      </text>
    </comment>
    <comment ref="AT28" authorId="0" shapeId="0" xr:uid="{00000000-0006-0000-0000-000012010000}">
      <text>
        <r>
          <rPr>
            <b/>
            <sz val="9"/>
            <color indexed="81"/>
            <rFont val="Tahoma"/>
            <family val="2"/>
          </rPr>
          <t>Author:</t>
        </r>
        <r>
          <rPr>
            <sz val="9"/>
            <color indexed="81"/>
            <rFont val="Tahoma"/>
            <family val="2"/>
          </rPr>
          <t xml:space="preserve">
From Kofler2024</t>
        </r>
      </text>
    </comment>
    <comment ref="AU28" authorId="0" shapeId="0" xr:uid="{00000000-0006-0000-0000-000013010000}">
      <text>
        <r>
          <rPr>
            <b/>
            <sz val="9"/>
            <color indexed="81"/>
            <rFont val="Tahoma"/>
            <family val="2"/>
          </rPr>
          <t>Author:</t>
        </r>
        <r>
          <rPr>
            <sz val="9"/>
            <color indexed="81"/>
            <rFont val="Tahoma"/>
            <family val="2"/>
          </rPr>
          <t xml:space="preserve">
From Kofler2024</t>
        </r>
      </text>
    </comment>
    <comment ref="AV28" authorId="0" shapeId="0" xr:uid="{00000000-0006-0000-0000-000014010000}">
      <text>
        <r>
          <rPr>
            <b/>
            <sz val="9"/>
            <color indexed="81"/>
            <rFont val="Tahoma"/>
            <family val="2"/>
          </rPr>
          <t>Author:</t>
        </r>
        <r>
          <rPr>
            <sz val="9"/>
            <color indexed="81"/>
            <rFont val="Tahoma"/>
            <family val="2"/>
          </rPr>
          <t xml:space="preserve">
From Kofler2024</t>
        </r>
      </text>
    </comment>
    <comment ref="AW28" authorId="0" shapeId="0" xr:uid="{00000000-0006-0000-0000-000015010000}">
      <text>
        <r>
          <rPr>
            <b/>
            <sz val="9"/>
            <color indexed="81"/>
            <rFont val="Tahoma"/>
            <family val="2"/>
          </rPr>
          <t>Author:</t>
        </r>
        <r>
          <rPr>
            <sz val="9"/>
            <color indexed="81"/>
            <rFont val="Tahoma"/>
            <family val="2"/>
          </rPr>
          <t xml:space="preserve">
From Kofler2024</t>
        </r>
      </text>
    </comment>
    <comment ref="AX28" authorId="0" shapeId="0" xr:uid="{00000000-0006-0000-0000-000016010000}">
      <text>
        <r>
          <rPr>
            <b/>
            <sz val="9"/>
            <color indexed="81"/>
            <rFont val="Tahoma"/>
            <family val="2"/>
          </rPr>
          <t>Author:</t>
        </r>
        <r>
          <rPr>
            <sz val="9"/>
            <color indexed="81"/>
            <rFont val="Tahoma"/>
            <family val="2"/>
          </rPr>
          <t xml:space="preserve">
From Kofler2024</t>
        </r>
      </text>
    </comment>
    <comment ref="AY28" authorId="0" shapeId="0" xr:uid="{00000000-0006-0000-0000-000017010000}">
      <text>
        <r>
          <rPr>
            <b/>
            <sz val="9"/>
            <color indexed="81"/>
            <rFont val="Tahoma"/>
            <family val="2"/>
          </rPr>
          <t>Author:</t>
        </r>
        <r>
          <rPr>
            <sz val="9"/>
            <color indexed="81"/>
            <rFont val="Tahoma"/>
            <family val="2"/>
          </rPr>
          <t xml:space="preserve">
From Kofler2024</t>
        </r>
      </text>
    </comment>
    <comment ref="AZ28" authorId="0" shapeId="0" xr:uid="{00000000-0006-0000-0000-000018010000}">
      <text>
        <r>
          <rPr>
            <b/>
            <sz val="9"/>
            <color indexed="81"/>
            <rFont val="Tahoma"/>
            <family val="2"/>
          </rPr>
          <t>Author:</t>
        </r>
        <r>
          <rPr>
            <sz val="9"/>
            <color indexed="81"/>
            <rFont val="Tahoma"/>
            <family val="2"/>
          </rPr>
          <t xml:space="preserve">
From Kofler2024</t>
        </r>
      </text>
    </comment>
    <comment ref="BA28" authorId="0" shapeId="0" xr:uid="{00000000-0006-0000-0000-000019010000}">
      <text>
        <r>
          <rPr>
            <b/>
            <sz val="9"/>
            <color indexed="81"/>
            <rFont val="Tahoma"/>
            <family val="2"/>
          </rPr>
          <t>Author:</t>
        </r>
        <r>
          <rPr>
            <sz val="9"/>
            <color indexed="81"/>
            <rFont val="Tahoma"/>
            <family val="2"/>
          </rPr>
          <t xml:space="preserve">
From Kofler2024</t>
        </r>
      </text>
    </comment>
    <comment ref="BB28" authorId="0" shapeId="0" xr:uid="{00000000-0006-0000-0000-00001A010000}">
      <text>
        <r>
          <rPr>
            <b/>
            <sz val="9"/>
            <color indexed="81"/>
            <rFont val="Tahoma"/>
            <family val="2"/>
          </rPr>
          <t>Author:</t>
        </r>
        <r>
          <rPr>
            <sz val="9"/>
            <color indexed="81"/>
            <rFont val="Tahoma"/>
            <family val="2"/>
          </rPr>
          <t xml:space="preserve">
From Kofler2024</t>
        </r>
      </text>
    </comment>
    <comment ref="BC28" authorId="0" shapeId="0" xr:uid="{00000000-0006-0000-0000-00001B010000}">
      <text>
        <r>
          <rPr>
            <b/>
            <sz val="9"/>
            <color indexed="81"/>
            <rFont val="Tahoma"/>
            <family val="2"/>
          </rPr>
          <t>Author:</t>
        </r>
        <r>
          <rPr>
            <sz val="9"/>
            <color indexed="81"/>
            <rFont val="Tahoma"/>
            <family val="2"/>
          </rPr>
          <t xml:space="preserve">
From Kofler2024</t>
        </r>
      </text>
    </comment>
    <comment ref="BD28" authorId="0" shapeId="0" xr:uid="{00000000-0006-0000-0000-00001C010000}">
      <text>
        <r>
          <rPr>
            <b/>
            <sz val="9"/>
            <color indexed="81"/>
            <rFont val="Tahoma"/>
            <family val="2"/>
          </rPr>
          <t>Author:</t>
        </r>
        <r>
          <rPr>
            <sz val="9"/>
            <color indexed="81"/>
            <rFont val="Tahoma"/>
            <family val="2"/>
          </rPr>
          <t xml:space="preserve">
From Kofler2024</t>
        </r>
      </text>
    </comment>
    <comment ref="BE28" authorId="0" shapeId="0" xr:uid="{00000000-0006-0000-0000-00001D010000}">
      <text>
        <r>
          <rPr>
            <b/>
            <sz val="9"/>
            <color indexed="81"/>
            <rFont val="Tahoma"/>
            <family val="2"/>
          </rPr>
          <t>Author:</t>
        </r>
        <r>
          <rPr>
            <sz val="9"/>
            <color indexed="81"/>
            <rFont val="Tahoma"/>
            <family val="2"/>
          </rPr>
          <t xml:space="preserve">
From Kofler2024</t>
        </r>
      </text>
    </comment>
    <comment ref="BF28" authorId="0" shapeId="0" xr:uid="{00000000-0006-0000-0000-00001E010000}">
      <text>
        <r>
          <rPr>
            <b/>
            <sz val="9"/>
            <color indexed="81"/>
            <rFont val="Tahoma"/>
            <family val="2"/>
          </rPr>
          <t>Author:</t>
        </r>
        <r>
          <rPr>
            <sz val="9"/>
            <color indexed="81"/>
            <rFont val="Tahoma"/>
            <family val="2"/>
          </rPr>
          <t xml:space="preserve">
From Kofler2024</t>
        </r>
      </text>
    </comment>
    <comment ref="BG28" authorId="0" shapeId="0" xr:uid="{00000000-0006-0000-0000-00001F010000}">
      <text>
        <r>
          <rPr>
            <b/>
            <sz val="9"/>
            <color indexed="81"/>
            <rFont val="Tahoma"/>
            <family val="2"/>
          </rPr>
          <t>Author:</t>
        </r>
        <r>
          <rPr>
            <sz val="9"/>
            <color indexed="81"/>
            <rFont val="Tahoma"/>
            <family val="2"/>
          </rPr>
          <t xml:space="preserve">
From Kofler2024</t>
        </r>
      </text>
    </comment>
    <comment ref="BH28" authorId="0" shapeId="0" xr:uid="{00000000-0006-0000-0000-000020010000}">
      <text>
        <r>
          <rPr>
            <b/>
            <sz val="9"/>
            <color indexed="81"/>
            <rFont val="Tahoma"/>
            <family val="2"/>
          </rPr>
          <t>Author:</t>
        </r>
        <r>
          <rPr>
            <sz val="9"/>
            <color indexed="81"/>
            <rFont val="Tahoma"/>
            <family val="2"/>
          </rPr>
          <t xml:space="preserve">
From Kofler2024</t>
        </r>
      </text>
    </comment>
    <comment ref="BI28" authorId="0" shapeId="0" xr:uid="{00000000-0006-0000-0000-000021010000}">
      <text>
        <r>
          <rPr>
            <b/>
            <sz val="9"/>
            <color indexed="81"/>
            <rFont val="Tahoma"/>
            <family val="2"/>
          </rPr>
          <t>Author:</t>
        </r>
        <r>
          <rPr>
            <sz val="9"/>
            <color indexed="81"/>
            <rFont val="Tahoma"/>
            <family val="2"/>
          </rPr>
          <t xml:space="preserve">
From Kofler2024</t>
        </r>
      </text>
    </comment>
    <comment ref="BJ28" authorId="0" shapeId="0" xr:uid="{00000000-0006-0000-0000-000022010000}">
      <text>
        <r>
          <rPr>
            <b/>
            <sz val="9"/>
            <color indexed="81"/>
            <rFont val="Tahoma"/>
            <family val="2"/>
          </rPr>
          <t>Author:</t>
        </r>
        <r>
          <rPr>
            <sz val="9"/>
            <color indexed="81"/>
            <rFont val="Tahoma"/>
            <family val="2"/>
          </rPr>
          <t xml:space="preserve">
From this study </t>
        </r>
      </text>
    </comment>
    <comment ref="BK28" authorId="0" shapeId="0" xr:uid="{00000000-0006-0000-0000-000023010000}">
      <text>
        <r>
          <rPr>
            <b/>
            <sz val="9"/>
            <color indexed="81"/>
            <rFont val="Tahoma"/>
            <family val="2"/>
          </rPr>
          <t>Author:</t>
        </r>
        <r>
          <rPr>
            <sz val="9"/>
            <color indexed="81"/>
            <rFont val="Tahoma"/>
            <family val="2"/>
          </rPr>
          <t xml:space="preserve">
From this study </t>
        </r>
      </text>
    </comment>
    <comment ref="BL28" authorId="0" shapeId="0" xr:uid="{00000000-0006-0000-0000-000024010000}">
      <text>
        <r>
          <rPr>
            <b/>
            <sz val="9"/>
            <color indexed="81"/>
            <rFont val="Tahoma"/>
            <family val="2"/>
          </rPr>
          <t>Author:</t>
        </r>
        <r>
          <rPr>
            <sz val="9"/>
            <color indexed="81"/>
            <rFont val="Tahoma"/>
            <family val="2"/>
          </rPr>
          <t xml:space="preserve">
From this study </t>
        </r>
      </text>
    </comment>
    <comment ref="BM28" authorId="0" shapeId="0" xr:uid="{00000000-0006-0000-0000-000025010000}">
      <text>
        <r>
          <rPr>
            <b/>
            <sz val="9"/>
            <color indexed="81"/>
            <rFont val="Tahoma"/>
            <family val="2"/>
          </rPr>
          <t>Author:</t>
        </r>
        <r>
          <rPr>
            <sz val="9"/>
            <color indexed="81"/>
            <rFont val="Tahoma"/>
            <family val="2"/>
          </rPr>
          <t xml:space="preserve">
From this study </t>
        </r>
      </text>
    </comment>
    <comment ref="BN28" authorId="0" shapeId="0" xr:uid="{00000000-0006-0000-0000-000026010000}">
      <text>
        <r>
          <rPr>
            <b/>
            <sz val="9"/>
            <color indexed="81"/>
            <rFont val="Tahoma"/>
            <family val="2"/>
          </rPr>
          <t>Author:</t>
        </r>
        <r>
          <rPr>
            <sz val="9"/>
            <color indexed="81"/>
            <rFont val="Tahoma"/>
            <family val="2"/>
          </rPr>
          <t xml:space="preserve">
From this study </t>
        </r>
      </text>
    </comment>
    <comment ref="BO28" authorId="0" shapeId="0" xr:uid="{00000000-0006-0000-0000-000027010000}">
      <text>
        <r>
          <rPr>
            <b/>
            <sz val="9"/>
            <color indexed="81"/>
            <rFont val="Tahoma"/>
            <family val="2"/>
          </rPr>
          <t>Author:</t>
        </r>
        <r>
          <rPr>
            <sz val="9"/>
            <color indexed="81"/>
            <rFont val="Tahoma"/>
            <family val="2"/>
          </rPr>
          <t xml:space="preserve">
From this study </t>
        </r>
      </text>
    </comment>
    <comment ref="BP28" authorId="0" shapeId="0" xr:uid="{00000000-0006-0000-0000-000028010000}">
      <text>
        <r>
          <rPr>
            <b/>
            <sz val="9"/>
            <color indexed="81"/>
            <rFont val="Tahoma"/>
            <family val="2"/>
          </rPr>
          <t>Author:</t>
        </r>
        <r>
          <rPr>
            <sz val="9"/>
            <color indexed="81"/>
            <rFont val="Tahoma"/>
            <family val="2"/>
          </rPr>
          <t xml:space="preserve">
From this study </t>
        </r>
      </text>
    </comment>
    <comment ref="BQ28" authorId="0" shapeId="0" xr:uid="{00000000-0006-0000-0000-000029010000}">
      <text>
        <r>
          <rPr>
            <b/>
            <sz val="9"/>
            <color indexed="81"/>
            <rFont val="Tahoma"/>
            <family val="2"/>
          </rPr>
          <t>Author:</t>
        </r>
        <r>
          <rPr>
            <sz val="9"/>
            <color indexed="81"/>
            <rFont val="Tahoma"/>
            <family val="2"/>
          </rPr>
          <t xml:space="preserve">
From this study </t>
        </r>
      </text>
    </comment>
    <comment ref="BR28" authorId="0" shapeId="0" xr:uid="{00000000-0006-0000-0000-00002A010000}">
      <text>
        <r>
          <rPr>
            <b/>
            <sz val="9"/>
            <color indexed="81"/>
            <rFont val="Tahoma"/>
            <family val="2"/>
          </rPr>
          <t>Author:</t>
        </r>
        <r>
          <rPr>
            <sz val="9"/>
            <color indexed="81"/>
            <rFont val="Tahoma"/>
            <family val="2"/>
          </rPr>
          <t xml:space="preserve">
From Kofler2024</t>
        </r>
      </text>
    </comment>
    <comment ref="BS28" authorId="0" shapeId="0" xr:uid="{00000000-0006-0000-0000-00002B010000}">
      <text>
        <r>
          <rPr>
            <b/>
            <sz val="9"/>
            <color indexed="81"/>
            <rFont val="Tahoma"/>
            <family val="2"/>
          </rPr>
          <t>Author:</t>
        </r>
        <r>
          <rPr>
            <sz val="9"/>
            <color indexed="81"/>
            <rFont val="Tahoma"/>
            <family val="2"/>
          </rPr>
          <t xml:space="preserve">
From Kofler2024</t>
        </r>
      </text>
    </comment>
    <comment ref="BT28" authorId="0" shapeId="0" xr:uid="{00000000-0006-0000-0000-00002C010000}">
      <text>
        <r>
          <rPr>
            <b/>
            <sz val="9"/>
            <color indexed="81"/>
            <rFont val="Tahoma"/>
            <family val="2"/>
          </rPr>
          <t>Author:</t>
        </r>
        <r>
          <rPr>
            <sz val="9"/>
            <color indexed="81"/>
            <rFont val="Tahoma"/>
            <family val="2"/>
          </rPr>
          <t xml:space="preserve">
From Kofler2024</t>
        </r>
      </text>
    </comment>
    <comment ref="BU28" authorId="0" shapeId="0" xr:uid="{00000000-0006-0000-0000-00002D010000}">
      <text>
        <r>
          <rPr>
            <b/>
            <sz val="9"/>
            <color indexed="81"/>
            <rFont val="Tahoma"/>
            <family val="2"/>
          </rPr>
          <t>Author:</t>
        </r>
        <r>
          <rPr>
            <sz val="9"/>
            <color indexed="81"/>
            <rFont val="Tahoma"/>
            <family val="2"/>
          </rPr>
          <t xml:space="preserve">
From Kofler2024</t>
        </r>
      </text>
    </comment>
    <comment ref="R29" authorId="0" shapeId="0" xr:uid="{00000000-0006-0000-0000-00002E010000}">
      <text>
        <r>
          <rPr>
            <b/>
            <sz val="9"/>
            <color indexed="81"/>
            <rFont val="Tahoma"/>
            <family val="2"/>
          </rPr>
          <t>Author:</t>
        </r>
        <r>
          <rPr>
            <sz val="9"/>
            <color indexed="81"/>
            <rFont val="Tahoma"/>
            <family val="2"/>
          </rPr>
          <t xml:space="preserve">
From Kofler2024</t>
        </r>
      </text>
    </comment>
    <comment ref="S29" authorId="0" shapeId="0" xr:uid="{00000000-0006-0000-0000-00002F010000}">
      <text>
        <r>
          <rPr>
            <b/>
            <sz val="9"/>
            <color indexed="81"/>
            <rFont val="Tahoma"/>
            <family val="2"/>
          </rPr>
          <t>Author:</t>
        </r>
        <r>
          <rPr>
            <sz val="9"/>
            <color indexed="81"/>
            <rFont val="Tahoma"/>
            <family val="2"/>
          </rPr>
          <t xml:space="preserve">
From Kofler2024</t>
        </r>
      </text>
    </comment>
    <comment ref="T29" authorId="0" shapeId="0" xr:uid="{00000000-0006-0000-0000-000030010000}">
      <text>
        <r>
          <rPr>
            <b/>
            <sz val="9"/>
            <color indexed="81"/>
            <rFont val="Tahoma"/>
            <family val="2"/>
          </rPr>
          <t>Author:</t>
        </r>
        <r>
          <rPr>
            <sz val="9"/>
            <color indexed="81"/>
            <rFont val="Tahoma"/>
            <family val="2"/>
          </rPr>
          <t xml:space="preserve">
From Kofler2024</t>
        </r>
      </text>
    </comment>
    <comment ref="U29" authorId="0" shapeId="0" xr:uid="{00000000-0006-0000-0000-000031010000}">
      <text>
        <r>
          <rPr>
            <b/>
            <sz val="9"/>
            <color indexed="81"/>
            <rFont val="Tahoma"/>
            <family val="2"/>
          </rPr>
          <t>Author:</t>
        </r>
        <r>
          <rPr>
            <sz val="9"/>
            <color indexed="81"/>
            <rFont val="Tahoma"/>
            <family val="2"/>
          </rPr>
          <t xml:space="preserve">
From Kofler2024</t>
        </r>
      </text>
    </comment>
    <comment ref="V29" authorId="0" shapeId="0" xr:uid="{00000000-0006-0000-0000-000032010000}">
      <text>
        <r>
          <rPr>
            <b/>
            <sz val="9"/>
            <color indexed="81"/>
            <rFont val="Tahoma"/>
            <family val="2"/>
          </rPr>
          <t>Author:</t>
        </r>
        <r>
          <rPr>
            <sz val="9"/>
            <color indexed="81"/>
            <rFont val="Tahoma"/>
            <family val="2"/>
          </rPr>
          <t xml:space="preserve">
From Kofler2024</t>
        </r>
      </text>
    </comment>
    <comment ref="W29" authorId="0" shapeId="0" xr:uid="{00000000-0006-0000-0000-000033010000}">
      <text>
        <r>
          <rPr>
            <b/>
            <sz val="9"/>
            <color indexed="81"/>
            <rFont val="Tahoma"/>
            <family val="2"/>
          </rPr>
          <t>Author:</t>
        </r>
        <r>
          <rPr>
            <sz val="9"/>
            <color indexed="81"/>
            <rFont val="Tahoma"/>
            <family val="2"/>
          </rPr>
          <t xml:space="preserve">
From Kofler2024</t>
        </r>
      </text>
    </comment>
    <comment ref="X29" authorId="0" shapeId="0" xr:uid="{00000000-0006-0000-0000-000034010000}">
      <text>
        <r>
          <rPr>
            <b/>
            <sz val="9"/>
            <color indexed="81"/>
            <rFont val="Tahoma"/>
            <family val="2"/>
          </rPr>
          <t>Author:</t>
        </r>
        <r>
          <rPr>
            <sz val="9"/>
            <color indexed="81"/>
            <rFont val="Tahoma"/>
            <family val="2"/>
          </rPr>
          <t xml:space="preserve">
From Kofler2024</t>
        </r>
      </text>
    </comment>
    <comment ref="Y29" authorId="0" shapeId="0" xr:uid="{00000000-0006-0000-0000-000035010000}">
      <text>
        <r>
          <rPr>
            <b/>
            <sz val="9"/>
            <color indexed="81"/>
            <rFont val="Tahoma"/>
            <family val="2"/>
          </rPr>
          <t>Author:</t>
        </r>
        <r>
          <rPr>
            <sz val="9"/>
            <color indexed="81"/>
            <rFont val="Tahoma"/>
            <family val="2"/>
          </rPr>
          <t xml:space="preserve">
From Kofler2024</t>
        </r>
      </text>
    </comment>
    <comment ref="Z29" authorId="0" shapeId="0" xr:uid="{00000000-0006-0000-0000-000036010000}">
      <text>
        <r>
          <rPr>
            <b/>
            <sz val="9"/>
            <color indexed="81"/>
            <rFont val="Tahoma"/>
            <family val="2"/>
          </rPr>
          <t>Author:</t>
        </r>
        <r>
          <rPr>
            <sz val="9"/>
            <color indexed="81"/>
            <rFont val="Tahoma"/>
            <family val="2"/>
          </rPr>
          <t xml:space="preserve">
From Kofler2024</t>
        </r>
      </text>
    </comment>
    <comment ref="AA29" authorId="0" shapeId="0" xr:uid="{00000000-0006-0000-0000-000037010000}">
      <text>
        <r>
          <rPr>
            <b/>
            <sz val="9"/>
            <color indexed="81"/>
            <rFont val="Tahoma"/>
            <family val="2"/>
          </rPr>
          <t>Author:</t>
        </r>
        <r>
          <rPr>
            <sz val="9"/>
            <color indexed="81"/>
            <rFont val="Tahoma"/>
            <family val="2"/>
          </rPr>
          <t xml:space="preserve">
From Kofler2024</t>
        </r>
      </text>
    </comment>
    <comment ref="AB29" authorId="0" shapeId="0" xr:uid="{00000000-0006-0000-0000-000038010000}">
      <text>
        <r>
          <rPr>
            <b/>
            <sz val="9"/>
            <color indexed="81"/>
            <rFont val="Tahoma"/>
            <family val="2"/>
          </rPr>
          <t>Author:</t>
        </r>
        <r>
          <rPr>
            <sz val="9"/>
            <color indexed="81"/>
            <rFont val="Tahoma"/>
            <family val="2"/>
          </rPr>
          <t xml:space="preserve">
From Kofler2024</t>
        </r>
      </text>
    </comment>
    <comment ref="AC29" authorId="0" shapeId="0" xr:uid="{00000000-0006-0000-0000-000039010000}">
      <text>
        <r>
          <rPr>
            <b/>
            <sz val="9"/>
            <color indexed="81"/>
            <rFont val="Tahoma"/>
            <family val="2"/>
          </rPr>
          <t>Author:</t>
        </r>
        <r>
          <rPr>
            <sz val="9"/>
            <color indexed="81"/>
            <rFont val="Tahoma"/>
            <family val="2"/>
          </rPr>
          <t xml:space="preserve">
From Kofler2024</t>
        </r>
      </text>
    </comment>
    <comment ref="AD29" authorId="0" shapeId="0" xr:uid="{00000000-0006-0000-0000-00003A010000}">
      <text>
        <r>
          <rPr>
            <b/>
            <sz val="9"/>
            <color indexed="81"/>
            <rFont val="Tahoma"/>
            <family val="2"/>
          </rPr>
          <t>Author:</t>
        </r>
        <r>
          <rPr>
            <sz val="9"/>
            <color indexed="81"/>
            <rFont val="Tahoma"/>
            <family val="2"/>
          </rPr>
          <t xml:space="preserve">
From Kofler2024</t>
        </r>
      </text>
    </comment>
    <comment ref="AE29" authorId="0" shapeId="0" xr:uid="{00000000-0006-0000-0000-00003B010000}">
      <text>
        <r>
          <rPr>
            <b/>
            <sz val="9"/>
            <color indexed="81"/>
            <rFont val="Tahoma"/>
            <family val="2"/>
          </rPr>
          <t>Author:</t>
        </r>
        <r>
          <rPr>
            <sz val="9"/>
            <color indexed="81"/>
            <rFont val="Tahoma"/>
            <family val="2"/>
          </rPr>
          <t xml:space="preserve">
From Kofler2024</t>
        </r>
      </text>
    </comment>
    <comment ref="AF29" authorId="0" shapeId="0" xr:uid="{00000000-0006-0000-0000-00003C010000}">
      <text>
        <r>
          <rPr>
            <b/>
            <sz val="9"/>
            <color indexed="81"/>
            <rFont val="Tahoma"/>
            <family val="2"/>
          </rPr>
          <t>Author:</t>
        </r>
        <r>
          <rPr>
            <sz val="9"/>
            <color indexed="81"/>
            <rFont val="Tahoma"/>
            <family val="2"/>
          </rPr>
          <t xml:space="preserve">
From Kofler2024</t>
        </r>
      </text>
    </comment>
    <comment ref="AG29" authorId="0" shapeId="0" xr:uid="{00000000-0006-0000-0000-00003D010000}">
      <text>
        <r>
          <rPr>
            <b/>
            <sz val="9"/>
            <color indexed="81"/>
            <rFont val="Tahoma"/>
            <family val="2"/>
          </rPr>
          <t>Author:</t>
        </r>
        <r>
          <rPr>
            <sz val="9"/>
            <color indexed="81"/>
            <rFont val="Tahoma"/>
            <family val="2"/>
          </rPr>
          <t xml:space="preserve">
From Kofler2024</t>
        </r>
      </text>
    </comment>
    <comment ref="AH29" authorId="0" shapeId="0" xr:uid="{00000000-0006-0000-0000-00003E010000}">
      <text>
        <r>
          <rPr>
            <b/>
            <sz val="9"/>
            <color indexed="81"/>
            <rFont val="Tahoma"/>
            <family val="2"/>
          </rPr>
          <t>Author:</t>
        </r>
        <r>
          <rPr>
            <sz val="9"/>
            <color indexed="81"/>
            <rFont val="Tahoma"/>
            <family val="2"/>
          </rPr>
          <t xml:space="preserve">
From Kofler2024</t>
        </r>
      </text>
    </comment>
    <comment ref="AI29" authorId="0" shapeId="0" xr:uid="{00000000-0006-0000-0000-00003F010000}">
      <text>
        <r>
          <rPr>
            <b/>
            <sz val="9"/>
            <color indexed="81"/>
            <rFont val="Tahoma"/>
            <family val="2"/>
          </rPr>
          <t>Author:</t>
        </r>
        <r>
          <rPr>
            <sz val="9"/>
            <color indexed="81"/>
            <rFont val="Tahoma"/>
            <family val="2"/>
          </rPr>
          <t xml:space="preserve">
From Kofler2024</t>
        </r>
      </text>
    </comment>
    <comment ref="AJ29" authorId="0" shapeId="0" xr:uid="{00000000-0006-0000-0000-000040010000}">
      <text>
        <r>
          <rPr>
            <b/>
            <sz val="9"/>
            <color indexed="81"/>
            <rFont val="Tahoma"/>
            <family val="2"/>
          </rPr>
          <t>Author:</t>
        </r>
        <r>
          <rPr>
            <sz val="9"/>
            <color indexed="81"/>
            <rFont val="Tahoma"/>
            <family val="2"/>
          </rPr>
          <t xml:space="preserve">
From Kofler2024</t>
        </r>
      </text>
    </comment>
    <comment ref="AK29" authorId="0" shapeId="0" xr:uid="{00000000-0006-0000-0000-000041010000}">
      <text>
        <r>
          <rPr>
            <b/>
            <sz val="9"/>
            <color indexed="81"/>
            <rFont val="Tahoma"/>
            <family val="2"/>
          </rPr>
          <t>Author:</t>
        </r>
        <r>
          <rPr>
            <sz val="9"/>
            <color indexed="81"/>
            <rFont val="Tahoma"/>
            <family val="2"/>
          </rPr>
          <t xml:space="preserve">
From Kofler2024</t>
        </r>
      </text>
    </comment>
    <comment ref="AL29" authorId="0" shapeId="0" xr:uid="{00000000-0006-0000-0000-000042010000}">
      <text>
        <r>
          <rPr>
            <b/>
            <sz val="9"/>
            <color indexed="81"/>
            <rFont val="Tahoma"/>
            <family val="2"/>
          </rPr>
          <t>Author:</t>
        </r>
        <r>
          <rPr>
            <sz val="9"/>
            <color indexed="81"/>
            <rFont val="Tahoma"/>
            <family val="2"/>
          </rPr>
          <t xml:space="preserve">
From Kofler2024</t>
        </r>
      </text>
    </comment>
    <comment ref="AM29" authorId="0" shapeId="0" xr:uid="{00000000-0006-0000-0000-000043010000}">
      <text>
        <r>
          <rPr>
            <b/>
            <sz val="9"/>
            <color indexed="81"/>
            <rFont val="Tahoma"/>
            <family val="2"/>
          </rPr>
          <t>Author:</t>
        </r>
        <r>
          <rPr>
            <sz val="9"/>
            <color indexed="81"/>
            <rFont val="Tahoma"/>
            <family val="2"/>
          </rPr>
          <t xml:space="preserve">
From Kofler2024</t>
        </r>
      </text>
    </comment>
    <comment ref="AN29" authorId="0" shapeId="0" xr:uid="{00000000-0006-0000-0000-000044010000}">
      <text>
        <r>
          <rPr>
            <b/>
            <sz val="9"/>
            <color indexed="81"/>
            <rFont val="Tahoma"/>
            <family val="2"/>
          </rPr>
          <t>Author:</t>
        </r>
        <r>
          <rPr>
            <sz val="9"/>
            <color indexed="81"/>
            <rFont val="Tahoma"/>
            <family val="2"/>
          </rPr>
          <t xml:space="preserve">
From Kofler2024</t>
        </r>
      </text>
    </comment>
    <comment ref="AO29" authorId="0" shapeId="0" xr:uid="{00000000-0006-0000-0000-000045010000}">
      <text>
        <r>
          <rPr>
            <b/>
            <sz val="9"/>
            <color indexed="81"/>
            <rFont val="Tahoma"/>
            <family val="2"/>
          </rPr>
          <t>Author:</t>
        </r>
        <r>
          <rPr>
            <sz val="9"/>
            <color indexed="81"/>
            <rFont val="Tahoma"/>
            <family val="2"/>
          </rPr>
          <t xml:space="preserve">
From Kofler2024</t>
        </r>
      </text>
    </comment>
    <comment ref="AP29" authorId="0" shapeId="0" xr:uid="{00000000-0006-0000-0000-000046010000}">
      <text>
        <r>
          <rPr>
            <b/>
            <sz val="9"/>
            <color indexed="81"/>
            <rFont val="Tahoma"/>
            <family val="2"/>
          </rPr>
          <t>Author:</t>
        </r>
        <r>
          <rPr>
            <sz val="9"/>
            <color indexed="81"/>
            <rFont val="Tahoma"/>
            <family val="2"/>
          </rPr>
          <t xml:space="preserve">
From Kofler2024</t>
        </r>
      </text>
    </comment>
    <comment ref="AQ29" authorId="0" shapeId="0" xr:uid="{00000000-0006-0000-0000-000047010000}">
      <text>
        <r>
          <rPr>
            <b/>
            <sz val="9"/>
            <color indexed="81"/>
            <rFont val="Tahoma"/>
            <family val="2"/>
          </rPr>
          <t>Author:</t>
        </r>
        <r>
          <rPr>
            <sz val="9"/>
            <color indexed="81"/>
            <rFont val="Tahoma"/>
            <family val="2"/>
          </rPr>
          <t xml:space="preserve">
From Kofler2024</t>
        </r>
      </text>
    </comment>
    <comment ref="AR29" authorId="0" shapeId="0" xr:uid="{00000000-0006-0000-0000-000048010000}">
      <text>
        <r>
          <rPr>
            <b/>
            <sz val="9"/>
            <color indexed="81"/>
            <rFont val="Tahoma"/>
            <family val="2"/>
          </rPr>
          <t>Author:</t>
        </r>
        <r>
          <rPr>
            <sz val="9"/>
            <color indexed="81"/>
            <rFont val="Tahoma"/>
            <family val="2"/>
          </rPr>
          <t xml:space="preserve">
From Kofler2024</t>
        </r>
      </text>
    </comment>
    <comment ref="AS29" authorId="0" shapeId="0" xr:uid="{00000000-0006-0000-0000-000049010000}">
      <text>
        <r>
          <rPr>
            <b/>
            <sz val="9"/>
            <color indexed="81"/>
            <rFont val="Tahoma"/>
            <family val="2"/>
          </rPr>
          <t>Author:</t>
        </r>
        <r>
          <rPr>
            <sz val="9"/>
            <color indexed="81"/>
            <rFont val="Tahoma"/>
            <family val="2"/>
          </rPr>
          <t xml:space="preserve">
From Kofler2024</t>
        </r>
      </text>
    </comment>
    <comment ref="AT29" authorId="0" shapeId="0" xr:uid="{00000000-0006-0000-0000-00004A010000}">
      <text>
        <r>
          <rPr>
            <b/>
            <sz val="9"/>
            <color indexed="81"/>
            <rFont val="Tahoma"/>
            <family val="2"/>
          </rPr>
          <t>Author:</t>
        </r>
        <r>
          <rPr>
            <sz val="9"/>
            <color indexed="81"/>
            <rFont val="Tahoma"/>
            <family val="2"/>
          </rPr>
          <t xml:space="preserve">
From Kofler2024</t>
        </r>
      </text>
    </comment>
    <comment ref="AU29" authorId="0" shapeId="0" xr:uid="{00000000-0006-0000-0000-00004B010000}">
      <text>
        <r>
          <rPr>
            <b/>
            <sz val="9"/>
            <color indexed="81"/>
            <rFont val="Tahoma"/>
            <family val="2"/>
          </rPr>
          <t>Author:</t>
        </r>
        <r>
          <rPr>
            <sz val="9"/>
            <color indexed="81"/>
            <rFont val="Tahoma"/>
            <family val="2"/>
          </rPr>
          <t xml:space="preserve">
From Kofler2024</t>
        </r>
      </text>
    </comment>
    <comment ref="AV29" authorId="0" shapeId="0" xr:uid="{00000000-0006-0000-0000-00004C010000}">
      <text>
        <r>
          <rPr>
            <b/>
            <sz val="9"/>
            <color indexed="81"/>
            <rFont val="Tahoma"/>
            <family val="2"/>
          </rPr>
          <t>Author:</t>
        </r>
        <r>
          <rPr>
            <sz val="9"/>
            <color indexed="81"/>
            <rFont val="Tahoma"/>
            <family val="2"/>
          </rPr>
          <t xml:space="preserve">
From Kofler2024</t>
        </r>
      </text>
    </comment>
    <comment ref="AW29" authorId="0" shapeId="0" xr:uid="{00000000-0006-0000-0000-00004D010000}">
      <text>
        <r>
          <rPr>
            <b/>
            <sz val="9"/>
            <color indexed="81"/>
            <rFont val="Tahoma"/>
            <family val="2"/>
          </rPr>
          <t>Author:</t>
        </r>
        <r>
          <rPr>
            <sz val="9"/>
            <color indexed="81"/>
            <rFont val="Tahoma"/>
            <family val="2"/>
          </rPr>
          <t xml:space="preserve">
From Kofler2024</t>
        </r>
      </text>
    </comment>
    <comment ref="AX29" authorId="0" shapeId="0" xr:uid="{00000000-0006-0000-0000-00004E010000}">
      <text>
        <r>
          <rPr>
            <b/>
            <sz val="9"/>
            <color indexed="81"/>
            <rFont val="Tahoma"/>
            <family val="2"/>
          </rPr>
          <t>Author:</t>
        </r>
        <r>
          <rPr>
            <sz val="9"/>
            <color indexed="81"/>
            <rFont val="Tahoma"/>
            <family val="2"/>
          </rPr>
          <t xml:space="preserve">
From Kofler2024</t>
        </r>
      </text>
    </comment>
    <comment ref="AY29" authorId="0" shapeId="0" xr:uid="{00000000-0006-0000-0000-00004F010000}">
      <text>
        <r>
          <rPr>
            <b/>
            <sz val="9"/>
            <color indexed="81"/>
            <rFont val="Tahoma"/>
            <family val="2"/>
          </rPr>
          <t>Author:</t>
        </r>
        <r>
          <rPr>
            <sz val="9"/>
            <color indexed="81"/>
            <rFont val="Tahoma"/>
            <family val="2"/>
          </rPr>
          <t xml:space="preserve">
From Kofler2024</t>
        </r>
      </text>
    </comment>
    <comment ref="AZ29" authorId="0" shapeId="0" xr:uid="{00000000-0006-0000-0000-000050010000}">
      <text>
        <r>
          <rPr>
            <b/>
            <sz val="9"/>
            <color indexed="81"/>
            <rFont val="Tahoma"/>
            <family val="2"/>
          </rPr>
          <t>Author:</t>
        </r>
        <r>
          <rPr>
            <sz val="9"/>
            <color indexed="81"/>
            <rFont val="Tahoma"/>
            <family val="2"/>
          </rPr>
          <t xml:space="preserve">
From Kofler2024</t>
        </r>
      </text>
    </comment>
    <comment ref="BA29" authorId="0" shapeId="0" xr:uid="{00000000-0006-0000-0000-000051010000}">
      <text>
        <r>
          <rPr>
            <b/>
            <sz val="9"/>
            <color indexed="81"/>
            <rFont val="Tahoma"/>
            <family val="2"/>
          </rPr>
          <t>Author:</t>
        </r>
        <r>
          <rPr>
            <sz val="9"/>
            <color indexed="81"/>
            <rFont val="Tahoma"/>
            <family val="2"/>
          </rPr>
          <t xml:space="preserve">
From Kofler2024</t>
        </r>
      </text>
    </comment>
    <comment ref="BB29" authorId="0" shapeId="0" xr:uid="{00000000-0006-0000-0000-000052010000}">
      <text>
        <r>
          <rPr>
            <b/>
            <sz val="9"/>
            <color indexed="81"/>
            <rFont val="Tahoma"/>
            <family val="2"/>
          </rPr>
          <t>Author:</t>
        </r>
        <r>
          <rPr>
            <sz val="9"/>
            <color indexed="81"/>
            <rFont val="Tahoma"/>
            <family val="2"/>
          </rPr>
          <t xml:space="preserve">
From Kofler2024</t>
        </r>
      </text>
    </comment>
    <comment ref="BC29" authorId="0" shapeId="0" xr:uid="{00000000-0006-0000-0000-000053010000}">
      <text>
        <r>
          <rPr>
            <b/>
            <sz val="9"/>
            <color indexed="81"/>
            <rFont val="Tahoma"/>
            <family val="2"/>
          </rPr>
          <t>Author:</t>
        </r>
        <r>
          <rPr>
            <sz val="9"/>
            <color indexed="81"/>
            <rFont val="Tahoma"/>
            <family val="2"/>
          </rPr>
          <t xml:space="preserve">
From Kofler2024</t>
        </r>
      </text>
    </comment>
    <comment ref="BD29" authorId="0" shapeId="0" xr:uid="{00000000-0006-0000-0000-000054010000}">
      <text>
        <r>
          <rPr>
            <b/>
            <sz val="9"/>
            <color indexed="81"/>
            <rFont val="Tahoma"/>
            <family val="2"/>
          </rPr>
          <t>Author:</t>
        </r>
        <r>
          <rPr>
            <sz val="9"/>
            <color indexed="81"/>
            <rFont val="Tahoma"/>
            <family val="2"/>
          </rPr>
          <t xml:space="preserve">
From Kofler2024</t>
        </r>
      </text>
    </comment>
    <comment ref="BE29" authorId="0" shapeId="0" xr:uid="{00000000-0006-0000-0000-000055010000}">
      <text>
        <r>
          <rPr>
            <b/>
            <sz val="9"/>
            <color indexed="81"/>
            <rFont val="Tahoma"/>
            <family val="2"/>
          </rPr>
          <t>Author:</t>
        </r>
        <r>
          <rPr>
            <sz val="9"/>
            <color indexed="81"/>
            <rFont val="Tahoma"/>
            <family val="2"/>
          </rPr>
          <t xml:space="preserve">
From Kofler2024</t>
        </r>
      </text>
    </comment>
    <comment ref="BF29" authorId="0" shapeId="0" xr:uid="{00000000-0006-0000-0000-000056010000}">
      <text>
        <r>
          <rPr>
            <b/>
            <sz val="9"/>
            <color indexed="81"/>
            <rFont val="Tahoma"/>
            <family val="2"/>
          </rPr>
          <t>Author:</t>
        </r>
        <r>
          <rPr>
            <sz val="9"/>
            <color indexed="81"/>
            <rFont val="Tahoma"/>
            <family val="2"/>
          </rPr>
          <t xml:space="preserve">
From Kofler2024</t>
        </r>
      </text>
    </comment>
    <comment ref="BG29" authorId="0" shapeId="0" xr:uid="{00000000-0006-0000-0000-000057010000}">
      <text>
        <r>
          <rPr>
            <b/>
            <sz val="9"/>
            <color indexed="81"/>
            <rFont val="Tahoma"/>
            <family val="2"/>
          </rPr>
          <t>Author:</t>
        </r>
        <r>
          <rPr>
            <sz val="9"/>
            <color indexed="81"/>
            <rFont val="Tahoma"/>
            <family val="2"/>
          </rPr>
          <t xml:space="preserve">
From Kofler2024</t>
        </r>
      </text>
    </comment>
    <comment ref="BH29" authorId="0" shapeId="0" xr:uid="{00000000-0006-0000-0000-000058010000}">
      <text>
        <r>
          <rPr>
            <b/>
            <sz val="9"/>
            <color indexed="81"/>
            <rFont val="Tahoma"/>
            <family val="2"/>
          </rPr>
          <t>Author:</t>
        </r>
        <r>
          <rPr>
            <sz val="9"/>
            <color indexed="81"/>
            <rFont val="Tahoma"/>
            <family val="2"/>
          </rPr>
          <t xml:space="preserve">
From Kofler2024</t>
        </r>
      </text>
    </comment>
    <comment ref="BI29" authorId="0" shapeId="0" xr:uid="{00000000-0006-0000-0000-000059010000}">
      <text>
        <r>
          <rPr>
            <b/>
            <sz val="9"/>
            <color indexed="81"/>
            <rFont val="Tahoma"/>
            <family val="2"/>
          </rPr>
          <t>Author:</t>
        </r>
        <r>
          <rPr>
            <sz val="9"/>
            <color indexed="81"/>
            <rFont val="Tahoma"/>
            <family val="2"/>
          </rPr>
          <t xml:space="preserve">
From Kofler2024</t>
        </r>
      </text>
    </comment>
    <comment ref="BJ29" authorId="0" shapeId="0" xr:uid="{00000000-0006-0000-0000-00005A010000}">
      <text>
        <r>
          <rPr>
            <b/>
            <sz val="9"/>
            <color indexed="81"/>
            <rFont val="Tahoma"/>
            <family val="2"/>
          </rPr>
          <t>Author:</t>
        </r>
        <r>
          <rPr>
            <sz val="9"/>
            <color indexed="81"/>
            <rFont val="Tahoma"/>
            <family val="2"/>
          </rPr>
          <t xml:space="preserve">
From this study </t>
        </r>
      </text>
    </comment>
    <comment ref="BK29" authorId="0" shapeId="0" xr:uid="{00000000-0006-0000-0000-00005B010000}">
      <text>
        <r>
          <rPr>
            <b/>
            <sz val="9"/>
            <color indexed="81"/>
            <rFont val="Tahoma"/>
            <family val="2"/>
          </rPr>
          <t>Author:</t>
        </r>
        <r>
          <rPr>
            <sz val="9"/>
            <color indexed="81"/>
            <rFont val="Tahoma"/>
            <family val="2"/>
          </rPr>
          <t xml:space="preserve">
From this study </t>
        </r>
      </text>
    </comment>
    <comment ref="BL29" authorId="0" shapeId="0" xr:uid="{00000000-0006-0000-0000-00005C010000}">
      <text>
        <r>
          <rPr>
            <b/>
            <sz val="9"/>
            <color indexed="81"/>
            <rFont val="Tahoma"/>
            <family val="2"/>
          </rPr>
          <t>Author:</t>
        </r>
        <r>
          <rPr>
            <sz val="9"/>
            <color indexed="81"/>
            <rFont val="Tahoma"/>
            <family val="2"/>
          </rPr>
          <t xml:space="preserve">
From this study </t>
        </r>
      </text>
    </comment>
    <comment ref="BM29" authorId="0" shapeId="0" xr:uid="{00000000-0006-0000-0000-00005D010000}">
      <text>
        <r>
          <rPr>
            <b/>
            <sz val="9"/>
            <color indexed="81"/>
            <rFont val="Tahoma"/>
            <family val="2"/>
          </rPr>
          <t>Author:</t>
        </r>
        <r>
          <rPr>
            <sz val="9"/>
            <color indexed="81"/>
            <rFont val="Tahoma"/>
            <family val="2"/>
          </rPr>
          <t xml:space="preserve">
From this study </t>
        </r>
      </text>
    </comment>
    <comment ref="BN29" authorId="0" shapeId="0" xr:uid="{00000000-0006-0000-0000-00005E010000}">
      <text>
        <r>
          <rPr>
            <b/>
            <sz val="9"/>
            <color indexed="81"/>
            <rFont val="Tahoma"/>
            <family val="2"/>
          </rPr>
          <t>Author:</t>
        </r>
        <r>
          <rPr>
            <sz val="9"/>
            <color indexed="81"/>
            <rFont val="Tahoma"/>
            <family val="2"/>
          </rPr>
          <t xml:space="preserve">
From this study </t>
        </r>
      </text>
    </comment>
    <comment ref="BO29" authorId="0" shapeId="0" xr:uid="{00000000-0006-0000-0000-00005F010000}">
      <text>
        <r>
          <rPr>
            <b/>
            <sz val="9"/>
            <color indexed="81"/>
            <rFont val="Tahoma"/>
            <family val="2"/>
          </rPr>
          <t>Author:</t>
        </r>
        <r>
          <rPr>
            <sz val="9"/>
            <color indexed="81"/>
            <rFont val="Tahoma"/>
            <family val="2"/>
          </rPr>
          <t xml:space="preserve">
From this study </t>
        </r>
      </text>
    </comment>
    <comment ref="BP29" authorId="0" shapeId="0" xr:uid="{00000000-0006-0000-0000-000060010000}">
      <text>
        <r>
          <rPr>
            <b/>
            <sz val="9"/>
            <color indexed="81"/>
            <rFont val="Tahoma"/>
            <family val="2"/>
          </rPr>
          <t>Author:</t>
        </r>
        <r>
          <rPr>
            <sz val="9"/>
            <color indexed="81"/>
            <rFont val="Tahoma"/>
            <family val="2"/>
          </rPr>
          <t xml:space="preserve">
From this study </t>
        </r>
      </text>
    </comment>
    <comment ref="BQ29" authorId="0" shapeId="0" xr:uid="{00000000-0006-0000-0000-000061010000}">
      <text>
        <r>
          <rPr>
            <b/>
            <sz val="9"/>
            <color indexed="81"/>
            <rFont val="Tahoma"/>
            <family val="2"/>
          </rPr>
          <t>Author:</t>
        </r>
        <r>
          <rPr>
            <sz val="9"/>
            <color indexed="81"/>
            <rFont val="Tahoma"/>
            <family val="2"/>
          </rPr>
          <t xml:space="preserve">
From this study </t>
        </r>
      </text>
    </comment>
    <comment ref="BR29" authorId="0" shapeId="0" xr:uid="{00000000-0006-0000-0000-000062010000}">
      <text>
        <r>
          <rPr>
            <b/>
            <sz val="9"/>
            <color indexed="81"/>
            <rFont val="Tahoma"/>
            <family val="2"/>
          </rPr>
          <t>Author:</t>
        </r>
        <r>
          <rPr>
            <sz val="9"/>
            <color indexed="81"/>
            <rFont val="Tahoma"/>
            <family val="2"/>
          </rPr>
          <t xml:space="preserve">
From Kofler2024</t>
        </r>
      </text>
    </comment>
    <comment ref="BS29" authorId="0" shapeId="0" xr:uid="{00000000-0006-0000-0000-000063010000}">
      <text>
        <r>
          <rPr>
            <b/>
            <sz val="9"/>
            <color indexed="81"/>
            <rFont val="Tahoma"/>
            <family val="2"/>
          </rPr>
          <t>Author:</t>
        </r>
        <r>
          <rPr>
            <sz val="9"/>
            <color indexed="81"/>
            <rFont val="Tahoma"/>
            <family val="2"/>
          </rPr>
          <t xml:space="preserve">
From Kofler2024</t>
        </r>
      </text>
    </comment>
    <comment ref="BT29" authorId="0" shapeId="0" xr:uid="{00000000-0006-0000-0000-000064010000}">
      <text>
        <r>
          <rPr>
            <b/>
            <sz val="9"/>
            <color indexed="81"/>
            <rFont val="Tahoma"/>
            <family val="2"/>
          </rPr>
          <t>Author:</t>
        </r>
        <r>
          <rPr>
            <sz val="9"/>
            <color indexed="81"/>
            <rFont val="Tahoma"/>
            <family val="2"/>
          </rPr>
          <t xml:space="preserve">
From Kofler2024</t>
        </r>
      </text>
    </comment>
    <comment ref="BU29" authorId="0" shapeId="0" xr:uid="{00000000-0006-0000-0000-000065010000}">
      <text>
        <r>
          <rPr>
            <b/>
            <sz val="9"/>
            <color indexed="81"/>
            <rFont val="Tahoma"/>
            <family val="2"/>
          </rPr>
          <t>Author:</t>
        </r>
        <r>
          <rPr>
            <sz val="9"/>
            <color indexed="81"/>
            <rFont val="Tahoma"/>
            <family val="2"/>
          </rPr>
          <t xml:space="preserve">
From Kofler2024</t>
        </r>
      </text>
    </comment>
    <comment ref="R30" authorId="0" shapeId="0" xr:uid="{00000000-0006-0000-0000-000066010000}">
      <text>
        <r>
          <rPr>
            <b/>
            <sz val="9"/>
            <color indexed="81"/>
            <rFont val="Tahoma"/>
            <family val="2"/>
          </rPr>
          <t>Author:</t>
        </r>
        <r>
          <rPr>
            <sz val="9"/>
            <color indexed="81"/>
            <rFont val="Tahoma"/>
            <family val="2"/>
          </rPr>
          <t xml:space="preserve">
From Kofler2024</t>
        </r>
      </text>
    </comment>
    <comment ref="S30" authorId="0" shapeId="0" xr:uid="{00000000-0006-0000-0000-000067010000}">
      <text>
        <r>
          <rPr>
            <b/>
            <sz val="9"/>
            <color indexed="81"/>
            <rFont val="Tahoma"/>
            <family val="2"/>
          </rPr>
          <t>Author:</t>
        </r>
        <r>
          <rPr>
            <sz val="9"/>
            <color indexed="81"/>
            <rFont val="Tahoma"/>
            <family val="2"/>
          </rPr>
          <t xml:space="preserve">
From Kofler2024</t>
        </r>
      </text>
    </comment>
    <comment ref="T30" authorId="0" shapeId="0" xr:uid="{00000000-0006-0000-0000-000068010000}">
      <text>
        <r>
          <rPr>
            <b/>
            <sz val="9"/>
            <color indexed="81"/>
            <rFont val="Tahoma"/>
            <family val="2"/>
          </rPr>
          <t>Author:</t>
        </r>
        <r>
          <rPr>
            <sz val="9"/>
            <color indexed="81"/>
            <rFont val="Tahoma"/>
            <family val="2"/>
          </rPr>
          <t xml:space="preserve">
From Kofler2024</t>
        </r>
      </text>
    </comment>
    <comment ref="U30" authorId="0" shapeId="0" xr:uid="{00000000-0006-0000-0000-000069010000}">
      <text>
        <r>
          <rPr>
            <b/>
            <sz val="9"/>
            <color indexed="81"/>
            <rFont val="Tahoma"/>
            <family val="2"/>
          </rPr>
          <t>Author:</t>
        </r>
        <r>
          <rPr>
            <sz val="9"/>
            <color indexed="81"/>
            <rFont val="Tahoma"/>
            <family val="2"/>
          </rPr>
          <t xml:space="preserve">
From Kofler2024</t>
        </r>
      </text>
    </comment>
    <comment ref="V30" authorId="0" shapeId="0" xr:uid="{00000000-0006-0000-0000-00006A010000}">
      <text>
        <r>
          <rPr>
            <b/>
            <sz val="9"/>
            <color indexed="81"/>
            <rFont val="Tahoma"/>
            <family val="2"/>
          </rPr>
          <t>Author:</t>
        </r>
        <r>
          <rPr>
            <sz val="9"/>
            <color indexed="81"/>
            <rFont val="Tahoma"/>
            <family val="2"/>
          </rPr>
          <t xml:space="preserve">
From Kofler2024</t>
        </r>
      </text>
    </comment>
    <comment ref="W30" authorId="0" shapeId="0" xr:uid="{00000000-0006-0000-0000-00006B010000}">
      <text>
        <r>
          <rPr>
            <b/>
            <sz val="9"/>
            <color indexed="81"/>
            <rFont val="Tahoma"/>
            <family val="2"/>
          </rPr>
          <t>Author:</t>
        </r>
        <r>
          <rPr>
            <sz val="9"/>
            <color indexed="81"/>
            <rFont val="Tahoma"/>
            <family val="2"/>
          </rPr>
          <t xml:space="preserve">
From Kofler2024</t>
        </r>
      </text>
    </comment>
    <comment ref="X30" authorId="0" shapeId="0" xr:uid="{00000000-0006-0000-0000-00006C010000}">
      <text>
        <r>
          <rPr>
            <b/>
            <sz val="9"/>
            <color indexed="81"/>
            <rFont val="Tahoma"/>
            <family val="2"/>
          </rPr>
          <t>Author:</t>
        </r>
        <r>
          <rPr>
            <sz val="9"/>
            <color indexed="81"/>
            <rFont val="Tahoma"/>
            <family val="2"/>
          </rPr>
          <t xml:space="preserve">
From Kofler2024</t>
        </r>
      </text>
    </comment>
    <comment ref="Y30" authorId="0" shapeId="0" xr:uid="{00000000-0006-0000-0000-00006D010000}">
      <text>
        <r>
          <rPr>
            <b/>
            <sz val="9"/>
            <color indexed="81"/>
            <rFont val="Tahoma"/>
            <family val="2"/>
          </rPr>
          <t>Author:</t>
        </r>
        <r>
          <rPr>
            <sz val="9"/>
            <color indexed="81"/>
            <rFont val="Tahoma"/>
            <family val="2"/>
          </rPr>
          <t xml:space="preserve">
From Kofler2024</t>
        </r>
      </text>
    </comment>
    <comment ref="Z30" authorId="0" shapeId="0" xr:uid="{00000000-0006-0000-0000-00006E010000}">
      <text>
        <r>
          <rPr>
            <b/>
            <sz val="9"/>
            <color indexed="81"/>
            <rFont val="Tahoma"/>
            <family val="2"/>
          </rPr>
          <t>Author:</t>
        </r>
        <r>
          <rPr>
            <sz val="9"/>
            <color indexed="81"/>
            <rFont val="Tahoma"/>
            <family val="2"/>
          </rPr>
          <t xml:space="preserve">
From Kofler2024</t>
        </r>
      </text>
    </comment>
    <comment ref="AA30" authorId="0" shapeId="0" xr:uid="{00000000-0006-0000-0000-00006F010000}">
      <text>
        <r>
          <rPr>
            <b/>
            <sz val="9"/>
            <color indexed="81"/>
            <rFont val="Tahoma"/>
            <family val="2"/>
          </rPr>
          <t>Author:</t>
        </r>
        <r>
          <rPr>
            <sz val="9"/>
            <color indexed="81"/>
            <rFont val="Tahoma"/>
            <family val="2"/>
          </rPr>
          <t xml:space="preserve">
From Kofler2024</t>
        </r>
      </text>
    </comment>
    <comment ref="AB30" authorId="0" shapeId="0" xr:uid="{00000000-0006-0000-0000-000070010000}">
      <text>
        <r>
          <rPr>
            <b/>
            <sz val="9"/>
            <color indexed="81"/>
            <rFont val="Tahoma"/>
            <family val="2"/>
          </rPr>
          <t>Author:</t>
        </r>
        <r>
          <rPr>
            <sz val="9"/>
            <color indexed="81"/>
            <rFont val="Tahoma"/>
            <family val="2"/>
          </rPr>
          <t xml:space="preserve">
From Kofler2024</t>
        </r>
      </text>
    </comment>
    <comment ref="AC30" authorId="0" shapeId="0" xr:uid="{00000000-0006-0000-0000-000071010000}">
      <text>
        <r>
          <rPr>
            <b/>
            <sz val="9"/>
            <color indexed="81"/>
            <rFont val="Tahoma"/>
            <family val="2"/>
          </rPr>
          <t>Author:</t>
        </r>
        <r>
          <rPr>
            <sz val="9"/>
            <color indexed="81"/>
            <rFont val="Tahoma"/>
            <family val="2"/>
          </rPr>
          <t xml:space="preserve">
From Kofler2024</t>
        </r>
      </text>
    </comment>
    <comment ref="AD30" authorId="0" shapeId="0" xr:uid="{00000000-0006-0000-0000-000072010000}">
      <text>
        <r>
          <rPr>
            <b/>
            <sz val="9"/>
            <color indexed="81"/>
            <rFont val="Tahoma"/>
            <family val="2"/>
          </rPr>
          <t>Author:</t>
        </r>
        <r>
          <rPr>
            <sz val="9"/>
            <color indexed="81"/>
            <rFont val="Tahoma"/>
            <family val="2"/>
          </rPr>
          <t xml:space="preserve">
From Kofler2024</t>
        </r>
      </text>
    </comment>
    <comment ref="AE30" authorId="0" shapeId="0" xr:uid="{00000000-0006-0000-0000-000073010000}">
      <text>
        <r>
          <rPr>
            <b/>
            <sz val="9"/>
            <color indexed="81"/>
            <rFont val="Tahoma"/>
            <family val="2"/>
          </rPr>
          <t>Author:</t>
        </r>
        <r>
          <rPr>
            <sz val="9"/>
            <color indexed="81"/>
            <rFont val="Tahoma"/>
            <family val="2"/>
          </rPr>
          <t xml:space="preserve">
From Kofler2024</t>
        </r>
      </text>
    </comment>
    <comment ref="AF30" authorId="0" shapeId="0" xr:uid="{00000000-0006-0000-0000-000074010000}">
      <text>
        <r>
          <rPr>
            <b/>
            <sz val="9"/>
            <color indexed="81"/>
            <rFont val="Tahoma"/>
            <family val="2"/>
          </rPr>
          <t>Author:</t>
        </r>
        <r>
          <rPr>
            <sz val="9"/>
            <color indexed="81"/>
            <rFont val="Tahoma"/>
            <family val="2"/>
          </rPr>
          <t xml:space="preserve">
From Kofler2024</t>
        </r>
      </text>
    </comment>
    <comment ref="AG30" authorId="0" shapeId="0" xr:uid="{00000000-0006-0000-0000-000075010000}">
      <text>
        <r>
          <rPr>
            <b/>
            <sz val="9"/>
            <color indexed="81"/>
            <rFont val="Tahoma"/>
            <family val="2"/>
          </rPr>
          <t>Author:</t>
        </r>
        <r>
          <rPr>
            <sz val="9"/>
            <color indexed="81"/>
            <rFont val="Tahoma"/>
            <family val="2"/>
          </rPr>
          <t xml:space="preserve">
From Kofler2024</t>
        </r>
      </text>
    </comment>
    <comment ref="AH30" authorId="0" shapeId="0" xr:uid="{00000000-0006-0000-0000-000076010000}">
      <text>
        <r>
          <rPr>
            <b/>
            <sz val="9"/>
            <color indexed="81"/>
            <rFont val="Tahoma"/>
            <family val="2"/>
          </rPr>
          <t>Author:</t>
        </r>
        <r>
          <rPr>
            <sz val="9"/>
            <color indexed="81"/>
            <rFont val="Tahoma"/>
            <family val="2"/>
          </rPr>
          <t xml:space="preserve">
From Kofler2024</t>
        </r>
      </text>
    </comment>
    <comment ref="AI30" authorId="0" shapeId="0" xr:uid="{00000000-0006-0000-0000-000077010000}">
      <text>
        <r>
          <rPr>
            <b/>
            <sz val="9"/>
            <color indexed="81"/>
            <rFont val="Tahoma"/>
            <family val="2"/>
          </rPr>
          <t>Author:</t>
        </r>
        <r>
          <rPr>
            <sz val="9"/>
            <color indexed="81"/>
            <rFont val="Tahoma"/>
            <family val="2"/>
          </rPr>
          <t xml:space="preserve">
From Kofler2024</t>
        </r>
      </text>
    </comment>
    <comment ref="AJ30" authorId="0" shapeId="0" xr:uid="{00000000-0006-0000-0000-000078010000}">
      <text>
        <r>
          <rPr>
            <b/>
            <sz val="9"/>
            <color indexed="81"/>
            <rFont val="Tahoma"/>
            <family val="2"/>
          </rPr>
          <t>Author:</t>
        </r>
        <r>
          <rPr>
            <sz val="9"/>
            <color indexed="81"/>
            <rFont val="Tahoma"/>
            <family val="2"/>
          </rPr>
          <t xml:space="preserve">
From Kofler2024</t>
        </r>
      </text>
    </comment>
    <comment ref="AK30" authorId="0" shapeId="0" xr:uid="{00000000-0006-0000-0000-000079010000}">
      <text>
        <r>
          <rPr>
            <b/>
            <sz val="9"/>
            <color indexed="81"/>
            <rFont val="Tahoma"/>
            <family val="2"/>
          </rPr>
          <t>Author:</t>
        </r>
        <r>
          <rPr>
            <sz val="9"/>
            <color indexed="81"/>
            <rFont val="Tahoma"/>
            <family val="2"/>
          </rPr>
          <t xml:space="preserve">
From Kofler2024</t>
        </r>
      </text>
    </comment>
    <comment ref="AL30" authorId="0" shapeId="0" xr:uid="{00000000-0006-0000-0000-00007A010000}">
      <text>
        <r>
          <rPr>
            <b/>
            <sz val="9"/>
            <color indexed="81"/>
            <rFont val="Tahoma"/>
            <family val="2"/>
          </rPr>
          <t>Author:</t>
        </r>
        <r>
          <rPr>
            <sz val="9"/>
            <color indexed="81"/>
            <rFont val="Tahoma"/>
            <family val="2"/>
          </rPr>
          <t xml:space="preserve">
From Kofler2024</t>
        </r>
      </text>
    </comment>
    <comment ref="AM30" authorId="0" shapeId="0" xr:uid="{00000000-0006-0000-0000-00007B010000}">
      <text>
        <r>
          <rPr>
            <b/>
            <sz val="9"/>
            <color indexed="81"/>
            <rFont val="Tahoma"/>
            <family val="2"/>
          </rPr>
          <t>Author:</t>
        </r>
        <r>
          <rPr>
            <sz val="9"/>
            <color indexed="81"/>
            <rFont val="Tahoma"/>
            <family val="2"/>
          </rPr>
          <t xml:space="preserve">
From Kofler2024</t>
        </r>
      </text>
    </comment>
    <comment ref="AN30" authorId="0" shapeId="0" xr:uid="{00000000-0006-0000-0000-00007C010000}">
      <text>
        <r>
          <rPr>
            <b/>
            <sz val="9"/>
            <color indexed="81"/>
            <rFont val="Tahoma"/>
            <family val="2"/>
          </rPr>
          <t>Author:</t>
        </r>
        <r>
          <rPr>
            <sz val="9"/>
            <color indexed="81"/>
            <rFont val="Tahoma"/>
            <family val="2"/>
          </rPr>
          <t xml:space="preserve">
From Kofler2024</t>
        </r>
      </text>
    </comment>
    <comment ref="AO30" authorId="0" shapeId="0" xr:uid="{00000000-0006-0000-0000-00007D010000}">
      <text>
        <r>
          <rPr>
            <b/>
            <sz val="9"/>
            <color indexed="81"/>
            <rFont val="Tahoma"/>
            <family val="2"/>
          </rPr>
          <t>Author:</t>
        </r>
        <r>
          <rPr>
            <sz val="9"/>
            <color indexed="81"/>
            <rFont val="Tahoma"/>
            <family val="2"/>
          </rPr>
          <t xml:space="preserve">
From Kofler2024</t>
        </r>
      </text>
    </comment>
    <comment ref="AP30" authorId="0" shapeId="0" xr:uid="{00000000-0006-0000-0000-00007E010000}">
      <text>
        <r>
          <rPr>
            <b/>
            <sz val="9"/>
            <color indexed="81"/>
            <rFont val="Tahoma"/>
            <family val="2"/>
          </rPr>
          <t>Author:</t>
        </r>
        <r>
          <rPr>
            <sz val="9"/>
            <color indexed="81"/>
            <rFont val="Tahoma"/>
            <family val="2"/>
          </rPr>
          <t xml:space="preserve">
From Kofler2024</t>
        </r>
      </text>
    </comment>
    <comment ref="AQ30" authorId="0" shapeId="0" xr:uid="{00000000-0006-0000-0000-00007F010000}">
      <text>
        <r>
          <rPr>
            <b/>
            <sz val="9"/>
            <color indexed="81"/>
            <rFont val="Tahoma"/>
            <family val="2"/>
          </rPr>
          <t>Author:</t>
        </r>
        <r>
          <rPr>
            <sz val="9"/>
            <color indexed="81"/>
            <rFont val="Tahoma"/>
            <family val="2"/>
          </rPr>
          <t xml:space="preserve">
From Kofler2024</t>
        </r>
      </text>
    </comment>
    <comment ref="AR30" authorId="0" shapeId="0" xr:uid="{00000000-0006-0000-0000-000080010000}">
      <text>
        <r>
          <rPr>
            <b/>
            <sz val="9"/>
            <color indexed="81"/>
            <rFont val="Tahoma"/>
            <family val="2"/>
          </rPr>
          <t>Author:</t>
        </r>
        <r>
          <rPr>
            <sz val="9"/>
            <color indexed="81"/>
            <rFont val="Tahoma"/>
            <family val="2"/>
          </rPr>
          <t xml:space="preserve">
From Kofler2024</t>
        </r>
      </text>
    </comment>
    <comment ref="AS30" authorId="0" shapeId="0" xr:uid="{00000000-0006-0000-0000-000081010000}">
      <text>
        <r>
          <rPr>
            <b/>
            <sz val="9"/>
            <color indexed="81"/>
            <rFont val="Tahoma"/>
            <family val="2"/>
          </rPr>
          <t>Author:</t>
        </r>
        <r>
          <rPr>
            <sz val="9"/>
            <color indexed="81"/>
            <rFont val="Tahoma"/>
            <family val="2"/>
          </rPr>
          <t xml:space="preserve">
From Kofler2024</t>
        </r>
      </text>
    </comment>
    <comment ref="AT30" authorId="0" shapeId="0" xr:uid="{00000000-0006-0000-0000-000082010000}">
      <text>
        <r>
          <rPr>
            <b/>
            <sz val="9"/>
            <color indexed="81"/>
            <rFont val="Tahoma"/>
            <family val="2"/>
          </rPr>
          <t>Author:</t>
        </r>
        <r>
          <rPr>
            <sz val="9"/>
            <color indexed="81"/>
            <rFont val="Tahoma"/>
            <family val="2"/>
          </rPr>
          <t xml:space="preserve">
From Kofler2024</t>
        </r>
      </text>
    </comment>
    <comment ref="AU30" authorId="0" shapeId="0" xr:uid="{00000000-0006-0000-0000-000083010000}">
      <text>
        <r>
          <rPr>
            <b/>
            <sz val="9"/>
            <color indexed="81"/>
            <rFont val="Tahoma"/>
            <family val="2"/>
          </rPr>
          <t>Author:</t>
        </r>
        <r>
          <rPr>
            <sz val="9"/>
            <color indexed="81"/>
            <rFont val="Tahoma"/>
            <family val="2"/>
          </rPr>
          <t xml:space="preserve">
From Kofler2024</t>
        </r>
      </text>
    </comment>
    <comment ref="AV30" authorId="0" shapeId="0" xr:uid="{00000000-0006-0000-0000-000084010000}">
      <text>
        <r>
          <rPr>
            <b/>
            <sz val="9"/>
            <color indexed="81"/>
            <rFont val="Tahoma"/>
            <family val="2"/>
          </rPr>
          <t>Author:</t>
        </r>
        <r>
          <rPr>
            <sz val="9"/>
            <color indexed="81"/>
            <rFont val="Tahoma"/>
            <family val="2"/>
          </rPr>
          <t xml:space="preserve">
From Kofler2024</t>
        </r>
      </text>
    </comment>
    <comment ref="AW30" authorId="0" shapeId="0" xr:uid="{00000000-0006-0000-0000-000085010000}">
      <text>
        <r>
          <rPr>
            <b/>
            <sz val="9"/>
            <color indexed="81"/>
            <rFont val="Tahoma"/>
            <family val="2"/>
          </rPr>
          <t>Author:</t>
        </r>
        <r>
          <rPr>
            <sz val="9"/>
            <color indexed="81"/>
            <rFont val="Tahoma"/>
            <family val="2"/>
          </rPr>
          <t xml:space="preserve">
From Kofler2024</t>
        </r>
      </text>
    </comment>
    <comment ref="AX30" authorId="0" shapeId="0" xr:uid="{00000000-0006-0000-0000-000086010000}">
      <text>
        <r>
          <rPr>
            <b/>
            <sz val="9"/>
            <color indexed="81"/>
            <rFont val="Tahoma"/>
            <family val="2"/>
          </rPr>
          <t>Author:</t>
        </r>
        <r>
          <rPr>
            <sz val="9"/>
            <color indexed="81"/>
            <rFont val="Tahoma"/>
            <family val="2"/>
          </rPr>
          <t xml:space="preserve">
From Kofler2024</t>
        </r>
      </text>
    </comment>
    <comment ref="AY30" authorId="0" shapeId="0" xr:uid="{00000000-0006-0000-0000-000087010000}">
      <text>
        <r>
          <rPr>
            <b/>
            <sz val="9"/>
            <color indexed="81"/>
            <rFont val="Tahoma"/>
            <family val="2"/>
          </rPr>
          <t>Author:</t>
        </r>
        <r>
          <rPr>
            <sz val="9"/>
            <color indexed="81"/>
            <rFont val="Tahoma"/>
            <family val="2"/>
          </rPr>
          <t xml:space="preserve">
From Kofler2024</t>
        </r>
      </text>
    </comment>
    <comment ref="AZ30" authorId="0" shapeId="0" xr:uid="{00000000-0006-0000-0000-000088010000}">
      <text>
        <r>
          <rPr>
            <b/>
            <sz val="9"/>
            <color indexed="81"/>
            <rFont val="Tahoma"/>
            <family val="2"/>
          </rPr>
          <t>Author:</t>
        </r>
        <r>
          <rPr>
            <sz val="9"/>
            <color indexed="81"/>
            <rFont val="Tahoma"/>
            <family val="2"/>
          </rPr>
          <t xml:space="preserve">
From Kofler2024</t>
        </r>
      </text>
    </comment>
    <comment ref="BA30" authorId="0" shapeId="0" xr:uid="{00000000-0006-0000-0000-000089010000}">
      <text>
        <r>
          <rPr>
            <b/>
            <sz val="9"/>
            <color indexed="81"/>
            <rFont val="Tahoma"/>
            <family val="2"/>
          </rPr>
          <t>Author:</t>
        </r>
        <r>
          <rPr>
            <sz val="9"/>
            <color indexed="81"/>
            <rFont val="Tahoma"/>
            <family val="2"/>
          </rPr>
          <t xml:space="preserve">
From Kofler2024</t>
        </r>
      </text>
    </comment>
    <comment ref="BB30" authorId="0" shapeId="0" xr:uid="{00000000-0006-0000-0000-00008A010000}">
      <text>
        <r>
          <rPr>
            <b/>
            <sz val="9"/>
            <color indexed="81"/>
            <rFont val="Tahoma"/>
            <family val="2"/>
          </rPr>
          <t>Author:</t>
        </r>
        <r>
          <rPr>
            <sz val="9"/>
            <color indexed="81"/>
            <rFont val="Tahoma"/>
            <family val="2"/>
          </rPr>
          <t xml:space="preserve">
From Kofler2024</t>
        </r>
      </text>
    </comment>
    <comment ref="BC30" authorId="0" shapeId="0" xr:uid="{00000000-0006-0000-0000-00008B010000}">
      <text>
        <r>
          <rPr>
            <b/>
            <sz val="9"/>
            <color indexed="81"/>
            <rFont val="Tahoma"/>
            <family val="2"/>
          </rPr>
          <t>Author:</t>
        </r>
        <r>
          <rPr>
            <sz val="9"/>
            <color indexed="81"/>
            <rFont val="Tahoma"/>
            <family val="2"/>
          </rPr>
          <t xml:space="preserve">
From Kofler2024</t>
        </r>
      </text>
    </comment>
    <comment ref="BD30" authorId="0" shapeId="0" xr:uid="{00000000-0006-0000-0000-00008C010000}">
      <text>
        <r>
          <rPr>
            <b/>
            <sz val="9"/>
            <color indexed="81"/>
            <rFont val="Tahoma"/>
            <family val="2"/>
          </rPr>
          <t>Author:</t>
        </r>
        <r>
          <rPr>
            <sz val="9"/>
            <color indexed="81"/>
            <rFont val="Tahoma"/>
            <family val="2"/>
          </rPr>
          <t xml:space="preserve">
From Kofler2024</t>
        </r>
      </text>
    </comment>
    <comment ref="BE30" authorId="0" shapeId="0" xr:uid="{00000000-0006-0000-0000-00008D010000}">
      <text>
        <r>
          <rPr>
            <b/>
            <sz val="9"/>
            <color indexed="81"/>
            <rFont val="Tahoma"/>
            <family val="2"/>
          </rPr>
          <t>Author:</t>
        </r>
        <r>
          <rPr>
            <sz val="9"/>
            <color indexed="81"/>
            <rFont val="Tahoma"/>
            <family val="2"/>
          </rPr>
          <t xml:space="preserve">
From Kofler2024</t>
        </r>
      </text>
    </comment>
    <comment ref="BF30" authorId="0" shapeId="0" xr:uid="{00000000-0006-0000-0000-00008E010000}">
      <text>
        <r>
          <rPr>
            <b/>
            <sz val="9"/>
            <color indexed="81"/>
            <rFont val="Tahoma"/>
            <family val="2"/>
          </rPr>
          <t>Author:</t>
        </r>
        <r>
          <rPr>
            <sz val="9"/>
            <color indexed="81"/>
            <rFont val="Tahoma"/>
            <family val="2"/>
          </rPr>
          <t xml:space="preserve">
From Kofler2024</t>
        </r>
      </text>
    </comment>
    <comment ref="BG30" authorId="0" shapeId="0" xr:uid="{00000000-0006-0000-0000-00008F010000}">
      <text>
        <r>
          <rPr>
            <b/>
            <sz val="9"/>
            <color indexed="81"/>
            <rFont val="Tahoma"/>
            <family val="2"/>
          </rPr>
          <t>Author:</t>
        </r>
        <r>
          <rPr>
            <sz val="9"/>
            <color indexed="81"/>
            <rFont val="Tahoma"/>
            <family val="2"/>
          </rPr>
          <t xml:space="preserve">
From Kofler2024</t>
        </r>
      </text>
    </comment>
    <comment ref="BH30" authorId="0" shapeId="0" xr:uid="{00000000-0006-0000-0000-000090010000}">
      <text>
        <r>
          <rPr>
            <b/>
            <sz val="9"/>
            <color indexed="81"/>
            <rFont val="Tahoma"/>
            <family val="2"/>
          </rPr>
          <t>Author:</t>
        </r>
        <r>
          <rPr>
            <sz val="9"/>
            <color indexed="81"/>
            <rFont val="Tahoma"/>
            <family val="2"/>
          </rPr>
          <t xml:space="preserve">
From Kofler2024</t>
        </r>
      </text>
    </comment>
    <comment ref="BI30" authorId="0" shapeId="0" xr:uid="{00000000-0006-0000-0000-000091010000}">
      <text>
        <r>
          <rPr>
            <b/>
            <sz val="9"/>
            <color indexed="81"/>
            <rFont val="Tahoma"/>
            <family val="2"/>
          </rPr>
          <t>Author:</t>
        </r>
        <r>
          <rPr>
            <sz val="9"/>
            <color indexed="81"/>
            <rFont val="Tahoma"/>
            <family val="2"/>
          </rPr>
          <t xml:space="preserve">
From Kofler2024</t>
        </r>
      </text>
    </comment>
    <comment ref="BJ30" authorId="0" shapeId="0" xr:uid="{00000000-0006-0000-0000-000092010000}">
      <text>
        <r>
          <rPr>
            <b/>
            <sz val="9"/>
            <color indexed="81"/>
            <rFont val="Tahoma"/>
            <family val="2"/>
          </rPr>
          <t>Author:</t>
        </r>
        <r>
          <rPr>
            <sz val="9"/>
            <color indexed="81"/>
            <rFont val="Tahoma"/>
            <family val="2"/>
          </rPr>
          <t xml:space="preserve">
From this study </t>
        </r>
      </text>
    </comment>
    <comment ref="BK30" authorId="0" shapeId="0" xr:uid="{00000000-0006-0000-0000-000093010000}">
      <text>
        <r>
          <rPr>
            <b/>
            <sz val="9"/>
            <color indexed="81"/>
            <rFont val="Tahoma"/>
            <family val="2"/>
          </rPr>
          <t>Author:</t>
        </r>
        <r>
          <rPr>
            <sz val="9"/>
            <color indexed="81"/>
            <rFont val="Tahoma"/>
            <family val="2"/>
          </rPr>
          <t xml:space="preserve">
From this study </t>
        </r>
      </text>
    </comment>
    <comment ref="BL30" authorId="0" shapeId="0" xr:uid="{00000000-0006-0000-0000-000094010000}">
      <text>
        <r>
          <rPr>
            <b/>
            <sz val="9"/>
            <color indexed="81"/>
            <rFont val="Tahoma"/>
            <family val="2"/>
          </rPr>
          <t>Author:</t>
        </r>
        <r>
          <rPr>
            <sz val="9"/>
            <color indexed="81"/>
            <rFont val="Tahoma"/>
            <family val="2"/>
          </rPr>
          <t xml:space="preserve">
From this study </t>
        </r>
      </text>
    </comment>
    <comment ref="BM30" authorId="0" shapeId="0" xr:uid="{00000000-0006-0000-0000-000095010000}">
      <text>
        <r>
          <rPr>
            <b/>
            <sz val="9"/>
            <color indexed="81"/>
            <rFont val="Tahoma"/>
            <family val="2"/>
          </rPr>
          <t>Author:</t>
        </r>
        <r>
          <rPr>
            <sz val="9"/>
            <color indexed="81"/>
            <rFont val="Tahoma"/>
            <family val="2"/>
          </rPr>
          <t xml:space="preserve">
From this study </t>
        </r>
      </text>
    </comment>
    <comment ref="BN30" authorId="0" shapeId="0" xr:uid="{00000000-0006-0000-0000-000096010000}">
      <text>
        <r>
          <rPr>
            <b/>
            <sz val="9"/>
            <color indexed="81"/>
            <rFont val="Tahoma"/>
            <family val="2"/>
          </rPr>
          <t>Author:</t>
        </r>
        <r>
          <rPr>
            <sz val="9"/>
            <color indexed="81"/>
            <rFont val="Tahoma"/>
            <family val="2"/>
          </rPr>
          <t xml:space="preserve">
From this study </t>
        </r>
      </text>
    </comment>
    <comment ref="BO30" authorId="0" shapeId="0" xr:uid="{00000000-0006-0000-0000-000097010000}">
      <text>
        <r>
          <rPr>
            <b/>
            <sz val="9"/>
            <color indexed="81"/>
            <rFont val="Tahoma"/>
            <family val="2"/>
          </rPr>
          <t>Author:</t>
        </r>
        <r>
          <rPr>
            <sz val="9"/>
            <color indexed="81"/>
            <rFont val="Tahoma"/>
            <family val="2"/>
          </rPr>
          <t xml:space="preserve">
From this study </t>
        </r>
      </text>
    </comment>
    <comment ref="BP30" authorId="0" shapeId="0" xr:uid="{00000000-0006-0000-0000-000098010000}">
      <text>
        <r>
          <rPr>
            <b/>
            <sz val="9"/>
            <color indexed="81"/>
            <rFont val="Tahoma"/>
            <family val="2"/>
          </rPr>
          <t>Author:</t>
        </r>
        <r>
          <rPr>
            <sz val="9"/>
            <color indexed="81"/>
            <rFont val="Tahoma"/>
            <family val="2"/>
          </rPr>
          <t xml:space="preserve">
From this study </t>
        </r>
      </text>
    </comment>
    <comment ref="BQ30" authorId="0" shapeId="0" xr:uid="{00000000-0006-0000-0000-000099010000}">
      <text>
        <r>
          <rPr>
            <b/>
            <sz val="9"/>
            <color indexed="81"/>
            <rFont val="Tahoma"/>
            <family val="2"/>
          </rPr>
          <t>Author:</t>
        </r>
        <r>
          <rPr>
            <sz val="9"/>
            <color indexed="81"/>
            <rFont val="Tahoma"/>
            <family val="2"/>
          </rPr>
          <t xml:space="preserve">
From this study </t>
        </r>
      </text>
    </comment>
    <comment ref="BR30" authorId="0" shapeId="0" xr:uid="{00000000-0006-0000-0000-00009A010000}">
      <text>
        <r>
          <rPr>
            <b/>
            <sz val="9"/>
            <color indexed="81"/>
            <rFont val="Tahoma"/>
            <family val="2"/>
          </rPr>
          <t>Author:</t>
        </r>
        <r>
          <rPr>
            <sz val="9"/>
            <color indexed="81"/>
            <rFont val="Tahoma"/>
            <family val="2"/>
          </rPr>
          <t xml:space="preserve">
From Kofler2024</t>
        </r>
      </text>
    </comment>
    <comment ref="BS30" authorId="0" shapeId="0" xr:uid="{00000000-0006-0000-0000-00009B010000}">
      <text>
        <r>
          <rPr>
            <b/>
            <sz val="9"/>
            <color indexed="81"/>
            <rFont val="Tahoma"/>
            <family val="2"/>
          </rPr>
          <t>Author:</t>
        </r>
        <r>
          <rPr>
            <sz val="9"/>
            <color indexed="81"/>
            <rFont val="Tahoma"/>
            <family val="2"/>
          </rPr>
          <t xml:space="preserve">
From Kofler2024</t>
        </r>
      </text>
    </comment>
    <comment ref="BT30" authorId="0" shapeId="0" xr:uid="{00000000-0006-0000-0000-00009C010000}">
      <text>
        <r>
          <rPr>
            <b/>
            <sz val="9"/>
            <color indexed="81"/>
            <rFont val="Tahoma"/>
            <family val="2"/>
          </rPr>
          <t>Author:</t>
        </r>
        <r>
          <rPr>
            <sz val="9"/>
            <color indexed="81"/>
            <rFont val="Tahoma"/>
            <family val="2"/>
          </rPr>
          <t xml:space="preserve">
From Kofler2024</t>
        </r>
      </text>
    </comment>
    <comment ref="BU30" authorId="0" shapeId="0" xr:uid="{00000000-0006-0000-0000-00009D010000}">
      <text>
        <r>
          <rPr>
            <b/>
            <sz val="9"/>
            <color indexed="81"/>
            <rFont val="Tahoma"/>
            <family val="2"/>
          </rPr>
          <t>Author:</t>
        </r>
        <r>
          <rPr>
            <sz val="9"/>
            <color indexed="81"/>
            <rFont val="Tahoma"/>
            <family val="2"/>
          </rPr>
          <t xml:space="preserve">
From Kofler2024</t>
        </r>
      </text>
    </comment>
    <comment ref="R31" authorId="0" shapeId="0" xr:uid="{00000000-0006-0000-0000-00009E010000}">
      <text>
        <r>
          <rPr>
            <b/>
            <sz val="9"/>
            <color indexed="81"/>
            <rFont val="Tahoma"/>
            <family val="2"/>
          </rPr>
          <t>Author:</t>
        </r>
        <r>
          <rPr>
            <sz val="9"/>
            <color indexed="81"/>
            <rFont val="Tahoma"/>
            <family val="2"/>
          </rPr>
          <t xml:space="preserve">
Based on MMZSC2023
</t>
        </r>
      </text>
    </comment>
    <comment ref="S31" authorId="0" shapeId="0" xr:uid="{00000000-0006-0000-0000-00009F010000}">
      <text>
        <r>
          <rPr>
            <b/>
            <sz val="9"/>
            <color indexed="81"/>
            <rFont val="Tahoma"/>
            <family val="2"/>
          </rPr>
          <t>Author:</t>
        </r>
        <r>
          <rPr>
            <sz val="9"/>
            <color indexed="81"/>
            <rFont val="Tahoma"/>
            <family val="2"/>
          </rPr>
          <t xml:space="preserve">
Based on MMZCS2023</t>
        </r>
      </text>
    </comment>
    <comment ref="T31" authorId="0" shapeId="0" xr:uid="{00000000-0006-0000-0000-0000A0010000}">
      <text>
        <r>
          <rPr>
            <b/>
            <sz val="9"/>
            <color indexed="81"/>
            <rFont val="Tahoma"/>
            <family val="2"/>
          </rPr>
          <t>Author:</t>
        </r>
        <r>
          <rPr>
            <sz val="9"/>
            <color indexed="81"/>
            <rFont val="Tahoma"/>
            <family val="2"/>
          </rPr>
          <t xml:space="preserve">
Based on MMZCS2023</t>
        </r>
      </text>
    </comment>
    <comment ref="U31" authorId="0" shapeId="0" xr:uid="{00000000-0006-0000-0000-0000A1010000}">
      <text>
        <r>
          <rPr>
            <b/>
            <sz val="9"/>
            <color indexed="81"/>
            <rFont val="Tahoma"/>
            <family val="2"/>
          </rPr>
          <t>Author:</t>
        </r>
        <r>
          <rPr>
            <sz val="9"/>
            <color indexed="81"/>
            <rFont val="Tahoma"/>
            <family val="2"/>
          </rPr>
          <t xml:space="preserve">
Based on MMZCS2023</t>
        </r>
      </text>
    </comment>
    <comment ref="AD31" authorId="0" shapeId="0" xr:uid="{00000000-0006-0000-0000-0000A2010000}">
      <text>
        <r>
          <rPr>
            <b/>
            <sz val="9"/>
            <color indexed="81"/>
            <rFont val="Tahoma"/>
            <family val="2"/>
          </rPr>
          <t>Author:</t>
        </r>
        <r>
          <rPr>
            <sz val="9"/>
            <color indexed="81"/>
            <rFont val="Tahoma"/>
            <family val="2"/>
          </rPr>
          <t xml:space="preserve">
Based on MMZCS2023</t>
        </r>
      </text>
    </comment>
    <comment ref="AE31" authorId="0" shapeId="0" xr:uid="{00000000-0006-0000-0000-0000A3010000}">
      <text>
        <r>
          <rPr>
            <b/>
            <sz val="9"/>
            <color indexed="81"/>
            <rFont val="Tahoma"/>
            <family val="2"/>
          </rPr>
          <t>Author:</t>
        </r>
        <r>
          <rPr>
            <sz val="9"/>
            <color indexed="81"/>
            <rFont val="Tahoma"/>
            <family val="2"/>
          </rPr>
          <t xml:space="preserve">
Based on MMZCS2023</t>
        </r>
      </text>
    </comment>
    <comment ref="AF31" authorId="0" shapeId="0" xr:uid="{00000000-0006-0000-0000-0000A4010000}">
      <text>
        <r>
          <rPr>
            <b/>
            <sz val="9"/>
            <color indexed="81"/>
            <rFont val="Tahoma"/>
            <family val="2"/>
          </rPr>
          <t>Author:</t>
        </r>
        <r>
          <rPr>
            <sz val="9"/>
            <color indexed="81"/>
            <rFont val="Tahoma"/>
            <family val="2"/>
          </rPr>
          <t xml:space="preserve">
Based on MMZCS2023</t>
        </r>
      </text>
    </comment>
    <comment ref="AG31" authorId="0" shapeId="0" xr:uid="{00000000-0006-0000-0000-0000A5010000}">
      <text>
        <r>
          <rPr>
            <b/>
            <sz val="9"/>
            <color indexed="81"/>
            <rFont val="Tahoma"/>
            <family val="2"/>
          </rPr>
          <t>Author:</t>
        </r>
        <r>
          <rPr>
            <sz val="9"/>
            <color indexed="81"/>
            <rFont val="Tahoma"/>
            <family val="2"/>
          </rPr>
          <t xml:space="preserve">
Based on MMZCS2023</t>
        </r>
      </text>
    </comment>
    <comment ref="AH31" authorId="0" shapeId="0" xr:uid="{00000000-0006-0000-0000-0000A6010000}">
      <text>
        <r>
          <rPr>
            <b/>
            <sz val="9"/>
            <color indexed="81"/>
            <rFont val="Tahoma"/>
            <family val="2"/>
          </rPr>
          <t>Author:</t>
        </r>
        <r>
          <rPr>
            <sz val="9"/>
            <color indexed="81"/>
            <rFont val="Tahoma"/>
            <family val="2"/>
          </rPr>
          <t xml:space="preserve">
Based on Armijo2020</t>
        </r>
      </text>
    </comment>
    <comment ref="AI31" authorId="0" shapeId="0" xr:uid="{00000000-0006-0000-0000-0000A7010000}">
      <text>
        <r>
          <rPr>
            <b/>
            <sz val="9"/>
            <color indexed="81"/>
            <rFont val="Tahoma"/>
            <family val="2"/>
          </rPr>
          <t>Author:</t>
        </r>
        <r>
          <rPr>
            <sz val="9"/>
            <color indexed="81"/>
            <rFont val="Tahoma"/>
            <family val="2"/>
          </rPr>
          <t xml:space="preserve">
Based on MMZCS2023</t>
        </r>
      </text>
    </comment>
    <comment ref="AJ31" authorId="0" shapeId="0" xr:uid="{00000000-0006-0000-0000-0000A8010000}">
      <text>
        <r>
          <rPr>
            <b/>
            <sz val="9"/>
            <color indexed="81"/>
            <rFont val="Tahoma"/>
            <family val="2"/>
          </rPr>
          <t>Author:</t>
        </r>
        <r>
          <rPr>
            <sz val="9"/>
            <color indexed="81"/>
            <rFont val="Tahoma"/>
            <family val="2"/>
          </rPr>
          <t xml:space="preserve">
Taking the best case of 2030 based on MMZCS2023</t>
        </r>
      </text>
    </comment>
    <comment ref="AK31" authorId="0" shapeId="0" xr:uid="{00000000-0006-0000-0000-0000A9010000}">
      <text>
        <r>
          <rPr>
            <b/>
            <sz val="9"/>
            <color indexed="81"/>
            <rFont val="Tahoma"/>
            <family val="2"/>
          </rPr>
          <t>Author:</t>
        </r>
        <r>
          <rPr>
            <sz val="9"/>
            <color indexed="81"/>
            <rFont val="Tahoma"/>
            <family val="2"/>
          </rPr>
          <t xml:space="preserve">
Taking the best case of 2030 based on MMZCS2023</t>
        </r>
      </text>
    </comment>
    <comment ref="AL31" authorId="0" shapeId="0" xr:uid="{00000000-0006-0000-0000-0000AA010000}">
      <text>
        <r>
          <rPr>
            <b/>
            <sz val="9"/>
            <color indexed="81"/>
            <rFont val="Tahoma"/>
            <family val="2"/>
          </rPr>
          <t>Author:</t>
        </r>
        <r>
          <rPr>
            <sz val="9"/>
            <color indexed="81"/>
            <rFont val="Tahoma"/>
            <family val="2"/>
          </rPr>
          <t xml:space="preserve">
Based on Armijo2020</t>
        </r>
      </text>
    </comment>
    <comment ref="AM31" authorId="0" shapeId="0" xr:uid="{00000000-0006-0000-0000-0000AB010000}">
      <text>
        <r>
          <rPr>
            <b/>
            <sz val="9"/>
            <color indexed="81"/>
            <rFont val="Tahoma"/>
            <family val="2"/>
          </rPr>
          <t>Author:</t>
        </r>
        <r>
          <rPr>
            <sz val="9"/>
            <color indexed="81"/>
            <rFont val="Tahoma"/>
            <family val="2"/>
          </rPr>
          <t xml:space="preserve">
Based on MMZCS2023</t>
        </r>
      </text>
    </comment>
    <comment ref="AN31" authorId="0" shapeId="0" xr:uid="{00000000-0006-0000-0000-0000AC010000}">
      <text>
        <r>
          <rPr>
            <b/>
            <sz val="9"/>
            <color indexed="81"/>
            <rFont val="Tahoma"/>
            <family val="2"/>
          </rPr>
          <t>Author:</t>
        </r>
        <r>
          <rPr>
            <sz val="9"/>
            <color indexed="81"/>
            <rFont val="Tahoma"/>
            <family val="2"/>
          </rPr>
          <t xml:space="preserve">
Taking the best case of 2030 based on MMZCS2023</t>
        </r>
      </text>
    </comment>
    <comment ref="AO31" authorId="0" shapeId="0" xr:uid="{00000000-0006-0000-0000-0000AD010000}">
      <text>
        <r>
          <rPr>
            <b/>
            <sz val="9"/>
            <color indexed="81"/>
            <rFont val="Tahoma"/>
            <family val="2"/>
          </rPr>
          <t>Author:</t>
        </r>
        <r>
          <rPr>
            <sz val="9"/>
            <color indexed="81"/>
            <rFont val="Tahoma"/>
            <family val="2"/>
          </rPr>
          <t xml:space="preserve">
Taking the best case of 2030 based on MMZCS2023</t>
        </r>
      </text>
    </comment>
    <comment ref="AP31" authorId="0" shapeId="0" xr:uid="{00000000-0006-0000-0000-0000AE010000}">
      <text>
        <r>
          <rPr>
            <b/>
            <sz val="9"/>
            <color indexed="81"/>
            <rFont val="Tahoma"/>
            <family val="2"/>
          </rPr>
          <t>Author:</t>
        </r>
        <r>
          <rPr>
            <sz val="9"/>
            <color indexed="81"/>
            <rFont val="Tahoma"/>
            <family val="2"/>
          </rPr>
          <t xml:space="preserve">
Based on MMZCS2023</t>
        </r>
      </text>
    </comment>
    <comment ref="AQ31" authorId="0" shapeId="0" xr:uid="{00000000-0006-0000-0000-0000AF010000}">
      <text>
        <r>
          <rPr>
            <b/>
            <sz val="9"/>
            <color indexed="81"/>
            <rFont val="Tahoma"/>
            <family val="2"/>
          </rPr>
          <t>Author:</t>
        </r>
        <r>
          <rPr>
            <sz val="9"/>
            <color indexed="81"/>
            <rFont val="Tahoma"/>
            <family val="2"/>
          </rPr>
          <t xml:space="preserve">
Based on MMZCS2023</t>
        </r>
      </text>
    </comment>
    <comment ref="AR31" authorId="0" shapeId="0" xr:uid="{00000000-0006-0000-0000-0000B0010000}">
      <text>
        <r>
          <rPr>
            <b/>
            <sz val="9"/>
            <color indexed="81"/>
            <rFont val="Tahoma"/>
            <family val="2"/>
          </rPr>
          <t>Author:</t>
        </r>
        <r>
          <rPr>
            <sz val="9"/>
            <color indexed="81"/>
            <rFont val="Tahoma"/>
            <family val="2"/>
          </rPr>
          <t xml:space="preserve">
Based on MMZCS2023</t>
        </r>
      </text>
    </comment>
    <comment ref="AS31" authorId="0" shapeId="0" xr:uid="{00000000-0006-0000-0000-0000B1010000}">
      <text>
        <r>
          <rPr>
            <b/>
            <sz val="9"/>
            <color indexed="81"/>
            <rFont val="Tahoma"/>
            <family val="2"/>
          </rPr>
          <t>Author:</t>
        </r>
        <r>
          <rPr>
            <sz val="9"/>
            <color indexed="81"/>
            <rFont val="Tahoma"/>
            <family val="2"/>
          </rPr>
          <t xml:space="preserve">
Based on MMZCS2023</t>
        </r>
      </text>
    </comment>
    <comment ref="AT31" authorId="0" shapeId="0" xr:uid="{00000000-0006-0000-0000-0000B2010000}">
      <text>
        <r>
          <rPr>
            <b/>
            <sz val="9"/>
            <color indexed="81"/>
            <rFont val="Tahoma"/>
            <family val="2"/>
          </rPr>
          <t>Author:</t>
        </r>
        <r>
          <rPr>
            <sz val="9"/>
            <color indexed="81"/>
            <rFont val="Tahoma"/>
            <family val="2"/>
          </rPr>
          <t xml:space="preserve">
Based on MMZCS2023 using a power law</t>
        </r>
      </text>
    </comment>
    <comment ref="AU31" authorId="0" shapeId="0" xr:uid="{00000000-0006-0000-0000-0000B3010000}">
      <text>
        <r>
          <rPr>
            <b/>
            <sz val="9"/>
            <color indexed="81"/>
            <rFont val="Tahoma"/>
            <family val="2"/>
          </rPr>
          <t>Author:</t>
        </r>
        <r>
          <rPr>
            <sz val="9"/>
            <color indexed="81"/>
            <rFont val="Tahoma"/>
            <family val="2"/>
          </rPr>
          <t xml:space="preserve">
Based on MMZCS2023 using a power law</t>
        </r>
      </text>
    </comment>
    <comment ref="AV31" authorId="0" shapeId="0" xr:uid="{00000000-0006-0000-0000-0000B4010000}">
      <text>
        <r>
          <rPr>
            <b/>
            <sz val="9"/>
            <color indexed="81"/>
            <rFont val="Tahoma"/>
            <family val="2"/>
          </rPr>
          <t>Author:</t>
        </r>
        <r>
          <rPr>
            <sz val="9"/>
            <color indexed="81"/>
            <rFont val="Tahoma"/>
            <family val="2"/>
          </rPr>
          <t xml:space="preserve">
Based on MMZCS2023 using a power law</t>
        </r>
      </text>
    </comment>
    <comment ref="AW31" authorId="0" shapeId="0" xr:uid="{00000000-0006-0000-0000-0000B5010000}">
      <text>
        <r>
          <rPr>
            <b/>
            <sz val="9"/>
            <color indexed="81"/>
            <rFont val="Tahoma"/>
            <family val="2"/>
          </rPr>
          <t>Author:</t>
        </r>
        <r>
          <rPr>
            <sz val="9"/>
            <color indexed="81"/>
            <rFont val="Tahoma"/>
            <family val="2"/>
          </rPr>
          <t xml:space="preserve">
Based on MMZCS2023 using a power law</t>
        </r>
      </text>
    </comment>
    <comment ref="AX31" authorId="0" shapeId="0" xr:uid="{00000000-0006-0000-0000-0000B6010000}">
      <text>
        <r>
          <rPr>
            <b/>
            <sz val="9"/>
            <color indexed="81"/>
            <rFont val="Tahoma"/>
            <family val="2"/>
          </rPr>
          <t>Author:</t>
        </r>
        <r>
          <rPr>
            <sz val="9"/>
            <color indexed="81"/>
            <rFont val="Tahoma"/>
            <family val="2"/>
          </rPr>
          <t xml:space="preserve">
4% Capex based on MMZCS2023</t>
        </r>
      </text>
    </comment>
    <comment ref="AY31" authorId="0" shapeId="0" xr:uid="{00000000-0006-0000-0000-0000B7010000}">
      <text>
        <r>
          <rPr>
            <b/>
            <sz val="9"/>
            <color indexed="81"/>
            <rFont val="Tahoma"/>
            <family val="2"/>
          </rPr>
          <t>Author:</t>
        </r>
        <r>
          <rPr>
            <sz val="9"/>
            <color indexed="81"/>
            <rFont val="Tahoma"/>
            <family val="2"/>
          </rPr>
          <t xml:space="preserve">
4% Capex based on MMZCS2023</t>
        </r>
      </text>
    </comment>
    <comment ref="AZ31" authorId="0" shapeId="0" xr:uid="{00000000-0006-0000-0000-0000B8010000}">
      <text>
        <r>
          <rPr>
            <b/>
            <sz val="9"/>
            <color indexed="81"/>
            <rFont val="Tahoma"/>
            <family val="2"/>
          </rPr>
          <t>Author:</t>
        </r>
        <r>
          <rPr>
            <sz val="9"/>
            <color indexed="81"/>
            <rFont val="Tahoma"/>
            <family val="2"/>
          </rPr>
          <t xml:space="preserve">
4% Capex based on MMZCS2023</t>
        </r>
      </text>
    </comment>
    <comment ref="BA31" authorId="0" shapeId="0" xr:uid="{00000000-0006-0000-0000-0000B9010000}">
      <text>
        <r>
          <rPr>
            <b/>
            <sz val="9"/>
            <color indexed="81"/>
            <rFont val="Tahoma"/>
            <family val="2"/>
          </rPr>
          <t>Author:</t>
        </r>
        <r>
          <rPr>
            <sz val="9"/>
            <color indexed="81"/>
            <rFont val="Tahoma"/>
            <family val="2"/>
          </rPr>
          <t xml:space="preserve">
4% Capex based on MMZCS2023</t>
        </r>
      </text>
    </comment>
    <comment ref="BR31" authorId="0" shapeId="0" xr:uid="{00000000-0006-0000-0000-0000BA010000}">
      <text>
        <r>
          <rPr>
            <b/>
            <sz val="9"/>
            <color indexed="81"/>
            <rFont val="Tahoma"/>
            <family val="2"/>
          </rPr>
          <t>Author:</t>
        </r>
        <r>
          <rPr>
            <sz val="9"/>
            <color indexed="81"/>
            <rFont val="Tahoma"/>
            <family val="2"/>
          </rPr>
          <t xml:space="preserve">
From MMZCS2023</t>
        </r>
      </text>
    </comment>
    <comment ref="BS31" authorId="0" shapeId="0" xr:uid="{00000000-0006-0000-0000-0000BB010000}">
      <text>
        <r>
          <rPr>
            <b/>
            <sz val="9"/>
            <color indexed="81"/>
            <rFont val="Tahoma"/>
            <family val="2"/>
          </rPr>
          <t>Author:</t>
        </r>
        <r>
          <rPr>
            <sz val="9"/>
            <color indexed="81"/>
            <rFont val="Tahoma"/>
            <family val="2"/>
          </rPr>
          <t xml:space="preserve">
From MMZCS2023</t>
        </r>
      </text>
    </comment>
    <comment ref="BT31" authorId="0" shapeId="0" xr:uid="{00000000-0006-0000-0000-0000BC010000}">
      <text>
        <r>
          <rPr>
            <b/>
            <sz val="9"/>
            <color indexed="81"/>
            <rFont val="Tahoma"/>
            <family val="2"/>
          </rPr>
          <t>Author:</t>
        </r>
        <r>
          <rPr>
            <sz val="9"/>
            <color indexed="81"/>
            <rFont val="Tahoma"/>
            <family val="2"/>
          </rPr>
          <t xml:space="preserve">
From MMZCS2023</t>
        </r>
      </text>
    </comment>
    <comment ref="BU31" authorId="0" shapeId="0" xr:uid="{00000000-0006-0000-0000-0000BD010000}">
      <text>
        <r>
          <rPr>
            <b/>
            <sz val="9"/>
            <color indexed="81"/>
            <rFont val="Tahoma"/>
            <family val="2"/>
          </rPr>
          <t>Author:</t>
        </r>
        <r>
          <rPr>
            <sz val="9"/>
            <color indexed="81"/>
            <rFont val="Tahoma"/>
            <family val="2"/>
          </rPr>
          <t xml:space="preserve">
From MMZCS2023</t>
        </r>
      </text>
    </comment>
    <comment ref="R32" authorId="0" shapeId="0" xr:uid="{00000000-0006-0000-0000-0000BE010000}">
      <text>
        <r>
          <rPr>
            <b/>
            <sz val="9"/>
            <color indexed="81"/>
            <rFont val="Tahoma"/>
            <family val="2"/>
          </rPr>
          <t>Author:</t>
        </r>
        <r>
          <rPr>
            <sz val="9"/>
            <color indexed="81"/>
            <rFont val="Tahoma"/>
            <family val="2"/>
          </rPr>
          <t xml:space="preserve">
Based on MMZCS2023 for a small scale methanol plant</t>
        </r>
      </text>
    </comment>
    <comment ref="S32" authorId="0" shapeId="0" xr:uid="{00000000-0006-0000-0000-0000BF010000}">
      <text>
        <r>
          <rPr>
            <b/>
            <sz val="9"/>
            <color indexed="81"/>
            <rFont val="Tahoma"/>
            <family val="2"/>
          </rPr>
          <t>Author:</t>
        </r>
        <r>
          <rPr>
            <sz val="9"/>
            <color indexed="81"/>
            <rFont val="Tahoma"/>
            <family val="2"/>
          </rPr>
          <t xml:space="preserve">
Based on MMZCS2023</t>
        </r>
      </text>
    </comment>
    <comment ref="T32" authorId="0" shapeId="0" xr:uid="{00000000-0006-0000-0000-0000C0010000}">
      <text>
        <r>
          <rPr>
            <b/>
            <sz val="9"/>
            <color indexed="81"/>
            <rFont val="Tahoma"/>
            <family val="2"/>
          </rPr>
          <t>Author:</t>
        </r>
        <r>
          <rPr>
            <sz val="9"/>
            <color indexed="81"/>
            <rFont val="Tahoma"/>
            <family val="2"/>
          </rPr>
          <t xml:space="preserve">
Based on MMZCS2023</t>
        </r>
      </text>
    </comment>
    <comment ref="U32" authorId="0" shapeId="0" xr:uid="{00000000-0006-0000-0000-0000C1010000}">
      <text>
        <r>
          <rPr>
            <b/>
            <sz val="9"/>
            <color indexed="81"/>
            <rFont val="Tahoma"/>
            <family val="2"/>
          </rPr>
          <t>Author:</t>
        </r>
        <r>
          <rPr>
            <sz val="9"/>
            <color indexed="81"/>
            <rFont val="Tahoma"/>
            <family val="2"/>
          </rPr>
          <t xml:space="preserve">
Based on MMZCS2023</t>
        </r>
      </text>
    </comment>
    <comment ref="AD32" authorId="0" shapeId="0" xr:uid="{00000000-0006-0000-0000-0000C2010000}">
      <text>
        <r>
          <rPr>
            <b/>
            <sz val="9"/>
            <color indexed="81"/>
            <rFont val="Tahoma"/>
            <family val="2"/>
          </rPr>
          <t>Author:</t>
        </r>
        <r>
          <rPr>
            <sz val="9"/>
            <color indexed="81"/>
            <rFont val="Tahoma"/>
            <family val="2"/>
          </rPr>
          <t xml:space="preserve">
Based on MMZCS2023</t>
        </r>
      </text>
    </comment>
    <comment ref="AE32" authorId="0" shapeId="0" xr:uid="{00000000-0006-0000-0000-0000C3010000}">
      <text>
        <r>
          <rPr>
            <b/>
            <sz val="9"/>
            <color indexed="81"/>
            <rFont val="Tahoma"/>
            <family val="2"/>
          </rPr>
          <t>Author:</t>
        </r>
        <r>
          <rPr>
            <sz val="9"/>
            <color indexed="81"/>
            <rFont val="Tahoma"/>
            <family val="2"/>
          </rPr>
          <t xml:space="preserve">
Based on MMZCS2023</t>
        </r>
      </text>
    </comment>
    <comment ref="AF32" authorId="0" shapeId="0" xr:uid="{00000000-0006-0000-0000-0000C4010000}">
      <text>
        <r>
          <rPr>
            <b/>
            <sz val="9"/>
            <color indexed="81"/>
            <rFont val="Tahoma"/>
            <family val="2"/>
          </rPr>
          <t>Author:</t>
        </r>
        <r>
          <rPr>
            <sz val="9"/>
            <color indexed="81"/>
            <rFont val="Tahoma"/>
            <family val="2"/>
          </rPr>
          <t xml:space="preserve">
Based on MMZCS2023</t>
        </r>
      </text>
    </comment>
    <comment ref="AG32" authorId="0" shapeId="0" xr:uid="{00000000-0006-0000-0000-0000C5010000}">
      <text>
        <r>
          <rPr>
            <b/>
            <sz val="9"/>
            <color indexed="81"/>
            <rFont val="Tahoma"/>
            <family val="2"/>
          </rPr>
          <t>Author:</t>
        </r>
        <r>
          <rPr>
            <sz val="9"/>
            <color indexed="81"/>
            <rFont val="Tahoma"/>
            <family val="2"/>
          </rPr>
          <t xml:space="preserve">
Based on MMZCS2023</t>
        </r>
      </text>
    </comment>
    <comment ref="AH32" authorId="0" shapeId="0" xr:uid="{00000000-0006-0000-0000-0000C6010000}">
      <text>
        <r>
          <rPr>
            <b/>
            <sz val="9"/>
            <color indexed="81"/>
            <rFont val="Tahoma"/>
            <family val="2"/>
          </rPr>
          <t>Author:</t>
        </r>
        <r>
          <rPr>
            <sz val="9"/>
            <color indexed="81"/>
            <rFont val="Tahoma"/>
            <family val="2"/>
          </rPr>
          <t xml:space="preserve">
Based on Armijo2020</t>
        </r>
      </text>
    </comment>
    <comment ref="AI32" authorId="0" shapeId="0" xr:uid="{00000000-0006-0000-0000-0000C7010000}">
      <text>
        <r>
          <rPr>
            <b/>
            <sz val="9"/>
            <color indexed="81"/>
            <rFont val="Tahoma"/>
            <family val="2"/>
          </rPr>
          <t>Author:</t>
        </r>
        <r>
          <rPr>
            <sz val="9"/>
            <color indexed="81"/>
            <rFont val="Tahoma"/>
            <family val="2"/>
          </rPr>
          <t xml:space="preserve">
Based on MMZCS2023</t>
        </r>
      </text>
    </comment>
    <comment ref="AJ32" authorId="0" shapeId="0" xr:uid="{00000000-0006-0000-0000-0000C8010000}">
      <text>
        <r>
          <rPr>
            <b/>
            <sz val="9"/>
            <color indexed="81"/>
            <rFont val="Tahoma"/>
            <family val="2"/>
          </rPr>
          <t>Author:</t>
        </r>
        <r>
          <rPr>
            <sz val="9"/>
            <color indexed="81"/>
            <rFont val="Tahoma"/>
            <family val="2"/>
          </rPr>
          <t xml:space="preserve">
Taking the best case of 2030 based on MMZCS2023</t>
        </r>
      </text>
    </comment>
    <comment ref="AK32" authorId="0" shapeId="0" xr:uid="{00000000-0006-0000-0000-0000C9010000}">
      <text>
        <r>
          <rPr>
            <b/>
            <sz val="9"/>
            <color indexed="81"/>
            <rFont val="Tahoma"/>
            <family val="2"/>
          </rPr>
          <t>Author:</t>
        </r>
        <r>
          <rPr>
            <sz val="9"/>
            <color indexed="81"/>
            <rFont val="Tahoma"/>
            <family val="2"/>
          </rPr>
          <t xml:space="preserve">
Taking the best case of 2030 based on MMZCS2023</t>
        </r>
      </text>
    </comment>
    <comment ref="AL32" authorId="0" shapeId="0" xr:uid="{00000000-0006-0000-0000-0000CA010000}">
      <text>
        <r>
          <rPr>
            <b/>
            <sz val="9"/>
            <color indexed="81"/>
            <rFont val="Tahoma"/>
            <family val="2"/>
          </rPr>
          <t>Author:</t>
        </r>
        <r>
          <rPr>
            <sz val="9"/>
            <color indexed="81"/>
            <rFont val="Tahoma"/>
            <family val="2"/>
          </rPr>
          <t xml:space="preserve">
Based on Armijo2020</t>
        </r>
      </text>
    </comment>
    <comment ref="AM32" authorId="0" shapeId="0" xr:uid="{00000000-0006-0000-0000-0000CB010000}">
      <text>
        <r>
          <rPr>
            <b/>
            <sz val="9"/>
            <color indexed="81"/>
            <rFont val="Tahoma"/>
            <family val="2"/>
          </rPr>
          <t>Author:</t>
        </r>
        <r>
          <rPr>
            <sz val="9"/>
            <color indexed="81"/>
            <rFont val="Tahoma"/>
            <family val="2"/>
          </rPr>
          <t xml:space="preserve">
Based on MMZCS2023</t>
        </r>
      </text>
    </comment>
    <comment ref="AN32" authorId="0" shapeId="0" xr:uid="{00000000-0006-0000-0000-0000CC010000}">
      <text>
        <r>
          <rPr>
            <b/>
            <sz val="9"/>
            <color indexed="81"/>
            <rFont val="Tahoma"/>
            <family val="2"/>
          </rPr>
          <t>Author:</t>
        </r>
        <r>
          <rPr>
            <sz val="9"/>
            <color indexed="81"/>
            <rFont val="Tahoma"/>
            <family val="2"/>
          </rPr>
          <t xml:space="preserve">
Taking the best case of 2030 based on MMZCS2023</t>
        </r>
      </text>
    </comment>
    <comment ref="AO32" authorId="0" shapeId="0" xr:uid="{00000000-0006-0000-0000-0000CD010000}">
      <text>
        <r>
          <rPr>
            <b/>
            <sz val="9"/>
            <color indexed="81"/>
            <rFont val="Tahoma"/>
            <family val="2"/>
          </rPr>
          <t>Author:</t>
        </r>
        <r>
          <rPr>
            <sz val="9"/>
            <color indexed="81"/>
            <rFont val="Tahoma"/>
            <family val="2"/>
          </rPr>
          <t xml:space="preserve">
Taking the best case of 2030 based on MMZCS2023</t>
        </r>
      </text>
    </comment>
    <comment ref="AP32" authorId="0" shapeId="0" xr:uid="{00000000-0006-0000-0000-0000CE010000}">
      <text>
        <r>
          <rPr>
            <b/>
            <sz val="9"/>
            <color indexed="81"/>
            <rFont val="Tahoma"/>
            <family val="2"/>
          </rPr>
          <t>Author:</t>
        </r>
        <r>
          <rPr>
            <sz val="9"/>
            <color indexed="81"/>
            <rFont val="Tahoma"/>
            <family val="2"/>
          </rPr>
          <t xml:space="preserve">
Based on MMZCS2023</t>
        </r>
      </text>
    </comment>
    <comment ref="AQ32" authorId="0" shapeId="0" xr:uid="{00000000-0006-0000-0000-0000CF010000}">
      <text>
        <r>
          <rPr>
            <b/>
            <sz val="9"/>
            <color indexed="81"/>
            <rFont val="Tahoma"/>
            <family val="2"/>
          </rPr>
          <t>Author:</t>
        </r>
        <r>
          <rPr>
            <sz val="9"/>
            <color indexed="81"/>
            <rFont val="Tahoma"/>
            <family val="2"/>
          </rPr>
          <t xml:space="preserve">
Based on MMZCS2023</t>
        </r>
      </text>
    </comment>
    <comment ref="AR32" authorId="0" shapeId="0" xr:uid="{00000000-0006-0000-0000-0000D0010000}">
      <text>
        <r>
          <rPr>
            <b/>
            <sz val="9"/>
            <color indexed="81"/>
            <rFont val="Tahoma"/>
            <family val="2"/>
          </rPr>
          <t>Author:</t>
        </r>
        <r>
          <rPr>
            <sz val="9"/>
            <color indexed="81"/>
            <rFont val="Tahoma"/>
            <family val="2"/>
          </rPr>
          <t xml:space="preserve">
Based on MMZCS2023</t>
        </r>
      </text>
    </comment>
    <comment ref="AS32" authorId="0" shapeId="0" xr:uid="{00000000-0006-0000-0000-0000D1010000}">
      <text>
        <r>
          <rPr>
            <b/>
            <sz val="9"/>
            <color indexed="81"/>
            <rFont val="Tahoma"/>
            <family val="2"/>
          </rPr>
          <t>Author:</t>
        </r>
        <r>
          <rPr>
            <sz val="9"/>
            <color indexed="81"/>
            <rFont val="Tahoma"/>
            <family val="2"/>
          </rPr>
          <t xml:space="preserve">
Based on MMZCS2023</t>
        </r>
      </text>
    </comment>
    <comment ref="AT32" authorId="0" shapeId="0" xr:uid="{00000000-0006-0000-0000-0000D2010000}">
      <text>
        <r>
          <rPr>
            <b/>
            <sz val="9"/>
            <color indexed="81"/>
            <rFont val="Tahoma"/>
            <family val="2"/>
          </rPr>
          <t>Author:</t>
        </r>
        <r>
          <rPr>
            <sz val="9"/>
            <color indexed="81"/>
            <rFont val="Tahoma"/>
            <family val="2"/>
          </rPr>
          <t xml:space="preserve">
Based on MMZCS2023 using a power law</t>
        </r>
      </text>
    </comment>
    <comment ref="AU32" authorId="0" shapeId="0" xr:uid="{00000000-0006-0000-0000-0000D3010000}">
      <text>
        <r>
          <rPr>
            <b/>
            <sz val="9"/>
            <color indexed="81"/>
            <rFont val="Tahoma"/>
            <family val="2"/>
          </rPr>
          <t>Author:</t>
        </r>
        <r>
          <rPr>
            <sz val="9"/>
            <color indexed="81"/>
            <rFont val="Tahoma"/>
            <family val="2"/>
          </rPr>
          <t xml:space="preserve">
Based on MMZCS2023 using a power law</t>
        </r>
      </text>
    </comment>
    <comment ref="AV32" authorId="0" shapeId="0" xr:uid="{00000000-0006-0000-0000-0000D4010000}">
      <text>
        <r>
          <rPr>
            <b/>
            <sz val="9"/>
            <color indexed="81"/>
            <rFont val="Tahoma"/>
            <family val="2"/>
          </rPr>
          <t>Author:</t>
        </r>
        <r>
          <rPr>
            <sz val="9"/>
            <color indexed="81"/>
            <rFont val="Tahoma"/>
            <family val="2"/>
          </rPr>
          <t xml:space="preserve">
Based on MMZCS2023 using a power law</t>
        </r>
      </text>
    </comment>
    <comment ref="AW32" authorId="0" shapeId="0" xr:uid="{00000000-0006-0000-0000-0000D5010000}">
      <text>
        <r>
          <rPr>
            <b/>
            <sz val="9"/>
            <color indexed="81"/>
            <rFont val="Tahoma"/>
            <family val="2"/>
          </rPr>
          <t>Author:</t>
        </r>
        <r>
          <rPr>
            <sz val="9"/>
            <color indexed="81"/>
            <rFont val="Tahoma"/>
            <family val="2"/>
          </rPr>
          <t xml:space="preserve">
Based on MMZCS2023 using a power law</t>
        </r>
      </text>
    </comment>
    <comment ref="AX32" authorId="0" shapeId="0" xr:uid="{00000000-0006-0000-0000-0000D6010000}">
      <text>
        <r>
          <rPr>
            <b/>
            <sz val="9"/>
            <color indexed="81"/>
            <rFont val="Tahoma"/>
            <family val="2"/>
          </rPr>
          <t>Author:</t>
        </r>
        <r>
          <rPr>
            <sz val="9"/>
            <color indexed="81"/>
            <rFont val="Tahoma"/>
            <family val="2"/>
          </rPr>
          <t xml:space="preserve">
4% Capex based on MMZCS2023</t>
        </r>
      </text>
    </comment>
    <comment ref="AY32" authorId="0" shapeId="0" xr:uid="{00000000-0006-0000-0000-0000D7010000}">
      <text>
        <r>
          <rPr>
            <b/>
            <sz val="9"/>
            <color indexed="81"/>
            <rFont val="Tahoma"/>
            <family val="2"/>
          </rPr>
          <t>Author:</t>
        </r>
        <r>
          <rPr>
            <sz val="9"/>
            <color indexed="81"/>
            <rFont val="Tahoma"/>
            <family val="2"/>
          </rPr>
          <t xml:space="preserve">
4% Capex based on MMZCS2023</t>
        </r>
      </text>
    </comment>
    <comment ref="AZ32" authorId="0" shapeId="0" xr:uid="{00000000-0006-0000-0000-0000D8010000}">
      <text>
        <r>
          <rPr>
            <b/>
            <sz val="9"/>
            <color indexed="81"/>
            <rFont val="Tahoma"/>
            <family val="2"/>
          </rPr>
          <t>Author:</t>
        </r>
        <r>
          <rPr>
            <sz val="9"/>
            <color indexed="81"/>
            <rFont val="Tahoma"/>
            <family val="2"/>
          </rPr>
          <t xml:space="preserve">
4% Capex based on MMZCS2023</t>
        </r>
      </text>
    </comment>
    <comment ref="BA32" authorId="0" shapeId="0" xr:uid="{00000000-0006-0000-0000-0000D9010000}">
      <text>
        <r>
          <rPr>
            <b/>
            <sz val="9"/>
            <color indexed="81"/>
            <rFont val="Tahoma"/>
            <family val="2"/>
          </rPr>
          <t>Author:</t>
        </r>
        <r>
          <rPr>
            <sz val="9"/>
            <color indexed="81"/>
            <rFont val="Tahoma"/>
            <family val="2"/>
          </rPr>
          <t xml:space="preserve">
4% Capex based on MMZCS2023</t>
        </r>
      </text>
    </comment>
    <comment ref="BR32" authorId="0" shapeId="0" xr:uid="{00000000-0006-0000-0000-0000DA010000}">
      <text>
        <r>
          <rPr>
            <b/>
            <sz val="9"/>
            <color indexed="81"/>
            <rFont val="Tahoma"/>
            <family val="2"/>
          </rPr>
          <t>Author:</t>
        </r>
        <r>
          <rPr>
            <sz val="9"/>
            <color indexed="81"/>
            <rFont val="Tahoma"/>
            <family val="2"/>
          </rPr>
          <t xml:space="preserve">
From MMZCS2023</t>
        </r>
      </text>
    </comment>
    <comment ref="BS32" authorId="0" shapeId="0" xr:uid="{00000000-0006-0000-0000-0000DB010000}">
      <text>
        <r>
          <rPr>
            <b/>
            <sz val="9"/>
            <color indexed="81"/>
            <rFont val="Tahoma"/>
            <family val="2"/>
          </rPr>
          <t>Author:</t>
        </r>
        <r>
          <rPr>
            <sz val="9"/>
            <color indexed="81"/>
            <rFont val="Tahoma"/>
            <family val="2"/>
          </rPr>
          <t xml:space="preserve">
From MMZCS2023</t>
        </r>
      </text>
    </comment>
    <comment ref="BT32" authorId="0" shapeId="0" xr:uid="{00000000-0006-0000-0000-0000DC010000}">
      <text>
        <r>
          <rPr>
            <b/>
            <sz val="9"/>
            <color indexed="81"/>
            <rFont val="Tahoma"/>
            <family val="2"/>
          </rPr>
          <t>Author:</t>
        </r>
        <r>
          <rPr>
            <sz val="9"/>
            <color indexed="81"/>
            <rFont val="Tahoma"/>
            <family val="2"/>
          </rPr>
          <t xml:space="preserve">
From MMZCS2023</t>
        </r>
      </text>
    </comment>
    <comment ref="BU32" authorId="0" shapeId="0" xr:uid="{00000000-0006-0000-0000-0000DD010000}">
      <text>
        <r>
          <rPr>
            <b/>
            <sz val="9"/>
            <color indexed="81"/>
            <rFont val="Tahoma"/>
            <family val="2"/>
          </rPr>
          <t>Author:</t>
        </r>
        <r>
          <rPr>
            <sz val="9"/>
            <color indexed="81"/>
            <rFont val="Tahoma"/>
            <family val="2"/>
          </rPr>
          <t xml:space="preserve">
From MMZCS2023</t>
        </r>
      </text>
    </comment>
    <comment ref="AD33" authorId="0" shapeId="0" xr:uid="{00000000-0006-0000-0000-0000DE010000}">
      <text>
        <r>
          <rPr>
            <b/>
            <sz val="9"/>
            <color indexed="81"/>
            <rFont val="Tahoma"/>
            <family val="2"/>
          </rPr>
          <t>Author:</t>
        </r>
        <r>
          <rPr>
            <sz val="9"/>
            <color indexed="81"/>
            <rFont val="Tahoma"/>
            <family val="2"/>
          </rPr>
          <t xml:space="preserve">
Based on Induspart2023</t>
        </r>
      </text>
    </comment>
    <comment ref="AE33" authorId="0" shapeId="0" xr:uid="{00000000-0006-0000-0000-0000DF010000}">
      <text>
        <r>
          <rPr>
            <b/>
            <sz val="9"/>
            <color indexed="81"/>
            <rFont val="Tahoma"/>
            <family val="2"/>
          </rPr>
          <t>Author:</t>
        </r>
        <r>
          <rPr>
            <sz val="9"/>
            <color indexed="81"/>
            <rFont val="Tahoma"/>
            <family val="2"/>
          </rPr>
          <t xml:space="preserve">
Based on Induspart2023</t>
        </r>
      </text>
    </comment>
    <comment ref="AF33" authorId="0" shapeId="0" xr:uid="{00000000-0006-0000-0000-0000E0010000}">
      <text>
        <r>
          <rPr>
            <b/>
            <sz val="9"/>
            <color indexed="81"/>
            <rFont val="Tahoma"/>
            <family val="2"/>
          </rPr>
          <t>Author:</t>
        </r>
        <r>
          <rPr>
            <sz val="9"/>
            <color indexed="81"/>
            <rFont val="Tahoma"/>
            <family val="2"/>
          </rPr>
          <t xml:space="preserve">
Based on Induspart2023</t>
        </r>
      </text>
    </comment>
    <comment ref="AG33" authorId="0" shapeId="0" xr:uid="{00000000-0006-0000-0000-0000E1010000}">
      <text>
        <r>
          <rPr>
            <b/>
            <sz val="9"/>
            <color indexed="81"/>
            <rFont val="Tahoma"/>
            <family val="2"/>
          </rPr>
          <t>Author:</t>
        </r>
        <r>
          <rPr>
            <sz val="9"/>
            <color indexed="81"/>
            <rFont val="Tahoma"/>
            <family val="2"/>
          </rPr>
          <t xml:space="preserve">
Based on Induspart2023</t>
        </r>
      </text>
    </comment>
    <comment ref="AH33" authorId="0" shapeId="0" xr:uid="{00000000-0006-0000-0000-0000E2010000}">
      <text>
        <r>
          <rPr>
            <b/>
            <sz val="9"/>
            <color indexed="81"/>
            <rFont val="Tahoma"/>
            <family val="2"/>
          </rPr>
          <t>Author:</t>
        </r>
        <r>
          <rPr>
            <sz val="9"/>
            <color indexed="81"/>
            <rFont val="Tahoma"/>
            <family val="2"/>
          </rPr>
          <t xml:space="preserve">
Based on Induspart2023</t>
        </r>
      </text>
    </comment>
    <comment ref="AI33" authorId="0" shapeId="0" xr:uid="{00000000-0006-0000-0000-0000E3010000}">
      <text>
        <r>
          <rPr>
            <b/>
            <sz val="9"/>
            <color indexed="81"/>
            <rFont val="Tahoma"/>
            <family val="2"/>
          </rPr>
          <t>Author:</t>
        </r>
        <r>
          <rPr>
            <sz val="9"/>
            <color indexed="81"/>
            <rFont val="Tahoma"/>
            <family val="2"/>
          </rPr>
          <t xml:space="preserve">
Based on Induspart2023</t>
        </r>
      </text>
    </comment>
    <comment ref="AJ33" authorId="0" shapeId="0" xr:uid="{00000000-0006-0000-0000-0000E4010000}">
      <text>
        <r>
          <rPr>
            <b/>
            <sz val="9"/>
            <color indexed="81"/>
            <rFont val="Tahoma"/>
            <family val="2"/>
          </rPr>
          <t>Author:</t>
        </r>
        <r>
          <rPr>
            <sz val="9"/>
            <color indexed="81"/>
            <rFont val="Tahoma"/>
            <family val="2"/>
          </rPr>
          <t xml:space="preserve">
Based on Induspart2023</t>
        </r>
      </text>
    </comment>
    <comment ref="AK33" authorId="0" shapeId="0" xr:uid="{00000000-0006-0000-0000-0000E5010000}">
      <text>
        <r>
          <rPr>
            <b/>
            <sz val="9"/>
            <color indexed="81"/>
            <rFont val="Tahoma"/>
            <family val="2"/>
          </rPr>
          <t>Author:</t>
        </r>
        <r>
          <rPr>
            <sz val="9"/>
            <color indexed="81"/>
            <rFont val="Tahoma"/>
            <family val="2"/>
          </rPr>
          <t xml:space="preserve">
Based on Induspart2023</t>
        </r>
      </text>
    </comment>
    <comment ref="AL33" authorId="0" shapeId="0" xr:uid="{00000000-0006-0000-0000-0000E6010000}">
      <text>
        <r>
          <rPr>
            <b/>
            <sz val="9"/>
            <color indexed="81"/>
            <rFont val="Tahoma"/>
            <family val="2"/>
          </rPr>
          <t>Author:</t>
        </r>
        <r>
          <rPr>
            <sz val="9"/>
            <color indexed="81"/>
            <rFont val="Tahoma"/>
            <family val="2"/>
          </rPr>
          <t xml:space="preserve">
Based on Induspart2023</t>
        </r>
      </text>
    </comment>
    <comment ref="AM33" authorId="0" shapeId="0" xr:uid="{00000000-0006-0000-0000-0000E7010000}">
      <text>
        <r>
          <rPr>
            <b/>
            <sz val="9"/>
            <color indexed="81"/>
            <rFont val="Tahoma"/>
            <family val="2"/>
          </rPr>
          <t>Author:</t>
        </r>
        <r>
          <rPr>
            <sz val="9"/>
            <color indexed="81"/>
            <rFont val="Tahoma"/>
            <family val="2"/>
          </rPr>
          <t xml:space="preserve">
Based on Induspart2023</t>
        </r>
      </text>
    </comment>
    <comment ref="AN33" authorId="0" shapeId="0" xr:uid="{00000000-0006-0000-0000-0000E8010000}">
      <text>
        <r>
          <rPr>
            <b/>
            <sz val="9"/>
            <color indexed="81"/>
            <rFont val="Tahoma"/>
            <family val="2"/>
          </rPr>
          <t>Author:</t>
        </r>
        <r>
          <rPr>
            <sz val="9"/>
            <color indexed="81"/>
            <rFont val="Tahoma"/>
            <family val="2"/>
          </rPr>
          <t xml:space="preserve">
Based on Induspart2023</t>
        </r>
      </text>
    </comment>
    <comment ref="AO33" authorId="0" shapeId="0" xr:uid="{00000000-0006-0000-0000-0000E9010000}">
      <text>
        <r>
          <rPr>
            <b/>
            <sz val="9"/>
            <color indexed="81"/>
            <rFont val="Tahoma"/>
            <family val="2"/>
          </rPr>
          <t>Author:</t>
        </r>
        <r>
          <rPr>
            <sz val="9"/>
            <color indexed="81"/>
            <rFont val="Tahoma"/>
            <family val="2"/>
          </rPr>
          <t xml:space="preserve">
Based on Induspart2023</t>
        </r>
      </text>
    </comment>
    <comment ref="R35" authorId="0" shapeId="0" xr:uid="{00000000-0006-0000-0000-0000EA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5" authorId="0" shapeId="0" xr:uid="{00000000-0006-0000-0000-0000EB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5" authorId="0" shapeId="0" xr:uid="{00000000-0006-0000-0000-0000EC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5" authorId="0" shapeId="0" xr:uid="{00000000-0006-0000-0000-0000ED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AP35" authorId="0" shapeId="0" xr:uid="{00000000-0006-0000-0000-0000EE010000}">
      <text>
        <r>
          <rPr>
            <b/>
            <sz val="9"/>
            <color indexed="81"/>
            <rFont val="Tahoma"/>
            <family val="2"/>
          </rPr>
          <t>Author:</t>
        </r>
        <r>
          <rPr>
            <sz val="9"/>
            <color indexed="81"/>
            <rFont val="Tahoma"/>
            <family val="2"/>
          </rPr>
          <t xml:space="preserve">
From Campion2023</t>
        </r>
      </text>
    </comment>
    <comment ref="AQ35" authorId="0" shapeId="0" xr:uid="{00000000-0006-0000-0000-0000EF010000}">
      <text>
        <r>
          <rPr>
            <b/>
            <sz val="9"/>
            <color indexed="81"/>
            <rFont val="Tahoma"/>
            <family val="2"/>
          </rPr>
          <t>Author:</t>
        </r>
        <r>
          <rPr>
            <sz val="9"/>
            <color indexed="81"/>
            <rFont val="Tahoma"/>
            <family val="2"/>
          </rPr>
          <t xml:space="preserve">
Based on MMZCS2023</t>
        </r>
      </text>
    </comment>
    <comment ref="AR35" authorId="0" shapeId="0" xr:uid="{00000000-0006-0000-0000-0000F0010000}">
      <text>
        <r>
          <rPr>
            <b/>
            <sz val="9"/>
            <color indexed="81"/>
            <rFont val="Tahoma"/>
            <family val="2"/>
          </rPr>
          <t>Author:</t>
        </r>
        <r>
          <rPr>
            <sz val="9"/>
            <color indexed="81"/>
            <rFont val="Tahoma"/>
            <family val="2"/>
          </rPr>
          <t xml:space="preserve">
Based on MMZCS2023</t>
        </r>
      </text>
    </comment>
    <comment ref="AS35" authorId="0" shapeId="0" xr:uid="{00000000-0006-0000-0000-0000F1010000}">
      <text>
        <r>
          <rPr>
            <b/>
            <sz val="9"/>
            <color indexed="81"/>
            <rFont val="Tahoma"/>
            <family val="2"/>
          </rPr>
          <t>Author:</t>
        </r>
        <r>
          <rPr>
            <sz val="9"/>
            <color indexed="81"/>
            <rFont val="Tahoma"/>
            <family val="2"/>
          </rPr>
          <t xml:space="preserve">
Based on MMZCS2023</t>
        </r>
      </text>
    </comment>
    <comment ref="AT35" authorId="0" shapeId="0" xr:uid="{00000000-0006-0000-0000-0000F2010000}">
      <text>
        <r>
          <rPr>
            <b/>
            <sz val="9"/>
            <color indexed="81"/>
            <rFont val="Tahoma"/>
            <family val="2"/>
          </rPr>
          <t>Author:</t>
        </r>
        <r>
          <rPr>
            <sz val="9"/>
            <color indexed="81"/>
            <rFont val="Tahoma"/>
            <family val="2"/>
          </rPr>
          <t xml:space="preserve">
From MMZCS2023</t>
        </r>
      </text>
    </comment>
    <comment ref="AU35" authorId="0" shapeId="0" xr:uid="{00000000-0006-0000-0000-0000F3010000}">
      <text>
        <r>
          <rPr>
            <b/>
            <sz val="9"/>
            <color indexed="81"/>
            <rFont val="Tahoma"/>
            <family val="2"/>
          </rPr>
          <t>Author:</t>
        </r>
        <r>
          <rPr>
            <sz val="9"/>
            <color indexed="81"/>
            <rFont val="Tahoma"/>
            <family val="2"/>
          </rPr>
          <t xml:space="preserve">
From MMZCS2023</t>
        </r>
      </text>
    </comment>
    <comment ref="AW35" authorId="0" shapeId="0" xr:uid="{00000000-0006-0000-0000-0000F4010000}">
      <text>
        <r>
          <rPr>
            <b/>
            <sz val="9"/>
            <color indexed="81"/>
            <rFont val="Tahoma"/>
            <family val="2"/>
          </rPr>
          <t>Author:</t>
        </r>
        <r>
          <rPr>
            <sz val="9"/>
            <color indexed="81"/>
            <rFont val="Tahoma"/>
            <family val="2"/>
          </rPr>
          <t xml:space="preserve">
From MMZCS2023</t>
        </r>
      </text>
    </comment>
    <comment ref="AX35" authorId="0" shapeId="0" xr:uid="{00000000-0006-0000-0000-0000F5010000}">
      <text>
        <r>
          <rPr>
            <b/>
            <sz val="9"/>
            <color indexed="81"/>
            <rFont val="Tahoma"/>
            <family val="2"/>
          </rPr>
          <t>Author:</t>
        </r>
        <r>
          <rPr>
            <sz val="9"/>
            <color indexed="81"/>
            <rFont val="Tahoma"/>
            <family val="2"/>
          </rPr>
          <t xml:space="preserve">
Using 10% Capex based on MMZCS2023</t>
        </r>
      </text>
    </comment>
    <comment ref="AY35" authorId="0" shapeId="0" xr:uid="{00000000-0006-0000-0000-0000F6010000}">
      <text>
        <r>
          <rPr>
            <b/>
            <sz val="9"/>
            <color indexed="81"/>
            <rFont val="Tahoma"/>
            <family val="2"/>
          </rPr>
          <t>Author:</t>
        </r>
        <r>
          <rPr>
            <sz val="9"/>
            <color indexed="81"/>
            <rFont val="Tahoma"/>
            <family val="2"/>
          </rPr>
          <t xml:space="preserve">
Using 10% Capex based on MMZCS2023</t>
        </r>
      </text>
    </comment>
    <comment ref="AZ35" authorId="0" shapeId="0" xr:uid="{00000000-0006-0000-0000-0000F7010000}">
      <text>
        <r>
          <rPr>
            <b/>
            <sz val="9"/>
            <color indexed="81"/>
            <rFont val="Tahoma"/>
            <family val="2"/>
          </rPr>
          <t>Author:</t>
        </r>
        <r>
          <rPr>
            <sz val="9"/>
            <color indexed="81"/>
            <rFont val="Tahoma"/>
            <family val="2"/>
          </rPr>
          <t xml:space="preserve">
Using 10% Capex based on MMZCS2023</t>
        </r>
      </text>
    </comment>
    <comment ref="BA35" authorId="0" shapeId="0" xr:uid="{00000000-0006-0000-0000-0000F8010000}">
      <text>
        <r>
          <rPr>
            <b/>
            <sz val="9"/>
            <color indexed="81"/>
            <rFont val="Tahoma"/>
            <family val="2"/>
          </rPr>
          <t>Author:</t>
        </r>
        <r>
          <rPr>
            <sz val="9"/>
            <color indexed="81"/>
            <rFont val="Tahoma"/>
            <family val="2"/>
          </rPr>
          <t xml:space="preserve">
Using 10% Capex based on MMZCS2023</t>
        </r>
      </text>
    </comment>
    <comment ref="BR35" authorId="0" shapeId="0" xr:uid="{00000000-0006-0000-0000-0000F9010000}">
      <text>
        <r>
          <rPr>
            <b/>
            <sz val="9"/>
            <color indexed="81"/>
            <rFont val="Tahoma"/>
            <family val="2"/>
          </rPr>
          <t>Author:</t>
        </r>
        <r>
          <rPr>
            <sz val="9"/>
            <color indexed="81"/>
            <rFont val="Tahoma"/>
            <family val="2"/>
          </rPr>
          <t xml:space="preserve">
From MMZCS2023</t>
        </r>
      </text>
    </comment>
    <comment ref="BS35" authorId="0" shapeId="0" xr:uid="{00000000-0006-0000-0000-0000FA010000}">
      <text>
        <r>
          <rPr>
            <b/>
            <sz val="9"/>
            <color indexed="81"/>
            <rFont val="Tahoma"/>
            <family val="2"/>
          </rPr>
          <t>Author:</t>
        </r>
        <r>
          <rPr>
            <sz val="9"/>
            <color indexed="81"/>
            <rFont val="Tahoma"/>
            <family val="2"/>
          </rPr>
          <t xml:space="preserve">
From MMZCS2023</t>
        </r>
      </text>
    </comment>
    <comment ref="BT35" authorId="0" shapeId="0" xr:uid="{00000000-0006-0000-0000-0000FB010000}">
      <text>
        <r>
          <rPr>
            <b/>
            <sz val="9"/>
            <color indexed="81"/>
            <rFont val="Tahoma"/>
            <family val="2"/>
          </rPr>
          <t>Author:</t>
        </r>
        <r>
          <rPr>
            <sz val="9"/>
            <color indexed="81"/>
            <rFont val="Tahoma"/>
            <family val="2"/>
          </rPr>
          <t xml:space="preserve">
From MMZCS2023</t>
        </r>
      </text>
    </comment>
    <comment ref="BU35" authorId="0" shapeId="0" xr:uid="{00000000-0006-0000-0000-0000FC010000}">
      <text>
        <r>
          <rPr>
            <b/>
            <sz val="9"/>
            <color indexed="81"/>
            <rFont val="Tahoma"/>
            <family val="2"/>
          </rPr>
          <t>Author:</t>
        </r>
        <r>
          <rPr>
            <sz val="9"/>
            <color indexed="81"/>
            <rFont val="Tahoma"/>
            <family val="2"/>
          </rPr>
          <t xml:space="preserve">
From MMZCS2023</t>
        </r>
      </text>
    </comment>
    <comment ref="R36" authorId="0" shapeId="0" xr:uid="{00000000-0006-0000-0000-0000FD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6" authorId="0" shapeId="0" xr:uid="{00000000-0006-0000-0000-0000FE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6" authorId="0" shapeId="0" xr:uid="{00000000-0006-0000-0000-0000FF01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6" authorId="0" shapeId="0" xr:uid="{00000000-0006-0000-0000-000000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AP36" authorId="0" shapeId="0" xr:uid="{00000000-0006-0000-0000-000001020000}">
      <text>
        <r>
          <rPr>
            <b/>
            <sz val="9"/>
            <color indexed="81"/>
            <rFont val="Tahoma"/>
            <family val="2"/>
          </rPr>
          <t>Author:</t>
        </r>
        <r>
          <rPr>
            <sz val="9"/>
            <color indexed="81"/>
            <rFont val="Tahoma"/>
            <family val="2"/>
          </rPr>
          <t xml:space="preserve">
Based on Campion2023</t>
        </r>
      </text>
    </comment>
    <comment ref="AQ36" authorId="0" shapeId="0" xr:uid="{00000000-0006-0000-0000-000002020000}">
      <text>
        <r>
          <rPr>
            <b/>
            <sz val="9"/>
            <color indexed="81"/>
            <rFont val="Tahoma"/>
            <family val="2"/>
          </rPr>
          <t>Author:</t>
        </r>
        <r>
          <rPr>
            <sz val="9"/>
            <color indexed="81"/>
            <rFont val="Tahoma"/>
            <family val="2"/>
          </rPr>
          <t xml:space="preserve">
Based on MMZCS2023</t>
        </r>
      </text>
    </comment>
    <comment ref="AR36" authorId="0" shapeId="0" xr:uid="{00000000-0006-0000-0000-000003020000}">
      <text>
        <r>
          <rPr>
            <b/>
            <sz val="9"/>
            <color indexed="81"/>
            <rFont val="Tahoma"/>
            <family val="2"/>
          </rPr>
          <t>Author:</t>
        </r>
        <r>
          <rPr>
            <sz val="9"/>
            <color indexed="81"/>
            <rFont val="Tahoma"/>
            <family val="2"/>
          </rPr>
          <t xml:space="preserve">
Based on MMZCS2023</t>
        </r>
      </text>
    </comment>
    <comment ref="AS36" authorId="0" shapeId="0" xr:uid="{00000000-0006-0000-0000-000004020000}">
      <text>
        <r>
          <rPr>
            <b/>
            <sz val="9"/>
            <color indexed="81"/>
            <rFont val="Tahoma"/>
            <family val="2"/>
          </rPr>
          <t>Author:</t>
        </r>
        <r>
          <rPr>
            <sz val="9"/>
            <color indexed="81"/>
            <rFont val="Tahoma"/>
            <family val="2"/>
          </rPr>
          <t xml:space="preserve">
Based on MMZCS2023</t>
        </r>
      </text>
    </comment>
    <comment ref="AT36" authorId="0" shapeId="0" xr:uid="{00000000-0006-0000-0000-000005020000}">
      <text>
        <r>
          <rPr>
            <b/>
            <sz val="9"/>
            <color indexed="81"/>
            <rFont val="Tahoma"/>
            <family val="2"/>
          </rPr>
          <t>Author:</t>
        </r>
        <r>
          <rPr>
            <sz val="9"/>
            <color indexed="81"/>
            <rFont val="Tahoma"/>
            <family val="2"/>
          </rPr>
          <t xml:space="preserve">
From MMZCS2023</t>
        </r>
      </text>
    </comment>
    <comment ref="AU36" authorId="0" shapeId="0" xr:uid="{00000000-0006-0000-0000-000006020000}">
      <text>
        <r>
          <rPr>
            <b/>
            <sz val="9"/>
            <color indexed="81"/>
            <rFont val="Tahoma"/>
            <family val="2"/>
          </rPr>
          <t>Author:</t>
        </r>
        <r>
          <rPr>
            <sz val="9"/>
            <color indexed="81"/>
            <rFont val="Tahoma"/>
            <family val="2"/>
          </rPr>
          <t xml:space="preserve">
Based on NREL2020</t>
        </r>
      </text>
    </comment>
    <comment ref="AW36" authorId="0" shapeId="0" xr:uid="{00000000-0006-0000-0000-000007020000}">
      <text>
        <r>
          <rPr>
            <b/>
            <sz val="9"/>
            <color indexed="81"/>
            <rFont val="Tahoma"/>
            <family val="2"/>
          </rPr>
          <t>Author:</t>
        </r>
        <r>
          <rPr>
            <sz val="9"/>
            <color indexed="81"/>
            <rFont val="Tahoma"/>
            <family val="2"/>
          </rPr>
          <t xml:space="preserve">
From MMZCS2023</t>
        </r>
      </text>
    </comment>
    <comment ref="AX36" authorId="0" shapeId="0" xr:uid="{00000000-0006-0000-0000-000008020000}">
      <text>
        <r>
          <rPr>
            <b/>
            <sz val="9"/>
            <color indexed="81"/>
            <rFont val="Tahoma"/>
            <family val="2"/>
          </rPr>
          <t>Author:</t>
        </r>
        <r>
          <rPr>
            <sz val="9"/>
            <color indexed="81"/>
            <rFont val="Tahoma"/>
            <family val="2"/>
          </rPr>
          <t xml:space="preserve">
8.55% Capex based on NREL2020</t>
        </r>
      </text>
    </comment>
    <comment ref="AY36" authorId="0" shapeId="0" xr:uid="{00000000-0006-0000-0000-000009020000}">
      <text>
        <r>
          <rPr>
            <b/>
            <sz val="9"/>
            <color indexed="81"/>
            <rFont val="Tahoma"/>
            <family val="2"/>
          </rPr>
          <t>Author:</t>
        </r>
        <r>
          <rPr>
            <sz val="9"/>
            <color indexed="81"/>
            <rFont val="Tahoma"/>
            <family val="2"/>
          </rPr>
          <t xml:space="preserve">
8.55% Capex based on NREL2020</t>
        </r>
      </text>
    </comment>
    <comment ref="AZ36" authorId="0" shapeId="0" xr:uid="{00000000-0006-0000-0000-00000A020000}">
      <text>
        <r>
          <rPr>
            <b/>
            <sz val="9"/>
            <color indexed="81"/>
            <rFont val="Tahoma"/>
            <family val="2"/>
          </rPr>
          <t>Author:</t>
        </r>
        <r>
          <rPr>
            <sz val="9"/>
            <color indexed="81"/>
            <rFont val="Tahoma"/>
            <family val="2"/>
          </rPr>
          <t xml:space="preserve">
8.55% Capex based on NREL2020</t>
        </r>
      </text>
    </comment>
    <comment ref="BA36" authorId="0" shapeId="0" xr:uid="{00000000-0006-0000-0000-00000B020000}">
      <text>
        <r>
          <rPr>
            <b/>
            <sz val="9"/>
            <color indexed="81"/>
            <rFont val="Tahoma"/>
            <family val="2"/>
          </rPr>
          <t>Author:</t>
        </r>
        <r>
          <rPr>
            <sz val="9"/>
            <color indexed="81"/>
            <rFont val="Tahoma"/>
            <family val="2"/>
          </rPr>
          <t xml:space="preserve">
8.55% Capex based on NREL2020</t>
        </r>
      </text>
    </comment>
    <comment ref="BR36" authorId="0" shapeId="0" xr:uid="{00000000-0006-0000-0000-00000C020000}">
      <text>
        <r>
          <rPr>
            <b/>
            <sz val="9"/>
            <color indexed="81"/>
            <rFont val="Tahoma"/>
            <family val="2"/>
          </rPr>
          <t>Author:</t>
        </r>
        <r>
          <rPr>
            <sz val="9"/>
            <color indexed="81"/>
            <rFont val="Tahoma"/>
            <family val="2"/>
          </rPr>
          <t xml:space="preserve">
From MMZCS2023</t>
        </r>
      </text>
    </comment>
    <comment ref="BS36" authorId="0" shapeId="0" xr:uid="{00000000-0006-0000-0000-00000D020000}">
      <text>
        <r>
          <rPr>
            <b/>
            <sz val="9"/>
            <color indexed="81"/>
            <rFont val="Tahoma"/>
            <family val="2"/>
          </rPr>
          <t>Author:</t>
        </r>
        <r>
          <rPr>
            <sz val="9"/>
            <color indexed="81"/>
            <rFont val="Tahoma"/>
            <family val="2"/>
          </rPr>
          <t xml:space="preserve">
From MMZCS2023</t>
        </r>
      </text>
    </comment>
    <comment ref="BT36" authorId="0" shapeId="0" xr:uid="{00000000-0006-0000-0000-00000E020000}">
      <text>
        <r>
          <rPr>
            <b/>
            <sz val="9"/>
            <color indexed="81"/>
            <rFont val="Tahoma"/>
            <family val="2"/>
          </rPr>
          <t>Author:</t>
        </r>
        <r>
          <rPr>
            <sz val="9"/>
            <color indexed="81"/>
            <rFont val="Tahoma"/>
            <family val="2"/>
          </rPr>
          <t xml:space="preserve">
From MMZCS2023</t>
        </r>
      </text>
    </comment>
    <comment ref="BU36" authorId="0" shapeId="0" xr:uid="{00000000-0006-0000-0000-00000F020000}">
      <text>
        <r>
          <rPr>
            <b/>
            <sz val="9"/>
            <color indexed="81"/>
            <rFont val="Tahoma"/>
            <family val="2"/>
          </rPr>
          <t>Author:</t>
        </r>
        <r>
          <rPr>
            <sz val="9"/>
            <color indexed="81"/>
            <rFont val="Tahoma"/>
            <family val="2"/>
          </rPr>
          <t xml:space="preserve">
From MMZCS2023</t>
        </r>
      </text>
    </comment>
    <comment ref="R37" authorId="0" shapeId="0" xr:uid="{00000000-0006-0000-0000-000010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7" authorId="0" shapeId="0" xr:uid="{00000000-0006-0000-0000-000011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7" authorId="0" shapeId="0" xr:uid="{00000000-0006-0000-0000-000012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7" authorId="0" shapeId="0" xr:uid="{00000000-0006-0000-0000-000013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AP37" authorId="0" shapeId="0" xr:uid="{00000000-0006-0000-0000-000014020000}">
      <text>
        <r>
          <rPr>
            <b/>
            <sz val="9"/>
            <color indexed="81"/>
            <rFont val="Tahoma"/>
            <family val="2"/>
          </rPr>
          <t>Author:</t>
        </r>
        <r>
          <rPr>
            <sz val="9"/>
            <color indexed="81"/>
            <rFont val="Tahoma"/>
            <family val="2"/>
          </rPr>
          <t xml:space="preserve">
Based on MMZCS2023</t>
        </r>
      </text>
    </comment>
    <comment ref="AQ37" authorId="0" shapeId="0" xr:uid="{00000000-0006-0000-0000-000015020000}">
      <text>
        <r>
          <rPr>
            <b/>
            <sz val="9"/>
            <color indexed="81"/>
            <rFont val="Tahoma"/>
            <family val="2"/>
          </rPr>
          <t>Author:</t>
        </r>
        <r>
          <rPr>
            <sz val="9"/>
            <color indexed="81"/>
            <rFont val="Tahoma"/>
            <family val="2"/>
          </rPr>
          <t xml:space="preserve">
Based on MMZCS2023</t>
        </r>
      </text>
    </comment>
    <comment ref="AR37" authorId="0" shapeId="0" xr:uid="{00000000-0006-0000-0000-000016020000}">
      <text>
        <r>
          <rPr>
            <b/>
            <sz val="9"/>
            <color indexed="81"/>
            <rFont val="Tahoma"/>
            <family val="2"/>
          </rPr>
          <t>Author:</t>
        </r>
        <r>
          <rPr>
            <sz val="9"/>
            <color indexed="81"/>
            <rFont val="Tahoma"/>
            <family val="2"/>
          </rPr>
          <t xml:space="preserve">
Based on MMZCS2023</t>
        </r>
      </text>
    </comment>
    <comment ref="AS37" authorId="0" shapeId="0" xr:uid="{00000000-0006-0000-0000-000017020000}">
      <text>
        <r>
          <rPr>
            <b/>
            <sz val="9"/>
            <color indexed="81"/>
            <rFont val="Tahoma"/>
            <family val="2"/>
          </rPr>
          <t>Author:</t>
        </r>
        <r>
          <rPr>
            <sz val="9"/>
            <color indexed="81"/>
            <rFont val="Tahoma"/>
            <family val="2"/>
          </rPr>
          <t xml:space="preserve">
Based on MMZCS2023</t>
        </r>
      </text>
    </comment>
    <comment ref="AT37" authorId="0" shapeId="0" xr:uid="{00000000-0006-0000-0000-000018020000}">
      <text>
        <r>
          <rPr>
            <b/>
            <sz val="9"/>
            <color indexed="81"/>
            <rFont val="Tahoma"/>
            <family val="2"/>
          </rPr>
          <t>Author:</t>
        </r>
        <r>
          <rPr>
            <sz val="9"/>
            <color indexed="81"/>
            <rFont val="Tahoma"/>
            <family val="2"/>
          </rPr>
          <t xml:space="preserve">
From MMZCS2023</t>
        </r>
      </text>
    </comment>
    <comment ref="AU37" authorId="0" shapeId="0" xr:uid="{00000000-0006-0000-0000-000019020000}">
      <text>
        <r>
          <rPr>
            <b/>
            <sz val="9"/>
            <color indexed="81"/>
            <rFont val="Tahoma"/>
            <family val="2"/>
          </rPr>
          <t>Author:</t>
        </r>
        <r>
          <rPr>
            <sz val="9"/>
            <color indexed="81"/>
            <rFont val="Tahoma"/>
            <family val="2"/>
          </rPr>
          <t xml:space="preserve">
Based on NREL2020</t>
        </r>
      </text>
    </comment>
    <comment ref="AW37" authorId="0" shapeId="0" xr:uid="{00000000-0006-0000-0000-00001A020000}">
      <text>
        <r>
          <rPr>
            <b/>
            <sz val="9"/>
            <color indexed="81"/>
            <rFont val="Tahoma"/>
            <family val="2"/>
          </rPr>
          <t>Author:</t>
        </r>
        <r>
          <rPr>
            <sz val="9"/>
            <color indexed="81"/>
            <rFont val="Tahoma"/>
            <family val="2"/>
          </rPr>
          <t xml:space="preserve">
From MMZCS2023</t>
        </r>
      </text>
    </comment>
    <comment ref="AX37" authorId="0" shapeId="0" xr:uid="{00000000-0006-0000-0000-00001B020000}">
      <text>
        <r>
          <rPr>
            <b/>
            <sz val="9"/>
            <color indexed="81"/>
            <rFont val="Tahoma"/>
            <family val="2"/>
          </rPr>
          <t>Author:</t>
        </r>
        <r>
          <rPr>
            <sz val="9"/>
            <color indexed="81"/>
            <rFont val="Tahoma"/>
            <family val="2"/>
          </rPr>
          <t xml:space="preserve">
8.55% Capex based on NREL2020</t>
        </r>
      </text>
    </comment>
    <comment ref="AY37" authorId="0" shapeId="0" xr:uid="{00000000-0006-0000-0000-00001C020000}">
      <text>
        <r>
          <rPr>
            <b/>
            <sz val="9"/>
            <color indexed="81"/>
            <rFont val="Tahoma"/>
            <family val="2"/>
          </rPr>
          <t>Author:</t>
        </r>
        <r>
          <rPr>
            <sz val="9"/>
            <color indexed="81"/>
            <rFont val="Tahoma"/>
            <family val="2"/>
          </rPr>
          <t xml:space="preserve">
8.55% Capex based on NREL2020</t>
        </r>
      </text>
    </comment>
    <comment ref="AZ37" authorId="0" shapeId="0" xr:uid="{00000000-0006-0000-0000-00001D020000}">
      <text>
        <r>
          <rPr>
            <b/>
            <sz val="9"/>
            <color indexed="81"/>
            <rFont val="Tahoma"/>
            <family val="2"/>
          </rPr>
          <t>Author:</t>
        </r>
        <r>
          <rPr>
            <sz val="9"/>
            <color indexed="81"/>
            <rFont val="Tahoma"/>
            <family val="2"/>
          </rPr>
          <t xml:space="preserve">
8.55% Capex based on NREL2020</t>
        </r>
      </text>
    </comment>
    <comment ref="BA37" authorId="0" shapeId="0" xr:uid="{00000000-0006-0000-0000-00001E020000}">
      <text>
        <r>
          <rPr>
            <b/>
            <sz val="9"/>
            <color indexed="81"/>
            <rFont val="Tahoma"/>
            <family val="2"/>
          </rPr>
          <t>Author:</t>
        </r>
        <r>
          <rPr>
            <sz val="9"/>
            <color indexed="81"/>
            <rFont val="Tahoma"/>
            <family val="2"/>
          </rPr>
          <t xml:space="preserve">
8.55% Capex based on NREL2020</t>
        </r>
      </text>
    </comment>
    <comment ref="BR37" authorId="0" shapeId="0" xr:uid="{00000000-0006-0000-0000-00001F020000}">
      <text>
        <r>
          <rPr>
            <b/>
            <sz val="9"/>
            <color indexed="81"/>
            <rFont val="Tahoma"/>
            <family val="2"/>
          </rPr>
          <t>Author:</t>
        </r>
        <r>
          <rPr>
            <sz val="9"/>
            <color indexed="81"/>
            <rFont val="Tahoma"/>
            <family val="2"/>
          </rPr>
          <t xml:space="preserve">
From MMZCS2023</t>
        </r>
      </text>
    </comment>
    <comment ref="BS37" authorId="0" shapeId="0" xr:uid="{00000000-0006-0000-0000-000020020000}">
      <text>
        <r>
          <rPr>
            <b/>
            <sz val="9"/>
            <color indexed="81"/>
            <rFont val="Tahoma"/>
            <family val="2"/>
          </rPr>
          <t>Author:</t>
        </r>
        <r>
          <rPr>
            <sz val="9"/>
            <color indexed="81"/>
            <rFont val="Tahoma"/>
            <family val="2"/>
          </rPr>
          <t xml:space="preserve">
From MMZCS2023</t>
        </r>
      </text>
    </comment>
    <comment ref="BT37" authorId="0" shapeId="0" xr:uid="{00000000-0006-0000-0000-000021020000}">
      <text>
        <r>
          <rPr>
            <b/>
            <sz val="9"/>
            <color indexed="81"/>
            <rFont val="Tahoma"/>
            <family val="2"/>
          </rPr>
          <t>Author:</t>
        </r>
        <r>
          <rPr>
            <sz val="9"/>
            <color indexed="81"/>
            <rFont val="Tahoma"/>
            <family val="2"/>
          </rPr>
          <t xml:space="preserve">
From MMZCS2023</t>
        </r>
      </text>
    </comment>
    <comment ref="BU37" authorId="0" shapeId="0" xr:uid="{00000000-0006-0000-0000-000022020000}">
      <text>
        <r>
          <rPr>
            <b/>
            <sz val="9"/>
            <color indexed="81"/>
            <rFont val="Tahoma"/>
            <family val="2"/>
          </rPr>
          <t>Author:</t>
        </r>
        <r>
          <rPr>
            <sz val="9"/>
            <color indexed="81"/>
            <rFont val="Tahoma"/>
            <family val="2"/>
          </rPr>
          <t xml:space="preserve">
From MMZCS2023</t>
        </r>
      </text>
    </comment>
    <comment ref="R38" authorId="0" shapeId="0" xr:uid="{00000000-0006-0000-0000-000023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8" authorId="0" shapeId="0" xr:uid="{00000000-0006-0000-0000-000024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8" authorId="0" shapeId="0" xr:uid="{00000000-0006-0000-0000-000025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8" authorId="0" shapeId="0" xr:uid="{00000000-0006-0000-0000-000026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BR38" authorId="0" shapeId="0" xr:uid="{00000000-0006-0000-0000-000027020000}">
      <text>
        <r>
          <rPr>
            <b/>
            <sz val="9"/>
            <color indexed="81"/>
            <rFont val="Tahoma"/>
            <family val="2"/>
          </rPr>
          <t>Author:</t>
        </r>
        <r>
          <rPr>
            <sz val="9"/>
            <color indexed="81"/>
            <rFont val="Tahoma"/>
            <family val="2"/>
          </rPr>
          <t xml:space="preserve">
From MMZCS2023</t>
        </r>
      </text>
    </comment>
    <comment ref="BS38" authorId="0" shapeId="0" xr:uid="{00000000-0006-0000-0000-000028020000}">
      <text>
        <r>
          <rPr>
            <b/>
            <sz val="9"/>
            <color indexed="81"/>
            <rFont val="Tahoma"/>
            <family val="2"/>
          </rPr>
          <t>Author:</t>
        </r>
        <r>
          <rPr>
            <sz val="9"/>
            <color indexed="81"/>
            <rFont val="Tahoma"/>
            <family val="2"/>
          </rPr>
          <t xml:space="preserve">
From MMZCS2023</t>
        </r>
      </text>
    </comment>
    <comment ref="BT38" authorId="0" shapeId="0" xr:uid="{00000000-0006-0000-0000-000029020000}">
      <text>
        <r>
          <rPr>
            <b/>
            <sz val="9"/>
            <color indexed="81"/>
            <rFont val="Tahoma"/>
            <family val="2"/>
          </rPr>
          <t>Author:</t>
        </r>
        <r>
          <rPr>
            <sz val="9"/>
            <color indexed="81"/>
            <rFont val="Tahoma"/>
            <family val="2"/>
          </rPr>
          <t xml:space="preserve">
From MMZCS2023</t>
        </r>
      </text>
    </comment>
    <comment ref="BU38" authorId="0" shapeId="0" xr:uid="{00000000-0006-0000-0000-00002A020000}">
      <text>
        <r>
          <rPr>
            <b/>
            <sz val="9"/>
            <color indexed="81"/>
            <rFont val="Tahoma"/>
            <family val="2"/>
          </rPr>
          <t>Author:</t>
        </r>
        <r>
          <rPr>
            <sz val="9"/>
            <color indexed="81"/>
            <rFont val="Tahoma"/>
            <family val="2"/>
          </rPr>
          <t xml:space="preserve">
From MMZCS2023</t>
        </r>
      </text>
    </comment>
    <comment ref="R39" authorId="0" shapeId="0" xr:uid="{00000000-0006-0000-0000-00002B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S39" authorId="0" shapeId="0" xr:uid="{00000000-0006-0000-0000-00002C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T39" authorId="0" shapeId="0" xr:uid="{00000000-0006-0000-0000-00002D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U39" authorId="0" shapeId="0" xr:uid="{00000000-0006-0000-0000-00002E020000}">
      <text>
        <r>
          <rPr>
            <b/>
            <sz val="9"/>
            <color indexed="81"/>
            <rFont val="Tahoma"/>
            <family val="2"/>
          </rPr>
          <t>Author:</t>
        </r>
        <r>
          <rPr>
            <sz val="9"/>
            <color indexed="81"/>
            <rFont val="Tahoma"/>
            <family val="2"/>
          </rPr>
          <t xml:space="preserve">
Consumption of non-purified water assuming a purification efficieny of 80% based on BhmWP12023. Conversion of purified water to hydrogen is stoechiometric (9 kg of water consumed per kg of hydrogen).</t>
        </r>
      </text>
    </comment>
    <comment ref="BR39" authorId="0" shapeId="0" xr:uid="{00000000-0006-0000-0000-00002F020000}">
      <text>
        <r>
          <rPr>
            <b/>
            <sz val="9"/>
            <color indexed="81"/>
            <rFont val="Tahoma"/>
            <family val="2"/>
          </rPr>
          <t>Author:</t>
        </r>
        <r>
          <rPr>
            <sz val="9"/>
            <color indexed="81"/>
            <rFont val="Tahoma"/>
            <family val="2"/>
          </rPr>
          <t xml:space="preserve">
From MMZCS2023</t>
        </r>
      </text>
    </comment>
    <comment ref="BS39" authorId="0" shapeId="0" xr:uid="{00000000-0006-0000-0000-000030020000}">
      <text>
        <r>
          <rPr>
            <b/>
            <sz val="9"/>
            <color indexed="81"/>
            <rFont val="Tahoma"/>
            <family val="2"/>
          </rPr>
          <t>Author:</t>
        </r>
        <r>
          <rPr>
            <sz val="9"/>
            <color indexed="81"/>
            <rFont val="Tahoma"/>
            <family val="2"/>
          </rPr>
          <t xml:space="preserve">
From MMZCS2023</t>
        </r>
      </text>
    </comment>
    <comment ref="BT39" authorId="0" shapeId="0" xr:uid="{00000000-0006-0000-0000-000031020000}">
      <text>
        <r>
          <rPr>
            <b/>
            <sz val="9"/>
            <color indexed="81"/>
            <rFont val="Tahoma"/>
            <family val="2"/>
          </rPr>
          <t>Author:</t>
        </r>
        <r>
          <rPr>
            <sz val="9"/>
            <color indexed="81"/>
            <rFont val="Tahoma"/>
            <family val="2"/>
          </rPr>
          <t xml:space="preserve">
From MMZCS2023</t>
        </r>
      </text>
    </comment>
    <comment ref="BU39" authorId="0" shapeId="0" xr:uid="{00000000-0006-0000-0000-000032020000}">
      <text>
        <r>
          <rPr>
            <b/>
            <sz val="9"/>
            <color indexed="81"/>
            <rFont val="Tahoma"/>
            <family val="2"/>
          </rPr>
          <t>Author:</t>
        </r>
        <r>
          <rPr>
            <sz val="9"/>
            <color indexed="81"/>
            <rFont val="Tahoma"/>
            <family val="2"/>
          </rPr>
          <t xml:space="preserve">
From MMZCS2023</t>
        </r>
      </text>
    </comment>
    <comment ref="R40" authorId="0" shapeId="0" xr:uid="{00000000-0006-0000-0000-000033020000}">
      <text>
        <r>
          <rPr>
            <b/>
            <sz val="9"/>
            <color indexed="81"/>
            <rFont val="Tahoma"/>
            <family val="2"/>
          </rPr>
          <t>Author:</t>
        </r>
        <r>
          <rPr>
            <sz val="9"/>
            <color indexed="81"/>
            <rFont val="Tahoma"/>
            <family val="2"/>
          </rPr>
          <t xml:space="preserve">
Stoechiometric conversion</t>
        </r>
      </text>
    </comment>
    <comment ref="S40" authorId="0" shapeId="0" xr:uid="{00000000-0006-0000-0000-000034020000}">
      <text>
        <r>
          <rPr>
            <b/>
            <sz val="9"/>
            <color indexed="81"/>
            <rFont val="Tahoma"/>
            <family val="2"/>
          </rPr>
          <t>Author:</t>
        </r>
        <r>
          <rPr>
            <sz val="9"/>
            <color indexed="81"/>
            <rFont val="Tahoma"/>
            <family val="2"/>
          </rPr>
          <t xml:space="preserve">
Stoechiometric conversion</t>
        </r>
      </text>
    </comment>
    <comment ref="T40" authorId="0" shapeId="0" xr:uid="{00000000-0006-0000-0000-000035020000}">
      <text>
        <r>
          <rPr>
            <b/>
            <sz val="9"/>
            <color indexed="81"/>
            <rFont val="Tahoma"/>
            <family val="2"/>
          </rPr>
          <t>Author:</t>
        </r>
        <r>
          <rPr>
            <sz val="9"/>
            <color indexed="81"/>
            <rFont val="Tahoma"/>
            <family val="2"/>
          </rPr>
          <t xml:space="preserve">
Stoechiometric conversion</t>
        </r>
      </text>
    </comment>
    <comment ref="U40" authorId="0" shapeId="0" xr:uid="{00000000-0006-0000-0000-000036020000}">
      <text>
        <r>
          <rPr>
            <b/>
            <sz val="9"/>
            <color indexed="81"/>
            <rFont val="Tahoma"/>
            <family val="2"/>
          </rPr>
          <t>Author:</t>
        </r>
        <r>
          <rPr>
            <sz val="9"/>
            <color indexed="81"/>
            <rFont val="Tahoma"/>
            <family val="2"/>
          </rPr>
          <t xml:space="preserve">
Stoechiometric conversion</t>
        </r>
      </text>
    </comment>
    <comment ref="AP41" authorId="0" shapeId="0" xr:uid="{00000000-0006-0000-0000-000037020000}">
      <text>
        <r>
          <rPr>
            <b/>
            <sz val="9"/>
            <color indexed="81"/>
            <rFont val="Tahoma"/>
            <family val="2"/>
          </rPr>
          <t>Author:</t>
        </r>
        <r>
          <rPr>
            <sz val="9"/>
            <color indexed="81"/>
            <rFont val="Tahoma"/>
            <family val="2"/>
          </rPr>
          <t xml:space="preserve">
Based on BhmWP12023</t>
        </r>
      </text>
    </comment>
    <comment ref="AQ41" authorId="0" shapeId="0" xr:uid="{00000000-0006-0000-0000-000038020000}">
      <text>
        <r>
          <rPr>
            <b/>
            <sz val="9"/>
            <color indexed="81"/>
            <rFont val="Tahoma"/>
            <family val="2"/>
          </rPr>
          <t>Author:</t>
        </r>
        <r>
          <rPr>
            <sz val="9"/>
            <color indexed="81"/>
            <rFont val="Tahoma"/>
            <family val="2"/>
          </rPr>
          <t xml:space="preserve">
Based on BhmWP12023</t>
        </r>
      </text>
    </comment>
    <comment ref="AR41" authorId="0" shapeId="0" xr:uid="{00000000-0006-0000-0000-000039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S41" authorId="0" shapeId="0" xr:uid="{00000000-0006-0000-0000-00003A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T41" authorId="0" shapeId="0" xr:uid="{00000000-0006-0000-0000-00003B020000}">
      <text>
        <r>
          <rPr>
            <b/>
            <sz val="9"/>
            <color indexed="81"/>
            <rFont val="Tahoma"/>
            <family val="2"/>
          </rPr>
          <t>Author:</t>
        </r>
        <r>
          <rPr>
            <sz val="9"/>
            <color indexed="81"/>
            <rFont val="Tahoma"/>
            <family val="2"/>
          </rPr>
          <t xml:space="preserve">
From BhmWP12023</t>
        </r>
      </text>
    </comment>
    <comment ref="AU41" authorId="0" shapeId="0" xr:uid="{00000000-0006-0000-0000-00003C020000}">
      <text>
        <r>
          <rPr>
            <b/>
            <sz val="9"/>
            <color indexed="81"/>
            <rFont val="Tahoma"/>
            <family val="2"/>
          </rPr>
          <t>Author:</t>
        </r>
        <r>
          <rPr>
            <sz val="9"/>
            <color indexed="81"/>
            <rFont val="Tahoma"/>
            <family val="2"/>
          </rPr>
          <t xml:space="preserve">
Using the 2025 best value from BhmWP12023</t>
        </r>
      </text>
    </comment>
    <comment ref="AW41" authorId="0" shapeId="0" xr:uid="{00000000-0006-0000-0000-00003D020000}">
      <text>
        <r>
          <rPr>
            <b/>
            <sz val="9"/>
            <color indexed="81"/>
            <rFont val="Tahoma"/>
            <family val="2"/>
          </rPr>
          <t>Author:</t>
        </r>
        <r>
          <rPr>
            <sz val="9"/>
            <color indexed="81"/>
            <rFont val="Tahoma"/>
            <family val="2"/>
          </rPr>
          <t xml:space="preserve">
Using the 2025 best value based on BhmWP12023</t>
        </r>
      </text>
    </comment>
    <comment ref="AX41" authorId="0" shapeId="0" xr:uid="{00000000-0006-0000-0000-00003E020000}">
      <text>
        <r>
          <rPr>
            <b/>
            <sz val="9"/>
            <color indexed="81"/>
            <rFont val="Tahoma"/>
            <family val="2"/>
          </rPr>
          <t>Author:</t>
        </r>
        <r>
          <rPr>
            <sz val="9"/>
            <color indexed="81"/>
            <rFont val="Tahoma"/>
            <family val="2"/>
          </rPr>
          <t xml:space="preserve">
3% Capex based on BhmWP12023</t>
        </r>
      </text>
    </comment>
    <comment ref="AY41" authorId="0" shapeId="0" xr:uid="{00000000-0006-0000-0000-00003F020000}">
      <text>
        <r>
          <rPr>
            <b/>
            <sz val="9"/>
            <color indexed="81"/>
            <rFont val="Tahoma"/>
            <family val="2"/>
          </rPr>
          <t>Author:</t>
        </r>
        <r>
          <rPr>
            <sz val="9"/>
            <color indexed="81"/>
            <rFont val="Tahoma"/>
            <family val="2"/>
          </rPr>
          <t xml:space="preserve">
3% Capex based on BhmWP12023</t>
        </r>
      </text>
    </comment>
    <comment ref="AZ41" authorId="0" shapeId="0" xr:uid="{00000000-0006-0000-0000-000040020000}">
      <text>
        <r>
          <rPr>
            <b/>
            <sz val="9"/>
            <color indexed="81"/>
            <rFont val="Tahoma"/>
            <family val="2"/>
          </rPr>
          <t>Author:</t>
        </r>
        <r>
          <rPr>
            <sz val="9"/>
            <color indexed="81"/>
            <rFont val="Tahoma"/>
            <family val="2"/>
          </rPr>
          <t xml:space="preserve">
3% Capex based on BhmWP12023</t>
        </r>
      </text>
    </comment>
    <comment ref="BA41" authorId="0" shapeId="0" xr:uid="{00000000-0006-0000-0000-000041020000}">
      <text>
        <r>
          <rPr>
            <b/>
            <sz val="9"/>
            <color indexed="81"/>
            <rFont val="Tahoma"/>
            <family val="2"/>
          </rPr>
          <t>Author:</t>
        </r>
        <r>
          <rPr>
            <sz val="9"/>
            <color indexed="81"/>
            <rFont val="Tahoma"/>
            <family val="2"/>
          </rPr>
          <t xml:space="preserve">
3% Capex based on BhmWP12023</t>
        </r>
      </text>
    </comment>
    <comment ref="BR41" authorId="0" shapeId="0" xr:uid="{00000000-0006-0000-0000-000042020000}">
      <text>
        <r>
          <rPr>
            <b/>
            <sz val="9"/>
            <color indexed="81"/>
            <rFont val="Tahoma"/>
            <family val="2"/>
          </rPr>
          <t>Author:</t>
        </r>
        <r>
          <rPr>
            <sz val="9"/>
            <color indexed="81"/>
            <rFont val="Tahoma"/>
            <family val="2"/>
          </rPr>
          <t xml:space="preserve">
From Marin2023</t>
        </r>
      </text>
    </comment>
    <comment ref="BS41" authorId="0" shapeId="0" xr:uid="{00000000-0006-0000-0000-000043020000}">
      <text>
        <r>
          <rPr>
            <b/>
            <sz val="9"/>
            <color indexed="81"/>
            <rFont val="Tahoma"/>
            <family val="2"/>
          </rPr>
          <t>Author:</t>
        </r>
        <r>
          <rPr>
            <sz val="9"/>
            <color indexed="81"/>
            <rFont val="Tahoma"/>
            <family val="2"/>
          </rPr>
          <t xml:space="preserve">
From Marin2023</t>
        </r>
      </text>
    </comment>
    <comment ref="BT41" authorId="0" shapeId="0" xr:uid="{00000000-0006-0000-0000-000044020000}">
      <text>
        <r>
          <rPr>
            <b/>
            <sz val="9"/>
            <color indexed="81"/>
            <rFont val="Tahoma"/>
            <family val="2"/>
          </rPr>
          <t>Author:</t>
        </r>
        <r>
          <rPr>
            <sz val="9"/>
            <color indexed="81"/>
            <rFont val="Tahoma"/>
            <family val="2"/>
          </rPr>
          <t xml:space="preserve">
From Marin2023</t>
        </r>
      </text>
    </comment>
    <comment ref="BU41" authorId="0" shapeId="0" xr:uid="{00000000-0006-0000-0000-000045020000}">
      <text>
        <r>
          <rPr>
            <b/>
            <sz val="9"/>
            <color indexed="81"/>
            <rFont val="Tahoma"/>
            <family val="2"/>
          </rPr>
          <t>Author:</t>
        </r>
        <r>
          <rPr>
            <sz val="9"/>
            <color indexed="81"/>
            <rFont val="Tahoma"/>
            <family val="2"/>
          </rPr>
          <t xml:space="preserve">
From Marin2023</t>
        </r>
      </text>
    </comment>
    <comment ref="AP42" authorId="0" shapeId="0" xr:uid="{00000000-0006-0000-0000-000046020000}">
      <text>
        <r>
          <rPr>
            <b/>
            <sz val="9"/>
            <color indexed="81"/>
            <rFont val="Tahoma"/>
            <family val="2"/>
          </rPr>
          <t>Author:</t>
        </r>
        <r>
          <rPr>
            <sz val="9"/>
            <color indexed="81"/>
            <rFont val="Tahoma"/>
            <family val="2"/>
          </rPr>
          <t xml:space="preserve">
Based on BhmWP12023</t>
        </r>
      </text>
    </comment>
    <comment ref="AQ42" authorId="0" shapeId="0" xr:uid="{00000000-0006-0000-0000-000047020000}">
      <text>
        <r>
          <rPr>
            <b/>
            <sz val="9"/>
            <color indexed="81"/>
            <rFont val="Tahoma"/>
            <family val="2"/>
          </rPr>
          <t>Author:</t>
        </r>
        <r>
          <rPr>
            <sz val="9"/>
            <color indexed="81"/>
            <rFont val="Tahoma"/>
            <family val="2"/>
          </rPr>
          <t xml:space="preserve">
Based on BhmWP12023</t>
        </r>
      </text>
    </comment>
    <comment ref="AR42" authorId="0" shapeId="0" xr:uid="{00000000-0006-0000-0000-000048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S42" authorId="0" shapeId="0" xr:uid="{00000000-0006-0000-0000-000049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T42" authorId="0" shapeId="0" xr:uid="{00000000-0006-0000-0000-00004A020000}">
      <text>
        <r>
          <rPr>
            <b/>
            <sz val="9"/>
            <color indexed="81"/>
            <rFont val="Tahoma"/>
            <family val="2"/>
          </rPr>
          <t>Author:</t>
        </r>
        <r>
          <rPr>
            <sz val="9"/>
            <color indexed="81"/>
            <rFont val="Tahoma"/>
            <family val="2"/>
          </rPr>
          <t xml:space="preserve">
From BhmWP12023</t>
        </r>
      </text>
    </comment>
    <comment ref="AU42" authorId="0" shapeId="0" xr:uid="{00000000-0006-0000-0000-00004B020000}">
      <text>
        <r>
          <rPr>
            <b/>
            <sz val="9"/>
            <color indexed="81"/>
            <rFont val="Tahoma"/>
            <family val="2"/>
          </rPr>
          <t>Author:</t>
        </r>
        <r>
          <rPr>
            <sz val="9"/>
            <color indexed="81"/>
            <rFont val="Tahoma"/>
            <family val="2"/>
          </rPr>
          <t xml:space="preserve">
Using the 2025 benchmark value based on BhmWP12023</t>
        </r>
      </text>
    </comment>
    <comment ref="AW42" authorId="0" shapeId="0" xr:uid="{00000000-0006-0000-0000-00004C020000}">
      <text>
        <r>
          <rPr>
            <b/>
            <sz val="9"/>
            <color indexed="81"/>
            <rFont val="Tahoma"/>
            <family val="2"/>
          </rPr>
          <t>Author:</t>
        </r>
        <r>
          <rPr>
            <sz val="9"/>
            <color indexed="81"/>
            <rFont val="Tahoma"/>
            <family val="2"/>
          </rPr>
          <t xml:space="preserve">
Using the 2025 best value based on BhmWP12023</t>
        </r>
      </text>
    </comment>
    <comment ref="AX42" authorId="0" shapeId="0" xr:uid="{00000000-0006-0000-0000-00004D020000}">
      <text>
        <r>
          <rPr>
            <b/>
            <sz val="9"/>
            <color indexed="81"/>
            <rFont val="Tahoma"/>
            <family val="2"/>
          </rPr>
          <t>Author:</t>
        </r>
        <r>
          <rPr>
            <sz val="9"/>
            <color indexed="81"/>
            <rFont val="Tahoma"/>
            <family val="2"/>
          </rPr>
          <t xml:space="preserve">
3% Capex based on BhmWP12023</t>
        </r>
      </text>
    </comment>
    <comment ref="AY42" authorId="0" shapeId="0" xr:uid="{00000000-0006-0000-0000-00004E020000}">
      <text>
        <r>
          <rPr>
            <b/>
            <sz val="9"/>
            <color indexed="81"/>
            <rFont val="Tahoma"/>
            <family val="2"/>
          </rPr>
          <t>Author:</t>
        </r>
        <r>
          <rPr>
            <sz val="9"/>
            <color indexed="81"/>
            <rFont val="Tahoma"/>
            <family val="2"/>
          </rPr>
          <t xml:space="preserve">
3% Capex based on BhmWP12023</t>
        </r>
      </text>
    </comment>
    <comment ref="AZ42" authorId="0" shapeId="0" xr:uid="{00000000-0006-0000-0000-00004F020000}">
      <text>
        <r>
          <rPr>
            <b/>
            <sz val="9"/>
            <color indexed="81"/>
            <rFont val="Tahoma"/>
            <family val="2"/>
          </rPr>
          <t>Author:</t>
        </r>
        <r>
          <rPr>
            <sz val="9"/>
            <color indexed="81"/>
            <rFont val="Tahoma"/>
            <family val="2"/>
          </rPr>
          <t xml:space="preserve">
3% Capex based on BhmWP12023</t>
        </r>
      </text>
    </comment>
    <comment ref="BA42" authorId="0" shapeId="0" xr:uid="{00000000-0006-0000-0000-000050020000}">
      <text>
        <r>
          <rPr>
            <b/>
            <sz val="9"/>
            <color indexed="81"/>
            <rFont val="Tahoma"/>
            <family val="2"/>
          </rPr>
          <t>Author:</t>
        </r>
        <r>
          <rPr>
            <sz val="9"/>
            <color indexed="81"/>
            <rFont val="Tahoma"/>
            <family val="2"/>
          </rPr>
          <t xml:space="preserve">
3% Capex based on BhmWP12023</t>
        </r>
      </text>
    </comment>
    <comment ref="BB42" authorId="0" shapeId="0" xr:uid="{00000000-0006-0000-0000-000051020000}">
      <text>
        <r>
          <rPr>
            <b/>
            <sz val="9"/>
            <color indexed="81"/>
            <rFont val="Tahoma"/>
            <family val="2"/>
          </rPr>
          <t>Author:</t>
        </r>
        <r>
          <rPr>
            <sz val="9"/>
            <color indexed="81"/>
            <rFont val="Tahoma"/>
            <family val="2"/>
          </rPr>
          <t xml:space="preserve">
Medium water price from BhmWP12023</t>
        </r>
      </text>
    </comment>
    <comment ref="BC42" authorId="0" shapeId="0" xr:uid="{00000000-0006-0000-0000-000052020000}">
      <text>
        <r>
          <rPr>
            <b/>
            <sz val="9"/>
            <color indexed="81"/>
            <rFont val="Tahoma"/>
            <family val="2"/>
          </rPr>
          <t>Author:</t>
        </r>
        <r>
          <rPr>
            <sz val="9"/>
            <color indexed="81"/>
            <rFont val="Tahoma"/>
            <family val="2"/>
          </rPr>
          <t xml:space="preserve">
Medium water price from BhmWP12023</t>
        </r>
      </text>
    </comment>
    <comment ref="BE42" authorId="0" shapeId="0" xr:uid="{00000000-0006-0000-0000-000053020000}">
      <text>
        <r>
          <rPr>
            <b/>
            <sz val="9"/>
            <color indexed="81"/>
            <rFont val="Tahoma"/>
            <family val="2"/>
          </rPr>
          <t>Author:</t>
        </r>
        <r>
          <rPr>
            <sz val="9"/>
            <color indexed="81"/>
            <rFont val="Tahoma"/>
            <family val="2"/>
          </rPr>
          <t xml:space="preserve">
Medium water price from BhmWP12023</t>
        </r>
      </text>
    </comment>
    <comment ref="BR42" authorId="0" shapeId="0" xr:uid="{00000000-0006-0000-0000-000054020000}">
      <text>
        <r>
          <rPr>
            <b/>
            <sz val="9"/>
            <color indexed="81"/>
            <rFont val="Tahoma"/>
            <family val="2"/>
          </rPr>
          <t>Author:</t>
        </r>
        <r>
          <rPr>
            <sz val="9"/>
            <color indexed="81"/>
            <rFont val="Tahoma"/>
            <family val="2"/>
          </rPr>
          <t xml:space="preserve">
From Marin2023</t>
        </r>
      </text>
    </comment>
    <comment ref="BS42" authorId="0" shapeId="0" xr:uid="{00000000-0006-0000-0000-000055020000}">
      <text>
        <r>
          <rPr>
            <b/>
            <sz val="9"/>
            <color indexed="81"/>
            <rFont val="Tahoma"/>
            <family val="2"/>
          </rPr>
          <t>Author:</t>
        </r>
        <r>
          <rPr>
            <sz val="9"/>
            <color indexed="81"/>
            <rFont val="Tahoma"/>
            <family val="2"/>
          </rPr>
          <t xml:space="preserve">
From Marin2023</t>
        </r>
      </text>
    </comment>
    <comment ref="BT42" authorId="0" shapeId="0" xr:uid="{00000000-0006-0000-0000-000056020000}">
      <text>
        <r>
          <rPr>
            <b/>
            <sz val="9"/>
            <color indexed="81"/>
            <rFont val="Tahoma"/>
            <family val="2"/>
          </rPr>
          <t>Author:</t>
        </r>
        <r>
          <rPr>
            <sz val="9"/>
            <color indexed="81"/>
            <rFont val="Tahoma"/>
            <family val="2"/>
          </rPr>
          <t xml:space="preserve">
From Marin2023</t>
        </r>
      </text>
    </comment>
    <comment ref="BU42" authorId="0" shapeId="0" xr:uid="{00000000-0006-0000-0000-000057020000}">
      <text>
        <r>
          <rPr>
            <b/>
            <sz val="9"/>
            <color indexed="81"/>
            <rFont val="Tahoma"/>
            <family val="2"/>
          </rPr>
          <t>Author:</t>
        </r>
        <r>
          <rPr>
            <sz val="9"/>
            <color indexed="81"/>
            <rFont val="Tahoma"/>
            <family val="2"/>
          </rPr>
          <t xml:space="preserve">
From Marin2023</t>
        </r>
      </text>
    </comment>
    <comment ref="AP43" authorId="0" shapeId="0" xr:uid="{00000000-0006-0000-0000-000058020000}">
      <text>
        <r>
          <rPr>
            <b/>
            <sz val="9"/>
            <color indexed="81"/>
            <rFont val="Tahoma"/>
            <family val="2"/>
          </rPr>
          <t>Author:</t>
        </r>
        <r>
          <rPr>
            <sz val="9"/>
            <color indexed="81"/>
            <rFont val="Tahoma"/>
            <family val="2"/>
          </rPr>
          <t xml:space="preserve">
Based on BhmWP12023</t>
        </r>
      </text>
    </comment>
    <comment ref="AQ43" authorId="0" shapeId="0" xr:uid="{00000000-0006-0000-0000-000059020000}">
      <text>
        <r>
          <rPr>
            <b/>
            <sz val="9"/>
            <color indexed="81"/>
            <rFont val="Tahoma"/>
            <family val="2"/>
          </rPr>
          <t>Author:</t>
        </r>
        <r>
          <rPr>
            <sz val="9"/>
            <color indexed="81"/>
            <rFont val="Tahoma"/>
            <family val="2"/>
          </rPr>
          <t xml:space="preserve">
Based on BhmWP12023</t>
        </r>
      </text>
    </comment>
    <comment ref="AR43" authorId="0" shapeId="0" xr:uid="{00000000-0006-0000-0000-00005A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S43" authorId="0" shapeId="0" xr:uid="{00000000-0006-0000-0000-00005B020000}">
      <text>
        <r>
          <rPr>
            <b/>
            <sz val="9"/>
            <color indexed="81"/>
            <rFont val="Tahoma"/>
            <family val="2"/>
          </rPr>
          <t>Author:</t>
        </r>
        <r>
          <rPr>
            <sz val="9"/>
            <color indexed="81"/>
            <rFont val="Tahoma"/>
            <family val="2"/>
          </rPr>
          <t xml:space="preserve">
Based on BhmWP12023  taking the best case scenario of near-term technology development</t>
        </r>
      </text>
    </comment>
    <comment ref="AT43" authorId="0" shapeId="0" xr:uid="{00000000-0006-0000-0000-00005C020000}">
      <text>
        <r>
          <rPr>
            <b/>
            <sz val="9"/>
            <color indexed="81"/>
            <rFont val="Tahoma"/>
            <family val="2"/>
          </rPr>
          <t>Author:</t>
        </r>
        <r>
          <rPr>
            <sz val="9"/>
            <color indexed="81"/>
            <rFont val="Tahoma"/>
            <family val="2"/>
          </rPr>
          <t xml:space="preserve">
From BhmWP12023</t>
        </r>
      </text>
    </comment>
    <comment ref="AU43" authorId="0" shapeId="0" xr:uid="{00000000-0006-0000-0000-00005D020000}">
      <text>
        <r>
          <rPr>
            <b/>
            <sz val="9"/>
            <color indexed="81"/>
            <rFont val="Tahoma"/>
            <family val="2"/>
          </rPr>
          <t>Author:</t>
        </r>
        <r>
          <rPr>
            <sz val="9"/>
            <color indexed="81"/>
            <rFont val="Tahoma"/>
            <family val="2"/>
          </rPr>
          <t xml:space="preserve">
Using the 2025 benchmark value based on BhmWP12023</t>
        </r>
      </text>
    </comment>
    <comment ref="AW43" authorId="0" shapeId="0" xr:uid="{00000000-0006-0000-0000-00005E020000}">
      <text>
        <r>
          <rPr>
            <b/>
            <sz val="9"/>
            <color indexed="81"/>
            <rFont val="Tahoma"/>
            <family val="2"/>
          </rPr>
          <t>Author:</t>
        </r>
        <r>
          <rPr>
            <sz val="9"/>
            <color indexed="81"/>
            <rFont val="Tahoma"/>
            <family val="2"/>
          </rPr>
          <t xml:space="preserve">
Using the 2025 best value based on BhmWP12023</t>
        </r>
      </text>
    </comment>
    <comment ref="AX43" authorId="0" shapeId="0" xr:uid="{00000000-0006-0000-0000-00005F020000}">
      <text>
        <r>
          <rPr>
            <b/>
            <sz val="9"/>
            <color indexed="81"/>
            <rFont val="Tahoma"/>
            <family val="2"/>
          </rPr>
          <t>Author:</t>
        </r>
        <r>
          <rPr>
            <sz val="9"/>
            <color indexed="81"/>
            <rFont val="Tahoma"/>
            <family val="2"/>
          </rPr>
          <t xml:space="preserve">
3% Capex based on BhmWP12023</t>
        </r>
      </text>
    </comment>
    <comment ref="AY43" authorId="0" shapeId="0" xr:uid="{00000000-0006-0000-0000-000060020000}">
      <text>
        <r>
          <rPr>
            <b/>
            <sz val="9"/>
            <color indexed="81"/>
            <rFont val="Tahoma"/>
            <family val="2"/>
          </rPr>
          <t>Author:</t>
        </r>
        <r>
          <rPr>
            <sz val="9"/>
            <color indexed="81"/>
            <rFont val="Tahoma"/>
            <family val="2"/>
          </rPr>
          <t xml:space="preserve">
3% Capex based on BhmWP12023</t>
        </r>
      </text>
    </comment>
    <comment ref="AZ43" authorId="0" shapeId="0" xr:uid="{00000000-0006-0000-0000-000061020000}">
      <text>
        <r>
          <rPr>
            <b/>
            <sz val="9"/>
            <color indexed="81"/>
            <rFont val="Tahoma"/>
            <family val="2"/>
          </rPr>
          <t>Author:</t>
        </r>
        <r>
          <rPr>
            <sz val="9"/>
            <color indexed="81"/>
            <rFont val="Tahoma"/>
            <family val="2"/>
          </rPr>
          <t xml:space="preserve">
3% Capex based on BhmWP12023</t>
        </r>
      </text>
    </comment>
    <comment ref="BA43" authorId="0" shapeId="0" xr:uid="{00000000-0006-0000-0000-000062020000}">
      <text>
        <r>
          <rPr>
            <b/>
            <sz val="9"/>
            <color indexed="81"/>
            <rFont val="Tahoma"/>
            <family val="2"/>
          </rPr>
          <t>Author:</t>
        </r>
        <r>
          <rPr>
            <sz val="9"/>
            <color indexed="81"/>
            <rFont val="Tahoma"/>
            <family val="2"/>
          </rPr>
          <t xml:space="preserve">
3% Capex based on BhmWP12023</t>
        </r>
      </text>
    </comment>
    <comment ref="BB43" authorId="0" shapeId="0" xr:uid="{00000000-0006-0000-0000-000063020000}">
      <text>
        <r>
          <rPr>
            <b/>
            <sz val="9"/>
            <color indexed="81"/>
            <rFont val="Tahoma"/>
            <family val="2"/>
          </rPr>
          <t>Author:</t>
        </r>
        <r>
          <rPr>
            <sz val="9"/>
            <color indexed="81"/>
            <rFont val="Tahoma"/>
            <family val="2"/>
          </rPr>
          <t xml:space="preserve">
Medium water price from BhmWP12023</t>
        </r>
      </text>
    </comment>
    <comment ref="BC43" authorId="0" shapeId="0" xr:uid="{00000000-0006-0000-0000-000064020000}">
      <text>
        <r>
          <rPr>
            <b/>
            <sz val="9"/>
            <color indexed="81"/>
            <rFont val="Tahoma"/>
            <family val="2"/>
          </rPr>
          <t>Author:</t>
        </r>
        <r>
          <rPr>
            <sz val="9"/>
            <color indexed="81"/>
            <rFont val="Tahoma"/>
            <family val="2"/>
          </rPr>
          <t xml:space="preserve">
Medium water price from BhmWP12023</t>
        </r>
      </text>
    </comment>
    <comment ref="BE43" authorId="0" shapeId="0" xr:uid="{00000000-0006-0000-0000-000065020000}">
      <text>
        <r>
          <rPr>
            <b/>
            <sz val="9"/>
            <color indexed="81"/>
            <rFont val="Tahoma"/>
            <family val="2"/>
          </rPr>
          <t>Author:</t>
        </r>
        <r>
          <rPr>
            <sz val="9"/>
            <color indexed="81"/>
            <rFont val="Tahoma"/>
            <family val="2"/>
          </rPr>
          <t xml:space="preserve">
Medium water price from BhmWP12023</t>
        </r>
      </text>
    </comment>
    <comment ref="BR43" authorId="0" shapeId="0" xr:uid="{00000000-0006-0000-0000-000066020000}">
      <text>
        <r>
          <rPr>
            <b/>
            <sz val="9"/>
            <color indexed="81"/>
            <rFont val="Tahoma"/>
            <family val="2"/>
          </rPr>
          <t>Author:</t>
        </r>
        <r>
          <rPr>
            <sz val="9"/>
            <color indexed="81"/>
            <rFont val="Tahoma"/>
            <family val="2"/>
          </rPr>
          <t xml:space="preserve">
From Marin2023</t>
        </r>
      </text>
    </comment>
    <comment ref="BS43" authorId="0" shapeId="0" xr:uid="{00000000-0006-0000-0000-000067020000}">
      <text>
        <r>
          <rPr>
            <b/>
            <sz val="9"/>
            <color indexed="81"/>
            <rFont val="Tahoma"/>
            <family val="2"/>
          </rPr>
          <t>Author:</t>
        </r>
        <r>
          <rPr>
            <sz val="9"/>
            <color indexed="81"/>
            <rFont val="Tahoma"/>
            <family val="2"/>
          </rPr>
          <t xml:space="preserve">
From Marin2023</t>
        </r>
      </text>
    </comment>
    <comment ref="BT43" authorId="0" shapeId="0" xr:uid="{00000000-0006-0000-0000-000068020000}">
      <text>
        <r>
          <rPr>
            <b/>
            <sz val="9"/>
            <color indexed="81"/>
            <rFont val="Tahoma"/>
            <family val="2"/>
          </rPr>
          <t>Author:</t>
        </r>
        <r>
          <rPr>
            <sz val="9"/>
            <color indexed="81"/>
            <rFont val="Tahoma"/>
            <family val="2"/>
          </rPr>
          <t xml:space="preserve">
From Marin2023</t>
        </r>
      </text>
    </comment>
    <comment ref="BU43" authorId="0" shapeId="0" xr:uid="{00000000-0006-0000-0000-000069020000}">
      <text>
        <r>
          <rPr>
            <b/>
            <sz val="9"/>
            <color indexed="81"/>
            <rFont val="Tahoma"/>
            <family val="2"/>
          </rPr>
          <t>Author:</t>
        </r>
        <r>
          <rPr>
            <sz val="9"/>
            <color indexed="81"/>
            <rFont val="Tahoma"/>
            <family val="2"/>
          </rPr>
          <t xml:space="preserve">
From Marin2023</t>
        </r>
      </text>
    </comment>
    <comment ref="AP47" authorId="0" shapeId="0" xr:uid="{00000000-0006-0000-0000-00006A020000}">
      <text>
        <r>
          <rPr>
            <b/>
            <sz val="9"/>
            <color indexed="81"/>
            <rFont val="Tahoma"/>
            <family val="2"/>
          </rPr>
          <t>Author:</t>
        </r>
        <r>
          <rPr>
            <sz val="9"/>
            <color indexed="81"/>
            <rFont val="Tahoma"/>
            <family val="2"/>
          </rPr>
          <t xml:space="preserve">
Compression work from 20 to 800 bars based on Induspart2023</t>
        </r>
      </text>
    </comment>
    <comment ref="AQ47" authorId="0" shapeId="0" xr:uid="{00000000-0006-0000-0000-00006B020000}">
      <text>
        <r>
          <rPr>
            <b/>
            <sz val="9"/>
            <color indexed="81"/>
            <rFont val="Tahoma"/>
            <family val="2"/>
          </rPr>
          <t>Author:</t>
        </r>
        <r>
          <rPr>
            <sz val="9"/>
            <color indexed="81"/>
            <rFont val="Tahoma"/>
            <family val="2"/>
          </rPr>
          <t xml:space="preserve">
Compression work from 20 to 800 bars based on Induspart2023</t>
        </r>
      </text>
    </comment>
    <comment ref="AR47" authorId="0" shapeId="0" xr:uid="{00000000-0006-0000-0000-00006C020000}">
      <text>
        <r>
          <rPr>
            <b/>
            <sz val="9"/>
            <color indexed="81"/>
            <rFont val="Tahoma"/>
            <family val="2"/>
          </rPr>
          <t>Author:</t>
        </r>
        <r>
          <rPr>
            <sz val="9"/>
            <color indexed="81"/>
            <rFont val="Tahoma"/>
            <family val="2"/>
          </rPr>
          <t xml:space="preserve">
Compression work from 20 to 800 bars based on Induspart2023</t>
        </r>
      </text>
    </comment>
    <comment ref="AS47" authorId="0" shapeId="0" xr:uid="{00000000-0006-0000-0000-00006D020000}">
      <text>
        <r>
          <rPr>
            <b/>
            <sz val="9"/>
            <color indexed="81"/>
            <rFont val="Tahoma"/>
            <family val="2"/>
          </rPr>
          <t>Author:</t>
        </r>
        <r>
          <rPr>
            <sz val="9"/>
            <color indexed="81"/>
            <rFont val="Tahoma"/>
            <family val="2"/>
          </rPr>
          <t xml:space="preserve">
Compression work from 20 to 800 bars based on Induspart2023</t>
        </r>
      </text>
    </comment>
    <comment ref="AD49" authorId="0" shapeId="0" xr:uid="{00000000-0006-0000-0000-00006E020000}">
      <text>
        <r>
          <rPr>
            <b/>
            <sz val="9"/>
            <color indexed="81"/>
            <rFont val="Tahoma"/>
            <family val="2"/>
          </rPr>
          <t>Author:</t>
        </r>
        <r>
          <rPr>
            <sz val="9"/>
            <color indexed="81"/>
            <rFont val="Tahoma"/>
            <family val="2"/>
          </rPr>
          <t xml:space="preserve">
Based on Adams2019</t>
        </r>
      </text>
    </comment>
    <comment ref="AE49" authorId="0" shapeId="0" xr:uid="{00000000-0006-0000-0000-00006F020000}">
      <text>
        <r>
          <rPr>
            <b/>
            <sz val="9"/>
            <color indexed="81"/>
            <rFont val="Tahoma"/>
            <family val="2"/>
          </rPr>
          <t>Author:</t>
        </r>
        <r>
          <rPr>
            <sz val="9"/>
            <color indexed="81"/>
            <rFont val="Tahoma"/>
            <family val="2"/>
          </rPr>
          <t xml:space="preserve">
Based on Adams2019</t>
        </r>
      </text>
    </comment>
    <comment ref="AF49" authorId="0" shapeId="0" xr:uid="{00000000-0006-0000-0000-000070020000}">
      <text>
        <r>
          <rPr>
            <b/>
            <sz val="9"/>
            <color indexed="81"/>
            <rFont val="Tahoma"/>
            <family val="2"/>
          </rPr>
          <t>Author:</t>
        </r>
        <r>
          <rPr>
            <sz val="9"/>
            <color indexed="81"/>
            <rFont val="Tahoma"/>
            <family val="2"/>
          </rPr>
          <t xml:space="preserve">
Based on Adams2019</t>
        </r>
      </text>
    </comment>
    <comment ref="AG49" authorId="0" shapeId="0" xr:uid="{00000000-0006-0000-0000-000071020000}">
      <text>
        <r>
          <rPr>
            <b/>
            <sz val="9"/>
            <color indexed="81"/>
            <rFont val="Tahoma"/>
            <family val="2"/>
          </rPr>
          <t>Author:</t>
        </r>
        <r>
          <rPr>
            <sz val="9"/>
            <color indexed="81"/>
            <rFont val="Tahoma"/>
            <family val="2"/>
          </rPr>
          <t xml:space="preserve">
Based on Adams2019</t>
        </r>
      </text>
    </comment>
    <comment ref="AT49" authorId="0" shapeId="0" xr:uid="{00000000-0006-0000-0000-000072020000}">
      <text>
        <r>
          <rPr>
            <b/>
            <sz val="9"/>
            <color indexed="81"/>
            <rFont val="Tahoma"/>
            <family val="2"/>
          </rPr>
          <t>Author:</t>
        </r>
        <r>
          <rPr>
            <sz val="9"/>
            <color indexed="81"/>
            <rFont val="Tahoma"/>
            <family val="2"/>
          </rPr>
          <t xml:space="preserve">
Based on Induspart2023 (includes compressors)</t>
        </r>
      </text>
    </comment>
    <comment ref="AU49" authorId="0" shapeId="0" xr:uid="{00000000-0006-0000-0000-000073020000}">
      <text>
        <r>
          <rPr>
            <b/>
            <sz val="9"/>
            <color indexed="81"/>
            <rFont val="Tahoma"/>
            <family val="2"/>
          </rPr>
          <t>Author:</t>
        </r>
        <r>
          <rPr>
            <sz val="9"/>
            <color indexed="81"/>
            <rFont val="Tahoma"/>
            <family val="2"/>
          </rPr>
          <t xml:space="preserve">
Based on Induspart2023 (includes compressors)</t>
        </r>
      </text>
    </comment>
    <comment ref="AW49" authorId="0" shapeId="0" xr:uid="{00000000-0006-0000-0000-000074020000}">
      <text>
        <r>
          <rPr>
            <b/>
            <sz val="9"/>
            <color indexed="81"/>
            <rFont val="Tahoma"/>
            <family val="2"/>
          </rPr>
          <t>Author:</t>
        </r>
        <r>
          <rPr>
            <sz val="9"/>
            <color indexed="81"/>
            <rFont val="Tahoma"/>
            <family val="2"/>
          </rPr>
          <t xml:space="preserve">
Based on Induspart2023 assuming that compressor and pressurized storage components cost will be half of 2025's costs</t>
        </r>
      </text>
    </comment>
    <comment ref="AX49" authorId="0" shapeId="0" xr:uid="{00000000-0006-0000-0000-000075020000}">
      <text>
        <r>
          <rPr>
            <b/>
            <sz val="9"/>
            <color indexed="81"/>
            <rFont val="Tahoma"/>
            <family val="2"/>
          </rPr>
          <t>Author:</t>
        </r>
        <r>
          <rPr>
            <sz val="9"/>
            <color indexed="81"/>
            <rFont val="Tahoma"/>
            <family val="2"/>
          </rPr>
          <t xml:space="preserve">
3% Capex based on Induspart2023</t>
        </r>
      </text>
    </comment>
    <comment ref="AY49" authorId="0" shapeId="0" xr:uid="{00000000-0006-0000-0000-000076020000}">
      <text>
        <r>
          <rPr>
            <b/>
            <sz val="9"/>
            <color indexed="81"/>
            <rFont val="Tahoma"/>
            <family val="2"/>
          </rPr>
          <t>Author:</t>
        </r>
        <r>
          <rPr>
            <sz val="9"/>
            <color indexed="81"/>
            <rFont val="Tahoma"/>
            <family val="2"/>
          </rPr>
          <t xml:space="preserve">
3% Capex based on Induspart2023</t>
        </r>
      </text>
    </comment>
    <comment ref="AZ49" authorId="0" shapeId="0" xr:uid="{00000000-0006-0000-0000-000077020000}">
      <text>
        <r>
          <rPr>
            <b/>
            <sz val="9"/>
            <color indexed="81"/>
            <rFont val="Tahoma"/>
            <family val="2"/>
          </rPr>
          <t>Author:</t>
        </r>
        <r>
          <rPr>
            <sz val="9"/>
            <color indexed="81"/>
            <rFont val="Tahoma"/>
            <family val="2"/>
          </rPr>
          <t xml:space="preserve">
3% Capex based on Induspart2023</t>
        </r>
      </text>
    </comment>
    <comment ref="BA49" authorId="0" shapeId="0" xr:uid="{00000000-0006-0000-0000-000078020000}">
      <text>
        <r>
          <rPr>
            <b/>
            <sz val="9"/>
            <color indexed="81"/>
            <rFont val="Tahoma"/>
            <family val="2"/>
          </rPr>
          <t>Author:</t>
        </r>
        <r>
          <rPr>
            <sz val="9"/>
            <color indexed="81"/>
            <rFont val="Tahoma"/>
            <family val="2"/>
          </rPr>
          <t xml:space="preserve">
3% Capex based on Induspart2023</t>
        </r>
      </text>
    </comment>
    <comment ref="BV49" authorId="0" shapeId="0" xr:uid="{00000000-0006-0000-0000-000079020000}">
      <text>
        <r>
          <rPr>
            <b/>
            <sz val="9"/>
            <color indexed="81"/>
            <rFont val="Tahoma"/>
            <family val="2"/>
          </rPr>
          <t>Author:</t>
        </r>
        <r>
          <rPr>
            <sz val="9"/>
            <color indexed="81"/>
            <rFont val="Tahoma"/>
            <family val="2"/>
          </rPr>
          <t xml:space="preserve">
From Marin2023</t>
        </r>
      </text>
    </comment>
    <comment ref="BW49" authorId="0" shapeId="0" xr:uid="{00000000-0006-0000-0000-00007A020000}">
      <text>
        <r>
          <rPr>
            <b/>
            <sz val="9"/>
            <color indexed="81"/>
            <rFont val="Tahoma"/>
            <family val="2"/>
          </rPr>
          <t>Author:</t>
        </r>
        <r>
          <rPr>
            <sz val="9"/>
            <color indexed="81"/>
            <rFont val="Tahoma"/>
            <family val="2"/>
          </rPr>
          <t xml:space="preserve">
From Marin2023</t>
        </r>
      </text>
    </comment>
    <comment ref="BX49" authorId="0" shapeId="0" xr:uid="{00000000-0006-0000-0000-00007B020000}">
      <text>
        <r>
          <rPr>
            <b/>
            <sz val="9"/>
            <color indexed="81"/>
            <rFont val="Tahoma"/>
            <family val="2"/>
          </rPr>
          <t>Author:</t>
        </r>
        <r>
          <rPr>
            <sz val="9"/>
            <color indexed="81"/>
            <rFont val="Tahoma"/>
            <family val="2"/>
          </rPr>
          <t xml:space="preserve">
From Marin2023</t>
        </r>
      </text>
    </comment>
    <comment ref="BY49" authorId="0" shapeId="0" xr:uid="{00000000-0006-0000-0000-00007C020000}">
      <text>
        <r>
          <rPr>
            <b/>
            <sz val="9"/>
            <color indexed="81"/>
            <rFont val="Tahoma"/>
            <family val="2"/>
          </rPr>
          <t>Author:</t>
        </r>
        <r>
          <rPr>
            <sz val="9"/>
            <color indexed="81"/>
            <rFont val="Tahoma"/>
            <family val="2"/>
          </rPr>
          <t xml:space="preserve">
From Marin2023</t>
        </r>
      </text>
    </comment>
    <comment ref="AP50" authorId="0" shapeId="0" xr:uid="{00000000-0006-0000-0000-00007D020000}">
      <text>
        <r>
          <rPr>
            <b/>
            <sz val="9"/>
            <color indexed="81"/>
            <rFont val="Tahoma"/>
            <family val="2"/>
          </rPr>
          <t>Author:</t>
        </r>
        <r>
          <rPr>
            <sz val="9"/>
            <color indexed="81"/>
            <rFont val="Tahoma"/>
            <family val="2"/>
          </rPr>
          <t xml:space="preserve">
Compression work from 20 to 100 bars</t>
        </r>
      </text>
    </comment>
    <comment ref="AQ50" authorId="0" shapeId="0" xr:uid="{00000000-0006-0000-0000-00007E020000}">
      <text>
        <r>
          <rPr>
            <b/>
            <sz val="9"/>
            <color indexed="81"/>
            <rFont val="Tahoma"/>
            <family val="2"/>
          </rPr>
          <t>Author:</t>
        </r>
        <r>
          <rPr>
            <sz val="9"/>
            <color indexed="81"/>
            <rFont val="Tahoma"/>
            <family val="2"/>
          </rPr>
          <t xml:space="preserve">
Compression work from 20 to 100 bars</t>
        </r>
      </text>
    </comment>
    <comment ref="AR50" authorId="0" shapeId="0" xr:uid="{00000000-0006-0000-0000-00007F020000}">
      <text>
        <r>
          <rPr>
            <b/>
            <sz val="9"/>
            <color indexed="81"/>
            <rFont val="Tahoma"/>
            <family val="2"/>
          </rPr>
          <t>Author:</t>
        </r>
        <r>
          <rPr>
            <sz val="9"/>
            <color indexed="81"/>
            <rFont val="Tahoma"/>
            <family val="2"/>
          </rPr>
          <t xml:space="preserve">
Compression work from 20 to 100 bars</t>
        </r>
      </text>
    </comment>
    <comment ref="AS50" authorId="0" shapeId="0" xr:uid="{00000000-0006-0000-0000-000080020000}">
      <text>
        <r>
          <rPr>
            <b/>
            <sz val="9"/>
            <color indexed="81"/>
            <rFont val="Tahoma"/>
            <family val="2"/>
          </rPr>
          <t>Author:</t>
        </r>
        <r>
          <rPr>
            <sz val="9"/>
            <color indexed="81"/>
            <rFont val="Tahoma"/>
            <family val="2"/>
          </rPr>
          <t xml:space="preserve">
Compression work from 20 to 100 bars</t>
        </r>
      </text>
    </comment>
    <comment ref="AD52" authorId="0" shapeId="0" xr:uid="{00000000-0006-0000-0000-000081020000}">
      <text>
        <r>
          <rPr>
            <b/>
            <sz val="9"/>
            <color indexed="81"/>
            <rFont val="Tahoma"/>
            <family val="2"/>
          </rPr>
          <t>Author:</t>
        </r>
        <r>
          <rPr>
            <sz val="9"/>
            <color indexed="81"/>
            <rFont val="Tahoma"/>
            <family val="2"/>
          </rPr>
          <t xml:space="preserve">
Based on Papadias2021</t>
        </r>
      </text>
    </comment>
    <comment ref="AE52" authorId="0" shapeId="0" xr:uid="{00000000-0006-0000-0000-000082020000}">
      <text>
        <r>
          <rPr>
            <b/>
            <sz val="9"/>
            <color indexed="81"/>
            <rFont val="Tahoma"/>
            <family val="2"/>
          </rPr>
          <t>Author:</t>
        </r>
        <r>
          <rPr>
            <sz val="9"/>
            <color indexed="81"/>
            <rFont val="Tahoma"/>
            <family val="2"/>
          </rPr>
          <t xml:space="preserve">
Based on Papadias2021 assuming same values as of 2020</t>
        </r>
      </text>
    </comment>
    <comment ref="AF52" authorId="0" shapeId="0" xr:uid="{00000000-0006-0000-0000-000083020000}">
      <text>
        <r>
          <rPr>
            <b/>
            <sz val="9"/>
            <color indexed="81"/>
            <rFont val="Tahoma"/>
            <family val="2"/>
          </rPr>
          <t>Author:</t>
        </r>
        <r>
          <rPr>
            <sz val="9"/>
            <color indexed="81"/>
            <rFont val="Tahoma"/>
            <family val="2"/>
          </rPr>
          <t xml:space="preserve">
Based on Papadias2021 assuming same values as of 2020</t>
        </r>
      </text>
    </comment>
    <comment ref="AG52" authorId="0" shapeId="0" xr:uid="{00000000-0006-0000-0000-000084020000}">
      <text>
        <r>
          <rPr>
            <b/>
            <sz val="9"/>
            <color indexed="81"/>
            <rFont val="Tahoma"/>
            <family val="2"/>
          </rPr>
          <t>Author:</t>
        </r>
        <r>
          <rPr>
            <sz val="9"/>
            <color indexed="81"/>
            <rFont val="Tahoma"/>
            <family val="2"/>
          </rPr>
          <t xml:space="preserve">
Based on Papadias2021 assuming same values as of 2020</t>
        </r>
      </text>
    </comment>
    <comment ref="AT52" authorId="0" shapeId="0" xr:uid="{00000000-0006-0000-0000-000085020000}">
      <text>
        <r>
          <rPr>
            <b/>
            <sz val="9"/>
            <color indexed="81"/>
            <rFont val="Tahoma"/>
            <family val="2"/>
          </rPr>
          <t>Author:</t>
        </r>
        <r>
          <rPr>
            <sz val="9"/>
            <color indexed="81"/>
            <rFont val="Tahoma"/>
            <family val="2"/>
          </rPr>
          <t xml:space="preserve">
Based on Induspart2023 for a working pressure around 100 bars</t>
        </r>
      </text>
    </comment>
    <comment ref="AU52" authorId="0" shapeId="0" xr:uid="{00000000-0006-0000-0000-000086020000}">
      <text>
        <r>
          <rPr>
            <b/>
            <sz val="9"/>
            <color indexed="81"/>
            <rFont val="Tahoma"/>
            <family val="2"/>
          </rPr>
          <t>Author:</t>
        </r>
        <r>
          <rPr>
            <sz val="9"/>
            <color indexed="81"/>
            <rFont val="Tahoma"/>
            <family val="2"/>
          </rPr>
          <t xml:space="preserve">
Based on Induspart2023 for a working pressure around 100 bars</t>
        </r>
      </text>
    </comment>
    <comment ref="AV52" authorId="0" shapeId="0" xr:uid="{00000000-0006-0000-0000-000087020000}">
      <text>
        <r>
          <rPr>
            <b/>
            <sz val="9"/>
            <color indexed="81"/>
            <rFont val="Tahoma"/>
            <family val="2"/>
          </rPr>
          <t>Author:</t>
        </r>
        <r>
          <rPr>
            <sz val="9"/>
            <color indexed="81"/>
            <rFont val="Tahoma"/>
            <family val="2"/>
          </rPr>
          <t xml:space="preserve">
Based on Induspart2023 for a working pressure around 100 bars</t>
        </r>
      </text>
    </comment>
    <comment ref="AW52" authorId="0" shapeId="0" xr:uid="{00000000-0006-0000-0000-000088020000}">
      <text>
        <r>
          <rPr>
            <b/>
            <sz val="9"/>
            <color indexed="81"/>
            <rFont val="Tahoma"/>
            <family val="2"/>
          </rPr>
          <t>Author:</t>
        </r>
        <r>
          <rPr>
            <sz val="9"/>
            <color indexed="81"/>
            <rFont val="Tahoma"/>
            <family val="2"/>
          </rPr>
          <t xml:space="preserve">
Based on Induspart2023 for a working pressure around 100 bars</t>
        </r>
      </text>
    </comment>
    <comment ref="AX52" authorId="0" shapeId="0" xr:uid="{00000000-0006-0000-0000-000089020000}">
      <text>
        <r>
          <rPr>
            <b/>
            <sz val="9"/>
            <color indexed="81"/>
            <rFont val="Tahoma"/>
            <family val="2"/>
          </rPr>
          <t>Author:</t>
        </r>
        <r>
          <rPr>
            <sz val="9"/>
            <color indexed="81"/>
            <rFont val="Tahoma"/>
            <family val="2"/>
          </rPr>
          <t xml:space="preserve">
3% Capex based on Induspart2023</t>
        </r>
      </text>
    </comment>
    <comment ref="AY52" authorId="0" shapeId="0" xr:uid="{00000000-0006-0000-0000-00008A020000}">
      <text>
        <r>
          <rPr>
            <b/>
            <sz val="9"/>
            <color indexed="81"/>
            <rFont val="Tahoma"/>
            <family val="2"/>
          </rPr>
          <t>Author:</t>
        </r>
        <r>
          <rPr>
            <sz val="9"/>
            <color indexed="81"/>
            <rFont val="Tahoma"/>
            <family val="2"/>
          </rPr>
          <t xml:space="preserve">
3% Capex based on Induspart2023</t>
        </r>
      </text>
    </comment>
    <comment ref="AZ52" authorId="0" shapeId="0" xr:uid="{00000000-0006-0000-0000-00008B020000}">
      <text>
        <r>
          <rPr>
            <b/>
            <sz val="9"/>
            <color indexed="81"/>
            <rFont val="Tahoma"/>
            <family val="2"/>
          </rPr>
          <t>Author:</t>
        </r>
        <r>
          <rPr>
            <sz val="9"/>
            <color indexed="81"/>
            <rFont val="Tahoma"/>
            <family val="2"/>
          </rPr>
          <t xml:space="preserve">
3% Capex based on Induspart2023</t>
        </r>
      </text>
    </comment>
    <comment ref="BA52" authorId="0" shapeId="0" xr:uid="{00000000-0006-0000-0000-00008C020000}">
      <text>
        <r>
          <rPr>
            <b/>
            <sz val="9"/>
            <color indexed="81"/>
            <rFont val="Tahoma"/>
            <family val="2"/>
          </rPr>
          <t>Author:</t>
        </r>
        <r>
          <rPr>
            <sz val="9"/>
            <color indexed="81"/>
            <rFont val="Tahoma"/>
            <family val="2"/>
          </rPr>
          <t xml:space="preserve">
3% Capex based on Induspart2023</t>
        </r>
      </text>
    </comment>
    <comment ref="BV52" authorId="0" shapeId="0" xr:uid="{00000000-0006-0000-0000-00008D020000}">
      <text>
        <r>
          <rPr>
            <b/>
            <sz val="9"/>
            <color indexed="81"/>
            <rFont val="Tahoma"/>
            <family val="2"/>
          </rPr>
          <t>Author:</t>
        </r>
        <r>
          <rPr>
            <sz val="9"/>
            <color indexed="81"/>
            <rFont val="Tahoma"/>
            <family val="2"/>
          </rPr>
          <t xml:space="preserve">
From Marin2023</t>
        </r>
      </text>
    </comment>
    <comment ref="BW52" authorId="0" shapeId="0" xr:uid="{00000000-0006-0000-0000-00008E020000}">
      <text>
        <r>
          <rPr>
            <b/>
            <sz val="9"/>
            <color indexed="81"/>
            <rFont val="Tahoma"/>
            <family val="2"/>
          </rPr>
          <t>Author:</t>
        </r>
        <r>
          <rPr>
            <sz val="9"/>
            <color indexed="81"/>
            <rFont val="Tahoma"/>
            <family val="2"/>
          </rPr>
          <t xml:space="preserve">
From Marin2023</t>
        </r>
      </text>
    </comment>
    <comment ref="BX52" authorId="0" shapeId="0" xr:uid="{00000000-0006-0000-0000-00008F020000}">
      <text>
        <r>
          <rPr>
            <b/>
            <sz val="9"/>
            <color indexed="81"/>
            <rFont val="Tahoma"/>
            <family val="2"/>
          </rPr>
          <t>Author:</t>
        </r>
        <r>
          <rPr>
            <sz val="9"/>
            <color indexed="81"/>
            <rFont val="Tahoma"/>
            <family val="2"/>
          </rPr>
          <t xml:space="preserve">
From Marin2023</t>
        </r>
      </text>
    </comment>
    <comment ref="BY52" authorId="0" shapeId="0" xr:uid="{00000000-0006-0000-0000-000090020000}">
      <text>
        <r>
          <rPr>
            <b/>
            <sz val="9"/>
            <color indexed="81"/>
            <rFont val="Tahoma"/>
            <family val="2"/>
          </rPr>
          <t>Author:</t>
        </r>
        <r>
          <rPr>
            <sz val="9"/>
            <color indexed="81"/>
            <rFont val="Tahoma"/>
            <family val="2"/>
          </rPr>
          <t xml:space="preserve">
From Marin2023</t>
        </r>
      </text>
    </comment>
    <comment ref="AT53" authorId="0" shapeId="0" xr:uid="{00000000-0006-0000-0000-000091020000}">
      <text>
        <r>
          <rPr>
            <b/>
            <sz val="9"/>
            <color indexed="81"/>
            <rFont val="Tahoma"/>
            <family val="2"/>
          </rPr>
          <t>Author:</t>
        </r>
        <r>
          <rPr>
            <sz val="9"/>
            <color indexed="81"/>
            <rFont val="Tahoma"/>
            <family val="2"/>
          </rPr>
          <t xml:space="preserve">
Based on Campion2023</t>
        </r>
      </text>
    </comment>
    <comment ref="AU53" authorId="0" shapeId="0" xr:uid="{00000000-0006-0000-0000-000092020000}">
      <text>
        <r>
          <rPr>
            <b/>
            <sz val="9"/>
            <color indexed="81"/>
            <rFont val="Tahoma"/>
            <family val="2"/>
          </rPr>
          <t>Author:</t>
        </r>
        <r>
          <rPr>
            <sz val="9"/>
            <color indexed="81"/>
            <rFont val="Tahoma"/>
            <family val="2"/>
          </rPr>
          <t xml:space="preserve">
From Campion2021</t>
        </r>
      </text>
    </comment>
    <comment ref="AV53" authorId="0" shapeId="0" xr:uid="{00000000-0006-0000-0000-000093020000}">
      <text>
        <r>
          <rPr>
            <b/>
            <sz val="9"/>
            <color indexed="81"/>
            <rFont val="Tahoma"/>
            <family val="2"/>
          </rPr>
          <t>Author:</t>
        </r>
        <r>
          <rPr>
            <sz val="9"/>
            <color indexed="81"/>
            <rFont val="Tahoma"/>
            <family val="2"/>
          </rPr>
          <t xml:space="preserve">
From Campion2021</t>
        </r>
      </text>
    </comment>
    <comment ref="AW53" authorId="0" shapeId="0" xr:uid="{00000000-0006-0000-0000-000094020000}">
      <text>
        <r>
          <rPr>
            <b/>
            <sz val="9"/>
            <color indexed="81"/>
            <rFont val="Tahoma"/>
            <family val="2"/>
          </rPr>
          <t>Author:</t>
        </r>
        <r>
          <rPr>
            <sz val="9"/>
            <color indexed="81"/>
            <rFont val="Tahoma"/>
            <family val="2"/>
          </rPr>
          <t xml:space="preserve">
From Campion2021</t>
        </r>
      </text>
    </comment>
    <comment ref="AX53" authorId="0" shapeId="0" xr:uid="{00000000-0006-0000-0000-000095020000}">
      <text>
        <r>
          <rPr>
            <b/>
            <sz val="9"/>
            <color indexed="81"/>
            <rFont val="Tahoma"/>
            <family val="2"/>
          </rPr>
          <t>Author:</t>
        </r>
        <r>
          <rPr>
            <sz val="9"/>
            <color indexed="81"/>
            <rFont val="Tahoma"/>
            <family val="2"/>
          </rPr>
          <t xml:space="preserve">
Based on Campion2023</t>
        </r>
      </text>
    </comment>
    <comment ref="AY53" authorId="0" shapeId="0" xr:uid="{00000000-0006-0000-0000-000096020000}">
      <text>
        <r>
          <rPr>
            <b/>
            <sz val="9"/>
            <color indexed="81"/>
            <rFont val="Tahoma"/>
            <family val="2"/>
          </rPr>
          <t>Author:</t>
        </r>
        <r>
          <rPr>
            <sz val="9"/>
            <color indexed="81"/>
            <rFont val="Tahoma"/>
            <family val="2"/>
          </rPr>
          <t xml:space="preserve">
From Campion2021</t>
        </r>
      </text>
    </comment>
    <comment ref="AZ53" authorId="0" shapeId="0" xr:uid="{00000000-0006-0000-0000-000097020000}">
      <text>
        <r>
          <rPr>
            <b/>
            <sz val="9"/>
            <color indexed="81"/>
            <rFont val="Tahoma"/>
            <family val="2"/>
          </rPr>
          <t>Author:</t>
        </r>
        <r>
          <rPr>
            <sz val="9"/>
            <color indexed="81"/>
            <rFont val="Tahoma"/>
            <family val="2"/>
          </rPr>
          <t xml:space="preserve">
From Campion2021</t>
        </r>
      </text>
    </comment>
    <comment ref="BA53" authorId="0" shapeId="0" xr:uid="{00000000-0006-0000-0000-000098020000}">
      <text>
        <r>
          <rPr>
            <b/>
            <sz val="9"/>
            <color indexed="81"/>
            <rFont val="Tahoma"/>
            <family val="2"/>
          </rPr>
          <t>Author:</t>
        </r>
        <r>
          <rPr>
            <sz val="9"/>
            <color indexed="81"/>
            <rFont val="Tahoma"/>
            <family val="2"/>
          </rPr>
          <t xml:space="preserve">
From Campion2021</t>
        </r>
      </text>
    </comment>
    <comment ref="BB53" authorId="0" shapeId="0" xr:uid="{00000000-0006-0000-0000-000099020000}">
      <text>
        <r>
          <rPr>
            <b/>
            <sz val="9"/>
            <color indexed="81"/>
            <rFont val="Tahoma"/>
            <family val="2"/>
          </rPr>
          <t>Author:</t>
        </r>
        <r>
          <rPr>
            <sz val="9"/>
            <color indexed="81"/>
            <rFont val="Tahoma"/>
            <family val="2"/>
          </rPr>
          <t xml:space="preserve">
Based on Campion2023</t>
        </r>
      </text>
    </comment>
    <comment ref="BC53" authorId="0" shapeId="0" xr:uid="{00000000-0006-0000-0000-00009A020000}">
      <text>
        <r>
          <rPr>
            <b/>
            <sz val="9"/>
            <color indexed="81"/>
            <rFont val="Tahoma"/>
            <family val="2"/>
          </rPr>
          <t>Author:</t>
        </r>
        <r>
          <rPr>
            <sz val="9"/>
            <color indexed="81"/>
            <rFont val="Tahoma"/>
            <family val="2"/>
          </rPr>
          <t xml:space="preserve">
From Campion2021</t>
        </r>
      </text>
    </comment>
    <comment ref="BD53" authorId="0" shapeId="0" xr:uid="{00000000-0006-0000-0000-00009B020000}">
      <text>
        <r>
          <rPr>
            <b/>
            <sz val="9"/>
            <color indexed="81"/>
            <rFont val="Tahoma"/>
            <family val="2"/>
          </rPr>
          <t>Author:</t>
        </r>
        <r>
          <rPr>
            <sz val="9"/>
            <color indexed="81"/>
            <rFont val="Tahoma"/>
            <family val="2"/>
          </rPr>
          <t xml:space="preserve">
From Campion2021</t>
        </r>
      </text>
    </comment>
    <comment ref="BE53" authorId="0" shapeId="0" xr:uid="{00000000-0006-0000-0000-00009C020000}">
      <text>
        <r>
          <rPr>
            <b/>
            <sz val="9"/>
            <color indexed="81"/>
            <rFont val="Tahoma"/>
            <family val="2"/>
          </rPr>
          <t>Author:</t>
        </r>
        <r>
          <rPr>
            <sz val="9"/>
            <color indexed="81"/>
            <rFont val="Tahoma"/>
            <family val="2"/>
          </rPr>
          <t xml:space="preserve">
From Campion2021</t>
        </r>
      </text>
    </comment>
    <comment ref="AT54" authorId="0" shapeId="0" xr:uid="{00000000-0006-0000-0000-00009D020000}">
      <text>
        <r>
          <rPr>
            <b/>
            <sz val="9"/>
            <color indexed="81"/>
            <rFont val="Tahoma"/>
            <family val="2"/>
          </rPr>
          <t>Author:</t>
        </r>
        <r>
          <rPr>
            <sz val="9"/>
            <color indexed="81"/>
            <rFont val="Tahoma"/>
            <family val="2"/>
          </rPr>
          <t xml:space="preserve">
Based on Campion2023</t>
        </r>
      </text>
    </comment>
    <comment ref="AU54" authorId="0" shapeId="0" xr:uid="{00000000-0006-0000-0000-00009E020000}">
      <text>
        <r>
          <rPr>
            <b/>
            <sz val="9"/>
            <color indexed="81"/>
            <rFont val="Tahoma"/>
            <family val="2"/>
          </rPr>
          <t>Author:</t>
        </r>
        <r>
          <rPr>
            <sz val="9"/>
            <color indexed="81"/>
            <rFont val="Tahoma"/>
            <family val="2"/>
          </rPr>
          <t xml:space="preserve">
From Campion2021</t>
        </r>
      </text>
    </comment>
    <comment ref="AV54" authorId="0" shapeId="0" xr:uid="{00000000-0006-0000-0000-00009F020000}">
      <text>
        <r>
          <rPr>
            <b/>
            <sz val="9"/>
            <color indexed="81"/>
            <rFont val="Tahoma"/>
            <family val="2"/>
          </rPr>
          <t>Author:</t>
        </r>
        <r>
          <rPr>
            <sz val="9"/>
            <color indexed="81"/>
            <rFont val="Tahoma"/>
            <family val="2"/>
          </rPr>
          <t xml:space="preserve">
From Campion2021</t>
        </r>
      </text>
    </comment>
    <comment ref="AW54" authorId="0" shapeId="0" xr:uid="{00000000-0006-0000-0000-0000A0020000}">
      <text>
        <r>
          <rPr>
            <b/>
            <sz val="9"/>
            <color indexed="81"/>
            <rFont val="Tahoma"/>
            <family val="2"/>
          </rPr>
          <t>Author:</t>
        </r>
        <r>
          <rPr>
            <sz val="9"/>
            <color indexed="81"/>
            <rFont val="Tahoma"/>
            <family val="2"/>
          </rPr>
          <t xml:space="preserve">
From Campion2021</t>
        </r>
      </text>
    </comment>
    <comment ref="AX54" authorId="0" shapeId="0" xr:uid="{00000000-0006-0000-0000-0000A1020000}">
      <text>
        <r>
          <rPr>
            <b/>
            <sz val="9"/>
            <color indexed="81"/>
            <rFont val="Tahoma"/>
            <family val="2"/>
          </rPr>
          <t>Author:</t>
        </r>
        <r>
          <rPr>
            <sz val="9"/>
            <color indexed="81"/>
            <rFont val="Tahoma"/>
            <family val="2"/>
          </rPr>
          <t xml:space="preserve">
Based on Campion2023</t>
        </r>
      </text>
    </comment>
    <comment ref="AY54" authorId="0" shapeId="0" xr:uid="{00000000-0006-0000-0000-0000A2020000}">
      <text>
        <r>
          <rPr>
            <b/>
            <sz val="9"/>
            <color indexed="81"/>
            <rFont val="Tahoma"/>
            <family val="2"/>
          </rPr>
          <t>Author:</t>
        </r>
        <r>
          <rPr>
            <sz val="9"/>
            <color indexed="81"/>
            <rFont val="Tahoma"/>
            <family val="2"/>
          </rPr>
          <t xml:space="preserve">
From Campion2021</t>
        </r>
      </text>
    </comment>
    <comment ref="AZ54" authorId="0" shapeId="0" xr:uid="{00000000-0006-0000-0000-0000A3020000}">
      <text>
        <r>
          <rPr>
            <b/>
            <sz val="9"/>
            <color indexed="81"/>
            <rFont val="Tahoma"/>
            <family val="2"/>
          </rPr>
          <t>Author:</t>
        </r>
        <r>
          <rPr>
            <sz val="9"/>
            <color indexed="81"/>
            <rFont val="Tahoma"/>
            <family val="2"/>
          </rPr>
          <t xml:space="preserve">
From Campion2021</t>
        </r>
      </text>
    </comment>
    <comment ref="BA54" authorId="0" shapeId="0" xr:uid="{00000000-0006-0000-0000-0000A4020000}">
      <text>
        <r>
          <rPr>
            <b/>
            <sz val="9"/>
            <color indexed="81"/>
            <rFont val="Tahoma"/>
            <family val="2"/>
          </rPr>
          <t>Author:</t>
        </r>
        <r>
          <rPr>
            <sz val="9"/>
            <color indexed="81"/>
            <rFont val="Tahoma"/>
            <family val="2"/>
          </rPr>
          <t xml:space="preserve">
From Campion2021</t>
        </r>
      </text>
    </comment>
    <comment ref="BB54" authorId="0" shapeId="0" xr:uid="{00000000-0006-0000-0000-0000A5020000}">
      <text>
        <r>
          <rPr>
            <b/>
            <sz val="9"/>
            <color indexed="81"/>
            <rFont val="Tahoma"/>
            <family val="2"/>
          </rPr>
          <t>Author:</t>
        </r>
        <r>
          <rPr>
            <sz val="9"/>
            <color indexed="81"/>
            <rFont val="Tahoma"/>
            <family val="2"/>
          </rPr>
          <t xml:space="preserve">
Based on Campion2023</t>
        </r>
      </text>
    </comment>
    <comment ref="BC54" authorId="0" shapeId="0" xr:uid="{00000000-0006-0000-0000-0000A6020000}">
      <text>
        <r>
          <rPr>
            <b/>
            <sz val="9"/>
            <color indexed="81"/>
            <rFont val="Tahoma"/>
            <family val="2"/>
          </rPr>
          <t>Author:</t>
        </r>
        <r>
          <rPr>
            <sz val="9"/>
            <color indexed="81"/>
            <rFont val="Tahoma"/>
            <family val="2"/>
          </rPr>
          <t xml:space="preserve">
From Campion2021</t>
        </r>
      </text>
    </comment>
    <comment ref="BD54" authorId="0" shapeId="0" xr:uid="{00000000-0006-0000-0000-0000A7020000}">
      <text>
        <r>
          <rPr>
            <b/>
            <sz val="9"/>
            <color indexed="81"/>
            <rFont val="Tahoma"/>
            <family val="2"/>
          </rPr>
          <t>Author:</t>
        </r>
        <r>
          <rPr>
            <sz val="9"/>
            <color indexed="81"/>
            <rFont val="Tahoma"/>
            <family val="2"/>
          </rPr>
          <t xml:space="preserve">
From Campion2021</t>
        </r>
      </text>
    </comment>
    <comment ref="BE54" authorId="0" shapeId="0" xr:uid="{00000000-0006-0000-0000-0000A8020000}">
      <text>
        <r>
          <rPr>
            <b/>
            <sz val="9"/>
            <color indexed="81"/>
            <rFont val="Tahoma"/>
            <family val="2"/>
          </rPr>
          <t>Author:</t>
        </r>
        <r>
          <rPr>
            <sz val="9"/>
            <color indexed="81"/>
            <rFont val="Tahoma"/>
            <family val="2"/>
          </rPr>
          <t xml:space="preserve">
From Campion2021</t>
        </r>
      </text>
    </comment>
    <comment ref="AT55" authorId="0" shapeId="0" xr:uid="{00000000-0006-0000-0000-0000A9020000}">
      <text>
        <r>
          <rPr>
            <b/>
            <sz val="9"/>
            <color indexed="81"/>
            <rFont val="Tahoma"/>
            <family val="2"/>
          </rPr>
          <t>Author:</t>
        </r>
        <r>
          <rPr>
            <sz val="9"/>
            <color indexed="81"/>
            <rFont val="Tahoma"/>
            <family val="2"/>
          </rPr>
          <t xml:space="preserve">
Based on Campion2023</t>
        </r>
      </text>
    </comment>
    <comment ref="AU55" authorId="0" shapeId="0" xr:uid="{00000000-0006-0000-0000-0000AA020000}">
      <text>
        <r>
          <rPr>
            <b/>
            <sz val="9"/>
            <color indexed="81"/>
            <rFont val="Tahoma"/>
            <family val="2"/>
          </rPr>
          <t>Author:</t>
        </r>
        <r>
          <rPr>
            <sz val="9"/>
            <color indexed="81"/>
            <rFont val="Tahoma"/>
            <family val="2"/>
          </rPr>
          <t xml:space="preserve">
From Campion2021</t>
        </r>
      </text>
    </comment>
    <comment ref="AV55" authorId="0" shapeId="0" xr:uid="{00000000-0006-0000-0000-0000AB020000}">
      <text>
        <r>
          <rPr>
            <b/>
            <sz val="9"/>
            <color indexed="81"/>
            <rFont val="Tahoma"/>
            <family val="2"/>
          </rPr>
          <t>Author:</t>
        </r>
        <r>
          <rPr>
            <sz val="9"/>
            <color indexed="81"/>
            <rFont val="Tahoma"/>
            <family val="2"/>
          </rPr>
          <t xml:space="preserve">
From Campion2021</t>
        </r>
      </text>
    </comment>
    <comment ref="AW55" authorId="0" shapeId="0" xr:uid="{00000000-0006-0000-0000-0000AC020000}">
      <text>
        <r>
          <rPr>
            <b/>
            <sz val="9"/>
            <color indexed="81"/>
            <rFont val="Tahoma"/>
            <family val="2"/>
          </rPr>
          <t>Author:</t>
        </r>
        <r>
          <rPr>
            <sz val="9"/>
            <color indexed="81"/>
            <rFont val="Tahoma"/>
            <family val="2"/>
          </rPr>
          <t xml:space="preserve">
From Campion2021</t>
        </r>
      </text>
    </comment>
    <comment ref="AX55" authorId="0" shapeId="0" xr:uid="{00000000-0006-0000-0000-0000AD020000}">
      <text>
        <r>
          <rPr>
            <b/>
            <sz val="9"/>
            <color indexed="81"/>
            <rFont val="Tahoma"/>
            <family val="2"/>
          </rPr>
          <t>Author:</t>
        </r>
        <r>
          <rPr>
            <sz val="9"/>
            <color indexed="81"/>
            <rFont val="Tahoma"/>
            <family val="2"/>
          </rPr>
          <t xml:space="preserve">
Based on Campion2023</t>
        </r>
      </text>
    </comment>
    <comment ref="AY55" authorId="0" shapeId="0" xr:uid="{00000000-0006-0000-0000-0000AE020000}">
      <text>
        <r>
          <rPr>
            <b/>
            <sz val="9"/>
            <color indexed="81"/>
            <rFont val="Tahoma"/>
            <family val="2"/>
          </rPr>
          <t>Author:</t>
        </r>
        <r>
          <rPr>
            <sz val="9"/>
            <color indexed="81"/>
            <rFont val="Tahoma"/>
            <family val="2"/>
          </rPr>
          <t xml:space="preserve">
From Campion2021</t>
        </r>
      </text>
    </comment>
    <comment ref="AZ55" authorId="0" shapeId="0" xr:uid="{00000000-0006-0000-0000-0000AF020000}">
      <text>
        <r>
          <rPr>
            <b/>
            <sz val="9"/>
            <color indexed="81"/>
            <rFont val="Tahoma"/>
            <family val="2"/>
          </rPr>
          <t>Author:</t>
        </r>
        <r>
          <rPr>
            <sz val="9"/>
            <color indexed="81"/>
            <rFont val="Tahoma"/>
            <family val="2"/>
          </rPr>
          <t xml:space="preserve">
From Campion2021</t>
        </r>
      </text>
    </comment>
    <comment ref="BA55" authorId="0" shapeId="0" xr:uid="{00000000-0006-0000-0000-0000B0020000}">
      <text>
        <r>
          <rPr>
            <b/>
            <sz val="9"/>
            <color indexed="81"/>
            <rFont val="Tahoma"/>
            <family val="2"/>
          </rPr>
          <t>Author:</t>
        </r>
        <r>
          <rPr>
            <sz val="9"/>
            <color indexed="81"/>
            <rFont val="Tahoma"/>
            <family val="2"/>
          </rPr>
          <t xml:space="preserve">
From Campion2021</t>
        </r>
      </text>
    </comment>
    <comment ref="BB55" authorId="0" shapeId="0" xr:uid="{00000000-0006-0000-0000-0000B1020000}">
      <text>
        <r>
          <rPr>
            <b/>
            <sz val="9"/>
            <color indexed="81"/>
            <rFont val="Tahoma"/>
            <family val="2"/>
          </rPr>
          <t>Author:</t>
        </r>
        <r>
          <rPr>
            <sz val="9"/>
            <color indexed="81"/>
            <rFont val="Tahoma"/>
            <family val="2"/>
          </rPr>
          <t xml:space="preserve">
Based on Campion2023</t>
        </r>
      </text>
    </comment>
    <comment ref="BC55" authorId="0" shapeId="0" xr:uid="{00000000-0006-0000-0000-0000B2020000}">
      <text>
        <r>
          <rPr>
            <b/>
            <sz val="9"/>
            <color indexed="81"/>
            <rFont val="Tahoma"/>
            <family val="2"/>
          </rPr>
          <t>Author:</t>
        </r>
        <r>
          <rPr>
            <sz val="9"/>
            <color indexed="81"/>
            <rFont val="Tahoma"/>
            <family val="2"/>
          </rPr>
          <t xml:space="preserve">
From Campion2021</t>
        </r>
      </text>
    </comment>
    <comment ref="BD55" authorId="0" shapeId="0" xr:uid="{00000000-0006-0000-0000-0000B3020000}">
      <text>
        <r>
          <rPr>
            <b/>
            <sz val="9"/>
            <color indexed="81"/>
            <rFont val="Tahoma"/>
            <family val="2"/>
          </rPr>
          <t>Author:</t>
        </r>
        <r>
          <rPr>
            <sz val="9"/>
            <color indexed="81"/>
            <rFont val="Tahoma"/>
            <family val="2"/>
          </rPr>
          <t xml:space="preserve">
From Campion2021</t>
        </r>
      </text>
    </comment>
    <comment ref="BE55" authorId="0" shapeId="0" xr:uid="{00000000-0006-0000-0000-0000B4020000}">
      <text>
        <r>
          <rPr>
            <b/>
            <sz val="9"/>
            <color indexed="81"/>
            <rFont val="Tahoma"/>
            <family val="2"/>
          </rPr>
          <t>Author:</t>
        </r>
        <r>
          <rPr>
            <sz val="9"/>
            <color indexed="81"/>
            <rFont val="Tahoma"/>
            <family val="2"/>
          </rPr>
          <t xml:space="preserve">
From Campion2021</t>
        </r>
      </text>
    </comment>
    <comment ref="AT56" authorId="0" shapeId="0" xr:uid="{00000000-0006-0000-0000-0000B5020000}">
      <text>
        <r>
          <rPr>
            <b/>
            <sz val="9"/>
            <color indexed="81"/>
            <rFont val="Tahoma"/>
            <family val="2"/>
          </rPr>
          <t>Author:</t>
        </r>
        <r>
          <rPr>
            <sz val="9"/>
            <color indexed="81"/>
            <rFont val="Tahoma"/>
            <family val="2"/>
          </rPr>
          <t xml:space="preserve">
Based on Campion2023</t>
        </r>
      </text>
    </comment>
    <comment ref="AU56" authorId="0" shapeId="0" xr:uid="{00000000-0006-0000-0000-0000B6020000}">
      <text>
        <r>
          <rPr>
            <b/>
            <sz val="9"/>
            <color indexed="81"/>
            <rFont val="Tahoma"/>
            <family val="2"/>
          </rPr>
          <t>Author:</t>
        </r>
        <r>
          <rPr>
            <sz val="9"/>
            <color indexed="81"/>
            <rFont val="Tahoma"/>
            <family val="2"/>
          </rPr>
          <t xml:space="preserve">
From Campion2021</t>
        </r>
      </text>
    </comment>
    <comment ref="AV56" authorId="0" shapeId="0" xr:uid="{00000000-0006-0000-0000-0000B7020000}">
      <text>
        <r>
          <rPr>
            <b/>
            <sz val="9"/>
            <color indexed="81"/>
            <rFont val="Tahoma"/>
            <family val="2"/>
          </rPr>
          <t>Author:</t>
        </r>
        <r>
          <rPr>
            <sz val="9"/>
            <color indexed="81"/>
            <rFont val="Tahoma"/>
            <family val="2"/>
          </rPr>
          <t xml:space="preserve">
From Campion2021</t>
        </r>
      </text>
    </comment>
    <comment ref="AW56" authorId="0" shapeId="0" xr:uid="{00000000-0006-0000-0000-0000B8020000}">
      <text>
        <r>
          <rPr>
            <b/>
            <sz val="9"/>
            <color indexed="81"/>
            <rFont val="Tahoma"/>
            <family val="2"/>
          </rPr>
          <t>Author:</t>
        </r>
        <r>
          <rPr>
            <sz val="9"/>
            <color indexed="81"/>
            <rFont val="Tahoma"/>
            <family val="2"/>
          </rPr>
          <t xml:space="preserve">
From Campion2021</t>
        </r>
      </text>
    </comment>
    <comment ref="AX56" authorId="0" shapeId="0" xr:uid="{00000000-0006-0000-0000-0000B9020000}">
      <text>
        <r>
          <rPr>
            <b/>
            <sz val="9"/>
            <color indexed="81"/>
            <rFont val="Tahoma"/>
            <family val="2"/>
          </rPr>
          <t>Author:</t>
        </r>
        <r>
          <rPr>
            <sz val="9"/>
            <color indexed="81"/>
            <rFont val="Tahoma"/>
            <family val="2"/>
          </rPr>
          <t xml:space="preserve">
Based on Campion2023</t>
        </r>
      </text>
    </comment>
    <comment ref="AY56" authorId="0" shapeId="0" xr:uid="{00000000-0006-0000-0000-0000BA020000}">
      <text>
        <r>
          <rPr>
            <b/>
            <sz val="9"/>
            <color indexed="81"/>
            <rFont val="Tahoma"/>
            <family val="2"/>
          </rPr>
          <t>Author:</t>
        </r>
        <r>
          <rPr>
            <sz val="9"/>
            <color indexed="81"/>
            <rFont val="Tahoma"/>
            <family val="2"/>
          </rPr>
          <t xml:space="preserve">
From Campion2021</t>
        </r>
      </text>
    </comment>
    <comment ref="AZ56" authorId="0" shapeId="0" xr:uid="{00000000-0006-0000-0000-0000BB020000}">
      <text>
        <r>
          <rPr>
            <b/>
            <sz val="9"/>
            <color indexed="81"/>
            <rFont val="Tahoma"/>
            <family val="2"/>
          </rPr>
          <t>Author:</t>
        </r>
        <r>
          <rPr>
            <sz val="9"/>
            <color indexed="81"/>
            <rFont val="Tahoma"/>
            <family val="2"/>
          </rPr>
          <t xml:space="preserve">
From Campion2021</t>
        </r>
      </text>
    </comment>
    <comment ref="BA56" authorId="0" shapeId="0" xr:uid="{00000000-0006-0000-0000-0000BC020000}">
      <text>
        <r>
          <rPr>
            <b/>
            <sz val="9"/>
            <color indexed="81"/>
            <rFont val="Tahoma"/>
            <family val="2"/>
          </rPr>
          <t>Author:</t>
        </r>
        <r>
          <rPr>
            <sz val="9"/>
            <color indexed="81"/>
            <rFont val="Tahoma"/>
            <family val="2"/>
          </rPr>
          <t xml:space="preserve">
From Campion2021</t>
        </r>
      </text>
    </comment>
    <comment ref="BB56" authorId="0" shapeId="0" xr:uid="{00000000-0006-0000-0000-0000BD020000}">
      <text>
        <r>
          <rPr>
            <b/>
            <sz val="9"/>
            <color indexed="81"/>
            <rFont val="Tahoma"/>
            <family val="2"/>
          </rPr>
          <t>Author:</t>
        </r>
        <r>
          <rPr>
            <sz val="9"/>
            <color indexed="81"/>
            <rFont val="Tahoma"/>
            <family val="2"/>
          </rPr>
          <t xml:space="preserve">
Based on Campion2023</t>
        </r>
      </text>
    </comment>
    <comment ref="BC56" authorId="0" shapeId="0" xr:uid="{00000000-0006-0000-0000-0000BE020000}">
      <text>
        <r>
          <rPr>
            <b/>
            <sz val="9"/>
            <color indexed="81"/>
            <rFont val="Tahoma"/>
            <family val="2"/>
          </rPr>
          <t>Author:</t>
        </r>
        <r>
          <rPr>
            <sz val="9"/>
            <color indexed="81"/>
            <rFont val="Tahoma"/>
            <family val="2"/>
          </rPr>
          <t xml:space="preserve">
From Campion2021</t>
        </r>
      </text>
    </comment>
    <comment ref="BD56" authorId="0" shapeId="0" xr:uid="{00000000-0006-0000-0000-0000BF020000}">
      <text>
        <r>
          <rPr>
            <b/>
            <sz val="9"/>
            <color indexed="81"/>
            <rFont val="Tahoma"/>
            <family val="2"/>
          </rPr>
          <t>Author:</t>
        </r>
        <r>
          <rPr>
            <sz val="9"/>
            <color indexed="81"/>
            <rFont val="Tahoma"/>
            <family val="2"/>
          </rPr>
          <t xml:space="preserve">
From Campion2021</t>
        </r>
      </text>
    </comment>
    <comment ref="BE56" authorId="0" shapeId="0" xr:uid="{00000000-0006-0000-0000-0000C0020000}">
      <text>
        <r>
          <rPr>
            <b/>
            <sz val="9"/>
            <color indexed="81"/>
            <rFont val="Tahoma"/>
            <family val="2"/>
          </rPr>
          <t>Author:</t>
        </r>
        <r>
          <rPr>
            <sz val="9"/>
            <color indexed="81"/>
            <rFont val="Tahoma"/>
            <family val="2"/>
          </rPr>
          <t xml:space="preserve">
From Campion2021</t>
        </r>
      </text>
    </comment>
    <comment ref="AT57" authorId="0" shapeId="0" xr:uid="{00000000-0006-0000-0000-0000C1020000}">
      <text>
        <r>
          <rPr>
            <b/>
            <sz val="9"/>
            <color indexed="81"/>
            <rFont val="Tahoma"/>
            <family val="2"/>
          </rPr>
          <t>Author:</t>
        </r>
        <r>
          <rPr>
            <sz val="9"/>
            <color indexed="81"/>
            <rFont val="Tahoma"/>
            <family val="2"/>
          </rPr>
          <t xml:space="preserve">
Based on Campion2023</t>
        </r>
      </text>
    </comment>
    <comment ref="AU57" authorId="0" shapeId="0" xr:uid="{00000000-0006-0000-0000-0000C2020000}">
      <text>
        <r>
          <rPr>
            <b/>
            <sz val="9"/>
            <color indexed="81"/>
            <rFont val="Tahoma"/>
            <family val="2"/>
          </rPr>
          <t>Author:</t>
        </r>
        <r>
          <rPr>
            <sz val="9"/>
            <color indexed="81"/>
            <rFont val="Tahoma"/>
            <family val="2"/>
          </rPr>
          <t xml:space="preserve">
From Campion2021</t>
        </r>
      </text>
    </comment>
    <comment ref="AV57" authorId="0" shapeId="0" xr:uid="{00000000-0006-0000-0000-0000C3020000}">
      <text>
        <r>
          <rPr>
            <b/>
            <sz val="9"/>
            <color indexed="81"/>
            <rFont val="Tahoma"/>
            <family val="2"/>
          </rPr>
          <t>Author:</t>
        </r>
        <r>
          <rPr>
            <sz val="9"/>
            <color indexed="81"/>
            <rFont val="Tahoma"/>
            <family val="2"/>
          </rPr>
          <t xml:space="preserve">
From Campion2021</t>
        </r>
      </text>
    </comment>
    <comment ref="AW57" authorId="0" shapeId="0" xr:uid="{00000000-0006-0000-0000-0000C4020000}">
      <text>
        <r>
          <rPr>
            <b/>
            <sz val="9"/>
            <color indexed="81"/>
            <rFont val="Tahoma"/>
            <family val="2"/>
          </rPr>
          <t>Author:</t>
        </r>
        <r>
          <rPr>
            <sz val="9"/>
            <color indexed="81"/>
            <rFont val="Tahoma"/>
            <family val="2"/>
          </rPr>
          <t xml:space="preserve">
From Campion2021</t>
        </r>
      </text>
    </comment>
    <comment ref="AX57" authorId="0" shapeId="0" xr:uid="{00000000-0006-0000-0000-0000C5020000}">
      <text>
        <r>
          <rPr>
            <b/>
            <sz val="9"/>
            <color indexed="81"/>
            <rFont val="Tahoma"/>
            <family val="2"/>
          </rPr>
          <t>Author:</t>
        </r>
        <r>
          <rPr>
            <sz val="9"/>
            <color indexed="81"/>
            <rFont val="Tahoma"/>
            <family val="2"/>
          </rPr>
          <t xml:space="preserve">
Based on Campion2023</t>
        </r>
      </text>
    </comment>
    <comment ref="AY57" authorId="0" shapeId="0" xr:uid="{00000000-0006-0000-0000-0000C6020000}">
      <text>
        <r>
          <rPr>
            <b/>
            <sz val="9"/>
            <color indexed="81"/>
            <rFont val="Tahoma"/>
            <family val="2"/>
          </rPr>
          <t>Author:</t>
        </r>
        <r>
          <rPr>
            <sz val="9"/>
            <color indexed="81"/>
            <rFont val="Tahoma"/>
            <family val="2"/>
          </rPr>
          <t xml:space="preserve">
From Campion2021</t>
        </r>
      </text>
    </comment>
    <comment ref="AZ57" authorId="0" shapeId="0" xr:uid="{00000000-0006-0000-0000-0000C7020000}">
      <text>
        <r>
          <rPr>
            <b/>
            <sz val="9"/>
            <color indexed="81"/>
            <rFont val="Tahoma"/>
            <family val="2"/>
          </rPr>
          <t>Author:</t>
        </r>
        <r>
          <rPr>
            <sz val="9"/>
            <color indexed="81"/>
            <rFont val="Tahoma"/>
            <family val="2"/>
          </rPr>
          <t xml:space="preserve">
From Campion2021</t>
        </r>
      </text>
    </comment>
    <comment ref="BA57" authorId="0" shapeId="0" xr:uid="{00000000-0006-0000-0000-0000C8020000}">
      <text>
        <r>
          <rPr>
            <b/>
            <sz val="9"/>
            <color indexed="81"/>
            <rFont val="Tahoma"/>
            <family val="2"/>
          </rPr>
          <t>Author:</t>
        </r>
        <r>
          <rPr>
            <sz val="9"/>
            <color indexed="81"/>
            <rFont val="Tahoma"/>
            <family val="2"/>
          </rPr>
          <t xml:space="preserve">
From Campion2021</t>
        </r>
      </text>
    </comment>
    <comment ref="BB57" authorId="0" shapeId="0" xr:uid="{00000000-0006-0000-0000-0000C9020000}">
      <text>
        <r>
          <rPr>
            <b/>
            <sz val="9"/>
            <color indexed="81"/>
            <rFont val="Tahoma"/>
            <family val="2"/>
          </rPr>
          <t>Author:</t>
        </r>
        <r>
          <rPr>
            <sz val="9"/>
            <color indexed="81"/>
            <rFont val="Tahoma"/>
            <family val="2"/>
          </rPr>
          <t xml:space="preserve">
Based on Campion2023</t>
        </r>
      </text>
    </comment>
    <comment ref="BC57" authorId="0" shapeId="0" xr:uid="{00000000-0006-0000-0000-0000CA020000}">
      <text>
        <r>
          <rPr>
            <b/>
            <sz val="9"/>
            <color indexed="81"/>
            <rFont val="Tahoma"/>
            <family val="2"/>
          </rPr>
          <t>Author:</t>
        </r>
        <r>
          <rPr>
            <sz val="9"/>
            <color indexed="81"/>
            <rFont val="Tahoma"/>
            <family val="2"/>
          </rPr>
          <t xml:space="preserve">
From Campion2021</t>
        </r>
      </text>
    </comment>
    <comment ref="BD57" authorId="0" shapeId="0" xr:uid="{00000000-0006-0000-0000-0000CB020000}">
      <text>
        <r>
          <rPr>
            <b/>
            <sz val="9"/>
            <color indexed="81"/>
            <rFont val="Tahoma"/>
            <family val="2"/>
          </rPr>
          <t>Author:</t>
        </r>
        <r>
          <rPr>
            <sz val="9"/>
            <color indexed="81"/>
            <rFont val="Tahoma"/>
            <family val="2"/>
          </rPr>
          <t xml:space="preserve">
From Campion2021</t>
        </r>
      </text>
    </comment>
    <comment ref="BE57" authorId="0" shapeId="0" xr:uid="{00000000-0006-0000-0000-0000CC020000}">
      <text>
        <r>
          <rPr>
            <b/>
            <sz val="9"/>
            <color indexed="81"/>
            <rFont val="Tahoma"/>
            <family val="2"/>
          </rPr>
          <t>Author:</t>
        </r>
        <r>
          <rPr>
            <sz val="9"/>
            <color indexed="81"/>
            <rFont val="Tahoma"/>
            <family val="2"/>
          </rPr>
          <t xml:space="preserve">
From Campion2021</t>
        </r>
      </text>
    </comment>
    <comment ref="AT58" authorId="0" shapeId="0" xr:uid="{00000000-0006-0000-0000-0000CD020000}">
      <text>
        <r>
          <rPr>
            <b/>
            <sz val="9"/>
            <color indexed="81"/>
            <rFont val="Tahoma"/>
            <family val="2"/>
          </rPr>
          <t>Author:</t>
        </r>
        <r>
          <rPr>
            <sz val="9"/>
            <color indexed="81"/>
            <rFont val="Tahoma"/>
            <family val="2"/>
          </rPr>
          <t xml:space="preserve">
Based on Campion2023</t>
        </r>
      </text>
    </comment>
    <comment ref="AU58" authorId="0" shapeId="0" xr:uid="{00000000-0006-0000-0000-0000CE020000}">
      <text>
        <r>
          <rPr>
            <b/>
            <sz val="9"/>
            <color indexed="81"/>
            <rFont val="Tahoma"/>
            <family val="2"/>
          </rPr>
          <t>Author:</t>
        </r>
        <r>
          <rPr>
            <sz val="9"/>
            <color indexed="81"/>
            <rFont val="Tahoma"/>
            <family val="2"/>
          </rPr>
          <t xml:space="preserve">
From Campion2021</t>
        </r>
      </text>
    </comment>
    <comment ref="AV58" authorId="0" shapeId="0" xr:uid="{00000000-0006-0000-0000-0000CF020000}">
      <text>
        <r>
          <rPr>
            <b/>
            <sz val="9"/>
            <color indexed="81"/>
            <rFont val="Tahoma"/>
            <family val="2"/>
          </rPr>
          <t>Author:</t>
        </r>
        <r>
          <rPr>
            <sz val="9"/>
            <color indexed="81"/>
            <rFont val="Tahoma"/>
            <family val="2"/>
          </rPr>
          <t xml:space="preserve">
From Campion2021</t>
        </r>
      </text>
    </comment>
    <comment ref="AW58" authorId="0" shapeId="0" xr:uid="{00000000-0006-0000-0000-0000D0020000}">
      <text>
        <r>
          <rPr>
            <b/>
            <sz val="9"/>
            <color indexed="81"/>
            <rFont val="Tahoma"/>
            <family val="2"/>
          </rPr>
          <t>Author:</t>
        </r>
        <r>
          <rPr>
            <sz val="9"/>
            <color indexed="81"/>
            <rFont val="Tahoma"/>
            <family val="2"/>
          </rPr>
          <t xml:space="preserve">
From Campion2021</t>
        </r>
      </text>
    </comment>
    <comment ref="AX58" authorId="0" shapeId="0" xr:uid="{00000000-0006-0000-0000-0000D1020000}">
      <text>
        <r>
          <rPr>
            <b/>
            <sz val="9"/>
            <color indexed="81"/>
            <rFont val="Tahoma"/>
            <family val="2"/>
          </rPr>
          <t>Author:</t>
        </r>
        <r>
          <rPr>
            <sz val="9"/>
            <color indexed="81"/>
            <rFont val="Tahoma"/>
            <family val="2"/>
          </rPr>
          <t xml:space="preserve">
Based on Campion2023</t>
        </r>
      </text>
    </comment>
    <comment ref="AY58" authorId="0" shapeId="0" xr:uid="{00000000-0006-0000-0000-0000D2020000}">
      <text>
        <r>
          <rPr>
            <b/>
            <sz val="9"/>
            <color indexed="81"/>
            <rFont val="Tahoma"/>
            <family val="2"/>
          </rPr>
          <t>Author:</t>
        </r>
        <r>
          <rPr>
            <sz val="9"/>
            <color indexed="81"/>
            <rFont val="Tahoma"/>
            <family val="2"/>
          </rPr>
          <t xml:space="preserve">
From Campion2021</t>
        </r>
      </text>
    </comment>
    <comment ref="AZ58" authorId="0" shapeId="0" xr:uid="{00000000-0006-0000-0000-0000D3020000}">
      <text>
        <r>
          <rPr>
            <b/>
            <sz val="9"/>
            <color indexed="81"/>
            <rFont val="Tahoma"/>
            <family val="2"/>
          </rPr>
          <t>Author:</t>
        </r>
        <r>
          <rPr>
            <sz val="9"/>
            <color indexed="81"/>
            <rFont val="Tahoma"/>
            <family val="2"/>
          </rPr>
          <t xml:space="preserve">
From Campion2021</t>
        </r>
      </text>
    </comment>
    <comment ref="BA58" authorId="0" shapeId="0" xr:uid="{00000000-0006-0000-0000-0000D4020000}">
      <text>
        <r>
          <rPr>
            <b/>
            <sz val="9"/>
            <color indexed="81"/>
            <rFont val="Tahoma"/>
            <family val="2"/>
          </rPr>
          <t>Author:</t>
        </r>
        <r>
          <rPr>
            <sz val="9"/>
            <color indexed="81"/>
            <rFont val="Tahoma"/>
            <family val="2"/>
          </rPr>
          <t xml:space="preserve">
From Campion2021</t>
        </r>
      </text>
    </comment>
    <comment ref="BB58" authorId="0" shapeId="0" xr:uid="{00000000-0006-0000-0000-0000D5020000}">
      <text>
        <r>
          <rPr>
            <b/>
            <sz val="9"/>
            <color indexed="81"/>
            <rFont val="Tahoma"/>
            <family val="2"/>
          </rPr>
          <t>Author:</t>
        </r>
        <r>
          <rPr>
            <sz val="9"/>
            <color indexed="81"/>
            <rFont val="Tahoma"/>
            <family val="2"/>
          </rPr>
          <t xml:space="preserve">
Based on Campion2023</t>
        </r>
      </text>
    </comment>
    <comment ref="BC58" authorId="0" shapeId="0" xr:uid="{00000000-0006-0000-0000-0000D6020000}">
      <text>
        <r>
          <rPr>
            <b/>
            <sz val="9"/>
            <color indexed="81"/>
            <rFont val="Tahoma"/>
            <family val="2"/>
          </rPr>
          <t>Author:</t>
        </r>
        <r>
          <rPr>
            <sz val="9"/>
            <color indexed="81"/>
            <rFont val="Tahoma"/>
            <family val="2"/>
          </rPr>
          <t xml:space="preserve">
From Campion2021</t>
        </r>
      </text>
    </comment>
    <comment ref="BD58" authorId="0" shapeId="0" xr:uid="{00000000-0006-0000-0000-0000D7020000}">
      <text>
        <r>
          <rPr>
            <b/>
            <sz val="9"/>
            <color indexed="81"/>
            <rFont val="Tahoma"/>
            <family val="2"/>
          </rPr>
          <t>Author:</t>
        </r>
        <r>
          <rPr>
            <sz val="9"/>
            <color indexed="81"/>
            <rFont val="Tahoma"/>
            <family val="2"/>
          </rPr>
          <t xml:space="preserve">
From Campion2021</t>
        </r>
      </text>
    </comment>
    <comment ref="BE58" authorId="0" shapeId="0" xr:uid="{00000000-0006-0000-0000-0000D8020000}">
      <text>
        <r>
          <rPr>
            <b/>
            <sz val="9"/>
            <color indexed="81"/>
            <rFont val="Tahoma"/>
            <family val="2"/>
          </rPr>
          <t>Author:</t>
        </r>
        <r>
          <rPr>
            <sz val="9"/>
            <color indexed="81"/>
            <rFont val="Tahoma"/>
            <family val="2"/>
          </rPr>
          <t xml:space="preserve">
From Campion2021</t>
        </r>
      </text>
    </comment>
    <comment ref="AT59" authorId="0" shapeId="0" xr:uid="{00000000-0006-0000-0000-0000D9020000}">
      <text>
        <r>
          <rPr>
            <b/>
            <sz val="9"/>
            <color indexed="81"/>
            <rFont val="Tahoma"/>
            <family val="2"/>
          </rPr>
          <t>Author:</t>
        </r>
        <r>
          <rPr>
            <sz val="9"/>
            <color indexed="81"/>
            <rFont val="Tahoma"/>
            <family val="2"/>
          </rPr>
          <t xml:space="preserve">
Based on Campion2023</t>
        </r>
      </text>
    </comment>
    <comment ref="AU59" authorId="0" shapeId="0" xr:uid="{00000000-0006-0000-0000-0000DA020000}">
      <text>
        <r>
          <rPr>
            <b/>
            <sz val="9"/>
            <color indexed="81"/>
            <rFont val="Tahoma"/>
            <family val="2"/>
          </rPr>
          <t>Author:</t>
        </r>
        <r>
          <rPr>
            <sz val="9"/>
            <color indexed="81"/>
            <rFont val="Tahoma"/>
            <family val="2"/>
          </rPr>
          <t xml:space="preserve">
From Campion2021</t>
        </r>
      </text>
    </comment>
    <comment ref="AV59" authorId="0" shapeId="0" xr:uid="{00000000-0006-0000-0000-0000DB020000}">
      <text>
        <r>
          <rPr>
            <b/>
            <sz val="9"/>
            <color indexed="81"/>
            <rFont val="Tahoma"/>
            <family val="2"/>
          </rPr>
          <t>Author:</t>
        </r>
        <r>
          <rPr>
            <sz val="9"/>
            <color indexed="81"/>
            <rFont val="Tahoma"/>
            <family val="2"/>
          </rPr>
          <t xml:space="preserve">
From Campion2021</t>
        </r>
      </text>
    </comment>
    <comment ref="AW59" authorId="0" shapeId="0" xr:uid="{00000000-0006-0000-0000-0000DC020000}">
      <text>
        <r>
          <rPr>
            <b/>
            <sz val="9"/>
            <color indexed="81"/>
            <rFont val="Tahoma"/>
            <family val="2"/>
          </rPr>
          <t>Author:</t>
        </r>
        <r>
          <rPr>
            <sz val="9"/>
            <color indexed="81"/>
            <rFont val="Tahoma"/>
            <family val="2"/>
          </rPr>
          <t xml:space="preserve">
From Campion2021</t>
        </r>
      </text>
    </comment>
    <comment ref="AX59" authorId="0" shapeId="0" xr:uid="{00000000-0006-0000-0000-0000DD020000}">
      <text>
        <r>
          <rPr>
            <b/>
            <sz val="9"/>
            <color indexed="81"/>
            <rFont val="Tahoma"/>
            <family val="2"/>
          </rPr>
          <t>Author:</t>
        </r>
        <r>
          <rPr>
            <sz val="9"/>
            <color indexed="81"/>
            <rFont val="Tahoma"/>
            <family val="2"/>
          </rPr>
          <t xml:space="preserve">
Based on Campion2023</t>
        </r>
      </text>
    </comment>
    <comment ref="AY59" authorId="0" shapeId="0" xr:uid="{00000000-0006-0000-0000-0000DE020000}">
      <text>
        <r>
          <rPr>
            <b/>
            <sz val="9"/>
            <color indexed="81"/>
            <rFont val="Tahoma"/>
            <family val="2"/>
          </rPr>
          <t>Author:</t>
        </r>
        <r>
          <rPr>
            <sz val="9"/>
            <color indexed="81"/>
            <rFont val="Tahoma"/>
            <family val="2"/>
          </rPr>
          <t xml:space="preserve">
From Campion2021</t>
        </r>
      </text>
    </comment>
    <comment ref="AZ59" authorId="0" shapeId="0" xr:uid="{00000000-0006-0000-0000-0000DF020000}">
      <text>
        <r>
          <rPr>
            <b/>
            <sz val="9"/>
            <color indexed="81"/>
            <rFont val="Tahoma"/>
            <family val="2"/>
          </rPr>
          <t>Author:</t>
        </r>
        <r>
          <rPr>
            <sz val="9"/>
            <color indexed="81"/>
            <rFont val="Tahoma"/>
            <family val="2"/>
          </rPr>
          <t xml:space="preserve">
From Campion2021</t>
        </r>
      </text>
    </comment>
    <comment ref="BA59" authorId="0" shapeId="0" xr:uid="{00000000-0006-0000-0000-0000E0020000}">
      <text>
        <r>
          <rPr>
            <b/>
            <sz val="9"/>
            <color indexed="81"/>
            <rFont val="Tahoma"/>
            <family val="2"/>
          </rPr>
          <t>Author:</t>
        </r>
        <r>
          <rPr>
            <sz val="9"/>
            <color indexed="81"/>
            <rFont val="Tahoma"/>
            <family val="2"/>
          </rPr>
          <t xml:space="preserve">
From Campion2021</t>
        </r>
      </text>
    </comment>
    <comment ref="BB59" authorId="0" shapeId="0" xr:uid="{00000000-0006-0000-0000-0000E1020000}">
      <text>
        <r>
          <rPr>
            <b/>
            <sz val="9"/>
            <color indexed="81"/>
            <rFont val="Tahoma"/>
            <family val="2"/>
          </rPr>
          <t>Author:</t>
        </r>
        <r>
          <rPr>
            <sz val="9"/>
            <color indexed="81"/>
            <rFont val="Tahoma"/>
            <family val="2"/>
          </rPr>
          <t xml:space="preserve">
Based on Campion2023</t>
        </r>
      </text>
    </comment>
    <comment ref="BC59" authorId="0" shapeId="0" xr:uid="{00000000-0006-0000-0000-0000E2020000}">
      <text>
        <r>
          <rPr>
            <b/>
            <sz val="9"/>
            <color indexed="81"/>
            <rFont val="Tahoma"/>
            <family val="2"/>
          </rPr>
          <t>Author:</t>
        </r>
        <r>
          <rPr>
            <sz val="9"/>
            <color indexed="81"/>
            <rFont val="Tahoma"/>
            <family val="2"/>
          </rPr>
          <t xml:space="preserve">
From Campion2021</t>
        </r>
      </text>
    </comment>
    <comment ref="BD59" authorId="0" shapeId="0" xr:uid="{00000000-0006-0000-0000-0000E3020000}">
      <text>
        <r>
          <rPr>
            <b/>
            <sz val="9"/>
            <color indexed="81"/>
            <rFont val="Tahoma"/>
            <family val="2"/>
          </rPr>
          <t>Author:</t>
        </r>
        <r>
          <rPr>
            <sz val="9"/>
            <color indexed="81"/>
            <rFont val="Tahoma"/>
            <family val="2"/>
          </rPr>
          <t xml:space="preserve">
From Campion2021</t>
        </r>
      </text>
    </comment>
    <comment ref="BE59" authorId="0" shapeId="0" xr:uid="{00000000-0006-0000-0000-0000E4020000}">
      <text>
        <r>
          <rPr>
            <b/>
            <sz val="9"/>
            <color indexed="81"/>
            <rFont val="Tahoma"/>
            <family val="2"/>
          </rPr>
          <t>Author:</t>
        </r>
        <r>
          <rPr>
            <sz val="9"/>
            <color indexed="81"/>
            <rFont val="Tahoma"/>
            <family val="2"/>
          </rPr>
          <t xml:space="preserve">
From Campion2021</t>
        </r>
      </text>
    </comment>
    <comment ref="AT60" authorId="0" shapeId="0" xr:uid="{00000000-0006-0000-0000-0000E5020000}">
      <text>
        <r>
          <rPr>
            <b/>
            <sz val="9"/>
            <color indexed="81"/>
            <rFont val="Tahoma"/>
            <family val="2"/>
          </rPr>
          <t>Author:</t>
        </r>
        <r>
          <rPr>
            <sz val="9"/>
            <color indexed="81"/>
            <rFont val="Tahoma"/>
            <family val="2"/>
          </rPr>
          <t xml:space="preserve">
Based on Campion2023</t>
        </r>
      </text>
    </comment>
    <comment ref="AU60" authorId="0" shapeId="0" xr:uid="{00000000-0006-0000-0000-0000E6020000}">
      <text>
        <r>
          <rPr>
            <b/>
            <sz val="9"/>
            <color indexed="81"/>
            <rFont val="Tahoma"/>
            <family val="2"/>
          </rPr>
          <t>Author:</t>
        </r>
        <r>
          <rPr>
            <sz val="9"/>
            <color indexed="81"/>
            <rFont val="Tahoma"/>
            <family val="2"/>
          </rPr>
          <t xml:space="preserve">
From Campion2021</t>
        </r>
      </text>
    </comment>
    <comment ref="AV60" authorId="0" shapeId="0" xr:uid="{00000000-0006-0000-0000-0000E7020000}">
      <text>
        <r>
          <rPr>
            <b/>
            <sz val="9"/>
            <color indexed="81"/>
            <rFont val="Tahoma"/>
            <family val="2"/>
          </rPr>
          <t>Author:</t>
        </r>
        <r>
          <rPr>
            <sz val="9"/>
            <color indexed="81"/>
            <rFont val="Tahoma"/>
            <family val="2"/>
          </rPr>
          <t xml:space="preserve">
From Campion2021</t>
        </r>
      </text>
    </comment>
    <comment ref="AW60" authorId="0" shapeId="0" xr:uid="{00000000-0006-0000-0000-0000E8020000}">
      <text>
        <r>
          <rPr>
            <b/>
            <sz val="9"/>
            <color indexed="81"/>
            <rFont val="Tahoma"/>
            <family val="2"/>
          </rPr>
          <t>Author:</t>
        </r>
        <r>
          <rPr>
            <sz val="9"/>
            <color indexed="81"/>
            <rFont val="Tahoma"/>
            <family val="2"/>
          </rPr>
          <t xml:space="preserve">
From Campion2021</t>
        </r>
      </text>
    </comment>
    <comment ref="AX60" authorId="0" shapeId="0" xr:uid="{00000000-0006-0000-0000-0000E9020000}">
      <text>
        <r>
          <rPr>
            <b/>
            <sz val="9"/>
            <color indexed="81"/>
            <rFont val="Tahoma"/>
            <family val="2"/>
          </rPr>
          <t>Author:</t>
        </r>
        <r>
          <rPr>
            <sz val="9"/>
            <color indexed="81"/>
            <rFont val="Tahoma"/>
            <family val="2"/>
          </rPr>
          <t xml:space="preserve">
Based on Campion2023</t>
        </r>
      </text>
    </comment>
    <comment ref="AY60" authorId="0" shapeId="0" xr:uid="{00000000-0006-0000-0000-0000EA020000}">
      <text>
        <r>
          <rPr>
            <b/>
            <sz val="9"/>
            <color indexed="81"/>
            <rFont val="Tahoma"/>
            <family val="2"/>
          </rPr>
          <t>Author:</t>
        </r>
        <r>
          <rPr>
            <sz val="9"/>
            <color indexed="81"/>
            <rFont val="Tahoma"/>
            <family val="2"/>
          </rPr>
          <t xml:space="preserve">
From Campion2021</t>
        </r>
      </text>
    </comment>
    <comment ref="AZ60" authorId="0" shapeId="0" xr:uid="{00000000-0006-0000-0000-0000EB020000}">
      <text>
        <r>
          <rPr>
            <b/>
            <sz val="9"/>
            <color indexed="81"/>
            <rFont val="Tahoma"/>
            <family val="2"/>
          </rPr>
          <t>Author:</t>
        </r>
        <r>
          <rPr>
            <sz val="9"/>
            <color indexed="81"/>
            <rFont val="Tahoma"/>
            <family val="2"/>
          </rPr>
          <t xml:space="preserve">
From Campion2021</t>
        </r>
      </text>
    </comment>
    <comment ref="BA60" authorId="0" shapeId="0" xr:uid="{00000000-0006-0000-0000-0000EC020000}">
      <text>
        <r>
          <rPr>
            <b/>
            <sz val="9"/>
            <color indexed="81"/>
            <rFont val="Tahoma"/>
            <family val="2"/>
          </rPr>
          <t>Author:</t>
        </r>
        <r>
          <rPr>
            <sz val="9"/>
            <color indexed="81"/>
            <rFont val="Tahoma"/>
            <family val="2"/>
          </rPr>
          <t xml:space="preserve">
From Campion2021</t>
        </r>
      </text>
    </comment>
    <comment ref="BB60" authorId="0" shapeId="0" xr:uid="{00000000-0006-0000-0000-0000ED020000}">
      <text>
        <r>
          <rPr>
            <b/>
            <sz val="9"/>
            <color indexed="81"/>
            <rFont val="Tahoma"/>
            <family val="2"/>
          </rPr>
          <t>Author:</t>
        </r>
        <r>
          <rPr>
            <sz val="9"/>
            <color indexed="81"/>
            <rFont val="Tahoma"/>
            <family val="2"/>
          </rPr>
          <t xml:space="preserve">
Based on Campion2023</t>
        </r>
      </text>
    </comment>
    <comment ref="BC60" authorId="0" shapeId="0" xr:uid="{00000000-0006-0000-0000-0000EE020000}">
      <text>
        <r>
          <rPr>
            <b/>
            <sz val="9"/>
            <color indexed="81"/>
            <rFont val="Tahoma"/>
            <family val="2"/>
          </rPr>
          <t>Author:</t>
        </r>
        <r>
          <rPr>
            <sz val="9"/>
            <color indexed="81"/>
            <rFont val="Tahoma"/>
            <family val="2"/>
          </rPr>
          <t xml:space="preserve">
From Campion2021</t>
        </r>
      </text>
    </comment>
    <comment ref="BD60" authorId="0" shapeId="0" xr:uid="{00000000-0006-0000-0000-0000EF020000}">
      <text>
        <r>
          <rPr>
            <b/>
            <sz val="9"/>
            <color indexed="81"/>
            <rFont val="Tahoma"/>
            <family val="2"/>
          </rPr>
          <t>Author:</t>
        </r>
        <r>
          <rPr>
            <sz val="9"/>
            <color indexed="81"/>
            <rFont val="Tahoma"/>
            <family val="2"/>
          </rPr>
          <t xml:space="preserve">
From Campion2021</t>
        </r>
      </text>
    </comment>
    <comment ref="BE60" authorId="0" shapeId="0" xr:uid="{00000000-0006-0000-0000-0000F0020000}">
      <text>
        <r>
          <rPr>
            <b/>
            <sz val="9"/>
            <color indexed="81"/>
            <rFont val="Tahoma"/>
            <family val="2"/>
          </rPr>
          <t>Author:</t>
        </r>
        <r>
          <rPr>
            <sz val="9"/>
            <color indexed="81"/>
            <rFont val="Tahoma"/>
            <family val="2"/>
          </rPr>
          <t xml:space="preserve">
From Campion2021</t>
        </r>
      </text>
    </comment>
    <comment ref="AT61" authorId="0" shapeId="0" xr:uid="{00000000-0006-0000-0000-0000F1020000}">
      <text>
        <r>
          <rPr>
            <b/>
            <sz val="9"/>
            <color indexed="81"/>
            <rFont val="Tahoma"/>
            <family val="2"/>
          </rPr>
          <t>Author:</t>
        </r>
        <r>
          <rPr>
            <sz val="9"/>
            <color indexed="81"/>
            <rFont val="Tahoma"/>
            <family val="2"/>
          </rPr>
          <t xml:space="preserve">
Based on Campion2023</t>
        </r>
      </text>
    </comment>
    <comment ref="AU61" authorId="0" shapeId="0" xr:uid="{00000000-0006-0000-0000-0000F2020000}">
      <text>
        <r>
          <rPr>
            <b/>
            <sz val="9"/>
            <color indexed="81"/>
            <rFont val="Tahoma"/>
            <family val="2"/>
          </rPr>
          <t>Author:</t>
        </r>
        <r>
          <rPr>
            <sz val="9"/>
            <color indexed="81"/>
            <rFont val="Tahoma"/>
            <family val="2"/>
          </rPr>
          <t xml:space="preserve">
From Campion2021</t>
        </r>
      </text>
    </comment>
    <comment ref="AV61" authorId="0" shapeId="0" xr:uid="{00000000-0006-0000-0000-0000F3020000}">
      <text>
        <r>
          <rPr>
            <b/>
            <sz val="9"/>
            <color indexed="81"/>
            <rFont val="Tahoma"/>
            <family val="2"/>
          </rPr>
          <t>Author:</t>
        </r>
        <r>
          <rPr>
            <sz val="9"/>
            <color indexed="81"/>
            <rFont val="Tahoma"/>
            <family val="2"/>
          </rPr>
          <t xml:space="preserve">
From Campion2021</t>
        </r>
      </text>
    </comment>
    <comment ref="AW61" authorId="0" shapeId="0" xr:uid="{00000000-0006-0000-0000-0000F4020000}">
      <text>
        <r>
          <rPr>
            <b/>
            <sz val="9"/>
            <color indexed="81"/>
            <rFont val="Tahoma"/>
            <family val="2"/>
          </rPr>
          <t>Author:</t>
        </r>
        <r>
          <rPr>
            <sz val="9"/>
            <color indexed="81"/>
            <rFont val="Tahoma"/>
            <family val="2"/>
          </rPr>
          <t xml:space="preserve">
From Campion2021</t>
        </r>
      </text>
    </comment>
    <comment ref="AX61" authorId="0" shapeId="0" xr:uid="{00000000-0006-0000-0000-0000F5020000}">
      <text>
        <r>
          <rPr>
            <b/>
            <sz val="9"/>
            <color indexed="81"/>
            <rFont val="Tahoma"/>
            <family val="2"/>
          </rPr>
          <t>Author:</t>
        </r>
        <r>
          <rPr>
            <sz val="9"/>
            <color indexed="81"/>
            <rFont val="Tahoma"/>
            <family val="2"/>
          </rPr>
          <t xml:space="preserve">
Based on Campion2023</t>
        </r>
      </text>
    </comment>
    <comment ref="AY61" authorId="0" shapeId="0" xr:uid="{00000000-0006-0000-0000-0000F6020000}">
      <text>
        <r>
          <rPr>
            <b/>
            <sz val="9"/>
            <color indexed="81"/>
            <rFont val="Tahoma"/>
            <family val="2"/>
          </rPr>
          <t>Author:</t>
        </r>
        <r>
          <rPr>
            <sz val="9"/>
            <color indexed="81"/>
            <rFont val="Tahoma"/>
            <family val="2"/>
          </rPr>
          <t xml:space="preserve">
From Campion2021</t>
        </r>
      </text>
    </comment>
    <comment ref="AZ61" authorId="0" shapeId="0" xr:uid="{00000000-0006-0000-0000-0000F7020000}">
      <text>
        <r>
          <rPr>
            <b/>
            <sz val="9"/>
            <color indexed="81"/>
            <rFont val="Tahoma"/>
            <family val="2"/>
          </rPr>
          <t>Author:</t>
        </r>
        <r>
          <rPr>
            <sz val="9"/>
            <color indexed="81"/>
            <rFont val="Tahoma"/>
            <family val="2"/>
          </rPr>
          <t xml:space="preserve">
From Campion2021</t>
        </r>
      </text>
    </comment>
    <comment ref="BA61" authorId="0" shapeId="0" xr:uid="{00000000-0006-0000-0000-0000F8020000}">
      <text>
        <r>
          <rPr>
            <b/>
            <sz val="9"/>
            <color indexed="81"/>
            <rFont val="Tahoma"/>
            <family val="2"/>
          </rPr>
          <t>Author:</t>
        </r>
        <r>
          <rPr>
            <sz val="9"/>
            <color indexed="81"/>
            <rFont val="Tahoma"/>
            <family val="2"/>
          </rPr>
          <t xml:space="preserve">
From Campion2021</t>
        </r>
      </text>
    </comment>
    <comment ref="BB61" authorId="0" shapeId="0" xr:uid="{00000000-0006-0000-0000-0000F9020000}">
      <text>
        <r>
          <rPr>
            <b/>
            <sz val="9"/>
            <color indexed="81"/>
            <rFont val="Tahoma"/>
            <family val="2"/>
          </rPr>
          <t>Author:</t>
        </r>
        <r>
          <rPr>
            <sz val="9"/>
            <color indexed="81"/>
            <rFont val="Tahoma"/>
            <family val="2"/>
          </rPr>
          <t xml:space="preserve">
Based on Campion2023</t>
        </r>
      </text>
    </comment>
    <comment ref="BC61" authorId="0" shapeId="0" xr:uid="{00000000-0006-0000-0000-0000FA020000}">
      <text>
        <r>
          <rPr>
            <b/>
            <sz val="9"/>
            <color indexed="81"/>
            <rFont val="Tahoma"/>
            <family val="2"/>
          </rPr>
          <t>Author:</t>
        </r>
        <r>
          <rPr>
            <sz val="9"/>
            <color indexed="81"/>
            <rFont val="Tahoma"/>
            <family val="2"/>
          </rPr>
          <t xml:space="preserve">
From Campion2021</t>
        </r>
      </text>
    </comment>
    <comment ref="BD61" authorId="0" shapeId="0" xr:uid="{00000000-0006-0000-0000-0000FB020000}">
      <text>
        <r>
          <rPr>
            <b/>
            <sz val="9"/>
            <color indexed="81"/>
            <rFont val="Tahoma"/>
            <family val="2"/>
          </rPr>
          <t>Author:</t>
        </r>
        <r>
          <rPr>
            <sz val="9"/>
            <color indexed="81"/>
            <rFont val="Tahoma"/>
            <family val="2"/>
          </rPr>
          <t xml:space="preserve">
From Campion2021</t>
        </r>
      </text>
    </comment>
    <comment ref="BE61" authorId="0" shapeId="0" xr:uid="{00000000-0006-0000-0000-0000FC020000}">
      <text>
        <r>
          <rPr>
            <b/>
            <sz val="9"/>
            <color indexed="81"/>
            <rFont val="Tahoma"/>
            <family val="2"/>
          </rPr>
          <t>Author:</t>
        </r>
        <r>
          <rPr>
            <sz val="9"/>
            <color indexed="81"/>
            <rFont val="Tahoma"/>
            <family val="2"/>
          </rPr>
          <t xml:space="preserve">
From Campion2021</t>
        </r>
      </text>
    </comment>
    <comment ref="AT62" authorId="0" shapeId="0" xr:uid="{00000000-0006-0000-0000-0000FD020000}">
      <text>
        <r>
          <rPr>
            <b/>
            <sz val="9"/>
            <color indexed="81"/>
            <rFont val="Tahoma"/>
            <family val="2"/>
          </rPr>
          <t>Author:</t>
        </r>
        <r>
          <rPr>
            <sz val="9"/>
            <color indexed="81"/>
            <rFont val="Tahoma"/>
            <family val="2"/>
          </rPr>
          <t xml:space="preserve">
Based on Campion2023</t>
        </r>
      </text>
    </comment>
    <comment ref="AU62" authorId="0" shapeId="0" xr:uid="{00000000-0006-0000-0000-0000FE020000}">
      <text>
        <r>
          <rPr>
            <b/>
            <sz val="9"/>
            <color indexed="81"/>
            <rFont val="Tahoma"/>
            <family val="2"/>
          </rPr>
          <t>Author:</t>
        </r>
        <r>
          <rPr>
            <sz val="9"/>
            <color indexed="81"/>
            <rFont val="Tahoma"/>
            <family val="2"/>
          </rPr>
          <t xml:space="preserve">
From Campion2021</t>
        </r>
      </text>
    </comment>
    <comment ref="AV62" authorId="0" shapeId="0" xr:uid="{00000000-0006-0000-0000-0000FF020000}">
      <text>
        <r>
          <rPr>
            <b/>
            <sz val="9"/>
            <color indexed="81"/>
            <rFont val="Tahoma"/>
            <family val="2"/>
          </rPr>
          <t>Author:</t>
        </r>
        <r>
          <rPr>
            <sz val="9"/>
            <color indexed="81"/>
            <rFont val="Tahoma"/>
            <family val="2"/>
          </rPr>
          <t xml:space="preserve">
From Campion2021</t>
        </r>
      </text>
    </comment>
    <comment ref="AW62" authorId="0" shapeId="0" xr:uid="{00000000-0006-0000-0000-000000030000}">
      <text>
        <r>
          <rPr>
            <b/>
            <sz val="9"/>
            <color indexed="81"/>
            <rFont val="Tahoma"/>
            <family val="2"/>
          </rPr>
          <t>Author:</t>
        </r>
        <r>
          <rPr>
            <sz val="9"/>
            <color indexed="81"/>
            <rFont val="Tahoma"/>
            <family val="2"/>
          </rPr>
          <t xml:space="preserve">
From Campion2021</t>
        </r>
      </text>
    </comment>
    <comment ref="AX62" authorId="0" shapeId="0" xr:uid="{00000000-0006-0000-0000-000001030000}">
      <text>
        <r>
          <rPr>
            <b/>
            <sz val="9"/>
            <color indexed="81"/>
            <rFont val="Tahoma"/>
            <family val="2"/>
          </rPr>
          <t>Author:</t>
        </r>
        <r>
          <rPr>
            <sz val="9"/>
            <color indexed="81"/>
            <rFont val="Tahoma"/>
            <family val="2"/>
          </rPr>
          <t xml:space="preserve">
Based on Campion2023</t>
        </r>
      </text>
    </comment>
    <comment ref="AY62" authorId="0" shapeId="0" xr:uid="{00000000-0006-0000-0000-000002030000}">
      <text>
        <r>
          <rPr>
            <b/>
            <sz val="9"/>
            <color indexed="81"/>
            <rFont val="Tahoma"/>
            <family val="2"/>
          </rPr>
          <t>Author:</t>
        </r>
        <r>
          <rPr>
            <sz val="9"/>
            <color indexed="81"/>
            <rFont val="Tahoma"/>
            <family val="2"/>
          </rPr>
          <t xml:space="preserve">
From Campion2021</t>
        </r>
      </text>
    </comment>
    <comment ref="AZ62" authorId="0" shapeId="0" xr:uid="{00000000-0006-0000-0000-000003030000}">
      <text>
        <r>
          <rPr>
            <b/>
            <sz val="9"/>
            <color indexed="81"/>
            <rFont val="Tahoma"/>
            <family val="2"/>
          </rPr>
          <t>Author:</t>
        </r>
        <r>
          <rPr>
            <sz val="9"/>
            <color indexed="81"/>
            <rFont val="Tahoma"/>
            <family val="2"/>
          </rPr>
          <t xml:space="preserve">
From Campion2021</t>
        </r>
      </text>
    </comment>
    <comment ref="BA62" authorId="0" shapeId="0" xr:uid="{00000000-0006-0000-0000-000004030000}">
      <text>
        <r>
          <rPr>
            <b/>
            <sz val="9"/>
            <color indexed="81"/>
            <rFont val="Tahoma"/>
            <family val="2"/>
          </rPr>
          <t>Author:</t>
        </r>
        <r>
          <rPr>
            <sz val="9"/>
            <color indexed="81"/>
            <rFont val="Tahoma"/>
            <family val="2"/>
          </rPr>
          <t xml:space="preserve">
From Campion2021</t>
        </r>
      </text>
    </comment>
    <comment ref="BB62" authorId="0" shapeId="0" xr:uid="{00000000-0006-0000-0000-000005030000}">
      <text>
        <r>
          <rPr>
            <b/>
            <sz val="9"/>
            <color indexed="81"/>
            <rFont val="Tahoma"/>
            <family val="2"/>
          </rPr>
          <t>Author:</t>
        </r>
        <r>
          <rPr>
            <sz val="9"/>
            <color indexed="81"/>
            <rFont val="Tahoma"/>
            <family val="2"/>
          </rPr>
          <t xml:space="preserve">
Based on Campion2023</t>
        </r>
      </text>
    </comment>
    <comment ref="BC62" authorId="0" shapeId="0" xr:uid="{00000000-0006-0000-0000-000006030000}">
      <text>
        <r>
          <rPr>
            <b/>
            <sz val="9"/>
            <color indexed="81"/>
            <rFont val="Tahoma"/>
            <family val="2"/>
          </rPr>
          <t>Author:</t>
        </r>
        <r>
          <rPr>
            <sz val="9"/>
            <color indexed="81"/>
            <rFont val="Tahoma"/>
            <family val="2"/>
          </rPr>
          <t xml:space="preserve">
From Campion2021</t>
        </r>
      </text>
    </comment>
    <comment ref="BD62" authorId="0" shapeId="0" xr:uid="{00000000-0006-0000-0000-000007030000}">
      <text>
        <r>
          <rPr>
            <b/>
            <sz val="9"/>
            <color indexed="81"/>
            <rFont val="Tahoma"/>
            <family val="2"/>
          </rPr>
          <t>Author:</t>
        </r>
        <r>
          <rPr>
            <sz val="9"/>
            <color indexed="81"/>
            <rFont val="Tahoma"/>
            <family val="2"/>
          </rPr>
          <t xml:space="preserve">
From Campion2021</t>
        </r>
      </text>
    </comment>
    <comment ref="BE62" authorId="0" shapeId="0" xr:uid="{00000000-0006-0000-0000-000008030000}">
      <text>
        <r>
          <rPr>
            <b/>
            <sz val="9"/>
            <color indexed="81"/>
            <rFont val="Tahoma"/>
            <family val="2"/>
          </rPr>
          <t>Author:</t>
        </r>
        <r>
          <rPr>
            <sz val="9"/>
            <color indexed="81"/>
            <rFont val="Tahoma"/>
            <family val="2"/>
          </rPr>
          <t xml:space="preserve">
From Campion2021</t>
        </r>
      </text>
    </comment>
    <comment ref="AT63" authorId="0" shapeId="0" xr:uid="{00000000-0006-0000-0000-000009030000}">
      <text>
        <r>
          <rPr>
            <b/>
            <sz val="9"/>
            <color indexed="81"/>
            <rFont val="Tahoma"/>
            <family val="2"/>
          </rPr>
          <t>Author:</t>
        </r>
        <r>
          <rPr>
            <sz val="9"/>
            <color indexed="81"/>
            <rFont val="Tahoma"/>
            <family val="2"/>
          </rPr>
          <t xml:space="preserve">
Based on Campion2023</t>
        </r>
      </text>
    </comment>
    <comment ref="AU63" authorId="0" shapeId="0" xr:uid="{00000000-0006-0000-0000-00000A030000}">
      <text>
        <r>
          <rPr>
            <b/>
            <sz val="9"/>
            <color indexed="81"/>
            <rFont val="Tahoma"/>
            <family val="2"/>
          </rPr>
          <t>Author:</t>
        </r>
        <r>
          <rPr>
            <sz val="9"/>
            <color indexed="81"/>
            <rFont val="Tahoma"/>
            <family val="2"/>
          </rPr>
          <t xml:space="preserve">
From Campion2021</t>
        </r>
      </text>
    </comment>
    <comment ref="AV63" authorId="0" shapeId="0" xr:uid="{00000000-0006-0000-0000-00000B030000}">
      <text>
        <r>
          <rPr>
            <b/>
            <sz val="9"/>
            <color indexed="81"/>
            <rFont val="Tahoma"/>
            <family val="2"/>
          </rPr>
          <t>Author:</t>
        </r>
        <r>
          <rPr>
            <sz val="9"/>
            <color indexed="81"/>
            <rFont val="Tahoma"/>
            <family val="2"/>
          </rPr>
          <t xml:space="preserve">
From Campion2021</t>
        </r>
      </text>
    </comment>
    <comment ref="AW63" authorId="0" shapeId="0" xr:uid="{00000000-0006-0000-0000-00000C030000}">
      <text>
        <r>
          <rPr>
            <b/>
            <sz val="9"/>
            <color indexed="81"/>
            <rFont val="Tahoma"/>
            <family val="2"/>
          </rPr>
          <t>Author:</t>
        </r>
        <r>
          <rPr>
            <sz val="9"/>
            <color indexed="81"/>
            <rFont val="Tahoma"/>
            <family val="2"/>
          </rPr>
          <t xml:space="preserve">
From Campion2021</t>
        </r>
      </text>
    </comment>
    <comment ref="AX63" authorId="0" shapeId="0" xr:uid="{00000000-0006-0000-0000-00000D030000}">
      <text>
        <r>
          <rPr>
            <b/>
            <sz val="9"/>
            <color indexed="81"/>
            <rFont val="Tahoma"/>
            <family val="2"/>
          </rPr>
          <t>Author:</t>
        </r>
        <r>
          <rPr>
            <sz val="9"/>
            <color indexed="81"/>
            <rFont val="Tahoma"/>
            <family val="2"/>
          </rPr>
          <t xml:space="preserve">
Based on Campion2023</t>
        </r>
      </text>
    </comment>
    <comment ref="AY63" authorId="0" shapeId="0" xr:uid="{00000000-0006-0000-0000-00000E030000}">
      <text>
        <r>
          <rPr>
            <b/>
            <sz val="9"/>
            <color indexed="81"/>
            <rFont val="Tahoma"/>
            <family val="2"/>
          </rPr>
          <t>Author:</t>
        </r>
        <r>
          <rPr>
            <sz val="9"/>
            <color indexed="81"/>
            <rFont val="Tahoma"/>
            <family val="2"/>
          </rPr>
          <t xml:space="preserve">
From Campion2021</t>
        </r>
      </text>
    </comment>
    <comment ref="AZ63" authorId="0" shapeId="0" xr:uid="{00000000-0006-0000-0000-00000F030000}">
      <text>
        <r>
          <rPr>
            <b/>
            <sz val="9"/>
            <color indexed="81"/>
            <rFont val="Tahoma"/>
            <family val="2"/>
          </rPr>
          <t>Author:</t>
        </r>
        <r>
          <rPr>
            <sz val="9"/>
            <color indexed="81"/>
            <rFont val="Tahoma"/>
            <family val="2"/>
          </rPr>
          <t xml:space="preserve">
From Campion2021</t>
        </r>
      </text>
    </comment>
    <comment ref="BA63" authorId="0" shapeId="0" xr:uid="{00000000-0006-0000-0000-000010030000}">
      <text>
        <r>
          <rPr>
            <b/>
            <sz val="9"/>
            <color indexed="81"/>
            <rFont val="Tahoma"/>
            <family val="2"/>
          </rPr>
          <t>Author:</t>
        </r>
        <r>
          <rPr>
            <sz val="9"/>
            <color indexed="81"/>
            <rFont val="Tahoma"/>
            <family val="2"/>
          </rPr>
          <t xml:space="preserve">
From Campion2021</t>
        </r>
      </text>
    </comment>
    <comment ref="BB63" authorId="0" shapeId="0" xr:uid="{00000000-0006-0000-0000-000011030000}">
      <text>
        <r>
          <rPr>
            <b/>
            <sz val="9"/>
            <color indexed="81"/>
            <rFont val="Tahoma"/>
            <family val="2"/>
          </rPr>
          <t>Author:</t>
        </r>
        <r>
          <rPr>
            <sz val="9"/>
            <color indexed="81"/>
            <rFont val="Tahoma"/>
            <family val="2"/>
          </rPr>
          <t xml:space="preserve">
Based on Campion2023</t>
        </r>
      </text>
    </comment>
    <comment ref="BC63" authorId="0" shapeId="0" xr:uid="{00000000-0006-0000-0000-000012030000}">
      <text>
        <r>
          <rPr>
            <b/>
            <sz val="9"/>
            <color indexed="81"/>
            <rFont val="Tahoma"/>
            <family val="2"/>
          </rPr>
          <t>Author:</t>
        </r>
        <r>
          <rPr>
            <sz val="9"/>
            <color indexed="81"/>
            <rFont val="Tahoma"/>
            <family val="2"/>
          </rPr>
          <t xml:space="preserve">
From Campion2021</t>
        </r>
      </text>
    </comment>
    <comment ref="BD63" authorId="0" shapeId="0" xr:uid="{00000000-0006-0000-0000-000013030000}">
      <text>
        <r>
          <rPr>
            <b/>
            <sz val="9"/>
            <color indexed="81"/>
            <rFont val="Tahoma"/>
            <family val="2"/>
          </rPr>
          <t>Author:</t>
        </r>
        <r>
          <rPr>
            <sz val="9"/>
            <color indexed="81"/>
            <rFont val="Tahoma"/>
            <family val="2"/>
          </rPr>
          <t xml:space="preserve">
From Campion2021</t>
        </r>
      </text>
    </comment>
    <comment ref="BE63" authorId="0" shapeId="0" xr:uid="{00000000-0006-0000-0000-000014030000}">
      <text>
        <r>
          <rPr>
            <b/>
            <sz val="9"/>
            <color indexed="81"/>
            <rFont val="Tahoma"/>
            <family val="2"/>
          </rPr>
          <t>Author:</t>
        </r>
        <r>
          <rPr>
            <sz val="9"/>
            <color indexed="81"/>
            <rFont val="Tahoma"/>
            <family val="2"/>
          </rPr>
          <t xml:space="preserve">
From Campion2021</t>
        </r>
      </text>
    </comment>
    <comment ref="AT64" authorId="0" shapeId="0" xr:uid="{00000000-0006-0000-0000-000015030000}">
      <text>
        <r>
          <rPr>
            <b/>
            <sz val="9"/>
            <color indexed="81"/>
            <rFont val="Tahoma"/>
            <family val="2"/>
          </rPr>
          <t>Author:</t>
        </r>
        <r>
          <rPr>
            <sz val="9"/>
            <color indexed="81"/>
            <rFont val="Tahoma"/>
            <family val="2"/>
          </rPr>
          <t xml:space="preserve">
Based on Campion2023</t>
        </r>
      </text>
    </comment>
    <comment ref="AU64" authorId="0" shapeId="0" xr:uid="{00000000-0006-0000-0000-000016030000}">
      <text>
        <r>
          <rPr>
            <b/>
            <sz val="9"/>
            <color indexed="81"/>
            <rFont val="Tahoma"/>
            <family val="2"/>
          </rPr>
          <t>Author:</t>
        </r>
        <r>
          <rPr>
            <sz val="9"/>
            <color indexed="81"/>
            <rFont val="Tahoma"/>
            <family val="2"/>
          </rPr>
          <t xml:space="preserve">
From Campion2021</t>
        </r>
      </text>
    </comment>
    <comment ref="AV64" authorId="0" shapeId="0" xr:uid="{00000000-0006-0000-0000-000017030000}">
      <text>
        <r>
          <rPr>
            <b/>
            <sz val="9"/>
            <color indexed="81"/>
            <rFont val="Tahoma"/>
            <family val="2"/>
          </rPr>
          <t>Author:</t>
        </r>
        <r>
          <rPr>
            <sz val="9"/>
            <color indexed="81"/>
            <rFont val="Tahoma"/>
            <family val="2"/>
          </rPr>
          <t xml:space="preserve">
From Campion2021</t>
        </r>
      </text>
    </comment>
    <comment ref="AW64" authorId="0" shapeId="0" xr:uid="{00000000-0006-0000-0000-000018030000}">
      <text>
        <r>
          <rPr>
            <b/>
            <sz val="9"/>
            <color indexed="81"/>
            <rFont val="Tahoma"/>
            <family val="2"/>
          </rPr>
          <t>Author:</t>
        </r>
        <r>
          <rPr>
            <sz val="9"/>
            <color indexed="81"/>
            <rFont val="Tahoma"/>
            <family val="2"/>
          </rPr>
          <t xml:space="preserve">
From Campion2021</t>
        </r>
      </text>
    </comment>
    <comment ref="AX64" authorId="0" shapeId="0" xr:uid="{00000000-0006-0000-0000-000019030000}">
      <text>
        <r>
          <rPr>
            <b/>
            <sz val="9"/>
            <color indexed="81"/>
            <rFont val="Tahoma"/>
            <family val="2"/>
          </rPr>
          <t>Author:</t>
        </r>
        <r>
          <rPr>
            <sz val="9"/>
            <color indexed="81"/>
            <rFont val="Tahoma"/>
            <family val="2"/>
          </rPr>
          <t xml:space="preserve">
Based on Campion2023</t>
        </r>
      </text>
    </comment>
    <comment ref="AY64" authorId="0" shapeId="0" xr:uid="{00000000-0006-0000-0000-00001A030000}">
      <text>
        <r>
          <rPr>
            <b/>
            <sz val="9"/>
            <color indexed="81"/>
            <rFont val="Tahoma"/>
            <family val="2"/>
          </rPr>
          <t>Author:</t>
        </r>
        <r>
          <rPr>
            <sz val="9"/>
            <color indexed="81"/>
            <rFont val="Tahoma"/>
            <family val="2"/>
          </rPr>
          <t xml:space="preserve">
From Campion2021</t>
        </r>
      </text>
    </comment>
    <comment ref="AZ64" authorId="0" shapeId="0" xr:uid="{00000000-0006-0000-0000-00001B030000}">
      <text>
        <r>
          <rPr>
            <b/>
            <sz val="9"/>
            <color indexed="81"/>
            <rFont val="Tahoma"/>
            <family val="2"/>
          </rPr>
          <t>Author:</t>
        </r>
        <r>
          <rPr>
            <sz val="9"/>
            <color indexed="81"/>
            <rFont val="Tahoma"/>
            <family val="2"/>
          </rPr>
          <t xml:space="preserve">
From Campion2021</t>
        </r>
      </text>
    </comment>
    <comment ref="BA64" authorId="0" shapeId="0" xr:uid="{00000000-0006-0000-0000-00001C030000}">
      <text>
        <r>
          <rPr>
            <b/>
            <sz val="9"/>
            <color indexed="81"/>
            <rFont val="Tahoma"/>
            <family val="2"/>
          </rPr>
          <t>Author:</t>
        </r>
        <r>
          <rPr>
            <sz val="9"/>
            <color indexed="81"/>
            <rFont val="Tahoma"/>
            <family val="2"/>
          </rPr>
          <t xml:space="preserve">
From Campion2021</t>
        </r>
      </text>
    </comment>
    <comment ref="BB64" authorId="0" shapeId="0" xr:uid="{00000000-0006-0000-0000-00001D030000}">
      <text>
        <r>
          <rPr>
            <b/>
            <sz val="9"/>
            <color indexed="81"/>
            <rFont val="Tahoma"/>
            <family val="2"/>
          </rPr>
          <t>Author:</t>
        </r>
        <r>
          <rPr>
            <sz val="9"/>
            <color indexed="81"/>
            <rFont val="Tahoma"/>
            <family val="2"/>
          </rPr>
          <t xml:space="preserve">
Based on Campion2023</t>
        </r>
      </text>
    </comment>
    <comment ref="BC64" authorId="0" shapeId="0" xr:uid="{00000000-0006-0000-0000-00001E030000}">
      <text>
        <r>
          <rPr>
            <b/>
            <sz val="9"/>
            <color indexed="81"/>
            <rFont val="Tahoma"/>
            <family val="2"/>
          </rPr>
          <t>Author:</t>
        </r>
        <r>
          <rPr>
            <sz val="9"/>
            <color indexed="81"/>
            <rFont val="Tahoma"/>
            <family val="2"/>
          </rPr>
          <t xml:space="preserve">
From Campion2021</t>
        </r>
      </text>
    </comment>
    <comment ref="BD64" authorId="0" shapeId="0" xr:uid="{00000000-0006-0000-0000-00001F030000}">
      <text>
        <r>
          <rPr>
            <b/>
            <sz val="9"/>
            <color indexed="81"/>
            <rFont val="Tahoma"/>
            <family val="2"/>
          </rPr>
          <t>Author:</t>
        </r>
        <r>
          <rPr>
            <sz val="9"/>
            <color indexed="81"/>
            <rFont val="Tahoma"/>
            <family val="2"/>
          </rPr>
          <t xml:space="preserve">
From Campion2021</t>
        </r>
      </text>
    </comment>
    <comment ref="BE64" authorId="0" shapeId="0" xr:uid="{00000000-0006-0000-0000-000020030000}">
      <text>
        <r>
          <rPr>
            <b/>
            <sz val="9"/>
            <color indexed="81"/>
            <rFont val="Tahoma"/>
            <family val="2"/>
          </rPr>
          <t>Author:</t>
        </r>
        <r>
          <rPr>
            <sz val="9"/>
            <color indexed="81"/>
            <rFont val="Tahoma"/>
            <family val="2"/>
          </rPr>
          <t xml:space="preserve">
From Campion2021</t>
        </r>
      </text>
    </comment>
    <comment ref="AT65" authorId="0" shapeId="0" xr:uid="{00000000-0006-0000-0000-000021030000}">
      <text>
        <r>
          <rPr>
            <b/>
            <sz val="9"/>
            <color indexed="81"/>
            <rFont val="Tahoma"/>
            <family val="2"/>
          </rPr>
          <t>Author:</t>
        </r>
        <r>
          <rPr>
            <sz val="9"/>
            <color indexed="81"/>
            <rFont val="Tahoma"/>
            <family val="2"/>
          </rPr>
          <t xml:space="preserve">
Based on Campion2023</t>
        </r>
      </text>
    </comment>
    <comment ref="AU65" authorId="0" shapeId="0" xr:uid="{00000000-0006-0000-0000-000022030000}">
      <text>
        <r>
          <rPr>
            <b/>
            <sz val="9"/>
            <color indexed="81"/>
            <rFont val="Tahoma"/>
            <family val="2"/>
          </rPr>
          <t>Author:</t>
        </r>
        <r>
          <rPr>
            <sz val="9"/>
            <color indexed="81"/>
            <rFont val="Tahoma"/>
            <family val="2"/>
          </rPr>
          <t xml:space="preserve">
From Campion2021</t>
        </r>
      </text>
    </comment>
    <comment ref="AV65" authorId="0" shapeId="0" xr:uid="{00000000-0006-0000-0000-000023030000}">
      <text>
        <r>
          <rPr>
            <b/>
            <sz val="9"/>
            <color indexed="81"/>
            <rFont val="Tahoma"/>
            <family val="2"/>
          </rPr>
          <t>Author:</t>
        </r>
        <r>
          <rPr>
            <sz val="9"/>
            <color indexed="81"/>
            <rFont val="Tahoma"/>
            <family val="2"/>
          </rPr>
          <t xml:space="preserve">
From Campion2021</t>
        </r>
      </text>
    </comment>
    <comment ref="AW65" authorId="0" shapeId="0" xr:uid="{00000000-0006-0000-0000-000024030000}">
      <text>
        <r>
          <rPr>
            <b/>
            <sz val="9"/>
            <color indexed="81"/>
            <rFont val="Tahoma"/>
            <family val="2"/>
          </rPr>
          <t>Author:</t>
        </r>
        <r>
          <rPr>
            <sz val="9"/>
            <color indexed="81"/>
            <rFont val="Tahoma"/>
            <family val="2"/>
          </rPr>
          <t xml:space="preserve">
From Campion2021</t>
        </r>
      </text>
    </comment>
    <comment ref="AX65" authorId="0" shapeId="0" xr:uid="{00000000-0006-0000-0000-000025030000}">
      <text>
        <r>
          <rPr>
            <b/>
            <sz val="9"/>
            <color indexed="81"/>
            <rFont val="Tahoma"/>
            <family val="2"/>
          </rPr>
          <t>Author:</t>
        </r>
        <r>
          <rPr>
            <sz val="9"/>
            <color indexed="81"/>
            <rFont val="Tahoma"/>
            <family val="2"/>
          </rPr>
          <t xml:space="preserve">
Based on Campion2023</t>
        </r>
      </text>
    </comment>
    <comment ref="AY65" authorId="0" shapeId="0" xr:uid="{00000000-0006-0000-0000-000026030000}">
      <text>
        <r>
          <rPr>
            <b/>
            <sz val="9"/>
            <color indexed="81"/>
            <rFont val="Tahoma"/>
            <family val="2"/>
          </rPr>
          <t>Author:</t>
        </r>
        <r>
          <rPr>
            <sz val="9"/>
            <color indexed="81"/>
            <rFont val="Tahoma"/>
            <family val="2"/>
          </rPr>
          <t xml:space="preserve">
From Campion2021</t>
        </r>
      </text>
    </comment>
    <comment ref="AZ65" authorId="0" shapeId="0" xr:uid="{00000000-0006-0000-0000-000027030000}">
      <text>
        <r>
          <rPr>
            <b/>
            <sz val="9"/>
            <color indexed="81"/>
            <rFont val="Tahoma"/>
            <family val="2"/>
          </rPr>
          <t>Author:</t>
        </r>
        <r>
          <rPr>
            <sz val="9"/>
            <color indexed="81"/>
            <rFont val="Tahoma"/>
            <family val="2"/>
          </rPr>
          <t xml:space="preserve">
From Campion2021</t>
        </r>
      </text>
    </comment>
    <comment ref="BA65" authorId="0" shapeId="0" xr:uid="{00000000-0006-0000-0000-000028030000}">
      <text>
        <r>
          <rPr>
            <b/>
            <sz val="9"/>
            <color indexed="81"/>
            <rFont val="Tahoma"/>
            <family val="2"/>
          </rPr>
          <t>Author:</t>
        </r>
        <r>
          <rPr>
            <sz val="9"/>
            <color indexed="81"/>
            <rFont val="Tahoma"/>
            <family val="2"/>
          </rPr>
          <t xml:space="preserve">
From Campion2021</t>
        </r>
      </text>
    </comment>
    <comment ref="BB65" authorId="0" shapeId="0" xr:uid="{00000000-0006-0000-0000-000029030000}">
      <text>
        <r>
          <rPr>
            <b/>
            <sz val="9"/>
            <color indexed="81"/>
            <rFont val="Tahoma"/>
            <family val="2"/>
          </rPr>
          <t>Author:</t>
        </r>
        <r>
          <rPr>
            <sz val="9"/>
            <color indexed="81"/>
            <rFont val="Tahoma"/>
            <family val="2"/>
          </rPr>
          <t xml:space="preserve">
Based on Campion2023</t>
        </r>
      </text>
    </comment>
    <comment ref="BC65" authorId="0" shapeId="0" xr:uid="{00000000-0006-0000-0000-00002A030000}">
      <text>
        <r>
          <rPr>
            <b/>
            <sz val="9"/>
            <color indexed="81"/>
            <rFont val="Tahoma"/>
            <family val="2"/>
          </rPr>
          <t>Author:</t>
        </r>
        <r>
          <rPr>
            <sz val="9"/>
            <color indexed="81"/>
            <rFont val="Tahoma"/>
            <family val="2"/>
          </rPr>
          <t xml:space="preserve">
From Campion2021</t>
        </r>
      </text>
    </comment>
    <comment ref="BD65" authorId="0" shapeId="0" xr:uid="{00000000-0006-0000-0000-00002B030000}">
      <text>
        <r>
          <rPr>
            <b/>
            <sz val="9"/>
            <color indexed="81"/>
            <rFont val="Tahoma"/>
            <family val="2"/>
          </rPr>
          <t>Author:</t>
        </r>
        <r>
          <rPr>
            <sz val="9"/>
            <color indexed="81"/>
            <rFont val="Tahoma"/>
            <family val="2"/>
          </rPr>
          <t xml:space="preserve">
From Campion2021</t>
        </r>
      </text>
    </comment>
    <comment ref="BE65" authorId="0" shapeId="0" xr:uid="{00000000-0006-0000-0000-00002C030000}">
      <text>
        <r>
          <rPr>
            <b/>
            <sz val="9"/>
            <color indexed="81"/>
            <rFont val="Tahoma"/>
            <family val="2"/>
          </rPr>
          <t>Author:</t>
        </r>
        <r>
          <rPr>
            <sz val="9"/>
            <color indexed="81"/>
            <rFont val="Tahoma"/>
            <family val="2"/>
          </rPr>
          <t xml:space="preserve">
From Campion2021</t>
        </r>
      </text>
    </comment>
    <comment ref="AT66" authorId="0" shapeId="0" xr:uid="{00000000-0006-0000-0000-00002D030000}">
      <text>
        <r>
          <rPr>
            <b/>
            <sz val="9"/>
            <color indexed="81"/>
            <rFont val="Tahoma"/>
            <family val="2"/>
          </rPr>
          <t>Author:</t>
        </r>
        <r>
          <rPr>
            <sz val="9"/>
            <color indexed="81"/>
            <rFont val="Tahoma"/>
            <family val="2"/>
          </rPr>
          <t xml:space="preserve">
Based on Campion2023</t>
        </r>
      </text>
    </comment>
    <comment ref="AU66" authorId="0" shapeId="0" xr:uid="{00000000-0006-0000-0000-00002E030000}">
      <text>
        <r>
          <rPr>
            <b/>
            <sz val="9"/>
            <color indexed="81"/>
            <rFont val="Tahoma"/>
            <family val="2"/>
          </rPr>
          <t>Author:</t>
        </r>
        <r>
          <rPr>
            <sz val="9"/>
            <color indexed="81"/>
            <rFont val="Tahoma"/>
            <family val="2"/>
          </rPr>
          <t xml:space="preserve">
From Campion2021</t>
        </r>
      </text>
    </comment>
    <comment ref="AV66" authorId="0" shapeId="0" xr:uid="{00000000-0006-0000-0000-00002F030000}">
      <text>
        <r>
          <rPr>
            <b/>
            <sz val="9"/>
            <color indexed="81"/>
            <rFont val="Tahoma"/>
            <family val="2"/>
          </rPr>
          <t>Author:</t>
        </r>
        <r>
          <rPr>
            <sz val="9"/>
            <color indexed="81"/>
            <rFont val="Tahoma"/>
            <family val="2"/>
          </rPr>
          <t xml:space="preserve">
From Campion2021</t>
        </r>
      </text>
    </comment>
    <comment ref="AW66" authorId="0" shapeId="0" xr:uid="{00000000-0006-0000-0000-000030030000}">
      <text>
        <r>
          <rPr>
            <b/>
            <sz val="9"/>
            <color indexed="81"/>
            <rFont val="Tahoma"/>
            <family val="2"/>
          </rPr>
          <t>Author:</t>
        </r>
        <r>
          <rPr>
            <sz val="9"/>
            <color indexed="81"/>
            <rFont val="Tahoma"/>
            <family val="2"/>
          </rPr>
          <t xml:space="preserve">
From Campion2021</t>
        </r>
      </text>
    </comment>
    <comment ref="AX66" authorId="0" shapeId="0" xr:uid="{00000000-0006-0000-0000-000031030000}">
      <text>
        <r>
          <rPr>
            <b/>
            <sz val="9"/>
            <color indexed="81"/>
            <rFont val="Tahoma"/>
            <family val="2"/>
          </rPr>
          <t>Author:</t>
        </r>
        <r>
          <rPr>
            <sz val="9"/>
            <color indexed="81"/>
            <rFont val="Tahoma"/>
            <family val="2"/>
          </rPr>
          <t xml:space="preserve">
Based on Campion2023</t>
        </r>
      </text>
    </comment>
    <comment ref="AY66" authorId="0" shapeId="0" xr:uid="{00000000-0006-0000-0000-000032030000}">
      <text>
        <r>
          <rPr>
            <b/>
            <sz val="9"/>
            <color indexed="81"/>
            <rFont val="Tahoma"/>
            <family val="2"/>
          </rPr>
          <t>Author:</t>
        </r>
        <r>
          <rPr>
            <sz val="9"/>
            <color indexed="81"/>
            <rFont val="Tahoma"/>
            <family val="2"/>
          </rPr>
          <t xml:space="preserve">
From Campion2021</t>
        </r>
      </text>
    </comment>
    <comment ref="AZ66" authorId="0" shapeId="0" xr:uid="{00000000-0006-0000-0000-000033030000}">
      <text>
        <r>
          <rPr>
            <b/>
            <sz val="9"/>
            <color indexed="81"/>
            <rFont val="Tahoma"/>
            <family val="2"/>
          </rPr>
          <t>Author:</t>
        </r>
        <r>
          <rPr>
            <sz val="9"/>
            <color indexed="81"/>
            <rFont val="Tahoma"/>
            <family val="2"/>
          </rPr>
          <t xml:space="preserve">
From Campion2021</t>
        </r>
      </text>
    </comment>
    <comment ref="BA66" authorId="0" shapeId="0" xr:uid="{00000000-0006-0000-0000-000034030000}">
      <text>
        <r>
          <rPr>
            <b/>
            <sz val="9"/>
            <color indexed="81"/>
            <rFont val="Tahoma"/>
            <family val="2"/>
          </rPr>
          <t>Author:</t>
        </r>
        <r>
          <rPr>
            <sz val="9"/>
            <color indexed="81"/>
            <rFont val="Tahoma"/>
            <family val="2"/>
          </rPr>
          <t xml:space="preserve">
From Campion2021</t>
        </r>
      </text>
    </comment>
    <comment ref="BB66" authorId="0" shapeId="0" xr:uid="{00000000-0006-0000-0000-000035030000}">
      <text>
        <r>
          <rPr>
            <b/>
            <sz val="9"/>
            <color indexed="81"/>
            <rFont val="Tahoma"/>
            <family val="2"/>
          </rPr>
          <t>Author:</t>
        </r>
        <r>
          <rPr>
            <sz val="9"/>
            <color indexed="81"/>
            <rFont val="Tahoma"/>
            <family val="2"/>
          </rPr>
          <t xml:space="preserve">
Based on Campion2023</t>
        </r>
      </text>
    </comment>
    <comment ref="BC66" authorId="0" shapeId="0" xr:uid="{00000000-0006-0000-0000-000036030000}">
      <text>
        <r>
          <rPr>
            <b/>
            <sz val="9"/>
            <color indexed="81"/>
            <rFont val="Tahoma"/>
            <family val="2"/>
          </rPr>
          <t>Author:</t>
        </r>
        <r>
          <rPr>
            <sz val="9"/>
            <color indexed="81"/>
            <rFont val="Tahoma"/>
            <family val="2"/>
          </rPr>
          <t xml:space="preserve">
From Campion2021</t>
        </r>
      </text>
    </comment>
    <comment ref="BD66" authorId="0" shapeId="0" xr:uid="{00000000-0006-0000-0000-000037030000}">
      <text>
        <r>
          <rPr>
            <b/>
            <sz val="9"/>
            <color indexed="81"/>
            <rFont val="Tahoma"/>
            <family val="2"/>
          </rPr>
          <t>Author:</t>
        </r>
        <r>
          <rPr>
            <sz val="9"/>
            <color indexed="81"/>
            <rFont val="Tahoma"/>
            <family val="2"/>
          </rPr>
          <t xml:space="preserve">
From Campion2021</t>
        </r>
      </text>
    </comment>
    <comment ref="BE66" authorId="0" shapeId="0" xr:uid="{00000000-0006-0000-0000-000038030000}">
      <text>
        <r>
          <rPr>
            <b/>
            <sz val="9"/>
            <color indexed="81"/>
            <rFont val="Tahoma"/>
            <family val="2"/>
          </rPr>
          <t>Author:</t>
        </r>
        <r>
          <rPr>
            <sz val="9"/>
            <color indexed="81"/>
            <rFont val="Tahoma"/>
            <family val="2"/>
          </rPr>
          <t xml:space="preserve">
From Campion2021</t>
        </r>
      </text>
    </comment>
    <comment ref="AD67" authorId="0" shapeId="0" xr:uid="{00000000-0006-0000-0000-000039030000}">
      <text>
        <r>
          <rPr>
            <b/>
            <sz val="9"/>
            <color indexed="81"/>
            <rFont val="Tahoma"/>
            <family val="2"/>
          </rPr>
          <t>Author:</t>
        </r>
        <r>
          <rPr>
            <sz val="9"/>
            <color indexed="81"/>
            <rFont val="Tahoma"/>
            <family val="2"/>
          </rPr>
          <t xml:space="preserve">
From Campion2024</t>
        </r>
      </text>
    </comment>
    <comment ref="AE67" authorId="0" shapeId="0" xr:uid="{00000000-0006-0000-0000-00003A030000}">
      <text>
        <r>
          <rPr>
            <b/>
            <sz val="9"/>
            <color indexed="81"/>
            <rFont val="Tahoma"/>
            <family val="2"/>
          </rPr>
          <t>Author:</t>
        </r>
        <r>
          <rPr>
            <sz val="9"/>
            <color indexed="81"/>
            <rFont val="Tahoma"/>
            <family val="2"/>
          </rPr>
          <t xml:space="preserve">
From Campion2024</t>
        </r>
      </text>
    </comment>
    <comment ref="AF67" authorId="0" shapeId="0" xr:uid="{00000000-0006-0000-0000-00003B030000}">
      <text>
        <r>
          <rPr>
            <b/>
            <sz val="9"/>
            <color indexed="81"/>
            <rFont val="Tahoma"/>
            <family val="2"/>
          </rPr>
          <t>Author:</t>
        </r>
        <r>
          <rPr>
            <sz val="9"/>
            <color indexed="81"/>
            <rFont val="Tahoma"/>
            <family val="2"/>
          </rPr>
          <t xml:space="preserve">
From Campion2024</t>
        </r>
      </text>
    </comment>
    <comment ref="AG67" authorId="0" shapeId="0" xr:uid="{00000000-0006-0000-0000-00003C030000}">
      <text>
        <r>
          <rPr>
            <b/>
            <sz val="9"/>
            <color indexed="81"/>
            <rFont val="Tahoma"/>
            <family val="2"/>
          </rPr>
          <t>Author:</t>
        </r>
        <r>
          <rPr>
            <sz val="9"/>
            <color indexed="81"/>
            <rFont val="Tahoma"/>
            <family val="2"/>
          </rPr>
          <t xml:space="preserve">
From Campion2024</t>
        </r>
      </text>
    </comment>
    <comment ref="AH67" authorId="0" shapeId="0" xr:uid="{00000000-0006-0000-0000-00003D030000}">
      <text>
        <r>
          <rPr>
            <b/>
            <sz val="9"/>
            <color indexed="81"/>
            <rFont val="Tahoma"/>
            <family val="2"/>
          </rPr>
          <t>Author:</t>
        </r>
        <r>
          <rPr>
            <sz val="9"/>
            <color indexed="81"/>
            <rFont val="Tahoma"/>
            <family val="2"/>
          </rPr>
          <t xml:space="preserve">
From Campion2024</t>
        </r>
      </text>
    </comment>
    <comment ref="AI67" authorId="0" shapeId="0" xr:uid="{00000000-0006-0000-0000-00003E030000}">
      <text>
        <r>
          <rPr>
            <b/>
            <sz val="9"/>
            <color indexed="81"/>
            <rFont val="Tahoma"/>
            <family val="2"/>
          </rPr>
          <t>Author:</t>
        </r>
        <r>
          <rPr>
            <sz val="9"/>
            <color indexed="81"/>
            <rFont val="Tahoma"/>
            <family val="2"/>
          </rPr>
          <t xml:space="preserve">
From Campion2024</t>
        </r>
      </text>
    </comment>
    <comment ref="AJ67" authorId="0" shapeId="0" xr:uid="{00000000-0006-0000-0000-00003F030000}">
      <text>
        <r>
          <rPr>
            <b/>
            <sz val="9"/>
            <color indexed="81"/>
            <rFont val="Tahoma"/>
            <family val="2"/>
          </rPr>
          <t>Author:</t>
        </r>
        <r>
          <rPr>
            <sz val="9"/>
            <color indexed="81"/>
            <rFont val="Tahoma"/>
            <family val="2"/>
          </rPr>
          <t xml:space="preserve">
From Campion2024</t>
        </r>
      </text>
    </comment>
    <comment ref="AK67" authorId="0" shapeId="0" xr:uid="{00000000-0006-0000-0000-000040030000}">
      <text>
        <r>
          <rPr>
            <b/>
            <sz val="9"/>
            <color indexed="81"/>
            <rFont val="Tahoma"/>
            <family val="2"/>
          </rPr>
          <t>Author:</t>
        </r>
        <r>
          <rPr>
            <sz val="9"/>
            <color indexed="81"/>
            <rFont val="Tahoma"/>
            <family val="2"/>
          </rPr>
          <t xml:space="preserve">
From Campion2024</t>
        </r>
      </text>
    </comment>
    <comment ref="AL67" authorId="0" shapeId="0" xr:uid="{00000000-0006-0000-0000-000041030000}">
      <text>
        <r>
          <rPr>
            <b/>
            <sz val="9"/>
            <color indexed="81"/>
            <rFont val="Tahoma"/>
            <family val="2"/>
          </rPr>
          <t>Author:</t>
        </r>
        <r>
          <rPr>
            <sz val="9"/>
            <color indexed="81"/>
            <rFont val="Tahoma"/>
            <family val="2"/>
          </rPr>
          <t xml:space="preserve">
From Campion2024</t>
        </r>
      </text>
    </comment>
    <comment ref="AM67" authorId="0" shapeId="0" xr:uid="{00000000-0006-0000-0000-000042030000}">
      <text>
        <r>
          <rPr>
            <b/>
            <sz val="9"/>
            <color indexed="81"/>
            <rFont val="Tahoma"/>
            <family val="2"/>
          </rPr>
          <t>Author:</t>
        </r>
        <r>
          <rPr>
            <sz val="9"/>
            <color indexed="81"/>
            <rFont val="Tahoma"/>
            <family val="2"/>
          </rPr>
          <t xml:space="preserve">
From Campion2024</t>
        </r>
      </text>
    </comment>
    <comment ref="AN67" authorId="0" shapeId="0" xr:uid="{00000000-0006-0000-0000-000043030000}">
      <text>
        <r>
          <rPr>
            <b/>
            <sz val="9"/>
            <color indexed="81"/>
            <rFont val="Tahoma"/>
            <family val="2"/>
          </rPr>
          <t>Author:</t>
        </r>
        <r>
          <rPr>
            <sz val="9"/>
            <color indexed="81"/>
            <rFont val="Tahoma"/>
            <family val="2"/>
          </rPr>
          <t xml:space="preserve">
From Campion2024</t>
        </r>
      </text>
    </comment>
    <comment ref="AO67" authorId="0" shapeId="0" xr:uid="{00000000-0006-0000-0000-000044030000}">
      <text>
        <r>
          <rPr>
            <b/>
            <sz val="9"/>
            <color indexed="81"/>
            <rFont val="Tahoma"/>
            <family val="2"/>
          </rPr>
          <t>Author:</t>
        </r>
        <r>
          <rPr>
            <sz val="9"/>
            <color indexed="81"/>
            <rFont val="Tahoma"/>
            <family val="2"/>
          </rPr>
          <t xml:space="preserve">
From Campion2024</t>
        </r>
      </text>
    </comment>
    <comment ref="AP67" authorId="0" shapeId="0" xr:uid="{00000000-0006-0000-0000-000045030000}">
      <text>
        <r>
          <rPr>
            <b/>
            <sz val="9"/>
            <color indexed="81"/>
            <rFont val="Tahoma"/>
            <family val="2"/>
          </rPr>
          <t>Author:</t>
        </r>
        <r>
          <rPr>
            <sz val="9"/>
            <color indexed="81"/>
            <rFont val="Tahoma"/>
            <family val="2"/>
          </rPr>
          <t xml:space="preserve">
From Campion2024</t>
        </r>
      </text>
    </comment>
    <comment ref="AQ67" authorId="0" shapeId="0" xr:uid="{00000000-0006-0000-0000-000046030000}">
      <text>
        <r>
          <rPr>
            <b/>
            <sz val="9"/>
            <color indexed="81"/>
            <rFont val="Tahoma"/>
            <family val="2"/>
          </rPr>
          <t>Author:</t>
        </r>
        <r>
          <rPr>
            <sz val="9"/>
            <color indexed="81"/>
            <rFont val="Tahoma"/>
            <family val="2"/>
          </rPr>
          <t xml:space="preserve">
From Campion2024</t>
        </r>
      </text>
    </comment>
    <comment ref="AR67" authorId="0" shapeId="0" xr:uid="{00000000-0006-0000-0000-000047030000}">
      <text>
        <r>
          <rPr>
            <b/>
            <sz val="9"/>
            <color indexed="81"/>
            <rFont val="Tahoma"/>
            <family val="2"/>
          </rPr>
          <t>Author:</t>
        </r>
        <r>
          <rPr>
            <sz val="9"/>
            <color indexed="81"/>
            <rFont val="Tahoma"/>
            <family val="2"/>
          </rPr>
          <t xml:space="preserve">
From Campion2024</t>
        </r>
      </text>
    </comment>
    <comment ref="AS67" authorId="0" shapeId="0" xr:uid="{00000000-0006-0000-0000-000048030000}">
      <text>
        <r>
          <rPr>
            <b/>
            <sz val="9"/>
            <color indexed="81"/>
            <rFont val="Tahoma"/>
            <family val="2"/>
          </rPr>
          <t>Author:</t>
        </r>
        <r>
          <rPr>
            <sz val="9"/>
            <color indexed="81"/>
            <rFont val="Tahoma"/>
            <family val="2"/>
          </rPr>
          <t xml:space="preserve">
From Campion2024</t>
        </r>
      </text>
    </comment>
    <comment ref="AT67" authorId="0" shapeId="0" xr:uid="{00000000-0006-0000-0000-000049030000}">
      <text>
        <r>
          <rPr>
            <b/>
            <sz val="9"/>
            <color indexed="81"/>
            <rFont val="Tahoma"/>
            <family val="2"/>
          </rPr>
          <t>Author:</t>
        </r>
        <r>
          <rPr>
            <sz val="9"/>
            <color indexed="81"/>
            <rFont val="Tahoma"/>
            <family val="2"/>
          </rPr>
          <t xml:space="preserve">
From Campion2024</t>
        </r>
      </text>
    </comment>
    <comment ref="AU67" authorId="0" shapeId="0" xr:uid="{00000000-0006-0000-0000-00004A030000}">
      <text>
        <r>
          <rPr>
            <b/>
            <sz val="9"/>
            <color indexed="81"/>
            <rFont val="Tahoma"/>
            <family val="2"/>
          </rPr>
          <t>Author:</t>
        </r>
        <r>
          <rPr>
            <sz val="9"/>
            <color indexed="81"/>
            <rFont val="Tahoma"/>
            <family val="2"/>
          </rPr>
          <t xml:space="preserve">
From Campion2024</t>
        </r>
      </text>
    </comment>
    <comment ref="AV67" authorId="0" shapeId="0" xr:uid="{00000000-0006-0000-0000-00004B030000}">
      <text>
        <r>
          <rPr>
            <b/>
            <sz val="9"/>
            <color indexed="81"/>
            <rFont val="Tahoma"/>
            <family val="2"/>
          </rPr>
          <t>Author:</t>
        </r>
        <r>
          <rPr>
            <sz val="9"/>
            <color indexed="81"/>
            <rFont val="Tahoma"/>
            <family val="2"/>
          </rPr>
          <t xml:space="preserve">
From Campion2024</t>
        </r>
      </text>
    </comment>
    <comment ref="AW67" authorId="0" shapeId="0" xr:uid="{00000000-0006-0000-0000-00004C030000}">
      <text>
        <r>
          <rPr>
            <b/>
            <sz val="9"/>
            <color indexed="81"/>
            <rFont val="Tahoma"/>
            <family val="2"/>
          </rPr>
          <t>Author:</t>
        </r>
        <r>
          <rPr>
            <sz val="9"/>
            <color indexed="81"/>
            <rFont val="Tahoma"/>
            <family val="2"/>
          </rPr>
          <t xml:space="preserve">
From Campion2024</t>
        </r>
      </text>
    </comment>
    <comment ref="AX67" authorId="0" shapeId="0" xr:uid="{00000000-0006-0000-0000-00004D030000}">
      <text>
        <r>
          <rPr>
            <b/>
            <sz val="9"/>
            <color indexed="81"/>
            <rFont val="Tahoma"/>
            <family val="2"/>
          </rPr>
          <t>Author:</t>
        </r>
        <r>
          <rPr>
            <sz val="9"/>
            <color indexed="81"/>
            <rFont val="Tahoma"/>
            <family val="2"/>
          </rPr>
          <t xml:space="preserve">
From Campion2024</t>
        </r>
      </text>
    </comment>
    <comment ref="AY67" authorId="0" shapeId="0" xr:uid="{00000000-0006-0000-0000-00004E030000}">
      <text>
        <r>
          <rPr>
            <b/>
            <sz val="9"/>
            <color indexed="81"/>
            <rFont val="Tahoma"/>
            <family val="2"/>
          </rPr>
          <t>Author:</t>
        </r>
        <r>
          <rPr>
            <sz val="9"/>
            <color indexed="81"/>
            <rFont val="Tahoma"/>
            <family val="2"/>
          </rPr>
          <t xml:space="preserve">
From Campion2024</t>
        </r>
      </text>
    </comment>
    <comment ref="AZ67" authorId="0" shapeId="0" xr:uid="{00000000-0006-0000-0000-00004F030000}">
      <text>
        <r>
          <rPr>
            <b/>
            <sz val="9"/>
            <color indexed="81"/>
            <rFont val="Tahoma"/>
            <family val="2"/>
          </rPr>
          <t>Author:</t>
        </r>
        <r>
          <rPr>
            <sz val="9"/>
            <color indexed="81"/>
            <rFont val="Tahoma"/>
            <family val="2"/>
          </rPr>
          <t xml:space="preserve">
From Campion2024</t>
        </r>
      </text>
    </comment>
    <comment ref="BA67" authorId="0" shapeId="0" xr:uid="{00000000-0006-0000-0000-000050030000}">
      <text>
        <r>
          <rPr>
            <b/>
            <sz val="9"/>
            <color indexed="81"/>
            <rFont val="Tahoma"/>
            <family val="2"/>
          </rPr>
          <t>Author:</t>
        </r>
        <r>
          <rPr>
            <sz val="9"/>
            <color indexed="81"/>
            <rFont val="Tahoma"/>
            <family val="2"/>
          </rPr>
          <t xml:space="preserve">
From Campion2024</t>
        </r>
      </text>
    </comment>
    <comment ref="BB67" authorId="0" shapeId="0" xr:uid="{00000000-0006-0000-0000-000051030000}">
      <text>
        <r>
          <rPr>
            <b/>
            <sz val="9"/>
            <color indexed="81"/>
            <rFont val="Tahoma"/>
            <family val="2"/>
          </rPr>
          <t>Author:</t>
        </r>
        <r>
          <rPr>
            <sz val="9"/>
            <color indexed="81"/>
            <rFont val="Tahoma"/>
            <family val="2"/>
          </rPr>
          <t xml:space="preserve">
From Campion2024</t>
        </r>
      </text>
    </comment>
    <comment ref="BC67" authorId="0" shapeId="0" xr:uid="{00000000-0006-0000-0000-000052030000}">
      <text>
        <r>
          <rPr>
            <b/>
            <sz val="9"/>
            <color indexed="81"/>
            <rFont val="Tahoma"/>
            <family val="2"/>
          </rPr>
          <t>Author:</t>
        </r>
        <r>
          <rPr>
            <sz val="9"/>
            <color indexed="81"/>
            <rFont val="Tahoma"/>
            <family val="2"/>
          </rPr>
          <t xml:space="preserve">
From Campion2024</t>
        </r>
      </text>
    </comment>
    <comment ref="BD67" authorId="0" shapeId="0" xr:uid="{00000000-0006-0000-0000-000053030000}">
      <text>
        <r>
          <rPr>
            <b/>
            <sz val="9"/>
            <color indexed="81"/>
            <rFont val="Tahoma"/>
            <family val="2"/>
          </rPr>
          <t>Author:</t>
        </r>
        <r>
          <rPr>
            <sz val="9"/>
            <color indexed="81"/>
            <rFont val="Tahoma"/>
            <family val="2"/>
          </rPr>
          <t xml:space="preserve">
From Campion2024</t>
        </r>
      </text>
    </comment>
    <comment ref="BE67" authorId="0" shapeId="0" xr:uid="{00000000-0006-0000-0000-000054030000}">
      <text>
        <r>
          <rPr>
            <b/>
            <sz val="9"/>
            <color indexed="81"/>
            <rFont val="Tahoma"/>
            <family val="2"/>
          </rPr>
          <t>Author:</t>
        </r>
        <r>
          <rPr>
            <sz val="9"/>
            <color indexed="81"/>
            <rFont val="Tahoma"/>
            <family val="2"/>
          </rPr>
          <t xml:space="preserve">
From Campion2024</t>
        </r>
      </text>
    </comment>
    <comment ref="BR67" authorId="0" shapeId="0" xr:uid="{00000000-0006-0000-0000-000055030000}">
      <text>
        <r>
          <rPr>
            <b/>
            <sz val="9"/>
            <color indexed="81"/>
            <rFont val="Tahoma"/>
            <family val="2"/>
          </rPr>
          <t>Author:</t>
        </r>
        <r>
          <rPr>
            <sz val="9"/>
            <color indexed="81"/>
            <rFont val="Tahoma"/>
            <family val="2"/>
          </rPr>
          <t xml:space="preserve">
From Campion2024</t>
        </r>
      </text>
    </comment>
    <comment ref="BS67" authorId="0" shapeId="0" xr:uid="{00000000-0006-0000-0000-000056030000}">
      <text>
        <r>
          <rPr>
            <b/>
            <sz val="9"/>
            <color indexed="81"/>
            <rFont val="Tahoma"/>
            <family val="2"/>
          </rPr>
          <t>Author:</t>
        </r>
        <r>
          <rPr>
            <sz val="9"/>
            <color indexed="81"/>
            <rFont val="Tahoma"/>
            <family val="2"/>
          </rPr>
          <t xml:space="preserve">
From Campion2024</t>
        </r>
      </text>
    </comment>
    <comment ref="BT67" authorId="0" shapeId="0" xr:uid="{00000000-0006-0000-0000-000057030000}">
      <text>
        <r>
          <rPr>
            <b/>
            <sz val="9"/>
            <color indexed="81"/>
            <rFont val="Tahoma"/>
            <family val="2"/>
          </rPr>
          <t>Author:</t>
        </r>
        <r>
          <rPr>
            <sz val="9"/>
            <color indexed="81"/>
            <rFont val="Tahoma"/>
            <family val="2"/>
          </rPr>
          <t xml:space="preserve">
From Campion2024</t>
        </r>
      </text>
    </comment>
    <comment ref="BU67" authorId="0" shapeId="0" xr:uid="{00000000-0006-0000-0000-000058030000}">
      <text>
        <r>
          <rPr>
            <b/>
            <sz val="9"/>
            <color indexed="81"/>
            <rFont val="Tahoma"/>
            <family val="2"/>
          </rPr>
          <t>Author:</t>
        </r>
        <r>
          <rPr>
            <sz val="9"/>
            <color indexed="81"/>
            <rFont val="Tahoma"/>
            <family val="2"/>
          </rPr>
          <t xml:space="preserve">
From Campion2024</t>
        </r>
      </text>
    </comment>
    <comment ref="BV67" authorId="0" shapeId="0" xr:uid="{00000000-0006-0000-0000-000059030000}">
      <text>
        <r>
          <rPr>
            <b/>
            <sz val="9"/>
            <color indexed="81"/>
            <rFont val="Tahoma"/>
            <family val="2"/>
          </rPr>
          <t>Author:</t>
        </r>
        <r>
          <rPr>
            <sz val="9"/>
            <color indexed="81"/>
            <rFont val="Tahoma"/>
            <family val="2"/>
          </rPr>
          <t xml:space="preserve">
From Campion2024</t>
        </r>
      </text>
    </comment>
    <comment ref="BW67" authorId="0" shapeId="0" xr:uid="{00000000-0006-0000-0000-00005A030000}">
      <text>
        <r>
          <rPr>
            <b/>
            <sz val="9"/>
            <color indexed="81"/>
            <rFont val="Tahoma"/>
            <family val="2"/>
          </rPr>
          <t>Author:</t>
        </r>
        <r>
          <rPr>
            <sz val="9"/>
            <color indexed="81"/>
            <rFont val="Tahoma"/>
            <family val="2"/>
          </rPr>
          <t xml:space="preserve">
From Campion2024</t>
        </r>
      </text>
    </comment>
    <comment ref="BX67" authorId="0" shapeId="0" xr:uid="{00000000-0006-0000-0000-00005B030000}">
      <text>
        <r>
          <rPr>
            <b/>
            <sz val="9"/>
            <color indexed="81"/>
            <rFont val="Tahoma"/>
            <family val="2"/>
          </rPr>
          <t>Author:</t>
        </r>
        <r>
          <rPr>
            <sz val="9"/>
            <color indexed="81"/>
            <rFont val="Tahoma"/>
            <family val="2"/>
          </rPr>
          <t xml:space="preserve">
From Campion2024</t>
        </r>
      </text>
    </comment>
    <comment ref="BY67" authorId="0" shapeId="0" xr:uid="{00000000-0006-0000-0000-00005C030000}">
      <text>
        <r>
          <rPr>
            <b/>
            <sz val="9"/>
            <color indexed="81"/>
            <rFont val="Tahoma"/>
            <family val="2"/>
          </rPr>
          <t>Author:</t>
        </r>
        <r>
          <rPr>
            <sz val="9"/>
            <color indexed="81"/>
            <rFont val="Tahoma"/>
            <family val="2"/>
          </rPr>
          <t xml:space="preserve">
From Campion2024</t>
        </r>
      </text>
    </comment>
    <comment ref="BZ67" authorId="0" shapeId="0" xr:uid="{00000000-0006-0000-0000-00005D030000}">
      <text>
        <r>
          <rPr>
            <b/>
            <sz val="9"/>
            <color indexed="81"/>
            <rFont val="Tahoma"/>
            <family val="2"/>
          </rPr>
          <t>Author:</t>
        </r>
        <r>
          <rPr>
            <sz val="9"/>
            <color indexed="81"/>
            <rFont val="Tahoma"/>
            <family val="2"/>
          </rPr>
          <t xml:space="preserve">
From Campion2024</t>
        </r>
      </text>
    </comment>
    <comment ref="CA67" authorId="0" shapeId="0" xr:uid="{00000000-0006-0000-0000-00005E030000}">
      <text>
        <r>
          <rPr>
            <b/>
            <sz val="9"/>
            <color indexed="81"/>
            <rFont val="Tahoma"/>
            <family val="2"/>
          </rPr>
          <t>Author:</t>
        </r>
        <r>
          <rPr>
            <sz val="9"/>
            <color indexed="81"/>
            <rFont val="Tahoma"/>
            <family val="2"/>
          </rPr>
          <t xml:space="preserve">
From Campion2024</t>
        </r>
      </text>
    </comment>
    <comment ref="CB67" authorId="0" shapeId="0" xr:uid="{00000000-0006-0000-0000-00005F030000}">
      <text>
        <r>
          <rPr>
            <b/>
            <sz val="9"/>
            <color indexed="81"/>
            <rFont val="Tahoma"/>
            <family val="2"/>
          </rPr>
          <t>Author:</t>
        </r>
        <r>
          <rPr>
            <sz val="9"/>
            <color indexed="81"/>
            <rFont val="Tahoma"/>
            <family val="2"/>
          </rPr>
          <t xml:space="preserve">
From Campion2024</t>
        </r>
      </text>
    </comment>
    <comment ref="CC67" authorId="0" shapeId="0" xr:uid="{00000000-0006-0000-0000-000060030000}">
      <text>
        <r>
          <rPr>
            <b/>
            <sz val="9"/>
            <color indexed="81"/>
            <rFont val="Tahoma"/>
            <family val="2"/>
          </rPr>
          <t>Author:</t>
        </r>
        <r>
          <rPr>
            <sz val="9"/>
            <color indexed="81"/>
            <rFont val="Tahoma"/>
            <family val="2"/>
          </rPr>
          <t xml:space="preserve">
From Campion2024</t>
        </r>
      </text>
    </comment>
    <comment ref="AD68" authorId="0" shapeId="0" xr:uid="{00000000-0006-0000-0000-000061030000}">
      <text>
        <r>
          <rPr>
            <b/>
            <sz val="9"/>
            <color indexed="81"/>
            <rFont val="Tahoma"/>
            <family val="2"/>
          </rPr>
          <t>Author:</t>
        </r>
        <r>
          <rPr>
            <sz val="9"/>
            <color indexed="81"/>
            <rFont val="Tahoma"/>
            <family val="2"/>
          </rPr>
          <t xml:space="preserve">
From Campion2024</t>
        </r>
      </text>
    </comment>
    <comment ref="AE68" authorId="0" shapeId="0" xr:uid="{00000000-0006-0000-0000-000062030000}">
      <text>
        <r>
          <rPr>
            <b/>
            <sz val="9"/>
            <color indexed="81"/>
            <rFont val="Tahoma"/>
            <family val="2"/>
          </rPr>
          <t>Author:</t>
        </r>
        <r>
          <rPr>
            <sz val="9"/>
            <color indexed="81"/>
            <rFont val="Tahoma"/>
            <family val="2"/>
          </rPr>
          <t xml:space="preserve">
From Campion2024</t>
        </r>
      </text>
    </comment>
    <comment ref="AF68" authorId="0" shapeId="0" xr:uid="{00000000-0006-0000-0000-000063030000}">
      <text>
        <r>
          <rPr>
            <b/>
            <sz val="9"/>
            <color indexed="81"/>
            <rFont val="Tahoma"/>
            <family val="2"/>
          </rPr>
          <t>Author:</t>
        </r>
        <r>
          <rPr>
            <sz val="9"/>
            <color indexed="81"/>
            <rFont val="Tahoma"/>
            <family val="2"/>
          </rPr>
          <t xml:space="preserve">
From Campion2024</t>
        </r>
      </text>
    </comment>
    <comment ref="AG68" authorId="0" shapeId="0" xr:uid="{00000000-0006-0000-0000-000064030000}">
      <text>
        <r>
          <rPr>
            <b/>
            <sz val="9"/>
            <color indexed="81"/>
            <rFont val="Tahoma"/>
            <family val="2"/>
          </rPr>
          <t>Author:</t>
        </r>
        <r>
          <rPr>
            <sz val="9"/>
            <color indexed="81"/>
            <rFont val="Tahoma"/>
            <family val="2"/>
          </rPr>
          <t xml:space="preserve">
From Campion2024</t>
        </r>
      </text>
    </comment>
    <comment ref="AH68" authorId="0" shapeId="0" xr:uid="{00000000-0006-0000-0000-000065030000}">
      <text>
        <r>
          <rPr>
            <b/>
            <sz val="9"/>
            <color indexed="81"/>
            <rFont val="Tahoma"/>
            <family val="2"/>
          </rPr>
          <t>Author:</t>
        </r>
        <r>
          <rPr>
            <sz val="9"/>
            <color indexed="81"/>
            <rFont val="Tahoma"/>
            <family val="2"/>
          </rPr>
          <t xml:space="preserve">
From Campion2024</t>
        </r>
      </text>
    </comment>
    <comment ref="AI68" authorId="0" shapeId="0" xr:uid="{00000000-0006-0000-0000-000066030000}">
      <text>
        <r>
          <rPr>
            <b/>
            <sz val="9"/>
            <color indexed="81"/>
            <rFont val="Tahoma"/>
            <family val="2"/>
          </rPr>
          <t>Author:</t>
        </r>
        <r>
          <rPr>
            <sz val="9"/>
            <color indexed="81"/>
            <rFont val="Tahoma"/>
            <family val="2"/>
          </rPr>
          <t xml:space="preserve">
From Campion2024</t>
        </r>
      </text>
    </comment>
    <comment ref="AJ68" authorId="0" shapeId="0" xr:uid="{00000000-0006-0000-0000-000067030000}">
      <text>
        <r>
          <rPr>
            <b/>
            <sz val="9"/>
            <color indexed="81"/>
            <rFont val="Tahoma"/>
            <family val="2"/>
          </rPr>
          <t>Author:</t>
        </r>
        <r>
          <rPr>
            <sz val="9"/>
            <color indexed="81"/>
            <rFont val="Tahoma"/>
            <family val="2"/>
          </rPr>
          <t xml:space="preserve">
From Campion2024</t>
        </r>
      </text>
    </comment>
    <comment ref="AK68" authorId="0" shapeId="0" xr:uid="{00000000-0006-0000-0000-000068030000}">
      <text>
        <r>
          <rPr>
            <b/>
            <sz val="9"/>
            <color indexed="81"/>
            <rFont val="Tahoma"/>
            <family val="2"/>
          </rPr>
          <t>Author:</t>
        </r>
        <r>
          <rPr>
            <sz val="9"/>
            <color indexed="81"/>
            <rFont val="Tahoma"/>
            <family val="2"/>
          </rPr>
          <t xml:space="preserve">
From Campion2024</t>
        </r>
      </text>
    </comment>
    <comment ref="AL68" authorId="0" shapeId="0" xr:uid="{00000000-0006-0000-0000-000069030000}">
      <text>
        <r>
          <rPr>
            <b/>
            <sz val="9"/>
            <color indexed="81"/>
            <rFont val="Tahoma"/>
            <family val="2"/>
          </rPr>
          <t>Author:</t>
        </r>
        <r>
          <rPr>
            <sz val="9"/>
            <color indexed="81"/>
            <rFont val="Tahoma"/>
            <family val="2"/>
          </rPr>
          <t xml:space="preserve">
From Campion2024</t>
        </r>
      </text>
    </comment>
    <comment ref="AM68" authorId="0" shapeId="0" xr:uid="{00000000-0006-0000-0000-00006A030000}">
      <text>
        <r>
          <rPr>
            <b/>
            <sz val="9"/>
            <color indexed="81"/>
            <rFont val="Tahoma"/>
            <family val="2"/>
          </rPr>
          <t>Author:</t>
        </r>
        <r>
          <rPr>
            <sz val="9"/>
            <color indexed="81"/>
            <rFont val="Tahoma"/>
            <family val="2"/>
          </rPr>
          <t xml:space="preserve">
From Campion2024</t>
        </r>
      </text>
    </comment>
    <comment ref="AN68" authorId="0" shapeId="0" xr:uid="{00000000-0006-0000-0000-00006B030000}">
      <text>
        <r>
          <rPr>
            <b/>
            <sz val="9"/>
            <color indexed="81"/>
            <rFont val="Tahoma"/>
            <family val="2"/>
          </rPr>
          <t>Author:</t>
        </r>
        <r>
          <rPr>
            <sz val="9"/>
            <color indexed="81"/>
            <rFont val="Tahoma"/>
            <family val="2"/>
          </rPr>
          <t xml:space="preserve">
From Campion2024</t>
        </r>
      </text>
    </comment>
    <comment ref="AO68" authorId="0" shapeId="0" xr:uid="{00000000-0006-0000-0000-00006C030000}">
      <text>
        <r>
          <rPr>
            <b/>
            <sz val="9"/>
            <color indexed="81"/>
            <rFont val="Tahoma"/>
            <family val="2"/>
          </rPr>
          <t>Author:</t>
        </r>
        <r>
          <rPr>
            <sz val="9"/>
            <color indexed="81"/>
            <rFont val="Tahoma"/>
            <family val="2"/>
          </rPr>
          <t xml:space="preserve">
From Campion2024</t>
        </r>
      </text>
    </comment>
    <comment ref="AP68" authorId="0" shapeId="0" xr:uid="{00000000-0006-0000-0000-00006D030000}">
      <text>
        <r>
          <rPr>
            <b/>
            <sz val="9"/>
            <color indexed="81"/>
            <rFont val="Tahoma"/>
            <family val="2"/>
          </rPr>
          <t>Author:</t>
        </r>
        <r>
          <rPr>
            <sz val="9"/>
            <color indexed="81"/>
            <rFont val="Tahoma"/>
            <family val="2"/>
          </rPr>
          <t xml:space="preserve">
From Campion2024</t>
        </r>
      </text>
    </comment>
    <comment ref="AQ68" authorId="0" shapeId="0" xr:uid="{00000000-0006-0000-0000-00006E030000}">
      <text>
        <r>
          <rPr>
            <b/>
            <sz val="9"/>
            <color indexed="81"/>
            <rFont val="Tahoma"/>
            <family val="2"/>
          </rPr>
          <t>Author:</t>
        </r>
        <r>
          <rPr>
            <sz val="9"/>
            <color indexed="81"/>
            <rFont val="Tahoma"/>
            <family val="2"/>
          </rPr>
          <t xml:space="preserve">
From Campion2024</t>
        </r>
      </text>
    </comment>
    <comment ref="AR68" authorId="0" shapeId="0" xr:uid="{00000000-0006-0000-0000-00006F030000}">
      <text>
        <r>
          <rPr>
            <b/>
            <sz val="9"/>
            <color indexed="81"/>
            <rFont val="Tahoma"/>
            <family val="2"/>
          </rPr>
          <t>Author:</t>
        </r>
        <r>
          <rPr>
            <sz val="9"/>
            <color indexed="81"/>
            <rFont val="Tahoma"/>
            <family val="2"/>
          </rPr>
          <t xml:space="preserve">
From Campion2024</t>
        </r>
      </text>
    </comment>
    <comment ref="AS68" authorId="0" shapeId="0" xr:uid="{00000000-0006-0000-0000-000070030000}">
      <text>
        <r>
          <rPr>
            <b/>
            <sz val="9"/>
            <color indexed="81"/>
            <rFont val="Tahoma"/>
            <family val="2"/>
          </rPr>
          <t>Author:</t>
        </r>
        <r>
          <rPr>
            <sz val="9"/>
            <color indexed="81"/>
            <rFont val="Tahoma"/>
            <family val="2"/>
          </rPr>
          <t xml:space="preserve">
From Campion2024</t>
        </r>
      </text>
    </comment>
    <comment ref="AT68" authorId="0" shapeId="0" xr:uid="{00000000-0006-0000-0000-000071030000}">
      <text>
        <r>
          <rPr>
            <b/>
            <sz val="9"/>
            <color indexed="81"/>
            <rFont val="Tahoma"/>
            <family val="2"/>
          </rPr>
          <t>Author:</t>
        </r>
        <r>
          <rPr>
            <sz val="9"/>
            <color indexed="81"/>
            <rFont val="Tahoma"/>
            <family val="2"/>
          </rPr>
          <t xml:space="preserve">
From Campion2024</t>
        </r>
      </text>
    </comment>
    <comment ref="AU68" authorId="0" shapeId="0" xr:uid="{00000000-0006-0000-0000-000072030000}">
      <text>
        <r>
          <rPr>
            <b/>
            <sz val="9"/>
            <color indexed="81"/>
            <rFont val="Tahoma"/>
            <family val="2"/>
          </rPr>
          <t>Author:</t>
        </r>
        <r>
          <rPr>
            <sz val="9"/>
            <color indexed="81"/>
            <rFont val="Tahoma"/>
            <family val="2"/>
          </rPr>
          <t xml:space="preserve">
From Campion2024</t>
        </r>
      </text>
    </comment>
    <comment ref="AV68" authorId="0" shapeId="0" xr:uid="{00000000-0006-0000-0000-000073030000}">
      <text>
        <r>
          <rPr>
            <b/>
            <sz val="9"/>
            <color indexed="81"/>
            <rFont val="Tahoma"/>
            <family val="2"/>
          </rPr>
          <t>Author:</t>
        </r>
        <r>
          <rPr>
            <sz val="9"/>
            <color indexed="81"/>
            <rFont val="Tahoma"/>
            <family val="2"/>
          </rPr>
          <t xml:space="preserve">
From Campion2024</t>
        </r>
      </text>
    </comment>
    <comment ref="AW68" authorId="0" shapeId="0" xr:uid="{00000000-0006-0000-0000-000074030000}">
      <text>
        <r>
          <rPr>
            <b/>
            <sz val="9"/>
            <color indexed="81"/>
            <rFont val="Tahoma"/>
            <family val="2"/>
          </rPr>
          <t>Author:</t>
        </r>
        <r>
          <rPr>
            <sz val="9"/>
            <color indexed="81"/>
            <rFont val="Tahoma"/>
            <family val="2"/>
          </rPr>
          <t xml:space="preserve">
From Campion2024</t>
        </r>
      </text>
    </comment>
    <comment ref="AX68" authorId="0" shapeId="0" xr:uid="{00000000-0006-0000-0000-000075030000}">
      <text>
        <r>
          <rPr>
            <b/>
            <sz val="9"/>
            <color indexed="81"/>
            <rFont val="Tahoma"/>
            <family val="2"/>
          </rPr>
          <t>Author:</t>
        </r>
        <r>
          <rPr>
            <sz val="9"/>
            <color indexed="81"/>
            <rFont val="Tahoma"/>
            <family val="2"/>
          </rPr>
          <t xml:space="preserve">
From Campion2024</t>
        </r>
      </text>
    </comment>
    <comment ref="AY68" authorId="0" shapeId="0" xr:uid="{00000000-0006-0000-0000-000076030000}">
      <text>
        <r>
          <rPr>
            <b/>
            <sz val="9"/>
            <color indexed="81"/>
            <rFont val="Tahoma"/>
            <family val="2"/>
          </rPr>
          <t>Author:</t>
        </r>
        <r>
          <rPr>
            <sz val="9"/>
            <color indexed="81"/>
            <rFont val="Tahoma"/>
            <family val="2"/>
          </rPr>
          <t xml:space="preserve">
From Campion2024</t>
        </r>
      </text>
    </comment>
    <comment ref="AZ68" authorId="0" shapeId="0" xr:uid="{00000000-0006-0000-0000-000077030000}">
      <text>
        <r>
          <rPr>
            <b/>
            <sz val="9"/>
            <color indexed="81"/>
            <rFont val="Tahoma"/>
            <family val="2"/>
          </rPr>
          <t>Author:</t>
        </r>
        <r>
          <rPr>
            <sz val="9"/>
            <color indexed="81"/>
            <rFont val="Tahoma"/>
            <family val="2"/>
          </rPr>
          <t xml:space="preserve">
From Campion2024</t>
        </r>
      </text>
    </comment>
    <comment ref="BA68" authorId="0" shapeId="0" xr:uid="{00000000-0006-0000-0000-000078030000}">
      <text>
        <r>
          <rPr>
            <b/>
            <sz val="9"/>
            <color indexed="81"/>
            <rFont val="Tahoma"/>
            <family val="2"/>
          </rPr>
          <t>Author:</t>
        </r>
        <r>
          <rPr>
            <sz val="9"/>
            <color indexed="81"/>
            <rFont val="Tahoma"/>
            <family val="2"/>
          </rPr>
          <t xml:space="preserve">
From Campion2024</t>
        </r>
      </text>
    </comment>
    <comment ref="BB68" authorId="0" shapeId="0" xr:uid="{00000000-0006-0000-0000-000079030000}">
      <text>
        <r>
          <rPr>
            <b/>
            <sz val="9"/>
            <color indexed="81"/>
            <rFont val="Tahoma"/>
            <family val="2"/>
          </rPr>
          <t>Author:</t>
        </r>
        <r>
          <rPr>
            <sz val="9"/>
            <color indexed="81"/>
            <rFont val="Tahoma"/>
            <family val="2"/>
          </rPr>
          <t xml:space="preserve">
From Campion2024</t>
        </r>
      </text>
    </comment>
    <comment ref="BC68" authorId="0" shapeId="0" xr:uid="{00000000-0006-0000-0000-00007A030000}">
      <text>
        <r>
          <rPr>
            <b/>
            <sz val="9"/>
            <color indexed="81"/>
            <rFont val="Tahoma"/>
            <family val="2"/>
          </rPr>
          <t>Author:</t>
        </r>
        <r>
          <rPr>
            <sz val="9"/>
            <color indexed="81"/>
            <rFont val="Tahoma"/>
            <family val="2"/>
          </rPr>
          <t xml:space="preserve">
From Campion2024</t>
        </r>
      </text>
    </comment>
    <comment ref="BD68" authorId="0" shapeId="0" xr:uid="{00000000-0006-0000-0000-00007B030000}">
      <text>
        <r>
          <rPr>
            <b/>
            <sz val="9"/>
            <color indexed="81"/>
            <rFont val="Tahoma"/>
            <family val="2"/>
          </rPr>
          <t>Author:</t>
        </r>
        <r>
          <rPr>
            <sz val="9"/>
            <color indexed="81"/>
            <rFont val="Tahoma"/>
            <family val="2"/>
          </rPr>
          <t xml:space="preserve">
From Campion2024</t>
        </r>
      </text>
    </comment>
    <comment ref="BE68" authorId="0" shapeId="0" xr:uid="{00000000-0006-0000-0000-00007C030000}">
      <text>
        <r>
          <rPr>
            <b/>
            <sz val="9"/>
            <color indexed="81"/>
            <rFont val="Tahoma"/>
            <family val="2"/>
          </rPr>
          <t>Author:</t>
        </r>
        <r>
          <rPr>
            <sz val="9"/>
            <color indexed="81"/>
            <rFont val="Tahoma"/>
            <family val="2"/>
          </rPr>
          <t xml:space="preserve">
From Campion2024</t>
        </r>
      </text>
    </comment>
    <comment ref="BR68" authorId="0" shapeId="0" xr:uid="{00000000-0006-0000-0000-00007D030000}">
      <text>
        <r>
          <rPr>
            <b/>
            <sz val="9"/>
            <color indexed="81"/>
            <rFont val="Tahoma"/>
            <family val="2"/>
          </rPr>
          <t>Author:</t>
        </r>
        <r>
          <rPr>
            <sz val="9"/>
            <color indexed="81"/>
            <rFont val="Tahoma"/>
            <family val="2"/>
          </rPr>
          <t xml:space="preserve">
From Campion2024</t>
        </r>
      </text>
    </comment>
    <comment ref="BS68" authorId="0" shapeId="0" xr:uid="{00000000-0006-0000-0000-00007E030000}">
      <text>
        <r>
          <rPr>
            <b/>
            <sz val="9"/>
            <color indexed="81"/>
            <rFont val="Tahoma"/>
            <family val="2"/>
          </rPr>
          <t>Author:</t>
        </r>
        <r>
          <rPr>
            <sz val="9"/>
            <color indexed="81"/>
            <rFont val="Tahoma"/>
            <family val="2"/>
          </rPr>
          <t xml:space="preserve">
From Campion2024</t>
        </r>
      </text>
    </comment>
    <comment ref="BT68" authorId="0" shapeId="0" xr:uid="{00000000-0006-0000-0000-00007F030000}">
      <text>
        <r>
          <rPr>
            <b/>
            <sz val="9"/>
            <color indexed="81"/>
            <rFont val="Tahoma"/>
            <family val="2"/>
          </rPr>
          <t>Author:</t>
        </r>
        <r>
          <rPr>
            <sz val="9"/>
            <color indexed="81"/>
            <rFont val="Tahoma"/>
            <family val="2"/>
          </rPr>
          <t xml:space="preserve">
From Campion2024</t>
        </r>
      </text>
    </comment>
    <comment ref="BU68" authorId="0" shapeId="0" xr:uid="{00000000-0006-0000-0000-000080030000}">
      <text>
        <r>
          <rPr>
            <b/>
            <sz val="9"/>
            <color indexed="81"/>
            <rFont val="Tahoma"/>
            <family val="2"/>
          </rPr>
          <t>Author:</t>
        </r>
        <r>
          <rPr>
            <sz val="9"/>
            <color indexed="81"/>
            <rFont val="Tahoma"/>
            <family val="2"/>
          </rPr>
          <t xml:space="preserve">
From Campion2024</t>
        </r>
      </text>
    </comment>
    <comment ref="BV68" authorId="0" shapeId="0" xr:uid="{00000000-0006-0000-0000-000081030000}">
      <text>
        <r>
          <rPr>
            <b/>
            <sz val="9"/>
            <color indexed="81"/>
            <rFont val="Tahoma"/>
            <family val="2"/>
          </rPr>
          <t>Author:</t>
        </r>
        <r>
          <rPr>
            <sz val="9"/>
            <color indexed="81"/>
            <rFont val="Tahoma"/>
            <family val="2"/>
          </rPr>
          <t xml:space="preserve">
From Campion2024</t>
        </r>
      </text>
    </comment>
    <comment ref="BW68" authorId="0" shapeId="0" xr:uid="{00000000-0006-0000-0000-000082030000}">
      <text>
        <r>
          <rPr>
            <b/>
            <sz val="9"/>
            <color indexed="81"/>
            <rFont val="Tahoma"/>
            <family val="2"/>
          </rPr>
          <t>Author:</t>
        </r>
        <r>
          <rPr>
            <sz val="9"/>
            <color indexed="81"/>
            <rFont val="Tahoma"/>
            <family val="2"/>
          </rPr>
          <t xml:space="preserve">
From Campion2024</t>
        </r>
      </text>
    </comment>
    <comment ref="BX68" authorId="0" shapeId="0" xr:uid="{00000000-0006-0000-0000-000083030000}">
      <text>
        <r>
          <rPr>
            <b/>
            <sz val="9"/>
            <color indexed="81"/>
            <rFont val="Tahoma"/>
            <family val="2"/>
          </rPr>
          <t>Author:</t>
        </r>
        <r>
          <rPr>
            <sz val="9"/>
            <color indexed="81"/>
            <rFont val="Tahoma"/>
            <family val="2"/>
          </rPr>
          <t xml:space="preserve">
From Campion2024</t>
        </r>
      </text>
    </comment>
    <comment ref="BY68" authorId="0" shapeId="0" xr:uid="{00000000-0006-0000-0000-000084030000}">
      <text>
        <r>
          <rPr>
            <b/>
            <sz val="9"/>
            <color indexed="81"/>
            <rFont val="Tahoma"/>
            <family val="2"/>
          </rPr>
          <t>Author:</t>
        </r>
        <r>
          <rPr>
            <sz val="9"/>
            <color indexed="81"/>
            <rFont val="Tahoma"/>
            <family val="2"/>
          </rPr>
          <t xml:space="preserve">
From Campion2024</t>
        </r>
      </text>
    </comment>
    <comment ref="BZ68" authorId="0" shapeId="0" xr:uid="{00000000-0006-0000-0000-000085030000}">
      <text>
        <r>
          <rPr>
            <b/>
            <sz val="9"/>
            <color indexed="81"/>
            <rFont val="Tahoma"/>
            <family val="2"/>
          </rPr>
          <t>Author:</t>
        </r>
        <r>
          <rPr>
            <sz val="9"/>
            <color indexed="81"/>
            <rFont val="Tahoma"/>
            <family val="2"/>
          </rPr>
          <t xml:space="preserve">
From Campion2024</t>
        </r>
      </text>
    </comment>
    <comment ref="CA68" authorId="0" shapeId="0" xr:uid="{00000000-0006-0000-0000-000086030000}">
      <text>
        <r>
          <rPr>
            <b/>
            <sz val="9"/>
            <color indexed="81"/>
            <rFont val="Tahoma"/>
            <family val="2"/>
          </rPr>
          <t>Author:</t>
        </r>
        <r>
          <rPr>
            <sz val="9"/>
            <color indexed="81"/>
            <rFont val="Tahoma"/>
            <family val="2"/>
          </rPr>
          <t xml:space="preserve">
From Campion2024</t>
        </r>
      </text>
    </comment>
    <comment ref="CB68" authorId="0" shapeId="0" xr:uid="{00000000-0006-0000-0000-000087030000}">
      <text>
        <r>
          <rPr>
            <b/>
            <sz val="9"/>
            <color indexed="81"/>
            <rFont val="Tahoma"/>
            <family val="2"/>
          </rPr>
          <t>Author:</t>
        </r>
        <r>
          <rPr>
            <sz val="9"/>
            <color indexed="81"/>
            <rFont val="Tahoma"/>
            <family val="2"/>
          </rPr>
          <t xml:space="preserve">
From Campion2024</t>
        </r>
      </text>
    </comment>
    <comment ref="CC68" authorId="0" shapeId="0" xr:uid="{00000000-0006-0000-0000-000088030000}">
      <text>
        <r>
          <rPr>
            <b/>
            <sz val="9"/>
            <color indexed="81"/>
            <rFont val="Tahoma"/>
            <family val="2"/>
          </rPr>
          <t>Author:</t>
        </r>
        <r>
          <rPr>
            <sz val="9"/>
            <color indexed="81"/>
            <rFont val="Tahoma"/>
            <family val="2"/>
          </rPr>
          <t xml:space="preserve">
From Campion2024</t>
        </r>
      </text>
    </comment>
    <comment ref="AD69" authorId="0" shapeId="0" xr:uid="{00000000-0006-0000-0000-000089030000}">
      <text>
        <r>
          <rPr>
            <b/>
            <sz val="9"/>
            <color indexed="81"/>
            <rFont val="Tahoma"/>
            <family val="2"/>
          </rPr>
          <t>Author:</t>
        </r>
        <r>
          <rPr>
            <sz val="9"/>
            <color indexed="81"/>
            <rFont val="Tahoma"/>
            <family val="2"/>
          </rPr>
          <t xml:space="preserve">
From Campion2024</t>
        </r>
      </text>
    </comment>
    <comment ref="AE69" authorId="0" shapeId="0" xr:uid="{00000000-0006-0000-0000-00008A030000}">
      <text>
        <r>
          <rPr>
            <b/>
            <sz val="9"/>
            <color indexed="81"/>
            <rFont val="Tahoma"/>
            <family val="2"/>
          </rPr>
          <t>Author:</t>
        </r>
        <r>
          <rPr>
            <sz val="9"/>
            <color indexed="81"/>
            <rFont val="Tahoma"/>
            <family val="2"/>
          </rPr>
          <t xml:space="preserve">
From Campion2024</t>
        </r>
      </text>
    </comment>
    <comment ref="AF69" authorId="0" shapeId="0" xr:uid="{00000000-0006-0000-0000-00008B030000}">
      <text>
        <r>
          <rPr>
            <b/>
            <sz val="9"/>
            <color indexed="81"/>
            <rFont val="Tahoma"/>
            <family val="2"/>
          </rPr>
          <t>Author:</t>
        </r>
        <r>
          <rPr>
            <sz val="9"/>
            <color indexed="81"/>
            <rFont val="Tahoma"/>
            <family val="2"/>
          </rPr>
          <t xml:space="preserve">
From Campion2024</t>
        </r>
      </text>
    </comment>
    <comment ref="AG69" authorId="0" shapeId="0" xr:uid="{00000000-0006-0000-0000-00008C030000}">
      <text>
        <r>
          <rPr>
            <b/>
            <sz val="9"/>
            <color indexed="81"/>
            <rFont val="Tahoma"/>
            <family val="2"/>
          </rPr>
          <t>Author:</t>
        </r>
        <r>
          <rPr>
            <sz val="9"/>
            <color indexed="81"/>
            <rFont val="Tahoma"/>
            <family val="2"/>
          </rPr>
          <t xml:space="preserve">
From Campion2024</t>
        </r>
      </text>
    </comment>
    <comment ref="AH69" authorId="0" shapeId="0" xr:uid="{00000000-0006-0000-0000-00008D030000}">
      <text>
        <r>
          <rPr>
            <b/>
            <sz val="9"/>
            <color indexed="81"/>
            <rFont val="Tahoma"/>
            <family val="2"/>
          </rPr>
          <t>Author:</t>
        </r>
        <r>
          <rPr>
            <sz val="9"/>
            <color indexed="81"/>
            <rFont val="Tahoma"/>
            <family val="2"/>
          </rPr>
          <t xml:space="preserve">
From Campion2024</t>
        </r>
      </text>
    </comment>
    <comment ref="AI69" authorId="0" shapeId="0" xr:uid="{00000000-0006-0000-0000-00008E030000}">
      <text>
        <r>
          <rPr>
            <b/>
            <sz val="9"/>
            <color indexed="81"/>
            <rFont val="Tahoma"/>
            <family val="2"/>
          </rPr>
          <t>Author:</t>
        </r>
        <r>
          <rPr>
            <sz val="9"/>
            <color indexed="81"/>
            <rFont val="Tahoma"/>
            <family val="2"/>
          </rPr>
          <t xml:space="preserve">
From Campion2024</t>
        </r>
      </text>
    </comment>
    <comment ref="AJ69" authorId="0" shapeId="0" xr:uid="{00000000-0006-0000-0000-00008F030000}">
      <text>
        <r>
          <rPr>
            <b/>
            <sz val="9"/>
            <color indexed="81"/>
            <rFont val="Tahoma"/>
            <family val="2"/>
          </rPr>
          <t>Author:</t>
        </r>
        <r>
          <rPr>
            <sz val="9"/>
            <color indexed="81"/>
            <rFont val="Tahoma"/>
            <family val="2"/>
          </rPr>
          <t xml:space="preserve">
From Campion2024</t>
        </r>
      </text>
    </comment>
    <comment ref="AK69" authorId="0" shapeId="0" xr:uid="{00000000-0006-0000-0000-000090030000}">
      <text>
        <r>
          <rPr>
            <b/>
            <sz val="9"/>
            <color indexed="81"/>
            <rFont val="Tahoma"/>
            <family val="2"/>
          </rPr>
          <t>Author:</t>
        </r>
        <r>
          <rPr>
            <sz val="9"/>
            <color indexed="81"/>
            <rFont val="Tahoma"/>
            <family val="2"/>
          </rPr>
          <t xml:space="preserve">
From Campion2024</t>
        </r>
      </text>
    </comment>
    <comment ref="AL69" authorId="0" shapeId="0" xr:uid="{00000000-0006-0000-0000-000091030000}">
      <text>
        <r>
          <rPr>
            <b/>
            <sz val="9"/>
            <color indexed="81"/>
            <rFont val="Tahoma"/>
            <family val="2"/>
          </rPr>
          <t>Author:</t>
        </r>
        <r>
          <rPr>
            <sz val="9"/>
            <color indexed="81"/>
            <rFont val="Tahoma"/>
            <family val="2"/>
          </rPr>
          <t xml:space="preserve">
From Campion2024</t>
        </r>
      </text>
    </comment>
    <comment ref="AM69" authorId="0" shapeId="0" xr:uid="{00000000-0006-0000-0000-000092030000}">
      <text>
        <r>
          <rPr>
            <b/>
            <sz val="9"/>
            <color indexed="81"/>
            <rFont val="Tahoma"/>
            <family val="2"/>
          </rPr>
          <t>Author:</t>
        </r>
        <r>
          <rPr>
            <sz val="9"/>
            <color indexed="81"/>
            <rFont val="Tahoma"/>
            <family val="2"/>
          </rPr>
          <t xml:space="preserve">
From Campion2024</t>
        </r>
      </text>
    </comment>
    <comment ref="AN69" authorId="0" shapeId="0" xr:uid="{00000000-0006-0000-0000-000093030000}">
      <text>
        <r>
          <rPr>
            <b/>
            <sz val="9"/>
            <color indexed="81"/>
            <rFont val="Tahoma"/>
            <family val="2"/>
          </rPr>
          <t>Author:</t>
        </r>
        <r>
          <rPr>
            <sz val="9"/>
            <color indexed="81"/>
            <rFont val="Tahoma"/>
            <family val="2"/>
          </rPr>
          <t xml:space="preserve">
From Campion2024</t>
        </r>
      </text>
    </comment>
    <comment ref="AO69" authorId="0" shapeId="0" xr:uid="{00000000-0006-0000-0000-000094030000}">
      <text>
        <r>
          <rPr>
            <b/>
            <sz val="9"/>
            <color indexed="81"/>
            <rFont val="Tahoma"/>
            <family val="2"/>
          </rPr>
          <t>Author:</t>
        </r>
        <r>
          <rPr>
            <sz val="9"/>
            <color indexed="81"/>
            <rFont val="Tahoma"/>
            <family val="2"/>
          </rPr>
          <t xml:space="preserve">
From Campion2024</t>
        </r>
      </text>
    </comment>
    <comment ref="AP69" authorId="0" shapeId="0" xr:uid="{00000000-0006-0000-0000-000095030000}">
      <text>
        <r>
          <rPr>
            <b/>
            <sz val="9"/>
            <color indexed="81"/>
            <rFont val="Tahoma"/>
            <family val="2"/>
          </rPr>
          <t>Author:</t>
        </r>
        <r>
          <rPr>
            <sz val="9"/>
            <color indexed="81"/>
            <rFont val="Tahoma"/>
            <family val="2"/>
          </rPr>
          <t xml:space="preserve">
From Campion2024</t>
        </r>
      </text>
    </comment>
    <comment ref="AQ69" authorId="0" shapeId="0" xr:uid="{00000000-0006-0000-0000-000096030000}">
      <text>
        <r>
          <rPr>
            <b/>
            <sz val="9"/>
            <color indexed="81"/>
            <rFont val="Tahoma"/>
            <family val="2"/>
          </rPr>
          <t>Author:</t>
        </r>
        <r>
          <rPr>
            <sz val="9"/>
            <color indexed="81"/>
            <rFont val="Tahoma"/>
            <family val="2"/>
          </rPr>
          <t xml:space="preserve">
From Campion2024</t>
        </r>
      </text>
    </comment>
    <comment ref="AR69" authorId="0" shapeId="0" xr:uid="{00000000-0006-0000-0000-000097030000}">
      <text>
        <r>
          <rPr>
            <b/>
            <sz val="9"/>
            <color indexed="81"/>
            <rFont val="Tahoma"/>
            <family val="2"/>
          </rPr>
          <t>Author:</t>
        </r>
        <r>
          <rPr>
            <sz val="9"/>
            <color indexed="81"/>
            <rFont val="Tahoma"/>
            <family val="2"/>
          </rPr>
          <t xml:space="preserve">
From Campion2024</t>
        </r>
      </text>
    </comment>
    <comment ref="AS69" authorId="0" shapeId="0" xr:uid="{00000000-0006-0000-0000-000098030000}">
      <text>
        <r>
          <rPr>
            <b/>
            <sz val="9"/>
            <color indexed="81"/>
            <rFont val="Tahoma"/>
            <family val="2"/>
          </rPr>
          <t>Author:</t>
        </r>
        <r>
          <rPr>
            <sz val="9"/>
            <color indexed="81"/>
            <rFont val="Tahoma"/>
            <family val="2"/>
          </rPr>
          <t xml:space="preserve">
From Campion2024</t>
        </r>
      </text>
    </comment>
    <comment ref="AT69" authorId="0" shapeId="0" xr:uid="{00000000-0006-0000-0000-000099030000}">
      <text>
        <r>
          <rPr>
            <b/>
            <sz val="9"/>
            <color indexed="81"/>
            <rFont val="Tahoma"/>
            <family val="2"/>
          </rPr>
          <t>Author:</t>
        </r>
        <r>
          <rPr>
            <sz val="9"/>
            <color indexed="81"/>
            <rFont val="Tahoma"/>
            <family val="2"/>
          </rPr>
          <t xml:space="preserve">
From Campion2024</t>
        </r>
      </text>
    </comment>
    <comment ref="AU69" authorId="0" shapeId="0" xr:uid="{00000000-0006-0000-0000-00009A030000}">
      <text>
        <r>
          <rPr>
            <b/>
            <sz val="9"/>
            <color indexed="81"/>
            <rFont val="Tahoma"/>
            <family val="2"/>
          </rPr>
          <t>Author:</t>
        </r>
        <r>
          <rPr>
            <sz val="9"/>
            <color indexed="81"/>
            <rFont val="Tahoma"/>
            <family val="2"/>
          </rPr>
          <t xml:space="preserve">
From Campion2024</t>
        </r>
      </text>
    </comment>
    <comment ref="AV69" authorId="0" shapeId="0" xr:uid="{00000000-0006-0000-0000-00009B030000}">
      <text>
        <r>
          <rPr>
            <b/>
            <sz val="9"/>
            <color indexed="81"/>
            <rFont val="Tahoma"/>
            <family val="2"/>
          </rPr>
          <t>Author:</t>
        </r>
        <r>
          <rPr>
            <sz val="9"/>
            <color indexed="81"/>
            <rFont val="Tahoma"/>
            <family val="2"/>
          </rPr>
          <t xml:space="preserve">
From Campion2024</t>
        </r>
      </text>
    </comment>
    <comment ref="AW69" authorId="0" shapeId="0" xr:uid="{00000000-0006-0000-0000-00009C030000}">
      <text>
        <r>
          <rPr>
            <b/>
            <sz val="9"/>
            <color indexed="81"/>
            <rFont val="Tahoma"/>
            <family val="2"/>
          </rPr>
          <t>Author:</t>
        </r>
        <r>
          <rPr>
            <sz val="9"/>
            <color indexed="81"/>
            <rFont val="Tahoma"/>
            <family val="2"/>
          </rPr>
          <t xml:space="preserve">
From Campion2024</t>
        </r>
      </text>
    </comment>
    <comment ref="AX69" authorId="0" shapeId="0" xr:uid="{00000000-0006-0000-0000-00009D030000}">
      <text>
        <r>
          <rPr>
            <b/>
            <sz val="9"/>
            <color indexed="81"/>
            <rFont val="Tahoma"/>
            <family val="2"/>
          </rPr>
          <t>Author:</t>
        </r>
        <r>
          <rPr>
            <sz val="9"/>
            <color indexed="81"/>
            <rFont val="Tahoma"/>
            <family val="2"/>
          </rPr>
          <t xml:space="preserve">
From Campion2024</t>
        </r>
      </text>
    </comment>
    <comment ref="AY69" authorId="0" shapeId="0" xr:uid="{00000000-0006-0000-0000-00009E030000}">
      <text>
        <r>
          <rPr>
            <b/>
            <sz val="9"/>
            <color indexed="81"/>
            <rFont val="Tahoma"/>
            <family val="2"/>
          </rPr>
          <t>Author:</t>
        </r>
        <r>
          <rPr>
            <sz val="9"/>
            <color indexed="81"/>
            <rFont val="Tahoma"/>
            <family val="2"/>
          </rPr>
          <t xml:space="preserve">
From Campion2024</t>
        </r>
      </text>
    </comment>
    <comment ref="AZ69" authorId="0" shapeId="0" xr:uid="{00000000-0006-0000-0000-00009F030000}">
      <text>
        <r>
          <rPr>
            <b/>
            <sz val="9"/>
            <color indexed="81"/>
            <rFont val="Tahoma"/>
            <family val="2"/>
          </rPr>
          <t>Author:</t>
        </r>
        <r>
          <rPr>
            <sz val="9"/>
            <color indexed="81"/>
            <rFont val="Tahoma"/>
            <family val="2"/>
          </rPr>
          <t xml:space="preserve">
From Campion2024</t>
        </r>
      </text>
    </comment>
    <comment ref="BA69" authorId="0" shapeId="0" xr:uid="{00000000-0006-0000-0000-0000A0030000}">
      <text>
        <r>
          <rPr>
            <b/>
            <sz val="9"/>
            <color indexed="81"/>
            <rFont val="Tahoma"/>
            <family val="2"/>
          </rPr>
          <t>Author:</t>
        </r>
        <r>
          <rPr>
            <sz val="9"/>
            <color indexed="81"/>
            <rFont val="Tahoma"/>
            <family val="2"/>
          </rPr>
          <t xml:space="preserve">
From Campion2024</t>
        </r>
      </text>
    </comment>
    <comment ref="BB69" authorId="0" shapeId="0" xr:uid="{00000000-0006-0000-0000-0000A1030000}">
      <text>
        <r>
          <rPr>
            <b/>
            <sz val="9"/>
            <color indexed="81"/>
            <rFont val="Tahoma"/>
            <family val="2"/>
          </rPr>
          <t>Author:</t>
        </r>
        <r>
          <rPr>
            <sz val="9"/>
            <color indexed="81"/>
            <rFont val="Tahoma"/>
            <family val="2"/>
          </rPr>
          <t xml:space="preserve">
From Campion2024</t>
        </r>
      </text>
    </comment>
    <comment ref="BC69" authorId="0" shapeId="0" xr:uid="{00000000-0006-0000-0000-0000A2030000}">
      <text>
        <r>
          <rPr>
            <b/>
            <sz val="9"/>
            <color indexed="81"/>
            <rFont val="Tahoma"/>
            <family val="2"/>
          </rPr>
          <t>Author:</t>
        </r>
        <r>
          <rPr>
            <sz val="9"/>
            <color indexed="81"/>
            <rFont val="Tahoma"/>
            <family val="2"/>
          </rPr>
          <t xml:space="preserve">
From Campion2024</t>
        </r>
      </text>
    </comment>
    <comment ref="BD69" authorId="0" shapeId="0" xr:uid="{00000000-0006-0000-0000-0000A3030000}">
      <text>
        <r>
          <rPr>
            <b/>
            <sz val="9"/>
            <color indexed="81"/>
            <rFont val="Tahoma"/>
            <family val="2"/>
          </rPr>
          <t>Author:</t>
        </r>
        <r>
          <rPr>
            <sz val="9"/>
            <color indexed="81"/>
            <rFont val="Tahoma"/>
            <family val="2"/>
          </rPr>
          <t xml:space="preserve">
From Campion2024</t>
        </r>
      </text>
    </comment>
    <comment ref="BE69" authorId="0" shapeId="0" xr:uid="{00000000-0006-0000-0000-0000A4030000}">
      <text>
        <r>
          <rPr>
            <b/>
            <sz val="9"/>
            <color indexed="81"/>
            <rFont val="Tahoma"/>
            <family val="2"/>
          </rPr>
          <t>Author:</t>
        </r>
        <r>
          <rPr>
            <sz val="9"/>
            <color indexed="81"/>
            <rFont val="Tahoma"/>
            <family val="2"/>
          </rPr>
          <t xml:space="preserve">
From Campion2024</t>
        </r>
      </text>
    </comment>
    <comment ref="BR69" authorId="0" shapeId="0" xr:uid="{00000000-0006-0000-0000-0000A5030000}">
      <text>
        <r>
          <rPr>
            <b/>
            <sz val="9"/>
            <color indexed="81"/>
            <rFont val="Tahoma"/>
            <family val="2"/>
          </rPr>
          <t>Author:</t>
        </r>
        <r>
          <rPr>
            <sz val="9"/>
            <color indexed="81"/>
            <rFont val="Tahoma"/>
            <family val="2"/>
          </rPr>
          <t xml:space="preserve">
From Campion2024</t>
        </r>
      </text>
    </comment>
    <comment ref="BS69" authorId="0" shapeId="0" xr:uid="{00000000-0006-0000-0000-0000A6030000}">
      <text>
        <r>
          <rPr>
            <b/>
            <sz val="9"/>
            <color indexed="81"/>
            <rFont val="Tahoma"/>
            <family val="2"/>
          </rPr>
          <t>Author:</t>
        </r>
        <r>
          <rPr>
            <sz val="9"/>
            <color indexed="81"/>
            <rFont val="Tahoma"/>
            <family val="2"/>
          </rPr>
          <t xml:space="preserve">
From Campion2024</t>
        </r>
      </text>
    </comment>
    <comment ref="BT69" authorId="0" shapeId="0" xr:uid="{00000000-0006-0000-0000-0000A7030000}">
      <text>
        <r>
          <rPr>
            <b/>
            <sz val="9"/>
            <color indexed="81"/>
            <rFont val="Tahoma"/>
            <family val="2"/>
          </rPr>
          <t>Author:</t>
        </r>
        <r>
          <rPr>
            <sz val="9"/>
            <color indexed="81"/>
            <rFont val="Tahoma"/>
            <family val="2"/>
          </rPr>
          <t xml:space="preserve">
From Campion2024</t>
        </r>
      </text>
    </comment>
    <comment ref="BU69" authorId="0" shapeId="0" xr:uid="{00000000-0006-0000-0000-0000A8030000}">
      <text>
        <r>
          <rPr>
            <b/>
            <sz val="9"/>
            <color indexed="81"/>
            <rFont val="Tahoma"/>
            <family val="2"/>
          </rPr>
          <t>Author:</t>
        </r>
        <r>
          <rPr>
            <sz val="9"/>
            <color indexed="81"/>
            <rFont val="Tahoma"/>
            <family val="2"/>
          </rPr>
          <t xml:space="preserve">
From Campion2024</t>
        </r>
      </text>
    </comment>
    <comment ref="BV69" authorId="0" shapeId="0" xr:uid="{00000000-0006-0000-0000-0000A9030000}">
      <text>
        <r>
          <rPr>
            <b/>
            <sz val="9"/>
            <color indexed="81"/>
            <rFont val="Tahoma"/>
            <family val="2"/>
          </rPr>
          <t>Author:</t>
        </r>
        <r>
          <rPr>
            <sz val="9"/>
            <color indexed="81"/>
            <rFont val="Tahoma"/>
            <family val="2"/>
          </rPr>
          <t xml:space="preserve">
From Campion2024</t>
        </r>
      </text>
    </comment>
    <comment ref="BW69" authorId="0" shapeId="0" xr:uid="{00000000-0006-0000-0000-0000AA030000}">
      <text>
        <r>
          <rPr>
            <b/>
            <sz val="9"/>
            <color indexed="81"/>
            <rFont val="Tahoma"/>
            <family val="2"/>
          </rPr>
          <t>Author:</t>
        </r>
        <r>
          <rPr>
            <sz val="9"/>
            <color indexed="81"/>
            <rFont val="Tahoma"/>
            <family val="2"/>
          </rPr>
          <t xml:space="preserve">
From Campion2024</t>
        </r>
      </text>
    </comment>
    <comment ref="BX69" authorId="0" shapeId="0" xr:uid="{00000000-0006-0000-0000-0000AB030000}">
      <text>
        <r>
          <rPr>
            <b/>
            <sz val="9"/>
            <color indexed="81"/>
            <rFont val="Tahoma"/>
            <family val="2"/>
          </rPr>
          <t>Author:</t>
        </r>
        <r>
          <rPr>
            <sz val="9"/>
            <color indexed="81"/>
            <rFont val="Tahoma"/>
            <family val="2"/>
          </rPr>
          <t xml:space="preserve">
From Campion2024</t>
        </r>
      </text>
    </comment>
    <comment ref="BY69" authorId="0" shapeId="0" xr:uid="{00000000-0006-0000-0000-0000AC030000}">
      <text>
        <r>
          <rPr>
            <b/>
            <sz val="9"/>
            <color indexed="81"/>
            <rFont val="Tahoma"/>
            <family val="2"/>
          </rPr>
          <t>Author:</t>
        </r>
        <r>
          <rPr>
            <sz val="9"/>
            <color indexed="81"/>
            <rFont val="Tahoma"/>
            <family val="2"/>
          </rPr>
          <t xml:space="preserve">
From Campion2024</t>
        </r>
      </text>
    </comment>
    <comment ref="BZ69" authorId="0" shapeId="0" xr:uid="{00000000-0006-0000-0000-0000AD030000}">
      <text>
        <r>
          <rPr>
            <b/>
            <sz val="9"/>
            <color indexed="81"/>
            <rFont val="Tahoma"/>
            <family val="2"/>
          </rPr>
          <t>Author:</t>
        </r>
        <r>
          <rPr>
            <sz val="9"/>
            <color indexed="81"/>
            <rFont val="Tahoma"/>
            <family val="2"/>
          </rPr>
          <t xml:space="preserve">
From Campion2024</t>
        </r>
      </text>
    </comment>
    <comment ref="CA69" authorId="0" shapeId="0" xr:uid="{00000000-0006-0000-0000-0000AE030000}">
      <text>
        <r>
          <rPr>
            <b/>
            <sz val="9"/>
            <color indexed="81"/>
            <rFont val="Tahoma"/>
            <family val="2"/>
          </rPr>
          <t>Author:</t>
        </r>
        <r>
          <rPr>
            <sz val="9"/>
            <color indexed="81"/>
            <rFont val="Tahoma"/>
            <family val="2"/>
          </rPr>
          <t xml:space="preserve">
From Campion2024</t>
        </r>
      </text>
    </comment>
    <comment ref="CB69" authorId="0" shapeId="0" xr:uid="{00000000-0006-0000-0000-0000AF030000}">
      <text>
        <r>
          <rPr>
            <b/>
            <sz val="9"/>
            <color indexed="81"/>
            <rFont val="Tahoma"/>
            <family val="2"/>
          </rPr>
          <t>Author:</t>
        </r>
        <r>
          <rPr>
            <sz val="9"/>
            <color indexed="81"/>
            <rFont val="Tahoma"/>
            <family val="2"/>
          </rPr>
          <t xml:space="preserve">
From Campion2024</t>
        </r>
      </text>
    </comment>
    <comment ref="CC69" authorId="0" shapeId="0" xr:uid="{00000000-0006-0000-0000-0000B0030000}">
      <text>
        <r>
          <rPr>
            <b/>
            <sz val="9"/>
            <color indexed="81"/>
            <rFont val="Tahoma"/>
            <family val="2"/>
          </rPr>
          <t>Author:</t>
        </r>
        <r>
          <rPr>
            <sz val="9"/>
            <color indexed="81"/>
            <rFont val="Tahoma"/>
            <family val="2"/>
          </rPr>
          <t xml:space="preserve">
From Campion2024</t>
        </r>
      </text>
    </comment>
    <comment ref="AD70" authorId="0" shapeId="0" xr:uid="{00000000-0006-0000-0000-0000B1030000}">
      <text>
        <r>
          <rPr>
            <b/>
            <sz val="9"/>
            <color indexed="81"/>
            <rFont val="Tahoma"/>
            <family val="2"/>
          </rPr>
          <t>Author:</t>
        </r>
        <r>
          <rPr>
            <sz val="9"/>
            <color indexed="81"/>
            <rFont val="Tahoma"/>
            <family val="2"/>
          </rPr>
          <t xml:space="preserve">
From Campion2024</t>
        </r>
      </text>
    </comment>
    <comment ref="AE70" authorId="0" shapeId="0" xr:uid="{00000000-0006-0000-0000-0000B2030000}">
      <text>
        <r>
          <rPr>
            <b/>
            <sz val="9"/>
            <color indexed="81"/>
            <rFont val="Tahoma"/>
            <family val="2"/>
          </rPr>
          <t>Author:</t>
        </r>
        <r>
          <rPr>
            <sz val="9"/>
            <color indexed="81"/>
            <rFont val="Tahoma"/>
            <family val="2"/>
          </rPr>
          <t xml:space="preserve">
From Campion2024</t>
        </r>
      </text>
    </comment>
    <comment ref="AF70" authorId="0" shapeId="0" xr:uid="{00000000-0006-0000-0000-0000B3030000}">
      <text>
        <r>
          <rPr>
            <b/>
            <sz val="9"/>
            <color indexed="81"/>
            <rFont val="Tahoma"/>
            <family val="2"/>
          </rPr>
          <t>Author:</t>
        </r>
        <r>
          <rPr>
            <sz val="9"/>
            <color indexed="81"/>
            <rFont val="Tahoma"/>
            <family val="2"/>
          </rPr>
          <t xml:space="preserve">
From Campion2024</t>
        </r>
      </text>
    </comment>
    <comment ref="AG70" authorId="0" shapeId="0" xr:uid="{00000000-0006-0000-0000-0000B4030000}">
      <text>
        <r>
          <rPr>
            <b/>
            <sz val="9"/>
            <color indexed="81"/>
            <rFont val="Tahoma"/>
            <family val="2"/>
          </rPr>
          <t>Author:</t>
        </r>
        <r>
          <rPr>
            <sz val="9"/>
            <color indexed="81"/>
            <rFont val="Tahoma"/>
            <family val="2"/>
          </rPr>
          <t xml:space="preserve">
From Campion2024</t>
        </r>
      </text>
    </comment>
    <comment ref="AH70" authorId="0" shapeId="0" xr:uid="{00000000-0006-0000-0000-0000B5030000}">
      <text>
        <r>
          <rPr>
            <b/>
            <sz val="9"/>
            <color indexed="81"/>
            <rFont val="Tahoma"/>
            <family val="2"/>
          </rPr>
          <t>Author:</t>
        </r>
        <r>
          <rPr>
            <sz val="9"/>
            <color indexed="81"/>
            <rFont val="Tahoma"/>
            <family val="2"/>
          </rPr>
          <t xml:space="preserve">
From Campion2024</t>
        </r>
      </text>
    </comment>
    <comment ref="AI70" authorId="0" shapeId="0" xr:uid="{00000000-0006-0000-0000-0000B6030000}">
      <text>
        <r>
          <rPr>
            <b/>
            <sz val="9"/>
            <color indexed="81"/>
            <rFont val="Tahoma"/>
            <family val="2"/>
          </rPr>
          <t>Author:</t>
        </r>
        <r>
          <rPr>
            <sz val="9"/>
            <color indexed="81"/>
            <rFont val="Tahoma"/>
            <family val="2"/>
          </rPr>
          <t xml:space="preserve">
From Campion2024</t>
        </r>
      </text>
    </comment>
    <comment ref="AJ70" authorId="0" shapeId="0" xr:uid="{00000000-0006-0000-0000-0000B7030000}">
      <text>
        <r>
          <rPr>
            <b/>
            <sz val="9"/>
            <color indexed="81"/>
            <rFont val="Tahoma"/>
            <family val="2"/>
          </rPr>
          <t>Author:</t>
        </r>
        <r>
          <rPr>
            <sz val="9"/>
            <color indexed="81"/>
            <rFont val="Tahoma"/>
            <family val="2"/>
          </rPr>
          <t xml:space="preserve">
From Campion2024</t>
        </r>
      </text>
    </comment>
    <comment ref="AK70" authorId="0" shapeId="0" xr:uid="{00000000-0006-0000-0000-0000B8030000}">
      <text>
        <r>
          <rPr>
            <b/>
            <sz val="9"/>
            <color indexed="81"/>
            <rFont val="Tahoma"/>
            <family val="2"/>
          </rPr>
          <t>Author:</t>
        </r>
        <r>
          <rPr>
            <sz val="9"/>
            <color indexed="81"/>
            <rFont val="Tahoma"/>
            <family val="2"/>
          </rPr>
          <t xml:space="preserve">
From Campion2024</t>
        </r>
      </text>
    </comment>
    <comment ref="AL70" authorId="0" shapeId="0" xr:uid="{00000000-0006-0000-0000-0000B9030000}">
      <text>
        <r>
          <rPr>
            <b/>
            <sz val="9"/>
            <color indexed="81"/>
            <rFont val="Tahoma"/>
            <family val="2"/>
          </rPr>
          <t>Author:</t>
        </r>
        <r>
          <rPr>
            <sz val="9"/>
            <color indexed="81"/>
            <rFont val="Tahoma"/>
            <family val="2"/>
          </rPr>
          <t xml:space="preserve">
From Campion2024</t>
        </r>
      </text>
    </comment>
    <comment ref="AM70" authorId="0" shapeId="0" xr:uid="{00000000-0006-0000-0000-0000BA030000}">
      <text>
        <r>
          <rPr>
            <b/>
            <sz val="9"/>
            <color indexed="81"/>
            <rFont val="Tahoma"/>
            <family val="2"/>
          </rPr>
          <t>Author:</t>
        </r>
        <r>
          <rPr>
            <sz val="9"/>
            <color indexed="81"/>
            <rFont val="Tahoma"/>
            <family val="2"/>
          </rPr>
          <t xml:space="preserve">
From Campion2024</t>
        </r>
      </text>
    </comment>
    <comment ref="AN70" authorId="0" shapeId="0" xr:uid="{00000000-0006-0000-0000-0000BB030000}">
      <text>
        <r>
          <rPr>
            <b/>
            <sz val="9"/>
            <color indexed="81"/>
            <rFont val="Tahoma"/>
            <family val="2"/>
          </rPr>
          <t>Author:</t>
        </r>
        <r>
          <rPr>
            <sz val="9"/>
            <color indexed="81"/>
            <rFont val="Tahoma"/>
            <family val="2"/>
          </rPr>
          <t xml:space="preserve">
From Campion2024</t>
        </r>
      </text>
    </comment>
    <comment ref="AO70" authorId="0" shapeId="0" xr:uid="{00000000-0006-0000-0000-0000BC030000}">
      <text>
        <r>
          <rPr>
            <b/>
            <sz val="9"/>
            <color indexed="81"/>
            <rFont val="Tahoma"/>
            <family val="2"/>
          </rPr>
          <t>Author:</t>
        </r>
        <r>
          <rPr>
            <sz val="9"/>
            <color indexed="81"/>
            <rFont val="Tahoma"/>
            <family val="2"/>
          </rPr>
          <t xml:space="preserve">
From Campion2024</t>
        </r>
      </text>
    </comment>
    <comment ref="AP70" authorId="0" shapeId="0" xr:uid="{00000000-0006-0000-0000-0000BD030000}">
      <text>
        <r>
          <rPr>
            <b/>
            <sz val="9"/>
            <color indexed="81"/>
            <rFont val="Tahoma"/>
            <family val="2"/>
          </rPr>
          <t>Author:</t>
        </r>
        <r>
          <rPr>
            <sz val="9"/>
            <color indexed="81"/>
            <rFont val="Tahoma"/>
            <family val="2"/>
          </rPr>
          <t xml:space="preserve">
From Campion2024</t>
        </r>
      </text>
    </comment>
    <comment ref="AQ70" authorId="0" shapeId="0" xr:uid="{00000000-0006-0000-0000-0000BE030000}">
      <text>
        <r>
          <rPr>
            <b/>
            <sz val="9"/>
            <color indexed="81"/>
            <rFont val="Tahoma"/>
            <family val="2"/>
          </rPr>
          <t>Author:</t>
        </r>
        <r>
          <rPr>
            <sz val="9"/>
            <color indexed="81"/>
            <rFont val="Tahoma"/>
            <family val="2"/>
          </rPr>
          <t xml:space="preserve">
From Campion2024</t>
        </r>
      </text>
    </comment>
    <comment ref="AR70" authorId="0" shapeId="0" xr:uid="{00000000-0006-0000-0000-0000BF030000}">
      <text>
        <r>
          <rPr>
            <b/>
            <sz val="9"/>
            <color indexed="81"/>
            <rFont val="Tahoma"/>
            <family val="2"/>
          </rPr>
          <t>Author:</t>
        </r>
        <r>
          <rPr>
            <sz val="9"/>
            <color indexed="81"/>
            <rFont val="Tahoma"/>
            <family val="2"/>
          </rPr>
          <t xml:space="preserve">
From Campion2024</t>
        </r>
      </text>
    </comment>
    <comment ref="AS70" authorId="0" shapeId="0" xr:uid="{00000000-0006-0000-0000-0000C0030000}">
      <text>
        <r>
          <rPr>
            <b/>
            <sz val="9"/>
            <color indexed="81"/>
            <rFont val="Tahoma"/>
            <family val="2"/>
          </rPr>
          <t>Author:</t>
        </r>
        <r>
          <rPr>
            <sz val="9"/>
            <color indexed="81"/>
            <rFont val="Tahoma"/>
            <family val="2"/>
          </rPr>
          <t xml:space="preserve">
From Campion2024</t>
        </r>
      </text>
    </comment>
    <comment ref="AT70" authorId="0" shapeId="0" xr:uid="{00000000-0006-0000-0000-0000C1030000}">
      <text>
        <r>
          <rPr>
            <b/>
            <sz val="9"/>
            <color indexed="81"/>
            <rFont val="Tahoma"/>
            <family val="2"/>
          </rPr>
          <t>Author:</t>
        </r>
        <r>
          <rPr>
            <sz val="9"/>
            <color indexed="81"/>
            <rFont val="Tahoma"/>
            <family val="2"/>
          </rPr>
          <t xml:space="preserve">
From Campion2024</t>
        </r>
      </text>
    </comment>
    <comment ref="AU70" authorId="0" shapeId="0" xr:uid="{00000000-0006-0000-0000-0000C2030000}">
      <text>
        <r>
          <rPr>
            <b/>
            <sz val="9"/>
            <color indexed="81"/>
            <rFont val="Tahoma"/>
            <family val="2"/>
          </rPr>
          <t>Author:</t>
        </r>
        <r>
          <rPr>
            <sz val="9"/>
            <color indexed="81"/>
            <rFont val="Tahoma"/>
            <family val="2"/>
          </rPr>
          <t xml:space="preserve">
From Campion2024</t>
        </r>
      </text>
    </comment>
    <comment ref="AV70" authorId="0" shapeId="0" xr:uid="{00000000-0006-0000-0000-0000C3030000}">
      <text>
        <r>
          <rPr>
            <b/>
            <sz val="9"/>
            <color indexed="81"/>
            <rFont val="Tahoma"/>
            <family val="2"/>
          </rPr>
          <t>Author:</t>
        </r>
        <r>
          <rPr>
            <sz val="9"/>
            <color indexed="81"/>
            <rFont val="Tahoma"/>
            <family val="2"/>
          </rPr>
          <t xml:space="preserve">
From Campion2024</t>
        </r>
      </text>
    </comment>
    <comment ref="AW70" authorId="0" shapeId="0" xr:uid="{00000000-0006-0000-0000-0000C4030000}">
      <text>
        <r>
          <rPr>
            <b/>
            <sz val="9"/>
            <color indexed="81"/>
            <rFont val="Tahoma"/>
            <family val="2"/>
          </rPr>
          <t>Author:</t>
        </r>
        <r>
          <rPr>
            <sz val="9"/>
            <color indexed="81"/>
            <rFont val="Tahoma"/>
            <family val="2"/>
          </rPr>
          <t xml:space="preserve">
From Campion2024</t>
        </r>
      </text>
    </comment>
    <comment ref="AX70" authorId="0" shapeId="0" xr:uid="{00000000-0006-0000-0000-0000C5030000}">
      <text>
        <r>
          <rPr>
            <b/>
            <sz val="9"/>
            <color indexed="81"/>
            <rFont val="Tahoma"/>
            <family val="2"/>
          </rPr>
          <t>Author:</t>
        </r>
        <r>
          <rPr>
            <sz val="9"/>
            <color indexed="81"/>
            <rFont val="Tahoma"/>
            <family val="2"/>
          </rPr>
          <t xml:space="preserve">
From Campion2024</t>
        </r>
      </text>
    </comment>
    <comment ref="AY70" authorId="0" shapeId="0" xr:uid="{00000000-0006-0000-0000-0000C6030000}">
      <text>
        <r>
          <rPr>
            <b/>
            <sz val="9"/>
            <color indexed="81"/>
            <rFont val="Tahoma"/>
            <family val="2"/>
          </rPr>
          <t>Author:</t>
        </r>
        <r>
          <rPr>
            <sz val="9"/>
            <color indexed="81"/>
            <rFont val="Tahoma"/>
            <family val="2"/>
          </rPr>
          <t xml:space="preserve">
From Campion2024</t>
        </r>
      </text>
    </comment>
    <comment ref="AZ70" authorId="0" shapeId="0" xr:uid="{00000000-0006-0000-0000-0000C7030000}">
      <text>
        <r>
          <rPr>
            <b/>
            <sz val="9"/>
            <color indexed="81"/>
            <rFont val="Tahoma"/>
            <family val="2"/>
          </rPr>
          <t>Author:</t>
        </r>
        <r>
          <rPr>
            <sz val="9"/>
            <color indexed="81"/>
            <rFont val="Tahoma"/>
            <family val="2"/>
          </rPr>
          <t xml:space="preserve">
From Campion2024</t>
        </r>
      </text>
    </comment>
    <comment ref="BA70" authorId="0" shapeId="0" xr:uid="{00000000-0006-0000-0000-0000C8030000}">
      <text>
        <r>
          <rPr>
            <b/>
            <sz val="9"/>
            <color indexed="81"/>
            <rFont val="Tahoma"/>
            <family val="2"/>
          </rPr>
          <t>Author:</t>
        </r>
        <r>
          <rPr>
            <sz val="9"/>
            <color indexed="81"/>
            <rFont val="Tahoma"/>
            <family val="2"/>
          </rPr>
          <t xml:space="preserve">
From Campion2024</t>
        </r>
      </text>
    </comment>
    <comment ref="BB70" authorId="0" shapeId="0" xr:uid="{00000000-0006-0000-0000-0000C9030000}">
      <text>
        <r>
          <rPr>
            <b/>
            <sz val="9"/>
            <color indexed="81"/>
            <rFont val="Tahoma"/>
            <family val="2"/>
          </rPr>
          <t>Author:</t>
        </r>
        <r>
          <rPr>
            <sz val="9"/>
            <color indexed="81"/>
            <rFont val="Tahoma"/>
            <family val="2"/>
          </rPr>
          <t xml:space="preserve">
From Campion2024</t>
        </r>
      </text>
    </comment>
    <comment ref="BC70" authorId="0" shapeId="0" xr:uid="{00000000-0006-0000-0000-0000CA030000}">
      <text>
        <r>
          <rPr>
            <b/>
            <sz val="9"/>
            <color indexed="81"/>
            <rFont val="Tahoma"/>
            <family val="2"/>
          </rPr>
          <t>Author:</t>
        </r>
        <r>
          <rPr>
            <sz val="9"/>
            <color indexed="81"/>
            <rFont val="Tahoma"/>
            <family val="2"/>
          </rPr>
          <t xml:space="preserve">
From Campion2024</t>
        </r>
      </text>
    </comment>
    <comment ref="BD70" authorId="0" shapeId="0" xr:uid="{00000000-0006-0000-0000-0000CB030000}">
      <text>
        <r>
          <rPr>
            <b/>
            <sz val="9"/>
            <color indexed="81"/>
            <rFont val="Tahoma"/>
            <family val="2"/>
          </rPr>
          <t>Author:</t>
        </r>
        <r>
          <rPr>
            <sz val="9"/>
            <color indexed="81"/>
            <rFont val="Tahoma"/>
            <family val="2"/>
          </rPr>
          <t xml:space="preserve">
From Campion2024</t>
        </r>
      </text>
    </comment>
    <comment ref="BE70" authorId="0" shapeId="0" xr:uid="{00000000-0006-0000-0000-0000CC030000}">
      <text>
        <r>
          <rPr>
            <b/>
            <sz val="9"/>
            <color indexed="81"/>
            <rFont val="Tahoma"/>
            <family val="2"/>
          </rPr>
          <t>Author:</t>
        </r>
        <r>
          <rPr>
            <sz val="9"/>
            <color indexed="81"/>
            <rFont val="Tahoma"/>
            <family val="2"/>
          </rPr>
          <t xml:space="preserve">
From Campion2024</t>
        </r>
      </text>
    </comment>
    <comment ref="BR70" authorId="0" shapeId="0" xr:uid="{00000000-0006-0000-0000-0000CD030000}">
      <text>
        <r>
          <rPr>
            <b/>
            <sz val="9"/>
            <color indexed="81"/>
            <rFont val="Tahoma"/>
            <family val="2"/>
          </rPr>
          <t>Author:</t>
        </r>
        <r>
          <rPr>
            <sz val="9"/>
            <color indexed="81"/>
            <rFont val="Tahoma"/>
            <family val="2"/>
          </rPr>
          <t xml:space="preserve">
From Campion2024</t>
        </r>
      </text>
    </comment>
    <comment ref="BS70" authorId="0" shapeId="0" xr:uid="{00000000-0006-0000-0000-0000CE030000}">
      <text>
        <r>
          <rPr>
            <b/>
            <sz val="9"/>
            <color indexed="81"/>
            <rFont val="Tahoma"/>
            <family val="2"/>
          </rPr>
          <t>Author:</t>
        </r>
        <r>
          <rPr>
            <sz val="9"/>
            <color indexed="81"/>
            <rFont val="Tahoma"/>
            <family val="2"/>
          </rPr>
          <t xml:space="preserve">
From Campion2024</t>
        </r>
      </text>
    </comment>
    <comment ref="BT70" authorId="0" shapeId="0" xr:uid="{00000000-0006-0000-0000-0000CF030000}">
      <text>
        <r>
          <rPr>
            <b/>
            <sz val="9"/>
            <color indexed="81"/>
            <rFont val="Tahoma"/>
            <family val="2"/>
          </rPr>
          <t>Author:</t>
        </r>
        <r>
          <rPr>
            <sz val="9"/>
            <color indexed="81"/>
            <rFont val="Tahoma"/>
            <family val="2"/>
          </rPr>
          <t xml:space="preserve">
From Campion2024</t>
        </r>
      </text>
    </comment>
    <comment ref="BU70" authorId="0" shapeId="0" xr:uid="{00000000-0006-0000-0000-0000D0030000}">
      <text>
        <r>
          <rPr>
            <b/>
            <sz val="9"/>
            <color indexed="81"/>
            <rFont val="Tahoma"/>
            <family val="2"/>
          </rPr>
          <t>Author:</t>
        </r>
        <r>
          <rPr>
            <sz val="9"/>
            <color indexed="81"/>
            <rFont val="Tahoma"/>
            <family val="2"/>
          </rPr>
          <t xml:space="preserve">
From Campion2024</t>
        </r>
      </text>
    </comment>
    <comment ref="BV70" authorId="0" shapeId="0" xr:uid="{00000000-0006-0000-0000-0000D1030000}">
      <text>
        <r>
          <rPr>
            <b/>
            <sz val="9"/>
            <color indexed="81"/>
            <rFont val="Tahoma"/>
            <family val="2"/>
          </rPr>
          <t>Author:</t>
        </r>
        <r>
          <rPr>
            <sz val="9"/>
            <color indexed="81"/>
            <rFont val="Tahoma"/>
            <family val="2"/>
          </rPr>
          <t xml:space="preserve">
From Campion2024</t>
        </r>
      </text>
    </comment>
    <comment ref="BW70" authorId="0" shapeId="0" xr:uid="{00000000-0006-0000-0000-0000D2030000}">
      <text>
        <r>
          <rPr>
            <b/>
            <sz val="9"/>
            <color indexed="81"/>
            <rFont val="Tahoma"/>
            <family val="2"/>
          </rPr>
          <t>Author:</t>
        </r>
        <r>
          <rPr>
            <sz val="9"/>
            <color indexed="81"/>
            <rFont val="Tahoma"/>
            <family val="2"/>
          </rPr>
          <t xml:space="preserve">
From Campion2024</t>
        </r>
      </text>
    </comment>
    <comment ref="BX70" authorId="0" shapeId="0" xr:uid="{00000000-0006-0000-0000-0000D3030000}">
      <text>
        <r>
          <rPr>
            <b/>
            <sz val="9"/>
            <color indexed="81"/>
            <rFont val="Tahoma"/>
            <family val="2"/>
          </rPr>
          <t>Author:</t>
        </r>
        <r>
          <rPr>
            <sz val="9"/>
            <color indexed="81"/>
            <rFont val="Tahoma"/>
            <family val="2"/>
          </rPr>
          <t xml:space="preserve">
From Campion2024</t>
        </r>
      </text>
    </comment>
    <comment ref="BY70" authorId="0" shapeId="0" xr:uid="{00000000-0006-0000-0000-0000D4030000}">
      <text>
        <r>
          <rPr>
            <b/>
            <sz val="9"/>
            <color indexed="81"/>
            <rFont val="Tahoma"/>
            <family val="2"/>
          </rPr>
          <t>Author:</t>
        </r>
        <r>
          <rPr>
            <sz val="9"/>
            <color indexed="81"/>
            <rFont val="Tahoma"/>
            <family val="2"/>
          </rPr>
          <t xml:space="preserve">
From Campion2024</t>
        </r>
      </text>
    </comment>
    <comment ref="BZ70" authorId="0" shapeId="0" xr:uid="{00000000-0006-0000-0000-0000D5030000}">
      <text>
        <r>
          <rPr>
            <b/>
            <sz val="9"/>
            <color indexed="81"/>
            <rFont val="Tahoma"/>
            <family val="2"/>
          </rPr>
          <t>Author:</t>
        </r>
        <r>
          <rPr>
            <sz val="9"/>
            <color indexed="81"/>
            <rFont val="Tahoma"/>
            <family val="2"/>
          </rPr>
          <t xml:space="preserve">
From Campion2024</t>
        </r>
      </text>
    </comment>
    <comment ref="CA70" authorId="0" shapeId="0" xr:uid="{00000000-0006-0000-0000-0000D6030000}">
      <text>
        <r>
          <rPr>
            <b/>
            <sz val="9"/>
            <color indexed="81"/>
            <rFont val="Tahoma"/>
            <family val="2"/>
          </rPr>
          <t>Author:</t>
        </r>
        <r>
          <rPr>
            <sz val="9"/>
            <color indexed="81"/>
            <rFont val="Tahoma"/>
            <family val="2"/>
          </rPr>
          <t xml:space="preserve">
From Campion2024</t>
        </r>
      </text>
    </comment>
    <comment ref="CB70" authorId="0" shapeId="0" xr:uid="{00000000-0006-0000-0000-0000D7030000}">
      <text>
        <r>
          <rPr>
            <b/>
            <sz val="9"/>
            <color indexed="81"/>
            <rFont val="Tahoma"/>
            <family val="2"/>
          </rPr>
          <t>Author:</t>
        </r>
        <r>
          <rPr>
            <sz val="9"/>
            <color indexed="81"/>
            <rFont val="Tahoma"/>
            <family val="2"/>
          </rPr>
          <t xml:space="preserve">
From Campion2024</t>
        </r>
      </text>
    </comment>
    <comment ref="CC70" authorId="0" shapeId="0" xr:uid="{00000000-0006-0000-0000-0000D8030000}">
      <text>
        <r>
          <rPr>
            <b/>
            <sz val="9"/>
            <color indexed="81"/>
            <rFont val="Tahoma"/>
            <family val="2"/>
          </rPr>
          <t>Author:</t>
        </r>
        <r>
          <rPr>
            <sz val="9"/>
            <color indexed="81"/>
            <rFont val="Tahoma"/>
            <family val="2"/>
          </rPr>
          <t xml:space="preserve">
From Campion2024</t>
        </r>
      </text>
    </comment>
    <comment ref="AD71" authorId="0" shapeId="0" xr:uid="{00000000-0006-0000-0000-0000D9030000}">
      <text>
        <r>
          <rPr>
            <b/>
            <sz val="9"/>
            <color indexed="81"/>
            <rFont val="Tahoma"/>
            <family val="2"/>
          </rPr>
          <t>Author:</t>
        </r>
        <r>
          <rPr>
            <sz val="9"/>
            <color indexed="81"/>
            <rFont val="Tahoma"/>
            <family val="2"/>
          </rPr>
          <t xml:space="preserve">
From Campion2024</t>
        </r>
      </text>
    </comment>
    <comment ref="AE71" authorId="0" shapeId="0" xr:uid="{00000000-0006-0000-0000-0000DA030000}">
      <text>
        <r>
          <rPr>
            <b/>
            <sz val="9"/>
            <color indexed="81"/>
            <rFont val="Tahoma"/>
            <family val="2"/>
          </rPr>
          <t>Author:</t>
        </r>
        <r>
          <rPr>
            <sz val="9"/>
            <color indexed="81"/>
            <rFont val="Tahoma"/>
            <family val="2"/>
          </rPr>
          <t xml:space="preserve">
From Campion2024</t>
        </r>
      </text>
    </comment>
    <comment ref="AF71" authorId="0" shapeId="0" xr:uid="{00000000-0006-0000-0000-0000DB030000}">
      <text>
        <r>
          <rPr>
            <b/>
            <sz val="9"/>
            <color indexed="81"/>
            <rFont val="Tahoma"/>
            <family val="2"/>
          </rPr>
          <t>Author:</t>
        </r>
        <r>
          <rPr>
            <sz val="9"/>
            <color indexed="81"/>
            <rFont val="Tahoma"/>
            <family val="2"/>
          </rPr>
          <t xml:space="preserve">
From Campion2024</t>
        </r>
      </text>
    </comment>
    <comment ref="AG71" authorId="0" shapeId="0" xr:uid="{00000000-0006-0000-0000-0000DC030000}">
      <text>
        <r>
          <rPr>
            <b/>
            <sz val="9"/>
            <color indexed="81"/>
            <rFont val="Tahoma"/>
            <family val="2"/>
          </rPr>
          <t>Author:</t>
        </r>
        <r>
          <rPr>
            <sz val="9"/>
            <color indexed="81"/>
            <rFont val="Tahoma"/>
            <family val="2"/>
          </rPr>
          <t xml:space="preserve">
From Campion2024</t>
        </r>
      </text>
    </comment>
    <comment ref="AH71" authorId="0" shapeId="0" xr:uid="{00000000-0006-0000-0000-0000DD030000}">
      <text>
        <r>
          <rPr>
            <b/>
            <sz val="9"/>
            <color indexed="81"/>
            <rFont val="Tahoma"/>
            <family val="2"/>
          </rPr>
          <t>Author:</t>
        </r>
        <r>
          <rPr>
            <sz val="9"/>
            <color indexed="81"/>
            <rFont val="Tahoma"/>
            <family val="2"/>
          </rPr>
          <t xml:space="preserve">
From Campion2024</t>
        </r>
      </text>
    </comment>
    <comment ref="AI71" authorId="0" shapeId="0" xr:uid="{00000000-0006-0000-0000-0000DE030000}">
      <text>
        <r>
          <rPr>
            <b/>
            <sz val="9"/>
            <color indexed="81"/>
            <rFont val="Tahoma"/>
            <family val="2"/>
          </rPr>
          <t>Author:</t>
        </r>
        <r>
          <rPr>
            <sz val="9"/>
            <color indexed="81"/>
            <rFont val="Tahoma"/>
            <family val="2"/>
          </rPr>
          <t xml:space="preserve">
From Campion2024</t>
        </r>
      </text>
    </comment>
    <comment ref="AJ71" authorId="0" shapeId="0" xr:uid="{00000000-0006-0000-0000-0000DF030000}">
      <text>
        <r>
          <rPr>
            <b/>
            <sz val="9"/>
            <color indexed="81"/>
            <rFont val="Tahoma"/>
            <family val="2"/>
          </rPr>
          <t>Author:</t>
        </r>
        <r>
          <rPr>
            <sz val="9"/>
            <color indexed="81"/>
            <rFont val="Tahoma"/>
            <family val="2"/>
          </rPr>
          <t xml:space="preserve">
From Campion2024</t>
        </r>
      </text>
    </comment>
    <comment ref="AK71" authorId="0" shapeId="0" xr:uid="{00000000-0006-0000-0000-0000E0030000}">
      <text>
        <r>
          <rPr>
            <b/>
            <sz val="9"/>
            <color indexed="81"/>
            <rFont val="Tahoma"/>
            <family val="2"/>
          </rPr>
          <t>Author:</t>
        </r>
        <r>
          <rPr>
            <sz val="9"/>
            <color indexed="81"/>
            <rFont val="Tahoma"/>
            <family val="2"/>
          </rPr>
          <t xml:space="preserve">
From Campion2024</t>
        </r>
      </text>
    </comment>
    <comment ref="AL71" authorId="0" shapeId="0" xr:uid="{00000000-0006-0000-0000-0000E1030000}">
      <text>
        <r>
          <rPr>
            <b/>
            <sz val="9"/>
            <color indexed="81"/>
            <rFont val="Tahoma"/>
            <family val="2"/>
          </rPr>
          <t>Author:</t>
        </r>
        <r>
          <rPr>
            <sz val="9"/>
            <color indexed="81"/>
            <rFont val="Tahoma"/>
            <family val="2"/>
          </rPr>
          <t xml:space="preserve">
From Campion2024</t>
        </r>
      </text>
    </comment>
    <comment ref="AM71" authorId="0" shapeId="0" xr:uid="{00000000-0006-0000-0000-0000E2030000}">
      <text>
        <r>
          <rPr>
            <b/>
            <sz val="9"/>
            <color indexed="81"/>
            <rFont val="Tahoma"/>
            <family val="2"/>
          </rPr>
          <t>Author:</t>
        </r>
        <r>
          <rPr>
            <sz val="9"/>
            <color indexed="81"/>
            <rFont val="Tahoma"/>
            <family val="2"/>
          </rPr>
          <t xml:space="preserve">
From Campion2024</t>
        </r>
      </text>
    </comment>
    <comment ref="AN71" authorId="0" shapeId="0" xr:uid="{00000000-0006-0000-0000-0000E3030000}">
      <text>
        <r>
          <rPr>
            <b/>
            <sz val="9"/>
            <color indexed="81"/>
            <rFont val="Tahoma"/>
            <family val="2"/>
          </rPr>
          <t>Author:</t>
        </r>
        <r>
          <rPr>
            <sz val="9"/>
            <color indexed="81"/>
            <rFont val="Tahoma"/>
            <family val="2"/>
          </rPr>
          <t xml:space="preserve">
From Campion2024</t>
        </r>
      </text>
    </comment>
    <comment ref="AO71" authorId="0" shapeId="0" xr:uid="{00000000-0006-0000-0000-0000E4030000}">
      <text>
        <r>
          <rPr>
            <b/>
            <sz val="9"/>
            <color indexed="81"/>
            <rFont val="Tahoma"/>
            <family val="2"/>
          </rPr>
          <t>Author:</t>
        </r>
        <r>
          <rPr>
            <sz val="9"/>
            <color indexed="81"/>
            <rFont val="Tahoma"/>
            <family val="2"/>
          </rPr>
          <t xml:space="preserve">
From Campion2024</t>
        </r>
      </text>
    </comment>
    <comment ref="AP71" authorId="0" shapeId="0" xr:uid="{00000000-0006-0000-0000-0000E5030000}">
      <text>
        <r>
          <rPr>
            <b/>
            <sz val="9"/>
            <color indexed="81"/>
            <rFont val="Tahoma"/>
            <family val="2"/>
          </rPr>
          <t>Author:</t>
        </r>
        <r>
          <rPr>
            <sz val="9"/>
            <color indexed="81"/>
            <rFont val="Tahoma"/>
            <family val="2"/>
          </rPr>
          <t xml:space="preserve">
From Campion2024</t>
        </r>
      </text>
    </comment>
    <comment ref="AQ71" authorId="0" shapeId="0" xr:uid="{00000000-0006-0000-0000-0000E6030000}">
      <text>
        <r>
          <rPr>
            <b/>
            <sz val="9"/>
            <color indexed="81"/>
            <rFont val="Tahoma"/>
            <family val="2"/>
          </rPr>
          <t>Author:</t>
        </r>
        <r>
          <rPr>
            <sz val="9"/>
            <color indexed="81"/>
            <rFont val="Tahoma"/>
            <family val="2"/>
          </rPr>
          <t xml:space="preserve">
From Campion2024</t>
        </r>
      </text>
    </comment>
    <comment ref="AR71" authorId="0" shapeId="0" xr:uid="{00000000-0006-0000-0000-0000E7030000}">
      <text>
        <r>
          <rPr>
            <b/>
            <sz val="9"/>
            <color indexed="81"/>
            <rFont val="Tahoma"/>
            <family val="2"/>
          </rPr>
          <t>Author:</t>
        </r>
        <r>
          <rPr>
            <sz val="9"/>
            <color indexed="81"/>
            <rFont val="Tahoma"/>
            <family val="2"/>
          </rPr>
          <t xml:space="preserve">
From Campion2024</t>
        </r>
      </text>
    </comment>
    <comment ref="AS71" authorId="0" shapeId="0" xr:uid="{00000000-0006-0000-0000-0000E8030000}">
      <text>
        <r>
          <rPr>
            <b/>
            <sz val="9"/>
            <color indexed="81"/>
            <rFont val="Tahoma"/>
            <family val="2"/>
          </rPr>
          <t>Author:</t>
        </r>
        <r>
          <rPr>
            <sz val="9"/>
            <color indexed="81"/>
            <rFont val="Tahoma"/>
            <family val="2"/>
          </rPr>
          <t xml:space="preserve">
From Campion2024</t>
        </r>
      </text>
    </comment>
    <comment ref="AT71" authorId="0" shapeId="0" xr:uid="{00000000-0006-0000-0000-0000E9030000}">
      <text>
        <r>
          <rPr>
            <b/>
            <sz val="9"/>
            <color indexed="81"/>
            <rFont val="Tahoma"/>
            <family val="2"/>
          </rPr>
          <t>Author:</t>
        </r>
        <r>
          <rPr>
            <sz val="9"/>
            <color indexed="81"/>
            <rFont val="Tahoma"/>
            <family val="2"/>
          </rPr>
          <t xml:space="preserve">
From Campion2024</t>
        </r>
      </text>
    </comment>
    <comment ref="AU71" authorId="0" shapeId="0" xr:uid="{00000000-0006-0000-0000-0000EA030000}">
      <text>
        <r>
          <rPr>
            <b/>
            <sz val="9"/>
            <color indexed="81"/>
            <rFont val="Tahoma"/>
            <family val="2"/>
          </rPr>
          <t>Author:</t>
        </r>
        <r>
          <rPr>
            <sz val="9"/>
            <color indexed="81"/>
            <rFont val="Tahoma"/>
            <family val="2"/>
          </rPr>
          <t xml:space="preserve">
From Campion2024</t>
        </r>
      </text>
    </comment>
    <comment ref="AV71" authorId="0" shapeId="0" xr:uid="{00000000-0006-0000-0000-0000EB030000}">
      <text>
        <r>
          <rPr>
            <b/>
            <sz val="9"/>
            <color indexed="81"/>
            <rFont val="Tahoma"/>
            <family val="2"/>
          </rPr>
          <t>Author:</t>
        </r>
        <r>
          <rPr>
            <sz val="9"/>
            <color indexed="81"/>
            <rFont val="Tahoma"/>
            <family val="2"/>
          </rPr>
          <t xml:space="preserve">
From Campion2024</t>
        </r>
      </text>
    </comment>
    <comment ref="AW71" authorId="0" shapeId="0" xr:uid="{00000000-0006-0000-0000-0000EC030000}">
      <text>
        <r>
          <rPr>
            <b/>
            <sz val="9"/>
            <color indexed="81"/>
            <rFont val="Tahoma"/>
            <family val="2"/>
          </rPr>
          <t>Author:</t>
        </r>
        <r>
          <rPr>
            <sz val="9"/>
            <color indexed="81"/>
            <rFont val="Tahoma"/>
            <family val="2"/>
          </rPr>
          <t xml:space="preserve">
From Campion2024</t>
        </r>
      </text>
    </comment>
    <comment ref="AX71" authorId="0" shapeId="0" xr:uid="{00000000-0006-0000-0000-0000ED030000}">
      <text>
        <r>
          <rPr>
            <b/>
            <sz val="9"/>
            <color indexed="81"/>
            <rFont val="Tahoma"/>
            <family val="2"/>
          </rPr>
          <t>Author:</t>
        </r>
        <r>
          <rPr>
            <sz val="9"/>
            <color indexed="81"/>
            <rFont val="Tahoma"/>
            <family val="2"/>
          </rPr>
          <t xml:space="preserve">
From Campion2024</t>
        </r>
      </text>
    </comment>
    <comment ref="AY71" authorId="0" shapeId="0" xr:uid="{00000000-0006-0000-0000-0000EE030000}">
      <text>
        <r>
          <rPr>
            <b/>
            <sz val="9"/>
            <color indexed="81"/>
            <rFont val="Tahoma"/>
            <family val="2"/>
          </rPr>
          <t>Author:</t>
        </r>
        <r>
          <rPr>
            <sz val="9"/>
            <color indexed="81"/>
            <rFont val="Tahoma"/>
            <family val="2"/>
          </rPr>
          <t xml:space="preserve">
From Campion2024</t>
        </r>
      </text>
    </comment>
    <comment ref="AZ71" authorId="0" shapeId="0" xr:uid="{00000000-0006-0000-0000-0000EF030000}">
      <text>
        <r>
          <rPr>
            <b/>
            <sz val="9"/>
            <color indexed="81"/>
            <rFont val="Tahoma"/>
            <family val="2"/>
          </rPr>
          <t>Author:</t>
        </r>
        <r>
          <rPr>
            <sz val="9"/>
            <color indexed="81"/>
            <rFont val="Tahoma"/>
            <family val="2"/>
          </rPr>
          <t xml:space="preserve">
From Campion2024</t>
        </r>
      </text>
    </comment>
    <comment ref="BA71" authorId="0" shapeId="0" xr:uid="{00000000-0006-0000-0000-0000F0030000}">
      <text>
        <r>
          <rPr>
            <b/>
            <sz val="9"/>
            <color indexed="81"/>
            <rFont val="Tahoma"/>
            <family val="2"/>
          </rPr>
          <t>Author:</t>
        </r>
        <r>
          <rPr>
            <sz val="9"/>
            <color indexed="81"/>
            <rFont val="Tahoma"/>
            <family val="2"/>
          </rPr>
          <t xml:space="preserve">
From Campion2024</t>
        </r>
      </text>
    </comment>
    <comment ref="BB71" authorId="0" shapeId="0" xr:uid="{00000000-0006-0000-0000-0000F1030000}">
      <text>
        <r>
          <rPr>
            <b/>
            <sz val="9"/>
            <color indexed="81"/>
            <rFont val="Tahoma"/>
            <family val="2"/>
          </rPr>
          <t>Author:</t>
        </r>
        <r>
          <rPr>
            <sz val="9"/>
            <color indexed="81"/>
            <rFont val="Tahoma"/>
            <family val="2"/>
          </rPr>
          <t xml:space="preserve">
From Campion2024</t>
        </r>
      </text>
    </comment>
    <comment ref="BC71" authorId="0" shapeId="0" xr:uid="{00000000-0006-0000-0000-0000F2030000}">
      <text>
        <r>
          <rPr>
            <b/>
            <sz val="9"/>
            <color indexed="81"/>
            <rFont val="Tahoma"/>
            <family val="2"/>
          </rPr>
          <t>Author:</t>
        </r>
        <r>
          <rPr>
            <sz val="9"/>
            <color indexed="81"/>
            <rFont val="Tahoma"/>
            <family val="2"/>
          </rPr>
          <t xml:space="preserve">
From Campion2024</t>
        </r>
      </text>
    </comment>
    <comment ref="BD71" authorId="0" shapeId="0" xr:uid="{00000000-0006-0000-0000-0000F3030000}">
      <text>
        <r>
          <rPr>
            <b/>
            <sz val="9"/>
            <color indexed="81"/>
            <rFont val="Tahoma"/>
            <family val="2"/>
          </rPr>
          <t>Author:</t>
        </r>
        <r>
          <rPr>
            <sz val="9"/>
            <color indexed="81"/>
            <rFont val="Tahoma"/>
            <family val="2"/>
          </rPr>
          <t xml:space="preserve">
From Campion2024</t>
        </r>
      </text>
    </comment>
    <comment ref="BE71" authorId="0" shapeId="0" xr:uid="{00000000-0006-0000-0000-0000F4030000}">
      <text>
        <r>
          <rPr>
            <b/>
            <sz val="9"/>
            <color indexed="81"/>
            <rFont val="Tahoma"/>
            <family val="2"/>
          </rPr>
          <t>Author:</t>
        </r>
        <r>
          <rPr>
            <sz val="9"/>
            <color indexed="81"/>
            <rFont val="Tahoma"/>
            <family val="2"/>
          </rPr>
          <t xml:space="preserve">
From Campion2024</t>
        </r>
      </text>
    </comment>
    <comment ref="BR71" authorId="0" shapeId="0" xr:uid="{00000000-0006-0000-0000-0000F5030000}">
      <text>
        <r>
          <rPr>
            <b/>
            <sz val="9"/>
            <color indexed="81"/>
            <rFont val="Tahoma"/>
            <family val="2"/>
          </rPr>
          <t>Author:</t>
        </r>
        <r>
          <rPr>
            <sz val="9"/>
            <color indexed="81"/>
            <rFont val="Tahoma"/>
            <family val="2"/>
          </rPr>
          <t xml:space="preserve">
From Campion2024</t>
        </r>
      </text>
    </comment>
    <comment ref="BS71" authorId="0" shapeId="0" xr:uid="{00000000-0006-0000-0000-0000F6030000}">
      <text>
        <r>
          <rPr>
            <b/>
            <sz val="9"/>
            <color indexed="81"/>
            <rFont val="Tahoma"/>
            <family val="2"/>
          </rPr>
          <t>Author:</t>
        </r>
        <r>
          <rPr>
            <sz val="9"/>
            <color indexed="81"/>
            <rFont val="Tahoma"/>
            <family val="2"/>
          </rPr>
          <t xml:space="preserve">
From Campion2024</t>
        </r>
      </text>
    </comment>
    <comment ref="BT71" authorId="0" shapeId="0" xr:uid="{00000000-0006-0000-0000-0000F7030000}">
      <text>
        <r>
          <rPr>
            <b/>
            <sz val="9"/>
            <color indexed="81"/>
            <rFont val="Tahoma"/>
            <family val="2"/>
          </rPr>
          <t>Author:</t>
        </r>
        <r>
          <rPr>
            <sz val="9"/>
            <color indexed="81"/>
            <rFont val="Tahoma"/>
            <family val="2"/>
          </rPr>
          <t xml:space="preserve">
From Campion2024</t>
        </r>
      </text>
    </comment>
    <comment ref="BU71" authorId="0" shapeId="0" xr:uid="{00000000-0006-0000-0000-0000F8030000}">
      <text>
        <r>
          <rPr>
            <b/>
            <sz val="9"/>
            <color indexed="81"/>
            <rFont val="Tahoma"/>
            <family val="2"/>
          </rPr>
          <t>Author:</t>
        </r>
        <r>
          <rPr>
            <sz val="9"/>
            <color indexed="81"/>
            <rFont val="Tahoma"/>
            <family val="2"/>
          </rPr>
          <t xml:space="preserve">
From Campion2024</t>
        </r>
      </text>
    </comment>
    <comment ref="BV71" authorId="0" shapeId="0" xr:uid="{00000000-0006-0000-0000-0000F9030000}">
      <text>
        <r>
          <rPr>
            <b/>
            <sz val="9"/>
            <color indexed="81"/>
            <rFont val="Tahoma"/>
            <family val="2"/>
          </rPr>
          <t>Author:</t>
        </r>
        <r>
          <rPr>
            <sz val="9"/>
            <color indexed="81"/>
            <rFont val="Tahoma"/>
            <family val="2"/>
          </rPr>
          <t xml:space="preserve">
From Campion2024</t>
        </r>
      </text>
    </comment>
    <comment ref="BW71" authorId="0" shapeId="0" xr:uid="{00000000-0006-0000-0000-0000FA030000}">
      <text>
        <r>
          <rPr>
            <b/>
            <sz val="9"/>
            <color indexed="81"/>
            <rFont val="Tahoma"/>
            <family val="2"/>
          </rPr>
          <t>Author:</t>
        </r>
        <r>
          <rPr>
            <sz val="9"/>
            <color indexed="81"/>
            <rFont val="Tahoma"/>
            <family val="2"/>
          </rPr>
          <t xml:space="preserve">
From Campion2024</t>
        </r>
      </text>
    </comment>
    <comment ref="BX71" authorId="0" shapeId="0" xr:uid="{00000000-0006-0000-0000-0000FB030000}">
      <text>
        <r>
          <rPr>
            <b/>
            <sz val="9"/>
            <color indexed="81"/>
            <rFont val="Tahoma"/>
            <family val="2"/>
          </rPr>
          <t>Author:</t>
        </r>
        <r>
          <rPr>
            <sz val="9"/>
            <color indexed="81"/>
            <rFont val="Tahoma"/>
            <family val="2"/>
          </rPr>
          <t xml:space="preserve">
From Campion2024</t>
        </r>
      </text>
    </comment>
    <comment ref="BY71" authorId="0" shapeId="0" xr:uid="{00000000-0006-0000-0000-0000FC030000}">
      <text>
        <r>
          <rPr>
            <b/>
            <sz val="9"/>
            <color indexed="81"/>
            <rFont val="Tahoma"/>
            <family val="2"/>
          </rPr>
          <t>Author:</t>
        </r>
        <r>
          <rPr>
            <sz val="9"/>
            <color indexed="81"/>
            <rFont val="Tahoma"/>
            <family val="2"/>
          </rPr>
          <t xml:space="preserve">
From Campion2024</t>
        </r>
      </text>
    </comment>
    <comment ref="BZ71" authorId="0" shapeId="0" xr:uid="{00000000-0006-0000-0000-0000FD030000}">
      <text>
        <r>
          <rPr>
            <b/>
            <sz val="9"/>
            <color indexed="81"/>
            <rFont val="Tahoma"/>
            <family val="2"/>
          </rPr>
          <t>Author:</t>
        </r>
        <r>
          <rPr>
            <sz val="9"/>
            <color indexed="81"/>
            <rFont val="Tahoma"/>
            <family val="2"/>
          </rPr>
          <t xml:space="preserve">
From Campion2024</t>
        </r>
      </text>
    </comment>
    <comment ref="CA71" authorId="0" shapeId="0" xr:uid="{00000000-0006-0000-0000-0000FE030000}">
      <text>
        <r>
          <rPr>
            <b/>
            <sz val="9"/>
            <color indexed="81"/>
            <rFont val="Tahoma"/>
            <family val="2"/>
          </rPr>
          <t>Author:</t>
        </r>
        <r>
          <rPr>
            <sz val="9"/>
            <color indexed="81"/>
            <rFont val="Tahoma"/>
            <family val="2"/>
          </rPr>
          <t xml:space="preserve">
From Campion2024</t>
        </r>
      </text>
    </comment>
    <comment ref="CB71" authorId="0" shapeId="0" xr:uid="{00000000-0006-0000-0000-0000FF030000}">
      <text>
        <r>
          <rPr>
            <b/>
            <sz val="9"/>
            <color indexed="81"/>
            <rFont val="Tahoma"/>
            <family val="2"/>
          </rPr>
          <t>Author:</t>
        </r>
        <r>
          <rPr>
            <sz val="9"/>
            <color indexed="81"/>
            <rFont val="Tahoma"/>
            <family val="2"/>
          </rPr>
          <t xml:space="preserve">
From Campion2024</t>
        </r>
      </text>
    </comment>
    <comment ref="CC71" authorId="0" shapeId="0" xr:uid="{00000000-0006-0000-0000-000000040000}">
      <text>
        <r>
          <rPr>
            <b/>
            <sz val="9"/>
            <color indexed="81"/>
            <rFont val="Tahoma"/>
            <family val="2"/>
          </rPr>
          <t>Author:</t>
        </r>
        <r>
          <rPr>
            <sz val="9"/>
            <color indexed="81"/>
            <rFont val="Tahoma"/>
            <family val="2"/>
          </rPr>
          <t xml:space="preserve">
From Campion2024</t>
        </r>
      </text>
    </comment>
    <comment ref="AD72" authorId="0" shapeId="0" xr:uid="{00000000-0006-0000-0000-000001040000}">
      <text>
        <r>
          <rPr>
            <b/>
            <sz val="9"/>
            <color indexed="81"/>
            <rFont val="Tahoma"/>
            <family val="2"/>
          </rPr>
          <t>Author:</t>
        </r>
        <r>
          <rPr>
            <sz val="9"/>
            <color indexed="81"/>
            <rFont val="Tahoma"/>
            <family val="2"/>
          </rPr>
          <t xml:space="preserve">
From Campion2024</t>
        </r>
      </text>
    </comment>
    <comment ref="AE72" authorId="0" shapeId="0" xr:uid="{00000000-0006-0000-0000-000002040000}">
      <text>
        <r>
          <rPr>
            <b/>
            <sz val="9"/>
            <color indexed="81"/>
            <rFont val="Tahoma"/>
            <family val="2"/>
          </rPr>
          <t>Author:</t>
        </r>
        <r>
          <rPr>
            <sz val="9"/>
            <color indexed="81"/>
            <rFont val="Tahoma"/>
            <family val="2"/>
          </rPr>
          <t xml:space="preserve">
From Campion2024</t>
        </r>
      </text>
    </comment>
    <comment ref="AF72" authorId="0" shapeId="0" xr:uid="{00000000-0006-0000-0000-000003040000}">
      <text>
        <r>
          <rPr>
            <b/>
            <sz val="9"/>
            <color indexed="81"/>
            <rFont val="Tahoma"/>
            <family val="2"/>
          </rPr>
          <t>Author:</t>
        </r>
        <r>
          <rPr>
            <sz val="9"/>
            <color indexed="81"/>
            <rFont val="Tahoma"/>
            <family val="2"/>
          </rPr>
          <t xml:space="preserve">
From Campion2024</t>
        </r>
      </text>
    </comment>
    <comment ref="AG72" authorId="0" shapeId="0" xr:uid="{00000000-0006-0000-0000-000004040000}">
      <text>
        <r>
          <rPr>
            <b/>
            <sz val="9"/>
            <color indexed="81"/>
            <rFont val="Tahoma"/>
            <family val="2"/>
          </rPr>
          <t>Author:</t>
        </r>
        <r>
          <rPr>
            <sz val="9"/>
            <color indexed="81"/>
            <rFont val="Tahoma"/>
            <family val="2"/>
          </rPr>
          <t xml:space="preserve">
From Campion2024</t>
        </r>
      </text>
    </comment>
    <comment ref="AH72" authorId="0" shapeId="0" xr:uid="{00000000-0006-0000-0000-000005040000}">
      <text>
        <r>
          <rPr>
            <b/>
            <sz val="9"/>
            <color indexed="81"/>
            <rFont val="Tahoma"/>
            <family val="2"/>
          </rPr>
          <t>Author:</t>
        </r>
        <r>
          <rPr>
            <sz val="9"/>
            <color indexed="81"/>
            <rFont val="Tahoma"/>
            <family val="2"/>
          </rPr>
          <t xml:space="preserve">
From Campion2024</t>
        </r>
      </text>
    </comment>
    <comment ref="AI72" authorId="0" shapeId="0" xr:uid="{00000000-0006-0000-0000-000006040000}">
      <text>
        <r>
          <rPr>
            <b/>
            <sz val="9"/>
            <color indexed="81"/>
            <rFont val="Tahoma"/>
            <family val="2"/>
          </rPr>
          <t>Author:</t>
        </r>
        <r>
          <rPr>
            <sz val="9"/>
            <color indexed="81"/>
            <rFont val="Tahoma"/>
            <family val="2"/>
          </rPr>
          <t xml:space="preserve">
From Campion2024</t>
        </r>
      </text>
    </comment>
    <comment ref="AJ72" authorId="0" shapeId="0" xr:uid="{00000000-0006-0000-0000-000007040000}">
      <text>
        <r>
          <rPr>
            <b/>
            <sz val="9"/>
            <color indexed="81"/>
            <rFont val="Tahoma"/>
            <family val="2"/>
          </rPr>
          <t>Author:</t>
        </r>
        <r>
          <rPr>
            <sz val="9"/>
            <color indexed="81"/>
            <rFont val="Tahoma"/>
            <family val="2"/>
          </rPr>
          <t xml:space="preserve">
From Campion2024</t>
        </r>
      </text>
    </comment>
    <comment ref="AK72" authorId="0" shapeId="0" xr:uid="{00000000-0006-0000-0000-000008040000}">
      <text>
        <r>
          <rPr>
            <b/>
            <sz val="9"/>
            <color indexed="81"/>
            <rFont val="Tahoma"/>
            <family val="2"/>
          </rPr>
          <t>Author:</t>
        </r>
        <r>
          <rPr>
            <sz val="9"/>
            <color indexed="81"/>
            <rFont val="Tahoma"/>
            <family val="2"/>
          </rPr>
          <t xml:space="preserve">
From Campion2024</t>
        </r>
      </text>
    </comment>
    <comment ref="AL72" authorId="0" shapeId="0" xr:uid="{00000000-0006-0000-0000-000009040000}">
      <text>
        <r>
          <rPr>
            <b/>
            <sz val="9"/>
            <color indexed="81"/>
            <rFont val="Tahoma"/>
            <family val="2"/>
          </rPr>
          <t>Author:</t>
        </r>
        <r>
          <rPr>
            <sz val="9"/>
            <color indexed="81"/>
            <rFont val="Tahoma"/>
            <family val="2"/>
          </rPr>
          <t xml:space="preserve">
From Campion2024</t>
        </r>
      </text>
    </comment>
    <comment ref="AM72" authorId="0" shapeId="0" xr:uid="{00000000-0006-0000-0000-00000A040000}">
      <text>
        <r>
          <rPr>
            <b/>
            <sz val="9"/>
            <color indexed="81"/>
            <rFont val="Tahoma"/>
            <family val="2"/>
          </rPr>
          <t>Author:</t>
        </r>
        <r>
          <rPr>
            <sz val="9"/>
            <color indexed="81"/>
            <rFont val="Tahoma"/>
            <family val="2"/>
          </rPr>
          <t xml:space="preserve">
From Campion2024</t>
        </r>
      </text>
    </comment>
    <comment ref="AN72" authorId="0" shapeId="0" xr:uid="{00000000-0006-0000-0000-00000B040000}">
      <text>
        <r>
          <rPr>
            <b/>
            <sz val="9"/>
            <color indexed="81"/>
            <rFont val="Tahoma"/>
            <family val="2"/>
          </rPr>
          <t>Author:</t>
        </r>
        <r>
          <rPr>
            <sz val="9"/>
            <color indexed="81"/>
            <rFont val="Tahoma"/>
            <family val="2"/>
          </rPr>
          <t xml:space="preserve">
From Campion2024</t>
        </r>
      </text>
    </comment>
    <comment ref="AO72" authorId="0" shapeId="0" xr:uid="{00000000-0006-0000-0000-00000C040000}">
      <text>
        <r>
          <rPr>
            <b/>
            <sz val="9"/>
            <color indexed="81"/>
            <rFont val="Tahoma"/>
            <family val="2"/>
          </rPr>
          <t>Author:</t>
        </r>
        <r>
          <rPr>
            <sz val="9"/>
            <color indexed="81"/>
            <rFont val="Tahoma"/>
            <family val="2"/>
          </rPr>
          <t xml:space="preserve">
From Campion2024</t>
        </r>
      </text>
    </comment>
    <comment ref="AP72" authorId="0" shapeId="0" xr:uid="{00000000-0006-0000-0000-00000D040000}">
      <text>
        <r>
          <rPr>
            <b/>
            <sz val="9"/>
            <color indexed="81"/>
            <rFont val="Tahoma"/>
            <family val="2"/>
          </rPr>
          <t>Author:</t>
        </r>
        <r>
          <rPr>
            <sz val="9"/>
            <color indexed="81"/>
            <rFont val="Tahoma"/>
            <family val="2"/>
          </rPr>
          <t xml:space="preserve">
From Campion2024</t>
        </r>
      </text>
    </comment>
    <comment ref="AQ72" authorId="0" shapeId="0" xr:uid="{00000000-0006-0000-0000-00000E040000}">
      <text>
        <r>
          <rPr>
            <b/>
            <sz val="9"/>
            <color indexed="81"/>
            <rFont val="Tahoma"/>
            <family val="2"/>
          </rPr>
          <t>Author:</t>
        </r>
        <r>
          <rPr>
            <sz val="9"/>
            <color indexed="81"/>
            <rFont val="Tahoma"/>
            <family val="2"/>
          </rPr>
          <t xml:space="preserve">
From Campion2024</t>
        </r>
      </text>
    </comment>
    <comment ref="AR72" authorId="0" shapeId="0" xr:uid="{00000000-0006-0000-0000-00000F040000}">
      <text>
        <r>
          <rPr>
            <b/>
            <sz val="9"/>
            <color indexed="81"/>
            <rFont val="Tahoma"/>
            <family val="2"/>
          </rPr>
          <t>Author:</t>
        </r>
        <r>
          <rPr>
            <sz val="9"/>
            <color indexed="81"/>
            <rFont val="Tahoma"/>
            <family val="2"/>
          </rPr>
          <t xml:space="preserve">
From Campion2024</t>
        </r>
      </text>
    </comment>
    <comment ref="AS72" authorId="0" shapeId="0" xr:uid="{00000000-0006-0000-0000-000010040000}">
      <text>
        <r>
          <rPr>
            <b/>
            <sz val="9"/>
            <color indexed="81"/>
            <rFont val="Tahoma"/>
            <family val="2"/>
          </rPr>
          <t>Author:</t>
        </r>
        <r>
          <rPr>
            <sz val="9"/>
            <color indexed="81"/>
            <rFont val="Tahoma"/>
            <family val="2"/>
          </rPr>
          <t xml:space="preserve">
From Campion2024</t>
        </r>
      </text>
    </comment>
    <comment ref="AT72" authorId="0" shapeId="0" xr:uid="{00000000-0006-0000-0000-000011040000}">
      <text>
        <r>
          <rPr>
            <b/>
            <sz val="9"/>
            <color indexed="81"/>
            <rFont val="Tahoma"/>
            <family val="2"/>
          </rPr>
          <t>Author:</t>
        </r>
        <r>
          <rPr>
            <sz val="9"/>
            <color indexed="81"/>
            <rFont val="Tahoma"/>
            <family val="2"/>
          </rPr>
          <t xml:space="preserve">
From Campion2024</t>
        </r>
      </text>
    </comment>
    <comment ref="AU72" authorId="0" shapeId="0" xr:uid="{00000000-0006-0000-0000-000012040000}">
      <text>
        <r>
          <rPr>
            <b/>
            <sz val="9"/>
            <color indexed="81"/>
            <rFont val="Tahoma"/>
            <family val="2"/>
          </rPr>
          <t>Author:</t>
        </r>
        <r>
          <rPr>
            <sz val="9"/>
            <color indexed="81"/>
            <rFont val="Tahoma"/>
            <family val="2"/>
          </rPr>
          <t xml:space="preserve">
From Campion2024</t>
        </r>
      </text>
    </comment>
    <comment ref="AV72" authorId="0" shapeId="0" xr:uid="{00000000-0006-0000-0000-000013040000}">
      <text>
        <r>
          <rPr>
            <b/>
            <sz val="9"/>
            <color indexed="81"/>
            <rFont val="Tahoma"/>
            <family val="2"/>
          </rPr>
          <t>Author:</t>
        </r>
        <r>
          <rPr>
            <sz val="9"/>
            <color indexed="81"/>
            <rFont val="Tahoma"/>
            <family val="2"/>
          </rPr>
          <t xml:space="preserve">
From Campion2024</t>
        </r>
      </text>
    </comment>
    <comment ref="AW72" authorId="0" shapeId="0" xr:uid="{00000000-0006-0000-0000-000014040000}">
      <text>
        <r>
          <rPr>
            <b/>
            <sz val="9"/>
            <color indexed="81"/>
            <rFont val="Tahoma"/>
            <family val="2"/>
          </rPr>
          <t>Author:</t>
        </r>
        <r>
          <rPr>
            <sz val="9"/>
            <color indexed="81"/>
            <rFont val="Tahoma"/>
            <family val="2"/>
          </rPr>
          <t xml:space="preserve">
From Campion2024</t>
        </r>
      </text>
    </comment>
    <comment ref="AX72" authorId="0" shapeId="0" xr:uid="{00000000-0006-0000-0000-000015040000}">
      <text>
        <r>
          <rPr>
            <b/>
            <sz val="9"/>
            <color indexed="81"/>
            <rFont val="Tahoma"/>
            <family val="2"/>
          </rPr>
          <t>Author:</t>
        </r>
        <r>
          <rPr>
            <sz val="9"/>
            <color indexed="81"/>
            <rFont val="Tahoma"/>
            <family val="2"/>
          </rPr>
          <t xml:space="preserve">
From Campion2024</t>
        </r>
      </text>
    </comment>
    <comment ref="AY72" authorId="0" shapeId="0" xr:uid="{00000000-0006-0000-0000-000016040000}">
      <text>
        <r>
          <rPr>
            <b/>
            <sz val="9"/>
            <color indexed="81"/>
            <rFont val="Tahoma"/>
            <family val="2"/>
          </rPr>
          <t>Author:</t>
        </r>
        <r>
          <rPr>
            <sz val="9"/>
            <color indexed="81"/>
            <rFont val="Tahoma"/>
            <family val="2"/>
          </rPr>
          <t xml:space="preserve">
From Campion2024</t>
        </r>
      </text>
    </comment>
    <comment ref="AZ72" authorId="0" shapeId="0" xr:uid="{00000000-0006-0000-0000-000017040000}">
      <text>
        <r>
          <rPr>
            <b/>
            <sz val="9"/>
            <color indexed="81"/>
            <rFont val="Tahoma"/>
            <family val="2"/>
          </rPr>
          <t>Author:</t>
        </r>
        <r>
          <rPr>
            <sz val="9"/>
            <color indexed="81"/>
            <rFont val="Tahoma"/>
            <family val="2"/>
          </rPr>
          <t xml:space="preserve">
From Campion2024</t>
        </r>
      </text>
    </comment>
    <comment ref="BA72" authorId="0" shapeId="0" xr:uid="{00000000-0006-0000-0000-000018040000}">
      <text>
        <r>
          <rPr>
            <b/>
            <sz val="9"/>
            <color indexed="81"/>
            <rFont val="Tahoma"/>
            <family val="2"/>
          </rPr>
          <t>Author:</t>
        </r>
        <r>
          <rPr>
            <sz val="9"/>
            <color indexed="81"/>
            <rFont val="Tahoma"/>
            <family val="2"/>
          </rPr>
          <t xml:space="preserve">
From Campion2024</t>
        </r>
      </text>
    </comment>
    <comment ref="BB72" authorId="0" shapeId="0" xr:uid="{00000000-0006-0000-0000-000019040000}">
      <text>
        <r>
          <rPr>
            <b/>
            <sz val="9"/>
            <color indexed="81"/>
            <rFont val="Tahoma"/>
            <family val="2"/>
          </rPr>
          <t>Author:</t>
        </r>
        <r>
          <rPr>
            <sz val="9"/>
            <color indexed="81"/>
            <rFont val="Tahoma"/>
            <family val="2"/>
          </rPr>
          <t xml:space="preserve">
From Campion2024</t>
        </r>
      </text>
    </comment>
    <comment ref="BC72" authorId="0" shapeId="0" xr:uid="{00000000-0006-0000-0000-00001A040000}">
      <text>
        <r>
          <rPr>
            <b/>
            <sz val="9"/>
            <color indexed="81"/>
            <rFont val="Tahoma"/>
            <family val="2"/>
          </rPr>
          <t>Author:</t>
        </r>
        <r>
          <rPr>
            <sz val="9"/>
            <color indexed="81"/>
            <rFont val="Tahoma"/>
            <family val="2"/>
          </rPr>
          <t xml:space="preserve">
From Campion2024</t>
        </r>
      </text>
    </comment>
    <comment ref="BD72" authorId="0" shapeId="0" xr:uid="{00000000-0006-0000-0000-00001B040000}">
      <text>
        <r>
          <rPr>
            <b/>
            <sz val="9"/>
            <color indexed="81"/>
            <rFont val="Tahoma"/>
            <family val="2"/>
          </rPr>
          <t>Author:</t>
        </r>
        <r>
          <rPr>
            <sz val="9"/>
            <color indexed="81"/>
            <rFont val="Tahoma"/>
            <family val="2"/>
          </rPr>
          <t xml:space="preserve">
From Campion2024</t>
        </r>
      </text>
    </comment>
    <comment ref="BE72" authorId="0" shapeId="0" xr:uid="{00000000-0006-0000-0000-00001C040000}">
      <text>
        <r>
          <rPr>
            <b/>
            <sz val="9"/>
            <color indexed="81"/>
            <rFont val="Tahoma"/>
            <family val="2"/>
          </rPr>
          <t>Author:</t>
        </r>
        <r>
          <rPr>
            <sz val="9"/>
            <color indexed="81"/>
            <rFont val="Tahoma"/>
            <family val="2"/>
          </rPr>
          <t xml:space="preserve">
From Campion2024</t>
        </r>
      </text>
    </comment>
    <comment ref="BR72" authorId="0" shapeId="0" xr:uid="{00000000-0006-0000-0000-00001D040000}">
      <text>
        <r>
          <rPr>
            <b/>
            <sz val="9"/>
            <color indexed="81"/>
            <rFont val="Tahoma"/>
            <family val="2"/>
          </rPr>
          <t>Author:</t>
        </r>
        <r>
          <rPr>
            <sz val="9"/>
            <color indexed="81"/>
            <rFont val="Tahoma"/>
            <family val="2"/>
          </rPr>
          <t xml:space="preserve">
From Campion2024</t>
        </r>
      </text>
    </comment>
    <comment ref="BS72" authorId="0" shapeId="0" xr:uid="{00000000-0006-0000-0000-00001E040000}">
      <text>
        <r>
          <rPr>
            <b/>
            <sz val="9"/>
            <color indexed="81"/>
            <rFont val="Tahoma"/>
            <family val="2"/>
          </rPr>
          <t>Author:</t>
        </r>
        <r>
          <rPr>
            <sz val="9"/>
            <color indexed="81"/>
            <rFont val="Tahoma"/>
            <family val="2"/>
          </rPr>
          <t xml:space="preserve">
From Campion2024</t>
        </r>
      </text>
    </comment>
    <comment ref="BT72" authorId="0" shapeId="0" xr:uid="{00000000-0006-0000-0000-00001F040000}">
      <text>
        <r>
          <rPr>
            <b/>
            <sz val="9"/>
            <color indexed="81"/>
            <rFont val="Tahoma"/>
            <family val="2"/>
          </rPr>
          <t>Author:</t>
        </r>
        <r>
          <rPr>
            <sz val="9"/>
            <color indexed="81"/>
            <rFont val="Tahoma"/>
            <family val="2"/>
          </rPr>
          <t xml:space="preserve">
From Campion2024</t>
        </r>
      </text>
    </comment>
    <comment ref="BU72" authorId="0" shapeId="0" xr:uid="{00000000-0006-0000-0000-000020040000}">
      <text>
        <r>
          <rPr>
            <b/>
            <sz val="9"/>
            <color indexed="81"/>
            <rFont val="Tahoma"/>
            <family val="2"/>
          </rPr>
          <t>Author:</t>
        </r>
        <r>
          <rPr>
            <sz val="9"/>
            <color indexed="81"/>
            <rFont val="Tahoma"/>
            <family val="2"/>
          </rPr>
          <t xml:space="preserve">
From Campion2024</t>
        </r>
      </text>
    </comment>
    <comment ref="BV72" authorId="0" shapeId="0" xr:uid="{00000000-0006-0000-0000-000021040000}">
      <text>
        <r>
          <rPr>
            <b/>
            <sz val="9"/>
            <color indexed="81"/>
            <rFont val="Tahoma"/>
            <family val="2"/>
          </rPr>
          <t>Author:</t>
        </r>
        <r>
          <rPr>
            <sz val="9"/>
            <color indexed="81"/>
            <rFont val="Tahoma"/>
            <family val="2"/>
          </rPr>
          <t xml:space="preserve">
From Campion2024</t>
        </r>
      </text>
    </comment>
    <comment ref="BW72" authorId="0" shapeId="0" xr:uid="{00000000-0006-0000-0000-000022040000}">
      <text>
        <r>
          <rPr>
            <b/>
            <sz val="9"/>
            <color indexed="81"/>
            <rFont val="Tahoma"/>
            <family val="2"/>
          </rPr>
          <t>Author:</t>
        </r>
        <r>
          <rPr>
            <sz val="9"/>
            <color indexed="81"/>
            <rFont val="Tahoma"/>
            <family val="2"/>
          </rPr>
          <t xml:space="preserve">
From Campion2024</t>
        </r>
      </text>
    </comment>
    <comment ref="BX72" authorId="0" shapeId="0" xr:uid="{00000000-0006-0000-0000-000023040000}">
      <text>
        <r>
          <rPr>
            <b/>
            <sz val="9"/>
            <color indexed="81"/>
            <rFont val="Tahoma"/>
            <family val="2"/>
          </rPr>
          <t>Author:</t>
        </r>
        <r>
          <rPr>
            <sz val="9"/>
            <color indexed="81"/>
            <rFont val="Tahoma"/>
            <family val="2"/>
          </rPr>
          <t xml:space="preserve">
From Campion2024</t>
        </r>
      </text>
    </comment>
    <comment ref="BY72" authorId="0" shapeId="0" xr:uid="{00000000-0006-0000-0000-000024040000}">
      <text>
        <r>
          <rPr>
            <b/>
            <sz val="9"/>
            <color indexed="81"/>
            <rFont val="Tahoma"/>
            <family val="2"/>
          </rPr>
          <t>Author:</t>
        </r>
        <r>
          <rPr>
            <sz val="9"/>
            <color indexed="81"/>
            <rFont val="Tahoma"/>
            <family val="2"/>
          </rPr>
          <t xml:space="preserve">
From Campion2024</t>
        </r>
      </text>
    </comment>
    <comment ref="BZ72" authorId="0" shapeId="0" xr:uid="{00000000-0006-0000-0000-000025040000}">
      <text>
        <r>
          <rPr>
            <b/>
            <sz val="9"/>
            <color indexed="81"/>
            <rFont val="Tahoma"/>
            <family val="2"/>
          </rPr>
          <t>Author:</t>
        </r>
        <r>
          <rPr>
            <sz val="9"/>
            <color indexed="81"/>
            <rFont val="Tahoma"/>
            <family val="2"/>
          </rPr>
          <t xml:space="preserve">
From Campion2024</t>
        </r>
      </text>
    </comment>
    <comment ref="CA72" authorId="0" shapeId="0" xr:uid="{00000000-0006-0000-0000-000026040000}">
      <text>
        <r>
          <rPr>
            <b/>
            <sz val="9"/>
            <color indexed="81"/>
            <rFont val="Tahoma"/>
            <family val="2"/>
          </rPr>
          <t>Author:</t>
        </r>
        <r>
          <rPr>
            <sz val="9"/>
            <color indexed="81"/>
            <rFont val="Tahoma"/>
            <family val="2"/>
          </rPr>
          <t xml:space="preserve">
From Campion2024</t>
        </r>
      </text>
    </comment>
    <comment ref="CB72" authorId="0" shapeId="0" xr:uid="{00000000-0006-0000-0000-000027040000}">
      <text>
        <r>
          <rPr>
            <b/>
            <sz val="9"/>
            <color indexed="81"/>
            <rFont val="Tahoma"/>
            <family val="2"/>
          </rPr>
          <t>Author:</t>
        </r>
        <r>
          <rPr>
            <sz val="9"/>
            <color indexed="81"/>
            <rFont val="Tahoma"/>
            <family val="2"/>
          </rPr>
          <t xml:space="preserve">
From Campion2024</t>
        </r>
      </text>
    </comment>
    <comment ref="CC72" authorId="0" shapeId="0" xr:uid="{00000000-0006-0000-0000-000028040000}">
      <text>
        <r>
          <rPr>
            <b/>
            <sz val="9"/>
            <color indexed="81"/>
            <rFont val="Tahoma"/>
            <family val="2"/>
          </rPr>
          <t>Author:</t>
        </r>
        <r>
          <rPr>
            <sz val="9"/>
            <color indexed="81"/>
            <rFont val="Tahoma"/>
            <family val="2"/>
          </rPr>
          <t xml:space="preserve">
From Campion2024</t>
        </r>
      </text>
    </comment>
    <comment ref="AD73" authorId="0" shapeId="0" xr:uid="{00000000-0006-0000-0000-000029040000}">
      <text>
        <r>
          <rPr>
            <b/>
            <sz val="9"/>
            <color indexed="81"/>
            <rFont val="Tahoma"/>
            <family val="2"/>
          </rPr>
          <t>Author:</t>
        </r>
        <r>
          <rPr>
            <sz val="9"/>
            <color indexed="81"/>
            <rFont val="Tahoma"/>
            <family val="2"/>
          </rPr>
          <t xml:space="preserve">
From Campion2024</t>
        </r>
      </text>
    </comment>
    <comment ref="AE73" authorId="0" shapeId="0" xr:uid="{00000000-0006-0000-0000-00002A040000}">
      <text>
        <r>
          <rPr>
            <b/>
            <sz val="9"/>
            <color indexed="81"/>
            <rFont val="Tahoma"/>
            <family val="2"/>
          </rPr>
          <t>Author:</t>
        </r>
        <r>
          <rPr>
            <sz val="9"/>
            <color indexed="81"/>
            <rFont val="Tahoma"/>
            <family val="2"/>
          </rPr>
          <t xml:space="preserve">
From Campion2024</t>
        </r>
      </text>
    </comment>
    <comment ref="AF73" authorId="0" shapeId="0" xr:uid="{00000000-0006-0000-0000-00002B040000}">
      <text>
        <r>
          <rPr>
            <b/>
            <sz val="9"/>
            <color indexed="81"/>
            <rFont val="Tahoma"/>
            <family val="2"/>
          </rPr>
          <t>Author:</t>
        </r>
        <r>
          <rPr>
            <sz val="9"/>
            <color indexed="81"/>
            <rFont val="Tahoma"/>
            <family val="2"/>
          </rPr>
          <t xml:space="preserve">
From Campion2024</t>
        </r>
      </text>
    </comment>
    <comment ref="AG73" authorId="0" shapeId="0" xr:uid="{00000000-0006-0000-0000-00002C040000}">
      <text>
        <r>
          <rPr>
            <b/>
            <sz val="9"/>
            <color indexed="81"/>
            <rFont val="Tahoma"/>
            <family val="2"/>
          </rPr>
          <t>Author:</t>
        </r>
        <r>
          <rPr>
            <sz val="9"/>
            <color indexed="81"/>
            <rFont val="Tahoma"/>
            <family val="2"/>
          </rPr>
          <t xml:space="preserve">
From Campion2024</t>
        </r>
      </text>
    </comment>
    <comment ref="AH73" authorId="0" shapeId="0" xr:uid="{00000000-0006-0000-0000-00002D040000}">
      <text>
        <r>
          <rPr>
            <b/>
            <sz val="9"/>
            <color indexed="81"/>
            <rFont val="Tahoma"/>
            <family val="2"/>
          </rPr>
          <t>Author:</t>
        </r>
        <r>
          <rPr>
            <sz val="9"/>
            <color indexed="81"/>
            <rFont val="Tahoma"/>
            <family val="2"/>
          </rPr>
          <t xml:space="preserve">
From Campion2024</t>
        </r>
      </text>
    </comment>
    <comment ref="AI73" authorId="0" shapeId="0" xr:uid="{00000000-0006-0000-0000-00002E040000}">
      <text>
        <r>
          <rPr>
            <b/>
            <sz val="9"/>
            <color indexed="81"/>
            <rFont val="Tahoma"/>
            <family val="2"/>
          </rPr>
          <t>Author:</t>
        </r>
        <r>
          <rPr>
            <sz val="9"/>
            <color indexed="81"/>
            <rFont val="Tahoma"/>
            <family val="2"/>
          </rPr>
          <t xml:space="preserve">
From Campion2024</t>
        </r>
      </text>
    </comment>
    <comment ref="AJ73" authorId="0" shapeId="0" xr:uid="{00000000-0006-0000-0000-00002F040000}">
      <text>
        <r>
          <rPr>
            <b/>
            <sz val="9"/>
            <color indexed="81"/>
            <rFont val="Tahoma"/>
            <family val="2"/>
          </rPr>
          <t>Author:</t>
        </r>
        <r>
          <rPr>
            <sz val="9"/>
            <color indexed="81"/>
            <rFont val="Tahoma"/>
            <family val="2"/>
          </rPr>
          <t xml:space="preserve">
From Campion2024</t>
        </r>
      </text>
    </comment>
    <comment ref="AK73" authorId="0" shapeId="0" xr:uid="{00000000-0006-0000-0000-000030040000}">
      <text>
        <r>
          <rPr>
            <b/>
            <sz val="9"/>
            <color indexed="81"/>
            <rFont val="Tahoma"/>
            <family val="2"/>
          </rPr>
          <t>Author:</t>
        </r>
        <r>
          <rPr>
            <sz val="9"/>
            <color indexed="81"/>
            <rFont val="Tahoma"/>
            <family val="2"/>
          </rPr>
          <t xml:space="preserve">
From Campion2024</t>
        </r>
      </text>
    </comment>
    <comment ref="AL73" authorId="0" shapeId="0" xr:uid="{00000000-0006-0000-0000-000031040000}">
      <text>
        <r>
          <rPr>
            <b/>
            <sz val="9"/>
            <color indexed="81"/>
            <rFont val="Tahoma"/>
            <family val="2"/>
          </rPr>
          <t>Author:</t>
        </r>
        <r>
          <rPr>
            <sz val="9"/>
            <color indexed="81"/>
            <rFont val="Tahoma"/>
            <family val="2"/>
          </rPr>
          <t xml:space="preserve">
From Campion2024</t>
        </r>
      </text>
    </comment>
    <comment ref="AM73" authorId="0" shapeId="0" xr:uid="{00000000-0006-0000-0000-000032040000}">
      <text>
        <r>
          <rPr>
            <b/>
            <sz val="9"/>
            <color indexed="81"/>
            <rFont val="Tahoma"/>
            <family val="2"/>
          </rPr>
          <t>Author:</t>
        </r>
        <r>
          <rPr>
            <sz val="9"/>
            <color indexed="81"/>
            <rFont val="Tahoma"/>
            <family val="2"/>
          </rPr>
          <t xml:space="preserve">
From Campion2024</t>
        </r>
      </text>
    </comment>
    <comment ref="AN73" authorId="0" shapeId="0" xr:uid="{00000000-0006-0000-0000-000033040000}">
      <text>
        <r>
          <rPr>
            <b/>
            <sz val="9"/>
            <color indexed="81"/>
            <rFont val="Tahoma"/>
            <family val="2"/>
          </rPr>
          <t>Author:</t>
        </r>
        <r>
          <rPr>
            <sz val="9"/>
            <color indexed="81"/>
            <rFont val="Tahoma"/>
            <family val="2"/>
          </rPr>
          <t xml:space="preserve">
From Campion2024</t>
        </r>
      </text>
    </comment>
    <comment ref="AO73" authorId="0" shapeId="0" xr:uid="{00000000-0006-0000-0000-000034040000}">
      <text>
        <r>
          <rPr>
            <b/>
            <sz val="9"/>
            <color indexed="81"/>
            <rFont val="Tahoma"/>
            <family val="2"/>
          </rPr>
          <t>Author:</t>
        </r>
        <r>
          <rPr>
            <sz val="9"/>
            <color indexed="81"/>
            <rFont val="Tahoma"/>
            <family val="2"/>
          </rPr>
          <t xml:space="preserve">
From Campion2024</t>
        </r>
      </text>
    </comment>
    <comment ref="AP73" authorId="0" shapeId="0" xr:uid="{00000000-0006-0000-0000-000035040000}">
      <text>
        <r>
          <rPr>
            <b/>
            <sz val="9"/>
            <color indexed="81"/>
            <rFont val="Tahoma"/>
            <family val="2"/>
          </rPr>
          <t>Author:</t>
        </r>
        <r>
          <rPr>
            <sz val="9"/>
            <color indexed="81"/>
            <rFont val="Tahoma"/>
            <family val="2"/>
          </rPr>
          <t xml:space="preserve">
From Campion2024</t>
        </r>
      </text>
    </comment>
    <comment ref="AQ73" authorId="0" shapeId="0" xr:uid="{00000000-0006-0000-0000-000036040000}">
      <text>
        <r>
          <rPr>
            <b/>
            <sz val="9"/>
            <color indexed="81"/>
            <rFont val="Tahoma"/>
            <family val="2"/>
          </rPr>
          <t>Author:</t>
        </r>
        <r>
          <rPr>
            <sz val="9"/>
            <color indexed="81"/>
            <rFont val="Tahoma"/>
            <family val="2"/>
          </rPr>
          <t xml:space="preserve">
From Campion2024</t>
        </r>
      </text>
    </comment>
    <comment ref="AR73" authorId="0" shapeId="0" xr:uid="{00000000-0006-0000-0000-000037040000}">
      <text>
        <r>
          <rPr>
            <b/>
            <sz val="9"/>
            <color indexed="81"/>
            <rFont val="Tahoma"/>
            <family val="2"/>
          </rPr>
          <t>Author:</t>
        </r>
        <r>
          <rPr>
            <sz val="9"/>
            <color indexed="81"/>
            <rFont val="Tahoma"/>
            <family val="2"/>
          </rPr>
          <t xml:space="preserve">
From Campion2024</t>
        </r>
      </text>
    </comment>
    <comment ref="AS73" authorId="0" shapeId="0" xr:uid="{00000000-0006-0000-0000-000038040000}">
      <text>
        <r>
          <rPr>
            <b/>
            <sz val="9"/>
            <color indexed="81"/>
            <rFont val="Tahoma"/>
            <family val="2"/>
          </rPr>
          <t>Author:</t>
        </r>
        <r>
          <rPr>
            <sz val="9"/>
            <color indexed="81"/>
            <rFont val="Tahoma"/>
            <family val="2"/>
          </rPr>
          <t xml:space="preserve">
From Campion2024</t>
        </r>
      </text>
    </comment>
    <comment ref="AT73" authorId="0" shapeId="0" xr:uid="{00000000-0006-0000-0000-000039040000}">
      <text>
        <r>
          <rPr>
            <b/>
            <sz val="9"/>
            <color indexed="81"/>
            <rFont val="Tahoma"/>
            <family val="2"/>
          </rPr>
          <t>Author:</t>
        </r>
        <r>
          <rPr>
            <sz val="9"/>
            <color indexed="81"/>
            <rFont val="Tahoma"/>
            <family val="2"/>
          </rPr>
          <t xml:space="preserve">
From Campion2024</t>
        </r>
      </text>
    </comment>
    <comment ref="AU73" authorId="0" shapeId="0" xr:uid="{00000000-0006-0000-0000-00003A040000}">
      <text>
        <r>
          <rPr>
            <b/>
            <sz val="9"/>
            <color indexed="81"/>
            <rFont val="Tahoma"/>
            <family val="2"/>
          </rPr>
          <t>Author:</t>
        </r>
        <r>
          <rPr>
            <sz val="9"/>
            <color indexed="81"/>
            <rFont val="Tahoma"/>
            <family val="2"/>
          </rPr>
          <t xml:space="preserve">
From Campion2024</t>
        </r>
      </text>
    </comment>
    <comment ref="AV73" authorId="0" shapeId="0" xr:uid="{00000000-0006-0000-0000-00003B040000}">
      <text>
        <r>
          <rPr>
            <b/>
            <sz val="9"/>
            <color indexed="81"/>
            <rFont val="Tahoma"/>
            <family val="2"/>
          </rPr>
          <t>Author:</t>
        </r>
        <r>
          <rPr>
            <sz val="9"/>
            <color indexed="81"/>
            <rFont val="Tahoma"/>
            <family val="2"/>
          </rPr>
          <t xml:space="preserve">
From Campion2024</t>
        </r>
      </text>
    </comment>
    <comment ref="AW73" authorId="0" shapeId="0" xr:uid="{00000000-0006-0000-0000-00003C040000}">
      <text>
        <r>
          <rPr>
            <b/>
            <sz val="9"/>
            <color indexed="81"/>
            <rFont val="Tahoma"/>
            <family val="2"/>
          </rPr>
          <t>Author:</t>
        </r>
        <r>
          <rPr>
            <sz val="9"/>
            <color indexed="81"/>
            <rFont val="Tahoma"/>
            <family val="2"/>
          </rPr>
          <t xml:space="preserve">
From Campion2024</t>
        </r>
      </text>
    </comment>
    <comment ref="AX73" authorId="0" shapeId="0" xr:uid="{00000000-0006-0000-0000-00003D040000}">
      <text>
        <r>
          <rPr>
            <b/>
            <sz val="9"/>
            <color indexed="81"/>
            <rFont val="Tahoma"/>
            <family val="2"/>
          </rPr>
          <t>Author:</t>
        </r>
        <r>
          <rPr>
            <sz val="9"/>
            <color indexed="81"/>
            <rFont val="Tahoma"/>
            <family val="2"/>
          </rPr>
          <t xml:space="preserve">
From Campion2024</t>
        </r>
      </text>
    </comment>
    <comment ref="AY73" authorId="0" shapeId="0" xr:uid="{00000000-0006-0000-0000-00003E040000}">
      <text>
        <r>
          <rPr>
            <b/>
            <sz val="9"/>
            <color indexed="81"/>
            <rFont val="Tahoma"/>
            <family val="2"/>
          </rPr>
          <t>Author:</t>
        </r>
        <r>
          <rPr>
            <sz val="9"/>
            <color indexed="81"/>
            <rFont val="Tahoma"/>
            <family val="2"/>
          </rPr>
          <t xml:space="preserve">
From Campion2024</t>
        </r>
      </text>
    </comment>
    <comment ref="AZ73" authorId="0" shapeId="0" xr:uid="{00000000-0006-0000-0000-00003F040000}">
      <text>
        <r>
          <rPr>
            <b/>
            <sz val="9"/>
            <color indexed="81"/>
            <rFont val="Tahoma"/>
            <family val="2"/>
          </rPr>
          <t>Author:</t>
        </r>
        <r>
          <rPr>
            <sz val="9"/>
            <color indexed="81"/>
            <rFont val="Tahoma"/>
            <family val="2"/>
          </rPr>
          <t xml:space="preserve">
From Campion2024</t>
        </r>
      </text>
    </comment>
    <comment ref="BA73" authorId="0" shapeId="0" xr:uid="{00000000-0006-0000-0000-000040040000}">
      <text>
        <r>
          <rPr>
            <b/>
            <sz val="9"/>
            <color indexed="81"/>
            <rFont val="Tahoma"/>
            <family val="2"/>
          </rPr>
          <t>Author:</t>
        </r>
        <r>
          <rPr>
            <sz val="9"/>
            <color indexed="81"/>
            <rFont val="Tahoma"/>
            <family val="2"/>
          </rPr>
          <t xml:space="preserve">
From Campion2024</t>
        </r>
      </text>
    </comment>
    <comment ref="BB73" authorId="0" shapeId="0" xr:uid="{00000000-0006-0000-0000-000041040000}">
      <text>
        <r>
          <rPr>
            <b/>
            <sz val="9"/>
            <color indexed="81"/>
            <rFont val="Tahoma"/>
            <family val="2"/>
          </rPr>
          <t>Author:</t>
        </r>
        <r>
          <rPr>
            <sz val="9"/>
            <color indexed="81"/>
            <rFont val="Tahoma"/>
            <family val="2"/>
          </rPr>
          <t xml:space="preserve">
From Campion2024</t>
        </r>
      </text>
    </comment>
    <comment ref="BC73" authorId="0" shapeId="0" xr:uid="{00000000-0006-0000-0000-000042040000}">
      <text>
        <r>
          <rPr>
            <b/>
            <sz val="9"/>
            <color indexed="81"/>
            <rFont val="Tahoma"/>
            <family val="2"/>
          </rPr>
          <t>Author:</t>
        </r>
        <r>
          <rPr>
            <sz val="9"/>
            <color indexed="81"/>
            <rFont val="Tahoma"/>
            <family val="2"/>
          </rPr>
          <t xml:space="preserve">
From Campion2024</t>
        </r>
      </text>
    </comment>
    <comment ref="BD73" authorId="0" shapeId="0" xr:uid="{00000000-0006-0000-0000-000043040000}">
      <text>
        <r>
          <rPr>
            <b/>
            <sz val="9"/>
            <color indexed="81"/>
            <rFont val="Tahoma"/>
            <family val="2"/>
          </rPr>
          <t>Author:</t>
        </r>
        <r>
          <rPr>
            <sz val="9"/>
            <color indexed="81"/>
            <rFont val="Tahoma"/>
            <family val="2"/>
          </rPr>
          <t xml:space="preserve">
From Campion2024</t>
        </r>
      </text>
    </comment>
    <comment ref="BE73" authorId="0" shapeId="0" xr:uid="{00000000-0006-0000-0000-000044040000}">
      <text>
        <r>
          <rPr>
            <b/>
            <sz val="9"/>
            <color indexed="81"/>
            <rFont val="Tahoma"/>
            <family val="2"/>
          </rPr>
          <t>Author:</t>
        </r>
        <r>
          <rPr>
            <sz val="9"/>
            <color indexed="81"/>
            <rFont val="Tahoma"/>
            <family val="2"/>
          </rPr>
          <t xml:space="preserve">
From Campion2024</t>
        </r>
      </text>
    </comment>
    <comment ref="BR73" authorId="0" shapeId="0" xr:uid="{00000000-0006-0000-0000-000045040000}">
      <text>
        <r>
          <rPr>
            <b/>
            <sz val="9"/>
            <color indexed="81"/>
            <rFont val="Tahoma"/>
            <family val="2"/>
          </rPr>
          <t>Author:</t>
        </r>
        <r>
          <rPr>
            <sz val="9"/>
            <color indexed="81"/>
            <rFont val="Tahoma"/>
            <family val="2"/>
          </rPr>
          <t xml:space="preserve">
From Campion2024</t>
        </r>
      </text>
    </comment>
    <comment ref="BS73" authorId="0" shapeId="0" xr:uid="{00000000-0006-0000-0000-000046040000}">
      <text>
        <r>
          <rPr>
            <b/>
            <sz val="9"/>
            <color indexed="81"/>
            <rFont val="Tahoma"/>
            <family val="2"/>
          </rPr>
          <t>Author:</t>
        </r>
        <r>
          <rPr>
            <sz val="9"/>
            <color indexed="81"/>
            <rFont val="Tahoma"/>
            <family val="2"/>
          </rPr>
          <t xml:space="preserve">
From Campion2024</t>
        </r>
      </text>
    </comment>
    <comment ref="BT73" authorId="0" shapeId="0" xr:uid="{00000000-0006-0000-0000-000047040000}">
      <text>
        <r>
          <rPr>
            <b/>
            <sz val="9"/>
            <color indexed="81"/>
            <rFont val="Tahoma"/>
            <family val="2"/>
          </rPr>
          <t>Author:</t>
        </r>
        <r>
          <rPr>
            <sz val="9"/>
            <color indexed="81"/>
            <rFont val="Tahoma"/>
            <family val="2"/>
          </rPr>
          <t xml:space="preserve">
From Campion2024</t>
        </r>
      </text>
    </comment>
    <comment ref="BU73" authorId="0" shapeId="0" xr:uid="{00000000-0006-0000-0000-000048040000}">
      <text>
        <r>
          <rPr>
            <b/>
            <sz val="9"/>
            <color indexed="81"/>
            <rFont val="Tahoma"/>
            <family val="2"/>
          </rPr>
          <t>Author:</t>
        </r>
        <r>
          <rPr>
            <sz val="9"/>
            <color indexed="81"/>
            <rFont val="Tahoma"/>
            <family val="2"/>
          </rPr>
          <t xml:space="preserve">
From Campion2024</t>
        </r>
      </text>
    </comment>
    <comment ref="BV73" authorId="0" shapeId="0" xr:uid="{00000000-0006-0000-0000-000049040000}">
      <text>
        <r>
          <rPr>
            <b/>
            <sz val="9"/>
            <color indexed="81"/>
            <rFont val="Tahoma"/>
            <family val="2"/>
          </rPr>
          <t>Author:</t>
        </r>
        <r>
          <rPr>
            <sz val="9"/>
            <color indexed="81"/>
            <rFont val="Tahoma"/>
            <family val="2"/>
          </rPr>
          <t xml:space="preserve">
From Campion2024</t>
        </r>
      </text>
    </comment>
    <comment ref="BW73" authorId="0" shapeId="0" xr:uid="{00000000-0006-0000-0000-00004A040000}">
      <text>
        <r>
          <rPr>
            <b/>
            <sz val="9"/>
            <color indexed="81"/>
            <rFont val="Tahoma"/>
            <family val="2"/>
          </rPr>
          <t>Author:</t>
        </r>
        <r>
          <rPr>
            <sz val="9"/>
            <color indexed="81"/>
            <rFont val="Tahoma"/>
            <family val="2"/>
          </rPr>
          <t xml:space="preserve">
From Campion2024</t>
        </r>
      </text>
    </comment>
    <comment ref="BX73" authorId="0" shapeId="0" xr:uid="{00000000-0006-0000-0000-00004B040000}">
      <text>
        <r>
          <rPr>
            <b/>
            <sz val="9"/>
            <color indexed="81"/>
            <rFont val="Tahoma"/>
            <family val="2"/>
          </rPr>
          <t>Author:</t>
        </r>
        <r>
          <rPr>
            <sz val="9"/>
            <color indexed="81"/>
            <rFont val="Tahoma"/>
            <family val="2"/>
          </rPr>
          <t xml:space="preserve">
From Campion2024</t>
        </r>
      </text>
    </comment>
    <comment ref="BY73" authorId="0" shapeId="0" xr:uid="{00000000-0006-0000-0000-00004C040000}">
      <text>
        <r>
          <rPr>
            <b/>
            <sz val="9"/>
            <color indexed="81"/>
            <rFont val="Tahoma"/>
            <family val="2"/>
          </rPr>
          <t>Author:</t>
        </r>
        <r>
          <rPr>
            <sz val="9"/>
            <color indexed="81"/>
            <rFont val="Tahoma"/>
            <family val="2"/>
          </rPr>
          <t xml:space="preserve">
From Campion2024</t>
        </r>
      </text>
    </comment>
    <comment ref="BZ73" authorId="0" shapeId="0" xr:uid="{00000000-0006-0000-0000-00004D040000}">
      <text>
        <r>
          <rPr>
            <b/>
            <sz val="9"/>
            <color indexed="81"/>
            <rFont val="Tahoma"/>
            <family val="2"/>
          </rPr>
          <t>Author:</t>
        </r>
        <r>
          <rPr>
            <sz val="9"/>
            <color indexed="81"/>
            <rFont val="Tahoma"/>
            <family val="2"/>
          </rPr>
          <t xml:space="preserve">
From Campion2024</t>
        </r>
      </text>
    </comment>
    <comment ref="CA73" authorId="0" shapeId="0" xr:uid="{00000000-0006-0000-0000-00004E040000}">
      <text>
        <r>
          <rPr>
            <b/>
            <sz val="9"/>
            <color indexed="81"/>
            <rFont val="Tahoma"/>
            <family val="2"/>
          </rPr>
          <t>Author:</t>
        </r>
        <r>
          <rPr>
            <sz val="9"/>
            <color indexed="81"/>
            <rFont val="Tahoma"/>
            <family val="2"/>
          </rPr>
          <t xml:space="preserve">
From Campion2024</t>
        </r>
      </text>
    </comment>
    <comment ref="CB73" authorId="0" shapeId="0" xr:uid="{00000000-0006-0000-0000-00004F040000}">
      <text>
        <r>
          <rPr>
            <b/>
            <sz val="9"/>
            <color indexed="81"/>
            <rFont val="Tahoma"/>
            <family val="2"/>
          </rPr>
          <t>Author:</t>
        </r>
        <r>
          <rPr>
            <sz val="9"/>
            <color indexed="81"/>
            <rFont val="Tahoma"/>
            <family val="2"/>
          </rPr>
          <t xml:space="preserve">
From Campion2024</t>
        </r>
      </text>
    </comment>
    <comment ref="CC73" authorId="0" shapeId="0" xr:uid="{00000000-0006-0000-0000-000050040000}">
      <text>
        <r>
          <rPr>
            <b/>
            <sz val="9"/>
            <color indexed="81"/>
            <rFont val="Tahoma"/>
            <family val="2"/>
          </rPr>
          <t>Author:</t>
        </r>
        <r>
          <rPr>
            <sz val="9"/>
            <color indexed="81"/>
            <rFont val="Tahoma"/>
            <family val="2"/>
          </rPr>
          <t xml:space="preserve">
From Campion2024</t>
        </r>
      </text>
    </comment>
    <comment ref="AD74" authorId="0" shapeId="0" xr:uid="{00000000-0006-0000-0000-000051040000}">
      <text>
        <r>
          <rPr>
            <b/>
            <sz val="9"/>
            <color indexed="81"/>
            <rFont val="Tahoma"/>
            <family val="2"/>
          </rPr>
          <t>Author:</t>
        </r>
        <r>
          <rPr>
            <sz val="9"/>
            <color indexed="81"/>
            <rFont val="Tahoma"/>
            <family val="2"/>
          </rPr>
          <t xml:space="preserve">
From Campion2024</t>
        </r>
      </text>
    </comment>
    <comment ref="AE74" authorId="0" shapeId="0" xr:uid="{00000000-0006-0000-0000-000052040000}">
      <text>
        <r>
          <rPr>
            <b/>
            <sz val="9"/>
            <color indexed="81"/>
            <rFont val="Tahoma"/>
            <family val="2"/>
          </rPr>
          <t>Author:</t>
        </r>
        <r>
          <rPr>
            <sz val="9"/>
            <color indexed="81"/>
            <rFont val="Tahoma"/>
            <family val="2"/>
          </rPr>
          <t xml:space="preserve">
From Campion2024</t>
        </r>
      </text>
    </comment>
    <comment ref="AF74" authorId="0" shapeId="0" xr:uid="{00000000-0006-0000-0000-000053040000}">
      <text>
        <r>
          <rPr>
            <b/>
            <sz val="9"/>
            <color indexed="81"/>
            <rFont val="Tahoma"/>
            <family val="2"/>
          </rPr>
          <t>Author:</t>
        </r>
        <r>
          <rPr>
            <sz val="9"/>
            <color indexed="81"/>
            <rFont val="Tahoma"/>
            <family val="2"/>
          </rPr>
          <t xml:space="preserve">
From Campion2024</t>
        </r>
      </text>
    </comment>
    <comment ref="AG74" authorId="0" shapeId="0" xr:uid="{00000000-0006-0000-0000-000054040000}">
      <text>
        <r>
          <rPr>
            <b/>
            <sz val="9"/>
            <color indexed="81"/>
            <rFont val="Tahoma"/>
            <family val="2"/>
          </rPr>
          <t>Author:</t>
        </r>
        <r>
          <rPr>
            <sz val="9"/>
            <color indexed="81"/>
            <rFont val="Tahoma"/>
            <family val="2"/>
          </rPr>
          <t xml:space="preserve">
From Campion2024</t>
        </r>
      </text>
    </comment>
    <comment ref="AH74" authorId="0" shapeId="0" xr:uid="{00000000-0006-0000-0000-000055040000}">
      <text>
        <r>
          <rPr>
            <b/>
            <sz val="9"/>
            <color indexed="81"/>
            <rFont val="Tahoma"/>
            <family val="2"/>
          </rPr>
          <t>Author:</t>
        </r>
        <r>
          <rPr>
            <sz val="9"/>
            <color indexed="81"/>
            <rFont val="Tahoma"/>
            <family val="2"/>
          </rPr>
          <t xml:space="preserve">
From Campion2024</t>
        </r>
      </text>
    </comment>
    <comment ref="AI74" authorId="0" shapeId="0" xr:uid="{00000000-0006-0000-0000-000056040000}">
      <text>
        <r>
          <rPr>
            <b/>
            <sz val="9"/>
            <color indexed="81"/>
            <rFont val="Tahoma"/>
            <family val="2"/>
          </rPr>
          <t>Author:</t>
        </r>
        <r>
          <rPr>
            <sz val="9"/>
            <color indexed="81"/>
            <rFont val="Tahoma"/>
            <family val="2"/>
          </rPr>
          <t xml:space="preserve">
From Campion2024</t>
        </r>
      </text>
    </comment>
    <comment ref="AJ74" authorId="0" shapeId="0" xr:uid="{00000000-0006-0000-0000-000057040000}">
      <text>
        <r>
          <rPr>
            <b/>
            <sz val="9"/>
            <color indexed="81"/>
            <rFont val="Tahoma"/>
            <family val="2"/>
          </rPr>
          <t>Author:</t>
        </r>
        <r>
          <rPr>
            <sz val="9"/>
            <color indexed="81"/>
            <rFont val="Tahoma"/>
            <family val="2"/>
          </rPr>
          <t xml:space="preserve">
From Campion2024</t>
        </r>
      </text>
    </comment>
    <comment ref="AK74" authorId="0" shapeId="0" xr:uid="{00000000-0006-0000-0000-000058040000}">
      <text>
        <r>
          <rPr>
            <b/>
            <sz val="9"/>
            <color indexed="81"/>
            <rFont val="Tahoma"/>
            <family val="2"/>
          </rPr>
          <t>Author:</t>
        </r>
        <r>
          <rPr>
            <sz val="9"/>
            <color indexed="81"/>
            <rFont val="Tahoma"/>
            <family val="2"/>
          </rPr>
          <t xml:space="preserve">
From Campion2024</t>
        </r>
      </text>
    </comment>
    <comment ref="AL74" authorId="0" shapeId="0" xr:uid="{00000000-0006-0000-0000-000059040000}">
      <text>
        <r>
          <rPr>
            <b/>
            <sz val="9"/>
            <color indexed="81"/>
            <rFont val="Tahoma"/>
            <family val="2"/>
          </rPr>
          <t>Author:</t>
        </r>
        <r>
          <rPr>
            <sz val="9"/>
            <color indexed="81"/>
            <rFont val="Tahoma"/>
            <family val="2"/>
          </rPr>
          <t xml:space="preserve">
From Campion2024</t>
        </r>
      </text>
    </comment>
    <comment ref="AM74" authorId="0" shapeId="0" xr:uid="{00000000-0006-0000-0000-00005A040000}">
      <text>
        <r>
          <rPr>
            <b/>
            <sz val="9"/>
            <color indexed="81"/>
            <rFont val="Tahoma"/>
            <family val="2"/>
          </rPr>
          <t>Author:</t>
        </r>
        <r>
          <rPr>
            <sz val="9"/>
            <color indexed="81"/>
            <rFont val="Tahoma"/>
            <family val="2"/>
          </rPr>
          <t xml:space="preserve">
From Campion2024</t>
        </r>
      </text>
    </comment>
    <comment ref="AN74" authorId="0" shapeId="0" xr:uid="{00000000-0006-0000-0000-00005B040000}">
      <text>
        <r>
          <rPr>
            <b/>
            <sz val="9"/>
            <color indexed="81"/>
            <rFont val="Tahoma"/>
            <family val="2"/>
          </rPr>
          <t>Author:</t>
        </r>
        <r>
          <rPr>
            <sz val="9"/>
            <color indexed="81"/>
            <rFont val="Tahoma"/>
            <family val="2"/>
          </rPr>
          <t xml:space="preserve">
From Campion2024</t>
        </r>
      </text>
    </comment>
    <comment ref="AO74" authorId="0" shapeId="0" xr:uid="{00000000-0006-0000-0000-00005C040000}">
      <text>
        <r>
          <rPr>
            <b/>
            <sz val="9"/>
            <color indexed="81"/>
            <rFont val="Tahoma"/>
            <family val="2"/>
          </rPr>
          <t>Author:</t>
        </r>
        <r>
          <rPr>
            <sz val="9"/>
            <color indexed="81"/>
            <rFont val="Tahoma"/>
            <family val="2"/>
          </rPr>
          <t xml:space="preserve">
From Campion2024</t>
        </r>
      </text>
    </comment>
    <comment ref="AP74" authorId="0" shapeId="0" xr:uid="{00000000-0006-0000-0000-00005D040000}">
      <text>
        <r>
          <rPr>
            <b/>
            <sz val="9"/>
            <color indexed="81"/>
            <rFont val="Tahoma"/>
            <family val="2"/>
          </rPr>
          <t>Author:</t>
        </r>
        <r>
          <rPr>
            <sz val="9"/>
            <color indexed="81"/>
            <rFont val="Tahoma"/>
            <family val="2"/>
          </rPr>
          <t xml:space="preserve">
From Campion2024</t>
        </r>
      </text>
    </comment>
    <comment ref="AQ74" authorId="0" shapeId="0" xr:uid="{00000000-0006-0000-0000-00005E040000}">
      <text>
        <r>
          <rPr>
            <b/>
            <sz val="9"/>
            <color indexed="81"/>
            <rFont val="Tahoma"/>
            <family val="2"/>
          </rPr>
          <t>Author:</t>
        </r>
        <r>
          <rPr>
            <sz val="9"/>
            <color indexed="81"/>
            <rFont val="Tahoma"/>
            <family val="2"/>
          </rPr>
          <t xml:space="preserve">
From Campion2024</t>
        </r>
      </text>
    </comment>
    <comment ref="AR74" authorId="0" shapeId="0" xr:uid="{00000000-0006-0000-0000-00005F040000}">
      <text>
        <r>
          <rPr>
            <b/>
            <sz val="9"/>
            <color indexed="81"/>
            <rFont val="Tahoma"/>
            <family val="2"/>
          </rPr>
          <t>Author:</t>
        </r>
        <r>
          <rPr>
            <sz val="9"/>
            <color indexed="81"/>
            <rFont val="Tahoma"/>
            <family val="2"/>
          </rPr>
          <t xml:space="preserve">
From Campion2024</t>
        </r>
      </text>
    </comment>
    <comment ref="AS74" authorId="0" shapeId="0" xr:uid="{00000000-0006-0000-0000-000060040000}">
      <text>
        <r>
          <rPr>
            <b/>
            <sz val="9"/>
            <color indexed="81"/>
            <rFont val="Tahoma"/>
            <family val="2"/>
          </rPr>
          <t>Author:</t>
        </r>
        <r>
          <rPr>
            <sz val="9"/>
            <color indexed="81"/>
            <rFont val="Tahoma"/>
            <family val="2"/>
          </rPr>
          <t xml:space="preserve">
From Campion2024</t>
        </r>
      </text>
    </comment>
    <comment ref="AT74" authorId="0" shapeId="0" xr:uid="{00000000-0006-0000-0000-000061040000}">
      <text>
        <r>
          <rPr>
            <b/>
            <sz val="9"/>
            <color indexed="81"/>
            <rFont val="Tahoma"/>
            <family val="2"/>
          </rPr>
          <t>Author:</t>
        </r>
        <r>
          <rPr>
            <sz val="9"/>
            <color indexed="81"/>
            <rFont val="Tahoma"/>
            <family val="2"/>
          </rPr>
          <t xml:space="preserve">
From Campion2024</t>
        </r>
      </text>
    </comment>
    <comment ref="AU74" authorId="0" shapeId="0" xr:uid="{00000000-0006-0000-0000-000062040000}">
      <text>
        <r>
          <rPr>
            <b/>
            <sz val="9"/>
            <color indexed="81"/>
            <rFont val="Tahoma"/>
            <family val="2"/>
          </rPr>
          <t>Author:</t>
        </r>
        <r>
          <rPr>
            <sz val="9"/>
            <color indexed="81"/>
            <rFont val="Tahoma"/>
            <family val="2"/>
          </rPr>
          <t xml:space="preserve">
From Campion2024</t>
        </r>
      </text>
    </comment>
    <comment ref="AV74" authorId="0" shapeId="0" xr:uid="{00000000-0006-0000-0000-000063040000}">
      <text>
        <r>
          <rPr>
            <b/>
            <sz val="9"/>
            <color indexed="81"/>
            <rFont val="Tahoma"/>
            <family val="2"/>
          </rPr>
          <t>Author:</t>
        </r>
        <r>
          <rPr>
            <sz val="9"/>
            <color indexed="81"/>
            <rFont val="Tahoma"/>
            <family val="2"/>
          </rPr>
          <t xml:space="preserve">
From Campion2024</t>
        </r>
      </text>
    </comment>
    <comment ref="AW74" authorId="0" shapeId="0" xr:uid="{00000000-0006-0000-0000-000064040000}">
      <text>
        <r>
          <rPr>
            <b/>
            <sz val="9"/>
            <color indexed="81"/>
            <rFont val="Tahoma"/>
            <family val="2"/>
          </rPr>
          <t>Author:</t>
        </r>
        <r>
          <rPr>
            <sz val="9"/>
            <color indexed="81"/>
            <rFont val="Tahoma"/>
            <family val="2"/>
          </rPr>
          <t xml:space="preserve">
From Campion2024</t>
        </r>
      </text>
    </comment>
    <comment ref="AX74" authorId="0" shapeId="0" xr:uid="{00000000-0006-0000-0000-000065040000}">
      <text>
        <r>
          <rPr>
            <b/>
            <sz val="9"/>
            <color indexed="81"/>
            <rFont val="Tahoma"/>
            <family val="2"/>
          </rPr>
          <t>Author:</t>
        </r>
        <r>
          <rPr>
            <sz val="9"/>
            <color indexed="81"/>
            <rFont val="Tahoma"/>
            <family val="2"/>
          </rPr>
          <t xml:space="preserve">
From Campion2024</t>
        </r>
      </text>
    </comment>
    <comment ref="AY74" authorId="0" shapeId="0" xr:uid="{00000000-0006-0000-0000-000066040000}">
      <text>
        <r>
          <rPr>
            <b/>
            <sz val="9"/>
            <color indexed="81"/>
            <rFont val="Tahoma"/>
            <family val="2"/>
          </rPr>
          <t>Author:</t>
        </r>
        <r>
          <rPr>
            <sz val="9"/>
            <color indexed="81"/>
            <rFont val="Tahoma"/>
            <family val="2"/>
          </rPr>
          <t xml:space="preserve">
From Campion2024</t>
        </r>
      </text>
    </comment>
    <comment ref="AZ74" authorId="0" shapeId="0" xr:uid="{00000000-0006-0000-0000-000067040000}">
      <text>
        <r>
          <rPr>
            <b/>
            <sz val="9"/>
            <color indexed="81"/>
            <rFont val="Tahoma"/>
            <family val="2"/>
          </rPr>
          <t>Author:</t>
        </r>
        <r>
          <rPr>
            <sz val="9"/>
            <color indexed="81"/>
            <rFont val="Tahoma"/>
            <family val="2"/>
          </rPr>
          <t xml:space="preserve">
From Campion2024</t>
        </r>
      </text>
    </comment>
    <comment ref="BA74" authorId="0" shapeId="0" xr:uid="{00000000-0006-0000-0000-000068040000}">
      <text>
        <r>
          <rPr>
            <b/>
            <sz val="9"/>
            <color indexed="81"/>
            <rFont val="Tahoma"/>
            <family val="2"/>
          </rPr>
          <t>Author:</t>
        </r>
        <r>
          <rPr>
            <sz val="9"/>
            <color indexed="81"/>
            <rFont val="Tahoma"/>
            <family val="2"/>
          </rPr>
          <t xml:space="preserve">
From Campion2024</t>
        </r>
      </text>
    </comment>
    <comment ref="BB74" authorId="0" shapeId="0" xr:uid="{00000000-0006-0000-0000-000069040000}">
      <text>
        <r>
          <rPr>
            <b/>
            <sz val="9"/>
            <color indexed="81"/>
            <rFont val="Tahoma"/>
            <family val="2"/>
          </rPr>
          <t>Author:</t>
        </r>
        <r>
          <rPr>
            <sz val="9"/>
            <color indexed="81"/>
            <rFont val="Tahoma"/>
            <family val="2"/>
          </rPr>
          <t xml:space="preserve">
From Campion2024</t>
        </r>
      </text>
    </comment>
    <comment ref="BC74" authorId="0" shapeId="0" xr:uid="{00000000-0006-0000-0000-00006A040000}">
      <text>
        <r>
          <rPr>
            <b/>
            <sz val="9"/>
            <color indexed="81"/>
            <rFont val="Tahoma"/>
            <family val="2"/>
          </rPr>
          <t>Author:</t>
        </r>
        <r>
          <rPr>
            <sz val="9"/>
            <color indexed="81"/>
            <rFont val="Tahoma"/>
            <family val="2"/>
          </rPr>
          <t xml:space="preserve">
From Campion2024</t>
        </r>
      </text>
    </comment>
    <comment ref="BD74" authorId="0" shapeId="0" xr:uid="{00000000-0006-0000-0000-00006B040000}">
      <text>
        <r>
          <rPr>
            <b/>
            <sz val="9"/>
            <color indexed="81"/>
            <rFont val="Tahoma"/>
            <family val="2"/>
          </rPr>
          <t>Author:</t>
        </r>
        <r>
          <rPr>
            <sz val="9"/>
            <color indexed="81"/>
            <rFont val="Tahoma"/>
            <family val="2"/>
          </rPr>
          <t xml:space="preserve">
From Campion2024</t>
        </r>
      </text>
    </comment>
    <comment ref="BE74" authorId="0" shapeId="0" xr:uid="{00000000-0006-0000-0000-00006C040000}">
      <text>
        <r>
          <rPr>
            <b/>
            <sz val="9"/>
            <color indexed="81"/>
            <rFont val="Tahoma"/>
            <family val="2"/>
          </rPr>
          <t>Author:</t>
        </r>
        <r>
          <rPr>
            <sz val="9"/>
            <color indexed="81"/>
            <rFont val="Tahoma"/>
            <family val="2"/>
          </rPr>
          <t xml:space="preserve">
From Campion2024</t>
        </r>
      </text>
    </comment>
    <comment ref="BR74" authorId="0" shapeId="0" xr:uid="{00000000-0006-0000-0000-00006D040000}">
      <text>
        <r>
          <rPr>
            <b/>
            <sz val="9"/>
            <color indexed="81"/>
            <rFont val="Tahoma"/>
            <family val="2"/>
          </rPr>
          <t>Author:</t>
        </r>
        <r>
          <rPr>
            <sz val="9"/>
            <color indexed="81"/>
            <rFont val="Tahoma"/>
            <family val="2"/>
          </rPr>
          <t xml:space="preserve">
From Campion2024</t>
        </r>
      </text>
    </comment>
    <comment ref="BS74" authorId="0" shapeId="0" xr:uid="{00000000-0006-0000-0000-00006E040000}">
      <text>
        <r>
          <rPr>
            <b/>
            <sz val="9"/>
            <color indexed="81"/>
            <rFont val="Tahoma"/>
            <family val="2"/>
          </rPr>
          <t>Author:</t>
        </r>
        <r>
          <rPr>
            <sz val="9"/>
            <color indexed="81"/>
            <rFont val="Tahoma"/>
            <family val="2"/>
          </rPr>
          <t xml:space="preserve">
From Campion2024</t>
        </r>
      </text>
    </comment>
    <comment ref="BT74" authorId="0" shapeId="0" xr:uid="{00000000-0006-0000-0000-00006F040000}">
      <text>
        <r>
          <rPr>
            <b/>
            <sz val="9"/>
            <color indexed="81"/>
            <rFont val="Tahoma"/>
            <family val="2"/>
          </rPr>
          <t>Author:</t>
        </r>
        <r>
          <rPr>
            <sz val="9"/>
            <color indexed="81"/>
            <rFont val="Tahoma"/>
            <family val="2"/>
          </rPr>
          <t xml:space="preserve">
From Campion2024</t>
        </r>
      </text>
    </comment>
    <comment ref="BU74" authorId="0" shapeId="0" xr:uid="{00000000-0006-0000-0000-000070040000}">
      <text>
        <r>
          <rPr>
            <b/>
            <sz val="9"/>
            <color indexed="81"/>
            <rFont val="Tahoma"/>
            <family val="2"/>
          </rPr>
          <t>Author:</t>
        </r>
        <r>
          <rPr>
            <sz val="9"/>
            <color indexed="81"/>
            <rFont val="Tahoma"/>
            <family val="2"/>
          </rPr>
          <t xml:space="preserve">
From Campion2024</t>
        </r>
      </text>
    </comment>
    <comment ref="BV74" authorId="0" shapeId="0" xr:uid="{00000000-0006-0000-0000-000071040000}">
      <text>
        <r>
          <rPr>
            <b/>
            <sz val="9"/>
            <color indexed="81"/>
            <rFont val="Tahoma"/>
            <family val="2"/>
          </rPr>
          <t>Author:</t>
        </r>
        <r>
          <rPr>
            <sz val="9"/>
            <color indexed="81"/>
            <rFont val="Tahoma"/>
            <family val="2"/>
          </rPr>
          <t xml:space="preserve">
From Campion2024</t>
        </r>
      </text>
    </comment>
    <comment ref="BW74" authorId="0" shapeId="0" xr:uid="{00000000-0006-0000-0000-000072040000}">
      <text>
        <r>
          <rPr>
            <b/>
            <sz val="9"/>
            <color indexed="81"/>
            <rFont val="Tahoma"/>
            <family val="2"/>
          </rPr>
          <t>Author:</t>
        </r>
        <r>
          <rPr>
            <sz val="9"/>
            <color indexed="81"/>
            <rFont val="Tahoma"/>
            <family val="2"/>
          </rPr>
          <t xml:space="preserve">
From Campion2024</t>
        </r>
      </text>
    </comment>
    <comment ref="BX74" authorId="0" shapeId="0" xr:uid="{00000000-0006-0000-0000-000073040000}">
      <text>
        <r>
          <rPr>
            <b/>
            <sz val="9"/>
            <color indexed="81"/>
            <rFont val="Tahoma"/>
            <family val="2"/>
          </rPr>
          <t>Author:</t>
        </r>
        <r>
          <rPr>
            <sz val="9"/>
            <color indexed="81"/>
            <rFont val="Tahoma"/>
            <family val="2"/>
          </rPr>
          <t xml:space="preserve">
From Campion2024</t>
        </r>
      </text>
    </comment>
    <comment ref="BY74" authorId="0" shapeId="0" xr:uid="{00000000-0006-0000-0000-000074040000}">
      <text>
        <r>
          <rPr>
            <b/>
            <sz val="9"/>
            <color indexed="81"/>
            <rFont val="Tahoma"/>
            <family val="2"/>
          </rPr>
          <t>Author:</t>
        </r>
        <r>
          <rPr>
            <sz val="9"/>
            <color indexed="81"/>
            <rFont val="Tahoma"/>
            <family val="2"/>
          </rPr>
          <t xml:space="preserve">
From Campion2024</t>
        </r>
      </text>
    </comment>
    <comment ref="BZ74" authorId="0" shapeId="0" xr:uid="{00000000-0006-0000-0000-000075040000}">
      <text>
        <r>
          <rPr>
            <b/>
            <sz val="9"/>
            <color indexed="81"/>
            <rFont val="Tahoma"/>
            <family val="2"/>
          </rPr>
          <t>Author:</t>
        </r>
        <r>
          <rPr>
            <sz val="9"/>
            <color indexed="81"/>
            <rFont val="Tahoma"/>
            <family val="2"/>
          </rPr>
          <t xml:space="preserve">
From Campion2024</t>
        </r>
      </text>
    </comment>
    <comment ref="CA74" authorId="0" shapeId="0" xr:uid="{00000000-0006-0000-0000-000076040000}">
      <text>
        <r>
          <rPr>
            <b/>
            <sz val="9"/>
            <color indexed="81"/>
            <rFont val="Tahoma"/>
            <family val="2"/>
          </rPr>
          <t>Author:</t>
        </r>
        <r>
          <rPr>
            <sz val="9"/>
            <color indexed="81"/>
            <rFont val="Tahoma"/>
            <family val="2"/>
          </rPr>
          <t xml:space="preserve">
From Campion2024</t>
        </r>
      </text>
    </comment>
    <comment ref="CB74" authorId="0" shapeId="0" xr:uid="{00000000-0006-0000-0000-000077040000}">
      <text>
        <r>
          <rPr>
            <b/>
            <sz val="9"/>
            <color indexed="81"/>
            <rFont val="Tahoma"/>
            <family val="2"/>
          </rPr>
          <t>Author:</t>
        </r>
        <r>
          <rPr>
            <sz val="9"/>
            <color indexed="81"/>
            <rFont val="Tahoma"/>
            <family val="2"/>
          </rPr>
          <t xml:space="preserve">
From Campion2024</t>
        </r>
      </text>
    </comment>
    <comment ref="CC74" authorId="0" shapeId="0" xr:uid="{00000000-0006-0000-0000-000078040000}">
      <text>
        <r>
          <rPr>
            <b/>
            <sz val="9"/>
            <color indexed="81"/>
            <rFont val="Tahoma"/>
            <family val="2"/>
          </rPr>
          <t>Author:</t>
        </r>
        <r>
          <rPr>
            <sz val="9"/>
            <color indexed="81"/>
            <rFont val="Tahoma"/>
            <family val="2"/>
          </rPr>
          <t xml:space="preserve">
From Campion2024</t>
        </r>
      </text>
    </comment>
    <comment ref="AD75" authorId="0" shapeId="0" xr:uid="{00000000-0006-0000-0000-000079040000}">
      <text>
        <r>
          <rPr>
            <b/>
            <sz val="9"/>
            <color indexed="81"/>
            <rFont val="Tahoma"/>
            <family val="2"/>
          </rPr>
          <t>Author:</t>
        </r>
        <r>
          <rPr>
            <sz val="9"/>
            <color indexed="81"/>
            <rFont val="Tahoma"/>
            <family val="2"/>
          </rPr>
          <t xml:space="preserve">
From Campion2024</t>
        </r>
      </text>
    </comment>
    <comment ref="AE75" authorId="0" shapeId="0" xr:uid="{00000000-0006-0000-0000-00007A040000}">
      <text>
        <r>
          <rPr>
            <b/>
            <sz val="9"/>
            <color indexed="81"/>
            <rFont val="Tahoma"/>
            <family val="2"/>
          </rPr>
          <t>Author:</t>
        </r>
        <r>
          <rPr>
            <sz val="9"/>
            <color indexed="81"/>
            <rFont val="Tahoma"/>
            <family val="2"/>
          </rPr>
          <t xml:space="preserve">
From Campion2024</t>
        </r>
      </text>
    </comment>
    <comment ref="AF75" authorId="0" shapeId="0" xr:uid="{00000000-0006-0000-0000-00007B040000}">
      <text>
        <r>
          <rPr>
            <b/>
            <sz val="9"/>
            <color indexed="81"/>
            <rFont val="Tahoma"/>
            <family val="2"/>
          </rPr>
          <t>Author:</t>
        </r>
        <r>
          <rPr>
            <sz val="9"/>
            <color indexed="81"/>
            <rFont val="Tahoma"/>
            <family val="2"/>
          </rPr>
          <t xml:space="preserve">
From Campion2024</t>
        </r>
      </text>
    </comment>
    <comment ref="AG75" authorId="0" shapeId="0" xr:uid="{00000000-0006-0000-0000-00007C040000}">
      <text>
        <r>
          <rPr>
            <b/>
            <sz val="9"/>
            <color indexed="81"/>
            <rFont val="Tahoma"/>
            <family val="2"/>
          </rPr>
          <t>Author:</t>
        </r>
        <r>
          <rPr>
            <sz val="9"/>
            <color indexed="81"/>
            <rFont val="Tahoma"/>
            <family val="2"/>
          </rPr>
          <t xml:space="preserve">
From Campion2024</t>
        </r>
      </text>
    </comment>
    <comment ref="AH75" authorId="0" shapeId="0" xr:uid="{00000000-0006-0000-0000-00007D040000}">
      <text>
        <r>
          <rPr>
            <b/>
            <sz val="9"/>
            <color indexed="81"/>
            <rFont val="Tahoma"/>
            <family val="2"/>
          </rPr>
          <t>Author:</t>
        </r>
        <r>
          <rPr>
            <sz val="9"/>
            <color indexed="81"/>
            <rFont val="Tahoma"/>
            <family val="2"/>
          </rPr>
          <t xml:space="preserve">
From Campion2024</t>
        </r>
      </text>
    </comment>
    <comment ref="AI75" authorId="0" shapeId="0" xr:uid="{00000000-0006-0000-0000-00007E040000}">
      <text>
        <r>
          <rPr>
            <b/>
            <sz val="9"/>
            <color indexed="81"/>
            <rFont val="Tahoma"/>
            <family val="2"/>
          </rPr>
          <t>Author:</t>
        </r>
        <r>
          <rPr>
            <sz val="9"/>
            <color indexed="81"/>
            <rFont val="Tahoma"/>
            <family val="2"/>
          </rPr>
          <t xml:space="preserve">
From Campion2024</t>
        </r>
      </text>
    </comment>
    <comment ref="AJ75" authorId="0" shapeId="0" xr:uid="{00000000-0006-0000-0000-00007F040000}">
      <text>
        <r>
          <rPr>
            <b/>
            <sz val="9"/>
            <color indexed="81"/>
            <rFont val="Tahoma"/>
            <family val="2"/>
          </rPr>
          <t>Author:</t>
        </r>
        <r>
          <rPr>
            <sz val="9"/>
            <color indexed="81"/>
            <rFont val="Tahoma"/>
            <family val="2"/>
          </rPr>
          <t xml:space="preserve">
From Campion2024</t>
        </r>
      </text>
    </comment>
    <comment ref="AK75" authorId="0" shapeId="0" xr:uid="{00000000-0006-0000-0000-000080040000}">
      <text>
        <r>
          <rPr>
            <b/>
            <sz val="9"/>
            <color indexed="81"/>
            <rFont val="Tahoma"/>
            <family val="2"/>
          </rPr>
          <t>Author:</t>
        </r>
        <r>
          <rPr>
            <sz val="9"/>
            <color indexed="81"/>
            <rFont val="Tahoma"/>
            <family val="2"/>
          </rPr>
          <t xml:space="preserve">
From Campion2024</t>
        </r>
      </text>
    </comment>
    <comment ref="AL75" authorId="0" shapeId="0" xr:uid="{00000000-0006-0000-0000-000081040000}">
      <text>
        <r>
          <rPr>
            <b/>
            <sz val="9"/>
            <color indexed="81"/>
            <rFont val="Tahoma"/>
            <family val="2"/>
          </rPr>
          <t>Author:</t>
        </r>
        <r>
          <rPr>
            <sz val="9"/>
            <color indexed="81"/>
            <rFont val="Tahoma"/>
            <family val="2"/>
          </rPr>
          <t xml:space="preserve">
From Campion2024</t>
        </r>
      </text>
    </comment>
    <comment ref="AM75" authorId="0" shapeId="0" xr:uid="{00000000-0006-0000-0000-000082040000}">
      <text>
        <r>
          <rPr>
            <b/>
            <sz val="9"/>
            <color indexed="81"/>
            <rFont val="Tahoma"/>
            <family val="2"/>
          </rPr>
          <t>Author:</t>
        </r>
        <r>
          <rPr>
            <sz val="9"/>
            <color indexed="81"/>
            <rFont val="Tahoma"/>
            <family val="2"/>
          </rPr>
          <t xml:space="preserve">
From Campion2024</t>
        </r>
      </text>
    </comment>
    <comment ref="AN75" authorId="0" shapeId="0" xr:uid="{00000000-0006-0000-0000-000083040000}">
      <text>
        <r>
          <rPr>
            <b/>
            <sz val="9"/>
            <color indexed="81"/>
            <rFont val="Tahoma"/>
            <family val="2"/>
          </rPr>
          <t>Author:</t>
        </r>
        <r>
          <rPr>
            <sz val="9"/>
            <color indexed="81"/>
            <rFont val="Tahoma"/>
            <family val="2"/>
          </rPr>
          <t xml:space="preserve">
From Campion2024</t>
        </r>
      </text>
    </comment>
    <comment ref="AO75" authorId="0" shapeId="0" xr:uid="{00000000-0006-0000-0000-000084040000}">
      <text>
        <r>
          <rPr>
            <b/>
            <sz val="9"/>
            <color indexed="81"/>
            <rFont val="Tahoma"/>
            <family val="2"/>
          </rPr>
          <t>Author:</t>
        </r>
        <r>
          <rPr>
            <sz val="9"/>
            <color indexed="81"/>
            <rFont val="Tahoma"/>
            <family val="2"/>
          </rPr>
          <t xml:space="preserve">
From Campion2024</t>
        </r>
      </text>
    </comment>
    <comment ref="AP75" authorId="0" shapeId="0" xr:uid="{00000000-0006-0000-0000-000085040000}">
      <text>
        <r>
          <rPr>
            <b/>
            <sz val="9"/>
            <color indexed="81"/>
            <rFont val="Tahoma"/>
            <family val="2"/>
          </rPr>
          <t>Author:</t>
        </r>
        <r>
          <rPr>
            <sz val="9"/>
            <color indexed="81"/>
            <rFont val="Tahoma"/>
            <family val="2"/>
          </rPr>
          <t xml:space="preserve">
From Campion2024</t>
        </r>
      </text>
    </comment>
    <comment ref="AQ75" authorId="0" shapeId="0" xr:uid="{00000000-0006-0000-0000-000086040000}">
      <text>
        <r>
          <rPr>
            <b/>
            <sz val="9"/>
            <color indexed="81"/>
            <rFont val="Tahoma"/>
            <family val="2"/>
          </rPr>
          <t>Author:</t>
        </r>
        <r>
          <rPr>
            <sz val="9"/>
            <color indexed="81"/>
            <rFont val="Tahoma"/>
            <family val="2"/>
          </rPr>
          <t xml:space="preserve">
From Campion2024</t>
        </r>
      </text>
    </comment>
    <comment ref="AR75" authorId="0" shapeId="0" xr:uid="{00000000-0006-0000-0000-000087040000}">
      <text>
        <r>
          <rPr>
            <b/>
            <sz val="9"/>
            <color indexed="81"/>
            <rFont val="Tahoma"/>
            <family val="2"/>
          </rPr>
          <t>Author:</t>
        </r>
        <r>
          <rPr>
            <sz val="9"/>
            <color indexed="81"/>
            <rFont val="Tahoma"/>
            <family val="2"/>
          </rPr>
          <t xml:space="preserve">
From Campion2024</t>
        </r>
      </text>
    </comment>
    <comment ref="AS75" authorId="0" shapeId="0" xr:uid="{00000000-0006-0000-0000-000088040000}">
      <text>
        <r>
          <rPr>
            <b/>
            <sz val="9"/>
            <color indexed="81"/>
            <rFont val="Tahoma"/>
            <family val="2"/>
          </rPr>
          <t>Author:</t>
        </r>
        <r>
          <rPr>
            <sz val="9"/>
            <color indexed="81"/>
            <rFont val="Tahoma"/>
            <family val="2"/>
          </rPr>
          <t xml:space="preserve">
From Campion2024</t>
        </r>
      </text>
    </comment>
    <comment ref="AT75" authorId="0" shapeId="0" xr:uid="{00000000-0006-0000-0000-000089040000}">
      <text>
        <r>
          <rPr>
            <b/>
            <sz val="9"/>
            <color indexed="81"/>
            <rFont val="Tahoma"/>
            <family val="2"/>
          </rPr>
          <t>Author:</t>
        </r>
        <r>
          <rPr>
            <sz val="9"/>
            <color indexed="81"/>
            <rFont val="Tahoma"/>
            <family val="2"/>
          </rPr>
          <t xml:space="preserve">
From Campion2024</t>
        </r>
      </text>
    </comment>
    <comment ref="AU75" authorId="0" shapeId="0" xr:uid="{00000000-0006-0000-0000-00008A040000}">
      <text>
        <r>
          <rPr>
            <b/>
            <sz val="9"/>
            <color indexed="81"/>
            <rFont val="Tahoma"/>
            <family val="2"/>
          </rPr>
          <t>Author:</t>
        </r>
        <r>
          <rPr>
            <sz val="9"/>
            <color indexed="81"/>
            <rFont val="Tahoma"/>
            <family val="2"/>
          </rPr>
          <t xml:space="preserve">
From Campion2024</t>
        </r>
      </text>
    </comment>
    <comment ref="AV75" authorId="0" shapeId="0" xr:uid="{00000000-0006-0000-0000-00008B040000}">
      <text>
        <r>
          <rPr>
            <b/>
            <sz val="9"/>
            <color indexed="81"/>
            <rFont val="Tahoma"/>
            <family val="2"/>
          </rPr>
          <t>Author:</t>
        </r>
        <r>
          <rPr>
            <sz val="9"/>
            <color indexed="81"/>
            <rFont val="Tahoma"/>
            <family val="2"/>
          </rPr>
          <t xml:space="preserve">
From Campion2024</t>
        </r>
      </text>
    </comment>
    <comment ref="AW75" authorId="0" shapeId="0" xr:uid="{00000000-0006-0000-0000-00008C040000}">
      <text>
        <r>
          <rPr>
            <b/>
            <sz val="9"/>
            <color indexed="81"/>
            <rFont val="Tahoma"/>
            <family val="2"/>
          </rPr>
          <t>Author:</t>
        </r>
        <r>
          <rPr>
            <sz val="9"/>
            <color indexed="81"/>
            <rFont val="Tahoma"/>
            <family val="2"/>
          </rPr>
          <t xml:space="preserve">
From Campion2024</t>
        </r>
      </text>
    </comment>
    <comment ref="AX75" authorId="0" shapeId="0" xr:uid="{00000000-0006-0000-0000-00008D040000}">
      <text>
        <r>
          <rPr>
            <b/>
            <sz val="9"/>
            <color indexed="81"/>
            <rFont val="Tahoma"/>
            <family val="2"/>
          </rPr>
          <t>Author:</t>
        </r>
        <r>
          <rPr>
            <sz val="9"/>
            <color indexed="81"/>
            <rFont val="Tahoma"/>
            <family val="2"/>
          </rPr>
          <t xml:space="preserve">
From Campion2024</t>
        </r>
      </text>
    </comment>
    <comment ref="AY75" authorId="0" shapeId="0" xr:uid="{00000000-0006-0000-0000-00008E040000}">
      <text>
        <r>
          <rPr>
            <b/>
            <sz val="9"/>
            <color indexed="81"/>
            <rFont val="Tahoma"/>
            <family val="2"/>
          </rPr>
          <t>Author:</t>
        </r>
        <r>
          <rPr>
            <sz val="9"/>
            <color indexed="81"/>
            <rFont val="Tahoma"/>
            <family val="2"/>
          </rPr>
          <t xml:space="preserve">
From Campion2024</t>
        </r>
      </text>
    </comment>
    <comment ref="AZ75" authorId="0" shapeId="0" xr:uid="{00000000-0006-0000-0000-00008F040000}">
      <text>
        <r>
          <rPr>
            <b/>
            <sz val="9"/>
            <color indexed="81"/>
            <rFont val="Tahoma"/>
            <family val="2"/>
          </rPr>
          <t>Author:</t>
        </r>
        <r>
          <rPr>
            <sz val="9"/>
            <color indexed="81"/>
            <rFont val="Tahoma"/>
            <family val="2"/>
          </rPr>
          <t xml:space="preserve">
From Campion2024</t>
        </r>
      </text>
    </comment>
    <comment ref="BA75" authorId="0" shapeId="0" xr:uid="{00000000-0006-0000-0000-000090040000}">
      <text>
        <r>
          <rPr>
            <b/>
            <sz val="9"/>
            <color indexed="81"/>
            <rFont val="Tahoma"/>
            <family val="2"/>
          </rPr>
          <t>Author:</t>
        </r>
        <r>
          <rPr>
            <sz val="9"/>
            <color indexed="81"/>
            <rFont val="Tahoma"/>
            <family val="2"/>
          </rPr>
          <t xml:space="preserve">
From Campion2024</t>
        </r>
      </text>
    </comment>
    <comment ref="BB75" authorId="0" shapeId="0" xr:uid="{00000000-0006-0000-0000-000091040000}">
      <text>
        <r>
          <rPr>
            <b/>
            <sz val="9"/>
            <color indexed="81"/>
            <rFont val="Tahoma"/>
            <family val="2"/>
          </rPr>
          <t>Author:</t>
        </r>
        <r>
          <rPr>
            <sz val="9"/>
            <color indexed="81"/>
            <rFont val="Tahoma"/>
            <family val="2"/>
          </rPr>
          <t xml:space="preserve">
From Campion2024</t>
        </r>
      </text>
    </comment>
    <comment ref="BC75" authorId="0" shapeId="0" xr:uid="{00000000-0006-0000-0000-000092040000}">
      <text>
        <r>
          <rPr>
            <b/>
            <sz val="9"/>
            <color indexed="81"/>
            <rFont val="Tahoma"/>
            <family val="2"/>
          </rPr>
          <t>Author:</t>
        </r>
        <r>
          <rPr>
            <sz val="9"/>
            <color indexed="81"/>
            <rFont val="Tahoma"/>
            <family val="2"/>
          </rPr>
          <t xml:space="preserve">
From Campion2024</t>
        </r>
      </text>
    </comment>
    <comment ref="BD75" authorId="0" shapeId="0" xr:uid="{00000000-0006-0000-0000-000093040000}">
      <text>
        <r>
          <rPr>
            <b/>
            <sz val="9"/>
            <color indexed="81"/>
            <rFont val="Tahoma"/>
            <family val="2"/>
          </rPr>
          <t>Author:</t>
        </r>
        <r>
          <rPr>
            <sz val="9"/>
            <color indexed="81"/>
            <rFont val="Tahoma"/>
            <family val="2"/>
          </rPr>
          <t xml:space="preserve">
From Campion2024</t>
        </r>
      </text>
    </comment>
    <comment ref="BE75" authorId="0" shapeId="0" xr:uid="{00000000-0006-0000-0000-000094040000}">
      <text>
        <r>
          <rPr>
            <b/>
            <sz val="9"/>
            <color indexed="81"/>
            <rFont val="Tahoma"/>
            <family val="2"/>
          </rPr>
          <t>Author:</t>
        </r>
        <r>
          <rPr>
            <sz val="9"/>
            <color indexed="81"/>
            <rFont val="Tahoma"/>
            <family val="2"/>
          </rPr>
          <t xml:space="preserve">
From Campion2024</t>
        </r>
      </text>
    </comment>
    <comment ref="BR75" authorId="0" shapeId="0" xr:uid="{00000000-0006-0000-0000-000095040000}">
      <text>
        <r>
          <rPr>
            <b/>
            <sz val="9"/>
            <color indexed="81"/>
            <rFont val="Tahoma"/>
            <family val="2"/>
          </rPr>
          <t>Author:</t>
        </r>
        <r>
          <rPr>
            <sz val="9"/>
            <color indexed="81"/>
            <rFont val="Tahoma"/>
            <family val="2"/>
          </rPr>
          <t xml:space="preserve">
From Campion2024</t>
        </r>
      </text>
    </comment>
    <comment ref="BS75" authorId="0" shapeId="0" xr:uid="{00000000-0006-0000-0000-000096040000}">
      <text>
        <r>
          <rPr>
            <b/>
            <sz val="9"/>
            <color indexed="81"/>
            <rFont val="Tahoma"/>
            <family val="2"/>
          </rPr>
          <t>Author:</t>
        </r>
        <r>
          <rPr>
            <sz val="9"/>
            <color indexed="81"/>
            <rFont val="Tahoma"/>
            <family val="2"/>
          </rPr>
          <t xml:space="preserve">
From Campion2024</t>
        </r>
      </text>
    </comment>
    <comment ref="BT75" authorId="0" shapeId="0" xr:uid="{00000000-0006-0000-0000-000097040000}">
      <text>
        <r>
          <rPr>
            <b/>
            <sz val="9"/>
            <color indexed="81"/>
            <rFont val="Tahoma"/>
            <family val="2"/>
          </rPr>
          <t>Author:</t>
        </r>
        <r>
          <rPr>
            <sz val="9"/>
            <color indexed="81"/>
            <rFont val="Tahoma"/>
            <family val="2"/>
          </rPr>
          <t xml:space="preserve">
From Campion2024</t>
        </r>
      </text>
    </comment>
    <comment ref="BU75" authorId="0" shapeId="0" xr:uid="{00000000-0006-0000-0000-000098040000}">
      <text>
        <r>
          <rPr>
            <b/>
            <sz val="9"/>
            <color indexed="81"/>
            <rFont val="Tahoma"/>
            <family val="2"/>
          </rPr>
          <t>Author:</t>
        </r>
        <r>
          <rPr>
            <sz val="9"/>
            <color indexed="81"/>
            <rFont val="Tahoma"/>
            <family val="2"/>
          </rPr>
          <t xml:space="preserve">
From Campion2024</t>
        </r>
      </text>
    </comment>
    <comment ref="BV75" authorId="0" shapeId="0" xr:uid="{00000000-0006-0000-0000-000099040000}">
      <text>
        <r>
          <rPr>
            <b/>
            <sz val="9"/>
            <color indexed="81"/>
            <rFont val="Tahoma"/>
            <family val="2"/>
          </rPr>
          <t>Author:</t>
        </r>
        <r>
          <rPr>
            <sz val="9"/>
            <color indexed="81"/>
            <rFont val="Tahoma"/>
            <family val="2"/>
          </rPr>
          <t xml:space="preserve">
From Campion2024</t>
        </r>
      </text>
    </comment>
    <comment ref="BW75" authorId="0" shapeId="0" xr:uid="{00000000-0006-0000-0000-00009A040000}">
      <text>
        <r>
          <rPr>
            <b/>
            <sz val="9"/>
            <color indexed="81"/>
            <rFont val="Tahoma"/>
            <family val="2"/>
          </rPr>
          <t>Author:</t>
        </r>
        <r>
          <rPr>
            <sz val="9"/>
            <color indexed="81"/>
            <rFont val="Tahoma"/>
            <family val="2"/>
          </rPr>
          <t xml:space="preserve">
From Campion2024</t>
        </r>
      </text>
    </comment>
    <comment ref="BX75" authorId="0" shapeId="0" xr:uid="{00000000-0006-0000-0000-00009B040000}">
      <text>
        <r>
          <rPr>
            <b/>
            <sz val="9"/>
            <color indexed="81"/>
            <rFont val="Tahoma"/>
            <family val="2"/>
          </rPr>
          <t>Author:</t>
        </r>
        <r>
          <rPr>
            <sz val="9"/>
            <color indexed="81"/>
            <rFont val="Tahoma"/>
            <family val="2"/>
          </rPr>
          <t xml:space="preserve">
From Campion2024</t>
        </r>
      </text>
    </comment>
    <comment ref="BY75" authorId="0" shapeId="0" xr:uid="{00000000-0006-0000-0000-00009C040000}">
      <text>
        <r>
          <rPr>
            <b/>
            <sz val="9"/>
            <color indexed="81"/>
            <rFont val="Tahoma"/>
            <family val="2"/>
          </rPr>
          <t>Author:</t>
        </r>
        <r>
          <rPr>
            <sz val="9"/>
            <color indexed="81"/>
            <rFont val="Tahoma"/>
            <family val="2"/>
          </rPr>
          <t xml:space="preserve">
From Campion2024</t>
        </r>
      </text>
    </comment>
    <comment ref="BZ75" authorId="0" shapeId="0" xr:uid="{00000000-0006-0000-0000-00009D040000}">
      <text>
        <r>
          <rPr>
            <b/>
            <sz val="9"/>
            <color indexed="81"/>
            <rFont val="Tahoma"/>
            <family val="2"/>
          </rPr>
          <t>Author:</t>
        </r>
        <r>
          <rPr>
            <sz val="9"/>
            <color indexed="81"/>
            <rFont val="Tahoma"/>
            <family val="2"/>
          </rPr>
          <t xml:space="preserve">
From Campion2024</t>
        </r>
      </text>
    </comment>
    <comment ref="CA75" authorId="0" shapeId="0" xr:uid="{00000000-0006-0000-0000-00009E040000}">
      <text>
        <r>
          <rPr>
            <b/>
            <sz val="9"/>
            <color indexed="81"/>
            <rFont val="Tahoma"/>
            <family val="2"/>
          </rPr>
          <t>Author:</t>
        </r>
        <r>
          <rPr>
            <sz val="9"/>
            <color indexed="81"/>
            <rFont val="Tahoma"/>
            <family val="2"/>
          </rPr>
          <t xml:space="preserve">
From Campion2024</t>
        </r>
      </text>
    </comment>
    <comment ref="CB75" authorId="0" shapeId="0" xr:uid="{00000000-0006-0000-0000-00009F040000}">
      <text>
        <r>
          <rPr>
            <b/>
            <sz val="9"/>
            <color indexed="81"/>
            <rFont val="Tahoma"/>
            <family val="2"/>
          </rPr>
          <t>Author:</t>
        </r>
        <r>
          <rPr>
            <sz val="9"/>
            <color indexed="81"/>
            <rFont val="Tahoma"/>
            <family val="2"/>
          </rPr>
          <t xml:space="preserve">
From Campion2024</t>
        </r>
      </text>
    </comment>
    <comment ref="CC75" authorId="0" shapeId="0" xr:uid="{00000000-0006-0000-0000-0000A0040000}">
      <text>
        <r>
          <rPr>
            <b/>
            <sz val="9"/>
            <color indexed="81"/>
            <rFont val="Tahoma"/>
            <family val="2"/>
          </rPr>
          <t>Author:</t>
        </r>
        <r>
          <rPr>
            <sz val="9"/>
            <color indexed="81"/>
            <rFont val="Tahoma"/>
            <family val="2"/>
          </rPr>
          <t xml:space="preserve">
From Campion2024</t>
        </r>
      </text>
    </comment>
    <comment ref="AD76" authorId="0" shapeId="0" xr:uid="{00000000-0006-0000-0000-0000A1040000}">
      <text>
        <r>
          <rPr>
            <b/>
            <sz val="9"/>
            <color indexed="81"/>
            <rFont val="Tahoma"/>
            <family val="2"/>
          </rPr>
          <t>Author:</t>
        </r>
        <r>
          <rPr>
            <sz val="9"/>
            <color indexed="81"/>
            <rFont val="Tahoma"/>
            <family val="2"/>
          </rPr>
          <t xml:space="preserve">
From Campion2024</t>
        </r>
      </text>
    </comment>
    <comment ref="AE76" authorId="0" shapeId="0" xr:uid="{00000000-0006-0000-0000-0000A2040000}">
      <text>
        <r>
          <rPr>
            <b/>
            <sz val="9"/>
            <color indexed="81"/>
            <rFont val="Tahoma"/>
            <family val="2"/>
          </rPr>
          <t>Author:</t>
        </r>
        <r>
          <rPr>
            <sz val="9"/>
            <color indexed="81"/>
            <rFont val="Tahoma"/>
            <family val="2"/>
          </rPr>
          <t xml:space="preserve">
From Campion2024</t>
        </r>
      </text>
    </comment>
    <comment ref="AF76" authorId="0" shapeId="0" xr:uid="{00000000-0006-0000-0000-0000A3040000}">
      <text>
        <r>
          <rPr>
            <b/>
            <sz val="9"/>
            <color indexed="81"/>
            <rFont val="Tahoma"/>
            <family val="2"/>
          </rPr>
          <t>Author:</t>
        </r>
        <r>
          <rPr>
            <sz val="9"/>
            <color indexed="81"/>
            <rFont val="Tahoma"/>
            <family val="2"/>
          </rPr>
          <t xml:space="preserve">
From Campion2024</t>
        </r>
      </text>
    </comment>
    <comment ref="AG76" authorId="0" shapeId="0" xr:uid="{00000000-0006-0000-0000-0000A4040000}">
      <text>
        <r>
          <rPr>
            <b/>
            <sz val="9"/>
            <color indexed="81"/>
            <rFont val="Tahoma"/>
            <family val="2"/>
          </rPr>
          <t>Author:</t>
        </r>
        <r>
          <rPr>
            <sz val="9"/>
            <color indexed="81"/>
            <rFont val="Tahoma"/>
            <family val="2"/>
          </rPr>
          <t xml:space="preserve">
From Campion2024</t>
        </r>
      </text>
    </comment>
    <comment ref="AH76" authorId="0" shapeId="0" xr:uid="{00000000-0006-0000-0000-0000A5040000}">
      <text>
        <r>
          <rPr>
            <b/>
            <sz val="9"/>
            <color indexed="81"/>
            <rFont val="Tahoma"/>
            <family val="2"/>
          </rPr>
          <t>Author:</t>
        </r>
        <r>
          <rPr>
            <sz val="9"/>
            <color indexed="81"/>
            <rFont val="Tahoma"/>
            <family val="2"/>
          </rPr>
          <t xml:space="preserve">
From Campion2024</t>
        </r>
      </text>
    </comment>
    <comment ref="AI76" authorId="0" shapeId="0" xr:uid="{00000000-0006-0000-0000-0000A6040000}">
      <text>
        <r>
          <rPr>
            <b/>
            <sz val="9"/>
            <color indexed="81"/>
            <rFont val="Tahoma"/>
            <family val="2"/>
          </rPr>
          <t>Author:</t>
        </r>
        <r>
          <rPr>
            <sz val="9"/>
            <color indexed="81"/>
            <rFont val="Tahoma"/>
            <family val="2"/>
          </rPr>
          <t xml:space="preserve">
From Campion2024</t>
        </r>
      </text>
    </comment>
    <comment ref="AJ76" authorId="0" shapeId="0" xr:uid="{00000000-0006-0000-0000-0000A7040000}">
      <text>
        <r>
          <rPr>
            <b/>
            <sz val="9"/>
            <color indexed="81"/>
            <rFont val="Tahoma"/>
            <family val="2"/>
          </rPr>
          <t>Author:</t>
        </r>
        <r>
          <rPr>
            <sz val="9"/>
            <color indexed="81"/>
            <rFont val="Tahoma"/>
            <family val="2"/>
          </rPr>
          <t xml:space="preserve">
From Campion2024</t>
        </r>
      </text>
    </comment>
    <comment ref="AK76" authorId="0" shapeId="0" xr:uid="{00000000-0006-0000-0000-0000A8040000}">
      <text>
        <r>
          <rPr>
            <b/>
            <sz val="9"/>
            <color indexed="81"/>
            <rFont val="Tahoma"/>
            <family val="2"/>
          </rPr>
          <t>Author:</t>
        </r>
        <r>
          <rPr>
            <sz val="9"/>
            <color indexed="81"/>
            <rFont val="Tahoma"/>
            <family val="2"/>
          </rPr>
          <t xml:space="preserve">
From Campion2024</t>
        </r>
      </text>
    </comment>
    <comment ref="AL76" authorId="0" shapeId="0" xr:uid="{00000000-0006-0000-0000-0000A9040000}">
      <text>
        <r>
          <rPr>
            <b/>
            <sz val="9"/>
            <color indexed="81"/>
            <rFont val="Tahoma"/>
            <family val="2"/>
          </rPr>
          <t>Author:</t>
        </r>
        <r>
          <rPr>
            <sz val="9"/>
            <color indexed="81"/>
            <rFont val="Tahoma"/>
            <family val="2"/>
          </rPr>
          <t xml:space="preserve">
From Campion2024</t>
        </r>
      </text>
    </comment>
    <comment ref="AM76" authorId="0" shapeId="0" xr:uid="{00000000-0006-0000-0000-0000AA040000}">
      <text>
        <r>
          <rPr>
            <b/>
            <sz val="9"/>
            <color indexed="81"/>
            <rFont val="Tahoma"/>
            <family val="2"/>
          </rPr>
          <t>Author:</t>
        </r>
        <r>
          <rPr>
            <sz val="9"/>
            <color indexed="81"/>
            <rFont val="Tahoma"/>
            <family val="2"/>
          </rPr>
          <t xml:space="preserve">
From Campion2024</t>
        </r>
      </text>
    </comment>
    <comment ref="AN76" authorId="0" shapeId="0" xr:uid="{00000000-0006-0000-0000-0000AB040000}">
      <text>
        <r>
          <rPr>
            <b/>
            <sz val="9"/>
            <color indexed="81"/>
            <rFont val="Tahoma"/>
            <family val="2"/>
          </rPr>
          <t>Author:</t>
        </r>
        <r>
          <rPr>
            <sz val="9"/>
            <color indexed="81"/>
            <rFont val="Tahoma"/>
            <family val="2"/>
          </rPr>
          <t xml:space="preserve">
From Campion2024</t>
        </r>
      </text>
    </comment>
    <comment ref="AO76" authorId="0" shapeId="0" xr:uid="{00000000-0006-0000-0000-0000AC040000}">
      <text>
        <r>
          <rPr>
            <b/>
            <sz val="9"/>
            <color indexed="81"/>
            <rFont val="Tahoma"/>
            <family val="2"/>
          </rPr>
          <t>Author:</t>
        </r>
        <r>
          <rPr>
            <sz val="9"/>
            <color indexed="81"/>
            <rFont val="Tahoma"/>
            <family val="2"/>
          </rPr>
          <t xml:space="preserve">
From Campion2024</t>
        </r>
      </text>
    </comment>
    <comment ref="AP76" authorId="0" shapeId="0" xr:uid="{00000000-0006-0000-0000-0000AD040000}">
      <text>
        <r>
          <rPr>
            <b/>
            <sz val="9"/>
            <color indexed="81"/>
            <rFont val="Tahoma"/>
            <family val="2"/>
          </rPr>
          <t>Author:</t>
        </r>
        <r>
          <rPr>
            <sz val="9"/>
            <color indexed="81"/>
            <rFont val="Tahoma"/>
            <family val="2"/>
          </rPr>
          <t xml:space="preserve">
From Campion2024</t>
        </r>
      </text>
    </comment>
    <comment ref="AQ76" authorId="0" shapeId="0" xr:uid="{00000000-0006-0000-0000-0000AE040000}">
      <text>
        <r>
          <rPr>
            <b/>
            <sz val="9"/>
            <color indexed="81"/>
            <rFont val="Tahoma"/>
            <family val="2"/>
          </rPr>
          <t>Author:</t>
        </r>
        <r>
          <rPr>
            <sz val="9"/>
            <color indexed="81"/>
            <rFont val="Tahoma"/>
            <family val="2"/>
          </rPr>
          <t xml:space="preserve">
From Campion2024</t>
        </r>
      </text>
    </comment>
    <comment ref="AR76" authorId="0" shapeId="0" xr:uid="{00000000-0006-0000-0000-0000AF040000}">
      <text>
        <r>
          <rPr>
            <b/>
            <sz val="9"/>
            <color indexed="81"/>
            <rFont val="Tahoma"/>
            <family val="2"/>
          </rPr>
          <t>Author:</t>
        </r>
        <r>
          <rPr>
            <sz val="9"/>
            <color indexed="81"/>
            <rFont val="Tahoma"/>
            <family val="2"/>
          </rPr>
          <t xml:space="preserve">
From Campion2024</t>
        </r>
      </text>
    </comment>
    <comment ref="AS76" authorId="0" shapeId="0" xr:uid="{00000000-0006-0000-0000-0000B0040000}">
      <text>
        <r>
          <rPr>
            <b/>
            <sz val="9"/>
            <color indexed="81"/>
            <rFont val="Tahoma"/>
            <family val="2"/>
          </rPr>
          <t>Author:</t>
        </r>
        <r>
          <rPr>
            <sz val="9"/>
            <color indexed="81"/>
            <rFont val="Tahoma"/>
            <family val="2"/>
          </rPr>
          <t xml:space="preserve">
From Campion2024</t>
        </r>
      </text>
    </comment>
    <comment ref="AT76" authorId="0" shapeId="0" xr:uid="{00000000-0006-0000-0000-0000B1040000}">
      <text>
        <r>
          <rPr>
            <b/>
            <sz val="9"/>
            <color indexed="81"/>
            <rFont val="Tahoma"/>
            <family val="2"/>
          </rPr>
          <t>Author:</t>
        </r>
        <r>
          <rPr>
            <sz val="9"/>
            <color indexed="81"/>
            <rFont val="Tahoma"/>
            <family val="2"/>
          </rPr>
          <t xml:space="preserve">
From Campion2024</t>
        </r>
      </text>
    </comment>
    <comment ref="AU76" authorId="0" shapeId="0" xr:uid="{00000000-0006-0000-0000-0000B2040000}">
      <text>
        <r>
          <rPr>
            <b/>
            <sz val="9"/>
            <color indexed="81"/>
            <rFont val="Tahoma"/>
            <family val="2"/>
          </rPr>
          <t>Author:</t>
        </r>
        <r>
          <rPr>
            <sz val="9"/>
            <color indexed="81"/>
            <rFont val="Tahoma"/>
            <family val="2"/>
          </rPr>
          <t xml:space="preserve">
From Campion2024</t>
        </r>
      </text>
    </comment>
    <comment ref="AV76" authorId="0" shapeId="0" xr:uid="{00000000-0006-0000-0000-0000B3040000}">
      <text>
        <r>
          <rPr>
            <b/>
            <sz val="9"/>
            <color indexed="81"/>
            <rFont val="Tahoma"/>
            <family val="2"/>
          </rPr>
          <t>Author:</t>
        </r>
        <r>
          <rPr>
            <sz val="9"/>
            <color indexed="81"/>
            <rFont val="Tahoma"/>
            <family val="2"/>
          </rPr>
          <t xml:space="preserve">
From Campion2024</t>
        </r>
      </text>
    </comment>
    <comment ref="AW76" authorId="0" shapeId="0" xr:uid="{00000000-0006-0000-0000-0000B4040000}">
      <text>
        <r>
          <rPr>
            <b/>
            <sz val="9"/>
            <color indexed="81"/>
            <rFont val="Tahoma"/>
            <family val="2"/>
          </rPr>
          <t>Author:</t>
        </r>
        <r>
          <rPr>
            <sz val="9"/>
            <color indexed="81"/>
            <rFont val="Tahoma"/>
            <family val="2"/>
          </rPr>
          <t xml:space="preserve">
From Campion2024</t>
        </r>
      </text>
    </comment>
    <comment ref="AX76" authorId="0" shapeId="0" xr:uid="{00000000-0006-0000-0000-0000B5040000}">
      <text>
        <r>
          <rPr>
            <b/>
            <sz val="9"/>
            <color indexed="81"/>
            <rFont val="Tahoma"/>
            <family val="2"/>
          </rPr>
          <t>Author:</t>
        </r>
        <r>
          <rPr>
            <sz val="9"/>
            <color indexed="81"/>
            <rFont val="Tahoma"/>
            <family val="2"/>
          </rPr>
          <t xml:space="preserve">
From Campion2024</t>
        </r>
      </text>
    </comment>
    <comment ref="AY76" authorId="0" shapeId="0" xr:uid="{00000000-0006-0000-0000-0000B6040000}">
      <text>
        <r>
          <rPr>
            <b/>
            <sz val="9"/>
            <color indexed="81"/>
            <rFont val="Tahoma"/>
            <family val="2"/>
          </rPr>
          <t>Author:</t>
        </r>
        <r>
          <rPr>
            <sz val="9"/>
            <color indexed="81"/>
            <rFont val="Tahoma"/>
            <family val="2"/>
          </rPr>
          <t xml:space="preserve">
From Campion2024</t>
        </r>
      </text>
    </comment>
    <comment ref="AZ76" authorId="0" shapeId="0" xr:uid="{00000000-0006-0000-0000-0000B7040000}">
      <text>
        <r>
          <rPr>
            <b/>
            <sz val="9"/>
            <color indexed="81"/>
            <rFont val="Tahoma"/>
            <family val="2"/>
          </rPr>
          <t>Author:</t>
        </r>
        <r>
          <rPr>
            <sz val="9"/>
            <color indexed="81"/>
            <rFont val="Tahoma"/>
            <family val="2"/>
          </rPr>
          <t xml:space="preserve">
From Campion2024</t>
        </r>
      </text>
    </comment>
    <comment ref="BA76" authorId="0" shapeId="0" xr:uid="{00000000-0006-0000-0000-0000B8040000}">
      <text>
        <r>
          <rPr>
            <b/>
            <sz val="9"/>
            <color indexed="81"/>
            <rFont val="Tahoma"/>
            <family val="2"/>
          </rPr>
          <t>Author:</t>
        </r>
        <r>
          <rPr>
            <sz val="9"/>
            <color indexed="81"/>
            <rFont val="Tahoma"/>
            <family val="2"/>
          </rPr>
          <t xml:space="preserve">
From Campion2024</t>
        </r>
      </text>
    </comment>
    <comment ref="BB76" authorId="0" shapeId="0" xr:uid="{00000000-0006-0000-0000-0000B9040000}">
      <text>
        <r>
          <rPr>
            <b/>
            <sz val="9"/>
            <color indexed="81"/>
            <rFont val="Tahoma"/>
            <family val="2"/>
          </rPr>
          <t>Author:</t>
        </r>
        <r>
          <rPr>
            <sz val="9"/>
            <color indexed="81"/>
            <rFont val="Tahoma"/>
            <family val="2"/>
          </rPr>
          <t xml:space="preserve">
From Campion2024</t>
        </r>
      </text>
    </comment>
    <comment ref="BC76" authorId="0" shapeId="0" xr:uid="{00000000-0006-0000-0000-0000BA040000}">
      <text>
        <r>
          <rPr>
            <b/>
            <sz val="9"/>
            <color indexed="81"/>
            <rFont val="Tahoma"/>
            <family val="2"/>
          </rPr>
          <t>Author:</t>
        </r>
        <r>
          <rPr>
            <sz val="9"/>
            <color indexed="81"/>
            <rFont val="Tahoma"/>
            <family val="2"/>
          </rPr>
          <t xml:space="preserve">
From Campion2024</t>
        </r>
      </text>
    </comment>
    <comment ref="BD76" authorId="0" shapeId="0" xr:uid="{00000000-0006-0000-0000-0000BB040000}">
      <text>
        <r>
          <rPr>
            <b/>
            <sz val="9"/>
            <color indexed="81"/>
            <rFont val="Tahoma"/>
            <family val="2"/>
          </rPr>
          <t>Author:</t>
        </r>
        <r>
          <rPr>
            <sz val="9"/>
            <color indexed="81"/>
            <rFont val="Tahoma"/>
            <family val="2"/>
          </rPr>
          <t xml:space="preserve">
From Campion2024</t>
        </r>
      </text>
    </comment>
    <comment ref="BE76" authorId="0" shapeId="0" xr:uid="{00000000-0006-0000-0000-0000BC040000}">
      <text>
        <r>
          <rPr>
            <b/>
            <sz val="9"/>
            <color indexed="81"/>
            <rFont val="Tahoma"/>
            <family val="2"/>
          </rPr>
          <t>Author:</t>
        </r>
        <r>
          <rPr>
            <sz val="9"/>
            <color indexed="81"/>
            <rFont val="Tahoma"/>
            <family val="2"/>
          </rPr>
          <t xml:space="preserve">
From Campion2024</t>
        </r>
      </text>
    </comment>
    <comment ref="BR76" authorId="0" shapeId="0" xr:uid="{00000000-0006-0000-0000-0000BD040000}">
      <text>
        <r>
          <rPr>
            <b/>
            <sz val="9"/>
            <color indexed="81"/>
            <rFont val="Tahoma"/>
            <family val="2"/>
          </rPr>
          <t>Author:</t>
        </r>
        <r>
          <rPr>
            <sz val="9"/>
            <color indexed="81"/>
            <rFont val="Tahoma"/>
            <family val="2"/>
          </rPr>
          <t xml:space="preserve">
From Campion2024</t>
        </r>
      </text>
    </comment>
    <comment ref="BS76" authorId="0" shapeId="0" xr:uid="{00000000-0006-0000-0000-0000BE040000}">
      <text>
        <r>
          <rPr>
            <b/>
            <sz val="9"/>
            <color indexed="81"/>
            <rFont val="Tahoma"/>
            <family val="2"/>
          </rPr>
          <t>Author:</t>
        </r>
        <r>
          <rPr>
            <sz val="9"/>
            <color indexed="81"/>
            <rFont val="Tahoma"/>
            <family val="2"/>
          </rPr>
          <t xml:space="preserve">
From Campion2024</t>
        </r>
      </text>
    </comment>
    <comment ref="BT76" authorId="0" shapeId="0" xr:uid="{00000000-0006-0000-0000-0000BF040000}">
      <text>
        <r>
          <rPr>
            <b/>
            <sz val="9"/>
            <color indexed="81"/>
            <rFont val="Tahoma"/>
            <family val="2"/>
          </rPr>
          <t>Author:</t>
        </r>
        <r>
          <rPr>
            <sz val="9"/>
            <color indexed="81"/>
            <rFont val="Tahoma"/>
            <family val="2"/>
          </rPr>
          <t xml:space="preserve">
From Campion2024</t>
        </r>
      </text>
    </comment>
    <comment ref="BU76" authorId="0" shapeId="0" xr:uid="{00000000-0006-0000-0000-0000C0040000}">
      <text>
        <r>
          <rPr>
            <b/>
            <sz val="9"/>
            <color indexed="81"/>
            <rFont val="Tahoma"/>
            <family val="2"/>
          </rPr>
          <t>Author:</t>
        </r>
        <r>
          <rPr>
            <sz val="9"/>
            <color indexed="81"/>
            <rFont val="Tahoma"/>
            <family val="2"/>
          </rPr>
          <t xml:space="preserve">
From Campion2024</t>
        </r>
      </text>
    </comment>
    <comment ref="BV76" authorId="0" shapeId="0" xr:uid="{00000000-0006-0000-0000-0000C1040000}">
      <text>
        <r>
          <rPr>
            <b/>
            <sz val="9"/>
            <color indexed="81"/>
            <rFont val="Tahoma"/>
            <family val="2"/>
          </rPr>
          <t>Author:</t>
        </r>
        <r>
          <rPr>
            <sz val="9"/>
            <color indexed="81"/>
            <rFont val="Tahoma"/>
            <family val="2"/>
          </rPr>
          <t xml:space="preserve">
From Campion2024</t>
        </r>
      </text>
    </comment>
    <comment ref="BW76" authorId="0" shapeId="0" xr:uid="{00000000-0006-0000-0000-0000C2040000}">
      <text>
        <r>
          <rPr>
            <b/>
            <sz val="9"/>
            <color indexed="81"/>
            <rFont val="Tahoma"/>
            <family val="2"/>
          </rPr>
          <t>Author:</t>
        </r>
        <r>
          <rPr>
            <sz val="9"/>
            <color indexed="81"/>
            <rFont val="Tahoma"/>
            <family val="2"/>
          </rPr>
          <t xml:space="preserve">
From Campion2024</t>
        </r>
      </text>
    </comment>
    <comment ref="BX76" authorId="0" shapeId="0" xr:uid="{00000000-0006-0000-0000-0000C3040000}">
      <text>
        <r>
          <rPr>
            <b/>
            <sz val="9"/>
            <color indexed="81"/>
            <rFont val="Tahoma"/>
            <family val="2"/>
          </rPr>
          <t>Author:</t>
        </r>
        <r>
          <rPr>
            <sz val="9"/>
            <color indexed="81"/>
            <rFont val="Tahoma"/>
            <family val="2"/>
          </rPr>
          <t xml:space="preserve">
From Campion2024</t>
        </r>
      </text>
    </comment>
    <comment ref="BY76" authorId="0" shapeId="0" xr:uid="{00000000-0006-0000-0000-0000C4040000}">
      <text>
        <r>
          <rPr>
            <b/>
            <sz val="9"/>
            <color indexed="81"/>
            <rFont val="Tahoma"/>
            <family val="2"/>
          </rPr>
          <t>Author:</t>
        </r>
        <r>
          <rPr>
            <sz val="9"/>
            <color indexed="81"/>
            <rFont val="Tahoma"/>
            <family val="2"/>
          </rPr>
          <t xml:space="preserve">
From Campion2024</t>
        </r>
      </text>
    </comment>
    <comment ref="BZ76" authorId="0" shapeId="0" xr:uid="{00000000-0006-0000-0000-0000C5040000}">
      <text>
        <r>
          <rPr>
            <b/>
            <sz val="9"/>
            <color indexed="81"/>
            <rFont val="Tahoma"/>
            <family val="2"/>
          </rPr>
          <t>Author:</t>
        </r>
        <r>
          <rPr>
            <sz val="9"/>
            <color indexed="81"/>
            <rFont val="Tahoma"/>
            <family val="2"/>
          </rPr>
          <t xml:space="preserve">
From Campion2024</t>
        </r>
      </text>
    </comment>
    <comment ref="CA76" authorId="0" shapeId="0" xr:uid="{00000000-0006-0000-0000-0000C6040000}">
      <text>
        <r>
          <rPr>
            <b/>
            <sz val="9"/>
            <color indexed="81"/>
            <rFont val="Tahoma"/>
            <family val="2"/>
          </rPr>
          <t>Author:</t>
        </r>
        <r>
          <rPr>
            <sz val="9"/>
            <color indexed="81"/>
            <rFont val="Tahoma"/>
            <family val="2"/>
          </rPr>
          <t xml:space="preserve">
From Campion2024</t>
        </r>
      </text>
    </comment>
    <comment ref="CB76" authorId="0" shapeId="0" xr:uid="{00000000-0006-0000-0000-0000C7040000}">
      <text>
        <r>
          <rPr>
            <b/>
            <sz val="9"/>
            <color indexed="81"/>
            <rFont val="Tahoma"/>
            <family val="2"/>
          </rPr>
          <t>Author:</t>
        </r>
        <r>
          <rPr>
            <sz val="9"/>
            <color indexed="81"/>
            <rFont val="Tahoma"/>
            <family val="2"/>
          </rPr>
          <t xml:space="preserve">
From Campion2024</t>
        </r>
      </text>
    </comment>
    <comment ref="CC76" authorId="0" shapeId="0" xr:uid="{00000000-0006-0000-0000-0000C8040000}">
      <text>
        <r>
          <rPr>
            <b/>
            <sz val="9"/>
            <color indexed="81"/>
            <rFont val="Tahoma"/>
            <family val="2"/>
          </rPr>
          <t>Author:</t>
        </r>
        <r>
          <rPr>
            <sz val="9"/>
            <color indexed="81"/>
            <rFont val="Tahoma"/>
            <family val="2"/>
          </rPr>
          <t xml:space="preserve">
From Campion2024</t>
        </r>
      </text>
    </comment>
    <comment ref="AD77" authorId="0" shapeId="0" xr:uid="{00000000-0006-0000-0000-0000C9040000}">
      <text>
        <r>
          <rPr>
            <b/>
            <sz val="9"/>
            <color indexed="81"/>
            <rFont val="Tahoma"/>
            <family val="2"/>
          </rPr>
          <t>Author:</t>
        </r>
        <r>
          <rPr>
            <sz val="9"/>
            <color indexed="81"/>
            <rFont val="Tahoma"/>
            <family val="2"/>
          </rPr>
          <t xml:space="preserve">
From Campion2024</t>
        </r>
      </text>
    </comment>
    <comment ref="AE77" authorId="0" shapeId="0" xr:uid="{00000000-0006-0000-0000-0000CA040000}">
      <text>
        <r>
          <rPr>
            <b/>
            <sz val="9"/>
            <color indexed="81"/>
            <rFont val="Tahoma"/>
            <family val="2"/>
          </rPr>
          <t>Author:</t>
        </r>
        <r>
          <rPr>
            <sz val="9"/>
            <color indexed="81"/>
            <rFont val="Tahoma"/>
            <family val="2"/>
          </rPr>
          <t xml:space="preserve">
From Campion2024</t>
        </r>
      </text>
    </comment>
    <comment ref="AF77" authorId="0" shapeId="0" xr:uid="{00000000-0006-0000-0000-0000CB040000}">
      <text>
        <r>
          <rPr>
            <b/>
            <sz val="9"/>
            <color indexed="81"/>
            <rFont val="Tahoma"/>
            <family val="2"/>
          </rPr>
          <t>Author:</t>
        </r>
        <r>
          <rPr>
            <sz val="9"/>
            <color indexed="81"/>
            <rFont val="Tahoma"/>
            <family val="2"/>
          </rPr>
          <t xml:space="preserve">
From Campion2024</t>
        </r>
      </text>
    </comment>
    <comment ref="AG77" authorId="0" shapeId="0" xr:uid="{00000000-0006-0000-0000-0000CC040000}">
      <text>
        <r>
          <rPr>
            <b/>
            <sz val="9"/>
            <color indexed="81"/>
            <rFont val="Tahoma"/>
            <family val="2"/>
          </rPr>
          <t>Author:</t>
        </r>
        <r>
          <rPr>
            <sz val="9"/>
            <color indexed="81"/>
            <rFont val="Tahoma"/>
            <family val="2"/>
          </rPr>
          <t xml:space="preserve">
From Campion2024</t>
        </r>
      </text>
    </comment>
    <comment ref="AH77" authorId="0" shapeId="0" xr:uid="{00000000-0006-0000-0000-0000CD040000}">
      <text>
        <r>
          <rPr>
            <b/>
            <sz val="9"/>
            <color indexed="81"/>
            <rFont val="Tahoma"/>
            <family val="2"/>
          </rPr>
          <t>Author:</t>
        </r>
        <r>
          <rPr>
            <sz val="9"/>
            <color indexed="81"/>
            <rFont val="Tahoma"/>
            <family val="2"/>
          </rPr>
          <t xml:space="preserve">
From Campion2024</t>
        </r>
      </text>
    </comment>
    <comment ref="AI77" authorId="0" shapeId="0" xr:uid="{00000000-0006-0000-0000-0000CE040000}">
      <text>
        <r>
          <rPr>
            <b/>
            <sz val="9"/>
            <color indexed="81"/>
            <rFont val="Tahoma"/>
            <family val="2"/>
          </rPr>
          <t>Author:</t>
        </r>
        <r>
          <rPr>
            <sz val="9"/>
            <color indexed="81"/>
            <rFont val="Tahoma"/>
            <family val="2"/>
          </rPr>
          <t xml:space="preserve">
From Campion2024</t>
        </r>
      </text>
    </comment>
    <comment ref="AJ77" authorId="0" shapeId="0" xr:uid="{00000000-0006-0000-0000-0000CF040000}">
      <text>
        <r>
          <rPr>
            <b/>
            <sz val="9"/>
            <color indexed="81"/>
            <rFont val="Tahoma"/>
            <family val="2"/>
          </rPr>
          <t>Author:</t>
        </r>
        <r>
          <rPr>
            <sz val="9"/>
            <color indexed="81"/>
            <rFont val="Tahoma"/>
            <family val="2"/>
          </rPr>
          <t xml:space="preserve">
From Campion2024</t>
        </r>
      </text>
    </comment>
    <comment ref="AK77" authorId="0" shapeId="0" xr:uid="{00000000-0006-0000-0000-0000D0040000}">
      <text>
        <r>
          <rPr>
            <b/>
            <sz val="9"/>
            <color indexed="81"/>
            <rFont val="Tahoma"/>
            <family val="2"/>
          </rPr>
          <t>Author:</t>
        </r>
        <r>
          <rPr>
            <sz val="9"/>
            <color indexed="81"/>
            <rFont val="Tahoma"/>
            <family val="2"/>
          </rPr>
          <t xml:space="preserve">
From Campion2024</t>
        </r>
      </text>
    </comment>
    <comment ref="AL77" authorId="0" shapeId="0" xr:uid="{00000000-0006-0000-0000-0000D1040000}">
      <text>
        <r>
          <rPr>
            <b/>
            <sz val="9"/>
            <color indexed="81"/>
            <rFont val="Tahoma"/>
            <family val="2"/>
          </rPr>
          <t>Author:</t>
        </r>
        <r>
          <rPr>
            <sz val="9"/>
            <color indexed="81"/>
            <rFont val="Tahoma"/>
            <family val="2"/>
          </rPr>
          <t xml:space="preserve">
From Campion2024</t>
        </r>
      </text>
    </comment>
    <comment ref="AM77" authorId="0" shapeId="0" xr:uid="{00000000-0006-0000-0000-0000D2040000}">
      <text>
        <r>
          <rPr>
            <b/>
            <sz val="9"/>
            <color indexed="81"/>
            <rFont val="Tahoma"/>
            <family val="2"/>
          </rPr>
          <t>Author:</t>
        </r>
        <r>
          <rPr>
            <sz val="9"/>
            <color indexed="81"/>
            <rFont val="Tahoma"/>
            <family val="2"/>
          </rPr>
          <t xml:space="preserve">
From Campion2024</t>
        </r>
      </text>
    </comment>
    <comment ref="AN77" authorId="0" shapeId="0" xr:uid="{00000000-0006-0000-0000-0000D3040000}">
      <text>
        <r>
          <rPr>
            <b/>
            <sz val="9"/>
            <color indexed="81"/>
            <rFont val="Tahoma"/>
            <family val="2"/>
          </rPr>
          <t>Author:</t>
        </r>
        <r>
          <rPr>
            <sz val="9"/>
            <color indexed="81"/>
            <rFont val="Tahoma"/>
            <family val="2"/>
          </rPr>
          <t xml:space="preserve">
From Campion2024</t>
        </r>
      </text>
    </comment>
    <comment ref="AO77" authorId="0" shapeId="0" xr:uid="{00000000-0006-0000-0000-0000D4040000}">
      <text>
        <r>
          <rPr>
            <b/>
            <sz val="9"/>
            <color indexed="81"/>
            <rFont val="Tahoma"/>
            <family val="2"/>
          </rPr>
          <t>Author:</t>
        </r>
        <r>
          <rPr>
            <sz val="9"/>
            <color indexed="81"/>
            <rFont val="Tahoma"/>
            <family val="2"/>
          </rPr>
          <t xml:space="preserve">
From Campion2024</t>
        </r>
      </text>
    </comment>
    <comment ref="AP77" authorId="0" shapeId="0" xr:uid="{00000000-0006-0000-0000-0000D5040000}">
      <text>
        <r>
          <rPr>
            <b/>
            <sz val="9"/>
            <color indexed="81"/>
            <rFont val="Tahoma"/>
            <family val="2"/>
          </rPr>
          <t>Author:</t>
        </r>
        <r>
          <rPr>
            <sz val="9"/>
            <color indexed="81"/>
            <rFont val="Tahoma"/>
            <family val="2"/>
          </rPr>
          <t xml:space="preserve">
From Campion2024</t>
        </r>
      </text>
    </comment>
    <comment ref="AQ77" authorId="0" shapeId="0" xr:uid="{00000000-0006-0000-0000-0000D6040000}">
      <text>
        <r>
          <rPr>
            <b/>
            <sz val="9"/>
            <color indexed="81"/>
            <rFont val="Tahoma"/>
            <family val="2"/>
          </rPr>
          <t>Author:</t>
        </r>
        <r>
          <rPr>
            <sz val="9"/>
            <color indexed="81"/>
            <rFont val="Tahoma"/>
            <family val="2"/>
          </rPr>
          <t xml:space="preserve">
From Campion2024</t>
        </r>
      </text>
    </comment>
    <comment ref="AR77" authorId="0" shapeId="0" xr:uid="{00000000-0006-0000-0000-0000D7040000}">
      <text>
        <r>
          <rPr>
            <b/>
            <sz val="9"/>
            <color indexed="81"/>
            <rFont val="Tahoma"/>
            <family val="2"/>
          </rPr>
          <t>Author:</t>
        </r>
        <r>
          <rPr>
            <sz val="9"/>
            <color indexed="81"/>
            <rFont val="Tahoma"/>
            <family val="2"/>
          </rPr>
          <t xml:space="preserve">
From Campion2024</t>
        </r>
      </text>
    </comment>
    <comment ref="AS77" authorId="0" shapeId="0" xr:uid="{00000000-0006-0000-0000-0000D8040000}">
      <text>
        <r>
          <rPr>
            <b/>
            <sz val="9"/>
            <color indexed="81"/>
            <rFont val="Tahoma"/>
            <family val="2"/>
          </rPr>
          <t>Author:</t>
        </r>
        <r>
          <rPr>
            <sz val="9"/>
            <color indexed="81"/>
            <rFont val="Tahoma"/>
            <family val="2"/>
          </rPr>
          <t xml:space="preserve">
From Campion2024</t>
        </r>
      </text>
    </comment>
    <comment ref="AT77" authorId="0" shapeId="0" xr:uid="{00000000-0006-0000-0000-0000D9040000}">
      <text>
        <r>
          <rPr>
            <b/>
            <sz val="9"/>
            <color indexed="81"/>
            <rFont val="Tahoma"/>
            <family val="2"/>
          </rPr>
          <t>Author:</t>
        </r>
        <r>
          <rPr>
            <sz val="9"/>
            <color indexed="81"/>
            <rFont val="Tahoma"/>
            <family val="2"/>
          </rPr>
          <t xml:space="preserve">
From Campion2024</t>
        </r>
      </text>
    </comment>
    <comment ref="AU77" authorId="0" shapeId="0" xr:uid="{00000000-0006-0000-0000-0000DA040000}">
      <text>
        <r>
          <rPr>
            <b/>
            <sz val="9"/>
            <color indexed="81"/>
            <rFont val="Tahoma"/>
            <family val="2"/>
          </rPr>
          <t>Author:</t>
        </r>
        <r>
          <rPr>
            <sz val="9"/>
            <color indexed="81"/>
            <rFont val="Tahoma"/>
            <family val="2"/>
          </rPr>
          <t xml:space="preserve">
From Campion2024</t>
        </r>
      </text>
    </comment>
    <comment ref="AV77" authorId="0" shapeId="0" xr:uid="{00000000-0006-0000-0000-0000DB040000}">
      <text>
        <r>
          <rPr>
            <b/>
            <sz val="9"/>
            <color indexed="81"/>
            <rFont val="Tahoma"/>
            <family val="2"/>
          </rPr>
          <t>Author:</t>
        </r>
        <r>
          <rPr>
            <sz val="9"/>
            <color indexed="81"/>
            <rFont val="Tahoma"/>
            <family val="2"/>
          </rPr>
          <t xml:space="preserve">
From Campion2024</t>
        </r>
      </text>
    </comment>
    <comment ref="AW77" authorId="0" shapeId="0" xr:uid="{00000000-0006-0000-0000-0000DC040000}">
      <text>
        <r>
          <rPr>
            <b/>
            <sz val="9"/>
            <color indexed="81"/>
            <rFont val="Tahoma"/>
            <family val="2"/>
          </rPr>
          <t>Author:</t>
        </r>
        <r>
          <rPr>
            <sz val="9"/>
            <color indexed="81"/>
            <rFont val="Tahoma"/>
            <family val="2"/>
          </rPr>
          <t xml:space="preserve">
From Campion2024</t>
        </r>
      </text>
    </comment>
    <comment ref="AX77" authorId="0" shapeId="0" xr:uid="{00000000-0006-0000-0000-0000DD040000}">
      <text>
        <r>
          <rPr>
            <b/>
            <sz val="9"/>
            <color indexed="81"/>
            <rFont val="Tahoma"/>
            <family val="2"/>
          </rPr>
          <t>Author:</t>
        </r>
        <r>
          <rPr>
            <sz val="9"/>
            <color indexed="81"/>
            <rFont val="Tahoma"/>
            <family val="2"/>
          </rPr>
          <t xml:space="preserve">
From Campion2024</t>
        </r>
      </text>
    </comment>
    <comment ref="AY77" authorId="0" shapeId="0" xr:uid="{00000000-0006-0000-0000-0000DE040000}">
      <text>
        <r>
          <rPr>
            <b/>
            <sz val="9"/>
            <color indexed="81"/>
            <rFont val="Tahoma"/>
            <family val="2"/>
          </rPr>
          <t>Author:</t>
        </r>
        <r>
          <rPr>
            <sz val="9"/>
            <color indexed="81"/>
            <rFont val="Tahoma"/>
            <family val="2"/>
          </rPr>
          <t xml:space="preserve">
From Campion2024</t>
        </r>
      </text>
    </comment>
    <comment ref="AZ77" authorId="0" shapeId="0" xr:uid="{00000000-0006-0000-0000-0000DF040000}">
      <text>
        <r>
          <rPr>
            <b/>
            <sz val="9"/>
            <color indexed="81"/>
            <rFont val="Tahoma"/>
            <family val="2"/>
          </rPr>
          <t>Author:</t>
        </r>
        <r>
          <rPr>
            <sz val="9"/>
            <color indexed="81"/>
            <rFont val="Tahoma"/>
            <family val="2"/>
          </rPr>
          <t xml:space="preserve">
From Campion2024</t>
        </r>
      </text>
    </comment>
    <comment ref="BA77" authorId="0" shapeId="0" xr:uid="{00000000-0006-0000-0000-0000E0040000}">
      <text>
        <r>
          <rPr>
            <b/>
            <sz val="9"/>
            <color indexed="81"/>
            <rFont val="Tahoma"/>
            <family val="2"/>
          </rPr>
          <t>Author:</t>
        </r>
        <r>
          <rPr>
            <sz val="9"/>
            <color indexed="81"/>
            <rFont val="Tahoma"/>
            <family val="2"/>
          </rPr>
          <t xml:space="preserve">
From Campion2024</t>
        </r>
      </text>
    </comment>
    <comment ref="BB77" authorId="0" shapeId="0" xr:uid="{00000000-0006-0000-0000-0000E1040000}">
      <text>
        <r>
          <rPr>
            <b/>
            <sz val="9"/>
            <color indexed="81"/>
            <rFont val="Tahoma"/>
            <family val="2"/>
          </rPr>
          <t>Author:</t>
        </r>
        <r>
          <rPr>
            <sz val="9"/>
            <color indexed="81"/>
            <rFont val="Tahoma"/>
            <family val="2"/>
          </rPr>
          <t xml:space="preserve">
From Campion2024</t>
        </r>
      </text>
    </comment>
    <comment ref="BC77" authorId="0" shapeId="0" xr:uid="{00000000-0006-0000-0000-0000E2040000}">
      <text>
        <r>
          <rPr>
            <b/>
            <sz val="9"/>
            <color indexed="81"/>
            <rFont val="Tahoma"/>
            <family val="2"/>
          </rPr>
          <t>Author:</t>
        </r>
        <r>
          <rPr>
            <sz val="9"/>
            <color indexed="81"/>
            <rFont val="Tahoma"/>
            <family val="2"/>
          </rPr>
          <t xml:space="preserve">
From Campion2024</t>
        </r>
      </text>
    </comment>
    <comment ref="BD77" authorId="0" shapeId="0" xr:uid="{00000000-0006-0000-0000-0000E3040000}">
      <text>
        <r>
          <rPr>
            <b/>
            <sz val="9"/>
            <color indexed="81"/>
            <rFont val="Tahoma"/>
            <family val="2"/>
          </rPr>
          <t>Author:</t>
        </r>
        <r>
          <rPr>
            <sz val="9"/>
            <color indexed="81"/>
            <rFont val="Tahoma"/>
            <family val="2"/>
          </rPr>
          <t xml:space="preserve">
From Campion2024</t>
        </r>
      </text>
    </comment>
    <comment ref="BE77" authorId="0" shapeId="0" xr:uid="{00000000-0006-0000-0000-0000E4040000}">
      <text>
        <r>
          <rPr>
            <b/>
            <sz val="9"/>
            <color indexed="81"/>
            <rFont val="Tahoma"/>
            <family val="2"/>
          </rPr>
          <t>Author:</t>
        </r>
        <r>
          <rPr>
            <sz val="9"/>
            <color indexed="81"/>
            <rFont val="Tahoma"/>
            <family val="2"/>
          </rPr>
          <t xml:space="preserve">
From Campion2024</t>
        </r>
      </text>
    </comment>
    <comment ref="BR77" authorId="0" shapeId="0" xr:uid="{00000000-0006-0000-0000-0000E5040000}">
      <text>
        <r>
          <rPr>
            <b/>
            <sz val="9"/>
            <color indexed="81"/>
            <rFont val="Tahoma"/>
            <family val="2"/>
          </rPr>
          <t>Author:</t>
        </r>
        <r>
          <rPr>
            <sz val="9"/>
            <color indexed="81"/>
            <rFont val="Tahoma"/>
            <family val="2"/>
          </rPr>
          <t xml:space="preserve">
From Campion2024</t>
        </r>
      </text>
    </comment>
    <comment ref="BS77" authorId="0" shapeId="0" xr:uid="{00000000-0006-0000-0000-0000E6040000}">
      <text>
        <r>
          <rPr>
            <b/>
            <sz val="9"/>
            <color indexed="81"/>
            <rFont val="Tahoma"/>
            <family val="2"/>
          </rPr>
          <t>Author:</t>
        </r>
        <r>
          <rPr>
            <sz val="9"/>
            <color indexed="81"/>
            <rFont val="Tahoma"/>
            <family val="2"/>
          </rPr>
          <t xml:space="preserve">
From Campion2024</t>
        </r>
      </text>
    </comment>
    <comment ref="BT77" authorId="0" shapeId="0" xr:uid="{00000000-0006-0000-0000-0000E7040000}">
      <text>
        <r>
          <rPr>
            <b/>
            <sz val="9"/>
            <color indexed="81"/>
            <rFont val="Tahoma"/>
            <family val="2"/>
          </rPr>
          <t>Author:</t>
        </r>
        <r>
          <rPr>
            <sz val="9"/>
            <color indexed="81"/>
            <rFont val="Tahoma"/>
            <family val="2"/>
          </rPr>
          <t xml:space="preserve">
From Campion2024</t>
        </r>
      </text>
    </comment>
    <comment ref="BU77" authorId="0" shapeId="0" xr:uid="{00000000-0006-0000-0000-0000E8040000}">
      <text>
        <r>
          <rPr>
            <b/>
            <sz val="9"/>
            <color indexed="81"/>
            <rFont val="Tahoma"/>
            <family val="2"/>
          </rPr>
          <t>Author:</t>
        </r>
        <r>
          <rPr>
            <sz val="9"/>
            <color indexed="81"/>
            <rFont val="Tahoma"/>
            <family val="2"/>
          </rPr>
          <t xml:space="preserve">
From Campion2024</t>
        </r>
      </text>
    </comment>
    <comment ref="BV77" authorId="0" shapeId="0" xr:uid="{00000000-0006-0000-0000-0000E9040000}">
      <text>
        <r>
          <rPr>
            <b/>
            <sz val="9"/>
            <color indexed="81"/>
            <rFont val="Tahoma"/>
            <family val="2"/>
          </rPr>
          <t>Author:</t>
        </r>
        <r>
          <rPr>
            <sz val="9"/>
            <color indexed="81"/>
            <rFont val="Tahoma"/>
            <family val="2"/>
          </rPr>
          <t xml:space="preserve">
From Campion2024</t>
        </r>
      </text>
    </comment>
    <comment ref="BW77" authorId="0" shapeId="0" xr:uid="{00000000-0006-0000-0000-0000EA040000}">
      <text>
        <r>
          <rPr>
            <b/>
            <sz val="9"/>
            <color indexed="81"/>
            <rFont val="Tahoma"/>
            <family val="2"/>
          </rPr>
          <t>Author:</t>
        </r>
        <r>
          <rPr>
            <sz val="9"/>
            <color indexed="81"/>
            <rFont val="Tahoma"/>
            <family val="2"/>
          </rPr>
          <t xml:space="preserve">
From Campion2024</t>
        </r>
      </text>
    </comment>
    <comment ref="BX77" authorId="0" shapeId="0" xr:uid="{00000000-0006-0000-0000-0000EB040000}">
      <text>
        <r>
          <rPr>
            <b/>
            <sz val="9"/>
            <color indexed="81"/>
            <rFont val="Tahoma"/>
            <family val="2"/>
          </rPr>
          <t>Author:</t>
        </r>
        <r>
          <rPr>
            <sz val="9"/>
            <color indexed="81"/>
            <rFont val="Tahoma"/>
            <family val="2"/>
          </rPr>
          <t xml:space="preserve">
From Campion2024</t>
        </r>
      </text>
    </comment>
    <comment ref="BY77" authorId="0" shapeId="0" xr:uid="{00000000-0006-0000-0000-0000EC040000}">
      <text>
        <r>
          <rPr>
            <b/>
            <sz val="9"/>
            <color indexed="81"/>
            <rFont val="Tahoma"/>
            <family val="2"/>
          </rPr>
          <t>Author:</t>
        </r>
        <r>
          <rPr>
            <sz val="9"/>
            <color indexed="81"/>
            <rFont val="Tahoma"/>
            <family val="2"/>
          </rPr>
          <t xml:space="preserve">
From Campion2024</t>
        </r>
      </text>
    </comment>
    <comment ref="BZ77" authorId="0" shapeId="0" xr:uid="{00000000-0006-0000-0000-0000ED040000}">
      <text>
        <r>
          <rPr>
            <b/>
            <sz val="9"/>
            <color indexed="81"/>
            <rFont val="Tahoma"/>
            <family val="2"/>
          </rPr>
          <t>Author:</t>
        </r>
        <r>
          <rPr>
            <sz val="9"/>
            <color indexed="81"/>
            <rFont val="Tahoma"/>
            <family val="2"/>
          </rPr>
          <t xml:space="preserve">
From Campion2024</t>
        </r>
      </text>
    </comment>
    <comment ref="CA77" authorId="0" shapeId="0" xr:uid="{00000000-0006-0000-0000-0000EE040000}">
      <text>
        <r>
          <rPr>
            <b/>
            <sz val="9"/>
            <color indexed="81"/>
            <rFont val="Tahoma"/>
            <family val="2"/>
          </rPr>
          <t>Author:</t>
        </r>
        <r>
          <rPr>
            <sz val="9"/>
            <color indexed="81"/>
            <rFont val="Tahoma"/>
            <family val="2"/>
          </rPr>
          <t xml:space="preserve">
From Campion2024</t>
        </r>
      </text>
    </comment>
    <comment ref="CB77" authorId="0" shapeId="0" xr:uid="{00000000-0006-0000-0000-0000EF040000}">
      <text>
        <r>
          <rPr>
            <b/>
            <sz val="9"/>
            <color indexed="81"/>
            <rFont val="Tahoma"/>
            <family val="2"/>
          </rPr>
          <t>Author:</t>
        </r>
        <r>
          <rPr>
            <sz val="9"/>
            <color indexed="81"/>
            <rFont val="Tahoma"/>
            <family val="2"/>
          </rPr>
          <t xml:space="preserve">
From Campion2024</t>
        </r>
      </text>
    </comment>
    <comment ref="CC77" authorId="0" shapeId="0" xr:uid="{00000000-0006-0000-0000-0000F0040000}">
      <text>
        <r>
          <rPr>
            <b/>
            <sz val="9"/>
            <color indexed="81"/>
            <rFont val="Tahoma"/>
            <family val="2"/>
          </rPr>
          <t>Author:</t>
        </r>
        <r>
          <rPr>
            <sz val="9"/>
            <color indexed="81"/>
            <rFont val="Tahoma"/>
            <family val="2"/>
          </rPr>
          <t xml:space="preserve">
From Campion2024</t>
        </r>
      </text>
    </comment>
    <comment ref="BB78" authorId="0" shapeId="0" xr:uid="{00000000-0006-0000-0000-0000F1040000}">
      <text>
        <r>
          <rPr>
            <b/>
            <sz val="9"/>
            <color indexed="81"/>
            <rFont val="Tahoma"/>
            <family val="2"/>
          </rPr>
          <t>Author:</t>
        </r>
        <r>
          <rPr>
            <sz val="9"/>
            <color indexed="81"/>
            <rFont val="Tahoma"/>
            <family val="2"/>
          </rPr>
          <t xml:space="preserve">
From Campion2023</t>
        </r>
      </text>
    </comment>
    <comment ref="BC78" authorId="0" shapeId="0" xr:uid="{00000000-0006-0000-0000-0000F2040000}">
      <text>
        <r>
          <rPr>
            <b/>
            <sz val="9"/>
            <color indexed="81"/>
            <rFont val="Tahoma"/>
            <family val="2"/>
          </rPr>
          <t>Author:</t>
        </r>
        <r>
          <rPr>
            <sz val="9"/>
            <color indexed="81"/>
            <rFont val="Tahoma"/>
            <family val="2"/>
          </rPr>
          <t xml:space="preserve">
From Campion2023</t>
        </r>
      </text>
    </comment>
    <comment ref="BD78" authorId="0" shapeId="0" xr:uid="{00000000-0006-0000-0000-0000F3040000}">
      <text>
        <r>
          <rPr>
            <b/>
            <sz val="9"/>
            <color indexed="81"/>
            <rFont val="Tahoma"/>
            <family val="2"/>
          </rPr>
          <t>Author:</t>
        </r>
        <r>
          <rPr>
            <sz val="9"/>
            <color indexed="81"/>
            <rFont val="Tahoma"/>
            <family val="2"/>
          </rPr>
          <t xml:space="preserve">
From Campion2023</t>
        </r>
      </text>
    </comment>
    <comment ref="BE78" authorId="0" shapeId="0" xr:uid="{00000000-0006-0000-0000-0000F4040000}">
      <text>
        <r>
          <rPr>
            <b/>
            <sz val="9"/>
            <color indexed="81"/>
            <rFont val="Tahoma"/>
            <family val="2"/>
          </rPr>
          <t>Author:</t>
        </r>
        <r>
          <rPr>
            <sz val="9"/>
            <color indexed="81"/>
            <rFont val="Tahoma"/>
            <family val="2"/>
          </rPr>
          <t xml:space="preserve">
From Campion2023</t>
        </r>
      </text>
    </comment>
    <comment ref="AP80" authorId="0" shapeId="0" xr:uid="{00000000-0006-0000-0000-0000F5040000}">
      <text>
        <r>
          <rPr>
            <b/>
            <sz val="9"/>
            <color indexed="81"/>
            <rFont val="Tahoma"/>
            <family val="2"/>
          </rPr>
          <t>Author:</t>
        </r>
        <r>
          <rPr>
            <sz val="9"/>
            <color indexed="81"/>
            <rFont val="Tahoma"/>
            <family val="2"/>
          </rPr>
          <t xml:space="preserve">
From Marin2023</t>
        </r>
      </text>
    </comment>
    <comment ref="AQ80" authorId="0" shapeId="0" xr:uid="{00000000-0006-0000-0000-0000F6040000}">
      <text>
        <r>
          <rPr>
            <b/>
            <sz val="9"/>
            <color indexed="81"/>
            <rFont val="Tahoma"/>
            <family val="2"/>
          </rPr>
          <t>Author:</t>
        </r>
        <r>
          <rPr>
            <sz val="9"/>
            <color indexed="81"/>
            <rFont val="Tahoma"/>
            <family val="2"/>
          </rPr>
          <t xml:space="preserve">
From Marin2023</t>
        </r>
      </text>
    </comment>
    <comment ref="AR80" authorId="0" shapeId="0" xr:uid="{00000000-0006-0000-0000-0000F7040000}">
      <text>
        <r>
          <rPr>
            <b/>
            <sz val="9"/>
            <color indexed="81"/>
            <rFont val="Tahoma"/>
            <family val="2"/>
          </rPr>
          <t>Author:</t>
        </r>
        <r>
          <rPr>
            <sz val="9"/>
            <color indexed="81"/>
            <rFont val="Tahoma"/>
            <family val="2"/>
          </rPr>
          <t xml:space="preserve">
From Marin2023</t>
        </r>
      </text>
    </comment>
    <comment ref="AS80" authorId="0" shapeId="0" xr:uid="{00000000-0006-0000-0000-0000F8040000}">
      <text>
        <r>
          <rPr>
            <b/>
            <sz val="9"/>
            <color indexed="81"/>
            <rFont val="Tahoma"/>
            <family val="2"/>
          </rPr>
          <t>Author:</t>
        </r>
        <r>
          <rPr>
            <sz val="9"/>
            <color indexed="81"/>
            <rFont val="Tahoma"/>
            <family val="2"/>
          </rPr>
          <t xml:space="preserve">
From Marin2023</t>
        </r>
      </text>
    </comment>
    <comment ref="AP81" authorId="0" shapeId="0" xr:uid="{00000000-0006-0000-0000-0000F9040000}">
      <text>
        <r>
          <rPr>
            <b/>
            <sz val="9"/>
            <color indexed="81"/>
            <rFont val="Tahoma"/>
            <family val="2"/>
          </rPr>
          <t>Author:</t>
        </r>
        <r>
          <rPr>
            <sz val="9"/>
            <color indexed="81"/>
            <rFont val="Tahoma"/>
            <family val="2"/>
          </rPr>
          <t xml:space="preserve">
From Marin2023</t>
        </r>
      </text>
    </comment>
    <comment ref="AQ81" authorId="0" shapeId="0" xr:uid="{00000000-0006-0000-0000-0000FA040000}">
      <text>
        <r>
          <rPr>
            <b/>
            <sz val="9"/>
            <color indexed="81"/>
            <rFont val="Tahoma"/>
            <family val="2"/>
          </rPr>
          <t>Author:</t>
        </r>
        <r>
          <rPr>
            <sz val="9"/>
            <color indexed="81"/>
            <rFont val="Tahoma"/>
            <family val="2"/>
          </rPr>
          <t xml:space="preserve">
From Marin2023</t>
        </r>
      </text>
    </comment>
    <comment ref="AR81" authorId="0" shapeId="0" xr:uid="{00000000-0006-0000-0000-0000FB040000}">
      <text>
        <r>
          <rPr>
            <b/>
            <sz val="9"/>
            <color indexed="81"/>
            <rFont val="Tahoma"/>
            <family val="2"/>
          </rPr>
          <t>Author:</t>
        </r>
        <r>
          <rPr>
            <sz val="9"/>
            <color indexed="81"/>
            <rFont val="Tahoma"/>
            <family val="2"/>
          </rPr>
          <t xml:space="preserve">
From Marin2023</t>
        </r>
      </text>
    </comment>
    <comment ref="AS81" authorId="0" shapeId="0" xr:uid="{00000000-0006-0000-0000-0000FC040000}">
      <text>
        <r>
          <rPr>
            <b/>
            <sz val="9"/>
            <color indexed="81"/>
            <rFont val="Tahoma"/>
            <family val="2"/>
          </rPr>
          <t>Author:</t>
        </r>
        <r>
          <rPr>
            <sz val="9"/>
            <color indexed="81"/>
            <rFont val="Tahoma"/>
            <family val="2"/>
          </rPr>
          <t xml:space="preserve">
From Marin2023</t>
        </r>
      </text>
    </comment>
    <comment ref="AD82" authorId="0" shapeId="0" xr:uid="{00000000-0006-0000-0000-0000FD040000}">
      <text>
        <r>
          <rPr>
            <b/>
            <sz val="9"/>
            <color indexed="81"/>
            <rFont val="Tahoma"/>
            <family val="2"/>
          </rPr>
          <t>Author:</t>
        </r>
        <r>
          <rPr>
            <sz val="9"/>
            <color indexed="81"/>
            <rFont val="Tahoma"/>
            <family val="2"/>
          </rPr>
          <t xml:space="preserve">
From Marin2023</t>
        </r>
      </text>
    </comment>
    <comment ref="AE82" authorId="0" shapeId="0" xr:uid="{00000000-0006-0000-0000-0000FE040000}">
      <text>
        <r>
          <rPr>
            <b/>
            <sz val="9"/>
            <color indexed="81"/>
            <rFont val="Tahoma"/>
            <family val="2"/>
          </rPr>
          <t>Author:</t>
        </r>
        <r>
          <rPr>
            <sz val="9"/>
            <color indexed="81"/>
            <rFont val="Tahoma"/>
            <family val="2"/>
          </rPr>
          <t xml:space="preserve">
From Marin2023</t>
        </r>
      </text>
    </comment>
    <comment ref="AF82" authorId="0" shapeId="0" xr:uid="{00000000-0006-0000-0000-0000FF040000}">
      <text>
        <r>
          <rPr>
            <b/>
            <sz val="9"/>
            <color indexed="81"/>
            <rFont val="Tahoma"/>
            <family val="2"/>
          </rPr>
          <t>Author:</t>
        </r>
        <r>
          <rPr>
            <sz val="9"/>
            <color indexed="81"/>
            <rFont val="Tahoma"/>
            <family val="2"/>
          </rPr>
          <t xml:space="preserve">
From Marin2023</t>
        </r>
      </text>
    </comment>
    <comment ref="AG82" authorId="0" shapeId="0" xr:uid="{00000000-0006-0000-0000-000000050000}">
      <text>
        <r>
          <rPr>
            <b/>
            <sz val="9"/>
            <color indexed="81"/>
            <rFont val="Tahoma"/>
            <family val="2"/>
          </rPr>
          <t>Author:</t>
        </r>
        <r>
          <rPr>
            <sz val="9"/>
            <color indexed="81"/>
            <rFont val="Tahoma"/>
            <family val="2"/>
          </rPr>
          <t xml:space="preserve">
From Marin2023</t>
        </r>
      </text>
    </comment>
    <comment ref="AH82" authorId="0" shapeId="0" xr:uid="{00000000-0006-0000-0000-000001050000}">
      <text>
        <r>
          <rPr>
            <b/>
            <sz val="9"/>
            <color indexed="81"/>
            <rFont val="Tahoma"/>
            <family val="2"/>
          </rPr>
          <t>Author:</t>
        </r>
        <r>
          <rPr>
            <sz val="9"/>
            <color indexed="81"/>
            <rFont val="Tahoma"/>
            <family val="2"/>
          </rPr>
          <t xml:space="preserve">
From Marin2023</t>
        </r>
      </text>
    </comment>
    <comment ref="AI82" authorId="0" shapeId="0" xr:uid="{00000000-0006-0000-0000-000002050000}">
      <text>
        <r>
          <rPr>
            <b/>
            <sz val="9"/>
            <color indexed="81"/>
            <rFont val="Tahoma"/>
            <family val="2"/>
          </rPr>
          <t>Author:</t>
        </r>
        <r>
          <rPr>
            <sz val="9"/>
            <color indexed="81"/>
            <rFont val="Tahoma"/>
            <family val="2"/>
          </rPr>
          <t xml:space="preserve">
From Marin2023</t>
        </r>
      </text>
    </comment>
    <comment ref="AJ82" authorId="0" shapeId="0" xr:uid="{00000000-0006-0000-0000-000003050000}">
      <text>
        <r>
          <rPr>
            <b/>
            <sz val="9"/>
            <color indexed="81"/>
            <rFont val="Tahoma"/>
            <family val="2"/>
          </rPr>
          <t>Author:</t>
        </r>
        <r>
          <rPr>
            <sz val="9"/>
            <color indexed="81"/>
            <rFont val="Tahoma"/>
            <family val="2"/>
          </rPr>
          <t xml:space="preserve">
From Marin2023</t>
        </r>
      </text>
    </comment>
    <comment ref="AK82" authorId="0" shapeId="0" xr:uid="{00000000-0006-0000-0000-000004050000}">
      <text>
        <r>
          <rPr>
            <b/>
            <sz val="9"/>
            <color indexed="81"/>
            <rFont val="Tahoma"/>
            <family val="2"/>
          </rPr>
          <t>Author:</t>
        </r>
        <r>
          <rPr>
            <sz val="9"/>
            <color indexed="81"/>
            <rFont val="Tahoma"/>
            <family val="2"/>
          </rPr>
          <t xml:space="preserve">
From Marin2023</t>
        </r>
      </text>
    </comment>
    <comment ref="AL82" authorId="0" shapeId="0" xr:uid="{00000000-0006-0000-0000-000005050000}">
      <text>
        <r>
          <rPr>
            <b/>
            <sz val="9"/>
            <color indexed="81"/>
            <rFont val="Tahoma"/>
            <family val="2"/>
          </rPr>
          <t>Author:</t>
        </r>
        <r>
          <rPr>
            <sz val="9"/>
            <color indexed="81"/>
            <rFont val="Tahoma"/>
            <family val="2"/>
          </rPr>
          <t xml:space="preserve">
From Marin2023</t>
        </r>
      </text>
    </comment>
    <comment ref="AM82" authorId="0" shapeId="0" xr:uid="{00000000-0006-0000-0000-000006050000}">
      <text>
        <r>
          <rPr>
            <b/>
            <sz val="9"/>
            <color indexed="81"/>
            <rFont val="Tahoma"/>
            <family val="2"/>
          </rPr>
          <t>Author:</t>
        </r>
        <r>
          <rPr>
            <sz val="9"/>
            <color indexed="81"/>
            <rFont val="Tahoma"/>
            <family val="2"/>
          </rPr>
          <t xml:space="preserve">
From Marin2023</t>
        </r>
      </text>
    </comment>
    <comment ref="AN82" authorId="0" shapeId="0" xr:uid="{00000000-0006-0000-0000-000007050000}">
      <text>
        <r>
          <rPr>
            <b/>
            <sz val="9"/>
            <color indexed="81"/>
            <rFont val="Tahoma"/>
            <family val="2"/>
          </rPr>
          <t>Author:</t>
        </r>
        <r>
          <rPr>
            <sz val="9"/>
            <color indexed="81"/>
            <rFont val="Tahoma"/>
            <family val="2"/>
          </rPr>
          <t xml:space="preserve">
From Marin2023</t>
        </r>
      </text>
    </comment>
    <comment ref="AO82" authorId="0" shapeId="0" xr:uid="{00000000-0006-0000-0000-000008050000}">
      <text>
        <r>
          <rPr>
            <b/>
            <sz val="9"/>
            <color indexed="81"/>
            <rFont val="Tahoma"/>
            <family val="2"/>
          </rPr>
          <t>Author:</t>
        </r>
        <r>
          <rPr>
            <sz val="9"/>
            <color indexed="81"/>
            <rFont val="Tahoma"/>
            <family val="2"/>
          </rPr>
          <t xml:space="preserve">
From Marin2023</t>
        </r>
      </text>
    </comment>
    <comment ref="AP82" authorId="0" shapeId="0" xr:uid="{00000000-0006-0000-0000-000009050000}">
      <text>
        <r>
          <rPr>
            <b/>
            <sz val="9"/>
            <color indexed="81"/>
            <rFont val="Tahoma"/>
            <family val="2"/>
          </rPr>
          <t>Author:</t>
        </r>
        <r>
          <rPr>
            <sz val="9"/>
            <color indexed="81"/>
            <rFont val="Tahoma"/>
            <family val="2"/>
          </rPr>
          <t xml:space="preserve">
From Marin2023</t>
        </r>
      </text>
    </comment>
    <comment ref="AQ82" authorId="0" shapeId="0" xr:uid="{00000000-0006-0000-0000-00000A050000}">
      <text>
        <r>
          <rPr>
            <b/>
            <sz val="9"/>
            <color indexed="81"/>
            <rFont val="Tahoma"/>
            <family val="2"/>
          </rPr>
          <t>Author:</t>
        </r>
        <r>
          <rPr>
            <sz val="9"/>
            <color indexed="81"/>
            <rFont val="Tahoma"/>
            <family val="2"/>
          </rPr>
          <t xml:space="preserve">
From Marin2023</t>
        </r>
      </text>
    </comment>
    <comment ref="AR82" authorId="0" shapeId="0" xr:uid="{00000000-0006-0000-0000-00000B050000}">
      <text>
        <r>
          <rPr>
            <b/>
            <sz val="9"/>
            <color indexed="81"/>
            <rFont val="Tahoma"/>
            <family val="2"/>
          </rPr>
          <t>Author:</t>
        </r>
        <r>
          <rPr>
            <sz val="9"/>
            <color indexed="81"/>
            <rFont val="Tahoma"/>
            <family val="2"/>
          </rPr>
          <t xml:space="preserve">
From Marin2023</t>
        </r>
      </text>
    </comment>
    <comment ref="AS82" authorId="0" shapeId="0" xr:uid="{00000000-0006-0000-0000-00000C050000}">
      <text>
        <r>
          <rPr>
            <b/>
            <sz val="9"/>
            <color indexed="81"/>
            <rFont val="Tahoma"/>
            <family val="2"/>
          </rPr>
          <t>Author:</t>
        </r>
        <r>
          <rPr>
            <sz val="9"/>
            <color indexed="81"/>
            <rFont val="Tahoma"/>
            <family val="2"/>
          </rPr>
          <t xml:space="preserve">
From Marin2023</t>
        </r>
      </text>
    </comment>
    <comment ref="AT82" authorId="0" shapeId="0" xr:uid="{00000000-0006-0000-0000-00000D050000}">
      <text>
        <r>
          <rPr>
            <b/>
            <sz val="9"/>
            <color indexed="81"/>
            <rFont val="Tahoma"/>
            <family val="2"/>
          </rPr>
          <t>Author:</t>
        </r>
        <r>
          <rPr>
            <sz val="9"/>
            <color indexed="81"/>
            <rFont val="Tahoma"/>
            <family val="2"/>
          </rPr>
          <t xml:space="preserve">
From Marin2023</t>
        </r>
      </text>
    </comment>
    <comment ref="AU82" authorId="0" shapeId="0" xr:uid="{00000000-0006-0000-0000-00000E050000}">
      <text>
        <r>
          <rPr>
            <b/>
            <sz val="9"/>
            <color indexed="81"/>
            <rFont val="Tahoma"/>
            <family val="2"/>
          </rPr>
          <t>Author:</t>
        </r>
        <r>
          <rPr>
            <sz val="9"/>
            <color indexed="81"/>
            <rFont val="Tahoma"/>
            <family val="2"/>
          </rPr>
          <t xml:space="preserve">
From Marin2023</t>
        </r>
      </text>
    </comment>
    <comment ref="AV82" authorId="0" shapeId="0" xr:uid="{00000000-0006-0000-0000-00000F050000}">
      <text>
        <r>
          <rPr>
            <b/>
            <sz val="9"/>
            <color indexed="81"/>
            <rFont val="Tahoma"/>
            <family val="2"/>
          </rPr>
          <t>Author:</t>
        </r>
        <r>
          <rPr>
            <sz val="9"/>
            <color indexed="81"/>
            <rFont val="Tahoma"/>
            <family val="2"/>
          </rPr>
          <t xml:space="preserve">
From Marin2023</t>
        </r>
      </text>
    </comment>
    <comment ref="AW82" authorId="0" shapeId="0" xr:uid="{00000000-0006-0000-0000-000010050000}">
      <text>
        <r>
          <rPr>
            <b/>
            <sz val="9"/>
            <color indexed="81"/>
            <rFont val="Tahoma"/>
            <family val="2"/>
          </rPr>
          <t>Author:</t>
        </r>
        <r>
          <rPr>
            <sz val="9"/>
            <color indexed="81"/>
            <rFont val="Tahoma"/>
            <family val="2"/>
          </rPr>
          <t xml:space="preserve">
From Marin2023</t>
        </r>
      </text>
    </comment>
    <comment ref="AX82" authorId="0" shapeId="0" xr:uid="{00000000-0006-0000-0000-000011050000}">
      <text>
        <r>
          <rPr>
            <b/>
            <sz val="9"/>
            <color indexed="81"/>
            <rFont val="Tahoma"/>
            <family val="2"/>
          </rPr>
          <t>Author:</t>
        </r>
        <r>
          <rPr>
            <sz val="9"/>
            <color indexed="81"/>
            <rFont val="Tahoma"/>
            <family val="2"/>
          </rPr>
          <t xml:space="preserve">
From Marin2023</t>
        </r>
      </text>
    </comment>
    <comment ref="AY82" authorId="0" shapeId="0" xr:uid="{00000000-0006-0000-0000-000012050000}">
      <text>
        <r>
          <rPr>
            <b/>
            <sz val="9"/>
            <color indexed="81"/>
            <rFont val="Tahoma"/>
            <family val="2"/>
          </rPr>
          <t>Author:</t>
        </r>
        <r>
          <rPr>
            <sz val="9"/>
            <color indexed="81"/>
            <rFont val="Tahoma"/>
            <family val="2"/>
          </rPr>
          <t xml:space="preserve">
From Marin2023</t>
        </r>
      </text>
    </comment>
    <comment ref="AZ82" authorId="0" shapeId="0" xr:uid="{00000000-0006-0000-0000-000013050000}">
      <text>
        <r>
          <rPr>
            <b/>
            <sz val="9"/>
            <color indexed="81"/>
            <rFont val="Tahoma"/>
            <family val="2"/>
          </rPr>
          <t>Author:</t>
        </r>
        <r>
          <rPr>
            <sz val="9"/>
            <color indexed="81"/>
            <rFont val="Tahoma"/>
            <family val="2"/>
          </rPr>
          <t xml:space="preserve">
From Marin2023</t>
        </r>
      </text>
    </comment>
    <comment ref="BA82" authorId="0" shapeId="0" xr:uid="{00000000-0006-0000-0000-000014050000}">
      <text>
        <r>
          <rPr>
            <b/>
            <sz val="9"/>
            <color indexed="81"/>
            <rFont val="Tahoma"/>
            <family val="2"/>
          </rPr>
          <t>Author:</t>
        </r>
        <r>
          <rPr>
            <sz val="9"/>
            <color indexed="81"/>
            <rFont val="Tahoma"/>
            <family val="2"/>
          </rPr>
          <t xml:space="preserve">
From Marin2023</t>
        </r>
      </text>
    </comment>
    <comment ref="BB82" authorId="0" shapeId="0" xr:uid="{00000000-0006-0000-0000-000015050000}">
      <text>
        <r>
          <rPr>
            <b/>
            <sz val="9"/>
            <color indexed="81"/>
            <rFont val="Tahoma"/>
            <family val="2"/>
          </rPr>
          <t>Author:</t>
        </r>
        <r>
          <rPr>
            <sz val="9"/>
            <color indexed="81"/>
            <rFont val="Tahoma"/>
            <family val="2"/>
          </rPr>
          <t xml:space="preserve">
From Marin2023</t>
        </r>
      </text>
    </comment>
    <comment ref="BC82" authorId="0" shapeId="0" xr:uid="{00000000-0006-0000-0000-000016050000}">
      <text>
        <r>
          <rPr>
            <b/>
            <sz val="9"/>
            <color indexed="81"/>
            <rFont val="Tahoma"/>
            <family val="2"/>
          </rPr>
          <t>Author:</t>
        </r>
        <r>
          <rPr>
            <sz val="9"/>
            <color indexed="81"/>
            <rFont val="Tahoma"/>
            <family val="2"/>
          </rPr>
          <t xml:space="preserve">
From Marin2023</t>
        </r>
      </text>
    </comment>
    <comment ref="BD82" authorId="0" shapeId="0" xr:uid="{00000000-0006-0000-0000-000017050000}">
      <text>
        <r>
          <rPr>
            <b/>
            <sz val="9"/>
            <color indexed="81"/>
            <rFont val="Tahoma"/>
            <family val="2"/>
          </rPr>
          <t>Author:</t>
        </r>
        <r>
          <rPr>
            <sz val="9"/>
            <color indexed="81"/>
            <rFont val="Tahoma"/>
            <family val="2"/>
          </rPr>
          <t xml:space="preserve">
From Marin2023</t>
        </r>
      </text>
    </comment>
    <comment ref="BE82" authorId="0" shapeId="0" xr:uid="{00000000-0006-0000-0000-000018050000}">
      <text>
        <r>
          <rPr>
            <b/>
            <sz val="9"/>
            <color indexed="81"/>
            <rFont val="Tahoma"/>
            <family val="2"/>
          </rPr>
          <t>Author:</t>
        </r>
        <r>
          <rPr>
            <sz val="9"/>
            <color indexed="81"/>
            <rFont val="Tahoma"/>
            <family val="2"/>
          </rPr>
          <t xml:space="preserve">
From Marin2023</t>
        </r>
      </text>
    </comment>
    <comment ref="BK82" authorId="0" shapeId="0" xr:uid="{00000000-0006-0000-0000-000019050000}">
      <text>
        <r>
          <rPr>
            <b/>
            <sz val="9"/>
            <color indexed="81"/>
            <rFont val="Tahoma"/>
            <family val="2"/>
          </rPr>
          <t>Author:</t>
        </r>
        <r>
          <rPr>
            <sz val="9"/>
            <color indexed="81"/>
            <rFont val="Tahoma"/>
            <family val="2"/>
          </rPr>
          <t xml:space="preserve">
No CO2 formula here, check techno-eco file</t>
        </r>
      </text>
    </comment>
    <comment ref="BV82" authorId="0" shapeId="0" xr:uid="{00000000-0006-0000-0000-00001A050000}">
      <text>
        <r>
          <rPr>
            <b/>
            <sz val="9"/>
            <color indexed="81"/>
            <rFont val="Tahoma"/>
            <family val="2"/>
          </rPr>
          <t>Author:</t>
        </r>
        <r>
          <rPr>
            <sz val="9"/>
            <color indexed="81"/>
            <rFont val="Tahoma"/>
            <family val="2"/>
          </rPr>
          <t xml:space="preserve">
From Marin2023</t>
        </r>
      </text>
    </comment>
    <comment ref="BW82" authorId="0" shapeId="0" xr:uid="{00000000-0006-0000-0000-00001B050000}">
      <text>
        <r>
          <rPr>
            <b/>
            <sz val="9"/>
            <color indexed="81"/>
            <rFont val="Tahoma"/>
            <family val="2"/>
          </rPr>
          <t>Author:</t>
        </r>
        <r>
          <rPr>
            <sz val="9"/>
            <color indexed="81"/>
            <rFont val="Tahoma"/>
            <family val="2"/>
          </rPr>
          <t xml:space="preserve">
From Marin2023</t>
        </r>
      </text>
    </comment>
    <comment ref="BX82" authorId="0" shapeId="0" xr:uid="{00000000-0006-0000-0000-00001C050000}">
      <text>
        <r>
          <rPr>
            <b/>
            <sz val="9"/>
            <color indexed="81"/>
            <rFont val="Tahoma"/>
            <family val="2"/>
          </rPr>
          <t>Author:</t>
        </r>
        <r>
          <rPr>
            <sz val="9"/>
            <color indexed="81"/>
            <rFont val="Tahoma"/>
            <family val="2"/>
          </rPr>
          <t xml:space="preserve">
From Marin2023</t>
        </r>
      </text>
    </comment>
    <comment ref="BY82" authorId="0" shapeId="0" xr:uid="{00000000-0006-0000-0000-00001D050000}">
      <text>
        <r>
          <rPr>
            <b/>
            <sz val="9"/>
            <color indexed="81"/>
            <rFont val="Tahoma"/>
            <family val="2"/>
          </rPr>
          <t>Author:</t>
        </r>
        <r>
          <rPr>
            <sz val="9"/>
            <color indexed="81"/>
            <rFont val="Tahoma"/>
            <family val="2"/>
          </rPr>
          <t xml:space="preserve">
From Marin2023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00000000-0006-0000-0300-000001000000}">
      <text>
        <r>
          <rPr>
            <b/>
            <sz val="9"/>
            <color indexed="81"/>
            <rFont val="Tahoma"/>
            <family val="2"/>
          </rPr>
          <t>Author:</t>
        </r>
        <r>
          <rPr>
            <sz val="9"/>
            <color indexed="81"/>
            <rFont val="Tahoma"/>
            <family val="2"/>
          </rPr>
          <t xml:space="preserve">
Point Source</t>
        </r>
      </text>
    </comment>
    <comment ref="E3" authorId="0" shapeId="0" xr:uid="{00000000-0006-0000-0300-000002000000}">
      <text>
        <r>
          <rPr>
            <b/>
            <sz val="9"/>
            <color indexed="81"/>
            <rFont val="Tahoma"/>
            <family val="2"/>
          </rPr>
          <t>Author:</t>
        </r>
        <r>
          <rPr>
            <sz val="9"/>
            <color indexed="81"/>
            <rFont val="Tahoma"/>
            <family val="2"/>
          </rPr>
          <t xml:space="preserve">
Direct Air Capture</t>
        </r>
      </text>
    </comment>
  </commentList>
</comments>
</file>

<file path=xl/sharedStrings.xml><?xml version="1.0" encoding="utf-8"?>
<sst xmlns="http://schemas.openxmlformats.org/spreadsheetml/2006/main" count="3473" uniqueCount="482">
  <si>
    <t>Red: Don't change the name without changing the Julia code</t>
  </si>
  <si>
    <t>Parameters--&gt;</t>
  </si>
  <si>
    <t>Produced from</t>
  </si>
  <si>
    <t>H2 balance</t>
  </si>
  <si>
    <t>El balance</t>
  </si>
  <si>
    <t>Heat balance</t>
  </si>
  <si>
    <t>Max Capacity</t>
  </si>
  <si>
    <t>Subsets</t>
  </si>
  <si>
    <t>Subsets_2</t>
  </si>
  <si>
    <t>Type of units</t>
  </si>
  <si>
    <t>Line/Column index</t>
  </si>
  <si>
    <t>Non-electrical</t>
  </si>
  <si>
    <t>-</t>
  </si>
  <si>
    <t>PWL</t>
  </si>
  <si>
    <t>Stor_in</t>
  </si>
  <si>
    <t>Stor_out</t>
  </si>
  <si>
    <t>Tank</t>
  </si>
  <si>
    <t>Electrical</t>
  </si>
  <si>
    <t>PU_Grid_in</t>
  </si>
  <si>
    <t>Heat_in</t>
  </si>
  <si>
    <t>Heat_out</t>
  </si>
  <si>
    <t>Heat_buy</t>
  </si>
  <si>
    <t>Heat_sell</t>
  </si>
  <si>
    <t>Grid_buy</t>
  </si>
  <si>
    <t>Grid_sell</t>
  </si>
  <si>
    <t>Desalination plant</t>
  </si>
  <si>
    <t>Heat from district heating</t>
  </si>
  <si>
    <t>Heat sent to district heating</t>
  </si>
  <si>
    <t>Sale of oxygen</t>
  </si>
  <si>
    <t>H2 tank compressor</t>
  </si>
  <si>
    <t>H2 tank valve</t>
  </si>
  <si>
    <t>H2 tank</t>
  </si>
  <si>
    <t>Electricity from the grid</t>
  </si>
  <si>
    <t>Charge batteries</t>
  </si>
  <si>
    <t>Discharge batteries</t>
  </si>
  <si>
    <t>Batteries</t>
  </si>
  <si>
    <t>Solar fixed</t>
  </si>
  <si>
    <t>Solar tracking</t>
  </si>
  <si>
    <t>RPU_Solar_track</t>
  </si>
  <si>
    <t>RPU_Solar_fixed</t>
  </si>
  <si>
    <t>ON_SP198-HH150</t>
  </si>
  <si>
    <t>ON_SP237-HH100</t>
  </si>
  <si>
    <t>ON_SP237-HH150</t>
  </si>
  <si>
    <t>ON_SP277-HH100</t>
  </si>
  <si>
    <t>ON_SP277-HH150</t>
  </si>
  <si>
    <t>ON_SP321-HH100</t>
  </si>
  <si>
    <t>ON_SP321-HH150</t>
  </si>
  <si>
    <t>OFF_SP379-HH100</t>
  </si>
  <si>
    <t>OFF_SP379-HH150</t>
  </si>
  <si>
    <t>OFF_SP450-HH100</t>
  </si>
  <si>
    <t>CO2 capture DAC</t>
  </si>
  <si>
    <t>Fuel production rate (kg output/kg input)</t>
  </si>
  <si>
    <t>Heat generated (kWh/output)</t>
  </si>
  <si>
    <t>Load min (% of max capacity)</t>
  </si>
  <si>
    <t>Ramp up (% of capacity /h)</t>
  </si>
  <si>
    <t>Ramp down (% of capacity /h)</t>
  </si>
  <si>
    <t>Electrical consumption (kWh/output)</t>
  </si>
  <si>
    <t>CO2e process (kg CO2e/output)</t>
  </si>
  <si>
    <t>Annuity factor</t>
  </si>
  <si>
    <t>AEC</t>
  </si>
  <si>
    <t>DAC</t>
  </si>
  <si>
    <t>CO2 capture PS</t>
  </si>
  <si>
    <t>Parameter changed</t>
  </si>
  <si>
    <t>Year</t>
  </si>
  <si>
    <t>New value</t>
  </si>
  <si>
    <t>Old value</t>
  </si>
  <si>
    <t>Year--&gt;</t>
  </si>
  <si>
    <t>MeOH</t>
  </si>
  <si>
    <t>SOEC</t>
  </si>
  <si>
    <t>Scenario number</t>
  </si>
  <si>
    <t>Fuel</t>
  </si>
  <si>
    <t>Electrolyser</t>
  </si>
  <si>
    <t>Input data sheet</t>
  </si>
  <si>
    <t>Profile name</t>
  </si>
  <si>
    <t>Result folder name</t>
  </si>
  <si>
    <t>Max profit</t>
  </si>
  <si>
    <t>Demand</t>
  </si>
  <si>
    <t>Max capacity</t>
  </si>
  <si>
    <t>Ramping</t>
  </si>
  <si>
    <t>No negative elec price</t>
  </si>
  <si>
    <t>Connection limit</t>
  </si>
  <si>
    <t>Sold products</t>
  </si>
  <si>
    <t>Fuel cost</t>
  </si>
  <si>
    <t>Flows</t>
  </si>
  <si>
    <t>NH3</t>
  </si>
  <si>
    <t>CO2 capture</t>
  </si>
  <si>
    <t>None</t>
  </si>
  <si>
    <t>PS</t>
  </si>
  <si>
    <t>Hourly electricity sale</t>
  </si>
  <si>
    <t>Hourly heat sale</t>
  </si>
  <si>
    <t>Fixed heat sale</t>
  </si>
  <si>
    <t>Fixed oxygen sale</t>
  </si>
  <si>
    <t>O2_sell</t>
  </si>
  <si>
    <t>Used (1 or 0)</t>
  </si>
  <si>
    <t>CO2e infrastructure (kg CO2e/Capacity/y)</t>
  </si>
  <si>
    <t>All</t>
  </si>
  <si>
    <t>Product/Reactant1</t>
  </si>
  <si>
    <t>Product</t>
  </si>
  <si>
    <t>Product/Reactant3</t>
  </si>
  <si>
    <t>Year old value</t>
  </si>
  <si>
    <t>Year new value</t>
  </si>
  <si>
    <t>Type of units for change</t>
  </si>
  <si>
    <t>Scenario name definition</t>
  </si>
  <si>
    <t>Max profit TRUE doesn't work</t>
  </si>
  <si>
    <t>See Scenarios_definition</t>
  </si>
  <si>
    <t>Options available</t>
  </si>
  <si>
    <t>Any name</t>
  </si>
  <si>
    <t>Results to write</t>
  </si>
  <si>
    <t>Scenario</t>
  </si>
  <si>
    <t>Scenario name</t>
  </si>
  <si>
    <t>Name of the scenario in the output csv file</t>
  </si>
  <si>
    <t>H2 pipes compressor</t>
  </si>
  <si>
    <t>H2 pipes valve</t>
  </si>
  <si>
    <t>H2 buried pipes</t>
  </si>
  <si>
    <t>ON_SP198-HH100</t>
  </si>
  <si>
    <t>OFF_SP450-HH150</t>
  </si>
  <si>
    <t>CO2taxWTTop</t>
  </si>
  <si>
    <t>€/kg CO2</t>
  </si>
  <si>
    <t>CO2taxWTTup</t>
  </si>
  <si>
    <t>Min_demand_MainFuel</t>
  </si>
  <si>
    <t>Weight costs</t>
  </si>
  <si>
    <t>Objective function weight for costs</t>
  </si>
  <si>
    <t>Objective function weight for CO2 emissions</t>
  </si>
  <si>
    <t>Weight CO2e</t>
  </si>
  <si>
    <t>Year data</t>
  </si>
  <si>
    <t>Profile folder name</t>
  </si>
  <si>
    <t>Name of the excel file profile</t>
  </si>
  <si>
    <t>Folder name where the excel profile is</t>
  </si>
  <si>
    <t>Investment (EUR/Capacity installed)</t>
  </si>
  <si>
    <t>Fixed cost (EUR/Capacity installed/y)</t>
  </si>
  <si>
    <t>Fuel selling price (EUR/output)</t>
  </si>
  <si>
    <t>Reference scenario</t>
  </si>
  <si>
    <t>Changes also include the changes made in the reference scenario. If nothing is specified in the reference scenario column, changes are made compared to the input data sheet (i.e Data_base_case)</t>
  </si>
  <si>
    <t>Document type</t>
  </si>
  <si>
    <t>Title</t>
  </si>
  <si>
    <t>Reliability</t>
  </si>
  <si>
    <t xml:space="preserve">https://ens.dk/en/our-services/projections-and-models/technology-data/technology-data-generation-electricity-and </t>
  </si>
  <si>
    <t>https://doi.org/10.1038/s41560-020-00771-9</t>
  </si>
  <si>
    <t>https://www.iea.org/reports/world-energy-outlook-2020</t>
  </si>
  <si>
    <t>https://doi.org/10.1016/j.egypro.2017.03.1111</t>
  </si>
  <si>
    <t xml:space="preserve">https://www.nrel.gov/docs/fy04osti/35404.pdf </t>
  </si>
  <si>
    <t>https://www.nature.com/articles/s41558-021-01032-7</t>
  </si>
  <si>
    <t xml:space="preserve">https://www.cei.washington.edu/education/science-of-solar/battery-technology/ </t>
  </si>
  <si>
    <t xml:space="preserve">https://www.iea.org/reports/net-zero-by-2050 </t>
  </si>
  <si>
    <t xml:space="preserve">https://www.hydrogen.energy.gov/pdfs/progress13/xi_5_elgowainy_2013.pdf </t>
  </si>
  <si>
    <t xml:space="preserve">https://ens.dk/en/our-services/projections-and-models/technology-data/technology-data-industrial-process-heat-and </t>
  </si>
  <si>
    <t xml:space="preserve">https://www.sciencedirect.com/science/article/pii/B9781782423645000075 </t>
  </si>
  <si>
    <t xml:space="preserve">https://www.sciencedirect.com/science/article/pii/S0360319921030834 </t>
  </si>
  <si>
    <t xml:space="preserve">https://ens.dk/en/our-services/projections-and-models/technology-data/technology-data-renewable-fuels </t>
  </si>
  <si>
    <t xml:space="preserve">https://op.europa.eu/en/publication-detail/-/publication/1f55ca82-3451-11e6-969e-01aa75ed71a1/language-en </t>
  </si>
  <si>
    <t xml:space="preserve">https://www.nordicenergy.org/project/np2x/ </t>
  </si>
  <si>
    <t>Input references sheet</t>
  </si>
  <si>
    <t>Any data sheet name</t>
  </si>
  <si>
    <t>Link (doi is preferred)</t>
  </si>
  <si>
    <t xml:space="preserve">http://dx.doi.org/10.2139/ssrn.4154006 </t>
  </si>
  <si>
    <t>Main author</t>
  </si>
  <si>
    <t>https://ens.dk/en/our-services/projections-and-models/technology-data/technology-data-carbon-capture-transport-and</t>
  </si>
  <si>
    <t>https://orbit.dtu.dk/en/projects/electro-fuels-for-long-range-maritime-transport</t>
  </si>
  <si>
    <t xml:space="preserve">https://www.danskfjernvarme.dk/groen-energi/analyser/210512-power-to-x-og-fjernvarme </t>
  </si>
  <si>
    <t>Grid_out</t>
  </si>
  <si>
    <t>Location</t>
  </si>
  <si>
    <t>Data_base_case</t>
  </si>
  <si>
    <t>Ref_base_case</t>
  </si>
  <si>
    <t>CO2treshWTTop</t>
  </si>
  <si>
    <t>Waste water plant</t>
  </si>
  <si>
    <t>Drinking water</t>
  </si>
  <si>
    <t>Electrolysers AEC</t>
  </si>
  <si>
    <t>Mix</t>
  </si>
  <si>
    <t>Water supply</t>
  </si>
  <si>
    <t>H2 storage</t>
  </si>
  <si>
    <t>Renewable criterion</t>
  </si>
  <si>
    <t>H2</t>
  </si>
  <si>
    <t>H2 client</t>
  </si>
  <si>
    <t>Yearly kg CO2e / MJ fuel (-1 if no treshhold is applied)</t>
  </si>
  <si>
    <t>Hourly renewable criterion applied to the grid electricity (should match with ren_crit profile subset name)</t>
  </si>
  <si>
    <t>Criterion application</t>
  </si>
  <si>
    <t>How renewable criterion is applied: enforcement or incentive ? If incentive put a number for price difference between certified and non certified electricity (€/kWh). If enforcement put -1</t>
  </si>
  <si>
    <t>CSP balance</t>
  </si>
  <si>
    <t>Charge TES</t>
  </si>
  <si>
    <t>Discharge TES</t>
  </si>
  <si>
    <t>NoSubset</t>
  </si>
  <si>
    <t>Curtailment</t>
  </si>
  <si>
    <t>Communication with Mærsk Mc-Kinney Møller Center for Zero Carbon Shipping</t>
  </si>
  <si>
    <t>Brandon McKenna</t>
  </si>
  <si>
    <t>MMZCS2023</t>
  </si>
  <si>
    <t>No CO2 formula here, check techno-eco file</t>
  </si>
  <si>
    <t>Based on MMZCS2023</t>
  </si>
  <si>
    <t>Based on MMZCS2023 for a small scale methanol plant</t>
  </si>
  <si>
    <t>Communication with different industry partners. Final value is an "aggregate" of different values from the industry</t>
  </si>
  <si>
    <t>Comment</t>
  </si>
  <si>
    <t>Based on MMZSC2023</t>
  </si>
  <si>
    <t>BhmWP12023</t>
  </si>
  <si>
    <t>Assessment of resources available in Bornholm</t>
  </si>
  <si>
    <t>WP1</t>
  </si>
  <si>
    <t>Report</t>
  </si>
  <si>
    <t>Database</t>
  </si>
  <si>
    <t>Reference tag in the comments and mendeley</t>
  </si>
  <si>
    <t>Onboard Type IV Compressed Hydrogen Storage System - Cost and Performance Status (19008)</t>
  </si>
  <si>
    <t>Adams</t>
  </si>
  <si>
    <t>Record 19008 NREL</t>
  </si>
  <si>
    <t xml:space="preserve">https://www.hydrogen.energy.gov/program_records.html?print </t>
  </si>
  <si>
    <t>Bulk storage of hydrogen</t>
  </si>
  <si>
    <t>Papadias</t>
  </si>
  <si>
    <t>Article</t>
  </si>
  <si>
    <t>Flexible production of green hydrogen and ammonia from variable solar and wind energy:Case study of Chile and Argentina</t>
  </si>
  <si>
    <t>Armijo</t>
  </si>
  <si>
    <t>https://doi.org/10.1016/j.ijhydene.2019.11.028</t>
  </si>
  <si>
    <t>Assumed to be similar to an ammonia plant. Ramp rate for an ammonia plant is from Armijo2020</t>
  </si>
  <si>
    <t>Based on Armijo2020</t>
  </si>
  <si>
    <t>Taking the best case of 2030 based on MMZCS2023</t>
  </si>
  <si>
    <t>Consumption of non-purified water assuming a purification efficieny of 80% based on BhmWP12023. Conversion of purified water to hydrogen is stoechiometric (9 kg of water consumed per kg of hydrogen).</t>
  </si>
  <si>
    <t>Stoechiometric conversion</t>
  </si>
  <si>
    <t>Based on Adams2019</t>
  </si>
  <si>
    <t>Based on Papadias2021</t>
  </si>
  <si>
    <t>Based on Papadias2021 assuming same values as of 2020</t>
  </si>
  <si>
    <t>2025 bench</t>
  </si>
  <si>
    <t>2030 bench</t>
  </si>
  <si>
    <t>2050 bench</t>
  </si>
  <si>
    <t>IEA The future of hydrogen 2019</t>
  </si>
  <si>
    <t>IEA</t>
  </si>
  <si>
    <t>IEA Report</t>
  </si>
  <si>
    <t xml:space="preserve">https://webstore.iea.org/the-future-of-hydrogen </t>
  </si>
  <si>
    <t>Campion2023</t>
  </si>
  <si>
    <t>Techno-economic assessment of green ammonia production with different wind and solar potentials</t>
  </si>
  <si>
    <t>Campion</t>
  </si>
  <si>
    <t xml:space="preserve">https://doi.org/10.1016/j.rser.2022.113057 </t>
  </si>
  <si>
    <t>Based on BhmWP12023</t>
  </si>
  <si>
    <t>Based on BhmWP12023  taking the best case scenario of near-term technology development</t>
  </si>
  <si>
    <t>From Campion2023</t>
  </si>
  <si>
    <t>Induspart2023</t>
  </si>
  <si>
    <t>Communication with industrial partners</t>
  </si>
  <si>
    <t>Induspart</t>
  </si>
  <si>
    <t>https://atb.nrel.gov/transportation/2020/hydrogen</t>
  </si>
  <si>
    <t>Webpage</t>
  </si>
  <si>
    <t>NREL</t>
  </si>
  <si>
    <t>Annual technlogy baseline for hydrogen</t>
  </si>
  <si>
    <t>NREL2020</t>
  </si>
  <si>
    <t>Data validated by industrial partners</t>
  </si>
  <si>
    <t>Power-to-ammonia in future North European 100 % renewable power and heat system</t>
  </si>
  <si>
    <t>Ikäheimo</t>
  </si>
  <si>
    <t>Paper</t>
  </si>
  <si>
    <t xml:space="preserve">https://www.sciencedirect.com/science/article/pii/S0360319918319931 </t>
  </si>
  <si>
    <t>Technology data for energy storage</t>
  </si>
  <si>
    <t>DEA</t>
  </si>
  <si>
    <t>Report/Catalogue</t>
  </si>
  <si>
    <t xml:space="preserve">https://ens.dk/en/our-services/projections-and-models/technology-data/technology-data-energy-storage </t>
  </si>
  <si>
    <t>DEAstor2020</t>
  </si>
  <si>
    <t>Campion2021</t>
  </si>
  <si>
    <t>MarE-fuel: LCOE and optimal electricity supply strategies for P2X plants</t>
  </si>
  <si>
    <t>https://backend.orbit.dtu.dk/ws/portalfiles/portal/264043718/MarE_Fuel_LCOE_and_optimal_electricity_supply_strategies_for_P2X_plants.pdf</t>
  </si>
  <si>
    <t>4% Capex based on MMZCS2023</t>
  </si>
  <si>
    <t>From BhmWP12023</t>
  </si>
  <si>
    <t>Using the 2025 benchmark value based on BhmWP12023</t>
  </si>
  <si>
    <t>Using the 2025 best value from BhmWP12023</t>
  </si>
  <si>
    <t>Using the 2025 best value based on BhmWP12023</t>
  </si>
  <si>
    <t>3% Capex based on BhmWP12023</t>
  </si>
  <si>
    <t>Medium water price from BhmWP12023</t>
  </si>
  <si>
    <t>From MMZCS2023</t>
  </si>
  <si>
    <t>Using 10% Capex based on MMZCS2023</t>
  </si>
  <si>
    <t>Based on NREL2020</t>
  </si>
  <si>
    <t>8.55% Capex based on NREL2020</t>
  </si>
  <si>
    <t>Based on Induspart2023 (includes compressors)</t>
  </si>
  <si>
    <t>Based on Induspart2023 assuming that compressor and pressurized storage components cost will be half of 2025's costs</t>
  </si>
  <si>
    <t>3% Capex based on Induspart2023</t>
  </si>
  <si>
    <t>Compression work from 20 to 100 bars</t>
  </si>
  <si>
    <t>Based on Induspart2023 for a working pressure around 100 bars</t>
  </si>
  <si>
    <t>Based on Campion2023</t>
  </si>
  <si>
    <t>From Campion2021</t>
  </si>
  <si>
    <t>Based on Induspart2023</t>
  </si>
  <si>
    <t>Process heat generated (kWh/output)</t>
  </si>
  <si>
    <t>Process heat balance</t>
  </si>
  <si>
    <t>DME-B2</t>
  </si>
  <si>
    <t>DME-B1</t>
  </si>
  <si>
    <t>DME-W2</t>
  </si>
  <si>
    <t>DME-W1</t>
  </si>
  <si>
    <t xml:space="preserve">From this study </t>
  </si>
  <si>
    <t>Reactant11</t>
  </si>
  <si>
    <t>Heat sent to other process</t>
  </si>
  <si>
    <t>Product/Reactant12</t>
  </si>
  <si>
    <t>Fixed process heat sale</t>
  </si>
  <si>
    <t>Fixed biochar sale</t>
  </si>
  <si>
    <t>Biochar_sell</t>
  </si>
  <si>
    <t>Process_heat_sell</t>
  </si>
  <si>
    <t>Biomass bamboo 2</t>
  </si>
  <si>
    <t>Biomass bamboo 1</t>
  </si>
  <si>
    <t>Biomass wheat 2</t>
  </si>
  <si>
    <t>Biomass wheat 1</t>
  </si>
  <si>
    <t>Bio-e-MeOH</t>
  </si>
  <si>
    <t>Off-grid</t>
  </si>
  <si>
    <t>Semi-Islanded</t>
  </si>
  <si>
    <t>All_fuels_PhD</t>
  </si>
  <si>
    <t>MeOH plant - biomass</t>
  </si>
  <si>
    <t>Biomass wood</t>
  </si>
  <si>
    <t>Sale of biochar - biofuel</t>
  </si>
  <si>
    <t>Biomass - Pyrolysis Unit</t>
  </si>
  <si>
    <t>Refined-PO</t>
  </si>
  <si>
    <t>H2 pipeline to end-user</t>
  </si>
  <si>
    <t>Biofuel upgrading unit</t>
  </si>
  <si>
    <t>Biomass straw</t>
  </si>
  <si>
    <t>No restriction</t>
  </si>
  <si>
    <t>Emissions_PhD</t>
  </si>
  <si>
    <t>Simulation hours</t>
  </si>
  <si>
    <t>72,1,337,8760</t>
  </si>
  <si>
    <t>Lifetime (years)</t>
  </si>
  <si>
    <t>Discount rate (%)</t>
  </si>
  <si>
    <t>Letoffet2024</t>
  </si>
  <si>
    <t>Techno-economic assessment of upgraded pyrolysis bio-oils for future marine fuels</t>
  </si>
  <si>
    <t>Letoffet</t>
  </si>
  <si>
    <t xml:space="preserve">https://doi.org/10.1016/j.enconman.2024.118225 </t>
  </si>
  <si>
    <t>Kofler2024</t>
  </si>
  <si>
    <t>Techno-Economic Analysis of Dimethyl Ether Production from Different Biomass Resources and Off-Grid Renewable Electricity</t>
  </si>
  <si>
    <t>Kofler</t>
  </si>
  <si>
    <t xml:space="preserve">https://doi.org/10.1021/acs.energyfuels.4c00311 </t>
  </si>
  <si>
    <t>Tower50</t>
  </si>
  <si>
    <t>Tower100</t>
  </si>
  <si>
    <t>Parabolic100</t>
  </si>
  <si>
    <t>CSP tech</t>
  </si>
  <si>
    <t>Work Package 2: Modelling of scenarios for Power-to-X and alternative fuels production in Bornholm</t>
  </si>
  <si>
    <t>Marin2023</t>
  </si>
  <si>
    <t>Marin</t>
  </si>
  <si>
    <t xml:space="preserve">https://orbit.dtu.dk/en/publications/work-package-2-modelling-of-scenarios-for-power-to-x-and-alternat </t>
  </si>
  <si>
    <t>The potential role of concentrated solar power for off-grid green hydrogen and ammonia production</t>
  </si>
  <si>
    <t>Campion2024</t>
  </si>
  <si>
    <t>https://doi.org/10.1016/j.renene.2024.121410</t>
  </si>
  <si>
    <t>RPU_CSP_ST50</t>
  </si>
  <si>
    <t>CSP Plant tower 50 MW</t>
  </si>
  <si>
    <t>RPU_CSP_ST100</t>
  </si>
  <si>
    <t>CSP Plant tower 100 MW</t>
  </si>
  <si>
    <t>RPU_CSP_PT50</t>
  </si>
  <si>
    <t>CSP Plant parabolic 50 MW</t>
  </si>
  <si>
    <t>RPU_CSP_PT100</t>
  </si>
  <si>
    <t>CSP Plant parabolic 100 MW</t>
  </si>
  <si>
    <t>TES ST 50 MW</t>
  </si>
  <si>
    <t>TES ST 100 MW</t>
  </si>
  <si>
    <t>TES PT 100 MW</t>
  </si>
  <si>
    <t>CSP+TES</t>
  </si>
  <si>
    <t>Profile time series</t>
  </si>
  <si>
    <t>Name from the Profile data file or none</t>
  </si>
  <si>
    <t>For yearly demand targets write: Tbegin, Tmstart, Tmend, Tfinish where Tbegin is the number of hours from the begining of the simulation where the fuel plant can operate at 0% load (i.e. time to fill the storages), Tmstart is the hour of the year where plant maintenance starts, Tmend when it finishes and Tfinish is te last hour of the simulation (usually 8760).</t>
  </si>
  <si>
    <t>For periodic demand targets write: Number of periods, Hours per period (i.e. for monthly demands write 12, 730)</t>
  </si>
  <si>
    <t>See Scenarios_definition sheet</t>
  </si>
  <si>
    <t>Large-scale hydrogen production via water electrolysis: a techno-economic and environmental assessment</t>
  </si>
  <si>
    <t>Terlouw2022</t>
  </si>
  <si>
    <t>Terlouw</t>
  </si>
  <si>
    <t xml:space="preserve">10.1039/D2EE01023B  </t>
  </si>
  <si>
    <t>Based on MMZCS2023 using a power law</t>
  </si>
  <si>
    <t>Based on Butera2021</t>
  </si>
  <si>
    <t>Based on DEA2023.</t>
  </si>
  <si>
    <t>Carbon sequestration median value from different sources taken from Campion2023</t>
  </si>
  <si>
    <t xml:space="preserve">From Paper III </t>
  </si>
  <si>
    <t>From Letoffet2024</t>
  </si>
  <si>
    <t>From Kofler2024</t>
  </si>
  <si>
    <t>From Paper II</t>
  </si>
  <si>
    <t>From Marin2023</t>
  </si>
  <si>
    <t>Compression work from 20 to 800 bars based on Induspart2023</t>
  </si>
  <si>
    <t>From Campion2024</t>
  </si>
  <si>
    <t>Sale of biochar DME</t>
  </si>
  <si>
    <t>Bamboo1-stage-SOEC (HI)</t>
  </si>
  <si>
    <t>Bamboo2-stage-SOEC (HI)</t>
  </si>
  <si>
    <t>Wheat1-stage-SOEC (HI)</t>
  </si>
  <si>
    <t>Wheat2-stage-SOEC (HI)</t>
  </si>
  <si>
    <t>NH3 plant + ASU - AEC (A)</t>
  </si>
  <si>
    <t>NH3 plant + ASU - Mix/SOEC (HI)</t>
  </si>
  <si>
    <t>Electrolysers SOEC heat integrated (HI)</t>
  </si>
  <si>
    <t>Electrolysers SOEC (A)</t>
  </si>
  <si>
    <t>Electrolysers Mix 75AEC-25SOEC (HI)</t>
  </si>
  <si>
    <t>Electrolysers Mix 75AEC-25SOEC (A)</t>
  </si>
  <si>
    <t>Capacity units</t>
  </si>
  <si>
    <t>Output units</t>
  </si>
  <si>
    <t>kgCO2/h</t>
  </si>
  <si>
    <t>kgCO2</t>
  </si>
  <si>
    <t>kgMeOH/h</t>
  </si>
  <si>
    <t>kgMeOH</t>
  </si>
  <si>
    <t>kgbamboo/h</t>
  </si>
  <si>
    <t>kgbamboo</t>
  </si>
  <si>
    <t>kgwheat/h</t>
  </si>
  <si>
    <t>kgwheat</t>
  </si>
  <si>
    <t>kgbiochar/h</t>
  </si>
  <si>
    <t>kgbiochar</t>
  </si>
  <si>
    <t>kgDME/h</t>
  </si>
  <si>
    <t>kgDME</t>
  </si>
  <si>
    <t>kgNH3/h</t>
  </si>
  <si>
    <t>kgNH3</t>
  </si>
  <si>
    <t>kgH2/h</t>
  </si>
  <si>
    <t>kgH2</t>
  </si>
  <si>
    <t>kgH2O/h</t>
  </si>
  <si>
    <t>kgH2O</t>
  </si>
  <si>
    <t>kWth</t>
  </si>
  <si>
    <t>kWhth</t>
  </si>
  <si>
    <t>kgO2/h</t>
  </si>
  <si>
    <t>kgO2</t>
  </si>
  <si>
    <t>kWe</t>
  </si>
  <si>
    <t>kWhe</t>
  </si>
  <si>
    <t>kgbiomass/h</t>
  </si>
  <si>
    <t>kgbiomass</t>
  </si>
  <si>
    <t>kgstraw/h</t>
  </si>
  <si>
    <t>kgbiofuel/h</t>
  </si>
  <si>
    <t>kgbiofuel</t>
  </si>
  <si>
    <t>kgstraw</t>
  </si>
  <si>
    <t>Variable cost (EUR/output)</t>
  </si>
  <si>
    <t>Yearly demand (output)</t>
  </si>
  <si>
    <t>AEC_A</t>
  </si>
  <si>
    <t>SOEC_HI</t>
  </si>
  <si>
    <t>SOEC_A</t>
  </si>
  <si>
    <t>Mix_HI</t>
  </si>
  <si>
    <t>Mix_A</t>
  </si>
  <si>
    <t>DP (Desalination Plant)</t>
  </si>
  <si>
    <t>DW (Drinking water)</t>
  </si>
  <si>
    <t>DP</t>
  </si>
  <si>
    <t>Underground pipes</t>
  </si>
  <si>
    <t>WWP (Waste water plant)</t>
  </si>
  <si>
    <t>TES PT 50 MW</t>
  </si>
  <si>
    <t>Define here the units that will not be included in the optimization (for all scenarios)</t>
  </si>
  <si>
    <t>Excluded units name</t>
  </si>
  <si>
    <t>Name should match exactly with the one defined in the input data sheet  (i.e "Data_base_case")</t>
  </si>
  <si>
    <t>Options</t>
  </si>
  <si>
    <t>Hourly CO2 count method regulation</t>
  </si>
  <si>
    <t>Hourly CO2 count method emission</t>
  </si>
  <si>
    <t>Scope2_hourly</t>
  </si>
  <si>
    <t>Scope3_hourly</t>
  </si>
  <si>
    <t xml:space="preserve">Name of the excel file profile </t>
  </si>
  <si>
    <t>Biogas1</t>
  </si>
  <si>
    <t>kgbiogas/h</t>
  </si>
  <si>
    <t>kgbiogas</t>
  </si>
  <si>
    <t>Product/Reactant2</t>
  </si>
  <si>
    <t>Membrane upgrading</t>
  </si>
  <si>
    <t>Biogas2</t>
  </si>
  <si>
    <t>Product/Reactant4</t>
  </si>
  <si>
    <t>Biogas3</t>
  </si>
  <si>
    <t>Product/Reactant5</t>
  </si>
  <si>
    <t>kgCH4/h</t>
  </si>
  <si>
    <t>kgCH4</t>
  </si>
  <si>
    <t>Product/Reactant6</t>
  </si>
  <si>
    <t>Product/Reactant7</t>
  </si>
  <si>
    <t>Product/Reactant8</t>
  </si>
  <si>
    <t>Product/Reactant9</t>
  </si>
  <si>
    <t>Reactant10</t>
  </si>
  <si>
    <t>The parameters lifetime and discount rates are not in the model. Change the annuity factor instead.</t>
  </si>
  <si>
    <t>CH4</t>
  </si>
  <si>
    <t>MeOH B1</t>
  </si>
  <si>
    <t>MeOH B2</t>
  </si>
  <si>
    <t>MeOH CO2</t>
  </si>
  <si>
    <t>CH4 plant</t>
  </si>
  <si>
    <t>MeOH plant - biogas</t>
  </si>
  <si>
    <t>MeOH plant - biogasdirect</t>
  </si>
  <si>
    <t>MeOH plant - CO2</t>
  </si>
  <si>
    <t>[Threaded comment]Your version of Excel allows you to read this threaded comment; however, any edits to it will get removed if the file is opened in a newer version of Excel. Learn more: https://go.microsoft.com/fwlink/?linkid=870924Comment:    Mar Pérez-Fortes et al. 2016/ Bornholm report</t>
  </si>
  <si>
    <t>[Threaded comment]Your version of Excel allows you to read this threaded comment; however, any edits to it will get removed if the file is opened in a newer version of Excel. Learn more: https://go.microsoft.com/fwlink/?linkid=870924Comment:    Hank et al. (2018)/ Bornholm report</t>
  </si>
  <si>
    <t>[Threaded comment]Your version of Excel allows you to read this threaded comment; however, any edits to it will get removed if the file is opened in a newer version of Excel. Learn more: https://go.microsoft.com/fwlink/?linkid=870924Comment:    Based on MMZCS2023</t>
  </si>
  <si>
    <t>[Threaded comment]Your version of Excel allows you to read this threaded comment; however, any edits to it will get removed if the file is opened in a newer version of Excel. Learn more: https://go.microsoft.com/fwlink/?linkid=870924Comment:    For a small-scale 6.7 t$_{MeOH}$/h plant capacity based on MMZCS2023Reply:    To do adjust sources</t>
  </si>
  <si>
    <t>[Threaded comment]Your version of Excel allows you to read this threaded comment; however, any edits to it will get removed if the file is opened in a newer version of Excel. Learn more: https://go.microsoft.com/fwlink/?linkid=870924Comment:    4% Capex based on MMZCS2023/ Bornholm reportReply:    Refers to CAPEX in the literature; not taking the +10% CAPEX for transport to Faroe islands into account.</t>
  </si>
  <si>
    <t>[Threaded comment]Your version of Excel allows you to read this threaded comment; however, any edits to it will get removed if the file is opened in a newer version of Excel. Learn more: https://go.microsoft.com/fwlink/?linkid=870924Comment:    20 years lifetime assumed based on Technology Data-Energy Plants for Electricity and District heating generation, Tech rep. (2020)/ Bornholm report</t>
  </si>
  <si>
    <t>[Threaded comment]Your version of Excel allows you to read this threaded comment; however, any edits to it will get removed if the file is opened in a newer version of Excel. Learn more: https://go.microsoft.com/fwlink/?linkid=870924Comment:    Based on Moioli2022Reply:    Stoichiometrically defined with 100% conversion of carbon and gases</t>
  </si>
  <si>
    <t>[Threaded comment]Your version of Excel allows you to read this threaded comment; however, any edits to it will get removed if the file is opened in a newer version of Excel. Learn more: https://go.microsoft.com/fwlink/?linkid=870924Comment:    Based on Moioli2022</t>
  </si>
  <si>
    <t>[Threaded comment]Your version of Excel allows you to read this threaded comment; however, any edits to it will get removed if the file is opened in a newer version of Excel. Learn more: https://go.microsoft.com/fwlink/?linkid=870924Comment:    Thanh Son Phan et al. 2022/ Bornholm report</t>
  </si>
  <si>
    <t xml:space="preserve">[Threaded comment]Your version of Excel allows you to read this threaded comment; however, any edits to it will get removed if the file is opened in a newer version of Excel. Learn more: https://go.microsoft.com/fwlink/?linkid=870924Comment:    130% of capital investment compared to MeOH plant - CO2. Estimated additional cost of reformer Based on Oni et al. 2022 , and assuming similar costs for electrical vs conventional reformers. Both validated by stakeholders.  /Bornholm report </t>
  </si>
  <si>
    <t>[Threaded comment]Your version of Excel allows you to read this threaded comment; however, any edits to it will get removed if the file is opened in a newer version of Excel. Learn more: https://go.microsoft.com/fwlink/?linkid=870924Comment:    Based on Moioli2022 case 1a. 5 % of investment.Reply:    4% of capital investment based on MMZCS2023/ Bornholm reportReply:    Refers to CAPEX in the literature; not taking the +10% CAPEX for transport to Faroe islands into account.</t>
  </si>
  <si>
    <t>Parabolic50</t>
  </si>
  <si>
    <t>Lca data filename</t>
  </si>
  <si>
    <t>Warning: This file is used only if the "Selected_units" file is inexisting</t>
  </si>
  <si>
    <t>CO2e infrastructure regulated (kg CO2e/Capacity/y)</t>
  </si>
  <si>
    <t>CO2e process regulated (kg CO2e/output)</t>
  </si>
  <si>
    <t>Elec_PV</t>
  </si>
  <si>
    <t>Fuel_NH3</t>
  </si>
  <si>
    <t>Fuel_MeOH</t>
  </si>
  <si>
    <t>Elec_Li-ion_Battery</t>
  </si>
  <si>
    <t>Elec_Wind_Onshore</t>
  </si>
  <si>
    <t>Elec_Wind_Offshore</t>
  </si>
  <si>
    <t>Fuel_Biogas</t>
  </si>
  <si>
    <t>2019_CO2</t>
  </si>
  <si>
    <t>No_regulation</t>
  </si>
  <si>
    <t>DA</t>
  </si>
  <si>
    <t>Delegated_Act_forced</t>
  </si>
  <si>
    <t>Delegated_Act_incentivized</t>
  </si>
  <si>
    <t>Lcia technology tag</t>
  </si>
  <si>
    <t>Lcia data filename</t>
  </si>
  <si>
    <t>LCIA_Results_0_an</t>
  </si>
  <si>
    <t>72,4000,4876,8760</t>
  </si>
  <si>
    <t>Grid_Chile</t>
  </si>
  <si>
    <t>Skive</t>
  </si>
  <si>
    <t>profiles</t>
  </si>
  <si>
    <t>2019_gl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</si>
</sst>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color rgb="FFFF0000"/>
      <name val="Calibri"/>
      <family val="2"/>
      <scheme val="minor"/>
    </font>
    <font>
      <b/>
      <sz val="11"/>
      <name val="Calibri"/>
      <family val="2"/>
      <scheme val="minor"/>
    </font>
    <font>
      <b/>
      <sz val="11"/>
      <color theme="5"/>
      <name val="Calibri"/>
      <family val="2"/>
      <scheme val="minor"/>
    </font>
    <font>
      <b/>
      <sz val="11"/>
      <color theme="1" tint="0.499984740745262"/>
      <name val="Calibri"/>
      <family val="2"/>
      <scheme val="minor"/>
    </font>
    <font>
      <u/>
      <sz val="11"/>
      <color theme="10"/>
      <name val="Calibri"/>
      <family val="2"/>
      <scheme val="minor"/>
    </font>
    <font>
      <b/>
      <sz val="9"/>
      <color indexed="81"/>
      <name val="Tahoma"/>
      <family val="2"/>
    </font>
    <font>
      <sz val="9"/>
      <color indexed="81"/>
      <name val="Tahoma"/>
      <family val="2"/>
    </font>
    <font>
      <sz val="9"/>
      <color theme="1"/>
      <name val="Calibri"/>
      <family val="2"/>
      <scheme val="minor"/>
    </font>
    <font>
      <sz val="6"/>
      <color theme="1"/>
      <name val="Calibri"/>
      <family val="2"/>
      <scheme val="minor"/>
    </font>
    <font>
      <sz val="8"/>
      <color theme="1"/>
      <name val="Calibri"/>
      <family val="2"/>
      <scheme val="minor"/>
    </font>
    <font>
      <sz val="11"/>
      <color theme="5"/>
      <name val="Calibri"/>
      <family val="2"/>
      <scheme val="minor"/>
    </font>
  </fonts>
  <fills count="20">
    <fill>
      <patternFill patternType="none"/>
    </fill>
    <fill>
      <patternFill patternType="gray125"/>
    </fill>
    <fill>
      <patternFill patternType="solid">
        <fgColor theme="2"/>
        <bgColor indexed="64"/>
      </patternFill>
    </fill>
    <fill>
      <patternFill patternType="solid">
        <fgColor theme="1"/>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rgb="FFCCCCFF"/>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CFF"/>
        <bgColor indexed="64"/>
      </patternFill>
    </fill>
    <fill>
      <patternFill patternType="solid">
        <fgColor theme="9" tint="0.39997558519241921"/>
        <bgColor indexed="64"/>
      </patternFill>
    </fill>
  </fills>
  <borders count="9">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s>
  <cellStyleXfs count="3">
    <xf numFmtId="0" fontId="0" fillId="0" borderId="0"/>
    <xf numFmtId="9" fontId="1" fillId="0" borderId="0" applyFont="0" applyFill="0" applyBorder="0" applyAlignment="0" applyProtection="0"/>
    <xf numFmtId="0" fontId="9" fillId="0" borderId="0" applyNumberFormat="0" applyFill="0" applyBorder="0" applyAlignment="0" applyProtection="0"/>
  </cellStyleXfs>
  <cellXfs count="429">
    <xf numFmtId="0" fontId="0" fillId="0" borderId="0" xfId="0"/>
    <xf numFmtId="0" fontId="4" fillId="0" borderId="0" xfId="0" applyFont="1"/>
    <xf numFmtId="0" fontId="2" fillId="0" borderId="0" xfId="0" applyFont="1"/>
    <xf numFmtId="0" fontId="2" fillId="0" borderId="0" xfId="0" applyFont="1" applyAlignment="1">
      <alignment horizontal="center"/>
    </xf>
    <xf numFmtId="0" fontId="5" fillId="0" borderId="0" xfId="0" applyFont="1"/>
    <xf numFmtId="0" fontId="0" fillId="2" borderId="0" xfId="0" applyFill="1" applyAlignment="1">
      <alignment horizontal="center" vertical="center"/>
    </xf>
    <xf numFmtId="0" fontId="0" fillId="2" borderId="0" xfId="0" applyFill="1" applyAlignment="1">
      <alignment horizontal="center"/>
    </xf>
    <xf numFmtId="0" fontId="4" fillId="0" borderId="0" xfId="0" applyFont="1" applyAlignment="1">
      <alignment horizontal="center"/>
    </xf>
    <xf numFmtId="0" fontId="0" fillId="0" borderId="0" xfId="0" applyAlignment="1">
      <alignment horizontal="center"/>
    </xf>
    <xf numFmtId="9" fontId="0" fillId="0" borderId="0" xfId="1" applyFont="1"/>
    <xf numFmtId="0" fontId="3" fillId="0" borderId="0" xfId="0" applyFont="1"/>
    <xf numFmtId="0" fontId="6" fillId="0" borderId="0" xfId="0" applyFont="1" applyAlignment="1">
      <alignment horizontal="center" vertical="center" wrapText="1"/>
    </xf>
    <xf numFmtId="0" fontId="3" fillId="0" borderId="0" xfId="0" applyFont="1" applyAlignment="1">
      <alignment horizontal="center"/>
    </xf>
    <xf numFmtId="0" fontId="6" fillId="0" borderId="0" xfId="0" applyFont="1"/>
    <xf numFmtId="0" fontId="0" fillId="0" borderId="1" xfId="0" applyBorder="1"/>
    <xf numFmtId="0" fontId="0" fillId="0" borderId="2" xfId="0" applyBorder="1"/>
    <xf numFmtId="0" fontId="8" fillId="3" borderId="0" xfId="0" applyFont="1" applyFill="1"/>
    <xf numFmtId="0" fontId="0" fillId="0" borderId="0" xfId="0" applyAlignment="1">
      <alignment horizontal="right"/>
    </xf>
    <xf numFmtId="0" fontId="4" fillId="0" borderId="0" xfId="0" applyFont="1" applyAlignment="1">
      <alignment vertical="center" wrapText="1"/>
    </xf>
    <xf numFmtId="0" fontId="5" fillId="0" borderId="0" xfId="0" applyFont="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3" fillId="0" borderId="2" xfId="0" applyFont="1" applyBorder="1" applyAlignment="1">
      <alignment horizontal="center"/>
    </xf>
    <xf numFmtId="0" fontId="5" fillId="2" borderId="0" xfId="0" applyFont="1" applyFill="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9" fillId="0" borderId="0" xfId="2" applyAlignment="1">
      <alignment horizontal="left" vertical="center"/>
    </xf>
    <xf numFmtId="0" fontId="3" fillId="5" borderId="0" xfId="0" applyFont="1" applyFill="1" applyAlignment="1">
      <alignment horizontal="center" vertical="center"/>
    </xf>
    <xf numFmtId="0" fontId="3" fillId="5" borderId="0" xfId="0" applyFont="1" applyFill="1" applyAlignment="1">
      <alignment horizontal="center" vertical="center" wrapText="1"/>
    </xf>
    <xf numFmtId="0" fontId="3" fillId="5" borderId="0" xfId="0" applyFont="1" applyFill="1" applyAlignment="1">
      <alignment horizontal="left" vertical="center"/>
    </xf>
    <xf numFmtId="0" fontId="6" fillId="2" borderId="0" xfId="0" applyFont="1" applyFill="1" applyAlignment="1">
      <alignment horizontal="left"/>
    </xf>
    <xf numFmtId="0" fontId="5" fillId="2" borderId="0" xfId="0" applyFont="1" applyFill="1" applyAlignment="1">
      <alignment horizontal="center"/>
    </xf>
    <xf numFmtId="0" fontId="0" fillId="0" borderId="0" xfId="0" applyAlignment="1">
      <alignment horizontal="left" vertical="center"/>
    </xf>
    <xf numFmtId="0" fontId="9" fillId="0" borderId="0" xfId="2"/>
    <xf numFmtId="0" fontId="3" fillId="0" borderId="2" xfId="0" applyFont="1" applyBorder="1"/>
    <xf numFmtId="0" fontId="4" fillId="0" borderId="0" xfId="2" applyFont="1"/>
    <xf numFmtId="0" fontId="0" fillId="4" borderId="0" xfId="0" applyFill="1"/>
    <xf numFmtId="0" fontId="5" fillId="2" borderId="0" xfId="0" applyFont="1" applyFill="1" applyAlignment="1">
      <alignment horizontal="center" vertical="center" wrapText="1"/>
    </xf>
    <xf numFmtId="0" fontId="4" fillId="0" borderId="0" xfId="0" applyFont="1" applyAlignment="1">
      <alignment horizontal="right"/>
    </xf>
    <xf numFmtId="0" fontId="4"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2" fillId="6" borderId="0" xfId="0" applyFont="1" applyFill="1"/>
    <xf numFmtId="0" fontId="0" fillId="6" borderId="0" xfId="0" applyFill="1" applyAlignment="1">
      <alignment horizontal="center"/>
    </xf>
    <xf numFmtId="0" fontId="3" fillId="6" borderId="0" xfId="0" applyFont="1" applyFill="1" applyAlignment="1">
      <alignment horizontal="center"/>
    </xf>
    <xf numFmtId="0" fontId="0" fillId="6" borderId="0" xfId="0" applyFill="1" applyAlignment="1">
      <alignment horizontal="right"/>
    </xf>
    <xf numFmtId="0" fontId="0" fillId="6" borderId="0" xfId="0" applyFill="1"/>
    <xf numFmtId="164" fontId="0" fillId="6" borderId="0" xfId="0" applyNumberFormat="1" applyFill="1"/>
    <xf numFmtId="2" fontId="0" fillId="6" borderId="0" xfId="0" applyNumberFormat="1" applyFill="1"/>
    <xf numFmtId="9" fontId="0" fillId="6" borderId="0" xfId="1" applyFont="1" applyFill="1"/>
    <xf numFmtId="2" fontId="0" fillId="6" borderId="0" xfId="1" applyNumberFormat="1" applyFont="1" applyFill="1"/>
    <xf numFmtId="1" fontId="0" fillId="6" borderId="0" xfId="1" applyNumberFormat="1" applyFont="1" applyFill="1"/>
    <xf numFmtId="0" fontId="0" fillId="6" borderId="0" xfId="1" applyNumberFormat="1" applyFont="1" applyFill="1"/>
    <xf numFmtId="0" fontId="4" fillId="6" borderId="0" xfId="1" applyNumberFormat="1" applyFont="1" applyFill="1"/>
    <xf numFmtId="0" fontId="2" fillId="7" borderId="0" xfId="0" applyFont="1" applyFill="1"/>
    <xf numFmtId="0" fontId="2" fillId="7" borderId="0" xfId="0" applyFont="1" applyFill="1" applyAlignment="1">
      <alignment horizontal="center"/>
    </xf>
    <xf numFmtId="0" fontId="3" fillId="7" borderId="0" xfId="0" applyFont="1" applyFill="1" applyAlignment="1">
      <alignment horizontal="center"/>
    </xf>
    <xf numFmtId="0" fontId="0" fillId="7" borderId="0" xfId="0" applyFill="1" applyAlignment="1">
      <alignment horizontal="right"/>
    </xf>
    <xf numFmtId="0" fontId="0" fillId="7" borderId="0" xfId="0" applyFill="1"/>
    <xf numFmtId="9" fontId="0" fillId="7" borderId="0" xfId="1" applyFont="1" applyFill="1"/>
    <xf numFmtId="0" fontId="0" fillId="7" borderId="0" xfId="1" applyNumberFormat="1" applyFont="1" applyFill="1"/>
    <xf numFmtId="0" fontId="4" fillId="7" borderId="0" xfId="0" applyFont="1" applyFill="1" applyAlignment="1">
      <alignment horizontal="center"/>
    </xf>
    <xf numFmtId="2" fontId="0" fillId="7" borderId="0" xfId="0" applyNumberFormat="1" applyFill="1"/>
    <xf numFmtId="2" fontId="0" fillId="7" borderId="0" xfId="1" applyNumberFormat="1" applyFont="1" applyFill="1"/>
    <xf numFmtId="0" fontId="4" fillId="8" borderId="0" xfId="0" applyFont="1" applyFill="1" applyAlignment="1">
      <alignment horizontal="center"/>
    </xf>
    <xf numFmtId="0" fontId="2" fillId="9" borderId="0" xfId="0" applyFont="1" applyFill="1"/>
    <xf numFmtId="0" fontId="4" fillId="9" borderId="0" xfId="0" applyFont="1" applyFill="1" applyAlignment="1">
      <alignment horizontal="center"/>
    </xf>
    <xf numFmtId="0" fontId="3" fillId="9" borderId="0" xfId="0" applyFont="1" applyFill="1" applyAlignment="1">
      <alignment horizontal="center"/>
    </xf>
    <xf numFmtId="0" fontId="0" fillId="9" borderId="0" xfId="0" applyFill="1"/>
    <xf numFmtId="0" fontId="0" fillId="9" borderId="0" xfId="0" applyFill="1" applyAlignment="1">
      <alignment horizontal="right"/>
    </xf>
    <xf numFmtId="9" fontId="0" fillId="9" borderId="0" xfId="1" applyFont="1" applyFill="1"/>
    <xf numFmtId="0" fontId="0" fillId="9" borderId="0" xfId="1" applyNumberFormat="1" applyFont="1" applyFill="1"/>
    <xf numFmtId="0" fontId="4" fillId="9" borderId="0" xfId="1" applyNumberFormat="1" applyFont="1" applyFill="1"/>
    <xf numFmtId="0" fontId="2" fillId="9" borderId="0" xfId="0" applyFont="1" applyFill="1" applyAlignment="1">
      <alignment horizontal="center"/>
    </xf>
    <xf numFmtId="0" fontId="2" fillId="10" borderId="0" xfId="0" applyFont="1" applyFill="1"/>
    <xf numFmtId="0" fontId="4" fillId="10" borderId="0" xfId="0" applyFont="1" applyFill="1" applyAlignment="1">
      <alignment horizontal="center"/>
    </xf>
    <xf numFmtId="0" fontId="3" fillId="10" borderId="0" xfId="0" applyFont="1" applyFill="1" applyAlignment="1">
      <alignment horizontal="center"/>
    </xf>
    <xf numFmtId="0" fontId="0" fillId="10" borderId="0" xfId="0" applyFill="1"/>
    <xf numFmtId="0" fontId="0" fillId="10" borderId="0" xfId="0" applyFill="1" applyAlignment="1">
      <alignment horizontal="right"/>
    </xf>
    <xf numFmtId="9" fontId="0" fillId="10" borderId="0" xfId="1" applyFont="1" applyFill="1"/>
    <xf numFmtId="0" fontId="0" fillId="10" borderId="0" xfId="1" applyNumberFormat="1" applyFont="1" applyFill="1"/>
    <xf numFmtId="0" fontId="2" fillId="10" borderId="0" xfId="0" applyFont="1" applyFill="1" applyAlignment="1">
      <alignment horizontal="center"/>
    </xf>
    <xf numFmtId="0" fontId="2" fillId="11" borderId="0" xfId="0" applyFont="1" applyFill="1"/>
    <xf numFmtId="0" fontId="2" fillId="11" borderId="0" xfId="0" applyFont="1" applyFill="1" applyAlignment="1">
      <alignment horizontal="center"/>
    </xf>
    <xf numFmtId="0" fontId="3" fillId="11" borderId="0" xfId="0" applyFont="1" applyFill="1" applyAlignment="1">
      <alignment horizontal="center"/>
    </xf>
    <xf numFmtId="0" fontId="0" fillId="11" borderId="0" xfId="0" applyFill="1" applyAlignment="1">
      <alignment horizontal="right"/>
    </xf>
    <xf numFmtId="0" fontId="0" fillId="11" borderId="0" xfId="0" applyFill="1"/>
    <xf numFmtId="2" fontId="0" fillId="11" borderId="0" xfId="0" applyNumberFormat="1" applyFill="1"/>
    <xf numFmtId="9" fontId="0" fillId="11" borderId="0" xfId="1" applyFont="1" applyFill="1"/>
    <xf numFmtId="164" fontId="0" fillId="11" borderId="0" xfId="0" applyNumberFormat="1" applyFill="1"/>
    <xf numFmtId="0" fontId="4" fillId="8" borderId="0" xfId="0" applyFont="1" applyFill="1"/>
    <xf numFmtId="0" fontId="6" fillId="8" borderId="0" xfId="0" applyFont="1" applyFill="1" applyAlignment="1">
      <alignment horizontal="center"/>
    </xf>
    <xf numFmtId="0" fontId="4" fillId="8" borderId="0" xfId="0" applyFont="1" applyFill="1" applyAlignment="1">
      <alignment horizontal="right"/>
    </xf>
    <xf numFmtId="9" fontId="4" fillId="8" borderId="0" xfId="1" applyFont="1" applyFill="1"/>
    <xf numFmtId="0" fontId="3" fillId="0" borderId="1" xfId="0" applyFont="1" applyBorder="1" applyAlignment="1">
      <alignment horizontal="center"/>
    </xf>
    <xf numFmtId="0" fontId="14" fillId="0" borderId="0" xfId="0" applyFont="1" applyAlignment="1">
      <alignment horizontal="center" wrapText="1"/>
    </xf>
    <xf numFmtId="0" fontId="3" fillId="0" borderId="0" xfId="0" quotePrefix="1" applyFont="1" applyAlignment="1">
      <alignment horizontal="center"/>
    </xf>
    <xf numFmtId="0" fontId="5" fillId="0" borderId="2" xfId="0" applyFont="1" applyBorder="1" applyAlignment="1">
      <alignment horizontal="center" vertical="center" wrapText="1"/>
    </xf>
    <xf numFmtId="0" fontId="8"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0" fillId="2" borderId="2" xfId="0" applyFill="1" applyBorder="1" applyAlignment="1">
      <alignment horizontal="center" vertical="center"/>
    </xf>
    <xf numFmtId="0" fontId="0" fillId="9" borderId="2" xfId="0" applyFill="1" applyBorder="1" applyAlignment="1">
      <alignment horizontal="center"/>
    </xf>
    <xf numFmtId="0" fontId="0" fillId="6" borderId="2" xfId="0" applyFill="1" applyBorder="1" applyAlignment="1">
      <alignment horizontal="center"/>
    </xf>
    <xf numFmtId="0" fontId="0" fillId="7" borderId="2" xfId="0" applyFill="1" applyBorder="1" applyAlignment="1">
      <alignment horizontal="center"/>
    </xf>
    <xf numFmtId="0" fontId="0" fillId="10" borderId="2" xfId="0" applyFill="1" applyBorder="1" applyAlignment="1">
      <alignment horizontal="center"/>
    </xf>
    <xf numFmtId="0" fontId="0" fillId="11" borderId="2" xfId="0" applyFill="1" applyBorder="1" applyAlignment="1">
      <alignment horizontal="center"/>
    </xf>
    <xf numFmtId="0" fontId="4" fillId="8" borderId="2" xfId="0" applyFont="1" applyFill="1" applyBorder="1" applyAlignment="1">
      <alignment horizontal="center"/>
    </xf>
    <xf numFmtId="0" fontId="0" fillId="0" borderId="2" xfId="0" applyBorder="1" applyAlignment="1">
      <alignment horizontal="center"/>
    </xf>
    <xf numFmtId="0" fontId="3" fillId="0" borderId="3" xfId="0" applyFont="1" applyBorder="1" applyAlignment="1">
      <alignment horizontal="center"/>
    </xf>
    <xf numFmtId="0" fontId="5" fillId="0" borderId="3" xfId="0" applyFont="1" applyBorder="1" applyAlignment="1">
      <alignment horizontal="center" vertical="center" wrapText="1"/>
    </xf>
    <xf numFmtId="0" fontId="8" fillId="3"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0" fillId="2" borderId="3" xfId="0" applyFill="1" applyBorder="1" applyAlignment="1">
      <alignment horizontal="center" vertical="center"/>
    </xf>
    <xf numFmtId="0" fontId="0" fillId="9" borderId="3" xfId="0" applyFill="1" applyBorder="1" applyAlignment="1">
      <alignment horizontal="center"/>
    </xf>
    <xf numFmtId="0" fontId="0" fillId="6" borderId="3" xfId="0" applyFill="1" applyBorder="1" applyAlignment="1">
      <alignment horizontal="center"/>
    </xf>
    <xf numFmtId="0" fontId="0" fillId="7" borderId="3" xfId="0" applyFill="1" applyBorder="1" applyAlignment="1">
      <alignment horizontal="center"/>
    </xf>
    <xf numFmtId="0" fontId="0" fillId="10" borderId="3" xfId="0" applyFill="1" applyBorder="1" applyAlignment="1">
      <alignment horizontal="center"/>
    </xf>
    <xf numFmtId="0" fontId="0" fillId="11" borderId="3" xfId="0" applyFill="1" applyBorder="1" applyAlignment="1">
      <alignment horizontal="center"/>
    </xf>
    <xf numFmtId="0" fontId="4" fillId="8" borderId="3" xfId="0" applyFont="1" applyFill="1" applyBorder="1" applyAlignment="1">
      <alignment horizontal="center"/>
    </xf>
    <xf numFmtId="0" fontId="0" fillId="0" borderId="3" xfId="0" applyBorder="1" applyAlignment="1">
      <alignment horizontal="center"/>
    </xf>
    <xf numFmtId="0" fontId="0" fillId="0" borderId="3" xfId="0" applyBorder="1"/>
    <xf numFmtId="0" fontId="5" fillId="0" borderId="3" xfId="0" applyFont="1" applyBorder="1"/>
    <xf numFmtId="0" fontId="8" fillId="3" borderId="3" xfId="0" applyFont="1" applyFill="1" applyBorder="1"/>
    <xf numFmtId="0" fontId="0" fillId="9" borderId="3" xfId="0" applyFill="1" applyBorder="1"/>
    <xf numFmtId="0" fontId="0" fillId="7" borderId="3" xfId="0" applyFill="1" applyBorder="1"/>
    <xf numFmtId="0" fontId="0" fillId="10" borderId="3" xfId="0" applyFill="1" applyBorder="1"/>
    <xf numFmtId="0" fontId="5" fillId="0" borderId="3" xfId="0" applyFont="1" applyBorder="1" applyAlignment="1">
      <alignment horizontal="center"/>
    </xf>
    <xf numFmtId="0" fontId="0" fillId="6" borderId="3" xfId="0" applyFill="1" applyBorder="1"/>
    <xf numFmtId="0" fontId="0" fillId="11" borderId="3" xfId="0" applyFill="1" applyBorder="1"/>
    <xf numFmtId="0" fontId="4" fillId="8" borderId="3" xfId="0" applyFont="1" applyFill="1" applyBorder="1"/>
    <xf numFmtId="0" fontId="8" fillId="3" borderId="2" xfId="0" applyFont="1" applyFill="1" applyBorder="1"/>
    <xf numFmtId="0" fontId="3" fillId="0" borderId="2" xfId="0" quotePrefix="1" applyFont="1" applyBorder="1" applyAlignment="1">
      <alignment horizontal="center"/>
    </xf>
    <xf numFmtId="0" fontId="0" fillId="9" borderId="2" xfId="0" applyFill="1" applyBorder="1"/>
    <xf numFmtId="164" fontId="0" fillId="6" borderId="2" xfId="0" applyNumberFormat="1" applyFill="1" applyBorder="1"/>
    <xf numFmtId="0" fontId="0" fillId="7" borderId="2" xfId="0" applyFill="1" applyBorder="1"/>
    <xf numFmtId="0" fontId="0" fillId="10" borderId="2" xfId="0" applyFill="1" applyBorder="1"/>
    <xf numFmtId="2" fontId="0" fillId="11" borderId="2" xfId="0" applyNumberFormat="1" applyFill="1" applyBorder="1"/>
    <xf numFmtId="0" fontId="4" fillId="8" borderId="2" xfId="0" applyFont="1" applyFill="1" applyBorder="1"/>
    <xf numFmtId="2" fontId="0" fillId="6" borderId="2" xfId="0" applyNumberFormat="1" applyFill="1" applyBorder="1"/>
    <xf numFmtId="2" fontId="0" fillId="7" borderId="2" xfId="0" applyNumberFormat="1" applyFill="1" applyBorder="1"/>
    <xf numFmtId="0" fontId="0" fillId="11" borderId="2" xfId="0" applyFill="1" applyBorder="1"/>
    <xf numFmtId="9" fontId="0" fillId="9" borderId="2" xfId="1" applyFont="1" applyFill="1" applyBorder="1"/>
    <xf numFmtId="9" fontId="0" fillId="6" borderId="2" xfId="1" applyFont="1" applyFill="1" applyBorder="1"/>
    <xf numFmtId="9" fontId="0" fillId="7" borderId="2" xfId="1" applyFont="1" applyFill="1" applyBorder="1"/>
    <xf numFmtId="9" fontId="0" fillId="10" borderId="2" xfId="1" applyFont="1" applyFill="1" applyBorder="1"/>
    <xf numFmtId="9" fontId="0" fillId="11" borderId="2" xfId="1" applyFont="1" applyFill="1" applyBorder="1"/>
    <xf numFmtId="9" fontId="4" fillId="8" borderId="2" xfId="1" applyFont="1" applyFill="1" applyBorder="1"/>
    <xf numFmtId="0" fontId="0" fillId="9" borderId="2" xfId="1" applyNumberFormat="1" applyFont="1" applyFill="1" applyBorder="1"/>
    <xf numFmtId="0" fontId="4" fillId="9" borderId="2" xfId="1" applyNumberFormat="1" applyFont="1" applyFill="1" applyBorder="1"/>
    <xf numFmtId="0" fontId="0" fillId="6" borderId="2" xfId="1" applyNumberFormat="1" applyFont="1" applyFill="1" applyBorder="1"/>
    <xf numFmtId="2" fontId="0" fillId="6" borderId="2" xfId="1" applyNumberFormat="1" applyFont="1" applyFill="1" applyBorder="1"/>
    <xf numFmtId="0" fontId="0" fillId="7" borderId="2" xfId="1" applyNumberFormat="1" applyFont="1" applyFill="1" applyBorder="1"/>
    <xf numFmtId="2" fontId="0" fillId="7" borderId="2" xfId="1" applyNumberFormat="1" applyFont="1" applyFill="1" applyBorder="1"/>
    <xf numFmtId="0" fontId="0" fillId="10" borderId="2" xfId="1" applyNumberFormat="1" applyFont="1" applyFill="1" applyBorder="1"/>
    <xf numFmtId="1" fontId="0" fillId="6" borderId="2" xfId="1" applyNumberFormat="1" applyFont="1" applyFill="1" applyBorder="1"/>
    <xf numFmtId="0" fontId="4" fillId="6" borderId="2" xfId="1" applyNumberFormat="1" applyFont="1" applyFill="1" applyBorder="1"/>
    <xf numFmtId="0" fontId="0" fillId="6" borderId="2" xfId="0" applyFill="1" applyBorder="1"/>
    <xf numFmtId="9" fontId="0" fillId="9" borderId="0" xfId="0" applyNumberFormat="1" applyFill="1"/>
    <xf numFmtId="164" fontId="0" fillId="11" borderId="2" xfId="0" applyNumberFormat="1" applyFill="1" applyBorder="1"/>
    <xf numFmtId="0" fontId="8" fillId="3" borderId="0" xfId="0" applyFont="1" applyFill="1" applyAlignment="1">
      <alignment horizontal="center"/>
    </xf>
    <xf numFmtId="0" fontId="8" fillId="3" borderId="2" xfId="0" applyFont="1" applyFill="1" applyBorder="1" applyAlignment="1">
      <alignment horizontal="center"/>
    </xf>
    <xf numFmtId="0" fontId="0" fillId="7" borderId="2" xfId="0" applyFill="1" applyBorder="1" applyAlignment="1">
      <alignment horizontal="right"/>
    </xf>
    <xf numFmtId="0" fontId="0" fillId="10" borderId="2" xfId="0" applyFill="1" applyBorder="1" applyAlignment="1">
      <alignment horizontal="right"/>
    </xf>
    <xf numFmtId="0" fontId="0" fillId="11" borderId="2" xfId="0" applyFill="1" applyBorder="1" applyAlignment="1">
      <alignment horizontal="right"/>
    </xf>
    <xf numFmtId="0" fontId="4" fillId="8" borderId="2" xfId="0" applyFont="1" applyFill="1" applyBorder="1" applyAlignment="1">
      <alignment horizontal="right"/>
    </xf>
    <xf numFmtId="0" fontId="0" fillId="0" borderId="2" xfId="0" applyBorder="1" applyAlignment="1">
      <alignment horizontal="right"/>
    </xf>
    <xf numFmtId="0" fontId="0" fillId="9" borderId="2" xfId="0" applyFill="1" applyBorder="1" applyAlignment="1">
      <alignment horizontal="right"/>
    </xf>
    <xf numFmtId="0" fontId="0" fillId="6" borderId="2" xfId="0" applyFill="1" applyBorder="1" applyAlignment="1">
      <alignment horizontal="right"/>
    </xf>
    <xf numFmtId="0" fontId="6" fillId="0" borderId="0" xfId="0" applyFont="1" applyAlignment="1">
      <alignment horizontal="center"/>
    </xf>
    <xf numFmtId="9" fontId="1" fillId="0" borderId="0" xfId="1" applyFont="1" applyFill="1"/>
    <xf numFmtId="0" fontId="4" fillId="0" borderId="0" xfId="0" applyFont="1" applyAlignment="1">
      <alignment horizontal="left"/>
    </xf>
    <xf numFmtId="0" fontId="5" fillId="0" borderId="2" xfId="0" applyFont="1" applyBorder="1"/>
    <xf numFmtId="0" fontId="2" fillId="8" borderId="0" xfId="0" applyFont="1" applyFill="1" applyAlignment="1">
      <alignment horizontal="left"/>
    </xf>
    <xf numFmtId="0" fontId="3" fillId="8" borderId="0" xfId="0" applyFont="1" applyFill="1" applyAlignment="1">
      <alignment horizontal="center"/>
    </xf>
    <xf numFmtId="0" fontId="0" fillId="8" borderId="2" xfId="0" applyFill="1" applyBorder="1" applyAlignment="1">
      <alignment horizontal="center"/>
    </xf>
    <xf numFmtId="0" fontId="0" fillId="8" borderId="3" xfId="0" applyFill="1" applyBorder="1" applyAlignment="1">
      <alignment horizontal="center"/>
    </xf>
    <xf numFmtId="0" fontId="0" fillId="8" borderId="2" xfId="0" applyFill="1" applyBorder="1"/>
    <xf numFmtId="0" fontId="0" fillId="8" borderId="3" xfId="0" applyFill="1" applyBorder="1"/>
    <xf numFmtId="0" fontId="0" fillId="8" borderId="0" xfId="0" applyFill="1"/>
    <xf numFmtId="9" fontId="0" fillId="8" borderId="0" xfId="1" applyFont="1" applyFill="1"/>
    <xf numFmtId="9" fontId="0" fillId="8" borderId="2" xfId="1" applyFont="1" applyFill="1" applyBorder="1"/>
    <xf numFmtId="0" fontId="0" fillId="8" borderId="0" xfId="0" applyFill="1" applyAlignment="1">
      <alignment horizontal="right"/>
    </xf>
    <xf numFmtId="0" fontId="0" fillId="8" borderId="0" xfId="1" applyNumberFormat="1" applyFont="1" applyFill="1"/>
    <xf numFmtId="0" fontId="4" fillId="12" borderId="0" xfId="0" applyFont="1" applyFill="1" applyAlignment="1">
      <alignment horizontal="center"/>
    </xf>
    <xf numFmtId="0" fontId="3" fillId="12" borderId="0" xfId="0" applyFont="1" applyFill="1" applyAlignment="1">
      <alignment horizontal="center"/>
    </xf>
    <xf numFmtId="0" fontId="0" fillId="12" borderId="2" xfId="0" applyFill="1" applyBorder="1" applyAlignment="1">
      <alignment horizontal="center"/>
    </xf>
    <xf numFmtId="0" fontId="0" fillId="12" borderId="2" xfId="0" applyFill="1" applyBorder="1"/>
    <xf numFmtId="0" fontId="0" fillId="12" borderId="3" xfId="0" applyFill="1" applyBorder="1"/>
    <xf numFmtId="0" fontId="0" fillId="12" borderId="0" xfId="0" applyFill="1"/>
    <xf numFmtId="9" fontId="0" fillId="12" borderId="0" xfId="1" applyFont="1" applyFill="1"/>
    <xf numFmtId="9" fontId="0" fillId="12" borderId="2" xfId="1" applyFont="1" applyFill="1" applyBorder="1"/>
    <xf numFmtId="0" fontId="0" fillId="12" borderId="0" xfId="0" applyFill="1" applyAlignment="1">
      <alignment horizontal="right"/>
    </xf>
    <xf numFmtId="0" fontId="0" fillId="12" borderId="0" xfId="1" applyNumberFormat="1" applyFont="1" applyFill="1"/>
    <xf numFmtId="0" fontId="2" fillId="13" borderId="0" xfId="0" applyFont="1" applyFill="1" applyAlignment="1">
      <alignment horizontal="left"/>
    </xf>
    <xf numFmtId="0" fontId="4" fillId="13" borderId="0" xfId="0" applyFont="1" applyFill="1" applyAlignment="1">
      <alignment horizontal="center"/>
    </xf>
    <xf numFmtId="0" fontId="3" fillId="13" borderId="0" xfId="0" applyFont="1" applyFill="1" applyAlignment="1">
      <alignment horizontal="center"/>
    </xf>
    <xf numFmtId="0" fontId="0" fillId="13" borderId="2" xfId="0" applyFill="1" applyBorder="1" applyAlignment="1">
      <alignment horizontal="center"/>
    </xf>
    <xf numFmtId="0" fontId="0" fillId="13" borderId="3" xfId="0" applyFill="1" applyBorder="1" applyAlignment="1">
      <alignment horizontal="center"/>
    </xf>
    <xf numFmtId="0" fontId="0" fillId="13" borderId="2" xfId="0" applyFill="1" applyBorder="1"/>
    <xf numFmtId="0" fontId="0" fillId="13" borderId="3" xfId="0" applyFill="1" applyBorder="1"/>
    <xf numFmtId="0" fontId="0" fillId="13" borderId="0" xfId="0" applyFill="1"/>
    <xf numFmtId="9" fontId="0" fillId="13" borderId="0" xfId="1" applyFont="1" applyFill="1"/>
    <xf numFmtId="9" fontId="0" fillId="13" borderId="2" xfId="1" applyFont="1" applyFill="1" applyBorder="1"/>
    <xf numFmtId="1" fontId="0" fillId="13" borderId="0" xfId="0" applyNumberFormat="1" applyFill="1"/>
    <xf numFmtId="0" fontId="0" fillId="13" borderId="0" xfId="0" applyFill="1" applyAlignment="1">
      <alignment horizontal="right"/>
    </xf>
    <xf numFmtId="0" fontId="0" fillId="13" borderId="0" xfId="1" applyNumberFormat="1" applyFont="1" applyFill="1"/>
    <xf numFmtId="0" fontId="2" fillId="14" borderId="0" xfId="0" applyFont="1" applyFill="1" applyAlignment="1">
      <alignment horizontal="center"/>
    </xf>
    <xf numFmtId="0" fontId="0" fillId="14" borderId="2" xfId="0" applyFill="1" applyBorder="1" applyAlignment="1">
      <alignment horizontal="center"/>
    </xf>
    <xf numFmtId="0" fontId="0" fillId="14" borderId="3" xfId="0" applyFill="1" applyBorder="1" applyAlignment="1">
      <alignment horizontal="center"/>
    </xf>
    <xf numFmtId="0" fontId="0" fillId="14" borderId="2" xfId="0" applyFill="1" applyBorder="1"/>
    <xf numFmtId="0" fontId="0" fillId="14" borderId="2" xfId="0" applyFill="1" applyBorder="1" applyAlignment="1">
      <alignment horizontal="right"/>
    </xf>
    <xf numFmtId="0" fontId="0" fillId="14" borderId="3" xfId="0" applyFill="1" applyBorder="1"/>
    <xf numFmtId="0" fontId="0" fillId="14" borderId="0" xfId="0" applyFill="1"/>
    <xf numFmtId="9" fontId="0" fillId="14" borderId="0" xfId="1" applyFont="1" applyFill="1"/>
    <xf numFmtId="9" fontId="0" fillId="14" borderId="2" xfId="1" applyFont="1" applyFill="1" applyBorder="1"/>
    <xf numFmtId="0" fontId="0" fillId="14" borderId="0" xfId="0" applyFill="1" applyAlignment="1">
      <alignment horizontal="right"/>
    </xf>
    <xf numFmtId="0" fontId="2" fillId="4" borderId="0" xfId="0" applyFont="1" applyFill="1"/>
    <xf numFmtId="0" fontId="2" fillId="4" borderId="0" xfId="0" applyFont="1" applyFill="1" applyAlignment="1">
      <alignment horizontal="center"/>
    </xf>
    <xf numFmtId="0" fontId="3" fillId="4" borderId="0" xfId="0" applyFont="1" applyFill="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2" xfId="0" applyFill="1" applyBorder="1"/>
    <xf numFmtId="0" fontId="0" fillId="4" borderId="2" xfId="0" applyFill="1" applyBorder="1" applyAlignment="1">
      <alignment horizontal="right"/>
    </xf>
    <xf numFmtId="0" fontId="0" fillId="4" borderId="3" xfId="0" applyFill="1" applyBorder="1"/>
    <xf numFmtId="9" fontId="0" fillId="4" borderId="0" xfId="1" applyFont="1" applyFill="1"/>
    <xf numFmtId="9" fontId="0" fillId="4" borderId="2" xfId="1" applyFont="1" applyFill="1" applyBorder="1"/>
    <xf numFmtId="164" fontId="0" fillId="4" borderId="0" xfId="0" applyNumberFormat="1" applyFill="1"/>
    <xf numFmtId="164" fontId="0" fillId="4" borderId="2" xfId="0" applyNumberFormat="1" applyFill="1" applyBorder="1"/>
    <xf numFmtId="0" fontId="0" fillId="4" borderId="0" xfId="0" applyFill="1" applyAlignment="1">
      <alignment horizontal="right"/>
    </xf>
    <xf numFmtId="0" fontId="4" fillId="4" borderId="0" xfId="0" applyFont="1" applyFill="1"/>
    <xf numFmtId="0" fontId="4" fillId="4" borderId="2" xfId="0" applyFont="1" applyFill="1" applyBorder="1"/>
    <xf numFmtId="0" fontId="0" fillId="14" borderId="2" xfId="1" applyNumberFormat="1" applyFont="1" applyFill="1" applyBorder="1"/>
    <xf numFmtId="0" fontId="0" fillId="14" borderId="0" xfId="1" applyNumberFormat="1" applyFont="1" applyFill="1"/>
    <xf numFmtId="0" fontId="4" fillId="4" borderId="0" xfId="0" applyFont="1" applyFill="1" applyAlignment="1">
      <alignment horizontal="center"/>
    </xf>
    <xf numFmtId="0" fontId="0" fillId="4" borderId="2" xfId="1" applyNumberFormat="1" applyFont="1" applyFill="1" applyBorder="1"/>
    <xf numFmtId="0" fontId="0" fillId="4" borderId="0" xfId="1" applyNumberFormat="1" applyFont="1" applyFill="1"/>
    <xf numFmtId="0" fontId="0" fillId="8" borderId="2" xfId="1" applyNumberFormat="1" applyFont="1" applyFill="1" applyBorder="1"/>
    <xf numFmtId="0" fontId="0" fillId="10" borderId="3" xfId="1" applyNumberFormat="1" applyFont="1" applyFill="1" applyBorder="1"/>
    <xf numFmtId="0" fontId="0" fillId="10" borderId="0" xfId="1" quotePrefix="1" applyNumberFormat="1" applyFont="1" applyFill="1"/>
    <xf numFmtId="0" fontId="0" fillId="10" borderId="2" xfId="1" quotePrefix="1" applyNumberFormat="1" applyFont="1" applyFill="1" applyBorder="1"/>
    <xf numFmtId="0" fontId="4" fillId="11" borderId="0" xfId="0" applyFont="1" applyFill="1" applyAlignment="1">
      <alignment horizontal="center"/>
    </xf>
    <xf numFmtId="0" fontId="0" fillId="11" borderId="2" xfId="1" applyNumberFormat="1" applyFont="1" applyFill="1" applyBorder="1"/>
    <xf numFmtId="0" fontId="0" fillId="11" borderId="3" xfId="1" applyNumberFormat="1" applyFont="1" applyFill="1" applyBorder="1"/>
    <xf numFmtId="0" fontId="0" fillId="11" borderId="0" xfId="1" applyNumberFormat="1" applyFont="1" applyFill="1"/>
    <xf numFmtId="0" fontId="6" fillId="11" borderId="0" xfId="0" applyFont="1" applyFill="1" applyAlignment="1">
      <alignment horizontal="center"/>
    </xf>
    <xf numFmtId="0" fontId="4" fillId="6" borderId="0" xfId="0" applyFont="1" applyFill="1" applyAlignment="1">
      <alignment horizontal="center"/>
    </xf>
    <xf numFmtId="0" fontId="6" fillId="6" borderId="0" xfId="0" applyFont="1" applyFill="1" applyAlignment="1">
      <alignment horizontal="center"/>
    </xf>
    <xf numFmtId="0" fontId="2" fillId="4" borderId="0" xfId="0" applyFont="1" applyFill="1" applyAlignment="1">
      <alignment vertical="center"/>
    </xf>
    <xf numFmtId="0" fontId="6" fillId="4" borderId="0" xfId="0" applyFont="1" applyFill="1" applyAlignment="1">
      <alignment horizontal="center"/>
    </xf>
    <xf numFmtId="0" fontId="2" fillId="8" borderId="0" xfId="0" applyFont="1" applyFill="1" applyAlignment="1">
      <alignment vertical="center"/>
    </xf>
    <xf numFmtId="0" fontId="0" fillId="8" borderId="2" xfId="0" applyFill="1" applyBorder="1" applyAlignment="1">
      <alignment horizontal="right"/>
    </xf>
    <xf numFmtId="0" fontId="2" fillId="12" borderId="0" xfId="0" applyFont="1" applyFill="1" applyAlignment="1">
      <alignment vertical="center"/>
    </xf>
    <xf numFmtId="0" fontId="0" fillId="12" borderId="3" xfId="0" applyFill="1" applyBorder="1" applyAlignment="1">
      <alignment horizontal="center"/>
    </xf>
    <xf numFmtId="0" fontId="0" fillId="12" borderId="2" xfId="1" applyNumberFormat="1" applyFont="1" applyFill="1" applyBorder="1"/>
    <xf numFmtId="0" fontId="0" fillId="12" borderId="2" xfId="0" applyFill="1" applyBorder="1" applyAlignment="1">
      <alignment horizontal="right"/>
    </xf>
    <xf numFmtId="0" fontId="2" fillId="10" borderId="0" xfId="0" applyFont="1" applyFill="1" applyAlignment="1">
      <alignment vertical="center"/>
    </xf>
    <xf numFmtId="0" fontId="6" fillId="10" borderId="0" xfId="0" applyFont="1" applyFill="1" applyAlignment="1">
      <alignment horizontal="center"/>
    </xf>
    <xf numFmtId="9" fontId="1" fillId="10" borderId="0" xfId="1" applyFont="1" applyFill="1"/>
    <xf numFmtId="0" fontId="2" fillId="15" borderId="0" xfId="0" applyFont="1" applyFill="1" applyAlignment="1">
      <alignment vertical="center"/>
    </xf>
    <xf numFmtId="0" fontId="4" fillId="15" borderId="0" xfId="0" applyFont="1" applyFill="1" applyAlignment="1">
      <alignment horizontal="center"/>
    </xf>
    <xf numFmtId="0" fontId="6" fillId="15" borderId="0" xfId="0" applyFont="1" applyFill="1" applyAlignment="1">
      <alignment horizontal="center"/>
    </xf>
    <xf numFmtId="0" fontId="0" fillId="15" borderId="2" xfId="0" applyFill="1" applyBorder="1" applyAlignment="1">
      <alignment horizontal="center"/>
    </xf>
    <xf numFmtId="0" fontId="0" fillId="15" borderId="3" xfId="0" applyFill="1" applyBorder="1" applyAlignment="1">
      <alignment horizontal="center"/>
    </xf>
    <xf numFmtId="0" fontId="0" fillId="15" borderId="2" xfId="0" applyFill="1" applyBorder="1"/>
    <xf numFmtId="0" fontId="0" fillId="15" borderId="3" xfId="0" applyFill="1" applyBorder="1"/>
    <xf numFmtId="0" fontId="0" fillId="15" borderId="0" xfId="0" applyFill="1"/>
    <xf numFmtId="9" fontId="1" fillId="15" borderId="0" xfId="1" applyFont="1" applyFill="1"/>
    <xf numFmtId="0" fontId="0" fillId="15" borderId="0" xfId="0" applyFill="1" applyAlignment="1">
      <alignment horizontal="right"/>
    </xf>
    <xf numFmtId="9" fontId="0" fillId="15" borderId="0" xfId="1" applyFont="1" applyFill="1"/>
    <xf numFmtId="0" fontId="2" fillId="16" borderId="0" xfId="0" applyFont="1" applyFill="1" applyAlignment="1">
      <alignment vertical="center"/>
    </xf>
    <xf numFmtId="0" fontId="4" fillId="16" borderId="0" xfId="0" applyFont="1" applyFill="1" applyAlignment="1">
      <alignment horizontal="center"/>
    </xf>
    <xf numFmtId="0" fontId="6" fillId="16" borderId="0" xfId="0" applyFont="1" applyFill="1" applyAlignment="1">
      <alignment horizontal="center"/>
    </xf>
    <xf numFmtId="0" fontId="0" fillId="16" borderId="2" xfId="0" applyFill="1" applyBorder="1" applyAlignment="1">
      <alignment horizontal="center"/>
    </xf>
    <xf numFmtId="0" fontId="0" fillId="16" borderId="3" xfId="0" applyFill="1" applyBorder="1" applyAlignment="1">
      <alignment horizontal="center"/>
    </xf>
    <xf numFmtId="0" fontId="0" fillId="16" borderId="2" xfId="0" applyFill="1" applyBorder="1"/>
    <xf numFmtId="0" fontId="0" fillId="16" borderId="3" xfId="0" applyFill="1" applyBorder="1"/>
    <xf numFmtId="0" fontId="0" fillId="16" borderId="0" xfId="0" applyFill="1"/>
    <xf numFmtId="9" fontId="1" fillId="16" borderId="0" xfId="1" applyFont="1" applyFill="1"/>
    <xf numFmtId="0" fontId="0" fillId="16" borderId="0" xfId="0" applyFill="1" applyAlignment="1">
      <alignment horizontal="right"/>
    </xf>
    <xf numFmtId="9" fontId="0" fillId="16" borderId="0" xfId="1" applyFont="1" applyFill="1"/>
    <xf numFmtId="0" fontId="2" fillId="14" borderId="0" xfId="0" applyFont="1" applyFill="1" applyAlignment="1">
      <alignment vertical="center"/>
    </xf>
    <xf numFmtId="0" fontId="6" fillId="14" borderId="0" xfId="0" applyFont="1" applyFill="1" applyAlignment="1">
      <alignment horizontal="center"/>
    </xf>
    <xf numFmtId="0" fontId="14" fillId="0" borderId="0" xfId="0" applyFont="1" applyAlignment="1">
      <alignment horizontal="center"/>
    </xf>
    <xf numFmtId="0" fontId="15" fillId="0" borderId="0" xfId="0" applyFont="1"/>
    <xf numFmtId="0" fontId="2" fillId="17" borderId="0" xfId="0" applyFont="1" applyFill="1"/>
    <xf numFmtId="0" fontId="4" fillId="17" borderId="0" xfId="0" applyFont="1" applyFill="1" applyAlignment="1">
      <alignment horizontal="center"/>
    </xf>
    <xf numFmtId="0" fontId="3" fillId="17" borderId="0" xfId="0" applyFont="1" applyFill="1" applyAlignment="1">
      <alignment horizontal="center"/>
    </xf>
    <xf numFmtId="0" fontId="0" fillId="17" borderId="0" xfId="0" applyFill="1"/>
    <xf numFmtId="0" fontId="0" fillId="17" borderId="2" xfId="0" applyFill="1" applyBorder="1"/>
    <xf numFmtId="0" fontId="0" fillId="17" borderId="1" xfId="0" applyFill="1" applyBorder="1"/>
    <xf numFmtId="9" fontId="1" fillId="17" borderId="1" xfId="1" applyFont="1" applyFill="1" applyBorder="1"/>
    <xf numFmtId="0" fontId="4" fillId="17" borderId="1" xfId="1" applyNumberFormat="1" applyFont="1" applyFill="1" applyBorder="1"/>
    <xf numFmtId="0" fontId="2" fillId="17" borderId="0" xfId="0" applyFont="1" applyFill="1" applyAlignment="1">
      <alignment horizontal="center"/>
    </xf>
    <xf numFmtId="0" fontId="4" fillId="10" borderId="0" xfId="0" applyFont="1" applyFill="1"/>
    <xf numFmtId="0" fontId="4" fillId="10" borderId="2" xfId="0" applyFont="1" applyFill="1" applyBorder="1"/>
    <xf numFmtId="0" fontId="4" fillId="10" borderId="1" xfId="0" applyFont="1" applyFill="1" applyBorder="1"/>
    <xf numFmtId="9" fontId="4" fillId="10" borderId="1" xfId="1" applyFont="1" applyFill="1" applyBorder="1"/>
    <xf numFmtId="0" fontId="4" fillId="10" borderId="1" xfId="1" applyNumberFormat="1" applyFont="1" applyFill="1" applyBorder="1"/>
    <xf numFmtId="0" fontId="0" fillId="17" borderId="2" xfId="0" applyFill="1" applyBorder="1" applyAlignment="1">
      <alignment horizontal="center"/>
    </xf>
    <xf numFmtId="0" fontId="4" fillId="10" borderId="2" xfId="0" applyFont="1" applyFill="1" applyBorder="1" applyAlignment="1">
      <alignment horizontal="center"/>
    </xf>
    <xf numFmtId="0" fontId="0" fillId="17" borderId="3" xfId="0" applyFill="1" applyBorder="1" applyAlignment="1">
      <alignment horizontal="center"/>
    </xf>
    <xf numFmtId="0" fontId="4" fillId="10" borderId="3" xfId="0" applyFont="1" applyFill="1" applyBorder="1" applyAlignment="1">
      <alignment horizontal="center"/>
    </xf>
    <xf numFmtId="1" fontId="0" fillId="18" borderId="3" xfId="0" applyNumberFormat="1" applyFill="1" applyBorder="1"/>
    <xf numFmtId="1" fontId="0" fillId="17" borderId="3" xfId="0" applyNumberFormat="1" applyFill="1" applyBorder="1"/>
    <xf numFmtId="1" fontId="0" fillId="11" borderId="3" xfId="0" applyNumberFormat="1" applyFill="1" applyBorder="1"/>
    <xf numFmtId="1" fontId="4" fillId="10" borderId="3" xfId="0" applyNumberFormat="1" applyFont="1" applyFill="1" applyBorder="1"/>
    <xf numFmtId="1" fontId="0" fillId="9" borderId="3" xfId="0" applyNumberFormat="1" applyFill="1" applyBorder="1"/>
    <xf numFmtId="1" fontId="0" fillId="6" borderId="3" xfId="0" applyNumberFormat="1" applyFill="1" applyBorder="1"/>
    <xf numFmtId="1" fontId="0" fillId="7" borderId="3" xfId="0" applyNumberFormat="1" applyFill="1" applyBorder="1"/>
    <xf numFmtId="1" fontId="4" fillId="8" borderId="3" xfId="0" applyNumberFormat="1" applyFont="1" applyFill="1" applyBorder="1"/>
    <xf numFmtId="0" fontId="0" fillId="8" borderId="3" xfId="1" applyNumberFormat="1" applyFont="1" applyFill="1" applyBorder="1"/>
    <xf numFmtId="0" fontId="0" fillId="17" borderId="3" xfId="0" applyFill="1" applyBorder="1" applyAlignment="1">
      <alignment horizontal="right"/>
    </xf>
    <xf numFmtId="0" fontId="0" fillId="11" borderId="3" xfId="0" applyFill="1" applyBorder="1" applyAlignment="1">
      <alignment horizontal="right"/>
    </xf>
    <xf numFmtId="0" fontId="4" fillId="10" borderId="3" xfId="0" applyFont="1" applyFill="1" applyBorder="1" applyAlignment="1">
      <alignment horizontal="right"/>
    </xf>
    <xf numFmtId="0" fontId="0" fillId="9" borderId="3" xfId="0" applyFill="1" applyBorder="1" applyAlignment="1">
      <alignment horizontal="right"/>
    </xf>
    <xf numFmtId="0" fontId="0" fillId="6" borderId="3" xfId="0" applyFill="1" applyBorder="1" applyAlignment="1">
      <alignment horizontal="right"/>
    </xf>
    <xf numFmtId="0" fontId="0" fillId="7" borderId="3" xfId="0" applyFill="1" applyBorder="1" applyAlignment="1">
      <alignment horizontal="right"/>
    </xf>
    <xf numFmtId="0" fontId="0" fillId="10" borderId="3" xfId="0" applyFill="1" applyBorder="1" applyAlignment="1">
      <alignment horizontal="right"/>
    </xf>
    <xf numFmtId="0" fontId="4" fillId="8" borderId="3" xfId="0" applyFont="1" applyFill="1" applyBorder="1" applyAlignment="1">
      <alignment horizontal="right"/>
    </xf>
    <xf numFmtId="0" fontId="0" fillId="4" borderId="3" xfId="0" applyFill="1" applyBorder="1" applyAlignment="1">
      <alignment horizontal="right"/>
    </xf>
    <xf numFmtId="0" fontId="0" fillId="17" borderId="3" xfId="0" applyFill="1" applyBorder="1"/>
    <xf numFmtId="0" fontId="4" fillId="10" borderId="3" xfId="0" applyFont="1" applyFill="1" applyBorder="1"/>
    <xf numFmtId="0" fontId="0" fillId="4" borderId="3" xfId="1" applyNumberFormat="1" applyFont="1" applyFill="1" applyBorder="1"/>
    <xf numFmtId="0" fontId="0" fillId="6" borderId="3" xfId="1" applyNumberFormat="1" applyFont="1" applyFill="1" applyBorder="1"/>
    <xf numFmtId="0" fontId="0" fillId="12" borderId="3" xfId="1" applyNumberFormat="1" applyFont="1" applyFill="1" applyBorder="1"/>
    <xf numFmtId="0" fontId="0" fillId="14" borderId="3" xfId="1" applyNumberFormat="1" applyFont="1" applyFill="1" applyBorder="1"/>
    <xf numFmtId="9" fontId="1" fillId="17" borderId="0" xfId="1" applyFont="1" applyFill="1" applyBorder="1"/>
    <xf numFmtId="9" fontId="4" fillId="10" borderId="0" xfId="1" applyFont="1" applyFill="1" applyBorder="1"/>
    <xf numFmtId="0" fontId="1" fillId="17" borderId="0" xfId="1" applyNumberFormat="1" applyFont="1" applyFill="1" applyBorder="1"/>
    <xf numFmtId="0" fontId="4" fillId="17" borderId="0" xfId="1" applyNumberFormat="1" applyFont="1" applyFill="1" applyBorder="1"/>
    <xf numFmtId="0" fontId="4" fillId="10" borderId="0" xfId="1" applyNumberFormat="1" applyFont="1" applyFill="1" applyBorder="1"/>
    <xf numFmtId="1" fontId="0" fillId="17" borderId="0" xfId="0" applyNumberFormat="1" applyFill="1"/>
    <xf numFmtId="1" fontId="4" fillId="17" borderId="0" xfId="1" applyNumberFormat="1" applyFont="1" applyFill="1" applyBorder="1"/>
    <xf numFmtId="3" fontId="4" fillId="10" borderId="0" xfId="0" applyNumberFormat="1" applyFont="1" applyFill="1"/>
    <xf numFmtId="0" fontId="2" fillId="4" borderId="4" xfId="0" applyFont="1" applyFill="1" applyBorder="1" applyAlignment="1">
      <alignment vertical="center"/>
    </xf>
    <xf numFmtId="0" fontId="4" fillId="4" borderId="4" xfId="0" applyFont="1" applyFill="1" applyBorder="1" applyAlignment="1">
      <alignment horizontal="center"/>
    </xf>
    <xf numFmtId="0" fontId="6" fillId="4" borderId="4" xfId="0" applyFon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6" xfId="0" applyFill="1" applyBorder="1"/>
    <xf numFmtId="0" fontId="0" fillId="4" borderId="6" xfId="1" applyNumberFormat="1" applyFont="1" applyFill="1" applyBorder="1"/>
    <xf numFmtId="0" fontId="0" fillId="4" borderId="5" xfId="0" applyFill="1" applyBorder="1"/>
    <xf numFmtId="0" fontId="0" fillId="4" borderId="4" xfId="1" applyNumberFormat="1" applyFont="1" applyFill="1" applyBorder="1"/>
    <xf numFmtId="0" fontId="0" fillId="4" borderId="5" xfId="1" applyNumberFormat="1" applyFont="1" applyFill="1" applyBorder="1"/>
    <xf numFmtId="0" fontId="0" fillId="4" borderId="4" xfId="0" applyFill="1" applyBorder="1"/>
    <xf numFmtId="9" fontId="0" fillId="4" borderId="4" xfId="1" applyFont="1" applyFill="1" applyBorder="1"/>
    <xf numFmtId="9" fontId="0" fillId="4" borderId="5" xfId="1" applyFont="1" applyFill="1" applyBorder="1"/>
    <xf numFmtId="0" fontId="0" fillId="4" borderId="4" xfId="0" applyFill="1" applyBorder="1" applyAlignment="1">
      <alignment horizontal="right"/>
    </xf>
    <xf numFmtId="0" fontId="0" fillId="4" borderId="5" xfId="0" applyFill="1" applyBorder="1" applyAlignment="1">
      <alignment horizontal="right"/>
    </xf>
    <xf numFmtId="1" fontId="0" fillId="13" borderId="2" xfId="0" applyNumberFormat="1" applyFill="1" applyBorder="1"/>
    <xf numFmtId="1" fontId="0" fillId="8" borderId="0" xfId="0" applyNumberFormat="1" applyFill="1"/>
    <xf numFmtId="1" fontId="0" fillId="8" borderId="2" xfId="0" applyNumberFormat="1" applyFill="1" applyBorder="1"/>
    <xf numFmtId="0" fontId="0" fillId="13" borderId="2" xfId="0" applyFill="1" applyBorder="1" applyAlignment="1">
      <alignment horizontal="right"/>
    </xf>
    <xf numFmtId="0" fontId="0" fillId="15" borderId="2" xfId="0" applyFill="1" applyBorder="1" applyAlignment="1">
      <alignment horizontal="right"/>
    </xf>
    <xf numFmtId="0" fontId="0" fillId="16" borderId="2" xfId="0" applyFill="1" applyBorder="1" applyAlignment="1">
      <alignment horizontal="right"/>
    </xf>
    <xf numFmtId="9" fontId="1" fillId="17" borderId="2" xfId="1" applyFont="1" applyFill="1" applyBorder="1"/>
    <xf numFmtId="9" fontId="4" fillId="10" borderId="2" xfId="1" applyFont="1" applyFill="1" applyBorder="1"/>
    <xf numFmtId="9" fontId="1" fillId="10" borderId="2" xfId="1" applyFont="1" applyFill="1" applyBorder="1"/>
    <xf numFmtId="9" fontId="1" fillId="15" borderId="2" xfId="1" applyFont="1" applyFill="1" applyBorder="1"/>
    <xf numFmtId="9" fontId="1" fillId="16" borderId="2" xfId="1" applyFont="1" applyFill="1" applyBorder="1"/>
    <xf numFmtId="9" fontId="1" fillId="0" borderId="2" xfId="1" applyFont="1" applyFill="1" applyBorder="1"/>
    <xf numFmtId="1" fontId="4" fillId="10" borderId="0" xfId="0" applyNumberFormat="1" applyFont="1" applyFill="1"/>
    <xf numFmtId="0" fontId="1" fillId="17" borderId="2" xfId="1" applyNumberFormat="1" applyFont="1" applyFill="1" applyBorder="1"/>
    <xf numFmtId="0" fontId="4" fillId="17" borderId="2" xfId="1" applyNumberFormat="1" applyFont="1" applyFill="1" applyBorder="1"/>
    <xf numFmtId="0" fontId="4" fillId="10" borderId="2" xfId="1" applyNumberFormat="1" applyFont="1" applyFill="1" applyBorder="1"/>
    <xf numFmtId="0" fontId="2" fillId="19" borderId="0" xfId="0" applyFont="1" applyFill="1"/>
    <xf numFmtId="0" fontId="4" fillId="19" borderId="0" xfId="0" applyFont="1" applyFill="1" applyAlignment="1">
      <alignment horizontal="center"/>
    </xf>
    <xf numFmtId="0" fontId="3" fillId="19" borderId="0" xfId="0" applyFont="1" applyFill="1" applyAlignment="1">
      <alignment horizontal="center"/>
    </xf>
    <xf numFmtId="0" fontId="0" fillId="19" borderId="0" xfId="0" applyFill="1" applyAlignment="1">
      <alignment horizontal="center"/>
    </xf>
    <xf numFmtId="0" fontId="0" fillId="19" borderId="2" xfId="0" applyFill="1" applyBorder="1" applyAlignment="1">
      <alignment horizontal="center"/>
    </xf>
    <xf numFmtId="0" fontId="0" fillId="19" borderId="3" xfId="0" applyFill="1" applyBorder="1" applyAlignment="1">
      <alignment horizontal="center"/>
    </xf>
    <xf numFmtId="1" fontId="0" fillId="19" borderId="3" xfId="0" applyNumberFormat="1" applyFill="1" applyBorder="1"/>
    <xf numFmtId="0" fontId="0" fillId="19" borderId="3" xfId="0" applyFill="1" applyBorder="1" applyAlignment="1">
      <alignment horizontal="right"/>
    </xf>
    <xf numFmtId="0" fontId="0" fillId="19" borderId="3" xfId="0" applyFill="1" applyBorder="1"/>
    <xf numFmtId="0" fontId="0" fillId="19" borderId="2" xfId="0" applyFill="1" applyBorder="1"/>
    <xf numFmtId="0" fontId="0" fillId="19" borderId="0" xfId="0" applyFill="1"/>
    <xf numFmtId="9" fontId="1" fillId="19" borderId="1" xfId="1" applyFont="1" applyFill="1" applyBorder="1"/>
    <xf numFmtId="9" fontId="1" fillId="19" borderId="0" xfId="1" applyFont="1" applyFill="1" applyBorder="1"/>
    <xf numFmtId="9" fontId="1" fillId="19" borderId="2" xfId="1" applyFont="1" applyFill="1" applyBorder="1"/>
    <xf numFmtId="0" fontId="1" fillId="19" borderId="0" xfId="1" applyNumberFormat="1" applyFont="1" applyFill="1" applyBorder="1"/>
    <xf numFmtId="0" fontId="1" fillId="19" borderId="2" xfId="1" applyNumberFormat="1" applyFont="1" applyFill="1" applyBorder="1"/>
    <xf numFmtId="1" fontId="0" fillId="19" borderId="0" xfId="0" applyNumberFormat="1" applyFill="1"/>
    <xf numFmtId="0" fontId="0" fillId="19" borderId="1" xfId="0" applyFill="1" applyBorder="1"/>
    <xf numFmtId="0" fontId="4" fillId="19" borderId="1" xfId="1" applyNumberFormat="1" applyFont="1" applyFill="1" applyBorder="1"/>
    <xf numFmtId="0" fontId="4" fillId="19" borderId="0" xfId="1" applyNumberFormat="1" applyFont="1" applyFill="1" applyBorder="1"/>
    <xf numFmtId="0" fontId="2" fillId="19" borderId="0" xfId="0" applyFont="1" applyFill="1" applyAlignment="1">
      <alignment horizontal="center"/>
    </xf>
    <xf numFmtId="165" fontId="0" fillId="19" borderId="1" xfId="0" applyNumberFormat="1" applyFill="1" applyBorder="1"/>
    <xf numFmtId="2" fontId="0" fillId="4" borderId="0" xfId="0" applyNumberFormat="1" applyFill="1"/>
    <xf numFmtId="2" fontId="0" fillId="8" borderId="0" xfId="0" applyNumberFormat="1" applyFill="1"/>
    <xf numFmtId="0" fontId="0" fillId="6" borderId="8" xfId="0" applyFill="1" applyBorder="1"/>
    <xf numFmtId="0" fontId="3" fillId="0" borderId="0" xfId="0" applyFont="1" applyAlignment="1">
      <alignment horizontal="right"/>
    </xf>
    <xf numFmtId="0" fontId="0" fillId="17" borderId="0" xfId="0" applyFill="1" applyAlignment="1">
      <alignment horizontal="center" vertical="center"/>
    </xf>
    <xf numFmtId="0" fontId="0" fillId="19" borderId="0" xfId="0" applyFill="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0" fillId="10" borderId="0" xfId="0" applyFill="1" applyAlignment="1">
      <alignment horizontal="center" vertical="center"/>
    </xf>
    <xf numFmtId="0" fontId="0" fillId="9"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11" borderId="0" xfId="0" applyFill="1" applyAlignment="1">
      <alignment horizontal="center" vertical="center"/>
    </xf>
    <xf numFmtId="0" fontId="4" fillId="8" borderId="0" xfId="0" applyFont="1" applyFill="1" applyAlignment="1">
      <alignment horizontal="center" vertical="center"/>
    </xf>
    <xf numFmtId="0" fontId="0" fillId="8" borderId="0" xfId="0" applyFill="1" applyAlignment="1">
      <alignment horizontal="center" vertical="center"/>
    </xf>
    <xf numFmtId="0" fontId="0" fillId="4" borderId="0" xfId="0" applyFill="1" applyAlignment="1">
      <alignment horizontal="center" vertical="center"/>
    </xf>
    <xf numFmtId="0" fontId="0" fillId="13" borderId="0" xfId="0" applyFill="1" applyAlignment="1">
      <alignment horizontal="center" vertical="center"/>
    </xf>
    <xf numFmtId="0" fontId="0" fillId="4" borderId="4" xfId="0" applyFill="1" applyBorder="1" applyAlignment="1">
      <alignment horizontal="center" vertical="center"/>
    </xf>
    <xf numFmtId="0" fontId="0" fillId="12" borderId="0" xfId="0" applyFill="1" applyAlignment="1">
      <alignment horizontal="center" vertical="center"/>
    </xf>
    <xf numFmtId="0" fontId="0" fillId="15" borderId="0" xfId="0" applyFill="1" applyAlignment="1">
      <alignment horizontal="center" vertical="center"/>
    </xf>
    <xf numFmtId="0" fontId="0" fillId="16" borderId="0" xfId="0" applyFill="1" applyAlignment="1">
      <alignment horizontal="center" vertical="center"/>
    </xf>
    <xf numFmtId="0" fontId="0" fillId="14" borderId="0" xfId="0" applyFill="1" applyAlignment="1">
      <alignment horizontal="center" vertical="center"/>
    </xf>
    <xf numFmtId="0" fontId="0" fillId="0" borderId="0" xfId="0" applyAlignment="1">
      <alignment horizontal="left"/>
    </xf>
    <xf numFmtId="0" fontId="5" fillId="0" borderId="1" xfId="0" applyFont="1" applyBorder="1" applyAlignment="1">
      <alignment horizontal="center"/>
    </xf>
    <xf numFmtId="0" fontId="5" fillId="0" borderId="0" xfId="0" applyFont="1" applyAlignment="1">
      <alignment horizontal="center"/>
    </xf>
    <xf numFmtId="0" fontId="5" fillId="0" borderId="2" xfId="0" applyFont="1" applyBorder="1" applyAlignment="1">
      <alignment horizontal="center"/>
    </xf>
    <xf numFmtId="0" fontId="6" fillId="0" borderId="1" xfId="0" applyFont="1" applyBorder="1" applyAlignment="1">
      <alignment horizontal="center"/>
    </xf>
    <xf numFmtId="0" fontId="6" fillId="0" borderId="0" xfId="0" applyFont="1" applyAlignment="1">
      <alignment horizontal="center"/>
    </xf>
    <xf numFmtId="0" fontId="6" fillId="0" borderId="2" xfId="0" applyFont="1" applyBorder="1" applyAlignment="1">
      <alignment horizontal="center"/>
    </xf>
    <xf numFmtId="0" fontId="7" fillId="0" borderId="0" xfId="0" applyFont="1" applyAlignment="1">
      <alignment horizontal="center" vertical="center" textRotation="90"/>
    </xf>
    <xf numFmtId="0" fontId="3" fillId="0" borderId="0" xfId="0" applyFont="1" applyAlignment="1">
      <alignment horizontal="center"/>
    </xf>
    <xf numFmtId="0" fontId="5" fillId="2" borderId="0" xfId="0" applyFont="1" applyFill="1" applyAlignment="1">
      <alignment horizontal="center" vertical="center"/>
    </xf>
    <xf numFmtId="0" fontId="5" fillId="2" borderId="0" xfId="0" applyFont="1" applyFill="1" applyAlignment="1">
      <alignment horizontal="center" vertical="center" wrapText="1"/>
    </xf>
    <xf numFmtId="0" fontId="7" fillId="0" borderId="7" xfId="0" applyFont="1" applyBorder="1" applyAlignment="1">
      <alignment horizontal="center" vertical="center" textRotation="90"/>
    </xf>
    <xf numFmtId="0" fontId="3" fillId="0" borderId="1" xfId="0" applyFont="1" applyBorder="1"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wrapText="1"/>
    </xf>
  </cellXfs>
  <cellStyles count="3">
    <cellStyle name="Hyperlink" xfId="2" builtinId="8"/>
    <cellStyle name="Normal" xfId="0" builtinId="0"/>
    <cellStyle name="Percent" xfId="1" builtinId="5"/>
  </cellStyles>
  <dxfs count="32">
    <dxf>
      <font>
        <color theme="9"/>
      </font>
    </dxf>
    <dxf>
      <font>
        <color rgb="FFFF0000"/>
      </font>
    </dxf>
    <dxf>
      <font>
        <color rgb="FFFF0000"/>
      </font>
      <fill>
        <patternFill patternType="none">
          <bgColor auto="1"/>
        </patternFill>
      </fill>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
      <font>
        <color rgb="FF9C0006"/>
      </font>
    </dxf>
    <dxf>
      <font>
        <color theme="9"/>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njbca/Documents/Models/OptiPlant/Sources%20and%20documentation/Techno%20economics%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s"/>
      <sheetName val="Fuel production cost"/>
      <sheetName val="Fuel cost graphs"/>
      <sheetName val="Calculations"/>
      <sheetName val="Calculations 2"/>
      <sheetName val="Annuities"/>
      <sheetName val="All_data"/>
      <sheetName val="Desalination"/>
      <sheetName val="Bio-eMeOH plant"/>
      <sheetName val="MeOH plant + CO2"/>
      <sheetName val="NH3 plant + ASU"/>
      <sheetName val=" Storage + Transport"/>
      <sheetName val="Electrolyser + O2+Heat + Grid"/>
      <sheetName val="Solar PV"/>
      <sheetName val="Solar PV tracking"/>
      <sheetName val="Wind_turbines"/>
      <sheetName val="Wind_on"/>
      <sheetName val="Wind_off"/>
      <sheetName val="Sheet1"/>
    </sheetNames>
    <sheetDataSet>
      <sheetData sheetId="0"/>
      <sheetData sheetId="1"/>
      <sheetData sheetId="2"/>
      <sheetData sheetId="3">
        <row r="3">
          <cell r="C3">
            <v>0.89293686936333605</v>
          </cell>
        </row>
        <row r="8">
          <cell r="C8">
            <v>0.75284197846871936</v>
          </cell>
        </row>
        <row r="22">
          <cell r="C22">
            <v>576.1</v>
          </cell>
        </row>
        <row r="23">
          <cell r="C23">
            <v>556.79999999999995</v>
          </cell>
        </row>
        <row r="28">
          <cell r="C28">
            <v>607.5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8" Type="http://schemas.openxmlformats.org/officeDocument/2006/relationships/hyperlink" Target="https://www.hydrogen.energy.gov/pdfs/progress13/xi_5_elgowainy_2013.pdf" TargetMode="External"/><Relationship Id="rId13" Type="http://schemas.openxmlformats.org/officeDocument/2006/relationships/hyperlink" Target="https://ens.dk/en/our-services/projections-and-models/technology-data/technology-data-renewable-fuels" TargetMode="External"/><Relationship Id="rId18" Type="http://schemas.openxmlformats.org/officeDocument/2006/relationships/hyperlink" Target="https://www.hydrogen.energy.gov/program_records.html?print" TargetMode="External"/><Relationship Id="rId26" Type="http://schemas.openxmlformats.org/officeDocument/2006/relationships/hyperlink" Target="https://doi.org/10.1016/j.enconman.2024.118225" TargetMode="External"/><Relationship Id="rId3" Type="http://schemas.openxmlformats.org/officeDocument/2006/relationships/hyperlink" Target="https://doi.org/10.1016/j.egypro.2017.03.1111" TargetMode="External"/><Relationship Id="rId21" Type="http://schemas.openxmlformats.org/officeDocument/2006/relationships/hyperlink" Target="https://webstore.iea.org/the-future-of-hydrogen" TargetMode="External"/><Relationship Id="rId7" Type="http://schemas.openxmlformats.org/officeDocument/2006/relationships/hyperlink" Target="https://www.nrel.gov/docs/fy04osti/35404.pdf" TargetMode="External"/><Relationship Id="rId12" Type="http://schemas.openxmlformats.org/officeDocument/2006/relationships/hyperlink" Target="https://ens.dk/en/our-services/projections-and-models/technology-data/technology-data-generation-electricity-and" TargetMode="External"/><Relationship Id="rId17" Type="http://schemas.openxmlformats.org/officeDocument/2006/relationships/hyperlink" Target="https://www.danskfjernvarme.dk/groen-energi/analyser/210512-power-to-x-og-fjernvarme" TargetMode="External"/><Relationship Id="rId25" Type="http://schemas.openxmlformats.org/officeDocument/2006/relationships/hyperlink" Target="https://atb.nrel.gov/transportation/2020/hydrogen" TargetMode="External"/><Relationship Id="rId2" Type="http://schemas.openxmlformats.org/officeDocument/2006/relationships/hyperlink" Target="https://www.iea.org/reports/world-energy-outlook-2020" TargetMode="External"/><Relationship Id="rId16" Type="http://schemas.openxmlformats.org/officeDocument/2006/relationships/hyperlink" Target="http://dx.doi.org/10.2139/ssrn.4154006" TargetMode="External"/><Relationship Id="rId20" Type="http://schemas.openxmlformats.org/officeDocument/2006/relationships/hyperlink" Target="https://doi.org/10.1016/j.ijhydene.2019.11.028" TargetMode="External"/><Relationship Id="rId29" Type="http://schemas.openxmlformats.org/officeDocument/2006/relationships/hyperlink" Target="https://doi.org/10.1016/j.renene.2024.121410" TargetMode="External"/><Relationship Id="rId1" Type="http://schemas.openxmlformats.org/officeDocument/2006/relationships/hyperlink" Target="https://doi.org/10.1038/s41560-020-00771-9" TargetMode="External"/><Relationship Id="rId6" Type="http://schemas.openxmlformats.org/officeDocument/2006/relationships/hyperlink" Target="https://www.iea.org/reports/net-zero-by-2050" TargetMode="External"/><Relationship Id="rId11" Type="http://schemas.openxmlformats.org/officeDocument/2006/relationships/hyperlink" Target="https://www.sciencedirect.com/science/article/pii/S0360319921030834" TargetMode="External"/><Relationship Id="rId24" Type="http://schemas.openxmlformats.org/officeDocument/2006/relationships/hyperlink" Target="https://ens.dk/en/our-services/projections-and-models/technology-data/technology-data-energy-storage" TargetMode="External"/><Relationship Id="rId5" Type="http://schemas.openxmlformats.org/officeDocument/2006/relationships/hyperlink" Target="https://www.cei.washington.edu/education/science-of-solar/battery-technology/" TargetMode="External"/><Relationship Id="rId15" Type="http://schemas.openxmlformats.org/officeDocument/2006/relationships/hyperlink" Target="https://www.nordicenergy.org/project/np2x/" TargetMode="External"/><Relationship Id="rId23" Type="http://schemas.openxmlformats.org/officeDocument/2006/relationships/hyperlink" Target="https://www.sciencedirect.com/science/article/pii/S0360319918319931" TargetMode="External"/><Relationship Id="rId28" Type="http://schemas.openxmlformats.org/officeDocument/2006/relationships/hyperlink" Target="https://orbit.dtu.dk/en/publications/work-package-2-modelling-of-scenarios-for-power-to-x-and-alternat" TargetMode="External"/><Relationship Id="rId10" Type="http://schemas.openxmlformats.org/officeDocument/2006/relationships/hyperlink" Target="https://www.sciencedirect.com/science/article/pii/B9781782423645000075" TargetMode="External"/><Relationship Id="rId19" Type="http://schemas.openxmlformats.org/officeDocument/2006/relationships/hyperlink" Target="https://www.sciencedirect.com/science/article/pii/S0360319921030834" TargetMode="External"/><Relationship Id="rId4" Type="http://schemas.openxmlformats.org/officeDocument/2006/relationships/hyperlink" Target="https://www.nature.com/articles/s41558-021-01032-7" TargetMode="External"/><Relationship Id="rId9" Type="http://schemas.openxmlformats.org/officeDocument/2006/relationships/hyperlink" Target="https://ens.dk/en/our-services/projections-and-models/technology-data/technology-data-industrial-process-heat-and" TargetMode="External"/><Relationship Id="rId14" Type="http://schemas.openxmlformats.org/officeDocument/2006/relationships/hyperlink" Target="https://op.europa.eu/en/publication-detail/-/publication/1f55ca82-3451-11e6-969e-01aa75ed71a1/language-en" TargetMode="External"/><Relationship Id="rId22" Type="http://schemas.openxmlformats.org/officeDocument/2006/relationships/hyperlink" Target="https://doi.org/10.1016/j.rser.2022.113057" TargetMode="External"/><Relationship Id="rId27" Type="http://schemas.openxmlformats.org/officeDocument/2006/relationships/hyperlink" Target="https://doi.org/10.1021/acs.energyfuels.4c00311" TargetMode="External"/><Relationship Id="rId30" Type="http://schemas.openxmlformats.org/officeDocument/2006/relationships/hyperlink" Target="https://doi.org/10.1039/D2EE01023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C82"/>
  <sheetViews>
    <sheetView zoomScale="82" zoomScaleNormal="145" workbookViewId="0">
      <pane xSplit="6" ySplit="5" topLeftCell="G6" activePane="bottomRight" state="frozen"/>
      <selection pane="topRight" activeCell="F1" sqref="F1"/>
      <selection pane="bottomLeft" activeCell="A12" sqref="A12"/>
      <selection pane="bottomRight" activeCell="E59" sqref="E59"/>
    </sheetView>
  </sheetViews>
  <sheetFormatPr defaultColWidth="8.7265625" defaultRowHeight="14.5" x14ac:dyDescent="0.35"/>
  <cols>
    <col min="1" max="1" width="8.08984375" customWidth="1"/>
    <col min="2" max="2" width="15.6328125" style="2" customWidth="1"/>
    <col min="3" max="4" width="21" style="3" customWidth="1"/>
    <col min="5" max="5" width="19.6328125" style="394" customWidth="1"/>
    <col min="6" max="6" width="3.81640625" style="6" customWidth="1"/>
    <col min="7" max="7" width="13.1796875" style="22" customWidth="1"/>
    <col min="8" max="9" width="29.7265625" style="109" customWidth="1"/>
    <col min="10" max="10" width="24.7265625" style="121" customWidth="1"/>
    <col min="11" max="11" width="20.26953125" style="121" customWidth="1"/>
    <col min="12" max="12" width="9.54296875" style="121" customWidth="1"/>
    <col min="13" max="13" width="11.81640625" style="121" customWidth="1"/>
    <col min="14" max="14" width="12.7265625" style="121" customWidth="1"/>
    <col min="15" max="15" width="10.453125" style="121" customWidth="1"/>
    <col min="16" max="16" width="12.453125" style="121" customWidth="1"/>
    <col min="17" max="17" width="12.1796875" style="15" customWidth="1"/>
    <col min="18" max="18" width="9.7265625" customWidth="1"/>
    <col min="19" max="19" width="9.453125" customWidth="1"/>
    <col min="20" max="20" width="8.26953125" customWidth="1"/>
    <col min="21" max="21" width="10.7265625" style="15" customWidth="1"/>
    <col min="22" max="22" width="10.54296875" customWidth="1"/>
    <col min="23" max="23" width="7.90625" customWidth="1"/>
    <col min="24" max="24" width="7.54296875" customWidth="1"/>
    <col min="25" max="25" width="6.90625" style="15" customWidth="1"/>
    <col min="26" max="26" width="10.54296875" customWidth="1"/>
    <col min="27" max="27" width="7.90625" customWidth="1"/>
    <col min="28" max="28" width="7.54296875" customWidth="1"/>
    <col min="29" max="29" width="7.36328125" style="15" customWidth="1"/>
    <col min="30" max="30" width="10.54296875" customWidth="1"/>
    <col min="31" max="31" width="7.90625" customWidth="1"/>
    <col min="32" max="32" width="7.54296875" customWidth="1"/>
    <col min="33" max="33" width="6.6328125" style="15" customWidth="1"/>
    <col min="34" max="34" width="8.7265625" customWidth="1"/>
    <col min="35" max="35" width="7.90625" customWidth="1"/>
    <col min="36" max="36" width="7.54296875" customWidth="1"/>
    <col min="37" max="37" width="6.6328125" style="15" customWidth="1"/>
    <col min="38" max="38" width="9.1796875" customWidth="1"/>
    <col min="39" max="39" width="7.90625" customWidth="1"/>
    <col min="40" max="40" width="8.7265625" customWidth="1"/>
    <col min="41" max="41" width="6.6328125" style="15" customWidth="1"/>
    <col min="42" max="42" width="10.54296875" customWidth="1"/>
    <col min="43" max="43" width="7.90625" customWidth="1"/>
    <col min="44" max="44" width="7.54296875" customWidth="1"/>
    <col min="45" max="45" width="6.6328125" style="15" customWidth="1"/>
    <col min="46" max="46" width="10.54296875" customWidth="1"/>
    <col min="47" max="47" width="7.90625" customWidth="1"/>
    <col min="48" max="48" width="7.54296875" customWidth="1"/>
    <col min="49" max="49" width="8.6328125" style="15" customWidth="1"/>
    <col min="50" max="50" width="10.54296875" customWidth="1"/>
    <col min="51" max="51" width="7.90625" customWidth="1"/>
    <col min="52" max="52" width="7.54296875" customWidth="1"/>
    <col min="53" max="53" width="6.6328125" style="15" customWidth="1"/>
    <col min="54" max="54" width="7.54296875" customWidth="1"/>
    <col min="55" max="55" width="7" customWidth="1"/>
    <col min="56" max="56" width="7.54296875" customWidth="1"/>
    <col min="57" max="57" width="7.1796875" style="15" customWidth="1"/>
    <col min="58" max="58" width="8.81640625" customWidth="1"/>
    <col min="59" max="59" width="7.90625" customWidth="1"/>
    <col min="60" max="60" width="7.54296875" customWidth="1"/>
    <col min="61" max="61" width="6.6328125" style="15" customWidth="1"/>
    <col min="62" max="62" width="10.54296875" customWidth="1"/>
    <col min="63" max="63" width="11.26953125" customWidth="1"/>
    <col min="64" max="64" width="10.6328125" customWidth="1"/>
    <col min="65" max="65" width="16.6328125" style="15" customWidth="1"/>
    <col min="66" max="66" width="10.90625" customWidth="1"/>
    <col min="67" max="67" width="9.26953125" customWidth="1"/>
    <col min="68" max="68" width="8.54296875" customWidth="1"/>
    <col min="69" max="69" width="9.6328125" style="15" customWidth="1"/>
    <col min="70" max="70" width="6.7265625" customWidth="1"/>
    <col min="71" max="71" width="6.453125" customWidth="1"/>
    <col min="72" max="72" width="7.54296875" customWidth="1"/>
    <col min="73" max="73" width="7.54296875" style="15" customWidth="1"/>
    <col min="74" max="74" width="11" style="17" customWidth="1"/>
    <col min="75" max="75" width="11.1796875" style="17" customWidth="1"/>
    <col min="76" max="76" width="8.7265625" style="17"/>
    <col min="77" max="77" width="8.7265625" style="166"/>
  </cols>
  <sheetData>
    <row r="1" spans="1:81" ht="16" customHeight="1" x14ac:dyDescent="0.35">
      <c r="A1" s="418" t="s">
        <v>0</v>
      </c>
      <c r="B1" s="418"/>
      <c r="C1" s="418"/>
      <c r="D1" s="12"/>
      <c r="E1" s="395"/>
      <c r="F1" s="8"/>
      <c r="G1" s="98" t="s">
        <v>93</v>
      </c>
      <c r="H1" s="110" t="s">
        <v>367</v>
      </c>
      <c r="I1" s="110" t="s">
        <v>368</v>
      </c>
      <c r="J1" s="122" t="s">
        <v>400</v>
      </c>
      <c r="K1" s="127" t="s">
        <v>2</v>
      </c>
      <c r="L1" s="122" t="s">
        <v>4</v>
      </c>
      <c r="M1" s="122" t="s">
        <v>5</v>
      </c>
      <c r="N1" s="122" t="s">
        <v>270</v>
      </c>
      <c r="O1" s="127" t="s">
        <v>3</v>
      </c>
      <c r="P1" s="127" t="s">
        <v>177</v>
      </c>
      <c r="Q1" s="172" t="s">
        <v>6</v>
      </c>
      <c r="R1" s="411" t="s">
        <v>51</v>
      </c>
      <c r="S1" s="412"/>
      <c r="T1" s="412"/>
      <c r="U1" s="413"/>
      <c r="V1" s="411" t="s">
        <v>52</v>
      </c>
      <c r="W1" s="412"/>
      <c r="X1" s="412"/>
      <c r="Y1" s="413"/>
      <c r="Z1" s="411" t="s">
        <v>269</v>
      </c>
      <c r="AA1" s="412"/>
      <c r="AB1" s="412"/>
      <c r="AC1" s="413"/>
      <c r="AD1" s="411" t="s">
        <v>53</v>
      </c>
      <c r="AE1" s="412"/>
      <c r="AF1" s="412"/>
      <c r="AG1" s="413"/>
      <c r="AH1" s="411" t="s">
        <v>54</v>
      </c>
      <c r="AI1" s="412"/>
      <c r="AJ1" s="412"/>
      <c r="AK1" s="413"/>
      <c r="AL1" s="411" t="s">
        <v>55</v>
      </c>
      <c r="AM1" s="412"/>
      <c r="AN1" s="412"/>
      <c r="AO1" s="413"/>
      <c r="AP1" s="411" t="s">
        <v>56</v>
      </c>
      <c r="AQ1" s="412"/>
      <c r="AR1" s="412"/>
      <c r="AS1" s="413"/>
      <c r="AT1" s="411" t="s">
        <v>128</v>
      </c>
      <c r="AU1" s="412"/>
      <c r="AV1" s="412"/>
      <c r="AW1" s="413"/>
      <c r="AX1" s="411" t="s">
        <v>129</v>
      </c>
      <c r="AY1" s="412"/>
      <c r="AZ1" s="412"/>
      <c r="BA1" s="413"/>
      <c r="BB1" s="411" t="s">
        <v>399</v>
      </c>
      <c r="BC1" s="412"/>
      <c r="BD1" s="412"/>
      <c r="BE1" s="413"/>
      <c r="BF1" s="411" t="s">
        <v>130</v>
      </c>
      <c r="BG1" s="412"/>
      <c r="BH1" s="412"/>
      <c r="BI1" s="413"/>
      <c r="BJ1" s="411" t="s">
        <v>460</v>
      </c>
      <c r="BK1" s="412"/>
      <c r="BL1" s="412"/>
      <c r="BM1" s="413"/>
      <c r="BN1" s="411" t="s">
        <v>461</v>
      </c>
      <c r="BO1" s="412"/>
      <c r="BP1" s="412"/>
      <c r="BQ1" s="413"/>
      <c r="BR1" s="411" t="s">
        <v>58</v>
      </c>
      <c r="BS1" s="412"/>
      <c r="BT1" s="412"/>
      <c r="BU1" s="413"/>
      <c r="BV1" s="414" t="s">
        <v>303</v>
      </c>
      <c r="BW1" s="415"/>
      <c r="BX1" s="415"/>
      <c r="BY1" s="416"/>
      <c r="BZ1" s="415" t="s">
        <v>304</v>
      </c>
      <c r="CA1" s="415"/>
      <c r="CB1" s="415"/>
      <c r="CC1" s="415"/>
    </row>
    <row r="2" spans="1:81" s="4" customFormat="1" ht="15" customHeight="1" x14ac:dyDescent="0.35">
      <c r="A2" s="23"/>
      <c r="B2" s="419" t="s">
        <v>7</v>
      </c>
      <c r="C2" s="420" t="s">
        <v>8</v>
      </c>
      <c r="D2" s="419" t="s">
        <v>9</v>
      </c>
      <c r="E2" s="419" t="s">
        <v>474</v>
      </c>
      <c r="F2" s="32" t="s">
        <v>1</v>
      </c>
      <c r="G2" s="99" t="str">
        <f>G1</f>
        <v>Used (1 or 0)</v>
      </c>
      <c r="H2" s="99" t="str">
        <f t="shared" ref="H2:L2" si="0">H1</f>
        <v>Capacity units</v>
      </c>
      <c r="I2" s="99" t="str">
        <f t="shared" si="0"/>
        <v>Output units</v>
      </c>
      <c r="J2" s="99" t="str">
        <f t="shared" si="0"/>
        <v>Yearly demand (output)</v>
      </c>
      <c r="K2" s="99" t="str">
        <f t="shared" si="0"/>
        <v>Produced from</v>
      </c>
      <c r="L2" s="99" t="str">
        <f t="shared" si="0"/>
        <v>El balance</v>
      </c>
      <c r="M2" s="99" t="str">
        <f t="shared" ref="M2" si="1">M1</f>
        <v>Heat balance</v>
      </c>
      <c r="N2" s="99" t="str">
        <f t="shared" ref="N2" si="2">N1</f>
        <v>Process heat balance</v>
      </c>
      <c r="O2" s="99" t="str">
        <f t="shared" ref="O2" si="3">O1</f>
        <v>H2 balance</v>
      </c>
      <c r="P2" s="99" t="str">
        <f t="shared" ref="P2:R2" si="4">P1</f>
        <v>CSP balance</v>
      </c>
      <c r="Q2" s="99" t="str">
        <f t="shared" si="4"/>
        <v>Max Capacity</v>
      </c>
      <c r="R2" s="99" t="str">
        <f t="shared" si="4"/>
        <v>Fuel production rate (kg output/kg input)</v>
      </c>
      <c r="S2" s="99" t="str">
        <f>R1</f>
        <v>Fuel production rate (kg output/kg input)</v>
      </c>
      <c r="T2" s="99" t="str">
        <f>R1</f>
        <v>Fuel production rate (kg output/kg input)</v>
      </c>
      <c r="U2" s="99" t="str">
        <f>R1</f>
        <v>Fuel production rate (kg output/kg input)</v>
      </c>
      <c r="V2" s="16" t="str">
        <f>V1</f>
        <v>Heat generated (kWh/output)</v>
      </c>
      <c r="W2" s="16" t="str">
        <f>V1</f>
        <v>Heat generated (kWh/output)</v>
      </c>
      <c r="X2" s="16" t="str">
        <f>V1</f>
        <v>Heat generated (kWh/output)</v>
      </c>
      <c r="Y2" s="131" t="str">
        <f>V1</f>
        <v>Heat generated (kWh/output)</v>
      </c>
      <c r="Z2" s="16" t="str">
        <f>Z1</f>
        <v>Process heat generated (kWh/output)</v>
      </c>
      <c r="AA2" s="16" t="str">
        <f>Z1</f>
        <v>Process heat generated (kWh/output)</v>
      </c>
      <c r="AB2" s="16" t="str">
        <f>Z1</f>
        <v>Process heat generated (kWh/output)</v>
      </c>
      <c r="AC2" s="131" t="str">
        <f>Z1</f>
        <v>Process heat generated (kWh/output)</v>
      </c>
      <c r="AD2" s="16" t="str">
        <f>AD1</f>
        <v>Load min (% of max capacity)</v>
      </c>
      <c r="AE2" s="16" t="str">
        <f>AD1</f>
        <v>Load min (% of max capacity)</v>
      </c>
      <c r="AF2" s="16" t="str">
        <f>AD1</f>
        <v>Load min (% of max capacity)</v>
      </c>
      <c r="AG2" s="131" t="str">
        <f>AD1</f>
        <v>Load min (% of max capacity)</v>
      </c>
      <c r="AH2" s="16" t="str">
        <f>AH1</f>
        <v>Ramp up (% of capacity /h)</v>
      </c>
      <c r="AI2" s="16" t="str">
        <f>AH1</f>
        <v>Ramp up (% of capacity /h)</v>
      </c>
      <c r="AJ2" s="16" t="str">
        <f>AH1</f>
        <v>Ramp up (% of capacity /h)</v>
      </c>
      <c r="AK2" s="131" t="str">
        <f>AH1</f>
        <v>Ramp up (% of capacity /h)</v>
      </c>
      <c r="AL2" s="16" t="str">
        <f>AL1</f>
        <v>Ramp down (% of capacity /h)</v>
      </c>
      <c r="AM2" s="16" t="str">
        <f>AL1</f>
        <v>Ramp down (% of capacity /h)</v>
      </c>
      <c r="AN2" s="16" t="str">
        <f>AL1</f>
        <v>Ramp down (% of capacity /h)</v>
      </c>
      <c r="AO2" s="131" t="str">
        <f>AL1</f>
        <v>Ramp down (% of capacity /h)</v>
      </c>
      <c r="AP2" s="16" t="str">
        <f>AP1</f>
        <v>Electrical consumption (kWh/output)</v>
      </c>
      <c r="AQ2" s="16" t="str">
        <f>AP1</f>
        <v>Electrical consumption (kWh/output)</v>
      </c>
      <c r="AR2" s="16" t="str">
        <f>AP1</f>
        <v>Electrical consumption (kWh/output)</v>
      </c>
      <c r="AS2" s="131" t="str">
        <f>AP1</f>
        <v>Electrical consumption (kWh/output)</v>
      </c>
      <c r="AT2" s="16" t="str">
        <f>AT1</f>
        <v>Investment (EUR/Capacity installed)</v>
      </c>
      <c r="AU2" s="16" t="str">
        <f>AT1</f>
        <v>Investment (EUR/Capacity installed)</v>
      </c>
      <c r="AV2" s="16" t="str">
        <f>AT1</f>
        <v>Investment (EUR/Capacity installed)</v>
      </c>
      <c r="AW2" s="131" t="str">
        <f>AT1</f>
        <v>Investment (EUR/Capacity installed)</v>
      </c>
      <c r="AX2" s="16" t="str">
        <f>AX1</f>
        <v>Fixed cost (EUR/Capacity installed/y)</v>
      </c>
      <c r="AY2" s="16" t="str">
        <f>AX1</f>
        <v>Fixed cost (EUR/Capacity installed/y)</v>
      </c>
      <c r="AZ2" s="16" t="str">
        <f>AX1</f>
        <v>Fixed cost (EUR/Capacity installed/y)</v>
      </c>
      <c r="BA2" s="131" t="str">
        <f>AX1</f>
        <v>Fixed cost (EUR/Capacity installed/y)</v>
      </c>
      <c r="BB2" s="16" t="str">
        <f>BB1</f>
        <v>Variable cost (EUR/output)</v>
      </c>
      <c r="BC2" s="16" t="str">
        <f>BB1</f>
        <v>Variable cost (EUR/output)</v>
      </c>
      <c r="BD2" s="16" t="str">
        <f>BB1</f>
        <v>Variable cost (EUR/output)</v>
      </c>
      <c r="BE2" s="16" t="str">
        <f>BB1</f>
        <v>Variable cost (EUR/output)</v>
      </c>
      <c r="BF2" s="16" t="str">
        <f>BF1</f>
        <v>Fuel selling price (EUR/output)</v>
      </c>
      <c r="BG2" s="16" t="str">
        <f>BF1</f>
        <v>Fuel selling price (EUR/output)</v>
      </c>
      <c r="BH2" s="16" t="str">
        <f>BF1</f>
        <v>Fuel selling price (EUR/output)</v>
      </c>
      <c r="BI2" s="131" t="str">
        <f>BF1</f>
        <v>Fuel selling price (EUR/output)</v>
      </c>
      <c r="BJ2" s="16" t="str">
        <f>BJ1</f>
        <v>CO2e infrastructure regulated (kg CO2e/Capacity/y)</v>
      </c>
      <c r="BK2" s="16" t="str">
        <f>BJ1</f>
        <v>CO2e infrastructure regulated (kg CO2e/Capacity/y)</v>
      </c>
      <c r="BL2" s="16" t="str">
        <f>BJ1</f>
        <v>CO2e infrastructure regulated (kg CO2e/Capacity/y)</v>
      </c>
      <c r="BM2" s="131" t="str">
        <f>BJ1</f>
        <v>CO2e infrastructure regulated (kg CO2e/Capacity/y)</v>
      </c>
      <c r="BN2" s="16" t="str">
        <f>BN1</f>
        <v>CO2e process regulated (kg CO2e/output)</v>
      </c>
      <c r="BO2" s="16" t="str">
        <f>BN1</f>
        <v>CO2e process regulated (kg CO2e/output)</v>
      </c>
      <c r="BP2" s="16" t="str">
        <f>BN1</f>
        <v>CO2e process regulated (kg CO2e/output)</v>
      </c>
      <c r="BQ2" s="131" t="str">
        <f>BN1</f>
        <v>CO2e process regulated (kg CO2e/output)</v>
      </c>
      <c r="BR2" s="16" t="str">
        <f>BR1</f>
        <v>Annuity factor</v>
      </c>
      <c r="BS2" s="16" t="str">
        <f>BR1</f>
        <v>Annuity factor</v>
      </c>
      <c r="BT2" s="16" t="str">
        <f>BR1</f>
        <v>Annuity factor</v>
      </c>
      <c r="BU2" s="131" t="str">
        <f>BR1</f>
        <v>Annuity factor</v>
      </c>
      <c r="BV2" s="160" t="str">
        <f>BV1</f>
        <v>Lifetime (years)</v>
      </c>
      <c r="BW2" s="160" t="str">
        <f>BV1</f>
        <v>Lifetime (years)</v>
      </c>
      <c r="BX2" s="160" t="str">
        <f>BV1</f>
        <v>Lifetime (years)</v>
      </c>
      <c r="BY2" s="161" t="str">
        <f>BV1</f>
        <v>Lifetime (years)</v>
      </c>
      <c r="BZ2" s="16" t="str">
        <f>BZ1</f>
        <v>Discount rate (%)</v>
      </c>
      <c r="CA2" s="16" t="str">
        <f>BZ1</f>
        <v>Discount rate (%)</v>
      </c>
      <c r="CB2" s="16" t="str">
        <f>BZ1</f>
        <v>Discount rate (%)</v>
      </c>
      <c r="CC2" s="16" t="str">
        <f>BZ1</f>
        <v>Discount rate (%)</v>
      </c>
    </row>
    <row r="3" spans="1:81" s="4" customFormat="1" ht="14" customHeight="1" x14ac:dyDescent="0.35">
      <c r="A3" s="31"/>
      <c r="B3" s="419"/>
      <c r="C3" s="420"/>
      <c r="D3" s="419"/>
      <c r="E3" s="419"/>
      <c r="F3" s="32" t="s">
        <v>66</v>
      </c>
      <c r="G3" s="100" t="s">
        <v>95</v>
      </c>
      <c r="H3" s="112" t="s">
        <v>95</v>
      </c>
      <c r="I3" s="112" t="s">
        <v>95</v>
      </c>
      <c r="J3" s="112" t="s">
        <v>95</v>
      </c>
      <c r="K3" s="112" t="s">
        <v>95</v>
      </c>
      <c r="L3" s="112" t="s">
        <v>95</v>
      </c>
      <c r="M3" s="112" t="s">
        <v>95</v>
      </c>
      <c r="N3" s="112" t="s">
        <v>95</v>
      </c>
      <c r="O3" s="109" t="s">
        <v>95</v>
      </c>
      <c r="P3" s="109" t="s">
        <v>95</v>
      </c>
      <c r="Q3" s="100" t="s">
        <v>95</v>
      </c>
      <c r="R3" s="97">
        <v>2025</v>
      </c>
      <c r="S3" s="97">
        <v>2030</v>
      </c>
      <c r="T3" s="97">
        <v>2040</v>
      </c>
      <c r="U3" s="132">
        <v>2050</v>
      </c>
      <c r="V3" s="97">
        <v>2025</v>
      </c>
      <c r="W3" s="97">
        <v>2030</v>
      </c>
      <c r="X3" s="97">
        <v>2040</v>
      </c>
      <c r="Y3" s="132">
        <v>2050</v>
      </c>
      <c r="Z3" s="97">
        <v>2025</v>
      </c>
      <c r="AA3" s="97">
        <v>2030</v>
      </c>
      <c r="AB3" s="97">
        <v>2040</v>
      </c>
      <c r="AC3" s="132">
        <v>2050</v>
      </c>
      <c r="AD3" s="97">
        <v>2025</v>
      </c>
      <c r="AE3" s="97">
        <v>2030</v>
      </c>
      <c r="AF3" s="97">
        <v>2040</v>
      </c>
      <c r="AG3" s="132">
        <v>2050</v>
      </c>
      <c r="AH3" s="97">
        <v>2025</v>
      </c>
      <c r="AI3" s="97">
        <v>2030</v>
      </c>
      <c r="AJ3" s="97">
        <v>2040</v>
      </c>
      <c r="AK3" s="132">
        <v>2050</v>
      </c>
      <c r="AL3" s="97">
        <v>2025</v>
      </c>
      <c r="AM3" s="97">
        <v>2030</v>
      </c>
      <c r="AN3" s="97">
        <v>2040</v>
      </c>
      <c r="AO3" s="132">
        <v>2050</v>
      </c>
      <c r="AP3" s="97">
        <v>2025</v>
      </c>
      <c r="AQ3" s="97">
        <v>2030</v>
      </c>
      <c r="AR3" s="97">
        <v>2040</v>
      </c>
      <c r="AS3" s="132">
        <v>2050</v>
      </c>
      <c r="AT3" s="97">
        <v>2025</v>
      </c>
      <c r="AU3" s="97">
        <v>2030</v>
      </c>
      <c r="AV3" s="97">
        <v>2040</v>
      </c>
      <c r="AW3" s="132">
        <v>2050</v>
      </c>
      <c r="AX3" s="97">
        <v>2025</v>
      </c>
      <c r="AY3" s="97">
        <v>2030</v>
      </c>
      <c r="AZ3" s="97">
        <v>2040</v>
      </c>
      <c r="BA3" s="132">
        <v>2050</v>
      </c>
      <c r="BB3" s="97">
        <v>2025</v>
      </c>
      <c r="BC3" s="97">
        <v>2030</v>
      </c>
      <c r="BD3" s="97">
        <v>2040</v>
      </c>
      <c r="BE3" s="132">
        <v>2050</v>
      </c>
      <c r="BF3" s="97">
        <v>2025</v>
      </c>
      <c r="BG3" s="97">
        <v>2030</v>
      </c>
      <c r="BH3" s="97">
        <v>2040</v>
      </c>
      <c r="BI3" s="132">
        <v>2050</v>
      </c>
      <c r="BJ3" s="97">
        <v>2025</v>
      </c>
      <c r="BK3" s="97">
        <v>2030</v>
      </c>
      <c r="BL3" s="97">
        <v>2040</v>
      </c>
      <c r="BM3" s="132">
        <v>2050</v>
      </c>
      <c r="BN3" s="97">
        <v>2025</v>
      </c>
      <c r="BO3" s="97">
        <v>2030</v>
      </c>
      <c r="BP3" s="97">
        <v>2040</v>
      </c>
      <c r="BQ3" s="132">
        <v>2050</v>
      </c>
      <c r="BR3" s="97">
        <v>2025</v>
      </c>
      <c r="BS3" s="97">
        <v>2030</v>
      </c>
      <c r="BT3" s="97">
        <v>2040</v>
      </c>
      <c r="BU3" s="132">
        <v>2050</v>
      </c>
      <c r="BV3" s="97">
        <v>2025</v>
      </c>
      <c r="BW3" s="97">
        <v>2030</v>
      </c>
      <c r="BX3" s="97">
        <v>2040</v>
      </c>
      <c r="BY3" s="132">
        <v>2050</v>
      </c>
      <c r="BZ3" s="97">
        <v>2025</v>
      </c>
      <c r="CA3" s="97">
        <v>2030</v>
      </c>
      <c r="CB3" s="97">
        <v>2040</v>
      </c>
      <c r="CC3" s="97">
        <v>2050</v>
      </c>
    </row>
    <row r="4" spans="1:81" s="4" customFormat="1" ht="5.5" customHeight="1" x14ac:dyDescent="0.35">
      <c r="A4" s="31"/>
      <c r="B4" s="419"/>
      <c r="C4" s="420"/>
      <c r="D4" s="419"/>
      <c r="E4" s="419"/>
      <c r="F4" s="32"/>
      <c r="G4" s="100" t="str">
        <f>G2&amp;G3</f>
        <v>Used (1 or 0)All</v>
      </c>
      <c r="H4" s="112" t="str">
        <f>H2&amp;H3</f>
        <v>Capacity unitsAll</v>
      </c>
      <c r="I4" s="112" t="str">
        <f>I2&amp;I3</f>
        <v>Output unitsAll</v>
      </c>
      <c r="J4" s="112" t="str">
        <f t="shared" ref="J4:BD4" si="5">J2&amp;J3</f>
        <v>Yearly demand (output)All</v>
      </c>
      <c r="K4" s="112" t="str">
        <f t="shared" si="5"/>
        <v>Produced fromAll</v>
      </c>
      <c r="L4" s="112" t="str">
        <f t="shared" si="5"/>
        <v>El balanceAll</v>
      </c>
      <c r="M4" s="112" t="str">
        <f t="shared" si="5"/>
        <v>Heat balanceAll</v>
      </c>
      <c r="N4" s="112" t="str">
        <f t="shared" si="5"/>
        <v>Process heat balanceAll</v>
      </c>
      <c r="O4" s="112" t="str">
        <f t="shared" si="5"/>
        <v>H2 balanceAll</v>
      </c>
      <c r="P4" s="112" t="str">
        <f t="shared" si="5"/>
        <v>CSP balanceAll</v>
      </c>
      <c r="Q4" s="100" t="str">
        <f t="shared" si="5"/>
        <v>Max CapacityAll</v>
      </c>
      <c r="R4" s="11" t="str">
        <f t="shared" si="5"/>
        <v>Fuel production rate (kg output/kg input)2025</v>
      </c>
      <c r="S4" s="11" t="str">
        <f t="shared" si="5"/>
        <v>Fuel production rate (kg output/kg input)2030</v>
      </c>
      <c r="T4" s="11" t="str">
        <f t="shared" si="5"/>
        <v>Fuel production rate (kg output/kg input)2040</v>
      </c>
      <c r="U4" s="100" t="str">
        <f t="shared" si="5"/>
        <v>Fuel production rate (kg output/kg input)2050</v>
      </c>
      <c r="V4" s="11" t="str">
        <f t="shared" si="5"/>
        <v>Heat generated (kWh/output)2025</v>
      </c>
      <c r="W4" s="11" t="str">
        <f t="shared" si="5"/>
        <v>Heat generated (kWh/output)2030</v>
      </c>
      <c r="X4" s="11" t="str">
        <f t="shared" si="5"/>
        <v>Heat generated (kWh/output)2040</v>
      </c>
      <c r="Y4" s="100" t="str">
        <f t="shared" si="5"/>
        <v>Heat generated (kWh/output)2050</v>
      </c>
      <c r="Z4" s="11" t="str">
        <f t="shared" si="5"/>
        <v>Process heat generated (kWh/output)2025</v>
      </c>
      <c r="AA4" s="11" t="str">
        <f t="shared" si="5"/>
        <v>Process heat generated (kWh/output)2030</v>
      </c>
      <c r="AB4" s="11" t="str">
        <f t="shared" si="5"/>
        <v>Process heat generated (kWh/output)2040</v>
      </c>
      <c r="AC4" s="100" t="str">
        <f t="shared" si="5"/>
        <v>Process heat generated (kWh/output)2050</v>
      </c>
      <c r="AD4" s="11" t="str">
        <f t="shared" si="5"/>
        <v>Load min (% of max capacity)2025</v>
      </c>
      <c r="AE4" s="11" t="str">
        <f t="shared" si="5"/>
        <v>Load min (% of max capacity)2030</v>
      </c>
      <c r="AF4" s="11" t="str">
        <f t="shared" si="5"/>
        <v>Load min (% of max capacity)2040</v>
      </c>
      <c r="AG4" s="100" t="str">
        <f t="shared" si="5"/>
        <v>Load min (% of max capacity)2050</v>
      </c>
      <c r="AH4" s="11" t="str">
        <f t="shared" si="5"/>
        <v>Ramp up (% of capacity /h)2025</v>
      </c>
      <c r="AI4" s="11" t="str">
        <f t="shared" si="5"/>
        <v>Ramp up (% of capacity /h)2030</v>
      </c>
      <c r="AJ4" s="11" t="str">
        <f t="shared" si="5"/>
        <v>Ramp up (% of capacity /h)2040</v>
      </c>
      <c r="AK4" s="100" t="str">
        <f t="shared" si="5"/>
        <v>Ramp up (% of capacity /h)2050</v>
      </c>
      <c r="AL4" s="11" t="str">
        <f t="shared" si="5"/>
        <v>Ramp down (% of capacity /h)2025</v>
      </c>
      <c r="AM4" s="11" t="str">
        <f t="shared" si="5"/>
        <v>Ramp down (% of capacity /h)2030</v>
      </c>
      <c r="AN4" s="11" t="str">
        <f t="shared" si="5"/>
        <v>Ramp down (% of capacity /h)2040</v>
      </c>
      <c r="AO4" s="100" t="str">
        <f t="shared" si="5"/>
        <v>Ramp down (% of capacity /h)2050</v>
      </c>
      <c r="AP4" s="11" t="str">
        <f t="shared" si="5"/>
        <v>Electrical consumption (kWh/output)2025</v>
      </c>
      <c r="AQ4" s="11" t="str">
        <f t="shared" si="5"/>
        <v>Electrical consumption (kWh/output)2030</v>
      </c>
      <c r="AR4" s="11" t="str">
        <f t="shared" si="5"/>
        <v>Electrical consumption (kWh/output)2040</v>
      </c>
      <c r="AS4" s="100" t="str">
        <f t="shared" si="5"/>
        <v>Electrical consumption (kWh/output)2050</v>
      </c>
      <c r="AT4" s="11" t="str">
        <f t="shared" si="5"/>
        <v>Investment (EUR/Capacity installed)2025</v>
      </c>
      <c r="AU4" s="11" t="str">
        <f t="shared" si="5"/>
        <v>Investment (EUR/Capacity installed)2030</v>
      </c>
      <c r="AV4" s="11" t="str">
        <f t="shared" si="5"/>
        <v>Investment (EUR/Capacity installed)2040</v>
      </c>
      <c r="AW4" s="100" t="str">
        <f t="shared" si="5"/>
        <v>Investment (EUR/Capacity installed)2050</v>
      </c>
      <c r="AX4" s="11" t="str">
        <f t="shared" si="5"/>
        <v>Fixed cost (EUR/Capacity installed/y)2025</v>
      </c>
      <c r="AY4" s="11" t="str">
        <f t="shared" si="5"/>
        <v>Fixed cost (EUR/Capacity installed/y)2030</v>
      </c>
      <c r="AZ4" s="11" t="str">
        <f t="shared" si="5"/>
        <v>Fixed cost (EUR/Capacity installed/y)2040</v>
      </c>
      <c r="BA4" s="100" t="str">
        <f t="shared" si="5"/>
        <v>Fixed cost (EUR/Capacity installed/y)2050</v>
      </c>
      <c r="BB4" s="11" t="str">
        <f t="shared" si="5"/>
        <v>Variable cost (EUR/output)2025</v>
      </c>
      <c r="BC4" s="11" t="str">
        <f t="shared" si="5"/>
        <v>Variable cost (EUR/output)2030</v>
      </c>
      <c r="BD4" s="11" t="str">
        <f t="shared" si="5"/>
        <v>Variable cost (EUR/output)2040</v>
      </c>
      <c r="BE4" s="100" t="str">
        <f t="shared" ref="BE4:BU4" si="6">BE2&amp;BE3</f>
        <v>Variable cost (EUR/output)2050</v>
      </c>
      <c r="BF4" s="11" t="str">
        <f t="shared" si="6"/>
        <v>Fuel selling price (EUR/output)2025</v>
      </c>
      <c r="BG4" s="11" t="str">
        <f t="shared" si="6"/>
        <v>Fuel selling price (EUR/output)2030</v>
      </c>
      <c r="BH4" s="11" t="str">
        <f t="shared" si="6"/>
        <v>Fuel selling price (EUR/output)2040</v>
      </c>
      <c r="BI4" s="100" t="str">
        <f t="shared" si="6"/>
        <v>Fuel selling price (EUR/output)2050</v>
      </c>
      <c r="BJ4" s="11" t="str">
        <f t="shared" si="6"/>
        <v>CO2e infrastructure regulated (kg CO2e/Capacity/y)2025</v>
      </c>
      <c r="BK4" s="11" t="str">
        <f t="shared" si="6"/>
        <v>CO2e infrastructure regulated (kg CO2e/Capacity/y)2030</v>
      </c>
      <c r="BL4" s="11" t="str">
        <f t="shared" si="6"/>
        <v>CO2e infrastructure regulated (kg CO2e/Capacity/y)2040</v>
      </c>
      <c r="BM4" s="100" t="str">
        <f t="shared" si="6"/>
        <v>CO2e infrastructure regulated (kg CO2e/Capacity/y)2050</v>
      </c>
      <c r="BN4" s="11" t="str">
        <f t="shared" si="6"/>
        <v>CO2e process regulated (kg CO2e/output)2025</v>
      </c>
      <c r="BO4" s="11" t="str">
        <f t="shared" si="6"/>
        <v>CO2e process regulated (kg CO2e/output)2030</v>
      </c>
      <c r="BP4" s="11" t="str">
        <f t="shared" si="6"/>
        <v>CO2e process regulated (kg CO2e/output)2040</v>
      </c>
      <c r="BQ4" s="100" t="str">
        <f t="shared" si="6"/>
        <v>CO2e process regulated (kg CO2e/output)2050</v>
      </c>
      <c r="BR4" s="11" t="str">
        <f t="shared" si="6"/>
        <v>Annuity factor2025</v>
      </c>
      <c r="BS4" s="11" t="str">
        <f t="shared" si="6"/>
        <v>Annuity factor2030</v>
      </c>
      <c r="BT4" s="11" t="str">
        <f t="shared" si="6"/>
        <v>Annuity factor2040</v>
      </c>
      <c r="BU4" s="100" t="str">
        <f t="shared" si="6"/>
        <v>Annuity factor2050</v>
      </c>
      <c r="BV4" s="11" t="str">
        <f t="shared" ref="BV4:BY4" si="7">BV2&amp;BV3</f>
        <v>Lifetime (years)2025</v>
      </c>
      <c r="BW4" s="11" t="str">
        <f t="shared" si="7"/>
        <v>Lifetime (years)2030</v>
      </c>
      <c r="BX4" s="11" t="str">
        <f t="shared" si="7"/>
        <v>Lifetime (years)2040</v>
      </c>
      <c r="BY4" s="100" t="str">
        <f t="shared" si="7"/>
        <v>Lifetime (years)2050</v>
      </c>
      <c r="BZ4" s="11" t="str">
        <f t="shared" ref="BZ4:CC4" si="8">BZ2&amp;BZ3</f>
        <v>Discount rate (%)2025</v>
      </c>
      <c r="CA4" s="11" t="str">
        <f t="shared" si="8"/>
        <v>Discount rate (%)2030</v>
      </c>
      <c r="CB4" s="11" t="str">
        <f t="shared" si="8"/>
        <v>Discount rate (%)2040</v>
      </c>
      <c r="CC4" s="11" t="str">
        <f t="shared" si="8"/>
        <v>Discount rate (%)2050</v>
      </c>
    </row>
    <row r="5" spans="1:81" s="5" customFormat="1" ht="16" customHeight="1" x14ac:dyDescent="0.35">
      <c r="B5" s="419"/>
      <c r="C5" s="420"/>
      <c r="D5" s="419"/>
      <c r="E5" s="419"/>
      <c r="F5" s="38" t="s">
        <v>10</v>
      </c>
      <c r="G5" s="101">
        <f t="shared" ref="G5:AQ5" si="9">COLUMN(G2)-COLUMN($F$5)</f>
        <v>1</v>
      </c>
      <c r="H5" s="113">
        <f t="shared" si="9"/>
        <v>2</v>
      </c>
      <c r="I5" s="113">
        <f t="shared" si="9"/>
        <v>3</v>
      </c>
      <c r="J5" s="113">
        <f t="shared" si="9"/>
        <v>4</v>
      </c>
      <c r="K5" s="113">
        <f t="shared" si="9"/>
        <v>5</v>
      </c>
      <c r="L5" s="113">
        <f t="shared" si="9"/>
        <v>6</v>
      </c>
      <c r="M5" s="113">
        <f t="shared" si="9"/>
        <v>7</v>
      </c>
      <c r="N5" s="113">
        <f t="shared" si="9"/>
        <v>8</v>
      </c>
      <c r="O5" s="113">
        <f>COLUMN(O2)-COLUMN($F$5)</f>
        <v>9</v>
      </c>
      <c r="P5" s="113">
        <f>COLUMN(P2)-COLUMN($F$5)</f>
        <v>10</v>
      </c>
      <c r="Q5" s="101">
        <f t="shared" si="9"/>
        <v>11</v>
      </c>
      <c r="R5" s="5">
        <f t="shared" si="9"/>
        <v>12</v>
      </c>
      <c r="S5" s="5">
        <f t="shared" si="9"/>
        <v>13</v>
      </c>
      <c r="T5" s="5">
        <f t="shared" si="9"/>
        <v>14</v>
      </c>
      <c r="U5" s="101">
        <f t="shared" si="9"/>
        <v>15</v>
      </c>
      <c r="V5" s="5">
        <f t="shared" si="9"/>
        <v>16</v>
      </c>
      <c r="W5" s="5">
        <f t="shared" si="9"/>
        <v>17</v>
      </c>
      <c r="X5" s="5">
        <f t="shared" si="9"/>
        <v>18</v>
      </c>
      <c r="Y5" s="101">
        <f t="shared" si="9"/>
        <v>19</v>
      </c>
      <c r="Z5" s="5">
        <f t="shared" si="9"/>
        <v>20</v>
      </c>
      <c r="AA5" s="5">
        <f t="shared" si="9"/>
        <v>21</v>
      </c>
      <c r="AB5" s="5">
        <f t="shared" si="9"/>
        <v>22</v>
      </c>
      <c r="AC5" s="101">
        <f t="shared" si="9"/>
        <v>23</v>
      </c>
      <c r="AD5" s="5">
        <f t="shared" si="9"/>
        <v>24</v>
      </c>
      <c r="AE5" s="5">
        <f t="shared" si="9"/>
        <v>25</v>
      </c>
      <c r="AF5" s="5">
        <f t="shared" si="9"/>
        <v>26</v>
      </c>
      <c r="AG5" s="101">
        <f t="shared" si="9"/>
        <v>27</v>
      </c>
      <c r="AH5" s="5">
        <f t="shared" si="9"/>
        <v>28</v>
      </c>
      <c r="AI5" s="5">
        <f t="shared" si="9"/>
        <v>29</v>
      </c>
      <c r="AJ5" s="5">
        <f t="shared" si="9"/>
        <v>30</v>
      </c>
      <c r="AK5" s="101">
        <f t="shared" si="9"/>
        <v>31</v>
      </c>
      <c r="AL5" s="5">
        <f t="shared" si="9"/>
        <v>32</v>
      </c>
      <c r="AM5" s="5">
        <f t="shared" si="9"/>
        <v>33</v>
      </c>
      <c r="AN5" s="5">
        <f t="shared" si="9"/>
        <v>34</v>
      </c>
      <c r="AO5" s="101">
        <f t="shared" si="9"/>
        <v>35</v>
      </c>
      <c r="AP5" s="5">
        <f t="shared" si="9"/>
        <v>36</v>
      </c>
      <c r="AQ5" s="5">
        <f t="shared" si="9"/>
        <v>37</v>
      </c>
      <c r="AR5" s="5">
        <f t="shared" ref="AR5:BM5" si="10">COLUMN(AR2)-COLUMN($F$5)</f>
        <v>38</v>
      </c>
      <c r="AS5" s="101">
        <f t="shared" si="10"/>
        <v>39</v>
      </c>
      <c r="AT5" s="5">
        <f t="shared" si="10"/>
        <v>40</v>
      </c>
      <c r="AU5" s="5">
        <f t="shared" si="10"/>
        <v>41</v>
      </c>
      <c r="AV5" s="5">
        <f t="shared" si="10"/>
        <v>42</v>
      </c>
      <c r="AW5" s="101">
        <f t="shared" si="10"/>
        <v>43</v>
      </c>
      <c r="AX5" s="5">
        <f t="shared" si="10"/>
        <v>44</v>
      </c>
      <c r="AY5" s="5">
        <f t="shared" si="10"/>
        <v>45</v>
      </c>
      <c r="AZ5" s="5">
        <f t="shared" si="10"/>
        <v>46</v>
      </c>
      <c r="BA5" s="101">
        <f t="shared" si="10"/>
        <v>47</v>
      </c>
      <c r="BB5" s="5">
        <f t="shared" si="10"/>
        <v>48</v>
      </c>
      <c r="BC5" s="5">
        <f t="shared" si="10"/>
        <v>49</v>
      </c>
      <c r="BD5" s="5">
        <f t="shared" si="10"/>
        <v>50</v>
      </c>
      <c r="BE5" s="101">
        <f t="shared" si="10"/>
        <v>51</v>
      </c>
      <c r="BF5" s="5">
        <f t="shared" si="10"/>
        <v>52</v>
      </c>
      <c r="BG5" s="5">
        <f t="shared" si="10"/>
        <v>53</v>
      </c>
      <c r="BH5" s="5">
        <f t="shared" si="10"/>
        <v>54</v>
      </c>
      <c r="BI5" s="101">
        <f t="shared" si="10"/>
        <v>55</v>
      </c>
      <c r="BJ5" s="5">
        <f t="shared" si="10"/>
        <v>56</v>
      </c>
      <c r="BK5" s="5">
        <f t="shared" si="10"/>
        <v>57</v>
      </c>
      <c r="BL5" s="5">
        <f t="shared" si="10"/>
        <v>58</v>
      </c>
      <c r="BM5" s="101">
        <f t="shared" si="10"/>
        <v>59</v>
      </c>
      <c r="BN5" s="5">
        <f t="shared" ref="BN5:BU5" si="11">COLUMN(BN2)-COLUMN($F$5)</f>
        <v>60</v>
      </c>
      <c r="BO5" s="5">
        <f t="shared" si="11"/>
        <v>61</v>
      </c>
      <c r="BP5" s="5">
        <f t="shared" si="11"/>
        <v>62</v>
      </c>
      <c r="BQ5" s="101">
        <f t="shared" si="11"/>
        <v>63</v>
      </c>
      <c r="BR5" s="5">
        <f t="shared" si="11"/>
        <v>64</v>
      </c>
      <c r="BS5" s="5">
        <f t="shared" si="11"/>
        <v>65</v>
      </c>
      <c r="BT5" s="5">
        <f t="shared" si="11"/>
        <v>66</v>
      </c>
      <c r="BU5" s="101">
        <f t="shared" si="11"/>
        <v>67</v>
      </c>
      <c r="BV5" s="5">
        <f t="shared" ref="BV5:BY5" si="12">COLUMN(BV2)-COLUMN($F$5)</f>
        <v>68</v>
      </c>
      <c r="BW5" s="5">
        <f t="shared" si="12"/>
        <v>69</v>
      </c>
      <c r="BX5" s="5">
        <f t="shared" si="12"/>
        <v>70</v>
      </c>
      <c r="BY5" s="101">
        <f t="shared" si="12"/>
        <v>71</v>
      </c>
      <c r="BZ5" s="5">
        <f t="shared" ref="BZ5:CC5" si="13">COLUMN(BZ2)-COLUMN($F$5)</f>
        <v>72</v>
      </c>
      <c r="CA5" s="5">
        <f t="shared" si="13"/>
        <v>73</v>
      </c>
      <c r="CB5" s="5">
        <f t="shared" si="13"/>
        <v>74</v>
      </c>
      <c r="CC5" s="5">
        <f t="shared" si="13"/>
        <v>75</v>
      </c>
    </row>
    <row r="6" spans="1:81" s="25" customFormat="1" ht="18" customHeight="1" x14ac:dyDescent="0.35">
      <c r="A6" s="417" t="s">
        <v>11</v>
      </c>
      <c r="B6" s="285" t="s">
        <v>97</v>
      </c>
      <c r="C6" s="286" t="s">
        <v>180</v>
      </c>
      <c r="D6" s="287" t="s">
        <v>421</v>
      </c>
      <c r="E6" s="392" t="s">
        <v>468</v>
      </c>
      <c r="F6" s="6">
        <f t="shared" ref="F6:F37" si="14">ROW(D5)-ROW($F$4)</f>
        <v>1</v>
      </c>
      <c r="G6" s="299">
        <v>1</v>
      </c>
      <c r="H6" s="301" t="s">
        <v>422</v>
      </c>
      <c r="I6" s="301" t="s">
        <v>423</v>
      </c>
      <c r="J6" s="303">
        <v>3443530.9496236341</v>
      </c>
      <c r="K6" s="312" t="str">
        <f>B7</f>
        <v>Product/Reactant1</v>
      </c>
      <c r="L6" s="321">
        <v>0</v>
      </c>
      <c r="M6" s="321">
        <v>0</v>
      </c>
      <c r="N6" s="321">
        <v>0</v>
      </c>
      <c r="O6" s="321">
        <v>0</v>
      </c>
      <c r="P6" s="321">
        <v>0</v>
      </c>
      <c r="Q6" s="289">
        <v>2000000</v>
      </c>
      <c r="R6" s="288">
        <v>1.7649999999999999</v>
      </c>
      <c r="S6" s="288">
        <f>R6</f>
        <v>1.7649999999999999</v>
      </c>
      <c r="T6" s="288">
        <f t="shared" ref="T6:U6" si="15">S6</f>
        <v>1.7649999999999999</v>
      </c>
      <c r="U6" s="289">
        <f t="shared" si="15"/>
        <v>1.7649999999999999</v>
      </c>
      <c r="V6" s="288">
        <v>0</v>
      </c>
      <c r="W6" s="288">
        <v>0</v>
      </c>
      <c r="X6" s="288">
        <v>0</v>
      </c>
      <c r="Y6" s="289">
        <v>0</v>
      </c>
      <c r="Z6" s="288">
        <v>0</v>
      </c>
      <c r="AA6" s="288">
        <v>0</v>
      </c>
      <c r="AB6" s="288">
        <v>0</v>
      </c>
      <c r="AC6" s="289">
        <v>0</v>
      </c>
      <c r="AD6" s="291">
        <v>0</v>
      </c>
      <c r="AE6" s="327">
        <v>0</v>
      </c>
      <c r="AF6" s="327">
        <v>0</v>
      </c>
      <c r="AG6" s="327">
        <v>0</v>
      </c>
      <c r="AH6" s="291">
        <v>1</v>
      </c>
      <c r="AI6" s="327">
        <v>1</v>
      </c>
      <c r="AJ6" s="327">
        <v>1</v>
      </c>
      <c r="AK6" s="327">
        <v>1</v>
      </c>
      <c r="AL6" s="291">
        <v>1</v>
      </c>
      <c r="AM6" s="327">
        <v>1</v>
      </c>
      <c r="AN6" s="327">
        <v>1</v>
      </c>
      <c r="AO6" s="356">
        <v>1</v>
      </c>
      <c r="AP6" s="329">
        <v>0</v>
      </c>
      <c r="AQ6" s="329">
        <v>0</v>
      </c>
      <c r="AR6" s="329">
        <v>0</v>
      </c>
      <c r="AS6" s="363">
        <v>0</v>
      </c>
      <c r="AT6" s="332">
        <v>0</v>
      </c>
      <c r="AU6" s="332">
        <v>0</v>
      </c>
      <c r="AV6" s="332">
        <v>1</v>
      </c>
      <c r="AW6" s="332">
        <v>2</v>
      </c>
      <c r="AX6" s="290">
        <v>0</v>
      </c>
      <c r="AY6" s="288">
        <v>0</v>
      </c>
      <c r="AZ6" s="288">
        <v>0</v>
      </c>
      <c r="BA6" s="288">
        <v>0</v>
      </c>
      <c r="BB6" s="292">
        <v>2.1279194466572664E-2</v>
      </c>
      <c r="BC6" s="330">
        <v>2.1279194466572664E-2</v>
      </c>
      <c r="BD6" s="330">
        <v>1.02127919446657</v>
      </c>
      <c r="BE6" s="330">
        <v>2.0212791944665698</v>
      </c>
      <c r="BF6" s="290">
        <v>0</v>
      </c>
      <c r="BG6" s="288">
        <v>0</v>
      </c>
      <c r="BH6" s="288">
        <v>0</v>
      </c>
      <c r="BI6" s="289">
        <v>0</v>
      </c>
      <c r="BJ6" s="288">
        <v>0</v>
      </c>
      <c r="BK6" s="288">
        <v>0</v>
      </c>
      <c r="BL6" s="288">
        <v>0</v>
      </c>
      <c r="BM6" s="289">
        <v>0</v>
      </c>
      <c r="BN6" s="288">
        <v>0</v>
      </c>
      <c r="BO6" s="288">
        <v>0</v>
      </c>
      <c r="BP6" s="288">
        <v>0</v>
      </c>
      <c r="BQ6" s="289">
        <v>0</v>
      </c>
      <c r="BR6" s="288">
        <v>0</v>
      </c>
      <c r="BS6" s="288">
        <v>0</v>
      </c>
      <c r="BT6" s="288">
        <v>0</v>
      </c>
      <c r="BU6" s="289">
        <v>0</v>
      </c>
      <c r="BV6" s="288">
        <v>0</v>
      </c>
      <c r="BW6" s="288">
        <v>0</v>
      </c>
      <c r="BX6" s="288">
        <v>0</v>
      </c>
      <c r="BY6" s="289">
        <v>0</v>
      </c>
      <c r="BZ6" s="288">
        <v>0</v>
      </c>
      <c r="CA6" s="288">
        <v>0</v>
      </c>
      <c r="CB6" s="288">
        <v>0</v>
      </c>
      <c r="CC6" s="288">
        <v>0</v>
      </c>
    </row>
    <row r="7" spans="1:81" x14ac:dyDescent="0.35">
      <c r="A7" s="417"/>
      <c r="B7" s="285" t="s">
        <v>96</v>
      </c>
      <c r="C7" s="286" t="s">
        <v>180</v>
      </c>
      <c r="D7" s="287" t="s">
        <v>425</v>
      </c>
      <c r="E7" s="392" t="s">
        <v>86</v>
      </c>
      <c r="F7" s="6">
        <f t="shared" si="14"/>
        <v>2</v>
      </c>
      <c r="G7" s="299">
        <v>1</v>
      </c>
      <c r="H7" s="301" t="s">
        <v>369</v>
      </c>
      <c r="I7" s="301" t="s">
        <v>370</v>
      </c>
      <c r="J7" s="304">
        <f>J6/R6</f>
        <v>1951009.036613957</v>
      </c>
      <c r="K7" s="312" t="str">
        <f>B8</f>
        <v>Product/Reactant2</v>
      </c>
      <c r="L7" s="321">
        <v>0</v>
      </c>
      <c r="M7" s="321">
        <v>0</v>
      </c>
      <c r="N7" s="321">
        <v>0</v>
      </c>
      <c r="O7" s="321">
        <v>0</v>
      </c>
      <c r="P7" s="321">
        <v>0</v>
      </c>
      <c r="Q7" s="289">
        <v>2000000</v>
      </c>
      <c r="R7" s="288">
        <v>1.3740000000000001</v>
      </c>
      <c r="S7" s="288">
        <v>1.3740000000000001</v>
      </c>
      <c r="T7" s="288">
        <v>2.3740000000000001</v>
      </c>
      <c r="U7" s="289">
        <v>3.3740000000000001</v>
      </c>
      <c r="V7" s="288">
        <v>0</v>
      </c>
      <c r="W7" s="288">
        <v>0</v>
      </c>
      <c r="X7" s="288">
        <v>0</v>
      </c>
      <c r="Y7" s="289">
        <v>0</v>
      </c>
      <c r="Z7" s="288">
        <v>0</v>
      </c>
      <c r="AA7" s="288">
        <v>0</v>
      </c>
      <c r="AB7" s="288">
        <v>0</v>
      </c>
      <c r="AC7" s="289">
        <v>0</v>
      </c>
      <c r="AD7" s="291">
        <v>0</v>
      </c>
      <c r="AE7" s="327">
        <v>0</v>
      </c>
      <c r="AF7" s="327">
        <v>0</v>
      </c>
      <c r="AG7" s="327">
        <v>0</v>
      </c>
      <c r="AH7" s="291">
        <v>1</v>
      </c>
      <c r="AI7" s="327">
        <v>1</v>
      </c>
      <c r="AJ7" s="327">
        <v>1</v>
      </c>
      <c r="AK7" s="327">
        <v>1</v>
      </c>
      <c r="AL7" s="291">
        <v>1</v>
      </c>
      <c r="AM7" s="327">
        <v>1</v>
      </c>
      <c r="AN7" s="327">
        <v>1</v>
      </c>
      <c r="AO7" s="356">
        <v>1</v>
      </c>
      <c r="AP7" s="330">
        <v>0.46</v>
      </c>
      <c r="AQ7" s="330">
        <v>0.31</v>
      </c>
      <c r="AR7" s="330">
        <v>0.31</v>
      </c>
      <c r="AS7" s="364">
        <v>0.31</v>
      </c>
      <c r="AT7" s="333">
        <v>8232</v>
      </c>
      <c r="AU7" s="333">
        <v>7608</v>
      </c>
      <c r="AV7" s="333">
        <v>7608</v>
      </c>
      <c r="AW7" s="333">
        <v>7608</v>
      </c>
      <c r="AX7" s="292">
        <v>14.97</v>
      </c>
      <c r="AY7" s="330">
        <v>14.97</v>
      </c>
      <c r="AZ7" s="330">
        <v>14.97</v>
      </c>
      <c r="BA7" s="330">
        <v>14.97</v>
      </c>
      <c r="BB7" s="292">
        <v>0.64</v>
      </c>
      <c r="BC7" s="330">
        <f>BB7</f>
        <v>0.64</v>
      </c>
      <c r="BD7" s="330">
        <f t="shared" ref="BD7:BE7" si="16">BC7</f>
        <v>0.64</v>
      </c>
      <c r="BE7" s="330">
        <f t="shared" si="16"/>
        <v>0.64</v>
      </c>
      <c r="BF7" s="290">
        <v>0</v>
      </c>
      <c r="BG7" s="288">
        <v>0</v>
      </c>
      <c r="BH7" s="288">
        <v>0</v>
      </c>
      <c r="BI7" s="289">
        <v>0</v>
      </c>
      <c r="BJ7" s="288">
        <v>0</v>
      </c>
      <c r="BK7" s="288">
        <v>0</v>
      </c>
      <c r="BL7" s="288">
        <v>0</v>
      </c>
      <c r="BM7" s="289">
        <v>0</v>
      </c>
      <c r="BN7" s="288">
        <v>0</v>
      </c>
      <c r="BO7" s="288">
        <v>0</v>
      </c>
      <c r="BP7" s="288">
        <v>0</v>
      </c>
      <c r="BQ7" s="289">
        <v>0</v>
      </c>
      <c r="BR7" s="288">
        <v>0.10004163570237409</v>
      </c>
      <c r="BS7" s="288">
        <v>0.10004163570237409</v>
      </c>
      <c r="BT7" s="288">
        <v>0.10004163570237409</v>
      </c>
      <c r="BU7" s="289">
        <v>0.10004163570237409</v>
      </c>
      <c r="BV7" s="288">
        <v>0</v>
      </c>
      <c r="BW7" s="288">
        <v>0</v>
      </c>
      <c r="BX7" s="288">
        <v>0</v>
      </c>
      <c r="BY7" s="289">
        <v>0</v>
      </c>
      <c r="BZ7" s="288">
        <v>0</v>
      </c>
      <c r="CA7" s="288">
        <v>0</v>
      </c>
      <c r="CB7" s="288">
        <v>0</v>
      </c>
      <c r="CC7" s="288">
        <v>0</v>
      </c>
    </row>
    <row r="8" spans="1:81" x14ac:dyDescent="0.35">
      <c r="A8" s="417"/>
      <c r="B8" s="285" t="s">
        <v>424</v>
      </c>
      <c r="C8" s="293" t="s">
        <v>119</v>
      </c>
      <c r="D8" s="287" t="s">
        <v>443</v>
      </c>
      <c r="E8" s="392" t="s">
        <v>464</v>
      </c>
      <c r="F8" s="6">
        <f t="shared" si="14"/>
        <v>3</v>
      </c>
      <c r="G8" s="299">
        <v>1</v>
      </c>
      <c r="H8" s="301" t="s">
        <v>371</v>
      </c>
      <c r="I8" s="301" t="s">
        <v>372</v>
      </c>
      <c r="J8" s="304">
        <f>J7/R7</f>
        <v>1419948.3527030253</v>
      </c>
      <c r="K8" s="312" t="str">
        <f>B34</f>
        <v>Reactant10</v>
      </c>
      <c r="L8" s="321">
        <v>0</v>
      </c>
      <c r="M8" s="321">
        <v>1</v>
      </c>
      <c r="N8" s="321">
        <v>0</v>
      </c>
      <c r="O8" s="321">
        <v>0</v>
      </c>
      <c r="P8" s="321">
        <v>0</v>
      </c>
      <c r="Q8" s="289">
        <v>2000000</v>
      </c>
      <c r="R8" s="288">
        <v>5.29</v>
      </c>
      <c r="S8" s="288">
        <f>R8</f>
        <v>5.29</v>
      </c>
      <c r="T8" s="288">
        <f t="shared" ref="T8:U8" si="17">S8</f>
        <v>5.29</v>
      </c>
      <c r="U8" s="289">
        <f t="shared" si="17"/>
        <v>5.29</v>
      </c>
      <c r="V8" s="288">
        <v>0.68</v>
      </c>
      <c r="W8" s="288">
        <v>0.68</v>
      </c>
      <c r="X8" s="288">
        <v>0.68</v>
      </c>
      <c r="Y8" s="289">
        <v>0.68</v>
      </c>
      <c r="Z8" s="288">
        <v>0</v>
      </c>
      <c r="AA8" s="288">
        <v>0</v>
      </c>
      <c r="AB8" s="288">
        <v>0</v>
      </c>
      <c r="AC8" s="288">
        <v>0</v>
      </c>
      <c r="AD8" s="291">
        <v>0.4</v>
      </c>
      <c r="AE8" s="327">
        <v>0.2</v>
      </c>
      <c r="AF8" s="327">
        <v>0.1</v>
      </c>
      <c r="AG8" s="327">
        <v>0.1</v>
      </c>
      <c r="AH8" s="291">
        <v>0.2</v>
      </c>
      <c r="AI8" s="327">
        <v>1</v>
      </c>
      <c r="AJ8" s="327">
        <v>1</v>
      </c>
      <c r="AK8" s="327">
        <v>1</v>
      </c>
      <c r="AL8" s="291">
        <v>0.2</v>
      </c>
      <c r="AM8" s="327">
        <v>1</v>
      </c>
      <c r="AN8" s="327">
        <v>1</v>
      </c>
      <c r="AO8" s="356">
        <v>1</v>
      </c>
      <c r="AP8" s="329">
        <v>0.316</v>
      </c>
      <c r="AQ8" s="329">
        <v>0.316</v>
      </c>
      <c r="AR8" s="329">
        <v>0.316</v>
      </c>
      <c r="AS8" s="363">
        <v>0.316</v>
      </c>
      <c r="AT8" s="332">
        <v>13924</v>
      </c>
      <c r="AU8" s="332">
        <v>84539</v>
      </c>
      <c r="AV8" s="332">
        <v>84539</v>
      </c>
      <c r="AW8" s="332">
        <v>84539</v>
      </c>
      <c r="AX8" s="290">
        <f>AT8*0.05</f>
        <v>696.2</v>
      </c>
      <c r="AY8" s="288">
        <v>696.2</v>
      </c>
      <c r="AZ8" s="288">
        <v>696.2</v>
      </c>
      <c r="BA8" s="288">
        <v>696.2</v>
      </c>
      <c r="BB8" s="292">
        <v>0</v>
      </c>
      <c r="BC8" s="330">
        <v>0</v>
      </c>
      <c r="BD8" s="330">
        <v>0</v>
      </c>
      <c r="BE8" s="330">
        <v>0</v>
      </c>
      <c r="BF8" s="290">
        <v>0</v>
      </c>
      <c r="BG8" s="288">
        <v>0</v>
      </c>
      <c r="BH8" s="288">
        <v>0</v>
      </c>
      <c r="BI8" s="289">
        <v>0</v>
      </c>
      <c r="BJ8" s="288">
        <v>0</v>
      </c>
      <c r="BK8" s="288">
        <v>0</v>
      </c>
      <c r="BL8" s="288">
        <v>0</v>
      </c>
      <c r="BM8" s="289">
        <v>0</v>
      </c>
      <c r="BN8" s="288">
        <v>0</v>
      </c>
      <c r="BO8" s="288">
        <v>0</v>
      </c>
      <c r="BP8" s="288">
        <v>0</v>
      </c>
      <c r="BQ8" s="289">
        <v>0</v>
      </c>
      <c r="BR8" s="288">
        <v>8.4125058621280738E-2</v>
      </c>
      <c r="BS8" s="288">
        <v>8.8495575221238937E-2</v>
      </c>
      <c r="BT8" s="288">
        <v>8.8495575221238937E-2</v>
      </c>
      <c r="BU8" s="289">
        <v>8.8495575221238937E-2</v>
      </c>
      <c r="BV8" s="288">
        <v>0</v>
      </c>
      <c r="BW8" s="288">
        <v>0</v>
      </c>
      <c r="BX8" s="288">
        <v>0</v>
      </c>
      <c r="BY8" s="289">
        <v>0</v>
      </c>
      <c r="BZ8" s="288">
        <v>0</v>
      </c>
      <c r="CA8" s="288">
        <v>0</v>
      </c>
      <c r="CB8" s="288">
        <v>0</v>
      </c>
      <c r="CC8" s="288">
        <v>0</v>
      </c>
    </row>
    <row r="9" spans="1:81" s="376" customFormat="1" x14ac:dyDescent="0.35">
      <c r="A9" s="417"/>
      <c r="B9" s="366" t="s">
        <v>97</v>
      </c>
      <c r="C9" s="367" t="s">
        <v>180</v>
      </c>
      <c r="D9" s="368" t="s">
        <v>426</v>
      </c>
      <c r="E9" s="393" t="s">
        <v>468</v>
      </c>
      <c r="F9" s="6">
        <f t="shared" si="14"/>
        <v>4</v>
      </c>
      <c r="G9" s="370">
        <v>1</v>
      </c>
      <c r="H9" s="371" t="s">
        <v>422</v>
      </c>
      <c r="I9" s="371" t="s">
        <v>423</v>
      </c>
      <c r="J9" s="372">
        <f>J6</f>
        <v>3443530.9496236341</v>
      </c>
      <c r="K9" s="373" t="str">
        <f>B10</f>
        <v>Product/Reactant3</v>
      </c>
      <c r="L9" s="374">
        <v>0</v>
      </c>
      <c r="M9" s="374">
        <v>0</v>
      </c>
      <c r="N9" s="374">
        <v>0</v>
      </c>
      <c r="O9" s="374">
        <v>0</v>
      </c>
      <c r="P9" s="374">
        <v>0</v>
      </c>
      <c r="Q9" s="375">
        <v>2000000</v>
      </c>
      <c r="R9" s="376">
        <v>0.77400000000000002</v>
      </c>
      <c r="S9" s="376">
        <v>0.85399999999999998</v>
      </c>
      <c r="T9" s="376">
        <v>0.85399999999999998</v>
      </c>
      <c r="U9" s="375">
        <v>0.85399999999999998</v>
      </c>
      <c r="V9" s="376">
        <v>0</v>
      </c>
      <c r="W9" s="376">
        <v>0</v>
      </c>
      <c r="X9" s="376">
        <v>0</v>
      </c>
      <c r="Y9" s="375">
        <v>0</v>
      </c>
      <c r="Z9" s="376">
        <v>0</v>
      </c>
      <c r="AA9" s="376">
        <v>0</v>
      </c>
      <c r="AB9" s="376">
        <v>0</v>
      </c>
      <c r="AC9" s="375">
        <v>0</v>
      </c>
      <c r="AD9" s="377">
        <v>0</v>
      </c>
      <c r="AE9" s="378">
        <v>0</v>
      </c>
      <c r="AF9" s="378">
        <v>0</v>
      </c>
      <c r="AG9" s="378">
        <v>0</v>
      </c>
      <c r="AH9" s="377">
        <v>1</v>
      </c>
      <c r="AI9" s="378">
        <v>1</v>
      </c>
      <c r="AJ9" s="378">
        <v>1</v>
      </c>
      <c r="AK9" s="378">
        <v>1</v>
      </c>
      <c r="AL9" s="377">
        <v>1</v>
      </c>
      <c r="AM9" s="378">
        <v>1</v>
      </c>
      <c r="AN9" s="378">
        <v>1</v>
      </c>
      <c r="AO9" s="379">
        <v>1</v>
      </c>
      <c r="AP9" s="380">
        <v>0</v>
      </c>
      <c r="AQ9" s="380">
        <v>0</v>
      </c>
      <c r="AR9" s="380">
        <v>0</v>
      </c>
      <c r="AS9" s="381">
        <v>0</v>
      </c>
      <c r="AT9" s="382">
        <v>0</v>
      </c>
      <c r="AU9" s="382">
        <v>0</v>
      </c>
      <c r="AV9" s="382">
        <v>0</v>
      </c>
      <c r="AW9" s="382">
        <v>0</v>
      </c>
      <c r="AX9" s="383">
        <v>0</v>
      </c>
      <c r="AY9" s="376">
        <v>0</v>
      </c>
      <c r="AZ9" s="376">
        <v>0</v>
      </c>
      <c r="BA9" s="376">
        <v>0</v>
      </c>
      <c r="BB9" s="384">
        <v>2.1279194466572664E-2</v>
      </c>
      <c r="BC9" s="385">
        <v>2.1279194466572664E-2</v>
      </c>
      <c r="BD9" s="385">
        <v>2.1279194466572664E-2</v>
      </c>
      <c r="BE9" s="385">
        <v>2.1279194466572664E-2</v>
      </c>
      <c r="BF9" s="383">
        <v>0</v>
      </c>
      <c r="BG9" s="376">
        <v>0</v>
      </c>
      <c r="BH9" s="376">
        <v>0</v>
      </c>
      <c r="BI9" s="375">
        <v>0</v>
      </c>
      <c r="BJ9" s="376">
        <v>0</v>
      </c>
      <c r="BK9" s="376">
        <v>0</v>
      </c>
      <c r="BL9" s="376">
        <v>0</v>
      </c>
      <c r="BM9" s="375">
        <v>0</v>
      </c>
      <c r="BN9" s="376">
        <v>0</v>
      </c>
      <c r="BO9" s="376">
        <v>0</v>
      </c>
      <c r="BP9" s="376">
        <v>0</v>
      </c>
      <c r="BQ9" s="375">
        <v>0</v>
      </c>
      <c r="BR9" s="376">
        <v>0</v>
      </c>
      <c r="BS9" s="376">
        <v>0</v>
      </c>
      <c r="BT9" s="376">
        <v>0</v>
      </c>
      <c r="BU9" s="375">
        <v>0</v>
      </c>
      <c r="BV9" s="376">
        <v>0</v>
      </c>
      <c r="BW9" s="376">
        <v>0</v>
      </c>
      <c r="BX9" s="376">
        <v>0</v>
      </c>
      <c r="BY9" s="375">
        <v>0</v>
      </c>
      <c r="BZ9" s="376">
        <v>0</v>
      </c>
      <c r="CA9" s="376">
        <v>0</v>
      </c>
      <c r="CB9" s="376">
        <v>0</v>
      </c>
      <c r="CC9" s="376">
        <v>0</v>
      </c>
    </row>
    <row r="10" spans="1:81" s="376" customFormat="1" x14ac:dyDescent="0.35">
      <c r="A10" s="417"/>
      <c r="B10" s="366" t="s">
        <v>98</v>
      </c>
      <c r="C10" s="386" t="s">
        <v>119</v>
      </c>
      <c r="D10" s="368" t="s">
        <v>444</v>
      </c>
      <c r="E10" s="393" t="s">
        <v>464</v>
      </c>
      <c r="F10" s="6">
        <f t="shared" si="14"/>
        <v>5</v>
      </c>
      <c r="G10" s="370">
        <v>1</v>
      </c>
      <c r="H10" s="371" t="s">
        <v>371</v>
      </c>
      <c r="I10" s="371" t="s">
        <v>372</v>
      </c>
      <c r="J10" s="372">
        <f>J9/R9</f>
        <v>4449006.3948625764</v>
      </c>
      <c r="K10" s="373" t="str">
        <f>B34</f>
        <v>Reactant10</v>
      </c>
      <c r="L10" s="374">
        <v>0</v>
      </c>
      <c r="M10" s="374">
        <v>1</v>
      </c>
      <c r="N10" s="374">
        <v>0</v>
      </c>
      <c r="O10" s="374">
        <v>0</v>
      </c>
      <c r="P10" s="374">
        <v>0</v>
      </c>
      <c r="Q10" s="375">
        <v>2000000</v>
      </c>
      <c r="R10" s="376">
        <v>22</v>
      </c>
      <c r="S10" s="376">
        <v>22.02</v>
      </c>
      <c r="T10" s="376">
        <v>22.02</v>
      </c>
      <c r="U10" s="375">
        <v>22.02</v>
      </c>
      <c r="V10" s="376">
        <v>1.23</v>
      </c>
      <c r="W10" s="376">
        <v>1.232</v>
      </c>
      <c r="X10" s="376">
        <v>1.232</v>
      </c>
      <c r="Y10" s="375">
        <v>1.232</v>
      </c>
      <c r="Z10" s="376">
        <v>0</v>
      </c>
      <c r="AA10" s="376">
        <v>0</v>
      </c>
      <c r="AB10" s="376">
        <v>0</v>
      </c>
      <c r="AC10" s="376">
        <v>0</v>
      </c>
      <c r="AD10" s="377">
        <v>0.4</v>
      </c>
      <c r="AE10" s="378">
        <v>0.2</v>
      </c>
      <c r="AF10" s="378">
        <v>0.1</v>
      </c>
      <c r="AG10" s="378">
        <v>0.1</v>
      </c>
      <c r="AH10" s="377">
        <v>0.2</v>
      </c>
      <c r="AI10" s="378">
        <v>1</v>
      </c>
      <c r="AJ10" s="378">
        <v>1</v>
      </c>
      <c r="AK10" s="378">
        <v>1</v>
      </c>
      <c r="AL10" s="377">
        <v>0.2</v>
      </c>
      <c r="AM10" s="378">
        <v>1</v>
      </c>
      <c r="AN10" s="378">
        <v>1</v>
      </c>
      <c r="AO10" s="379">
        <v>1</v>
      </c>
      <c r="AP10" s="380">
        <v>1.31</v>
      </c>
      <c r="AQ10" s="380">
        <v>1.31</v>
      </c>
      <c r="AR10" s="380">
        <v>1.31</v>
      </c>
      <c r="AS10" s="381">
        <v>1.31</v>
      </c>
      <c r="AT10" s="382">
        <v>11190</v>
      </c>
      <c r="AU10" s="382">
        <f>AT10</f>
        <v>11190</v>
      </c>
      <c r="AV10" s="382">
        <f t="shared" ref="AV10:AW10" si="18">AU10</f>
        <v>11190</v>
      </c>
      <c r="AW10" s="382">
        <f t="shared" si="18"/>
        <v>11190</v>
      </c>
      <c r="AX10" s="387">
        <f>AT10*0.05</f>
        <v>559.5</v>
      </c>
      <c r="AY10" s="376">
        <v>3450</v>
      </c>
      <c r="AZ10" s="376">
        <v>3450</v>
      </c>
      <c r="BA10" s="376">
        <v>3450</v>
      </c>
      <c r="BB10" s="384">
        <v>0</v>
      </c>
      <c r="BC10" s="385">
        <v>0</v>
      </c>
      <c r="BD10" s="385">
        <v>0</v>
      </c>
      <c r="BE10" s="385">
        <v>0</v>
      </c>
      <c r="BF10" s="383">
        <v>0</v>
      </c>
      <c r="BG10" s="376">
        <v>0</v>
      </c>
      <c r="BH10" s="376">
        <v>0</v>
      </c>
      <c r="BI10" s="375">
        <v>0</v>
      </c>
      <c r="BJ10" s="376">
        <v>0</v>
      </c>
      <c r="BK10" s="376">
        <v>0</v>
      </c>
      <c r="BL10" s="376">
        <v>0</v>
      </c>
      <c r="BM10" s="375">
        <v>0</v>
      </c>
      <c r="BN10" s="376">
        <v>0</v>
      </c>
      <c r="BO10" s="376">
        <v>0</v>
      </c>
      <c r="BP10" s="376">
        <v>0</v>
      </c>
      <c r="BQ10" s="375">
        <v>0</v>
      </c>
      <c r="BR10" s="376">
        <v>8.4125058621280738E-2</v>
      </c>
      <c r="BS10" s="376">
        <f>BS8</f>
        <v>8.8495575221238937E-2</v>
      </c>
      <c r="BT10" s="376">
        <f t="shared" ref="BT10:BU10" si="19">BT8</f>
        <v>8.8495575221238937E-2</v>
      </c>
      <c r="BU10" s="375">
        <f t="shared" si="19"/>
        <v>8.8495575221238937E-2</v>
      </c>
      <c r="BV10" s="376">
        <v>0</v>
      </c>
      <c r="BW10" s="376">
        <v>0</v>
      </c>
      <c r="BX10" s="376">
        <v>0</v>
      </c>
      <c r="BY10" s="375">
        <v>0</v>
      </c>
      <c r="BZ10" s="376">
        <v>0</v>
      </c>
      <c r="CA10" s="376">
        <v>0</v>
      </c>
      <c r="CB10" s="376">
        <v>0</v>
      </c>
      <c r="CC10" s="376">
        <v>0</v>
      </c>
    </row>
    <row r="11" spans="1:81" x14ac:dyDescent="0.35">
      <c r="A11" s="417"/>
      <c r="B11" s="75" t="s">
        <v>97</v>
      </c>
      <c r="C11" s="76" t="s">
        <v>180</v>
      </c>
      <c r="D11" s="77" t="s">
        <v>428</v>
      </c>
      <c r="E11" s="396" t="s">
        <v>468</v>
      </c>
      <c r="F11" s="6">
        <f t="shared" si="14"/>
        <v>6</v>
      </c>
      <c r="G11" s="300">
        <v>1</v>
      </c>
      <c r="H11" s="302" t="s">
        <v>422</v>
      </c>
      <c r="I11" s="302" t="s">
        <v>423</v>
      </c>
      <c r="J11" s="303">
        <f>J6</f>
        <v>3443530.9496236341</v>
      </c>
      <c r="K11" s="314" t="str">
        <f>B12</f>
        <v>Product/Reactant4</v>
      </c>
      <c r="L11" s="322">
        <v>0</v>
      </c>
      <c r="M11" s="322">
        <v>0</v>
      </c>
      <c r="N11" s="322">
        <v>0</v>
      </c>
      <c r="O11" s="322">
        <v>0</v>
      </c>
      <c r="P11" s="322">
        <v>0</v>
      </c>
      <c r="Q11" s="295">
        <v>2000000</v>
      </c>
      <c r="R11" s="294">
        <v>1.546</v>
      </c>
      <c r="S11" s="294">
        <f t="shared" ref="S11:U12" si="20">R11</f>
        <v>1.546</v>
      </c>
      <c r="T11" s="294">
        <f t="shared" si="20"/>
        <v>1.546</v>
      </c>
      <c r="U11" s="295">
        <f t="shared" si="20"/>
        <v>1.546</v>
      </c>
      <c r="V11" s="294">
        <v>0</v>
      </c>
      <c r="W11" s="294">
        <v>0</v>
      </c>
      <c r="X11" s="294">
        <v>0</v>
      </c>
      <c r="Y11" s="295">
        <v>0</v>
      </c>
      <c r="Z11" s="294">
        <v>0</v>
      </c>
      <c r="AA11" s="294">
        <v>0</v>
      </c>
      <c r="AB11" s="294">
        <v>0</v>
      </c>
      <c r="AC11" s="295">
        <v>0</v>
      </c>
      <c r="AD11" s="297">
        <v>0</v>
      </c>
      <c r="AE11" s="328">
        <v>0</v>
      </c>
      <c r="AF11" s="328">
        <v>0</v>
      </c>
      <c r="AG11" s="328">
        <v>0</v>
      </c>
      <c r="AH11" s="297">
        <v>1</v>
      </c>
      <c r="AI11" s="328">
        <v>1</v>
      </c>
      <c r="AJ11" s="328">
        <v>1</v>
      </c>
      <c r="AK11" s="328">
        <v>1</v>
      </c>
      <c r="AL11" s="297">
        <v>1</v>
      </c>
      <c r="AM11" s="328">
        <v>1</v>
      </c>
      <c r="AN11" s="328">
        <v>1</v>
      </c>
      <c r="AO11" s="357">
        <v>1</v>
      </c>
      <c r="AP11" s="331">
        <v>0</v>
      </c>
      <c r="AQ11" s="331">
        <v>0</v>
      </c>
      <c r="AR11" s="331">
        <v>0</v>
      </c>
      <c r="AS11" s="365">
        <v>0</v>
      </c>
      <c r="AT11" s="362">
        <v>0</v>
      </c>
      <c r="AU11" s="294">
        <v>0</v>
      </c>
      <c r="AV11" s="294">
        <v>0</v>
      </c>
      <c r="AW11" s="294">
        <v>0</v>
      </c>
      <c r="AX11" s="296">
        <v>0</v>
      </c>
      <c r="AY11" s="294">
        <v>0</v>
      </c>
      <c r="AZ11" s="294">
        <v>0</v>
      </c>
      <c r="BA11" s="294">
        <v>0</v>
      </c>
      <c r="BB11" s="298">
        <v>2.1279194466572664E-2</v>
      </c>
      <c r="BC11" s="331">
        <v>2.1279194466572664E-2</v>
      </c>
      <c r="BD11" s="331">
        <v>2.1279194466572664E-2</v>
      </c>
      <c r="BE11" s="331">
        <v>2.1279194466572664E-2</v>
      </c>
      <c r="BF11" s="296">
        <v>0</v>
      </c>
      <c r="BG11" s="294">
        <v>0</v>
      </c>
      <c r="BH11" s="294">
        <v>0</v>
      </c>
      <c r="BI11" s="295">
        <v>0</v>
      </c>
      <c r="BJ11" s="294">
        <v>0</v>
      </c>
      <c r="BK11" s="294">
        <v>0</v>
      </c>
      <c r="BL11" s="294">
        <v>0</v>
      </c>
      <c r="BM11" s="295">
        <v>0</v>
      </c>
      <c r="BN11" s="294">
        <v>0</v>
      </c>
      <c r="BO11" s="294">
        <v>0</v>
      </c>
      <c r="BP11" s="294">
        <v>0</v>
      </c>
      <c r="BQ11" s="295">
        <v>0</v>
      </c>
      <c r="BR11" s="294">
        <v>0</v>
      </c>
      <c r="BS11" s="294">
        <v>0</v>
      </c>
      <c r="BT11" s="294">
        <v>0</v>
      </c>
      <c r="BU11" s="295">
        <v>0</v>
      </c>
      <c r="BV11" s="294">
        <v>0</v>
      </c>
      <c r="BW11" s="294">
        <v>0</v>
      </c>
      <c r="BX11" s="294">
        <v>0</v>
      </c>
      <c r="BY11" s="295">
        <v>0</v>
      </c>
      <c r="BZ11" s="294">
        <v>0</v>
      </c>
      <c r="CA11" s="294">
        <v>0</v>
      </c>
      <c r="CB11" s="294">
        <v>0</v>
      </c>
      <c r="CC11" s="294">
        <v>0</v>
      </c>
    </row>
    <row r="12" spans="1:81" x14ac:dyDescent="0.35">
      <c r="A12" s="417"/>
      <c r="B12" s="75" t="s">
        <v>427</v>
      </c>
      <c r="C12" s="82" t="s">
        <v>119</v>
      </c>
      <c r="D12" s="77" t="s">
        <v>442</v>
      </c>
      <c r="E12" s="396" t="s">
        <v>464</v>
      </c>
      <c r="F12" s="6">
        <f t="shared" si="14"/>
        <v>7</v>
      </c>
      <c r="G12" s="300">
        <v>1</v>
      </c>
      <c r="H12" s="302" t="s">
        <v>430</v>
      </c>
      <c r="I12" s="302" t="s">
        <v>431</v>
      </c>
      <c r="J12" s="306">
        <f>J11/R11</f>
        <v>2227380.9505974348</v>
      </c>
      <c r="K12" s="314" t="str">
        <f>B34</f>
        <v>Reactant10</v>
      </c>
      <c r="L12" s="322">
        <v>0</v>
      </c>
      <c r="M12" s="322">
        <v>1</v>
      </c>
      <c r="N12" s="322">
        <v>0</v>
      </c>
      <c r="O12" s="322">
        <v>0</v>
      </c>
      <c r="P12" s="322">
        <v>0</v>
      </c>
      <c r="Q12" s="295">
        <v>2000000</v>
      </c>
      <c r="R12" s="296">
        <v>6.2839999999999998</v>
      </c>
      <c r="S12" s="294">
        <f t="shared" si="20"/>
        <v>6.2839999999999998</v>
      </c>
      <c r="T12" s="294">
        <f t="shared" si="20"/>
        <v>6.2839999999999998</v>
      </c>
      <c r="U12" s="295">
        <f t="shared" si="20"/>
        <v>6.2839999999999998</v>
      </c>
      <c r="V12" s="294">
        <v>0</v>
      </c>
      <c r="W12" s="294">
        <v>0</v>
      </c>
      <c r="X12" s="294">
        <v>0</v>
      </c>
      <c r="Y12" s="295">
        <v>0</v>
      </c>
      <c r="Z12" s="294">
        <v>0</v>
      </c>
      <c r="AA12" s="294">
        <v>0</v>
      </c>
      <c r="AB12" s="294">
        <v>0</v>
      </c>
      <c r="AC12" s="295">
        <v>0</v>
      </c>
      <c r="AD12" s="297">
        <v>0</v>
      </c>
      <c r="AE12" s="328">
        <v>0</v>
      </c>
      <c r="AF12" s="328">
        <v>0</v>
      </c>
      <c r="AG12" s="328">
        <v>0</v>
      </c>
      <c r="AH12" s="297">
        <v>0.2</v>
      </c>
      <c r="AI12" s="328">
        <v>1</v>
      </c>
      <c r="AJ12" s="328">
        <v>1</v>
      </c>
      <c r="AK12" s="328">
        <v>1</v>
      </c>
      <c r="AL12" s="297">
        <v>0.2</v>
      </c>
      <c r="AM12" s="328">
        <v>1</v>
      </c>
      <c r="AN12" s="328">
        <v>1</v>
      </c>
      <c r="AO12" s="357">
        <v>1</v>
      </c>
      <c r="AP12" s="331">
        <v>0.36109999999999998</v>
      </c>
      <c r="AQ12" s="331">
        <v>0.37657000000000002</v>
      </c>
      <c r="AR12" s="331">
        <v>0.37657000000000002</v>
      </c>
      <c r="AS12" s="365">
        <v>0.37657000000000002</v>
      </c>
      <c r="AT12" s="334">
        <f>10515</f>
        <v>10515</v>
      </c>
      <c r="AU12" s="334">
        <v>6592</v>
      </c>
      <c r="AV12" s="334">
        <v>6592</v>
      </c>
      <c r="AW12" s="334">
        <v>6592</v>
      </c>
      <c r="AX12" s="296">
        <f>AT12*0.02</f>
        <v>210.3</v>
      </c>
      <c r="AY12" s="294">
        <v>120</v>
      </c>
      <c r="AZ12" s="294">
        <v>120</v>
      </c>
      <c r="BA12" s="294">
        <v>120</v>
      </c>
      <c r="BB12" s="298">
        <v>0.64</v>
      </c>
      <c r="BC12" s="331">
        <v>0.64</v>
      </c>
      <c r="BD12" s="331">
        <v>0.64</v>
      </c>
      <c r="BE12" s="331">
        <v>0.64</v>
      </c>
      <c r="BF12" s="296">
        <v>0</v>
      </c>
      <c r="BG12" s="294">
        <v>0</v>
      </c>
      <c r="BH12" s="294">
        <v>0</v>
      </c>
      <c r="BI12" s="295">
        <v>0</v>
      </c>
      <c r="BJ12" s="294">
        <v>0</v>
      </c>
      <c r="BK12" s="294">
        <v>0</v>
      </c>
      <c r="BL12" s="294">
        <v>0</v>
      </c>
      <c r="BM12" s="295">
        <v>0</v>
      </c>
      <c r="BN12" s="294">
        <v>0</v>
      </c>
      <c r="BO12" s="294">
        <v>0</v>
      </c>
      <c r="BP12" s="294">
        <v>0</v>
      </c>
      <c r="BQ12" s="295">
        <v>0</v>
      </c>
      <c r="BR12" s="294">
        <v>8.4125058621280738E-2</v>
      </c>
      <c r="BS12" s="294">
        <f>BS10</f>
        <v>8.8495575221238937E-2</v>
      </c>
      <c r="BT12" s="294">
        <f>BT10</f>
        <v>8.8495575221238937E-2</v>
      </c>
      <c r="BU12" s="295">
        <f>BU10</f>
        <v>8.8495575221238937E-2</v>
      </c>
      <c r="BV12" s="294">
        <v>0</v>
      </c>
      <c r="BW12" s="294">
        <v>0</v>
      </c>
      <c r="BX12" s="294">
        <v>0</v>
      </c>
      <c r="BY12" s="295">
        <v>0</v>
      </c>
      <c r="BZ12" s="294">
        <v>0</v>
      </c>
      <c r="CA12" s="294">
        <v>0</v>
      </c>
      <c r="CB12" s="294">
        <v>0</v>
      </c>
      <c r="CC12" s="294">
        <v>0</v>
      </c>
    </row>
    <row r="13" spans="1:81" s="69" customFormat="1" ht="14.5" customHeight="1" x14ac:dyDescent="0.35">
      <c r="A13" s="417"/>
      <c r="B13" s="66" t="s">
        <v>97</v>
      </c>
      <c r="C13" s="67" t="s">
        <v>180</v>
      </c>
      <c r="D13" s="68" t="s">
        <v>50</v>
      </c>
      <c r="E13" s="397" t="s">
        <v>86</v>
      </c>
      <c r="F13" s="6">
        <f t="shared" si="14"/>
        <v>8</v>
      </c>
      <c r="G13" s="102">
        <v>1</v>
      </c>
      <c r="H13" s="114" t="s">
        <v>369</v>
      </c>
      <c r="I13" s="114" t="s">
        <v>370</v>
      </c>
      <c r="J13" s="124">
        <v>0</v>
      </c>
      <c r="K13" s="315" t="str">
        <f>B15</f>
        <v>Product/Reactant5</v>
      </c>
      <c r="L13" s="124">
        <v>0</v>
      </c>
      <c r="M13" s="124">
        <v>0</v>
      </c>
      <c r="N13" s="124">
        <v>0</v>
      </c>
      <c r="O13" s="124">
        <v>0</v>
      </c>
      <c r="P13" s="124">
        <v>0</v>
      </c>
      <c r="Q13" s="133">
        <v>40000</v>
      </c>
      <c r="R13" s="69">
        <v>1.37</v>
      </c>
      <c r="S13" s="69">
        <v>1.37</v>
      </c>
      <c r="T13" s="69">
        <v>1.37</v>
      </c>
      <c r="U13" s="133">
        <v>1.37</v>
      </c>
      <c r="V13" s="69">
        <v>0</v>
      </c>
      <c r="W13" s="69">
        <v>0</v>
      </c>
      <c r="X13" s="69">
        <v>0</v>
      </c>
      <c r="Y13" s="133">
        <v>0</v>
      </c>
      <c r="Z13" s="69">
        <v>0</v>
      </c>
      <c r="AA13" s="69">
        <v>0</v>
      </c>
      <c r="AB13" s="69">
        <v>0</v>
      </c>
      <c r="AC13" s="133">
        <v>0</v>
      </c>
      <c r="AD13" s="71">
        <v>0</v>
      </c>
      <c r="AE13" s="71">
        <v>0</v>
      </c>
      <c r="AF13" s="71">
        <v>0</v>
      </c>
      <c r="AG13" s="142">
        <v>0</v>
      </c>
      <c r="AH13" s="71">
        <v>1</v>
      </c>
      <c r="AI13" s="71">
        <v>1</v>
      </c>
      <c r="AJ13" s="71">
        <v>1</v>
      </c>
      <c r="AK13" s="142">
        <v>1</v>
      </c>
      <c r="AL13" s="71">
        <v>1</v>
      </c>
      <c r="AM13" s="71">
        <v>1</v>
      </c>
      <c r="AN13" s="71">
        <v>1</v>
      </c>
      <c r="AO13" s="142">
        <v>1</v>
      </c>
      <c r="AP13" s="72">
        <v>0.5</v>
      </c>
      <c r="AQ13" s="72">
        <v>0.47</v>
      </c>
      <c r="AR13" s="72">
        <v>0.44999999999999996</v>
      </c>
      <c r="AS13" s="148">
        <v>0.43000000000000005</v>
      </c>
      <c r="AT13" s="69">
        <v>7000</v>
      </c>
      <c r="AU13" s="69">
        <v>6000</v>
      </c>
      <c r="AV13" s="69">
        <v>5000</v>
      </c>
      <c r="AW13" s="133">
        <v>4000</v>
      </c>
      <c r="AX13" s="69">
        <v>350</v>
      </c>
      <c r="AY13" s="69">
        <v>300</v>
      </c>
      <c r="AZ13" s="69">
        <v>250</v>
      </c>
      <c r="BA13" s="133">
        <v>200</v>
      </c>
      <c r="BB13" s="69">
        <v>0</v>
      </c>
      <c r="BC13" s="69">
        <v>0</v>
      </c>
      <c r="BD13" s="69">
        <v>0</v>
      </c>
      <c r="BE13" s="133">
        <v>0</v>
      </c>
      <c r="BF13" s="69">
        <v>0</v>
      </c>
      <c r="BG13" s="69">
        <v>0</v>
      </c>
      <c r="BH13" s="69">
        <v>0</v>
      </c>
      <c r="BI13" s="133">
        <v>0</v>
      </c>
      <c r="BJ13" s="69">
        <v>0</v>
      </c>
      <c r="BK13" s="69">
        <v>0</v>
      </c>
      <c r="BL13" s="69">
        <v>0</v>
      </c>
      <c r="BM13" s="133">
        <v>0</v>
      </c>
      <c r="BN13" s="69">
        <v>0</v>
      </c>
      <c r="BO13" s="69">
        <v>0</v>
      </c>
      <c r="BP13" s="69">
        <v>0</v>
      </c>
      <c r="BQ13" s="133">
        <v>0</v>
      </c>
      <c r="BR13" s="69">
        <v>0.10185220882315059</v>
      </c>
      <c r="BS13" s="69">
        <v>0.10185220882315059</v>
      </c>
      <c r="BT13" s="69">
        <v>0.10185220882315059</v>
      </c>
      <c r="BU13" s="133">
        <v>0.10185220882315059</v>
      </c>
      <c r="BV13" s="70">
        <v>0</v>
      </c>
      <c r="BW13" s="70">
        <v>0</v>
      </c>
      <c r="BX13" s="70">
        <v>0</v>
      </c>
      <c r="BY13" s="70">
        <v>0</v>
      </c>
      <c r="BZ13" s="158">
        <v>0.08</v>
      </c>
      <c r="CA13" s="158">
        <v>0.08</v>
      </c>
      <c r="CB13" s="158">
        <v>0.08</v>
      </c>
      <c r="CC13" s="158">
        <v>0.08</v>
      </c>
    </row>
    <row r="14" spans="1:81" s="69" customFormat="1" x14ac:dyDescent="0.35">
      <c r="A14" s="417"/>
      <c r="B14" s="66" t="s">
        <v>97</v>
      </c>
      <c r="C14" s="67" t="s">
        <v>180</v>
      </c>
      <c r="D14" s="68" t="s">
        <v>61</v>
      </c>
      <c r="E14" s="397" t="s">
        <v>86</v>
      </c>
      <c r="F14" s="6">
        <f t="shared" si="14"/>
        <v>9</v>
      </c>
      <c r="G14" s="102">
        <v>1</v>
      </c>
      <c r="H14" s="114" t="s">
        <v>369</v>
      </c>
      <c r="I14" s="114" t="s">
        <v>370</v>
      </c>
      <c r="J14" s="124">
        <v>0</v>
      </c>
      <c r="K14" s="315" t="str">
        <f>B15</f>
        <v>Product/Reactant5</v>
      </c>
      <c r="L14" s="124">
        <v>0</v>
      </c>
      <c r="M14" s="124">
        <v>0</v>
      </c>
      <c r="N14" s="124">
        <v>0</v>
      </c>
      <c r="O14" s="124">
        <v>0</v>
      </c>
      <c r="P14" s="124">
        <v>0</v>
      </c>
      <c r="Q14" s="133">
        <f>Q13</f>
        <v>40000</v>
      </c>
      <c r="R14" s="69">
        <v>1.37</v>
      </c>
      <c r="S14" s="69">
        <v>1.37</v>
      </c>
      <c r="T14" s="69">
        <v>1.37</v>
      </c>
      <c r="U14" s="133">
        <v>1.37</v>
      </c>
      <c r="V14" s="69">
        <v>0</v>
      </c>
      <c r="W14" s="69">
        <v>0</v>
      </c>
      <c r="X14" s="69">
        <v>0</v>
      </c>
      <c r="Y14" s="133">
        <v>0</v>
      </c>
      <c r="Z14" s="69">
        <v>0</v>
      </c>
      <c r="AA14" s="69">
        <v>0</v>
      </c>
      <c r="AB14" s="69">
        <v>0</v>
      </c>
      <c r="AC14" s="133">
        <v>0</v>
      </c>
      <c r="AD14" s="71">
        <v>0</v>
      </c>
      <c r="AE14" s="71">
        <v>0</v>
      </c>
      <c r="AF14" s="71">
        <v>0</v>
      </c>
      <c r="AG14" s="142">
        <v>0</v>
      </c>
      <c r="AH14" s="71">
        <v>1</v>
      </c>
      <c r="AI14" s="71">
        <v>1</v>
      </c>
      <c r="AJ14" s="71">
        <v>1</v>
      </c>
      <c r="AK14" s="142">
        <v>1</v>
      </c>
      <c r="AL14" s="71">
        <v>1</v>
      </c>
      <c r="AM14" s="71">
        <v>1</v>
      </c>
      <c r="AN14" s="71">
        <v>1</v>
      </c>
      <c r="AO14" s="142">
        <v>1</v>
      </c>
      <c r="AP14" s="73">
        <v>0</v>
      </c>
      <c r="AQ14" s="73">
        <v>0</v>
      </c>
      <c r="AR14" s="73">
        <v>0</v>
      </c>
      <c r="AS14" s="149">
        <v>0</v>
      </c>
      <c r="AT14" s="73">
        <v>0</v>
      </c>
      <c r="AU14" s="73">
        <v>0</v>
      </c>
      <c r="AV14" s="73">
        <v>0</v>
      </c>
      <c r="AW14" s="149">
        <v>0</v>
      </c>
      <c r="AX14" s="73">
        <v>0</v>
      </c>
      <c r="AY14" s="73">
        <v>0</v>
      </c>
      <c r="AZ14" s="73">
        <v>0</v>
      </c>
      <c r="BA14" s="149">
        <v>0</v>
      </c>
      <c r="BB14" s="73">
        <v>0.154</v>
      </c>
      <c r="BC14" s="73">
        <v>0.13100000000000001</v>
      </c>
      <c r="BD14" s="73">
        <v>9.7500000000000003E-2</v>
      </c>
      <c r="BE14" s="149">
        <v>6.4000000000000001E-2</v>
      </c>
      <c r="BF14" s="69">
        <v>0</v>
      </c>
      <c r="BG14" s="69">
        <v>0</v>
      </c>
      <c r="BH14" s="69">
        <v>0</v>
      </c>
      <c r="BI14" s="133">
        <v>0</v>
      </c>
      <c r="BJ14" s="69">
        <v>0</v>
      </c>
      <c r="BK14" s="69">
        <v>0</v>
      </c>
      <c r="BL14" s="69">
        <v>0</v>
      </c>
      <c r="BM14" s="133">
        <v>0</v>
      </c>
      <c r="BN14" s="69">
        <v>0</v>
      </c>
      <c r="BO14" s="69">
        <v>0</v>
      </c>
      <c r="BP14" s="69">
        <v>0</v>
      </c>
      <c r="BQ14" s="133">
        <v>0</v>
      </c>
      <c r="BR14" s="69">
        <v>0</v>
      </c>
      <c r="BS14" s="69">
        <v>0</v>
      </c>
      <c r="BT14" s="69">
        <v>0</v>
      </c>
      <c r="BU14" s="133">
        <v>0</v>
      </c>
      <c r="BV14" s="70">
        <v>20</v>
      </c>
      <c r="BW14" s="70">
        <v>20</v>
      </c>
      <c r="BX14" s="70">
        <v>20</v>
      </c>
      <c r="BY14" s="167">
        <v>20</v>
      </c>
      <c r="BZ14" s="158">
        <v>0.08</v>
      </c>
      <c r="CA14" s="158">
        <v>0.08</v>
      </c>
      <c r="CB14" s="158">
        <v>0.08</v>
      </c>
      <c r="CC14" s="158">
        <v>0.08</v>
      </c>
    </row>
    <row r="15" spans="1:81" s="69" customFormat="1" x14ac:dyDescent="0.35">
      <c r="A15" s="417"/>
      <c r="B15" s="66" t="s">
        <v>429</v>
      </c>
      <c r="C15" s="74" t="s">
        <v>119</v>
      </c>
      <c r="D15" s="68" t="s">
        <v>445</v>
      </c>
      <c r="E15" s="397" t="s">
        <v>464</v>
      </c>
      <c r="F15" s="6">
        <f t="shared" si="14"/>
        <v>10</v>
      </c>
      <c r="G15" s="102">
        <v>1</v>
      </c>
      <c r="H15" s="114" t="s">
        <v>371</v>
      </c>
      <c r="I15" s="114" t="s">
        <v>372</v>
      </c>
      <c r="J15" s="307">
        <f>(2.2/(19.9/3.6))*10^9</f>
        <v>397989949.74874377</v>
      </c>
      <c r="K15" s="315" t="str">
        <f>B34</f>
        <v>Reactant10</v>
      </c>
      <c r="L15" s="124">
        <v>0</v>
      </c>
      <c r="M15" s="124">
        <v>1</v>
      </c>
      <c r="N15" s="124">
        <v>0</v>
      </c>
      <c r="O15" s="124">
        <v>0</v>
      </c>
      <c r="P15" s="124">
        <v>0</v>
      </c>
      <c r="Q15" s="133">
        <v>20000</v>
      </c>
      <c r="R15" s="69">
        <v>5.26</v>
      </c>
      <c r="S15" s="69">
        <v>5.26</v>
      </c>
      <c r="T15" s="69">
        <v>5.26</v>
      </c>
      <c r="U15" s="133">
        <v>5.26</v>
      </c>
      <c r="V15" s="69">
        <v>0.68</v>
      </c>
      <c r="W15" s="69">
        <v>0.68</v>
      </c>
      <c r="X15" s="69">
        <v>0.68</v>
      </c>
      <c r="Y15" s="133">
        <v>0.68</v>
      </c>
      <c r="Z15" s="69">
        <v>0</v>
      </c>
      <c r="AA15" s="69">
        <v>0</v>
      </c>
      <c r="AB15" s="69">
        <v>0</v>
      </c>
      <c r="AC15" s="133">
        <v>0</v>
      </c>
      <c r="AD15" s="71">
        <v>0.4</v>
      </c>
      <c r="AE15" s="71">
        <v>0.2</v>
      </c>
      <c r="AF15" s="71">
        <v>0.1</v>
      </c>
      <c r="AG15" s="142">
        <v>0.1</v>
      </c>
      <c r="AH15" s="71">
        <v>0.2</v>
      </c>
      <c r="AI15" s="71">
        <v>1</v>
      </c>
      <c r="AJ15" s="71">
        <v>1</v>
      </c>
      <c r="AK15" s="142">
        <v>1</v>
      </c>
      <c r="AL15" s="71">
        <v>0.2</v>
      </c>
      <c r="AM15" s="71">
        <v>1</v>
      </c>
      <c r="AN15" s="71">
        <v>1</v>
      </c>
      <c r="AO15" s="142">
        <v>1</v>
      </c>
      <c r="AP15" s="72">
        <v>1.7</v>
      </c>
      <c r="AQ15" s="72">
        <v>1.7</v>
      </c>
      <c r="AR15" s="72">
        <v>1.7</v>
      </c>
      <c r="AS15" s="148">
        <v>1.7</v>
      </c>
      <c r="AT15" s="69">
        <f t="shared" ref="AT15:AW15" si="21">469087*($J$15/8760)^(-0.342)</f>
        <v>11979.357938918523</v>
      </c>
      <c r="AU15" s="69">
        <f t="shared" si="21"/>
        <v>11979.357938918523</v>
      </c>
      <c r="AV15" s="69">
        <f t="shared" si="21"/>
        <v>11979.357938918523</v>
      </c>
      <c r="AW15" s="133">
        <f t="shared" si="21"/>
        <v>11979.357938918523</v>
      </c>
      <c r="AX15" s="69">
        <f>AT15*4%</f>
        <v>479.17431755674096</v>
      </c>
      <c r="AY15" s="69">
        <f>AU15*4%</f>
        <v>479.17431755674096</v>
      </c>
      <c r="AZ15" s="69">
        <f>AV15*4%</f>
        <v>479.17431755674096</v>
      </c>
      <c r="BA15" s="133">
        <f>AW15*4%</f>
        <v>479.17431755674096</v>
      </c>
      <c r="BB15" s="73">
        <v>0</v>
      </c>
      <c r="BC15" s="73">
        <v>0</v>
      </c>
      <c r="BD15" s="73">
        <v>0</v>
      </c>
      <c r="BE15" s="149">
        <v>0</v>
      </c>
      <c r="BF15" s="69">
        <v>0</v>
      </c>
      <c r="BG15" s="69">
        <v>0</v>
      </c>
      <c r="BH15" s="69">
        <v>0</v>
      </c>
      <c r="BI15" s="133">
        <v>0</v>
      </c>
      <c r="BJ15" s="69">
        <v>18.474666666666668</v>
      </c>
      <c r="BK15" s="69">
        <v>0</v>
      </c>
      <c r="BL15" s="69">
        <v>0</v>
      </c>
      <c r="BM15" s="133">
        <v>0</v>
      </c>
      <c r="BN15" s="69">
        <v>0</v>
      </c>
      <c r="BO15" s="69">
        <v>0</v>
      </c>
      <c r="BP15" s="69">
        <v>0</v>
      </c>
      <c r="BQ15" s="133">
        <v>0</v>
      </c>
      <c r="BR15" s="69">
        <f>1/11.3</f>
        <v>8.8495575221238937E-2</v>
      </c>
      <c r="BS15" s="69">
        <f t="shared" ref="BS15:BU15" si="22">1/11.3</f>
        <v>8.8495575221238937E-2</v>
      </c>
      <c r="BT15" s="69">
        <f t="shared" si="22"/>
        <v>8.8495575221238937E-2</v>
      </c>
      <c r="BU15" s="133">
        <f t="shared" si="22"/>
        <v>8.8495575221238937E-2</v>
      </c>
      <c r="BV15" s="70">
        <v>30</v>
      </c>
      <c r="BW15" s="70">
        <v>30</v>
      </c>
      <c r="BX15" s="70">
        <v>30</v>
      </c>
      <c r="BY15" s="167">
        <v>30</v>
      </c>
      <c r="BZ15" s="158">
        <v>0.08</v>
      </c>
      <c r="CA15" s="158">
        <v>0.08</v>
      </c>
      <c r="CB15" s="158">
        <v>0.08</v>
      </c>
      <c r="CC15" s="158">
        <v>0.08</v>
      </c>
    </row>
    <row r="16" spans="1:81" s="47" customFormat="1" x14ac:dyDescent="0.35">
      <c r="A16" s="417"/>
      <c r="B16" s="43" t="s">
        <v>97</v>
      </c>
      <c r="C16" s="44" t="s">
        <v>180</v>
      </c>
      <c r="D16" s="45" t="s">
        <v>292</v>
      </c>
      <c r="E16" s="398" t="s">
        <v>86</v>
      </c>
      <c r="F16" s="6">
        <f t="shared" si="14"/>
        <v>11</v>
      </c>
      <c r="G16" s="103">
        <v>1</v>
      </c>
      <c r="H16" s="115" t="s">
        <v>393</v>
      </c>
      <c r="I16" s="115" t="s">
        <v>394</v>
      </c>
      <c r="J16" s="308">
        <v>0</v>
      </c>
      <c r="K16" s="316" t="str">
        <f>B17</f>
        <v>Product/Reactant6</v>
      </c>
      <c r="L16" s="128">
        <v>0</v>
      </c>
      <c r="M16" s="128">
        <v>0</v>
      </c>
      <c r="N16" s="128">
        <v>0</v>
      </c>
      <c r="O16" s="128">
        <v>0</v>
      </c>
      <c r="P16" s="128">
        <v>0</v>
      </c>
      <c r="Q16" s="157">
        <v>40000</v>
      </c>
      <c r="R16" s="48">
        <v>1.7609999999999999</v>
      </c>
      <c r="S16" s="48">
        <v>1.7609999999999999</v>
      </c>
      <c r="T16" s="48">
        <v>1.7609999999999999</v>
      </c>
      <c r="U16" s="134">
        <v>1.7609999999999999</v>
      </c>
      <c r="V16" s="49">
        <v>0</v>
      </c>
      <c r="W16" s="49">
        <v>0</v>
      </c>
      <c r="X16" s="49">
        <v>0</v>
      </c>
      <c r="Y16" s="139">
        <v>0</v>
      </c>
      <c r="Z16" s="49">
        <v>0</v>
      </c>
      <c r="AA16" s="49">
        <v>0</v>
      </c>
      <c r="AB16" s="49">
        <v>0</v>
      </c>
      <c r="AC16" s="139">
        <v>0</v>
      </c>
      <c r="AD16" s="50">
        <v>0</v>
      </c>
      <c r="AE16" s="50">
        <v>0</v>
      </c>
      <c r="AF16" s="50">
        <v>0</v>
      </c>
      <c r="AG16" s="143">
        <v>0</v>
      </c>
      <c r="AH16" s="50">
        <v>1</v>
      </c>
      <c r="AI16" s="50">
        <v>1</v>
      </c>
      <c r="AJ16" s="50">
        <v>1</v>
      </c>
      <c r="AK16" s="143">
        <v>1</v>
      </c>
      <c r="AL16" s="50">
        <v>1</v>
      </c>
      <c r="AM16" s="50">
        <v>1</v>
      </c>
      <c r="AN16" s="50">
        <v>1</v>
      </c>
      <c r="AO16" s="143">
        <v>1</v>
      </c>
      <c r="AP16" s="53">
        <v>0</v>
      </c>
      <c r="AQ16" s="53">
        <v>0</v>
      </c>
      <c r="AR16" s="53">
        <v>0</v>
      </c>
      <c r="AS16" s="150">
        <v>0</v>
      </c>
      <c r="AT16" s="53">
        <v>0</v>
      </c>
      <c r="AU16" s="53">
        <v>0</v>
      </c>
      <c r="AV16" s="53">
        <v>0</v>
      </c>
      <c r="AW16" s="150">
        <v>0</v>
      </c>
      <c r="AX16" s="53">
        <v>0</v>
      </c>
      <c r="AY16" s="53">
        <v>0</v>
      </c>
      <c r="AZ16" s="53">
        <v>0</v>
      </c>
      <c r="BA16" s="150">
        <v>0</v>
      </c>
      <c r="BB16" s="54">
        <v>9.9959999999999993E-2</v>
      </c>
      <c r="BC16" s="54">
        <v>0.10436999999999999</v>
      </c>
      <c r="BD16" s="54">
        <v>0.11172</v>
      </c>
      <c r="BE16" s="156">
        <v>0.12053999999999998</v>
      </c>
      <c r="BF16" s="47">
        <v>0</v>
      </c>
      <c r="BG16" s="47">
        <v>0</v>
      </c>
      <c r="BH16" s="47">
        <v>0</v>
      </c>
      <c r="BI16" s="157">
        <v>0</v>
      </c>
      <c r="BJ16" s="47">
        <v>0</v>
      </c>
      <c r="BK16" s="47">
        <v>0</v>
      </c>
      <c r="BL16" s="47">
        <v>0</v>
      </c>
      <c r="BM16" s="157">
        <v>0</v>
      </c>
      <c r="BN16" s="47">
        <v>0</v>
      </c>
      <c r="BO16" s="47">
        <v>0</v>
      </c>
      <c r="BP16" s="47">
        <v>0</v>
      </c>
      <c r="BQ16" s="157">
        <v>0</v>
      </c>
      <c r="BR16" s="47">
        <v>0</v>
      </c>
      <c r="BS16" s="47">
        <v>0</v>
      </c>
      <c r="BT16" s="47">
        <v>0</v>
      </c>
      <c r="BU16" s="157">
        <v>0</v>
      </c>
      <c r="BV16" s="46">
        <v>0</v>
      </c>
      <c r="BW16" s="46">
        <v>0</v>
      </c>
      <c r="BX16" s="46">
        <v>0</v>
      </c>
      <c r="BY16" s="168">
        <v>0</v>
      </c>
      <c r="BZ16" s="50">
        <v>0.08</v>
      </c>
      <c r="CA16" s="50">
        <v>0.08</v>
      </c>
      <c r="CB16" s="50">
        <v>0.08</v>
      </c>
      <c r="CC16" s="50">
        <v>0.08</v>
      </c>
    </row>
    <row r="17" spans="1:81" s="47" customFormat="1" x14ac:dyDescent="0.35">
      <c r="A17" s="417"/>
      <c r="B17" s="43" t="s">
        <v>432</v>
      </c>
      <c r="C17" s="44" t="s">
        <v>119</v>
      </c>
      <c r="D17" s="45" t="s">
        <v>291</v>
      </c>
      <c r="E17" s="398" t="s">
        <v>464</v>
      </c>
      <c r="F17" s="6">
        <f t="shared" si="14"/>
        <v>12</v>
      </c>
      <c r="G17" s="103">
        <v>1</v>
      </c>
      <c r="H17" s="115" t="s">
        <v>371</v>
      </c>
      <c r="I17" s="115" t="s">
        <v>372</v>
      </c>
      <c r="J17" s="308">
        <f>(2.2/(19.9/3.6))*10^9</f>
        <v>397989949.74874377</v>
      </c>
      <c r="K17" s="316" t="str">
        <f>B34</f>
        <v>Reactant10</v>
      </c>
      <c r="L17" s="128">
        <v>0</v>
      </c>
      <c r="M17" s="128">
        <v>1</v>
      </c>
      <c r="N17" s="128">
        <v>1</v>
      </c>
      <c r="O17" s="128">
        <v>0</v>
      </c>
      <c r="P17" s="128">
        <v>0</v>
      </c>
      <c r="Q17" s="157">
        <v>20000</v>
      </c>
      <c r="R17" s="48">
        <v>12.288489999999999</v>
      </c>
      <c r="S17" s="48">
        <v>12.288489999999999</v>
      </c>
      <c r="T17" s="48">
        <v>12.288489999999999</v>
      </c>
      <c r="U17" s="134">
        <v>12.288489999999999</v>
      </c>
      <c r="V17" s="49">
        <v>0.84187420178799477</v>
      </c>
      <c r="W17" s="49">
        <v>0.84187420178799477</v>
      </c>
      <c r="X17" s="49">
        <v>0.84187420178799477</v>
      </c>
      <c r="Y17" s="139">
        <v>0.84187420178799477</v>
      </c>
      <c r="Z17" s="49">
        <v>0</v>
      </c>
      <c r="AA17" s="49">
        <v>0</v>
      </c>
      <c r="AB17" s="49">
        <v>0</v>
      </c>
      <c r="AC17" s="139">
        <v>0</v>
      </c>
      <c r="AD17" s="50">
        <v>0.4</v>
      </c>
      <c r="AE17" s="50">
        <v>0.2</v>
      </c>
      <c r="AF17" s="50">
        <v>0.1</v>
      </c>
      <c r="AG17" s="143">
        <v>0.1</v>
      </c>
      <c r="AH17" s="50">
        <v>0.2</v>
      </c>
      <c r="AI17" s="50">
        <v>1</v>
      </c>
      <c r="AJ17" s="50">
        <v>1</v>
      </c>
      <c r="AK17" s="143">
        <v>1</v>
      </c>
      <c r="AL17" s="50">
        <v>0.2</v>
      </c>
      <c r="AM17" s="50">
        <v>1</v>
      </c>
      <c r="AN17" s="50">
        <v>1</v>
      </c>
      <c r="AO17" s="143">
        <v>1</v>
      </c>
      <c r="AP17" s="51">
        <v>1.9322760000000001</v>
      </c>
      <c r="AQ17" s="51">
        <v>1.9322760000000001</v>
      </c>
      <c r="AR17" s="51">
        <v>1.9322760000000001</v>
      </c>
      <c r="AS17" s="151">
        <v>1.9322760000000001</v>
      </c>
      <c r="AT17" s="52">
        <f>10910.1*30976718*(($J17)/30976718)^0.69/$J17</f>
        <v>4944.1239872616607</v>
      </c>
      <c r="AU17" s="52">
        <f t="shared" ref="AU17:AW17" si="23">10910.1*30976718*(($J17)/30976718)^0.69/$J17</f>
        <v>4944.1239872616607</v>
      </c>
      <c r="AV17" s="52">
        <f t="shared" si="23"/>
        <v>4944.1239872616607</v>
      </c>
      <c r="AW17" s="155">
        <f t="shared" si="23"/>
        <v>4944.1239872616607</v>
      </c>
      <c r="AX17" s="53">
        <v>1880.02</v>
      </c>
      <c r="AY17" s="53">
        <v>1880.02</v>
      </c>
      <c r="AZ17" s="53">
        <v>1880.02</v>
      </c>
      <c r="BA17" s="150">
        <v>1880.02</v>
      </c>
      <c r="BB17" s="54">
        <v>0</v>
      </c>
      <c r="BC17" s="54">
        <v>0</v>
      </c>
      <c r="BD17" s="54">
        <v>0</v>
      </c>
      <c r="BE17" s="156">
        <v>0</v>
      </c>
      <c r="BF17" s="47">
        <v>0</v>
      </c>
      <c r="BG17" s="47">
        <v>0</v>
      </c>
      <c r="BH17" s="47">
        <v>0</v>
      </c>
      <c r="BI17" s="157">
        <v>0</v>
      </c>
      <c r="BJ17" s="47">
        <f t="shared" ref="BJ17" si="24">BJ15</f>
        <v>18.474666666666668</v>
      </c>
      <c r="BK17" s="47">
        <f>BK15</f>
        <v>0</v>
      </c>
      <c r="BL17" s="47">
        <f>BL15</f>
        <v>0</v>
      </c>
      <c r="BM17" s="157">
        <f>BM15</f>
        <v>0</v>
      </c>
      <c r="BN17" s="47">
        <v>0</v>
      </c>
      <c r="BO17" s="47">
        <v>0</v>
      </c>
      <c r="BP17" s="47">
        <v>0</v>
      </c>
      <c r="BQ17" s="157">
        <v>0</v>
      </c>
      <c r="BR17" s="47">
        <f>1/11.3</f>
        <v>8.8495575221238937E-2</v>
      </c>
      <c r="BS17" s="47">
        <f t="shared" ref="BS17:BU17" si="25">1/11.3</f>
        <v>8.8495575221238937E-2</v>
      </c>
      <c r="BT17" s="47">
        <f t="shared" si="25"/>
        <v>8.8495575221238937E-2</v>
      </c>
      <c r="BU17" s="157">
        <f t="shared" si="25"/>
        <v>8.8495575221238937E-2</v>
      </c>
      <c r="BV17" s="46">
        <v>30</v>
      </c>
      <c r="BW17" s="46">
        <v>30</v>
      </c>
      <c r="BX17" s="46">
        <v>30</v>
      </c>
      <c r="BY17" s="168">
        <v>30</v>
      </c>
      <c r="BZ17" s="50">
        <v>0.08</v>
      </c>
      <c r="CA17" s="50">
        <v>0.08</v>
      </c>
      <c r="CB17" s="50">
        <v>0.08</v>
      </c>
      <c r="CC17" s="50">
        <v>0.08</v>
      </c>
    </row>
    <row r="18" spans="1:81" s="59" customFormat="1" x14ac:dyDescent="0.35">
      <c r="A18" s="417"/>
      <c r="B18" s="55" t="s">
        <v>97</v>
      </c>
      <c r="C18" s="56" t="s">
        <v>281</v>
      </c>
      <c r="D18" s="57" t="s">
        <v>293</v>
      </c>
      <c r="E18" s="399" t="s">
        <v>86</v>
      </c>
      <c r="F18" s="6">
        <f t="shared" si="14"/>
        <v>13</v>
      </c>
      <c r="G18" s="104">
        <v>1</v>
      </c>
      <c r="H18" s="116" t="s">
        <v>377</v>
      </c>
      <c r="I18" s="116" t="s">
        <v>378</v>
      </c>
      <c r="J18" s="125">
        <v>0</v>
      </c>
      <c r="K18" s="317" t="str">
        <f>B20</f>
        <v>Product/Reactant7</v>
      </c>
      <c r="L18" s="125">
        <v>0</v>
      </c>
      <c r="M18" s="125">
        <v>0</v>
      </c>
      <c r="N18" s="125">
        <v>0</v>
      </c>
      <c r="O18" s="125">
        <v>0</v>
      </c>
      <c r="P18" s="125">
        <v>0</v>
      </c>
      <c r="Q18" s="135">
        <v>20000</v>
      </c>
      <c r="R18" s="59">
        <f t="shared" ref="R18:U18" si="26">32.5/12.3</f>
        <v>2.6422764227642275</v>
      </c>
      <c r="S18" s="59">
        <f t="shared" si="26"/>
        <v>2.6422764227642275</v>
      </c>
      <c r="T18" s="59">
        <f t="shared" si="26"/>
        <v>2.6422764227642275</v>
      </c>
      <c r="U18" s="135">
        <f t="shared" si="26"/>
        <v>2.6422764227642275</v>
      </c>
      <c r="V18" s="59">
        <v>0</v>
      </c>
      <c r="W18" s="59">
        <v>0</v>
      </c>
      <c r="X18" s="59">
        <v>0</v>
      </c>
      <c r="Y18" s="135">
        <v>0</v>
      </c>
      <c r="Z18" s="59">
        <v>0</v>
      </c>
      <c r="AA18" s="59">
        <v>0</v>
      </c>
      <c r="AB18" s="59">
        <v>0</v>
      </c>
      <c r="AC18" s="135">
        <v>0</v>
      </c>
      <c r="AD18" s="60">
        <v>0</v>
      </c>
      <c r="AE18" s="60">
        <v>0</v>
      </c>
      <c r="AF18" s="60">
        <v>0</v>
      </c>
      <c r="AG18" s="144">
        <v>0</v>
      </c>
      <c r="AH18" s="60">
        <v>1</v>
      </c>
      <c r="AI18" s="60">
        <v>1</v>
      </c>
      <c r="AJ18" s="60">
        <v>1</v>
      </c>
      <c r="AK18" s="144">
        <v>1</v>
      </c>
      <c r="AL18" s="60">
        <v>1</v>
      </c>
      <c r="AM18" s="60">
        <v>1</v>
      </c>
      <c r="AN18" s="60">
        <v>1</v>
      </c>
      <c r="AO18" s="144">
        <v>1</v>
      </c>
      <c r="AP18" s="61">
        <v>0</v>
      </c>
      <c r="AQ18" s="61">
        <v>0</v>
      </c>
      <c r="AR18" s="61">
        <v>0</v>
      </c>
      <c r="AS18" s="152">
        <v>0</v>
      </c>
      <c r="AT18" s="59">
        <v>0</v>
      </c>
      <c r="AU18" s="59">
        <v>0</v>
      </c>
      <c r="AV18" s="59">
        <v>0</v>
      </c>
      <c r="AW18" s="135">
        <v>0</v>
      </c>
      <c r="AX18" s="59">
        <v>0</v>
      </c>
      <c r="AY18" s="59">
        <v>0</v>
      </c>
      <c r="AZ18" s="59">
        <v>0</v>
      </c>
      <c r="BA18" s="135">
        <v>0</v>
      </c>
      <c r="BB18" s="59">
        <v>0</v>
      </c>
      <c r="BC18" s="59">
        <v>0</v>
      </c>
      <c r="BD18" s="59">
        <v>0</v>
      </c>
      <c r="BE18" s="135">
        <v>0</v>
      </c>
      <c r="BF18" s="59">
        <v>0.11849999999999999</v>
      </c>
      <c r="BG18" s="59">
        <v>0.11849999999999999</v>
      </c>
      <c r="BH18" s="59">
        <v>0.11849999999999999</v>
      </c>
      <c r="BI18" s="135">
        <v>0.11849999999999999</v>
      </c>
      <c r="BJ18" s="59">
        <v>0</v>
      </c>
      <c r="BK18" s="59">
        <v>0</v>
      </c>
      <c r="BL18" s="59">
        <v>0</v>
      </c>
      <c r="BM18" s="135">
        <v>0</v>
      </c>
      <c r="BN18" s="59">
        <v>0</v>
      </c>
      <c r="BO18" s="59">
        <v>0</v>
      </c>
      <c r="BP18" s="59">
        <v>0</v>
      </c>
      <c r="BQ18" s="135">
        <v>0</v>
      </c>
      <c r="BR18" s="59">
        <v>0</v>
      </c>
      <c r="BS18" s="59">
        <v>0</v>
      </c>
      <c r="BT18" s="59">
        <v>0</v>
      </c>
      <c r="BU18" s="135">
        <v>0</v>
      </c>
      <c r="BV18" s="58">
        <v>0</v>
      </c>
      <c r="BW18" s="58">
        <v>0</v>
      </c>
      <c r="BX18" s="58">
        <v>0</v>
      </c>
      <c r="BY18" s="162">
        <v>0</v>
      </c>
      <c r="BZ18" s="60">
        <v>0.08</v>
      </c>
      <c r="CA18" s="60">
        <v>0.08</v>
      </c>
      <c r="CB18" s="60">
        <v>0.08</v>
      </c>
      <c r="CC18" s="60">
        <v>0.08</v>
      </c>
    </row>
    <row r="19" spans="1:81" s="59" customFormat="1" x14ac:dyDescent="0.35">
      <c r="A19" s="417"/>
      <c r="B19" s="55" t="s">
        <v>97</v>
      </c>
      <c r="C19" s="62" t="s">
        <v>180</v>
      </c>
      <c r="D19" s="57" t="s">
        <v>298</v>
      </c>
      <c r="E19" s="399" t="s">
        <v>86</v>
      </c>
      <c r="F19" s="6">
        <f t="shared" si="14"/>
        <v>14</v>
      </c>
      <c r="G19" s="104">
        <v>1</v>
      </c>
      <c r="H19" s="116" t="s">
        <v>395</v>
      </c>
      <c r="I19" s="116" t="s">
        <v>398</v>
      </c>
      <c r="J19" s="125">
        <v>0</v>
      </c>
      <c r="K19" s="317" t="str">
        <f>B20</f>
        <v>Product/Reactant7</v>
      </c>
      <c r="L19" s="125">
        <v>0</v>
      </c>
      <c r="M19" s="125">
        <v>0</v>
      </c>
      <c r="N19" s="125">
        <v>0</v>
      </c>
      <c r="O19" s="125">
        <v>0</v>
      </c>
      <c r="P19" s="125">
        <v>0</v>
      </c>
      <c r="Q19" s="135">
        <v>20000</v>
      </c>
      <c r="R19" s="59">
        <f t="shared" ref="R19:U19" si="27">112.2/12.3</f>
        <v>9.1219512195121943</v>
      </c>
      <c r="S19" s="59">
        <f t="shared" si="27"/>
        <v>9.1219512195121943</v>
      </c>
      <c r="T19" s="59">
        <f t="shared" si="27"/>
        <v>9.1219512195121943</v>
      </c>
      <c r="U19" s="135">
        <f t="shared" si="27"/>
        <v>9.1219512195121943</v>
      </c>
      <c r="V19" s="59">
        <v>0</v>
      </c>
      <c r="W19" s="59">
        <v>0</v>
      </c>
      <c r="X19" s="59">
        <v>0</v>
      </c>
      <c r="Y19" s="135">
        <v>0</v>
      </c>
      <c r="Z19" s="59">
        <v>0</v>
      </c>
      <c r="AA19" s="59">
        <v>0</v>
      </c>
      <c r="AB19" s="59">
        <v>0</v>
      </c>
      <c r="AC19" s="135">
        <v>0</v>
      </c>
      <c r="AD19" s="60">
        <v>0</v>
      </c>
      <c r="AE19" s="60">
        <v>0</v>
      </c>
      <c r="AF19" s="60">
        <v>0</v>
      </c>
      <c r="AG19" s="144">
        <v>0</v>
      </c>
      <c r="AH19" s="60">
        <v>1</v>
      </c>
      <c r="AI19" s="60">
        <v>1</v>
      </c>
      <c r="AJ19" s="60">
        <v>1</v>
      </c>
      <c r="AK19" s="144">
        <v>1</v>
      </c>
      <c r="AL19" s="60">
        <v>1</v>
      </c>
      <c r="AM19" s="60">
        <v>1</v>
      </c>
      <c r="AN19" s="60">
        <v>1</v>
      </c>
      <c r="AO19" s="144">
        <v>1</v>
      </c>
      <c r="AP19" s="61">
        <v>0</v>
      </c>
      <c r="AQ19" s="61">
        <v>0</v>
      </c>
      <c r="AR19" s="61">
        <v>0</v>
      </c>
      <c r="AS19" s="152">
        <v>0</v>
      </c>
      <c r="AT19" s="59">
        <v>0</v>
      </c>
      <c r="AU19" s="59">
        <v>0</v>
      </c>
      <c r="AV19" s="59">
        <v>0</v>
      </c>
      <c r="AW19" s="135">
        <v>0</v>
      </c>
      <c r="AX19" s="59">
        <v>0</v>
      </c>
      <c r="AY19" s="59">
        <v>0</v>
      </c>
      <c r="AZ19" s="59">
        <v>0</v>
      </c>
      <c r="BA19" s="135">
        <v>0</v>
      </c>
      <c r="BB19" s="59">
        <v>9.2799999999999994E-2</v>
      </c>
      <c r="BC19" s="59">
        <v>9.2799999999999994E-2</v>
      </c>
      <c r="BD19" s="59">
        <v>9.2799999999999994E-2</v>
      </c>
      <c r="BE19" s="135">
        <v>9.2799999999999994E-2</v>
      </c>
      <c r="BF19" s="59">
        <v>0</v>
      </c>
      <c r="BG19" s="59">
        <v>0</v>
      </c>
      <c r="BH19" s="59">
        <v>0</v>
      </c>
      <c r="BI19" s="135">
        <v>0</v>
      </c>
      <c r="BJ19" s="59">
        <v>0</v>
      </c>
      <c r="BK19" s="59">
        <v>0</v>
      </c>
      <c r="BL19" s="59">
        <v>0</v>
      </c>
      <c r="BM19" s="135">
        <v>0</v>
      </c>
      <c r="BN19" s="59">
        <v>0</v>
      </c>
      <c r="BO19" s="59">
        <v>0</v>
      </c>
      <c r="BP19" s="59">
        <v>0</v>
      </c>
      <c r="BQ19" s="135">
        <v>0</v>
      </c>
      <c r="BR19" s="59">
        <v>0</v>
      </c>
      <c r="BS19" s="59">
        <v>0</v>
      </c>
      <c r="BT19" s="59">
        <v>0</v>
      </c>
      <c r="BU19" s="135">
        <v>0</v>
      </c>
      <c r="BV19" s="58">
        <v>0</v>
      </c>
      <c r="BW19" s="58">
        <v>0</v>
      </c>
      <c r="BX19" s="58">
        <v>0</v>
      </c>
      <c r="BY19" s="162">
        <v>0</v>
      </c>
      <c r="BZ19" s="60">
        <v>0.08</v>
      </c>
      <c r="CA19" s="60">
        <v>0.08</v>
      </c>
      <c r="CB19" s="60">
        <v>0.08</v>
      </c>
      <c r="CC19" s="60">
        <v>0.08</v>
      </c>
    </row>
    <row r="20" spans="1:81" s="59" customFormat="1" x14ac:dyDescent="0.35">
      <c r="A20" s="417"/>
      <c r="B20" s="55" t="s">
        <v>433</v>
      </c>
      <c r="C20" s="62" t="s">
        <v>180</v>
      </c>
      <c r="D20" s="57" t="s">
        <v>294</v>
      </c>
      <c r="E20" s="399" t="s">
        <v>86</v>
      </c>
      <c r="F20" s="6">
        <f t="shared" si="14"/>
        <v>15</v>
      </c>
      <c r="G20" s="104">
        <v>1</v>
      </c>
      <c r="H20" s="116" t="s">
        <v>393</v>
      </c>
      <c r="I20" s="116" t="s">
        <v>394</v>
      </c>
      <c r="J20" s="309">
        <v>0</v>
      </c>
      <c r="K20" s="317" t="str">
        <f>B21</f>
        <v>Product/Reactant8</v>
      </c>
      <c r="L20" s="125">
        <v>0</v>
      </c>
      <c r="M20" s="125">
        <v>1</v>
      </c>
      <c r="N20" s="125">
        <v>0</v>
      </c>
      <c r="O20" s="125">
        <v>0</v>
      </c>
      <c r="P20" s="125">
        <v>0</v>
      </c>
      <c r="Q20" s="135">
        <v>20000</v>
      </c>
      <c r="R20" s="59">
        <f t="shared" ref="R20:U20" si="28">12.3/7.9</f>
        <v>1.5569620253164558</v>
      </c>
      <c r="S20" s="59">
        <f t="shared" si="28"/>
        <v>1.5569620253164558</v>
      </c>
      <c r="T20" s="59">
        <f t="shared" si="28"/>
        <v>1.5569620253164558</v>
      </c>
      <c r="U20" s="135">
        <f t="shared" si="28"/>
        <v>1.5569620253164558</v>
      </c>
      <c r="V20" s="63">
        <v>0.4</v>
      </c>
      <c r="W20" s="63">
        <v>0.4</v>
      </c>
      <c r="X20" s="63">
        <v>0.4</v>
      </c>
      <c r="Y20" s="140">
        <v>0.4</v>
      </c>
      <c r="Z20" s="59">
        <v>0</v>
      </c>
      <c r="AA20" s="59">
        <v>0</v>
      </c>
      <c r="AB20" s="59">
        <v>0</v>
      </c>
      <c r="AC20" s="135">
        <v>0</v>
      </c>
      <c r="AD20" s="60">
        <v>0.2</v>
      </c>
      <c r="AE20" s="60">
        <v>0.2</v>
      </c>
      <c r="AF20" s="60">
        <v>0.2</v>
      </c>
      <c r="AG20" s="144">
        <v>0.2</v>
      </c>
      <c r="AH20" s="60">
        <v>1</v>
      </c>
      <c r="AI20" s="60">
        <v>1</v>
      </c>
      <c r="AJ20" s="60">
        <v>1</v>
      </c>
      <c r="AK20" s="144">
        <v>1</v>
      </c>
      <c r="AL20" s="60">
        <v>1</v>
      </c>
      <c r="AM20" s="60">
        <v>1</v>
      </c>
      <c r="AN20" s="60">
        <v>1</v>
      </c>
      <c r="AO20" s="144">
        <v>1</v>
      </c>
      <c r="AP20" s="64">
        <v>9.1999999999999993</v>
      </c>
      <c r="AQ20" s="64">
        <v>9.1999999999999993</v>
      </c>
      <c r="AR20" s="64">
        <v>9.1999999999999993</v>
      </c>
      <c r="AS20" s="153">
        <v>9.1999999999999993</v>
      </c>
      <c r="AT20" s="59">
        <v>13440</v>
      </c>
      <c r="AU20" s="59">
        <v>13440</v>
      </c>
      <c r="AV20" s="59">
        <v>13440</v>
      </c>
      <c r="AW20" s="135">
        <v>13440</v>
      </c>
      <c r="AX20" s="59">
        <v>1080</v>
      </c>
      <c r="AY20" s="59">
        <v>1080</v>
      </c>
      <c r="AZ20" s="59">
        <v>1080</v>
      </c>
      <c r="BA20" s="135">
        <v>1080</v>
      </c>
      <c r="BB20" s="59">
        <v>0</v>
      </c>
      <c r="BC20" s="59">
        <v>0</v>
      </c>
      <c r="BD20" s="59">
        <v>0</v>
      </c>
      <c r="BE20" s="135">
        <v>0</v>
      </c>
      <c r="BF20" s="59">
        <v>0</v>
      </c>
      <c r="BG20" s="59">
        <v>0</v>
      </c>
      <c r="BH20" s="59">
        <v>0</v>
      </c>
      <c r="BI20" s="135">
        <v>0</v>
      </c>
      <c r="BJ20" s="59">
        <v>12.323</v>
      </c>
      <c r="BK20" s="59">
        <v>0</v>
      </c>
      <c r="BL20" s="59">
        <v>0</v>
      </c>
      <c r="BM20" s="135">
        <v>0</v>
      </c>
      <c r="BN20" s="59">
        <v>0</v>
      </c>
      <c r="BO20" s="59">
        <v>0</v>
      </c>
      <c r="BP20" s="59">
        <v>0</v>
      </c>
      <c r="BQ20" s="135">
        <v>0</v>
      </c>
      <c r="BR20" s="59">
        <f>(BZ20*(1+BZ20)^BV20)/((1+BZ20)^BV20-1)</f>
        <v>9.3678779051968114E-2</v>
      </c>
      <c r="BS20" s="59">
        <f t="shared" ref="BS20:BU20" si="29">(CA20*(1+CA20)^BW20)/((1+CA20)^BW20-1)</f>
        <v>9.3678779051968114E-2</v>
      </c>
      <c r="BT20" s="59">
        <f t="shared" si="29"/>
        <v>9.3678779051968114E-2</v>
      </c>
      <c r="BU20" s="135">
        <f t="shared" si="29"/>
        <v>9.3678779051968114E-2</v>
      </c>
      <c r="BV20" s="58">
        <v>25</v>
      </c>
      <c r="BW20" s="58">
        <v>25</v>
      </c>
      <c r="BX20" s="58">
        <v>25</v>
      </c>
      <c r="BY20" s="162">
        <v>25</v>
      </c>
      <c r="BZ20" s="60">
        <v>0.08</v>
      </c>
      <c r="CA20" s="60">
        <v>0.08</v>
      </c>
      <c r="CB20" s="60">
        <v>0.08</v>
      </c>
      <c r="CC20" s="60">
        <v>0.08</v>
      </c>
    </row>
    <row r="21" spans="1:81" s="59" customFormat="1" x14ac:dyDescent="0.35">
      <c r="A21" s="417"/>
      <c r="B21" s="55" t="s">
        <v>434</v>
      </c>
      <c r="C21" s="56" t="s">
        <v>119</v>
      </c>
      <c r="D21" s="57" t="s">
        <v>297</v>
      </c>
      <c r="E21" s="399" t="s">
        <v>86</v>
      </c>
      <c r="F21" s="6">
        <f t="shared" si="14"/>
        <v>16</v>
      </c>
      <c r="G21" s="104">
        <v>1</v>
      </c>
      <c r="H21" s="116" t="s">
        <v>396</v>
      </c>
      <c r="I21" s="116" t="s">
        <v>397</v>
      </c>
      <c r="J21" s="309">
        <f>(2.2/(32.3/3.6))*10^9</f>
        <v>245201238.39009291</v>
      </c>
      <c r="K21" s="317" t="str">
        <f>B34</f>
        <v>Reactant10</v>
      </c>
      <c r="L21" s="125">
        <v>0</v>
      </c>
      <c r="M21" s="125">
        <v>0</v>
      </c>
      <c r="N21" s="125">
        <v>0</v>
      </c>
      <c r="O21" s="125">
        <v>0</v>
      </c>
      <c r="P21" s="125">
        <v>0</v>
      </c>
      <c r="Q21" s="135">
        <v>40000</v>
      </c>
      <c r="R21" s="59">
        <f t="shared" ref="R21:U21" si="30">1/0.014</f>
        <v>71.428571428571431</v>
      </c>
      <c r="S21" s="59">
        <f t="shared" si="30"/>
        <v>71.428571428571431</v>
      </c>
      <c r="T21" s="59">
        <f t="shared" si="30"/>
        <v>71.428571428571431</v>
      </c>
      <c r="U21" s="135">
        <f t="shared" si="30"/>
        <v>71.428571428571431</v>
      </c>
      <c r="V21" s="59">
        <v>0</v>
      </c>
      <c r="W21" s="59">
        <v>0</v>
      </c>
      <c r="X21" s="59">
        <v>0</v>
      </c>
      <c r="Y21" s="135">
        <v>0</v>
      </c>
      <c r="Z21" s="59">
        <v>0</v>
      </c>
      <c r="AA21" s="59">
        <v>0</v>
      </c>
      <c r="AB21" s="59">
        <v>0</v>
      </c>
      <c r="AC21" s="135">
        <v>0</v>
      </c>
      <c r="AD21" s="60">
        <v>0</v>
      </c>
      <c r="AE21" s="60">
        <v>0</v>
      </c>
      <c r="AF21" s="60">
        <v>0</v>
      </c>
      <c r="AG21" s="144">
        <v>0</v>
      </c>
      <c r="AH21" s="60">
        <v>1</v>
      </c>
      <c r="AI21" s="60">
        <v>1</v>
      </c>
      <c r="AJ21" s="60">
        <v>1</v>
      </c>
      <c r="AK21" s="144">
        <v>1</v>
      </c>
      <c r="AL21" s="60">
        <v>1</v>
      </c>
      <c r="AM21" s="60">
        <v>1</v>
      </c>
      <c r="AN21" s="60">
        <v>1</v>
      </c>
      <c r="AO21" s="144">
        <v>1</v>
      </c>
      <c r="AP21" s="61">
        <v>9.8000000000000004E-2</v>
      </c>
      <c r="AQ21" s="61">
        <v>9.8000000000000004E-2</v>
      </c>
      <c r="AR21" s="61">
        <v>9.8000000000000004E-2</v>
      </c>
      <c r="AS21" s="152">
        <v>9.8000000000000004E-2</v>
      </c>
      <c r="AT21" s="59">
        <v>3995</v>
      </c>
      <c r="AU21" s="59">
        <v>3995</v>
      </c>
      <c r="AV21" s="59">
        <v>3995</v>
      </c>
      <c r="AW21" s="135">
        <v>3995</v>
      </c>
      <c r="AX21" s="59">
        <v>799</v>
      </c>
      <c r="AY21" s="59">
        <v>799</v>
      </c>
      <c r="AZ21" s="59">
        <v>799</v>
      </c>
      <c r="BA21" s="135">
        <v>799</v>
      </c>
      <c r="BB21" s="59">
        <v>0</v>
      </c>
      <c r="BC21" s="59">
        <v>0</v>
      </c>
      <c r="BD21" s="59">
        <v>0</v>
      </c>
      <c r="BE21" s="135">
        <v>0</v>
      </c>
      <c r="BF21" s="59">
        <v>0</v>
      </c>
      <c r="BG21" s="59">
        <v>0</v>
      </c>
      <c r="BH21" s="59">
        <v>0</v>
      </c>
      <c r="BI21" s="135">
        <v>0</v>
      </c>
      <c r="BJ21" s="59">
        <v>2.3748999999999998</v>
      </c>
      <c r="BK21" s="59">
        <v>0</v>
      </c>
      <c r="BL21" s="59">
        <v>0</v>
      </c>
      <c r="BM21" s="135">
        <v>0</v>
      </c>
      <c r="BN21" s="59">
        <v>0</v>
      </c>
      <c r="BO21" s="59">
        <v>0</v>
      </c>
      <c r="BP21" s="59">
        <v>0</v>
      </c>
      <c r="BQ21" s="135">
        <v>0</v>
      </c>
      <c r="BR21" s="59">
        <f>IF(BV21&lt;&gt;0,(BZ21*(1+BZ21)^BV21)/((1+BZ21)^BV21-1),0)</f>
        <v>0.10185220882315059</v>
      </c>
      <c r="BS21" s="59">
        <f t="shared" ref="BS21:BU21" si="31">IF(BW21&lt;&gt;0,(CA21*(1+CA21)^BW21)/((1+CA21)^BW21-1),0)</f>
        <v>0.10185220882315059</v>
      </c>
      <c r="BT21" s="59">
        <f t="shared" si="31"/>
        <v>0.10185220882315059</v>
      </c>
      <c r="BU21" s="135">
        <f t="shared" si="31"/>
        <v>0.10185220882315059</v>
      </c>
      <c r="BV21" s="58">
        <v>20</v>
      </c>
      <c r="BW21" s="58">
        <v>20</v>
      </c>
      <c r="BX21" s="58">
        <v>20</v>
      </c>
      <c r="BY21" s="162">
        <v>20</v>
      </c>
      <c r="BZ21" s="60">
        <v>0.08</v>
      </c>
      <c r="CA21" s="60">
        <v>0.08</v>
      </c>
      <c r="CB21" s="60">
        <v>0.08</v>
      </c>
      <c r="CC21" s="60">
        <v>0.08</v>
      </c>
    </row>
    <row r="22" spans="1:81" s="78" customFormat="1" x14ac:dyDescent="0.35">
      <c r="A22" s="417"/>
      <c r="B22" s="75" t="s">
        <v>97</v>
      </c>
      <c r="C22" s="82" t="s">
        <v>281</v>
      </c>
      <c r="D22" s="77" t="s">
        <v>356</v>
      </c>
      <c r="E22" s="396" t="s">
        <v>86</v>
      </c>
      <c r="F22" s="6">
        <f t="shared" si="14"/>
        <v>17</v>
      </c>
      <c r="G22" s="105">
        <v>1</v>
      </c>
      <c r="H22" s="117" t="s">
        <v>377</v>
      </c>
      <c r="I22" s="117" t="s">
        <v>378</v>
      </c>
      <c r="J22" s="126">
        <v>0</v>
      </c>
      <c r="K22" s="318" t="str">
        <f>B28</f>
        <v>Product/Reactant9</v>
      </c>
      <c r="L22" s="126">
        <v>0</v>
      </c>
      <c r="M22" s="126">
        <v>0</v>
      </c>
      <c r="N22" s="126">
        <v>0</v>
      </c>
      <c r="O22" s="126">
        <v>0</v>
      </c>
      <c r="P22" s="126">
        <v>0</v>
      </c>
      <c r="Q22" s="136">
        <f>Q14</f>
        <v>40000</v>
      </c>
      <c r="R22" s="78">
        <v>0</v>
      </c>
      <c r="S22" s="78">
        <v>0</v>
      </c>
      <c r="T22" s="78">
        <v>0</v>
      </c>
      <c r="U22" s="136">
        <v>0</v>
      </c>
      <c r="V22" s="78">
        <v>0</v>
      </c>
      <c r="W22" s="78">
        <v>0</v>
      </c>
      <c r="X22" s="78">
        <v>0</v>
      </c>
      <c r="Y22" s="136">
        <v>0</v>
      </c>
      <c r="Z22" s="78">
        <v>0</v>
      </c>
      <c r="AA22" s="78">
        <v>0</v>
      </c>
      <c r="AB22" s="78">
        <v>0</v>
      </c>
      <c r="AC22" s="136">
        <v>0</v>
      </c>
      <c r="AD22" s="80">
        <v>0</v>
      </c>
      <c r="AE22" s="80">
        <v>0</v>
      </c>
      <c r="AF22" s="80">
        <v>0</v>
      </c>
      <c r="AG22" s="145">
        <v>0</v>
      </c>
      <c r="AH22" s="80">
        <v>1</v>
      </c>
      <c r="AI22" s="80">
        <v>1</v>
      </c>
      <c r="AJ22" s="80">
        <v>1</v>
      </c>
      <c r="AK22" s="145">
        <v>1</v>
      </c>
      <c r="AL22" s="80">
        <v>1</v>
      </c>
      <c r="AM22" s="80">
        <v>1</v>
      </c>
      <c r="AN22" s="80">
        <v>1</v>
      </c>
      <c r="AO22" s="145">
        <v>1</v>
      </c>
      <c r="AP22" s="81">
        <v>0</v>
      </c>
      <c r="AQ22" s="81">
        <v>0</v>
      </c>
      <c r="AR22" s="81">
        <v>0</v>
      </c>
      <c r="AS22" s="154">
        <v>0</v>
      </c>
      <c r="AT22" s="78">
        <v>0</v>
      </c>
      <c r="AU22" s="78">
        <v>0</v>
      </c>
      <c r="AV22" s="78">
        <v>0</v>
      </c>
      <c r="AW22" s="136">
        <v>0</v>
      </c>
      <c r="AX22" s="78">
        <v>0</v>
      </c>
      <c r="AY22" s="78">
        <v>0</v>
      </c>
      <c r="AZ22" s="78">
        <v>0</v>
      </c>
      <c r="BA22" s="136">
        <v>0</v>
      </c>
      <c r="BB22" s="78">
        <v>0</v>
      </c>
      <c r="BC22" s="78">
        <v>0</v>
      </c>
      <c r="BD22" s="78">
        <v>0</v>
      </c>
      <c r="BE22" s="136">
        <v>0</v>
      </c>
      <c r="BF22" s="78">
        <v>0.11849999999999999</v>
      </c>
      <c r="BG22" s="78">
        <v>0.11849999999999999</v>
      </c>
      <c r="BH22" s="78">
        <v>0.11849999999999999</v>
      </c>
      <c r="BI22" s="136">
        <v>0.11849999999999999</v>
      </c>
      <c r="BJ22" s="78">
        <v>0</v>
      </c>
      <c r="BK22" s="78">
        <v>0</v>
      </c>
      <c r="BL22" s="78">
        <v>0</v>
      </c>
      <c r="BM22" s="136">
        <v>0</v>
      </c>
      <c r="BN22" s="78">
        <v>0</v>
      </c>
      <c r="BO22" s="78">
        <v>0</v>
      </c>
      <c r="BP22" s="78">
        <v>0</v>
      </c>
      <c r="BQ22" s="136">
        <v>0</v>
      </c>
      <c r="BR22" s="78">
        <f t="shared" ref="BR22:BR24" si="32">IF(BV22&lt;&gt;0,(BZ22*(1+BZ22)^BV22)/((1+BZ22)^BV22-1),0)</f>
        <v>0</v>
      </c>
      <c r="BS22" s="78">
        <f t="shared" ref="BS22:BS24" si="33">IF(BW22&lt;&gt;0,(CA22*(1+CA22)^BW22)/((1+CA22)^BW22-1),0)</f>
        <v>0</v>
      </c>
      <c r="BT22" s="78">
        <f t="shared" ref="BT22:BT24" si="34">IF(BX22&lt;&gt;0,(CB22*(1+CB22)^BX22)/((1+CB22)^BX22-1),0)</f>
        <v>0</v>
      </c>
      <c r="BU22" s="136">
        <f t="shared" ref="BU22:BU24" si="35">IF(BY22&lt;&gt;0,(CC22*(1+CC22)^BY22)/((1+CC22)^BY22-1),0)</f>
        <v>0</v>
      </c>
      <c r="BV22" s="79">
        <v>0</v>
      </c>
      <c r="BW22" s="79">
        <v>0</v>
      </c>
      <c r="BX22" s="79">
        <v>0</v>
      </c>
      <c r="BY22" s="163">
        <v>0</v>
      </c>
      <c r="BZ22" s="79">
        <v>0</v>
      </c>
      <c r="CA22" s="79">
        <v>0</v>
      </c>
      <c r="CB22" s="79">
        <v>0</v>
      </c>
      <c r="CC22" s="79">
        <v>0</v>
      </c>
    </row>
    <row r="23" spans="1:81" s="78" customFormat="1" x14ac:dyDescent="0.35">
      <c r="A23" s="417"/>
      <c r="B23" s="75" t="s">
        <v>97</v>
      </c>
      <c r="C23" s="76" t="s">
        <v>180</v>
      </c>
      <c r="D23" s="77" t="s">
        <v>284</v>
      </c>
      <c r="E23" s="396" t="s">
        <v>86</v>
      </c>
      <c r="F23" s="6">
        <f t="shared" si="14"/>
        <v>18</v>
      </c>
      <c r="G23" s="105">
        <v>1</v>
      </c>
      <c r="H23" s="117" t="s">
        <v>373</v>
      </c>
      <c r="I23" s="117" t="s">
        <v>374</v>
      </c>
      <c r="J23" s="126">
        <v>0</v>
      </c>
      <c r="K23" s="318" t="str">
        <f>B27</f>
        <v>Product/Reactant9</v>
      </c>
      <c r="L23" s="126">
        <v>0</v>
      </c>
      <c r="M23" s="126">
        <v>0</v>
      </c>
      <c r="N23" s="126">
        <v>0</v>
      </c>
      <c r="O23" s="126">
        <v>0</v>
      </c>
      <c r="P23" s="126">
        <v>0</v>
      </c>
      <c r="Q23" s="136">
        <v>20000</v>
      </c>
      <c r="R23" s="78">
        <v>2.21</v>
      </c>
      <c r="S23" s="78">
        <v>2.21</v>
      </c>
      <c r="T23" s="78">
        <v>2.21</v>
      </c>
      <c r="U23" s="136">
        <v>2.21</v>
      </c>
      <c r="V23" s="78">
        <v>0</v>
      </c>
      <c r="W23" s="78">
        <v>0</v>
      </c>
      <c r="X23" s="78">
        <v>0</v>
      </c>
      <c r="Y23" s="136">
        <v>0</v>
      </c>
      <c r="Z23" s="78">
        <v>0</v>
      </c>
      <c r="AA23" s="78">
        <v>0</v>
      </c>
      <c r="AB23" s="78">
        <v>0</v>
      </c>
      <c r="AC23" s="136">
        <v>0</v>
      </c>
      <c r="AD23" s="80">
        <v>0</v>
      </c>
      <c r="AE23" s="80">
        <v>0</v>
      </c>
      <c r="AF23" s="80">
        <v>0</v>
      </c>
      <c r="AG23" s="145">
        <v>0</v>
      </c>
      <c r="AH23" s="80">
        <v>1</v>
      </c>
      <c r="AI23" s="80">
        <v>1</v>
      </c>
      <c r="AJ23" s="80">
        <v>1</v>
      </c>
      <c r="AK23" s="145">
        <v>1</v>
      </c>
      <c r="AL23" s="80">
        <v>1</v>
      </c>
      <c r="AM23" s="80">
        <v>1</v>
      </c>
      <c r="AN23" s="80">
        <v>1</v>
      </c>
      <c r="AO23" s="145">
        <v>1</v>
      </c>
      <c r="AP23" s="81">
        <v>0</v>
      </c>
      <c r="AQ23" s="81">
        <v>0</v>
      </c>
      <c r="AR23" s="81">
        <v>0</v>
      </c>
      <c r="AS23" s="154">
        <v>0</v>
      </c>
      <c r="AT23" s="78">
        <v>0</v>
      </c>
      <c r="AU23" s="78">
        <v>0</v>
      </c>
      <c r="AV23" s="78">
        <v>0</v>
      </c>
      <c r="AW23" s="136">
        <v>0</v>
      </c>
      <c r="AX23" s="78">
        <v>0</v>
      </c>
      <c r="AY23" s="78">
        <v>0</v>
      </c>
      <c r="AZ23" s="78">
        <v>0</v>
      </c>
      <c r="BA23" s="136">
        <v>0</v>
      </c>
      <c r="BB23" s="78">
        <v>0.14244999999999999</v>
      </c>
      <c r="BC23" s="78">
        <v>0.14244999999999999</v>
      </c>
      <c r="BD23" s="78">
        <v>0.14244999999999999</v>
      </c>
      <c r="BE23" s="136">
        <v>0.14244999999999999</v>
      </c>
      <c r="BF23" s="78">
        <v>0</v>
      </c>
      <c r="BG23" s="78">
        <v>0</v>
      </c>
      <c r="BH23" s="78">
        <v>0</v>
      </c>
      <c r="BI23" s="136">
        <v>0</v>
      </c>
      <c r="BJ23" s="78">
        <v>3.560584789265715</v>
      </c>
      <c r="BK23" s="78">
        <v>0</v>
      </c>
      <c r="BL23" s="78">
        <v>0</v>
      </c>
      <c r="BM23" s="136">
        <v>0</v>
      </c>
      <c r="BN23" s="78">
        <v>0</v>
      </c>
      <c r="BO23" s="78">
        <v>0</v>
      </c>
      <c r="BP23" s="78">
        <v>0</v>
      </c>
      <c r="BQ23" s="136">
        <v>0</v>
      </c>
      <c r="BR23" s="78">
        <f>IF(BV23&lt;&gt;0,(BZ23*(1+BZ23)^BV23)/((1+BZ23)^BV23-1),0)</f>
        <v>0</v>
      </c>
      <c r="BS23" s="78">
        <f>IF(BW23&lt;&gt;0,(CA23*(1+CA23)^BW23)/((1+CA23)^BW23-1),0)</f>
        <v>0</v>
      </c>
      <c r="BT23" s="78">
        <f>IF(BX23&lt;&gt;0,(CB23*(1+CB23)^BX23)/((1+CB23)^BX23-1),0)</f>
        <v>0</v>
      </c>
      <c r="BU23" s="136">
        <f>IF(BY23&lt;&gt;0,(CC23*(1+CC23)^BY23)/((1+CC23)^BY23-1),0)</f>
        <v>0</v>
      </c>
      <c r="BV23" s="79">
        <v>0</v>
      </c>
      <c r="BW23" s="79">
        <v>0</v>
      </c>
      <c r="BX23" s="79">
        <v>0</v>
      </c>
      <c r="BY23" s="163">
        <v>0</v>
      </c>
      <c r="BZ23" s="79">
        <v>0</v>
      </c>
      <c r="CA23" s="79">
        <v>0</v>
      </c>
      <c r="CB23" s="79">
        <v>0</v>
      </c>
      <c r="CC23" s="79">
        <v>0</v>
      </c>
    </row>
    <row r="24" spans="1:81" s="78" customFormat="1" x14ac:dyDescent="0.35">
      <c r="A24" s="417"/>
      <c r="B24" s="75" t="s">
        <v>97</v>
      </c>
      <c r="C24" s="76" t="s">
        <v>180</v>
      </c>
      <c r="D24" s="77" t="s">
        <v>283</v>
      </c>
      <c r="E24" s="396" t="s">
        <v>86</v>
      </c>
      <c r="F24" s="6">
        <f t="shared" si="14"/>
        <v>19</v>
      </c>
      <c r="G24" s="105">
        <v>1</v>
      </c>
      <c r="H24" s="117" t="s">
        <v>373</v>
      </c>
      <c r="I24" s="117" t="s">
        <v>374</v>
      </c>
      <c r="J24" s="126">
        <v>0</v>
      </c>
      <c r="K24" s="318" t="str">
        <f>B28</f>
        <v>Product/Reactant9</v>
      </c>
      <c r="L24" s="126">
        <v>0</v>
      </c>
      <c r="M24" s="126">
        <v>0</v>
      </c>
      <c r="N24" s="126">
        <v>0</v>
      </c>
      <c r="O24" s="126">
        <v>0</v>
      </c>
      <c r="P24" s="126">
        <v>0</v>
      </c>
      <c r="Q24" s="136">
        <v>20000</v>
      </c>
      <c r="R24" s="78">
        <v>1.54</v>
      </c>
      <c r="S24" s="78">
        <v>1.54</v>
      </c>
      <c r="T24" s="78">
        <v>1.54</v>
      </c>
      <c r="U24" s="136">
        <v>1.54</v>
      </c>
      <c r="V24" s="78">
        <v>0</v>
      </c>
      <c r="W24" s="78">
        <v>0</v>
      </c>
      <c r="X24" s="78">
        <v>0</v>
      </c>
      <c r="Y24" s="136">
        <v>0</v>
      </c>
      <c r="Z24" s="78">
        <v>0</v>
      </c>
      <c r="AA24" s="78">
        <v>0</v>
      </c>
      <c r="AB24" s="78">
        <v>0</v>
      </c>
      <c r="AC24" s="136">
        <v>0</v>
      </c>
      <c r="AD24" s="80">
        <v>0</v>
      </c>
      <c r="AE24" s="80">
        <v>0</v>
      </c>
      <c r="AF24" s="80">
        <v>0</v>
      </c>
      <c r="AG24" s="145">
        <v>0</v>
      </c>
      <c r="AH24" s="80">
        <v>1</v>
      </c>
      <c r="AI24" s="80">
        <v>1</v>
      </c>
      <c r="AJ24" s="80">
        <v>1</v>
      </c>
      <c r="AK24" s="145">
        <v>1</v>
      </c>
      <c r="AL24" s="80">
        <v>1</v>
      </c>
      <c r="AM24" s="80">
        <v>1</v>
      </c>
      <c r="AN24" s="80">
        <v>1</v>
      </c>
      <c r="AO24" s="145">
        <v>1</v>
      </c>
      <c r="AP24" s="81">
        <v>0</v>
      </c>
      <c r="AQ24" s="81">
        <v>0</v>
      </c>
      <c r="AR24" s="81">
        <v>0</v>
      </c>
      <c r="AS24" s="154">
        <v>0</v>
      </c>
      <c r="AT24" s="78">
        <v>0</v>
      </c>
      <c r="AU24" s="78">
        <v>0</v>
      </c>
      <c r="AV24" s="78">
        <v>0</v>
      </c>
      <c r="AW24" s="136">
        <v>0</v>
      </c>
      <c r="AX24" s="78">
        <v>0</v>
      </c>
      <c r="AY24" s="78">
        <v>0</v>
      </c>
      <c r="AZ24" s="78">
        <v>0</v>
      </c>
      <c r="BA24" s="136">
        <v>0</v>
      </c>
      <c r="BB24" s="78">
        <v>0.14244999999999999</v>
      </c>
      <c r="BC24" s="78">
        <v>0.14244999999999999</v>
      </c>
      <c r="BD24" s="78">
        <v>0.14244999999999999</v>
      </c>
      <c r="BE24" s="136">
        <v>0.14244999999999999</v>
      </c>
      <c r="BF24" s="78">
        <v>0</v>
      </c>
      <c r="BG24" s="78">
        <v>0</v>
      </c>
      <c r="BH24" s="78">
        <v>0</v>
      </c>
      <c r="BI24" s="136">
        <v>0</v>
      </c>
      <c r="BJ24" s="78">
        <v>3.560584789265715</v>
      </c>
      <c r="BK24" s="78">
        <v>0</v>
      </c>
      <c r="BL24" s="78">
        <v>0</v>
      </c>
      <c r="BM24" s="136">
        <v>0</v>
      </c>
      <c r="BN24" s="78">
        <v>0</v>
      </c>
      <c r="BO24" s="78">
        <v>0</v>
      </c>
      <c r="BP24" s="78">
        <v>0</v>
      </c>
      <c r="BQ24" s="136">
        <v>0</v>
      </c>
      <c r="BR24" s="78">
        <f t="shared" si="32"/>
        <v>0</v>
      </c>
      <c r="BS24" s="78">
        <f t="shared" si="33"/>
        <v>0</v>
      </c>
      <c r="BT24" s="78">
        <f t="shared" si="34"/>
        <v>0</v>
      </c>
      <c r="BU24" s="136">
        <f t="shared" si="35"/>
        <v>0</v>
      </c>
      <c r="BV24" s="79">
        <v>0</v>
      </c>
      <c r="BW24" s="79">
        <v>0</v>
      </c>
      <c r="BX24" s="79">
        <v>0</v>
      </c>
      <c r="BY24" s="163">
        <v>0</v>
      </c>
      <c r="BZ24" s="79">
        <v>0</v>
      </c>
      <c r="CA24" s="79">
        <v>0</v>
      </c>
      <c r="CB24" s="79">
        <v>0</v>
      </c>
      <c r="CC24" s="79">
        <v>0</v>
      </c>
    </row>
    <row r="25" spans="1:81" s="78" customFormat="1" x14ac:dyDescent="0.35">
      <c r="A25" s="417"/>
      <c r="B25" s="75" t="s">
        <v>97</v>
      </c>
      <c r="C25" s="76" t="s">
        <v>180</v>
      </c>
      <c r="D25" s="77" t="s">
        <v>286</v>
      </c>
      <c r="E25" s="396" t="s">
        <v>86</v>
      </c>
      <c r="F25" s="6">
        <f t="shared" si="14"/>
        <v>20</v>
      </c>
      <c r="G25" s="105">
        <v>1</v>
      </c>
      <c r="H25" s="117" t="s">
        <v>375</v>
      </c>
      <c r="I25" s="117" t="s">
        <v>376</v>
      </c>
      <c r="J25" s="126">
        <v>0</v>
      </c>
      <c r="K25" s="318" t="str">
        <f>B29</f>
        <v>Product/Reactant9</v>
      </c>
      <c r="L25" s="126">
        <v>0</v>
      </c>
      <c r="M25" s="126">
        <v>0</v>
      </c>
      <c r="N25" s="126">
        <v>0</v>
      </c>
      <c r="O25" s="126">
        <v>0</v>
      </c>
      <c r="P25" s="126">
        <v>0</v>
      </c>
      <c r="Q25" s="136">
        <v>20000</v>
      </c>
      <c r="R25" s="78">
        <v>2.54</v>
      </c>
      <c r="S25" s="78">
        <v>2.54</v>
      </c>
      <c r="T25" s="78">
        <v>2.54</v>
      </c>
      <c r="U25" s="136">
        <v>2.54</v>
      </c>
      <c r="V25" s="78">
        <v>0</v>
      </c>
      <c r="W25" s="78">
        <v>0</v>
      </c>
      <c r="X25" s="78">
        <v>0</v>
      </c>
      <c r="Y25" s="136">
        <v>0</v>
      </c>
      <c r="Z25" s="78">
        <v>0</v>
      </c>
      <c r="AA25" s="78">
        <v>0</v>
      </c>
      <c r="AB25" s="78">
        <v>0</v>
      </c>
      <c r="AC25" s="136">
        <v>0</v>
      </c>
      <c r="AD25" s="80">
        <v>0</v>
      </c>
      <c r="AE25" s="80">
        <v>0</v>
      </c>
      <c r="AF25" s="80">
        <v>0</v>
      </c>
      <c r="AG25" s="145">
        <v>0</v>
      </c>
      <c r="AH25" s="80">
        <v>1</v>
      </c>
      <c r="AI25" s="80">
        <v>1</v>
      </c>
      <c r="AJ25" s="80">
        <v>1</v>
      </c>
      <c r="AK25" s="145">
        <v>1</v>
      </c>
      <c r="AL25" s="80">
        <v>1</v>
      </c>
      <c r="AM25" s="80">
        <v>1</v>
      </c>
      <c r="AN25" s="80">
        <v>1</v>
      </c>
      <c r="AO25" s="145">
        <v>1</v>
      </c>
      <c r="AP25" s="81">
        <v>0</v>
      </c>
      <c r="AQ25" s="81">
        <v>0</v>
      </c>
      <c r="AR25" s="81">
        <v>0</v>
      </c>
      <c r="AS25" s="154">
        <v>0</v>
      </c>
      <c r="AT25" s="78">
        <v>0</v>
      </c>
      <c r="AU25" s="78">
        <v>0</v>
      </c>
      <c r="AV25" s="78">
        <v>0</v>
      </c>
      <c r="AW25" s="136">
        <v>0</v>
      </c>
      <c r="AX25" s="78">
        <v>0</v>
      </c>
      <c r="AY25" s="78">
        <v>0</v>
      </c>
      <c r="AZ25" s="78">
        <v>0</v>
      </c>
      <c r="BA25" s="136">
        <v>0</v>
      </c>
      <c r="BB25" s="78">
        <v>9.2799999999999994E-2</v>
      </c>
      <c r="BC25" s="78">
        <v>9.2799999999999994E-2</v>
      </c>
      <c r="BD25" s="78">
        <v>9.2799999999999994E-2</v>
      </c>
      <c r="BE25" s="136">
        <v>9.2799999999999994E-2</v>
      </c>
      <c r="BF25" s="78">
        <v>0</v>
      </c>
      <c r="BG25" s="78">
        <v>0</v>
      </c>
      <c r="BH25" s="78">
        <v>0</v>
      </c>
      <c r="BI25" s="136">
        <v>0</v>
      </c>
      <c r="BJ25" s="78">
        <v>3.560584789265715</v>
      </c>
      <c r="BK25" s="78">
        <v>0</v>
      </c>
      <c r="BL25" s="78">
        <v>0</v>
      </c>
      <c r="BM25" s="136">
        <v>0</v>
      </c>
      <c r="BN25" s="78">
        <v>0</v>
      </c>
      <c r="BO25" s="78">
        <v>0</v>
      </c>
      <c r="BP25" s="78">
        <v>0</v>
      </c>
      <c r="BQ25" s="136">
        <v>0</v>
      </c>
      <c r="BR25" s="78">
        <f>IF(BV25&lt;&gt;0,(BZ25*(1+BZ25)^BV25)/((1+BZ25)^BV25-1),0)</f>
        <v>0</v>
      </c>
      <c r="BS25" s="78">
        <f>IF(BW25&lt;&gt;0,(CA25*(1+CA25)^BW25)/((1+CA25)^BW25-1),0)</f>
        <v>0</v>
      </c>
      <c r="BT25" s="78">
        <f>IF(BX25&lt;&gt;0,(CB25*(1+CB25)^BX25)/((1+CB25)^BX25-1),0)</f>
        <v>0</v>
      </c>
      <c r="BU25" s="136">
        <f>IF(BY25&lt;&gt;0,(CC25*(1+CC25)^BY25)/((1+CC25)^BY25-1),0)</f>
        <v>0</v>
      </c>
      <c r="BV25" s="79">
        <v>0</v>
      </c>
      <c r="BW25" s="79">
        <v>0</v>
      </c>
      <c r="BX25" s="79">
        <v>0</v>
      </c>
      <c r="BY25" s="163">
        <v>0</v>
      </c>
      <c r="BZ25" s="79">
        <v>0</v>
      </c>
      <c r="CA25" s="79">
        <v>0</v>
      </c>
      <c r="CB25" s="79">
        <v>0</v>
      </c>
      <c r="CC25" s="79">
        <v>0</v>
      </c>
    </row>
    <row r="26" spans="1:81" s="78" customFormat="1" x14ac:dyDescent="0.35">
      <c r="A26" s="417"/>
      <c r="B26" s="75" t="s">
        <v>97</v>
      </c>
      <c r="C26" s="76" t="s">
        <v>180</v>
      </c>
      <c r="D26" s="77" t="s">
        <v>285</v>
      </c>
      <c r="E26" s="396" t="s">
        <v>86</v>
      </c>
      <c r="F26" s="6">
        <f t="shared" si="14"/>
        <v>21</v>
      </c>
      <c r="G26" s="105">
        <v>1</v>
      </c>
      <c r="H26" s="117" t="s">
        <v>375</v>
      </c>
      <c r="I26" s="117" t="s">
        <v>376</v>
      </c>
      <c r="J26" s="126">
        <v>0</v>
      </c>
      <c r="K26" s="318" t="str">
        <f t="shared" ref="K26" si="36">B30</f>
        <v>Product/Reactant9</v>
      </c>
      <c r="L26" s="126">
        <v>0</v>
      </c>
      <c r="M26" s="126">
        <v>0</v>
      </c>
      <c r="N26" s="126">
        <v>0</v>
      </c>
      <c r="O26" s="126">
        <v>0</v>
      </c>
      <c r="P26" s="126">
        <v>0</v>
      </c>
      <c r="Q26" s="136">
        <v>20000</v>
      </c>
      <c r="R26" s="78">
        <v>1.82</v>
      </c>
      <c r="S26" s="78">
        <v>1.82</v>
      </c>
      <c r="T26" s="78">
        <v>1.82</v>
      </c>
      <c r="U26" s="136">
        <v>1.82</v>
      </c>
      <c r="V26" s="78">
        <v>0</v>
      </c>
      <c r="W26" s="78">
        <v>0</v>
      </c>
      <c r="X26" s="78">
        <v>0</v>
      </c>
      <c r="Y26" s="136">
        <v>0</v>
      </c>
      <c r="Z26" s="78">
        <v>0</v>
      </c>
      <c r="AA26" s="78">
        <v>0</v>
      </c>
      <c r="AB26" s="78">
        <v>0</v>
      </c>
      <c r="AC26" s="136">
        <v>0</v>
      </c>
      <c r="AD26" s="80">
        <v>0</v>
      </c>
      <c r="AE26" s="80">
        <v>0</v>
      </c>
      <c r="AF26" s="80">
        <v>0</v>
      </c>
      <c r="AG26" s="145">
        <v>0</v>
      </c>
      <c r="AH26" s="80">
        <v>1</v>
      </c>
      <c r="AI26" s="80">
        <v>1</v>
      </c>
      <c r="AJ26" s="80">
        <v>1</v>
      </c>
      <c r="AK26" s="145">
        <v>1</v>
      </c>
      <c r="AL26" s="80">
        <v>1</v>
      </c>
      <c r="AM26" s="80">
        <v>1</v>
      </c>
      <c r="AN26" s="80">
        <v>1</v>
      </c>
      <c r="AO26" s="145">
        <v>1</v>
      </c>
      <c r="AP26" s="81">
        <v>0</v>
      </c>
      <c r="AQ26" s="81">
        <v>0</v>
      </c>
      <c r="AR26" s="81">
        <v>0</v>
      </c>
      <c r="AS26" s="154">
        <v>0</v>
      </c>
      <c r="AT26" s="78">
        <v>0</v>
      </c>
      <c r="AU26" s="78">
        <v>0</v>
      </c>
      <c r="AV26" s="78">
        <v>0</v>
      </c>
      <c r="AW26" s="136">
        <v>0</v>
      </c>
      <c r="AX26" s="78">
        <v>0</v>
      </c>
      <c r="AY26" s="78">
        <v>0</v>
      </c>
      <c r="AZ26" s="78">
        <v>0</v>
      </c>
      <c r="BA26" s="136">
        <v>0</v>
      </c>
      <c r="BB26" s="78">
        <v>9.2799999999999994E-2</v>
      </c>
      <c r="BC26" s="78">
        <v>9.2799999999999994E-2</v>
      </c>
      <c r="BD26" s="78">
        <v>9.2799999999999994E-2</v>
      </c>
      <c r="BE26" s="136">
        <v>9.2799999999999994E-2</v>
      </c>
      <c r="BF26" s="78">
        <v>0</v>
      </c>
      <c r="BG26" s="78">
        <v>0</v>
      </c>
      <c r="BH26" s="78">
        <v>0</v>
      </c>
      <c r="BI26" s="136">
        <v>0</v>
      </c>
      <c r="BJ26" s="78">
        <v>3.560584789265715</v>
      </c>
      <c r="BK26" s="78">
        <v>0</v>
      </c>
      <c r="BL26" s="78">
        <v>0</v>
      </c>
      <c r="BM26" s="136">
        <v>0</v>
      </c>
      <c r="BN26" s="78">
        <v>0</v>
      </c>
      <c r="BO26" s="78">
        <v>0</v>
      </c>
      <c r="BP26" s="78">
        <v>0</v>
      </c>
      <c r="BQ26" s="136">
        <v>0</v>
      </c>
      <c r="BR26" s="78">
        <f t="shared" ref="BR26:BR28" si="37">IF(BV26&lt;&gt;0,(BZ26*(1+BZ26)^BV26)/((1+BZ26)^BV26-1),0)</f>
        <v>0</v>
      </c>
      <c r="BS26" s="78">
        <f t="shared" ref="BS26:BS28" si="38">IF(BW26&lt;&gt;0,(CA26*(1+CA26)^BW26)/((1+CA26)^BW26-1),0)</f>
        <v>0</v>
      </c>
      <c r="BT26" s="78">
        <f t="shared" ref="BT26:BT28" si="39">IF(BX26&lt;&gt;0,(CB26*(1+CB26)^BX26)/((1+CB26)^BX26-1),0)</f>
        <v>0</v>
      </c>
      <c r="BU26" s="136">
        <f t="shared" ref="BU26:BU28" si="40">IF(BY26&lt;&gt;0,(CC26*(1+CC26)^BY26)/((1+CC26)^BY26-1),0)</f>
        <v>0</v>
      </c>
      <c r="BV26" s="79">
        <v>0</v>
      </c>
      <c r="BW26" s="79">
        <v>0</v>
      </c>
      <c r="BX26" s="79">
        <v>0</v>
      </c>
      <c r="BY26" s="163">
        <v>0</v>
      </c>
      <c r="BZ26" s="79">
        <v>0</v>
      </c>
      <c r="CA26" s="79">
        <v>0</v>
      </c>
      <c r="CB26" s="79">
        <v>0</v>
      </c>
      <c r="CC26" s="79">
        <v>0</v>
      </c>
    </row>
    <row r="27" spans="1:81" s="78" customFormat="1" x14ac:dyDescent="0.35">
      <c r="A27" s="417"/>
      <c r="B27" s="75" t="s">
        <v>435</v>
      </c>
      <c r="C27" s="82" t="s">
        <v>119</v>
      </c>
      <c r="D27" s="77" t="s">
        <v>357</v>
      </c>
      <c r="E27" s="396" t="s">
        <v>464</v>
      </c>
      <c r="F27" s="6">
        <f t="shared" si="14"/>
        <v>22</v>
      </c>
      <c r="G27" s="105">
        <v>1</v>
      </c>
      <c r="H27" s="117" t="s">
        <v>379</v>
      </c>
      <c r="I27" s="117" t="s">
        <v>380</v>
      </c>
      <c r="J27" s="126">
        <f t="shared" ref="J27:J30" si="41">(2.2/(28.8/3.6))*10^9</f>
        <v>275000000</v>
      </c>
      <c r="K27" s="318" t="str">
        <f>B34</f>
        <v>Reactant10</v>
      </c>
      <c r="L27" s="126">
        <v>0</v>
      </c>
      <c r="M27" s="126">
        <v>1</v>
      </c>
      <c r="N27" s="126">
        <v>1</v>
      </c>
      <c r="O27" s="126">
        <v>0</v>
      </c>
      <c r="P27" s="126">
        <v>0</v>
      </c>
      <c r="Q27" s="136">
        <f>Q28</f>
        <v>20000</v>
      </c>
      <c r="R27" s="78">
        <v>11.91</v>
      </c>
      <c r="S27" s="78">
        <v>11.91</v>
      </c>
      <c r="T27" s="78">
        <v>11.91</v>
      </c>
      <c r="U27" s="136">
        <v>11.91</v>
      </c>
      <c r="V27" s="78">
        <v>0.51</v>
      </c>
      <c r="W27" s="78">
        <v>0.51</v>
      </c>
      <c r="X27" s="78">
        <v>0.51</v>
      </c>
      <c r="Y27" s="136">
        <v>0.51</v>
      </c>
      <c r="Z27" s="78">
        <v>1.43</v>
      </c>
      <c r="AA27" s="78">
        <v>1.43</v>
      </c>
      <c r="AB27" s="78">
        <v>1.43</v>
      </c>
      <c r="AC27" s="136">
        <v>1.43</v>
      </c>
      <c r="AD27" s="80">
        <v>0.5</v>
      </c>
      <c r="AE27" s="80">
        <v>0.5</v>
      </c>
      <c r="AF27" s="80">
        <v>0.5</v>
      </c>
      <c r="AG27" s="145">
        <v>0.5</v>
      </c>
      <c r="AH27" s="80">
        <v>1</v>
      </c>
      <c r="AI27" s="80">
        <v>1</v>
      </c>
      <c r="AJ27" s="80">
        <v>1</v>
      </c>
      <c r="AK27" s="145">
        <v>1</v>
      </c>
      <c r="AL27" s="80">
        <v>1</v>
      </c>
      <c r="AM27" s="80">
        <v>1</v>
      </c>
      <c r="AN27" s="80">
        <v>1</v>
      </c>
      <c r="AO27" s="145">
        <v>1</v>
      </c>
      <c r="AP27" s="81">
        <v>0.32</v>
      </c>
      <c r="AQ27" s="81">
        <v>0.32</v>
      </c>
      <c r="AR27" s="81">
        <v>0.32</v>
      </c>
      <c r="AS27" s="154">
        <v>0.32</v>
      </c>
      <c r="AT27" s="78">
        <v>12905</v>
      </c>
      <c r="AU27" s="78">
        <v>12905</v>
      </c>
      <c r="AV27" s="78">
        <v>12789.46</v>
      </c>
      <c r="AW27" s="136">
        <v>12905</v>
      </c>
      <c r="AX27" s="78">
        <v>1216.44</v>
      </c>
      <c r="AY27" s="78">
        <v>1209.51</v>
      </c>
      <c r="AZ27" s="78">
        <v>1209.51</v>
      </c>
      <c r="BA27" s="136">
        <v>1209.51</v>
      </c>
      <c r="BB27" s="78">
        <f t="shared" ref="BB27:BE27" si="42">9.3267946332186/1000</f>
        <v>9.3267946332186002E-3</v>
      </c>
      <c r="BC27" s="78">
        <f t="shared" si="42"/>
        <v>9.3267946332186002E-3</v>
      </c>
      <c r="BD27" s="78">
        <f t="shared" si="42"/>
        <v>9.3267946332186002E-3</v>
      </c>
      <c r="BE27" s="136">
        <f t="shared" si="42"/>
        <v>9.3267946332186002E-3</v>
      </c>
      <c r="BF27" s="78">
        <v>0</v>
      </c>
      <c r="BG27" s="78">
        <v>0</v>
      </c>
      <c r="BH27" s="78">
        <v>0</v>
      </c>
      <c r="BI27" s="136">
        <v>0</v>
      </c>
      <c r="BJ27" s="78">
        <v>18.474666666666668</v>
      </c>
      <c r="BK27" s="78">
        <v>0</v>
      </c>
      <c r="BL27" s="78">
        <v>0</v>
      </c>
      <c r="BM27" s="136">
        <v>0</v>
      </c>
      <c r="BN27" s="78">
        <v>0</v>
      </c>
      <c r="BO27" s="78">
        <v>0</v>
      </c>
      <c r="BP27" s="78">
        <v>0</v>
      </c>
      <c r="BQ27" s="136">
        <v>0</v>
      </c>
      <c r="BR27" s="78">
        <f>IF(BV27&lt;&gt;0,(BZ27*(1+BZ27)^BV27)/((1+BZ27)^BV27-1),0)</f>
        <v>9.3678779051968114E-2</v>
      </c>
      <c r="BS27" s="78">
        <f>IF(BW27&lt;&gt;0,(CA27*(1+CA27)^BW27)/((1+CA27)^BW27-1),0)</f>
        <v>9.3678779051968114E-2</v>
      </c>
      <c r="BT27" s="78">
        <f>IF(BX27&lt;&gt;0,(CB27*(1+CB27)^BX27)/((1+CB27)^BX27-1),0)</f>
        <v>9.3678779051968114E-2</v>
      </c>
      <c r="BU27" s="136">
        <f>IF(BY27&lt;&gt;0,(CC27*(1+CC27)^BY27)/((1+CC27)^BY27-1),0)</f>
        <v>9.3678779051968114E-2</v>
      </c>
      <c r="BV27" s="79">
        <v>25</v>
      </c>
      <c r="BW27" s="79">
        <v>25</v>
      </c>
      <c r="BX27" s="79">
        <v>25</v>
      </c>
      <c r="BY27" s="163">
        <v>25</v>
      </c>
      <c r="BZ27" s="80">
        <v>0.08</v>
      </c>
      <c r="CA27" s="80">
        <v>0.08</v>
      </c>
      <c r="CB27" s="80">
        <v>0.08</v>
      </c>
      <c r="CC27" s="80">
        <v>0.08</v>
      </c>
    </row>
    <row r="28" spans="1:81" s="78" customFormat="1" x14ac:dyDescent="0.35">
      <c r="A28" s="417"/>
      <c r="B28" s="75" t="s">
        <v>435</v>
      </c>
      <c r="C28" s="82" t="s">
        <v>119</v>
      </c>
      <c r="D28" s="77" t="s">
        <v>358</v>
      </c>
      <c r="E28" s="396" t="s">
        <v>464</v>
      </c>
      <c r="F28" s="6">
        <f t="shared" si="14"/>
        <v>23</v>
      </c>
      <c r="G28" s="105">
        <v>1</v>
      </c>
      <c r="H28" s="117" t="s">
        <v>379</v>
      </c>
      <c r="I28" s="117" t="s">
        <v>380</v>
      </c>
      <c r="J28" s="126">
        <f>(2.2/(28.8/3.6))*10^9</f>
        <v>275000000</v>
      </c>
      <c r="K28" s="318" t="str">
        <f>B34</f>
        <v>Reactant10</v>
      </c>
      <c r="L28" s="126">
        <v>0</v>
      </c>
      <c r="M28" s="126">
        <v>1</v>
      </c>
      <c r="N28" s="126">
        <v>1</v>
      </c>
      <c r="O28" s="126">
        <v>0</v>
      </c>
      <c r="P28" s="126">
        <v>0</v>
      </c>
      <c r="Q28" s="136">
        <f>Q15</f>
        <v>20000</v>
      </c>
      <c r="R28" s="78">
        <v>7.28</v>
      </c>
      <c r="S28" s="78">
        <v>7.28</v>
      </c>
      <c r="T28" s="78">
        <v>7.28</v>
      </c>
      <c r="U28" s="136">
        <v>7.28</v>
      </c>
      <c r="V28" s="78">
        <v>1.54</v>
      </c>
      <c r="W28" s="78">
        <v>1.54</v>
      </c>
      <c r="X28" s="78">
        <v>1.54</v>
      </c>
      <c r="Y28" s="136">
        <v>1.54</v>
      </c>
      <c r="Z28" s="78">
        <v>0.21</v>
      </c>
      <c r="AA28" s="78">
        <v>0.21</v>
      </c>
      <c r="AB28" s="78">
        <v>0.21</v>
      </c>
      <c r="AC28" s="136">
        <v>0.21</v>
      </c>
      <c r="AD28" s="80">
        <v>0.5</v>
      </c>
      <c r="AE28" s="80">
        <v>0.5</v>
      </c>
      <c r="AF28" s="80">
        <v>0.5</v>
      </c>
      <c r="AG28" s="145">
        <v>0.5</v>
      </c>
      <c r="AH28" s="80">
        <v>1</v>
      </c>
      <c r="AI28" s="80">
        <v>1</v>
      </c>
      <c r="AJ28" s="80">
        <v>1</v>
      </c>
      <c r="AK28" s="145">
        <v>1</v>
      </c>
      <c r="AL28" s="80">
        <v>1</v>
      </c>
      <c r="AM28" s="80">
        <v>1</v>
      </c>
      <c r="AN28" s="80">
        <v>1</v>
      </c>
      <c r="AO28" s="145">
        <v>1</v>
      </c>
      <c r="AP28" s="81">
        <v>0.18</v>
      </c>
      <c r="AQ28" s="81">
        <v>0.18</v>
      </c>
      <c r="AR28" s="81">
        <v>0.18</v>
      </c>
      <c r="AS28" s="154">
        <v>0.18</v>
      </c>
      <c r="AT28" s="78">
        <v>9955.92</v>
      </c>
      <c r="AU28" s="78">
        <v>9955.92</v>
      </c>
      <c r="AV28" s="78">
        <v>9955.92</v>
      </c>
      <c r="AW28" s="136">
        <v>9955.92</v>
      </c>
      <c r="AX28" s="78">
        <v>1036.6600000000001</v>
      </c>
      <c r="AY28" s="78">
        <v>1036.6600000000001</v>
      </c>
      <c r="AZ28" s="78">
        <v>1036.6600000000001</v>
      </c>
      <c r="BA28" s="136">
        <v>1036.6600000000001</v>
      </c>
      <c r="BB28" s="78">
        <f t="shared" ref="BB28:BE28" si="43">3.95121089093762/1000</f>
        <v>3.9512108909376198E-3</v>
      </c>
      <c r="BC28" s="78">
        <f t="shared" si="43"/>
        <v>3.9512108909376198E-3</v>
      </c>
      <c r="BD28" s="78">
        <f t="shared" si="43"/>
        <v>3.9512108909376198E-3</v>
      </c>
      <c r="BE28" s="136">
        <f t="shared" si="43"/>
        <v>3.9512108909376198E-3</v>
      </c>
      <c r="BF28" s="78">
        <v>0</v>
      </c>
      <c r="BG28" s="78">
        <v>0</v>
      </c>
      <c r="BH28" s="78">
        <v>0</v>
      </c>
      <c r="BI28" s="136">
        <v>0</v>
      </c>
      <c r="BJ28" s="78">
        <v>18.474666666666668</v>
      </c>
      <c r="BK28" s="78">
        <v>0</v>
      </c>
      <c r="BL28" s="78">
        <v>0</v>
      </c>
      <c r="BM28" s="136">
        <v>0</v>
      </c>
      <c r="BN28" s="78">
        <v>0</v>
      </c>
      <c r="BO28" s="78">
        <v>0</v>
      </c>
      <c r="BP28" s="78">
        <v>0</v>
      </c>
      <c r="BQ28" s="136">
        <v>0</v>
      </c>
      <c r="BR28" s="78">
        <f t="shared" si="37"/>
        <v>9.3678779051968114E-2</v>
      </c>
      <c r="BS28" s="78">
        <f t="shared" si="38"/>
        <v>9.3678779051968114E-2</v>
      </c>
      <c r="BT28" s="78">
        <f t="shared" si="39"/>
        <v>9.3678779051968114E-2</v>
      </c>
      <c r="BU28" s="136">
        <f t="shared" si="40"/>
        <v>9.3678779051968114E-2</v>
      </c>
      <c r="BV28" s="79">
        <v>25</v>
      </c>
      <c r="BW28" s="79">
        <v>25</v>
      </c>
      <c r="BX28" s="79">
        <v>25</v>
      </c>
      <c r="BY28" s="163">
        <v>25</v>
      </c>
      <c r="BZ28" s="80">
        <v>0.08</v>
      </c>
      <c r="CA28" s="80">
        <v>0.08</v>
      </c>
      <c r="CB28" s="80">
        <v>0.08</v>
      </c>
      <c r="CC28" s="80">
        <v>0.08</v>
      </c>
    </row>
    <row r="29" spans="1:81" s="78" customFormat="1" x14ac:dyDescent="0.35">
      <c r="A29" s="417"/>
      <c r="B29" s="75" t="s">
        <v>435</v>
      </c>
      <c r="C29" s="82" t="s">
        <v>119</v>
      </c>
      <c r="D29" s="77" t="s">
        <v>359</v>
      </c>
      <c r="E29" s="396" t="s">
        <v>464</v>
      </c>
      <c r="F29" s="6">
        <f t="shared" si="14"/>
        <v>24</v>
      </c>
      <c r="G29" s="105">
        <v>1</v>
      </c>
      <c r="H29" s="117" t="s">
        <v>379</v>
      </c>
      <c r="I29" s="117" t="s">
        <v>380</v>
      </c>
      <c r="J29" s="126">
        <f t="shared" si="41"/>
        <v>275000000</v>
      </c>
      <c r="K29" s="318" t="str">
        <f>B34</f>
        <v>Reactant10</v>
      </c>
      <c r="L29" s="126">
        <v>0</v>
      </c>
      <c r="M29" s="126">
        <v>1</v>
      </c>
      <c r="N29" s="126">
        <v>1</v>
      </c>
      <c r="O29" s="126">
        <v>0</v>
      </c>
      <c r="P29" s="126">
        <v>0</v>
      </c>
      <c r="Q29" s="136">
        <f>Q30</f>
        <v>20000</v>
      </c>
      <c r="R29" s="78">
        <v>8.5399999999999991</v>
      </c>
      <c r="S29" s="78">
        <v>8.5399999999999991</v>
      </c>
      <c r="T29" s="78">
        <v>8.5399999999999991</v>
      </c>
      <c r="U29" s="136">
        <v>8.5399999999999991</v>
      </c>
      <c r="V29" s="78">
        <v>0.9</v>
      </c>
      <c r="W29" s="78">
        <v>0.9</v>
      </c>
      <c r="X29" s="78">
        <v>0.9</v>
      </c>
      <c r="Y29" s="136">
        <v>0.9</v>
      </c>
      <c r="Z29" s="78">
        <v>2.6</v>
      </c>
      <c r="AA29" s="78">
        <v>2.6</v>
      </c>
      <c r="AB29" s="78">
        <v>2.6</v>
      </c>
      <c r="AC29" s="136">
        <v>2.6</v>
      </c>
      <c r="AD29" s="80">
        <v>0.5</v>
      </c>
      <c r="AE29" s="80">
        <v>0.5</v>
      </c>
      <c r="AF29" s="80">
        <v>0.5</v>
      </c>
      <c r="AG29" s="145">
        <v>0.5</v>
      </c>
      <c r="AH29" s="80">
        <v>1</v>
      </c>
      <c r="AI29" s="80">
        <v>1</v>
      </c>
      <c r="AJ29" s="80">
        <v>1</v>
      </c>
      <c r="AK29" s="145">
        <v>1</v>
      </c>
      <c r="AL29" s="80">
        <v>1</v>
      </c>
      <c r="AM29" s="80">
        <v>1</v>
      </c>
      <c r="AN29" s="80">
        <v>1</v>
      </c>
      <c r="AO29" s="145">
        <v>1</v>
      </c>
      <c r="AP29" s="81">
        <v>0.83</v>
      </c>
      <c r="AQ29" s="81">
        <v>0.83</v>
      </c>
      <c r="AR29" s="81">
        <v>0.83</v>
      </c>
      <c r="AS29" s="154">
        <v>0.83</v>
      </c>
      <c r="AT29" s="78">
        <v>16688.490000000002</v>
      </c>
      <c r="AU29" s="78">
        <v>16688.490000000002</v>
      </c>
      <c r="AV29" s="78">
        <v>16688.490000000002</v>
      </c>
      <c r="AW29" s="136">
        <v>16688.490000000002</v>
      </c>
      <c r="AX29" s="78">
        <v>1448.53</v>
      </c>
      <c r="AY29" s="78">
        <v>1448.53</v>
      </c>
      <c r="AZ29" s="78">
        <v>1448.53</v>
      </c>
      <c r="BA29" s="136">
        <v>1448.53</v>
      </c>
      <c r="BB29" s="78">
        <f t="shared" ref="BB29:BE29" si="44">12.2828620590846/1000</f>
        <v>1.22828620590846E-2</v>
      </c>
      <c r="BC29" s="78">
        <f t="shared" si="44"/>
        <v>1.22828620590846E-2</v>
      </c>
      <c r="BD29" s="78">
        <f t="shared" si="44"/>
        <v>1.22828620590846E-2</v>
      </c>
      <c r="BE29" s="136">
        <f t="shared" si="44"/>
        <v>1.22828620590846E-2</v>
      </c>
      <c r="BF29" s="78">
        <v>0</v>
      </c>
      <c r="BG29" s="78">
        <v>0</v>
      </c>
      <c r="BH29" s="78">
        <v>0</v>
      </c>
      <c r="BI29" s="136">
        <v>0</v>
      </c>
      <c r="BJ29" s="78">
        <v>18.474666666666668</v>
      </c>
      <c r="BK29" s="78">
        <v>0</v>
      </c>
      <c r="BL29" s="78">
        <v>0</v>
      </c>
      <c r="BM29" s="136">
        <v>0</v>
      </c>
      <c r="BN29" s="78">
        <v>0</v>
      </c>
      <c r="BO29" s="78">
        <v>0</v>
      </c>
      <c r="BP29" s="78">
        <v>0</v>
      </c>
      <c r="BQ29" s="136">
        <v>0</v>
      </c>
      <c r="BR29" s="78">
        <f>IF(BV29&lt;&gt;0,(BZ29*(1+BZ29)^BV29)/((1+BZ29)^BV29-1),0)</f>
        <v>9.3678779051968114E-2</v>
      </c>
      <c r="BS29" s="78">
        <f>IF(BW29&lt;&gt;0,(CA29*(1+CA29)^BW29)/((1+CA29)^BW29-1),0)</f>
        <v>9.3678779051968114E-2</v>
      </c>
      <c r="BT29" s="78">
        <f>IF(BX29&lt;&gt;0,(CB29*(1+CB29)^BX29)/((1+CB29)^BX29-1),0)</f>
        <v>9.3678779051968114E-2</v>
      </c>
      <c r="BU29" s="136">
        <f>IF(BY29&lt;&gt;0,(CC29*(1+CC29)^BY29)/((1+CC29)^BY29-1),0)</f>
        <v>9.3678779051968114E-2</v>
      </c>
      <c r="BV29" s="79">
        <v>25</v>
      </c>
      <c r="BW29" s="79">
        <v>25</v>
      </c>
      <c r="BX29" s="79">
        <v>25</v>
      </c>
      <c r="BY29" s="163">
        <v>25</v>
      </c>
      <c r="BZ29" s="80">
        <v>0.08</v>
      </c>
      <c r="CA29" s="80">
        <v>0.08</v>
      </c>
      <c r="CB29" s="80">
        <v>0.08</v>
      </c>
      <c r="CC29" s="80">
        <v>0.08</v>
      </c>
    </row>
    <row r="30" spans="1:81" s="78" customFormat="1" x14ac:dyDescent="0.35">
      <c r="A30" s="417"/>
      <c r="B30" s="75" t="s">
        <v>435</v>
      </c>
      <c r="C30" s="82" t="s">
        <v>119</v>
      </c>
      <c r="D30" s="77" t="s">
        <v>360</v>
      </c>
      <c r="E30" s="396" t="s">
        <v>464</v>
      </c>
      <c r="F30" s="6">
        <f t="shared" si="14"/>
        <v>25</v>
      </c>
      <c r="G30" s="105">
        <v>1</v>
      </c>
      <c r="H30" s="117" t="s">
        <v>379</v>
      </c>
      <c r="I30" s="117" t="s">
        <v>380</v>
      </c>
      <c r="J30" s="126">
        <f t="shared" si="41"/>
        <v>275000000</v>
      </c>
      <c r="K30" s="318" t="str">
        <f>B34</f>
        <v>Reactant10</v>
      </c>
      <c r="L30" s="126">
        <v>0</v>
      </c>
      <c r="M30" s="126">
        <v>1</v>
      </c>
      <c r="N30" s="126">
        <v>1</v>
      </c>
      <c r="O30" s="126">
        <v>0</v>
      </c>
      <c r="P30" s="126">
        <v>0</v>
      </c>
      <c r="Q30" s="136">
        <f>Q27</f>
        <v>20000</v>
      </c>
      <c r="R30" s="78">
        <v>6.57</v>
      </c>
      <c r="S30" s="78">
        <v>6.57</v>
      </c>
      <c r="T30" s="78">
        <v>6.57</v>
      </c>
      <c r="U30" s="136">
        <v>6.57</v>
      </c>
      <c r="V30" s="78">
        <v>1.66</v>
      </c>
      <c r="W30" s="78">
        <v>1.66</v>
      </c>
      <c r="X30" s="78">
        <v>1.66</v>
      </c>
      <c r="Y30" s="136">
        <v>1.66</v>
      </c>
      <c r="Z30" s="78">
        <v>1.1000000000000001</v>
      </c>
      <c r="AA30" s="78">
        <v>1.1000000000000001</v>
      </c>
      <c r="AB30" s="78">
        <v>1.1000000000000001</v>
      </c>
      <c r="AC30" s="136">
        <v>1.1000000000000001</v>
      </c>
      <c r="AD30" s="80">
        <v>0.5</v>
      </c>
      <c r="AE30" s="80">
        <v>0.5</v>
      </c>
      <c r="AF30" s="80">
        <v>0.5</v>
      </c>
      <c r="AG30" s="145">
        <v>0.5</v>
      </c>
      <c r="AH30" s="80">
        <v>1</v>
      </c>
      <c r="AI30" s="80">
        <v>1</v>
      </c>
      <c r="AJ30" s="80">
        <v>1</v>
      </c>
      <c r="AK30" s="145">
        <v>1</v>
      </c>
      <c r="AL30" s="80">
        <v>1</v>
      </c>
      <c r="AM30" s="80">
        <v>1</v>
      </c>
      <c r="AN30" s="80">
        <v>1</v>
      </c>
      <c r="AO30" s="145">
        <v>1</v>
      </c>
      <c r="AP30" s="81">
        <v>0.64</v>
      </c>
      <c r="AQ30" s="81">
        <v>0.64</v>
      </c>
      <c r="AR30" s="81">
        <v>0.64</v>
      </c>
      <c r="AS30" s="154">
        <v>0.64</v>
      </c>
      <c r="AT30" s="78">
        <v>12113.81</v>
      </c>
      <c r="AU30" s="78">
        <v>12113.81</v>
      </c>
      <c r="AV30" s="78">
        <v>12113.81</v>
      </c>
      <c r="AW30" s="136">
        <v>12113.81</v>
      </c>
      <c r="AX30" s="78">
        <v>1167.05</v>
      </c>
      <c r="AY30" s="78">
        <v>1167.05</v>
      </c>
      <c r="AZ30" s="78">
        <v>1167.05</v>
      </c>
      <c r="BA30" s="136">
        <v>1167.05</v>
      </c>
      <c r="BB30" s="78">
        <f t="shared" ref="BB30:BE30" si="45">4.04937222588/1000</f>
        <v>4.0493722258800003E-3</v>
      </c>
      <c r="BC30" s="78">
        <f t="shared" si="45"/>
        <v>4.0493722258800003E-3</v>
      </c>
      <c r="BD30" s="78">
        <f t="shared" si="45"/>
        <v>4.0493722258800003E-3</v>
      </c>
      <c r="BE30" s="136">
        <f t="shared" si="45"/>
        <v>4.0493722258800003E-3</v>
      </c>
      <c r="BF30" s="78">
        <v>0</v>
      </c>
      <c r="BG30" s="78">
        <v>0</v>
      </c>
      <c r="BH30" s="78">
        <v>0</v>
      </c>
      <c r="BI30" s="136">
        <v>0</v>
      </c>
      <c r="BJ30" s="78">
        <v>18.474666666666668</v>
      </c>
      <c r="BK30" s="78">
        <v>0</v>
      </c>
      <c r="BL30" s="78">
        <v>0</v>
      </c>
      <c r="BM30" s="136">
        <v>0</v>
      </c>
      <c r="BN30" s="78">
        <v>0</v>
      </c>
      <c r="BO30" s="78">
        <v>0</v>
      </c>
      <c r="BP30" s="78">
        <v>0</v>
      </c>
      <c r="BQ30" s="136">
        <v>0</v>
      </c>
      <c r="BR30" s="78">
        <f t="shared" ref="BR30" si="46">IF(BV30&lt;&gt;0,(BZ30*(1+BZ30)^BV30)/((1+BZ30)^BV30-1),0)</f>
        <v>9.3678779051968114E-2</v>
      </c>
      <c r="BS30" s="78">
        <f t="shared" ref="BS30" si="47">IF(BW30&lt;&gt;0,(CA30*(1+CA30)^BW30)/((1+CA30)^BW30-1),0)</f>
        <v>9.3678779051968114E-2</v>
      </c>
      <c r="BT30" s="78">
        <f t="shared" ref="BT30" si="48">IF(BX30&lt;&gt;0,(CB30*(1+CB30)^BX30)/((1+CB30)^BX30-1),0)</f>
        <v>9.3678779051968114E-2</v>
      </c>
      <c r="BU30" s="136">
        <f t="shared" ref="BU30" si="49">IF(BY30&lt;&gt;0,(CC30*(1+CC30)^BY30)/((1+CC30)^BY30-1),0)</f>
        <v>9.3678779051968114E-2</v>
      </c>
      <c r="BV30" s="79">
        <v>25</v>
      </c>
      <c r="BW30" s="79">
        <v>25</v>
      </c>
      <c r="BX30" s="79">
        <v>25</v>
      </c>
      <c r="BY30" s="163">
        <v>25</v>
      </c>
      <c r="BZ30" s="80">
        <v>0.08</v>
      </c>
      <c r="CA30" s="80">
        <v>0.08</v>
      </c>
      <c r="CB30" s="80">
        <v>0.08</v>
      </c>
      <c r="CC30" s="80">
        <v>0.08</v>
      </c>
    </row>
    <row r="31" spans="1:81" s="87" customFormat="1" x14ac:dyDescent="0.35">
      <c r="A31" s="417"/>
      <c r="B31" s="83" t="s">
        <v>97</v>
      </c>
      <c r="C31" s="84" t="s">
        <v>119</v>
      </c>
      <c r="D31" s="85" t="s">
        <v>361</v>
      </c>
      <c r="E31" s="400" t="s">
        <v>463</v>
      </c>
      <c r="F31" s="6">
        <f t="shared" si="14"/>
        <v>26</v>
      </c>
      <c r="G31" s="106">
        <v>1</v>
      </c>
      <c r="H31" s="118" t="s">
        <v>381</v>
      </c>
      <c r="I31" s="118" t="s">
        <v>382</v>
      </c>
      <c r="J31" s="305">
        <f>(2.2/(18.6/3.6))*10^9</f>
        <v>425806451.61290324</v>
      </c>
      <c r="K31" s="313" t="str">
        <f>B34</f>
        <v>Reactant10</v>
      </c>
      <c r="L31" s="129">
        <v>0</v>
      </c>
      <c r="M31" s="129">
        <v>1</v>
      </c>
      <c r="N31" s="129">
        <v>0</v>
      </c>
      <c r="O31" s="129">
        <v>0</v>
      </c>
      <c r="P31" s="129">
        <v>0</v>
      </c>
      <c r="Q31" s="141">
        <v>20000</v>
      </c>
      <c r="R31" s="88">
        <f>1/0.18</f>
        <v>5.5555555555555554</v>
      </c>
      <c r="S31" s="88">
        <f t="shared" ref="S31:U32" si="50">1/0.18</f>
        <v>5.5555555555555554</v>
      </c>
      <c r="T31" s="88">
        <f t="shared" si="50"/>
        <v>5.5555555555555554</v>
      </c>
      <c r="U31" s="137">
        <f t="shared" si="50"/>
        <v>5.5555555555555554</v>
      </c>
      <c r="V31" s="87">
        <v>0</v>
      </c>
      <c r="W31" s="87">
        <v>0</v>
      </c>
      <c r="X31" s="87">
        <v>0</v>
      </c>
      <c r="Y31" s="141">
        <v>0</v>
      </c>
      <c r="Z31" s="87">
        <v>0</v>
      </c>
      <c r="AA31" s="87">
        <v>0</v>
      </c>
      <c r="AB31" s="87">
        <v>0</v>
      </c>
      <c r="AC31" s="141">
        <v>0</v>
      </c>
      <c r="AD31" s="89">
        <v>0.4</v>
      </c>
      <c r="AE31" s="89">
        <v>0.2</v>
      </c>
      <c r="AF31" s="89">
        <v>0.1</v>
      </c>
      <c r="AG31" s="146">
        <v>0.1</v>
      </c>
      <c r="AH31" s="89">
        <v>0.2</v>
      </c>
      <c r="AI31" s="89">
        <v>1</v>
      </c>
      <c r="AJ31" s="89">
        <v>1</v>
      </c>
      <c r="AK31" s="146">
        <v>1</v>
      </c>
      <c r="AL31" s="89">
        <v>0.2</v>
      </c>
      <c r="AM31" s="89">
        <v>1</v>
      </c>
      <c r="AN31" s="89">
        <v>1</v>
      </c>
      <c r="AO31" s="146">
        <v>1</v>
      </c>
      <c r="AP31" s="87">
        <v>0.47</v>
      </c>
      <c r="AQ31" s="87">
        <v>0.45</v>
      </c>
      <c r="AR31" s="87">
        <v>0.45</v>
      </c>
      <c r="AS31" s="141">
        <v>0.45</v>
      </c>
      <c r="AT31" s="87">
        <f t="shared" ref="AT31:AW31" si="51">890709*($J$31/8760)^(-0.426)</f>
        <v>8978.384014858857</v>
      </c>
      <c r="AU31" s="87">
        <f t="shared" si="51"/>
        <v>8978.384014858857</v>
      </c>
      <c r="AV31" s="87">
        <f t="shared" si="51"/>
        <v>8978.384014858857</v>
      </c>
      <c r="AW31" s="141">
        <f t="shared" si="51"/>
        <v>8978.384014858857</v>
      </c>
      <c r="AX31" s="87">
        <f t="shared" ref="AX31:BA32" si="52">AT31*4%</f>
        <v>359.13536059435427</v>
      </c>
      <c r="AY31" s="87">
        <f t="shared" si="52"/>
        <v>359.13536059435427</v>
      </c>
      <c r="AZ31" s="87">
        <f t="shared" si="52"/>
        <v>359.13536059435427</v>
      </c>
      <c r="BA31" s="141">
        <f t="shared" si="52"/>
        <v>359.13536059435427</v>
      </c>
      <c r="BB31" s="87">
        <v>0</v>
      </c>
      <c r="BC31" s="87">
        <v>0</v>
      </c>
      <c r="BD31" s="87">
        <v>0</v>
      </c>
      <c r="BE31" s="141">
        <v>0</v>
      </c>
      <c r="BF31" s="87">
        <v>0</v>
      </c>
      <c r="BG31" s="87">
        <v>0</v>
      </c>
      <c r="BH31" s="87">
        <v>0</v>
      </c>
      <c r="BI31" s="141">
        <v>0</v>
      </c>
      <c r="BJ31" s="87">
        <v>22.714018844166699</v>
      </c>
      <c r="BK31" s="87">
        <v>0</v>
      </c>
      <c r="BL31" s="87">
        <v>0</v>
      </c>
      <c r="BM31" s="141">
        <v>0</v>
      </c>
      <c r="BN31" s="87">
        <v>0</v>
      </c>
      <c r="BO31" s="87">
        <v>0</v>
      </c>
      <c r="BP31" s="87">
        <v>0</v>
      </c>
      <c r="BQ31" s="141">
        <v>0</v>
      </c>
      <c r="BR31" s="90">
        <f t="shared" ref="BR31:BU32" si="53">1/11.3</f>
        <v>8.8495575221238937E-2</v>
      </c>
      <c r="BS31" s="90">
        <f t="shared" si="53"/>
        <v>8.8495575221238937E-2</v>
      </c>
      <c r="BT31" s="90">
        <f t="shared" si="53"/>
        <v>8.8495575221238937E-2</v>
      </c>
      <c r="BU31" s="159">
        <f t="shared" si="53"/>
        <v>8.8495575221238937E-2</v>
      </c>
      <c r="BV31" s="86">
        <v>30</v>
      </c>
      <c r="BW31" s="86">
        <v>30</v>
      </c>
      <c r="BX31" s="86">
        <v>30</v>
      </c>
      <c r="BY31" s="164">
        <v>30</v>
      </c>
      <c r="BZ31" s="89">
        <v>0.08</v>
      </c>
      <c r="CA31" s="89">
        <v>0.08</v>
      </c>
      <c r="CB31" s="89">
        <v>0.08</v>
      </c>
      <c r="CC31" s="89">
        <v>0.08</v>
      </c>
    </row>
    <row r="32" spans="1:81" s="87" customFormat="1" x14ac:dyDescent="0.35">
      <c r="A32" s="417"/>
      <c r="B32" s="83" t="s">
        <v>97</v>
      </c>
      <c r="C32" s="84" t="s">
        <v>119</v>
      </c>
      <c r="D32" s="85" t="s">
        <v>362</v>
      </c>
      <c r="E32" s="400" t="s">
        <v>463</v>
      </c>
      <c r="F32" s="6">
        <f t="shared" si="14"/>
        <v>27</v>
      </c>
      <c r="G32" s="106">
        <v>1</v>
      </c>
      <c r="H32" s="118" t="s">
        <v>381</v>
      </c>
      <c r="I32" s="118" t="s">
        <v>382</v>
      </c>
      <c r="J32" s="305">
        <f>(2.2/(18.6/3.6))*10^9</f>
        <v>425806451.61290324</v>
      </c>
      <c r="K32" s="313" t="str">
        <f>B34</f>
        <v>Reactant10</v>
      </c>
      <c r="L32" s="129">
        <v>0</v>
      </c>
      <c r="M32" s="129">
        <v>1</v>
      </c>
      <c r="N32" s="129">
        <v>0</v>
      </c>
      <c r="O32" s="129">
        <v>0</v>
      </c>
      <c r="P32" s="129">
        <v>0</v>
      </c>
      <c r="Q32" s="141">
        <f>Q31</f>
        <v>20000</v>
      </c>
      <c r="R32" s="88">
        <f t="shared" ref="R32" si="54">1/0.18</f>
        <v>5.5555555555555554</v>
      </c>
      <c r="S32" s="88">
        <f t="shared" si="50"/>
        <v>5.5555555555555554</v>
      </c>
      <c r="T32" s="88">
        <f t="shared" si="50"/>
        <v>5.5555555555555554</v>
      </c>
      <c r="U32" s="137">
        <f t="shared" si="50"/>
        <v>5.5555555555555554</v>
      </c>
      <c r="V32" s="87">
        <v>0</v>
      </c>
      <c r="W32" s="87">
        <v>0</v>
      </c>
      <c r="X32" s="87">
        <v>0</v>
      </c>
      <c r="Y32" s="141">
        <v>0</v>
      </c>
      <c r="Z32" s="87">
        <v>0</v>
      </c>
      <c r="AA32" s="87">
        <v>0</v>
      </c>
      <c r="AB32" s="87">
        <v>0</v>
      </c>
      <c r="AC32" s="141">
        <v>0</v>
      </c>
      <c r="AD32" s="89">
        <v>0.4</v>
      </c>
      <c r="AE32" s="89">
        <v>0.2</v>
      </c>
      <c r="AF32" s="89">
        <v>0.1</v>
      </c>
      <c r="AG32" s="146">
        <v>0.1</v>
      </c>
      <c r="AH32" s="89">
        <v>0.2</v>
      </c>
      <c r="AI32" s="89">
        <v>1</v>
      </c>
      <c r="AJ32" s="89">
        <v>1</v>
      </c>
      <c r="AK32" s="146">
        <v>1</v>
      </c>
      <c r="AL32" s="89">
        <v>0.2</v>
      </c>
      <c r="AM32" s="89">
        <v>1</v>
      </c>
      <c r="AN32" s="89">
        <v>1</v>
      </c>
      <c r="AO32" s="146">
        <v>1</v>
      </c>
      <c r="AP32" s="87">
        <v>0.61</v>
      </c>
      <c r="AQ32" s="87">
        <v>0.59</v>
      </c>
      <c r="AR32" s="87">
        <v>0.59</v>
      </c>
      <c r="AS32" s="141">
        <v>0.59</v>
      </c>
      <c r="AT32" s="87">
        <f>890709*($J$32/8760)^(-0.426)</f>
        <v>8978.384014858857</v>
      </c>
      <c r="AU32" s="87">
        <f>890709*($J$32/8760)^(-0.426)</f>
        <v>8978.384014858857</v>
      </c>
      <c r="AV32" s="87">
        <f>890709*($J$32/8760)^(-0.426)</f>
        <v>8978.384014858857</v>
      </c>
      <c r="AW32" s="141">
        <f>890709*($J$32/8760)^(-0.426)</f>
        <v>8978.384014858857</v>
      </c>
      <c r="AX32" s="87">
        <f t="shared" si="52"/>
        <v>359.13536059435427</v>
      </c>
      <c r="AY32" s="87">
        <f t="shared" si="52"/>
        <v>359.13536059435427</v>
      </c>
      <c r="AZ32" s="87">
        <f t="shared" si="52"/>
        <v>359.13536059435427</v>
      </c>
      <c r="BA32" s="141">
        <f t="shared" si="52"/>
        <v>359.13536059435427</v>
      </c>
      <c r="BB32" s="87">
        <v>0</v>
      </c>
      <c r="BC32" s="87">
        <v>0</v>
      </c>
      <c r="BD32" s="87">
        <v>0</v>
      </c>
      <c r="BE32" s="141">
        <v>0</v>
      </c>
      <c r="BF32" s="87">
        <v>0</v>
      </c>
      <c r="BG32" s="87">
        <v>0</v>
      </c>
      <c r="BH32" s="87">
        <v>0</v>
      </c>
      <c r="BI32" s="141">
        <v>0</v>
      </c>
      <c r="BJ32" s="87">
        <v>22.714018844166699</v>
      </c>
      <c r="BK32" s="87">
        <v>0</v>
      </c>
      <c r="BL32" s="87">
        <v>0</v>
      </c>
      <c r="BM32" s="141">
        <v>0</v>
      </c>
      <c r="BN32" s="87">
        <v>0</v>
      </c>
      <c r="BO32" s="87">
        <v>0</v>
      </c>
      <c r="BP32" s="87">
        <v>0</v>
      </c>
      <c r="BQ32" s="141">
        <v>0</v>
      </c>
      <c r="BR32" s="90">
        <f t="shared" si="53"/>
        <v>8.8495575221238937E-2</v>
      </c>
      <c r="BS32" s="90">
        <f t="shared" si="53"/>
        <v>8.8495575221238937E-2</v>
      </c>
      <c r="BT32" s="90">
        <f t="shared" si="53"/>
        <v>8.8495575221238937E-2</v>
      </c>
      <c r="BU32" s="159">
        <f t="shared" si="53"/>
        <v>8.8495575221238937E-2</v>
      </c>
      <c r="BV32" s="86">
        <v>30</v>
      </c>
      <c r="BW32" s="86">
        <v>30</v>
      </c>
      <c r="BX32" s="86">
        <v>30</v>
      </c>
      <c r="BY32" s="164">
        <v>30</v>
      </c>
      <c r="BZ32" s="89">
        <v>0.08</v>
      </c>
      <c r="CA32" s="89">
        <v>0.08</v>
      </c>
      <c r="CB32" s="89">
        <v>0.08</v>
      </c>
      <c r="CC32" s="89">
        <v>0.08</v>
      </c>
    </row>
    <row r="33" spans="1:81" s="91" customFormat="1" x14ac:dyDescent="0.35">
      <c r="A33" s="417"/>
      <c r="B33" s="91" t="s">
        <v>97</v>
      </c>
      <c r="C33" s="65" t="s">
        <v>119</v>
      </c>
      <c r="D33" s="92" t="s">
        <v>172</v>
      </c>
      <c r="E33" s="401" t="s">
        <v>86</v>
      </c>
      <c r="F33" s="6">
        <f t="shared" si="14"/>
        <v>28</v>
      </c>
      <c r="G33" s="107">
        <v>1</v>
      </c>
      <c r="H33" s="119" t="s">
        <v>383</v>
      </c>
      <c r="I33" s="119" t="s">
        <v>384</v>
      </c>
      <c r="J33" s="310">
        <f>(2.2/(120/3.6))*10^9</f>
        <v>66000000</v>
      </c>
      <c r="K33" s="319" t="str">
        <f>B34</f>
        <v>Reactant10</v>
      </c>
      <c r="L33" s="130">
        <v>0</v>
      </c>
      <c r="M33" s="130">
        <v>1</v>
      </c>
      <c r="N33" s="130">
        <v>0</v>
      </c>
      <c r="O33" s="130">
        <v>0</v>
      </c>
      <c r="P33" s="130">
        <v>0</v>
      </c>
      <c r="Q33" s="138">
        <f>Q32</f>
        <v>20000</v>
      </c>
      <c r="R33" s="91">
        <v>1</v>
      </c>
      <c r="S33" s="91">
        <v>1</v>
      </c>
      <c r="T33" s="91">
        <v>1</v>
      </c>
      <c r="U33" s="138">
        <v>1</v>
      </c>
      <c r="V33" s="91">
        <v>0</v>
      </c>
      <c r="W33" s="91">
        <v>0</v>
      </c>
      <c r="X33" s="91">
        <v>0</v>
      </c>
      <c r="Y33" s="138">
        <v>0</v>
      </c>
      <c r="Z33" s="91">
        <v>0</v>
      </c>
      <c r="AA33" s="91">
        <v>0</v>
      </c>
      <c r="AB33" s="91">
        <v>0</v>
      </c>
      <c r="AC33" s="138">
        <v>0</v>
      </c>
      <c r="AD33" s="94">
        <v>0</v>
      </c>
      <c r="AE33" s="94">
        <v>0</v>
      </c>
      <c r="AF33" s="94">
        <v>0</v>
      </c>
      <c r="AG33" s="147">
        <v>0</v>
      </c>
      <c r="AH33" s="94">
        <v>1</v>
      </c>
      <c r="AI33" s="94">
        <v>1</v>
      </c>
      <c r="AJ33" s="94">
        <v>1</v>
      </c>
      <c r="AK33" s="147">
        <v>1</v>
      </c>
      <c r="AL33" s="94">
        <v>1</v>
      </c>
      <c r="AM33" s="94">
        <v>1</v>
      </c>
      <c r="AN33" s="94">
        <v>1</v>
      </c>
      <c r="AO33" s="147">
        <v>1</v>
      </c>
      <c r="AP33" s="91">
        <v>0</v>
      </c>
      <c r="AQ33" s="91">
        <v>0</v>
      </c>
      <c r="AR33" s="91">
        <v>0</v>
      </c>
      <c r="AS33" s="138">
        <v>0</v>
      </c>
      <c r="AT33" s="91">
        <v>0</v>
      </c>
      <c r="AU33" s="91">
        <v>0</v>
      </c>
      <c r="AV33" s="91">
        <v>0</v>
      </c>
      <c r="AW33" s="138">
        <v>0</v>
      </c>
      <c r="AX33" s="91">
        <v>0</v>
      </c>
      <c r="AY33" s="91">
        <v>0</v>
      </c>
      <c r="AZ33" s="91">
        <v>0</v>
      </c>
      <c r="BA33" s="138">
        <v>0</v>
      </c>
      <c r="BB33" s="91">
        <v>0</v>
      </c>
      <c r="BC33" s="91">
        <v>0</v>
      </c>
      <c r="BD33" s="91">
        <v>0</v>
      </c>
      <c r="BE33" s="138">
        <v>0</v>
      </c>
      <c r="BF33" s="91">
        <v>0</v>
      </c>
      <c r="BG33" s="91">
        <v>0</v>
      </c>
      <c r="BH33" s="91">
        <v>0</v>
      </c>
      <c r="BI33" s="138">
        <v>0</v>
      </c>
      <c r="BJ33" s="91">
        <v>0</v>
      </c>
      <c r="BK33" s="91">
        <v>0</v>
      </c>
      <c r="BL33" s="91">
        <v>0</v>
      </c>
      <c r="BM33" s="138">
        <v>0</v>
      </c>
      <c r="BN33" s="91">
        <v>0</v>
      </c>
      <c r="BO33" s="91">
        <v>0</v>
      </c>
      <c r="BP33" s="91">
        <v>0</v>
      </c>
      <c r="BQ33" s="138">
        <v>0</v>
      </c>
      <c r="BR33" s="91">
        <v>0</v>
      </c>
      <c r="BS33" s="91">
        <v>0</v>
      </c>
      <c r="BT33" s="91">
        <v>0</v>
      </c>
      <c r="BU33" s="138">
        <v>0</v>
      </c>
      <c r="BV33" s="93">
        <v>0</v>
      </c>
      <c r="BW33" s="93">
        <v>0</v>
      </c>
      <c r="BX33" s="93">
        <v>0</v>
      </c>
      <c r="BY33" s="165">
        <v>0</v>
      </c>
      <c r="BZ33" s="94">
        <v>0.08</v>
      </c>
      <c r="CA33" s="94">
        <v>0.08</v>
      </c>
      <c r="CB33" s="94">
        <v>0.08</v>
      </c>
      <c r="CC33" s="94">
        <v>0.08</v>
      </c>
    </row>
    <row r="34" spans="1:81" s="179" customFormat="1" x14ac:dyDescent="0.35">
      <c r="A34" s="417"/>
      <c r="B34" s="173" t="s">
        <v>436</v>
      </c>
      <c r="C34" s="65" t="s">
        <v>180</v>
      </c>
      <c r="D34" s="174" t="s">
        <v>296</v>
      </c>
      <c r="E34" s="402" t="s">
        <v>86</v>
      </c>
      <c r="F34" s="6">
        <f t="shared" si="14"/>
        <v>29</v>
      </c>
      <c r="G34" s="175">
        <v>1</v>
      </c>
      <c r="H34" s="176" t="s">
        <v>383</v>
      </c>
      <c r="I34" s="176" t="s">
        <v>384</v>
      </c>
      <c r="J34" s="311">
        <v>0</v>
      </c>
      <c r="K34" s="176" t="s">
        <v>12</v>
      </c>
      <c r="L34" s="178">
        <v>0</v>
      </c>
      <c r="M34" s="178">
        <v>0</v>
      </c>
      <c r="N34" s="178">
        <v>0</v>
      </c>
      <c r="O34" s="178">
        <v>-1</v>
      </c>
      <c r="P34" s="178">
        <v>0</v>
      </c>
      <c r="Q34" s="177">
        <f>Q38</f>
        <v>20000</v>
      </c>
      <c r="R34" s="183">
        <v>0</v>
      </c>
      <c r="S34" s="183">
        <v>0</v>
      </c>
      <c r="T34" s="183">
        <v>0</v>
      </c>
      <c r="U34" s="237">
        <v>0</v>
      </c>
      <c r="V34" s="179">
        <v>0</v>
      </c>
      <c r="W34" s="179">
        <v>0</v>
      </c>
      <c r="X34" s="179">
        <v>0</v>
      </c>
      <c r="Y34" s="177">
        <v>0</v>
      </c>
      <c r="Z34" s="179">
        <v>0</v>
      </c>
      <c r="AA34" s="179">
        <v>0</v>
      </c>
      <c r="AB34" s="179">
        <v>0</v>
      </c>
      <c r="AC34" s="177">
        <v>0</v>
      </c>
      <c r="AD34" s="180">
        <v>0</v>
      </c>
      <c r="AE34" s="180">
        <v>0</v>
      </c>
      <c r="AF34" s="180">
        <v>0</v>
      </c>
      <c r="AG34" s="181">
        <v>0</v>
      </c>
      <c r="AH34" s="180">
        <v>1</v>
      </c>
      <c r="AI34" s="180">
        <v>1</v>
      </c>
      <c r="AJ34" s="180">
        <v>1</v>
      </c>
      <c r="AK34" s="181">
        <v>1</v>
      </c>
      <c r="AL34" s="180">
        <v>1</v>
      </c>
      <c r="AM34" s="180">
        <v>1</v>
      </c>
      <c r="AN34" s="180">
        <v>1</v>
      </c>
      <c r="AO34" s="181">
        <v>1</v>
      </c>
      <c r="AP34" s="183">
        <v>0</v>
      </c>
      <c r="AQ34" s="183">
        <v>0</v>
      </c>
      <c r="AR34" s="183">
        <v>0</v>
      </c>
      <c r="AS34" s="237">
        <v>0</v>
      </c>
      <c r="AT34" s="183">
        <v>0</v>
      </c>
      <c r="AU34" s="183">
        <v>0</v>
      </c>
      <c r="AV34" s="183">
        <v>0</v>
      </c>
      <c r="AW34" s="237">
        <v>0</v>
      </c>
      <c r="AX34" s="183">
        <v>0</v>
      </c>
      <c r="AY34" s="183">
        <v>0</v>
      </c>
      <c r="AZ34" s="183">
        <v>0</v>
      </c>
      <c r="BA34" s="237">
        <v>0</v>
      </c>
      <c r="BB34" s="183">
        <v>0</v>
      </c>
      <c r="BC34" s="183">
        <v>0</v>
      </c>
      <c r="BD34" s="183">
        <v>0</v>
      </c>
      <c r="BE34" s="237">
        <v>0</v>
      </c>
      <c r="BF34" s="183">
        <v>0</v>
      </c>
      <c r="BG34" s="183">
        <v>0</v>
      </c>
      <c r="BH34" s="183">
        <v>0</v>
      </c>
      <c r="BI34" s="237">
        <v>0</v>
      </c>
      <c r="BJ34" s="91">
        <v>0</v>
      </c>
      <c r="BK34" s="91">
        <v>0</v>
      </c>
      <c r="BL34" s="91">
        <v>0</v>
      </c>
      <c r="BM34" s="138">
        <v>0</v>
      </c>
      <c r="BN34" s="183">
        <v>0</v>
      </c>
      <c r="BO34" s="183">
        <v>0</v>
      </c>
      <c r="BP34" s="183">
        <v>0</v>
      </c>
      <c r="BQ34" s="237">
        <v>0</v>
      </c>
      <c r="BR34" s="183">
        <v>0</v>
      </c>
      <c r="BS34" s="183">
        <v>0</v>
      </c>
      <c r="BT34" s="183">
        <v>0</v>
      </c>
      <c r="BU34" s="237">
        <v>0</v>
      </c>
      <c r="BV34" s="182">
        <v>0</v>
      </c>
      <c r="BW34" s="182">
        <v>0</v>
      </c>
      <c r="BX34" s="182">
        <v>0</v>
      </c>
      <c r="BY34" s="251">
        <v>0</v>
      </c>
      <c r="BZ34" s="180">
        <v>0.08</v>
      </c>
      <c r="CA34" s="180">
        <v>0.08</v>
      </c>
      <c r="CB34" s="180">
        <v>0.08</v>
      </c>
      <c r="CC34" s="180">
        <v>0.08</v>
      </c>
    </row>
    <row r="35" spans="1:81" s="37" customFormat="1" x14ac:dyDescent="0.35">
      <c r="A35" s="417"/>
      <c r="B35" s="217" t="s">
        <v>278</v>
      </c>
      <c r="C35" s="218" t="s">
        <v>13</v>
      </c>
      <c r="D35" s="219" t="s">
        <v>166</v>
      </c>
      <c r="E35" s="403" t="s">
        <v>86</v>
      </c>
      <c r="F35" s="6">
        <f t="shared" si="14"/>
        <v>30</v>
      </c>
      <c r="G35" s="220">
        <v>1</v>
      </c>
      <c r="H35" s="221" t="s">
        <v>383</v>
      </c>
      <c r="I35" s="221" t="s">
        <v>384</v>
      </c>
      <c r="J35" s="224">
        <v>0</v>
      </c>
      <c r="K35" s="320" t="str">
        <f>B41</f>
        <v>Reactant11</v>
      </c>
      <c r="L35" s="224">
        <v>0</v>
      </c>
      <c r="M35" s="224">
        <v>1</v>
      </c>
      <c r="N35" s="224">
        <v>0</v>
      </c>
      <c r="O35" s="224">
        <v>1</v>
      </c>
      <c r="P35" s="224">
        <v>0</v>
      </c>
      <c r="Q35" s="222">
        <v>20000</v>
      </c>
      <c r="R35" s="37">
        <f t="shared" ref="R35:U39" si="55">(1/9)*0.8</f>
        <v>8.8888888888888892E-2</v>
      </c>
      <c r="S35" s="37">
        <f t="shared" si="55"/>
        <v>8.8888888888888892E-2</v>
      </c>
      <c r="T35" s="37">
        <f t="shared" si="55"/>
        <v>8.8888888888888892E-2</v>
      </c>
      <c r="U35" s="222">
        <f t="shared" si="55"/>
        <v>8.8888888888888892E-2</v>
      </c>
      <c r="V35" s="37">
        <v>7.07</v>
      </c>
      <c r="W35" s="37">
        <v>5.6759999999999993</v>
      </c>
      <c r="X35" s="37">
        <v>4.6150000000000002</v>
      </c>
      <c r="Y35" s="222">
        <v>3.6</v>
      </c>
      <c r="Z35" s="37">
        <v>0</v>
      </c>
      <c r="AA35" s="37">
        <v>0</v>
      </c>
      <c r="AB35" s="37">
        <v>0</v>
      </c>
      <c r="AC35" s="222">
        <v>0</v>
      </c>
      <c r="AD35" s="225">
        <v>0</v>
      </c>
      <c r="AE35" s="225">
        <v>0</v>
      </c>
      <c r="AF35" s="225">
        <v>0</v>
      </c>
      <c r="AG35" s="226">
        <v>0</v>
      </c>
      <c r="AH35" s="225">
        <v>1</v>
      </c>
      <c r="AI35" s="225">
        <v>1</v>
      </c>
      <c r="AJ35" s="225">
        <v>1</v>
      </c>
      <c r="AK35" s="226">
        <v>1</v>
      </c>
      <c r="AL35" s="225">
        <v>1</v>
      </c>
      <c r="AM35" s="225">
        <v>1</v>
      </c>
      <c r="AN35" s="225">
        <v>1</v>
      </c>
      <c r="AO35" s="226">
        <v>1</v>
      </c>
      <c r="AP35" s="37">
        <v>51.5</v>
      </c>
      <c r="AQ35" s="37">
        <v>49.8</v>
      </c>
      <c r="AR35" s="37">
        <f>(AQ35+AS35)/2</f>
        <v>49.4</v>
      </c>
      <c r="AS35" s="222">
        <v>49</v>
      </c>
      <c r="AT35" s="37">
        <v>55000</v>
      </c>
      <c r="AU35" s="37">
        <v>39840</v>
      </c>
      <c r="AV35" s="37">
        <f>(AU35+AW35)/2</f>
        <v>32370</v>
      </c>
      <c r="AW35" s="222">
        <v>24900</v>
      </c>
      <c r="AX35" s="37">
        <f>10%*AT35</f>
        <v>5500</v>
      </c>
      <c r="AY35" s="37">
        <f>10%*AU35</f>
        <v>3984</v>
      </c>
      <c r="AZ35" s="37">
        <f>10%*AV35</f>
        <v>3237</v>
      </c>
      <c r="BA35" s="222">
        <f>10%*AW35</f>
        <v>2490</v>
      </c>
      <c r="BB35" s="37">
        <v>0</v>
      </c>
      <c r="BC35" s="37">
        <v>0</v>
      </c>
      <c r="BD35" s="37">
        <v>0</v>
      </c>
      <c r="BE35" s="222">
        <v>0</v>
      </c>
      <c r="BF35" s="37">
        <v>0</v>
      </c>
      <c r="BG35" s="37">
        <v>0</v>
      </c>
      <c r="BH35" s="37">
        <v>0</v>
      </c>
      <c r="BI35" s="222">
        <v>0</v>
      </c>
      <c r="BJ35" s="37">
        <v>115.4145399442897</v>
      </c>
      <c r="BK35" s="37">
        <v>0</v>
      </c>
      <c r="BL35" s="37">
        <v>0</v>
      </c>
      <c r="BM35" s="222">
        <v>0</v>
      </c>
      <c r="BN35" s="37">
        <v>0</v>
      </c>
      <c r="BO35" s="37">
        <v>0</v>
      </c>
      <c r="BP35" s="37">
        <v>0</v>
      </c>
      <c r="BQ35" s="222">
        <v>0</v>
      </c>
      <c r="BR35" s="227">
        <f t="shared" ref="BR35:BU37" si="56">1/11.3</f>
        <v>8.8495575221238937E-2</v>
      </c>
      <c r="BS35" s="227">
        <f t="shared" si="56"/>
        <v>8.8495575221238937E-2</v>
      </c>
      <c r="BT35" s="227">
        <f t="shared" si="56"/>
        <v>8.8495575221238937E-2</v>
      </c>
      <c r="BU35" s="228">
        <f t="shared" si="56"/>
        <v>8.8495575221238937E-2</v>
      </c>
      <c r="BV35" s="229">
        <v>30</v>
      </c>
      <c r="BW35" s="229">
        <v>30</v>
      </c>
      <c r="BX35" s="229">
        <v>30</v>
      </c>
      <c r="BY35" s="223">
        <v>30</v>
      </c>
      <c r="BZ35" s="225">
        <v>0.08</v>
      </c>
      <c r="CA35" s="225">
        <v>0.08</v>
      </c>
      <c r="CB35" s="225">
        <v>0.08</v>
      </c>
      <c r="CC35" s="225">
        <v>0.08</v>
      </c>
    </row>
    <row r="36" spans="1:81" s="37" customFormat="1" x14ac:dyDescent="0.35">
      <c r="A36" s="417"/>
      <c r="B36" s="217" t="s">
        <v>278</v>
      </c>
      <c r="C36" s="218" t="s">
        <v>13</v>
      </c>
      <c r="D36" s="219" t="s">
        <v>363</v>
      </c>
      <c r="E36" s="403" t="s">
        <v>86</v>
      </c>
      <c r="F36" s="6">
        <f t="shared" si="14"/>
        <v>31</v>
      </c>
      <c r="G36" s="220">
        <v>1</v>
      </c>
      <c r="H36" s="221" t="s">
        <v>383</v>
      </c>
      <c r="I36" s="221" t="s">
        <v>384</v>
      </c>
      <c r="J36" s="224">
        <v>0</v>
      </c>
      <c r="K36" s="320" t="str">
        <f>B41</f>
        <v>Reactant11</v>
      </c>
      <c r="L36" s="224">
        <v>0</v>
      </c>
      <c r="M36" s="224">
        <v>1</v>
      </c>
      <c r="N36" s="224">
        <v>0</v>
      </c>
      <c r="O36" s="224">
        <v>1</v>
      </c>
      <c r="P36" s="224">
        <v>0</v>
      </c>
      <c r="Q36" s="222">
        <f>Q35</f>
        <v>20000</v>
      </c>
      <c r="R36" s="37">
        <f t="shared" si="55"/>
        <v>8.8888888888888892E-2</v>
      </c>
      <c r="S36" s="37">
        <f t="shared" si="55"/>
        <v>8.8888888888888892E-2</v>
      </c>
      <c r="T36" s="37">
        <f t="shared" si="55"/>
        <v>8.8888888888888892E-2</v>
      </c>
      <c r="U36" s="222">
        <f t="shared" si="55"/>
        <v>8.8888888888888892E-2</v>
      </c>
      <c r="V36" s="37">
        <v>0</v>
      </c>
      <c r="W36" s="37">
        <v>0</v>
      </c>
      <c r="X36" s="37">
        <v>0</v>
      </c>
      <c r="Y36" s="222">
        <v>0</v>
      </c>
      <c r="Z36" s="37">
        <v>0</v>
      </c>
      <c r="AA36" s="37">
        <v>0</v>
      </c>
      <c r="AB36" s="37">
        <v>0</v>
      </c>
      <c r="AC36" s="222">
        <v>0</v>
      </c>
      <c r="AD36" s="225">
        <v>0</v>
      </c>
      <c r="AE36" s="225">
        <v>0</v>
      </c>
      <c r="AF36" s="225">
        <v>0</v>
      </c>
      <c r="AG36" s="226">
        <v>0</v>
      </c>
      <c r="AH36" s="225">
        <v>1</v>
      </c>
      <c r="AI36" s="225">
        <v>1</v>
      </c>
      <c r="AJ36" s="225">
        <v>1</v>
      </c>
      <c r="AK36" s="226">
        <v>1</v>
      </c>
      <c r="AL36" s="225">
        <v>1</v>
      </c>
      <c r="AM36" s="225">
        <v>1</v>
      </c>
      <c r="AN36" s="225">
        <v>1</v>
      </c>
      <c r="AO36" s="226">
        <v>1</v>
      </c>
      <c r="AP36" s="230">
        <v>38</v>
      </c>
      <c r="AQ36" s="230">
        <v>38</v>
      </c>
      <c r="AR36" s="230">
        <v>38</v>
      </c>
      <c r="AS36" s="231">
        <v>38</v>
      </c>
      <c r="AT36" s="230">
        <v>105260</v>
      </c>
      <c r="AU36" s="37">
        <v>39583.978111776618</v>
      </c>
      <c r="AV36" s="37">
        <f>(AU36+AW36)/2</f>
        <v>27391.989055888309</v>
      </c>
      <c r="AW36" s="222">
        <v>15200</v>
      </c>
      <c r="AX36" s="230">
        <f t="shared" ref="AX36:BA37" si="57">8.55%*AT36</f>
        <v>8999.7300000000014</v>
      </c>
      <c r="AY36" s="230">
        <f t="shared" si="57"/>
        <v>3384.4301285569013</v>
      </c>
      <c r="AZ36" s="230">
        <f t="shared" si="57"/>
        <v>2342.0150642784506</v>
      </c>
      <c r="BA36" s="231">
        <f t="shared" si="57"/>
        <v>1299.6000000000001</v>
      </c>
      <c r="BB36" s="37">
        <v>0</v>
      </c>
      <c r="BC36" s="37">
        <v>0</v>
      </c>
      <c r="BD36" s="37">
        <v>0</v>
      </c>
      <c r="BE36" s="222">
        <v>0</v>
      </c>
      <c r="BF36" s="37">
        <v>0</v>
      </c>
      <c r="BG36" s="37">
        <v>0</v>
      </c>
      <c r="BH36" s="37">
        <v>0</v>
      </c>
      <c r="BI36" s="222">
        <v>0</v>
      </c>
      <c r="BJ36" s="388">
        <v>120.74318234482759</v>
      </c>
      <c r="BK36" s="37">
        <v>0</v>
      </c>
      <c r="BL36" s="37">
        <v>0</v>
      </c>
      <c r="BM36" s="222">
        <v>0</v>
      </c>
      <c r="BN36" s="37">
        <v>0</v>
      </c>
      <c r="BO36" s="37">
        <v>0</v>
      </c>
      <c r="BP36" s="37">
        <v>0</v>
      </c>
      <c r="BQ36" s="222">
        <v>0</v>
      </c>
      <c r="BR36" s="227">
        <f t="shared" si="56"/>
        <v>8.8495575221238937E-2</v>
      </c>
      <c r="BS36" s="227">
        <f t="shared" si="56"/>
        <v>8.8495575221238937E-2</v>
      </c>
      <c r="BT36" s="227">
        <f t="shared" si="56"/>
        <v>8.8495575221238937E-2</v>
      </c>
      <c r="BU36" s="228">
        <f t="shared" si="56"/>
        <v>8.8495575221238937E-2</v>
      </c>
      <c r="BV36" s="229">
        <v>30</v>
      </c>
      <c r="BW36" s="229">
        <v>30</v>
      </c>
      <c r="BX36" s="229">
        <v>30</v>
      </c>
      <c r="BY36" s="223">
        <v>30</v>
      </c>
      <c r="BZ36" s="225">
        <v>0.08</v>
      </c>
      <c r="CA36" s="225">
        <v>0.08</v>
      </c>
      <c r="CB36" s="225">
        <v>0.08</v>
      </c>
      <c r="CC36" s="225">
        <v>0.08</v>
      </c>
    </row>
    <row r="37" spans="1:81" s="37" customFormat="1" x14ac:dyDescent="0.35">
      <c r="A37" s="417"/>
      <c r="B37" s="217" t="s">
        <v>278</v>
      </c>
      <c r="C37" s="218" t="s">
        <v>13</v>
      </c>
      <c r="D37" s="219" t="s">
        <v>364</v>
      </c>
      <c r="E37" s="403" t="s">
        <v>86</v>
      </c>
      <c r="F37" s="6">
        <f t="shared" si="14"/>
        <v>32</v>
      </c>
      <c r="G37" s="220">
        <v>1</v>
      </c>
      <c r="H37" s="221" t="s">
        <v>383</v>
      </c>
      <c r="I37" s="221" t="s">
        <v>384</v>
      </c>
      <c r="J37" s="224">
        <v>0</v>
      </c>
      <c r="K37" s="320" t="str">
        <f>B41</f>
        <v>Reactant11</v>
      </c>
      <c r="L37" s="224">
        <v>0</v>
      </c>
      <c r="M37" s="224">
        <v>1</v>
      </c>
      <c r="N37" s="224">
        <v>0</v>
      </c>
      <c r="O37" s="224">
        <v>1</v>
      </c>
      <c r="P37" s="224">
        <v>0</v>
      </c>
      <c r="Q37" s="222">
        <f>Q36</f>
        <v>20000</v>
      </c>
      <c r="R37" s="37">
        <f t="shared" si="55"/>
        <v>8.8888888888888892E-2</v>
      </c>
      <c r="S37" s="37">
        <f t="shared" si="55"/>
        <v>8.8888888888888892E-2</v>
      </c>
      <c r="T37" s="37">
        <f t="shared" si="55"/>
        <v>8.8888888888888892E-2</v>
      </c>
      <c r="U37" s="222">
        <f t="shared" si="55"/>
        <v>8.8888888888888892E-2</v>
      </c>
      <c r="V37" s="37">
        <v>0</v>
      </c>
      <c r="W37" s="37">
        <v>0</v>
      </c>
      <c r="X37" s="37">
        <v>0</v>
      </c>
      <c r="Y37" s="222">
        <v>0</v>
      </c>
      <c r="Z37" s="37">
        <v>0</v>
      </c>
      <c r="AA37" s="37">
        <v>0</v>
      </c>
      <c r="AB37" s="37">
        <v>0</v>
      </c>
      <c r="AC37" s="222">
        <v>0</v>
      </c>
      <c r="AD37" s="225">
        <v>0</v>
      </c>
      <c r="AE37" s="225">
        <v>0</v>
      </c>
      <c r="AF37" s="225">
        <v>0</v>
      </c>
      <c r="AG37" s="226">
        <v>0</v>
      </c>
      <c r="AH37" s="225">
        <v>1</v>
      </c>
      <c r="AI37" s="225">
        <v>1</v>
      </c>
      <c r="AJ37" s="225">
        <v>1</v>
      </c>
      <c r="AK37" s="226">
        <v>1</v>
      </c>
      <c r="AL37" s="225">
        <v>1</v>
      </c>
      <c r="AM37" s="225">
        <v>1</v>
      </c>
      <c r="AN37" s="225">
        <v>1</v>
      </c>
      <c r="AO37" s="226">
        <v>1</v>
      </c>
      <c r="AP37" s="230">
        <v>44</v>
      </c>
      <c r="AQ37" s="229">
        <v>43.2</v>
      </c>
      <c r="AR37" s="230">
        <f>(AQ37+AS37)/2</f>
        <v>41.6</v>
      </c>
      <c r="AS37" s="222">
        <v>40</v>
      </c>
      <c r="AT37" s="230">
        <v>105260</v>
      </c>
      <c r="AU37" s="37">
        <v>39583.978111776618</v>
      </c>
      <c r="AV37" s="37">
        <f>(AU37+AW37)/2</f>
        <v>27391.989055888309</v>
      </c>
      <c r="AW37" s="222">
        <v>15200</v>
      </c>
      <c r="AX37" s="230">
        <f t="shared" si="57"/>
        <v>8999.7300000000014</v>
      </c>
      <c r="AY37" s="230">
        <f t="shared" si="57"/>
        <v>3384.4301285569013</v>
      </c>
      <c r="AZ37" s="230">
        <f t="shared" si="57"/>
        <v>2342.0150642784506</v>
      </c>
      <c r="BA37" s="231">
        <f t="shared" si="57"/>
        <v>1299.6000000000001</v>
      </c>
      <c r="BB37" s="37">
        <v>0</v>
      </c>
      <c r="BC37" s="37">
        <v>0</v>
      </c>
      <c r="BD37" s="37">
        <v>0</v>
      </c>
      <c r="BE37" s="222">
        <v>0</v>
      </c>
      <c r="BF37" s="37">
        <v>0</v>
      </c>
      <c r="BG37" s="37">
        <v>0</v>
      </c>
      <c r="BH37" s="37">
        <v>0</v>
      </c>
      <c r="BI37" s="222">
        <v>0</v>
      </c>
      <c r="BJ37" s="388">
        <v>120.74318234482759</v>
      </c>
      <c r="BK37" s="37">
        <v>0</v>
      </c>
      <c r="BL37" s="37">
        <v>0</v>
      </c>
      <c r="BM37" s="222">
        <v>0</v>
      </c>
      <c r="BN37" s="37">
        <v>0</v>
      </c>
      <c r="BO37" s="37">
        <v>0</v>
      </c>
      <c r="BP37" s="37">
        <v>0</v>
      </c>
      <c r="BQ37" s="222">
        <v>0</v>
      </c>
      <c r="BR37" s="227">
        <f t="shared" si="56"/>
        <v>8.8495575221238937E-2</v>
      </c>
      <c r="BS37" s="227">
        <f t="shared" si="56"/>
        <v>8.8495575221238937E-2</v>
      </c>
      <c r="BT37" s="227">
        <f t="shared" si="56"/>
        <v>8.8495575221238937E-2</v>
      </c>
      <c r="BU37" s="228">
        <f t="shared" si="56"/>
        <v>8.8495575221238937E-2</v>
      </c>
      <c r="BV37" s="229">
        <v>30</v>
      </c>
      <c r="BW37" s="229">
        <v>30</v>
      </c>
      <c r="BX37" s="229">
        <v>30</v>
      </c>
      <c r="BY37" s="223">
        <v>30</v>
      </c>
      <c r="BZ37" s="225">
        <v>0.08</v>
      </c>
      <c r="CA37" s="225">
        <v>0.08</v>
      </c>
      <c r="CB37" s="225">
        <v>0.08</v>
      </c>
      <c r="CC37" s="225">
        <v>0.08</v>
      </c>
    </row>
    <row r="38" spans="1:81" s="37" customFormat="1" x14ac:dyDescent="0.35">
      <c r="A38" s="417"/>
      <c r="B38" s="217" t="s">
        <v>278</v>
      </c>
      <c r="C38" s="218" t="s">
        <v>13</v>
      </c>
      <c r="D38" s="219" t="s">
        <v>365</v>
      </c>
      <c r="E38" s="403" t="s">
        <v>86</v>
      </c>
      <c r="F38" s="6">
        <f t="shared" ref="F38:F69" si="58">ROW(D37)-ROW($F$4)</f>
        <v>33</v>
      </c>
      <c r="G38" s="220">
        <v>1</v>
      </c>
      <c r="H38" s="221" t="s">
        <v>383</v>
      </c>
      <c r="I38" s="221" t="s">
        <v>384</v>
      </c>
      <c r="J38" s="224">
        <v>0</v>
      </c>
      <c r="K38" s="320" t="str">
        <f>B41</f>
        <v>Reactant11</v>
      </c>
      <c r="L38" s="224">
        <v>0</v>
      </c>
      <c r="M38" s="224">
        <v>1</v>
      </c>
      <c r="N38" s="224">
        <v>0</v>
      </c>
      <c r="O38" s="224">
        <v>1</v>
      </c>
      <c r="P38" s="224">
        <v>0</v>
      </c>
      <c r="Q38" s="222">
        <f>Q36</f>
        <v>20000</v>
      </c>
      <c r="R38" s="37">
        <f t="shared" si="55"/>
        <v>8.8888888888888892E-2</v>
      </c>
      <c r="S38" s="37">
        <f t="shared" si="55"/>
        <v>8.8888888888888892E-2</v>
      </c>
      <c r="T38" s="37">
        <f t="shared" si="55"/>
        <v>8.8888888888888892E-2</v>
      </c>
      <c r="U38" s="222">
        <f t="shared" si="55"/>
        <v>8.8888888888888892E-2</v>
      </c>
      <c r="V38" s="37">
        <f t="shared" ref="V38:Y38" si="59">V35*0.75</f>
        <v>5.3025000000000002</v>
      </c>
      <c r="W38" s="37">
        <f t="shared" si="59"/>
        <v>4.2569999999999997</v>
      </c>
      <c r="X38" s="37">
        <f t="shared" si="59"/>
        <v>3.4612500000000002</v>
      </c>
      <c r="Y38" s="222">
        <f t="shared" si="59"/>
        <v>2.7</v>
      </c>
      <c r="Z38" s="37">
        <v>0</v>
      </c>
      <c r="AA38" s="37">
        <v>0</v>
      </c>
      <c r="AB38" s="37">
        <v>0</v>
      </c>
      <c r="AC38" s="222">
        <v>0</v>
      </c>
      <c r="AD38" s="225">
        <v>0</v>
      </c>
      <c r="AE38" s="225">
        <v>0</v>
      </c>
      <c r="AF38" s="225">
        <v>0</v>
      </c>
      <c r="AG38" s="226">
        <v>0</v>
      </c>
      <c r="AH38" s="225">
        <v>1</v>
      </c>
      <c r="AI38" s="225">
        <v>1</v>
      </c>
      <c r="AJ38" s="225">
        <v>1</v>
      </c>
      <c r="AK38" s="226">
        <v>1</v>
      </c>
      <c r="AL38" s="225">
        <v>1</v>
      </c>
      <c r="AM38" s="225">
        <v>1</v>
      </c>
      <c r="AN38" s="225">
        <v>1</v>
      </c>
      <c r="AO38" s="226">
        <v>1</v>
      </c>
      <c r="AP38" s="230">
        <f t="shared" ref="AP38:AS38" si="60">AP35*0.75+AP36*0.25</f>
        <v>48.125</v>
      </c>
      <c r="AQ38" s="230">
        <f t="shared" si="60"/>
        <v>46.849999999999994</v>
      </c>
      <c r="AR38" s="230">
        <f t="shared" si="60"/>
        <v>46.55</v>
      </c>
      <c r="AS38" s="231">
        <f t="shared" si="60"/>
        <v>46.25</v>
      </c>
      <c r="AT38" s="230">
        <f t="shared" ref="AT38" si="61">AT35*0.75+AT36*0.25</f>
        <v>67565</v>
      </c>
      <c r="AU38" s="230">
        <f t="shared" ref="AU38" si="62">AU35*0.75+AU36*0.25</f>
        <v>39775.994527944153</v>
      </c>
      <c r="AV38" s="230">
        <f t="shared" ref="AV38" si="63">AV35*0.75+AV36*0.25</f>
        <v>31125.497263972076</v>
      </c>
      <c r="AW38" s="231">
        <f t="shared" ref="AW38" si="64">AW35*0.75+AW36*0.25</f>
        <v>22475</v>
      </c>
      <c r="AX38" s="230">
        <f t="shared" ref="AX38" si="65">AX35*0.75+AX36*0.25</f>
        <v>6374.9325000000008</v>
      </c>
      <c r="AY38" s="230">
        <f t="shared" ref="AY38" si="66">AY35*0.75+AY36*0.25</f>
        <v>3834.1075321392254</v>
      </c>
      <c r="AZ38" s="230">
        <f t="shared" ref="AZ38" si="67">AZ35*0.75+AZ36*0.25</f>
        <v>3013.2537660696125</v>
      </c>
      <c r="BA38" s="231">
        <f t="shared" ref="BA38" si="68">BA35*0.75+BA36*0.25</f>
        <v>2192.4</v>
      </c>
      <c r="BB38" s="230">
        <f t="shared" ref="BB38" si="69">BB35*0.75+BB36*0.25</f>
        <v>0</v>
      </c>
      <c r="BC38" s="230">
        <f t="shared" ref="BC38" si="70">BC35*0.75+BC36*0.25</f>
        <v>0</v>
      </c>
      <c r="BD38" s="230">
        <f t="shared" ref="BD38" si="71">BD35*0.75+BD36*0.25</f>
        <v>0</v>
      </c>
      <c r="BE38" s="231">
        <f t="shared" ref="BE38" si="72">BE35*0.75+BE36*0.25</f>
        <v>0</v>
      </c>
      <c r="BF38" s="230">
        <f t="shared" ref="BF38" si="73">BF35*0.75+BF36*0.25</f>
        <v>0</v>
      </c>
      <c r="BG38" s="230">
        <f t="shared" ref="BG38" si="74">BG35*0.75+BG36*0.25</f>
        <v>0</v>
      </c>
      <c r="BH38" s="230">
        <f t="shared" ref="BH38" si="75">BH35*0.75+BH36*0.25</f>
        <v>0</v>
      </c>
      <c r="BI38" s="231">
        <f t="shared" ref="BI38:BJ38" si="76">BI35*0.75+BI36*0.25</f>
        <v>0</v>
      </c>
      <c r="BJ38" s="230">
        <f t="shared" si="76"/>
        <v>116.74670054442417</v>
      </c>
      <c r="BK38" s="37">
        <v>0</v>
      </c>
      <c r="BL38" s="37">
        <v>0</v>
      </c>
      <c r="BM38" s="222">
        <v>0</v>
      </c>
      <c r="BN38" s="230">
        <f t="shared" ref="BN38:BQ38" si="77">BN35*0.75+BN36*0.25</f>
        <v>0</v>
      </c>
      <c r="BO38" s="230">
        <f t="shared" si="77"/>
        <v>0</v>
      </c>
      <c r="BP38" s="230">
        <f t="shared" si="77"/>
        <v>0</v>
      </c>
      <c r="BQ38" s="231">
        <f t="shared" si="77"/>
        <v>0</v>
      </c>
      <c r="BR38" s="230">
        <f t="shared" ref="BR38" si="78">BR35*0.75+BR36*0.25</f>
        <v>8.8495575221238937E-2</v>
      </c>
      <c r="BS38" s="230">
        <f t="shared" ref="BS38" si="79">BS35*0.75+BS36*0.25</f>
        <v>8.8495575221238937E-2</v>
      </c>
      <c r="BT38" s="230">
        <f t="shared" ref="BT38" si="80">BT35*0.75+BT36*0.25</f>
        <v>8.8495575221238937E-2</v>
      </c>
      <c r="BU38" s="231">
        <f t="shared" ref="BU38" si="81">BU35*0.75+BU36*0.25</f>
        <v>8.8495575221238937E-2</v>
      </c>
      <c r="BV38" s="229">
        <v>30</v>
      </c>
      <c r="BW38" s="229">
        <v>30</v>
      </c>
      <c r="BX38" s="229">
        <v>30</v>
      </c>
      <c r="BY38" s="223">
        <v>30</v>
      </c>
      <c r="BZ38" s="225">
        <v>0.08</v>
      </c>
      <c r="CA38" s="225">
        <v>0.08</v>
      </c>
      <c r="CB38" s="225">
        <v>0.08</v>
      </c>
      <c r="CC38" s="225">
        <v>0.08</v>
      </c>
    </row>
    <row r="39" spans="1:81" s="37" customFormat="1" x14ac:dyDescent="0.35">
      <c r="A39" s="417"/>
      <c r="B39" s="217" t="s">
        <v>278</v>
      </c>
      <c r="C39" s="218" t="s">
        <v>13</v>
      </c>
      <c r="D39" s="219" t="s">
        <v>366</v>
      </c>
      <c r="E39" s="403" t="s">
        <v>86</v>
      </c>
      <c r="F39" s="6">
        <f t="shared" si="58"/>
        <v>34</v>
      </c>
      <c r="G39" s="220">
        <v>1</v>
      </c>
      <c r="H39" s="221" t="s">
        <v>383</v>
      </c>
      <c r="I39" s="221" t="s">
        <v>384</v>
      </c>
      <c r="J39" s="224">
        <v>0</v>
      </c>
      <c r="K39" s="320" t="str">
        <f>B41</f>
        <v>Reactant11</v>
      </c>
      <c r="L39" s="224">
        <v>0</v>
      </c>
      <c r="M39" s="224">
        <v>1</v>
      </c>
      <c r="N39" s="224">
        <v>0</v>
      </c>
      <c r="O39" s="224">
        <v>1</v>
      </c>
      <c r="P39" s="224">
        <v>0</v>
      </c>
      <c r="Q39" s="222">
        <f>Q37</f>
        <v>20000</v>
      </c>
      <c r="R39" s="37">
        <f t="shared" si="55"/>
        <v>8.8888888888888892E-2</v>
      </c>
      <c r="S39" s="37">
        <f t="shared" si="55"/>
        <v>8.8888888888888892E-2</v>
      </c>
      <c r="T39" s="37">
        <f t="shared" si="55"/>
        <v>8.8888888888888892E-2</v>
      </c>
      <c r="U39" s="222">
        <f t="shared" si="55"/>
        <v>8.8888888888888892E-2</v>
      </c>
      <c r="V39" s="37">
        <f t="shared" ref="V39:X39" si="82">V35*0.75</f>
        <v>5.3025000000000002</v>
      </c>
      <c r="W39" s="37">
        <f t="shared" si="82"/>
        <v>4.2569999999999997</v>
      </c>
      <c r="X39" s="37">
        <f t="shared" si="82"/>
        <v>3.4612500000000002</v>
      </c>
      <c r="Y39" s="222">
        <f>Y35*0.75</f>
        <v>2.7</v>
      </c>
      <c r="Z39" s="37">
        <v>0</v>
      </c>
      <c r="AA39" s="37">
        <v>0</v>
      </c>
      <c r="AB39" s="37">
        <v>0</v>
      </c>
      <c r="AC39" s="222">
        <v>0</v>
      </c>
      <c r="AD39" s="225">
        <v>0</v>
      </c>
      <c r="AE39" s="225">
        <v>0</v>
      </c>
      <c r="AF39" s="225">
        <v>0</v>
      </c>
      <c r="AG39" s="226">
        <v>0</v>
      </c>
      <c r="AH39" s="225">
        <v>1</v>
      </c>
      <c r="AI39" s="225">
        <v>1</v>
      </c>
      <c r="AJ39" s="225">
        <v>1</v>
      </c>
      <c r="AK39" s="226">
        <v>1</v>
      </c>
      <c r="AL39" s="225">
        <v>1</v>
      </c>
      <c r="AM39" s="225">
        <v>1</v>
      </c>
      <c r="AN39" s="225">
        <v>1</v>
      </c>
      <c r="AO39" s="226">
        <v>1</v>
      </c>
      <c r="AP39" s="230">
        <f t="shared" ref="AP39:AS39" si="83">AP35*0.75+0.25*AP37</f>
        <v>49.625</v>
      </c>
      <c r="AQ39" s="230">
        <f t="shared" si="83"/>
        <v>48.149999999999991</v>
      </c>
      <c r="AR39" s="230">
        <f t="shared" si="83"/>
        <v>47.449999999999996</v>
      </c>
      <c r="AS39" s="231">
        <f t="shared" si="83"/>
        <v>46.75</v>
      </c>
      <c r="AT39" s="230">
        <f t="shared" ref="AT39:AW39" si="84">AT35*0.75+AT37*0.25</f>
        <v>67565</v>
      </c>
      <c r="AU39" s="230">
        <f t="shared" si="84"/>
        <v>39775.994527944153</v>
      </c>
      <c r="AV39" s="230">
        <f t="shared" si="84"/>
        <v>31125.497263972076</v>
      </c>
      <c r="AW39" s="231">
        <f t="shared" si="84"/>
        <v>22475</v>
      </c>
      <c r="AX39" s="230">
        <f t="shared" ref="AX39:BT39" si="85">AX35*0.75+AX37*0.25</f>
        <v>6374.9325000000008</v>
      </c>
      <c r="AY39" s="230">
        <f t="shared" si="85"/>
        <v>3834.1075321392254</v>
      </c>
      <c r="AZ39" s="230">
        <f t="shared" si="85"/>
        <v>3013.2537660696125</v>
      </c>
      <c r="BA39" s="231">
        <f t="shared" si="85"/>
        <v>2192.4</v>
      </c>
      <c r="BB39" s="230">
        <f t="shared" si="85"/>
        <v>0</v>
      </c>
      <c r="BC39" s="230">
        <f t="shared" si="85"/>
        <v>0</v>
      </c>
      <c r="BD39" s="230">
        <f t="shared" si="85"/>
        <v>0</v>
      </c>
      <c r="BE39" s="231">
        <f t="shared" si="85"/>
        <v>0</v>
      </c>
      <c r="BF39" s="230">
        <f t="shared" si="85"/>
        <v>0</v>
      </c>
      <c r="BG39" s="230">
        <f t="shared" si="85"/>
        <v>0</v>
      </c>
      <c r="BH39" s="230">
        <f t="shared" si="85"/>
        <v>0</v>
      </c>
      <c r="BI39" s="231">
        <f t="shared" si="85"/>
        <v>0</v>
      </c>
      <c r="BJ39" s="230">
        <f t="shared" si="85"/>
        <v>116.74670054442417</v>
      </c>
      <c r="BK39" s="37">
        <v>0</v>
      </c>
      <c r="BL39" s="37">
        <v>0</v>
      </c>
      <c r="BM39" s="222">
        <v>0</v>
      </c>
      <c r="BN39" s="230">
        <f t="shared" si="85"/>
        <v>0</v>
      </c>
      <c r="BO39" s="230">
        <f t="shared" ref="BO39:BQ40" si="86">BO35*0.75+BO37*0.25</f>
        <v>0</v>
      </c>
      <c r="BP39" s="230">
        <f t="shared" si="86"/>
        <v>0</v>
      </c>
      <c r="BQ39" s="231">
        <f t="shared" si="86"/>
        <v>0</v>
      </c>
      <c r="BR39" s="230">
        <f t="shared" si="85"/>
        <v>8.8495575221238937E-2</v>
      </c>
      <c r="BS39" s="230">
        <f t="shared" si="85"/>
        <v>8.8495575221238937E-2</v>
      </c>
      <c r="BT39" s="230">
        <f t="shared" si="85"/>
        <v>8.8495575221238937E-2</v>
      </c>
      <c r="BU39" s="231">
        <f t="shared" ref="BU39" si="87">BU35*0.75+BU37*0.25</f>
        <v>8.8495575221238937E-2</v>
      </c>
      <c r="BV39" s="229">
        <v>30</v>
      </c>
      <c r="BW39" s="229">
        <v>30</v>
      </c>
      <c r="BX39" s="229">
        <v>30</v>
      </c>
      <c r="BY39" s="223">
        <v>30</v>
      </c>
      <c r="BZ39" s="225">
        <v>0.08</v>
      </c>
      <c r="CA39" s="225">
        <v>0.08</v>
      </c>
      <c r="CB39" s="225">
        <v>0.08</v>
      </c>
      <c r="CC39" s="225">
        <v>0.08</v>
      </c>
    </row>
    <row r="40" spans="1:81" s="37" customFormat="1" x14ac:dyDescent="0.35">
      <c r="A40" s="417"/>
      <c r="B40" s="217" t="s">
        <v>97</v>
      </c>
      <c r="C40" s="218" t="s">
        <v>92</v>
      </c>
      <c r="D40" s="219" t="s">
        <v>28</v>
      </c>
      <c r="E40" s="403" t="s">
        <v>86</v>
      </c>
      <c r="F40" s="6">
        <f t="shared" si="58"/>
        <v>35</v>
      </c>
      <c r="G40" s="220">
        <v>1</v>
      </c>
      <c r="H40" s="221" t="s">
        <v>389</v>
      </c>
      <c r="I40" s="221" t="s">
        <v>390</v>
      </c>
      <c r="J40" s="224">
        <v>0</v>
      </c>
      <c r="K40" s="320" t="str">
        <f>B35</f>
        <v>Product/Reactant12</v>
      </c>
      <c r="L40" s="224">
        <v>0</v>
      </c>
      <c r="M40" s="224">
        <v>0</v>
      </c>
      <c r="N40" s="323">
        <v>0</v>
      </c>
      <c r="O40" s="224">
        <v>0</v>
      </c>
      <c r="P40" s="224">
        <v>0</v>
      </c>
      <c r="Q40" s="222">
        <f>9*Q35</f>
        <v>180000</v>
      </c>
      <c r="R40" s="37">
        <v>8</v>
      </c>
      <c r="S40" s="37">
        <v>8</v>
      </c>
      <c r="T40" s="37">
        <v>8</v>
      </c>
      <c r="U40" s="222">
        <v>8</v>
      </c>
      <c r="V40" s="37">
        <v>0</v>
      </c>
      <c r="W40" s="37">
        <v>0</v>
      </c>
      <c r="X40" s="37">
        <v>0</v>
      </c>
      <c r="Y40" s="222">
        <v>0</v>
      </c>
      <c r="Z40" s="37">
        <v>0</v>
      </c>
      <c r="AA40" s="37">
        <v>0</v>
      </c>
      <c r="AB40" s="37">
        <v>0</v>
      </c>
      <c r="AC40" s="222">
        <v>0</v>
      </c>
      <c r="AD40" s="225">
        <v>0</v>
      </c>
      <c r="AE40" s="225">
        <v>0</v>
      </c>
      <c r="AF40" s="225">
        <v>0</v>
      </c>
      <c r="AG40" s="226">
        <v>0</v>
      </c>
      <c r="AH40" s="225">
        <v>1</v>
      </c>
      <c r="AI40" s="225">
        <v>1</v>
      </c>
      <c r="AJ40" s="225">
        <v>1</v>
      </c>
      <c r="AK40" s="226">
        <v>1</v>
      </c>
      <c r="AL40" s="225">
        <v>1</v>
      </c>
      <c r="AM40" s="225">
        <v>1</v>
      </c>
      <c r="AN40" s="225">
        <v>1</v>
      </c>
      <c r="AO40" s="226">
        <v>1</v>
      </c>
      <c r="AP40" s="37">
        <v>0</v>
      </c>
      <c r="AQ40" s="37">
        <v>0</v>
      </c>
      <c r="AR40" s="37">
        <v>0</v>
      </c>
      <c r="AS40" s="222">
        <v>0</v>
      </c>
      <c r="AT40" s="37">
        <v>0</v>
      </c>
      <c r="AU40" s="37">
        <v>0</v>
      </c>
      <c r="AV40" s="37">
        <v>0</v>
      </c>
      <c r="AW40" s="222">
        <v>0</v>
      </c>
      <c r="AX40" s="37">
        <v>0</v>
      </c>
      <c r="AY40" s="37">
        <v>0</v>
      </c>
      <c r="AZ40" s="37">
        <v>0</v>
      </c>
      <c r="BA40" s="222">
        <v>0</v>
      </c>
      <c r="BB40" s="37">
        <v>0</v>
      </c>
      <c r="BC40" s="37">
        <v>0</v>
      </c>
      <c r="BD40" s="37">
        <v>0</v>
      </c>
      <c r="BE40" s="222">
        <v>0</v>
      </c>
      <c r="BF40" s="37">
        <v>0.05</v>
      </c>
      <c r="BG40" s="37">
        <v>2.7E-2</v>
      </c>
      <c r="BH40" s="37">
        <v>2.7E-2</v>
      </c>
      <c r="BI40" s="222">
        <v>2.7E-2</v>
      </c>
      <c r="BJ40" s="37">
        <v>0</v>
      </c>
      <c r="BK40" s="37">
        <v>0</v>
      </c>
      <c r="BL40" s="37">
        <v>0</v>
      </c>
      <c r="BM40" s="222">
        <v>0</v>
      </c>
      <c r="BN40" s="236">
        <v>0</v>
      </c>
      <c r="BO40" s="230">
        <f t="shared" si="86"/>
        <v>0</v>
      </c>
      <c r="BP40" s="230">
        <f t="shared" si="86"/>
        <v>0</v>
      </c>
      <c r="BQ40" s="231">
        <f t="shared" si="86"/>
        <v>0</v>
      </c>
      <c r="BR40" s="37">
        <v>0</v>
      </c>
      <c r="BS40" s="37">
        <v>0</v>
      </c>
      <c r="BT40" s="37">
        <v>0</v>
      </c>
      <c r="BU40" s="222">
        <v>0</v>
      </c>
      <c r="BV40" s="229">
        <v>0</v>
      </c>
      <c r="BW40" s="229">
        <v>0</v>
      </c>
      <c r="BX40" s="229">
        <v>0</v>
      </c>
      <c r="BY40" s="223">
        <v>0</v>
      </c>
      <c r="BZ40" s="225">
        <v>0.08</v>
      </c>
      <c r="CA40" s="225">
        <v>0.08</v>
      </c>
      <c r="CB40" s="225">
        <v>0.08</v>
      </c>
      <c r="CC40" s="225">
        <v>0.08</v>
      </c>
    </row>
    <row r="41" spans="1:81" s="201" customFormat="1" x14ac:dyDescent="0.35">
      <c r="A41" s="417"/>
      <c r="B41" s="194" t="s">
        <v>276</v>
      </c>
      <c r="C41" s="195" t="s">
        <v>180</v>
      </c>
      <c r="D41" s="196" t="s">
        <v>25</v>
      </c>
      <c r="E41" s="404" t="s">
        <v>86</v>
      </c>
      <c r="F41" s="6">
        <f t="shared" si="58"/>
        <v>36</v>
      </c>
      <c r="G41" s="197">
        <v>1</v>
      </c>
      <c r="H41" s="198" t="s">
        <v>385</v>
      </c>
      <c r="I41" s="198" t="s">
        <v>386</v>
      </c>
      <c r="J41" s="200">
        <v>0</v>
      </c>
      <c r="K41" s="198" t="s">
        <v>12</v>
      </c>
      <c r="L41" s="200">
        <v>0</v>
      </c>
      <c r="M41" s="200">
        <v>0</v>
      </c>
      <c r="N41" s="200">
        <v>0</v>
      </c>
      <c r="O41" s="200">
        <v>0</v>
      </c>
      <c r="P41" s="200">
        <v>0</v>
      </c>
      <c r="Q41" s="199">
        <v>400000</v>
      </c>
      <c r="R41" s="201">
        <v>0</v>
      </c>
      <c r="S41" s="201">
        <v>0</v>
      </c>
      <c r="T41" s="201">
        <v>0</v>
      </c>
      <c r="U41" s="199">
        <v>0</v>
      </c>
      <c r="V41" s="201">
        <v>0</v>
      </c>
      <c r="W41" s="201">
        <v>0</v>
      </c>
      <c r="X41" s="201">
        <v>0</v>
      </c>
      <c r="Y41" s="199">
        <v>0</v>
      </c>
      <c r="Z41" s="201">
        <v>0</v>
      </c>
      <c r="AA41" s="201">
        <v>0</v>
      </c>
      <c r="AB41" s="201">
        <v>0</v>
      </c>
      <c r="AC41" s="199">
        <v>0</v>
      </c>
      <c r="AD41" s="202">
        <v>0</v>
      </c>
      <c r="AE41" s="202">
        <v>0</v>
      </c>
      <c r="AF41" s="202">
        <v>0</v>
      </c>
      <c r="AG41" s="203">
        <v>0</v>
      </c>
      <c r="AH41" s="202">
        <v>1</v>
      </c>
      <c r="AI41" s="202">
        <v>1</v>
      </c>
      <c r="AJ41" s="202">
        <v>1</v>
      </c>
      <c r="AK41" s="203">
        <v>1</v>
      </c>
      <c r="AL41" s="202">
        <v>1</v>
      </c>
      <c r="AM41" s="202">
        <v>1</v>
      </c>
      <c r="AN41" s="202">
        <v>1</v>
      </c>
      <c r="AO41" s="203">
        <v>1</v>
      </c>
      <c r="AP41" s="201">
        <v>6.7499999999999991E-3</v>
      </c>
      <c r="AQ41" s="201">
        <v>6.7499999999999991E-3</v>
      </c>
      <c r="AR41" s="201">
        <v>4.4999999999999997E-3</v>
      </c>
      <c r="AS41" s="199">
        <v>4.4999999999999997E-3</v>
      </c>
      <c r="AT41" s="201">
        <v>147.87739999999999</v>
      </c>
      <c r="AU41" s="201">
        <v>134.434</v>
      </c>
      <c r="AV41" s="201">
        <v>134.434</v>
      </c>
      <c r="AW41" s="199">
        <v>134.434</v>
      </c>
      <c r="AX41" s="201">
        <f t="shared" ref="AX41:BA43" si="88">AT41*0.03</f>
        <v>4.4363219999999997</v>
      </c>
      <c r="AY41" s="201">
        <f t="shared" si="88"/>
        <v>4.0330199999999996</v>
      </c>
      <c r="AZ41" s="201">
        <f t="shared" si="88"/>
        <v>4.0330199999999996</v>
      </c>
      <c r="BA41" s="199">
        <f t="shared" si="88"/>
        <v>4.0330199999999996</v>
      </c>
      <c r="BB41" s="201">
        <v>0</v>
      </c>
      <c r="BC41" s="201">
        <v>0</v>
      </c>
      <c r="BD41" s="201">
        <v>0</v>
      </c>
      <c r="BE41" s="199">
        <v>0</v>
      </c>
      <c r="BF41" s="201">
        <v>0</v>
      </c>
      <c r="BG41" s="201">
        <v>0</v>
      </c>
      <c r="BH41" s="201">
        <v>0</v>
      </c>
      <c r="BI41" s="199">
        <v>0</v>
      </c>
      <c r="BJ41" s="204">
        <v>0</v>
      </c>
      <c r="BK41" s="204">
        <v>0</v>
      </c>
      <c r="BL41" s="204">
        <v>0</v>
      </c>
      <c r="BM41" s="350">
        <v>0</v>
      </c>
      <c r="BN41" s="204">
        <v>0</v>
      </c>
      <c r="BO41" s="204">
        <v>0</v>
      </c>
      <c r="BP41" s="204">
        <v>0</v>
      </c>
      <c r="BQ41" s="350">
        <v>0</v>
      </c>
      <c r="BR41" s="201">
        <f>IF(BV41&lt;&gt;0,(BZ41*(1+BZ41)^BV41)/((1+BZ41)^BV41-1),0)</f>
        <v>0.11682954493601999</v>
      </c>
      <c r="BS41" s="201">
        <f t="shared" ref="BS41:BU41" si="89">IF(BW41&lt;&gt;0,(CA41*(1+CA41)^BW41)/((1+CA41)^BW41-1),0)</f>
        <v>0.11682954493601999</v>
      </c>
      <c r="BT41" s="201">
        <f t="shared" si="89"/>
        <v>0.10185220882315059</v>
      </c>
      <c r="BU41" s="199">
        <f t="shared" si="89"/>
        <v>0.10185220882315059</v>
      </c>
      <c r="BV41" s="205">
        <v>15</v>
      </c>
      <c r="BW41" s="205">
        <v>15</v>
      </c>
      <c r="BX41" s="205">
        <v>20</v>
      </c>
      <c r="BY41" s="353">
        <v>20</v>
      </c>
      <c r="BZ41" s="202">
        <v>0.08</v>
      </c>
      <c r="CA41" s="202">
        <v>0.08</v>
      </c>
      <c r="CB41" s="202">
        <v>0.08</v>
      </c>
      <c r="CC41" s="202">
        <v>0.08</v>
      </c>
    </row>
    <row r="42" spans="1:81" s="201" customFormat="1" x14ac:dyDescent="0.35">
      <c r="A42" s="417"/>
      <c r="B42" s="194" t="str">
        <f>B41</f>
        <v>Reactant11</v>
      </c>
      <c r="C42" s="195" t="s">
        <v>180</v>
      </c>
      <c r="D42" s="196" t="s">
        <v>164</v>
      </c>
      <c r="E42" s="404" t="s">
        <v>86</v>
      </c>
      <c r="F42" s="6">
        <f t="shared" si="58"/>
        <v>37</v>
      </c>
      <c r="G42" s="197">
        <v>1</v>
      </c>
      <c r="H42" s="198" t="s">
        <v>385</v>
      </c>
      <c r="I42" s="198" t="s">
        <v>386</v>
      </c>
      <c r="J42" s="200">
        <v>0</v>
      </c>
      <c r="K42" s="198" t="s">
        <v>12</v>
      </c>
      <c r="L42" s="200">
        <v>0</v>
      </c>
      <c r="M42" s="200">
        <v>0</v>
      </c>
      <c r="N42" s="200">
        <v>0</v>
      </c>
      <c r="O42" s="200">
        <v>0</v>
      </c>
      <c r="P42" s="200">
        <v>0</v>
      </c>
      <c r="Q42" s="199">
        <v>400000</v>
      </c>
      <c r="R42" s="201">
        <v>0</v>
      </c>
      <c r="S42" s="201">
        <v>0</v>
      </c>
      <c r="T42" s="201">
        <v>0</v>
      </c>
      <c r="U42" s="199">
        <v>0</v>
      </c>
      <c r="V42" s="201">
        <v>0</v>
      </c>
      <c r="W42" s="201">
        <v>0</v>
      </c>
      <c r="X42" s="201">
        <v>0</v>
      </c>
      <c r="Y42" s="199">
        <v>0</v>
      </c>
      <c r="Z42" s="201">
        <v>0</v>
      </c>
      <c r="AA42" s="201">
        <v>0</v>
      </c>
      <c r="AB42" s="201">
        <v>0</v>
      </c>
      <c r="AC42" s="199">
        <v>0</v>
      </c>
      <c r="AD42" s="202">
        <v>0</v>
      </c>
      <c r="AE42" s="202">
        <v>0</v>
      </c>
      <c r="AF42" s="202">
        <v>0</v>
      </c>
      <c r="AG42" s="203">
        <v>0</v>
      </c>
      <c r="AH42" s="202">
        <v>1</v>
      </c>
      <c r="AI42" s="202">
        <v>1</v>
      </c>
      <c r="AJ42" s="202">
        <v>1</v>
      </c>
      <c r="AK42" s="203">
        <v>1</v>
      </c>
      <c r="AL42" s="202">
        <v>1</v>
      </c>
      <c r="AM42" s="202">
        <v>1</v>
      </c>
      <c r="AN42" s="202">
        <v>1</v>
      </c>
      <c r="AO42" s="203">
        <v>1</v>
      </c>
      <c r="AP42" s="206">
        <v>2.5000000000000001E-3</v>
      </c>
      <c r="AQ42" s="201">
        <v>2.5000000000000001E-3</v>
      </c>
      <c r="AR42" s="201">
        <v>1E-3</v>
      </c>
      <c r="AS42" s="199">
        <v>1E-3</v>
      </c>
      <c r="AT42" s="201">
        <v>120.99315999999999</v>
      </c>
      <c r="AU42" s="201">
        <v>107.55231999999999</v>
      </c>
      <c r="AV42" s="201">
        <v>107.55231999999999</v>
      </c>
      <c r="AW42" s="199">
        <v>107.55231999999999</v>
      </c>
      <c r="AX42" s="201">
        <f t="shared" si="88"/>
        <v>3.6297947999999995</v>
      </c>
      <c r="AY42" s="201">
        <f t="shared" si="88"/>
        <v>3.2265695999999999</v>
      </c>
      <c r="AZ42" s="201">
        <f t="shared" si="88"/>
        <v>3.2265695999999999</v>
      </c>
      <c r="BA42" s="199">
        <f t="shared" si="88"/>
        <v>3.2265695999999999</v>
      </c>
      <c r="BB42" s="201">
        <v>6.5000000000000008E-5</v>
      </c>
      <c r="BC42" s="201">
        <v>6.5000000000000008E-5</v>
      </c>
      <c r="BD42" s="201">
        <v>0</v>
      </c>
      <c r="BE42" s="199">
        <v>6.5000000000000008E-5</v>
      </c>
      <c r="BF42" s="201">
        <v>0</v>
      </c>
      <c r="BG42" s="201">
        <v>0</v>
      </c>
      <c r="BH42" s="201">
        <v>0</v>
      </c>
      <c r="BI42" s="199">
        <v>0</v>
      </c>
      <c r="BJ42" s="204">
        <v>0</v>
      </c>
      <c r="BK42" s="204">
        <v>0</v>
      </c>
      <c r="BL42" s="204">
        <v>0</v>
      </c>
      <c r="BM42" s="350">
        <v>0</v>
      </c>
      <c r="BN42" s="204">
        <v>0</v>
      </c>
      <c r="BO42" s="204">
        <v>0</v>
      </c>
      <c r="BP42" s="204">
        <v>0</v>
      </c>
      <c r="BQ42" s="350">
        <v>0</v>
      </c>
      <c r="BR42" s="201">
        <v>0.11682954493601999</v>
      </c>
      <c r="BS42" s="201">
        <v>0.11682954493601999</v>
      </c>
      <c r="BT42" s="201">
        <v>0.10185220882315059</v>
      </c>
      <c r="BU42" s="199">
        <v>0.10185220882315059</v>
      </c>
      <c r="BV42" s="205">
        <v>15</v>
      </c>
      <c r="BW42" s="205">
        <v>15</v>
      </c>
      <c r="BX42" s="205">
        <v>20</v>
      </c>
      <c r="BY42" s="353">
        <v>20</v>
      </c>
      <c r="BZ42" s="202">
        <v>0.08</v>
      </c>
      <c r="CA42" s="202">
        <v>0.08</v>
      </c>
      <c r="CB42" s="202">
        <v>0.08</v>
      </c>
      <c r="CC42" s="202">
        <v>0.08</v>
      </c>
    </row>
    <row r="43" spans="1:81" s="201" customFormat="1" x14ac:dyDescent="0.35">
      <c r="A43" s="417"/>
      <c r="B43" s="194" t="str">
        <f>B41</f>
        <v>Reactant11</v>
      </c>
      <c r="C43" s="195" t="s">
        <v>180</v>
      </c>
      <c r="D43" s="196" t="s">
        <v>165</v>
      </c>
      <c r="E43" s="404" t="s">
        <v>86</v>
      </c>
      <c r="F43" s="6">
        <f t="shared" si="58"/>
        <v>38</v>
      </c>
      <c r="G43" s="197">
        <v>1</v>
      </c>
      <c r="H43" s="198" t="s">
        <v>385</v>
      </c>
      <c r="I43" s="198" t="s">
        <v>386</v>
      </c>
      <c r="J43" s="200">
        <v>0</v>
      </c>
      <c r="K43" s="198" t="s">
        <v>12</v>
      </c>
      <c r="L43" s="200">
        <v>0</v>
      </c>
      <c r="M43" s="200">
        <v>0</v>
      </c>
      <c r="N43" s="200">
        <v>0</v>
      </c>
      <c r="O43" s="200">
        <v>0</v>
      </c>
      <c r="P43" s="200">
        <v>0</v>
      </c>
      <c r="Q43" s="199">
        <v>400000</v>
      </c>
      <c r="R43" s="201">
        <v>0</v>
      </c>
      <c r="S43" s="201">
        <v>0</v>
      </c>
      <c r="T43" s="201">
        <v>0</v>
      </c>
      <c r="U43" s="199">
        <v>0</v>
      </c>
      <c r="V43" s="201">
        <v>0</v>
      </c>
      <c r="W43" s="201">
        <v>0</v>
      </c>
      <c r="X43" s="201">
        <v>0</v>
      </c>
      <c r="Y43" s="199">
        <v>0</v>
      </c>
      <c r="Z43" s="201">
        <v>0</v>
      </c>
      <c r="AA43" s="201">
        <v>0</v>
      </c>
      <c r="AB43" s="201">
        <v>0</v>
      </c>
      <c r="AC43" s="199">
        <v>0</v>
      </c>
      <c r="AD43" s="202">
        <v>0</v>
      </c>
      <c r="AE43" s="202">
        <v>0</v>
      </c>
      <c r="AF43" s="202">
        <v>0</v>
      </c>
      <c r="AG43" s="203">
        <v>0</v>
      </c>
      <c r="AH43" s="202">
        <v>1</v>
      </c>
      <c r="AI43" s="202">
        <v>1</v>
      </c>
      <c r="AJ43" s="202">
        <v>1</v>
      </c>
      <c r="AK43" s="203">
        <v>1</v>
      </c>
      <c r="AL43" s="202">
        <v>1</v>
      </c>
      <c r="AM43" s="202">
        <v>1</v>
      </c>
      <c r="AN43" s="202">
        <v>1</v>
      </c>
      <c r="AO43" s="203">
        <v>1</v>
      </c>
      <c r="AP43" s="201">
        <v>2.7499999999999998E-3</v>
      </c>
      <c r="AQ43" s="201">
        <v>2.7499999999999998E-3</v>
      </c>
      <c r="AR43" s="201">
        <f>1/1000</f>
        <v>1E-3</v>
      </c>
      <c r="AS43" s="199">
        <f>1/1000</f>
        <v>1E-3</v>
      </c>
      <c r="AT43" s="201">
        <v>72.597820000000013</v>
      </c>
      <c r="AU43" s="201">
        <v>64.531400000000005</v>
      </c>
      <c r="AV43" s="201">
        <v>64.531400000000005</v>
      </c>
      <c r="AW43" s="199">
        <v>64.531400000000005</v>
      </c>
      <c r="AX43" s="201">
        <f t="shared" si="88"/>
        <v>2.1779346000000004</v>
      </c>
      <c r="AY43" s="201">
        <f t="shared" si="88"/>
        <v>1.9359420000000001</v>
      </c>
      <c r="AZ43" s="201">
        <f t="shared" si="88"/>
        <v>1.9359420000000001</v>
      </c>
      <c r="BA43" s="199">
        <f t="shared" si="88"/>
        <v>1.9359420000000001</v>
      </c>
      <c r="BB43" s="201">
        <v>2.0000000000000001E-4</v>
      </c>
      <c r="BC43" s="201">
        <v>2.0000000000000001E-4</v>
      </c>
      <c r="BD43" s="201">
        <v>2.0000000000000001E-4</v>
      </c>
      <c r="BE43" s="199">
        <v>2.0000000000000001E-4</v>
      </c>
      <c r="BF43" s="201">
        <v>0</v>
      </c>
      <c r="BG43" s="201">
        <v>0</v>
      </c>
      <c r="BH43" s="201">
        <v>0</v>
      </c>
      <c r="BI43" s="199">
        <v>0</v>
      </c>
      <c r="BJ43" s="204">
        <v>0</v>
      </c>
      <c r="BK43" s="204">
        <v>0</v>
      </c>
      <c r="BL43" s="204">
        <v>0</v>
      </c>
      <c r="BM43" s="350">
        <v>0</v>
      </c>
      <c r="BN43" s="204">
        <v>0</v>
      </c>
      <c r="BO43" s="204">
        <v>0</v>
      </c>
      <c r="BP43" s="204">
        <v>0</v>
      </c>
      <c r="BQ43" s="350">
        <v>0</v>
      </c>
      <c r="BR43" s="201">
        <v>0.11682954493601999</v>
      </c>
      <c r="BS43" s="201">
        <v>0.11682954493601999</v>
      </c>
      <c r="BT43" s="201">
        <v>0.10185220882315059</v>
      </c>
      <c r="BU43" s="199">
        <v>0.10185220882315059</v>
      </c>
      <c r="BV43" s="205">
        <v>15</v>
      </c>
      <c r="BW43" s="205">
        <v>15</v>
      </c>
      <c r="BX43" s="205">
        <v>20</v>
      </c>
      <c r="BY43" s="353">
        <v>20</v>
      </c>
      <c r="BZ43" s="202">
        <v>0.08</v>
      </c>
      <c r="CA43" s="202">
        <v>0.08</v>
      </c>
      <c r="CB43" s="202">
        <v>0.08</v>
      </c>
      <c r="CC43" s="202">
        <v>0.08</v>
      </c>
    </row>
    <row r="44" spans="1:81" s="78" customFormat="1" x14ac:dyDescent="0.35">
      <c r="A44" s="417"/>
      <c r="B44" s="75" t="s">
        <v>19</v>
      </c>
      <c r="C44" s="82" t="s">
        <v>21</v>
      </c>
      <c r="D44" s="77" t="s">
        <v>26</v>
      </c>
      <c r="E44" s="396" t="s">
        <v>86</v>
      </c>
      <c r="F44" s="6">
        <f t="shared" si="58"/>
        <v>39</v>
      </c>
      <c r="G44" s="105">
        <v>1</v>
      </c>
      <c r="H44" s="117" t="s">
        <v>387</v>
      </c>
      <c r="I44" s="117" t="s">
        <v>388</v>
      </c>
      <c r="J44" s="238">
        <v>0</v>
      </c>
      <c r="K44" s="126" t="s">
        <v>12</v>
      </c>
      <c r="L44" s="126">
        <v>0</v>
      </c>
      <c r="M44" s="126">
        <v>1</v>
      </c>
      <c r="N44" s="126">
        <v>0</v>
      </c>
      <c r="O44" s="126">
        <v>0</v>
      </c>
      <c r="P44" s="126">
        <v>0</v>
      </c>
      <c r="Q44" s="136">
        <f>Q53</f>
        <v>2000000</v>
      </c>
      <c r="R44" s="81">
        <v>0</v>
      </c>
      <c r="S44" s="81">
        <v>0</v>
      </c>
      <c r="T44" s="81">
        <v>0</v>
      </c>
      <c r="U44" s="154">
        <v>0</v>
      </c>
      <c r="V44" s="78">
        <v>0</v>
      </c>
      <c r="W44" s="78">
        <v>0</v>
      </c>
      <c r="X44" s="78">
        <v>0</v>
      </c>
      <c r="Y44" s="136">
        <v>0</v>
      </c>
      <c r="Z44" s="78">
        <v>0</v>
      </c>
      <c r="AA44" s="78">
        <v>0</v>
      </c>
      <c r="AB44" s="78">
        <v>0</v>
      </c>
      <c r="AC44" s="136">
        <v>0</v>
      </c>
      <c r="AD44" s="80">
        <v>0</v>
      </c>
      <c r="AE44" s="80">
        <v>0</v>
      </c>
      <c r="AF44" s="80">
        <v>0</v>
      </c>
      <c r="AG44" s="145">
        <v>0</v>
      </c>
      <c r="AH44" s="80">
        <v>1</v>
      </c>
      <c r="AI44" s="80">
        <v>1</v>
      </c>
      <c r="AJ44" s="80">
        <v>1</v>
      </c>
      <c r="AK44" s="145">
        <v>1</v>
      </c>
      <c r="AL44" s="80">
        <v>1</v>
      </c>
      <c r="AM44" s="80">
        <v>1</v>
      </c>
      <c r="AN44" s="80">
        <v>1</v>
      </c>
      <c r="AO44" s="145">
        <v>1</v>
      </c>
      <c r="AP44" s="81">
        <v>0</v>
      </c>
      <c r="AQ44" s="81">
        <v>0</v>
      </c>
      <c r="AR44" s="81">
        <v>0</v>
      </c>
      <c r="AS44" s="154">
        <v>0</v>
      </c>
      <c r="AT44" s="81">
        <v>0</v>
      </c>
      <c r="AU44" s="81">
        <v>0</v>
      </c>
      <c r="AV44" s="81">
        <v>0</v>
      </c>
      <c r="AW44" s="154">
        <v>0</v>
      </c>
      <c r="AX44" s="81">
        <v>0</v>
      </c>
      <c r="AY44" s="81">
        <v>0</v>
      </c>
      <c r="AZ44" s="81">
        <v>0</v>
      </c>
      <c r="BA44" s="154">
        <v>0</v>
      </c>
      <c r="BB44" s="81">
        <v>0</v>
      </c>
      <c r="BC44" s="81">
        <v>0</v>
      </c>
      <c r="BD44" s="81">
        <v>0</v>
      </c>
      <c r="BE44" s="154">
        <v>0</v>
      </c>
      <c r="BF44" s="81">
        <v>0</v>
      </c>
      <c r="BG44" s="81">
        <v>0</v>
      </c>
      <c r="BH44" s="81">
        <v>0</v>
      </c>
      <c r="BI44" s="154">
        <v>0</v>
      </c>
      <c r="BJ44" s="81">
        <v>0</v>
      </c>
      <c r="BK44" s="81">
        <v>0</v>
      </c>
      <c r="BL44" s="81">
        <v>0</v>
      </c>
      <c r="BM44" s="154">
        <v>0</v>
      </c>
      <c r="BN44" s="81">
        <v>0</v>
      </c>
      <c r="BO44" s="81">
        <v>0</v>
      </c>
      <c r="BP44" s="81">
        <v>0</v>
      </c>
      <c r="BQ44" s="154">
        <v>0</v>
      </c>
      <c r="BR44" s="81">
        <v>0</v>
      </c>
      <c r="BS44" s="81">
        <v>0</v>
      </c>
      <c r="BT44" s="81">
        <v>0</v>
      </c>
      <c r="BU44" s="154">
        <v>0</v>
      </c>
      <c r="BV44" s="79">
        <v>0</v>
      </c>
      <c r="BW44" s="79">
        <v>0</v>
      </c>
      <c r="BX44" s="79">
        <v>0</v>
      </c>
      <c r="BY44" s="163">
        <v>0</v>
      </c>
      <c r="BZ44" s="80">
        <v>0.08</v>
      </c>
      <c r="CA44" s="80">
        <v>0.08</v>
      </c>
      <c r="CB44" s="80">
        <v>0.08</v>
      </c>
      <c r="CC44" s="80">
        <v>0.08</v>
      </c>
    </row>
    <row r="45" spans="1:81" s="78" customFormat="1" x14ac:dyDescent="0.35">
      <c r="A45" s="417"/>
      <c r="B45" s="75" t="s">
        <v>20</v>
      </c>
      <c r="C45" s="82" t="s">
        <v>22</v>
      </c>
      <c r="D45" s="77" t="s">
        <v>27</v>
      </c>
      <c r="E45" s="396" t="s">
        <v>86</v>
      </c>
      <c r="F45" s="6">
        <f t="shared" si="58"/>
        <v>40</v>
      </c>
      <c r="G45" s="105">
        <v>1</v>
      </c>
      <c r="H45" s="117" t="s">
        <v>387</v>
      </c>
      <c r="I45" s="117" t="s">
        <v>388</v>
      </c>
      <c r="J45" s="238">
        <v>0</v>
      </c>
      <c r="K45" s="126" t="s">
        <v>12</v>
      </c>
      <c r="L45" s="238">
        <v>0</v>
      </c>
      <c r="M45" s="126">
        <v>-1</v>
      </c>
      <c r="N45" s="126">
        <v>0</v>
      </c>
      <c r="O45" s="238">
        <v>0</v>
      </c>
      <c r="P45" s="126">
        <v>0</v>
      </c>
      <c r="Q45" s="136">
        <f>Q53</f>
        <v>2000000</v>
      </c>
      <c r="R45" s="81">
        <v>0</v>
      </c>
      <c r="S45" s="81">
        <v>0</v>
      </c>
      <c r="T45" s="81">
        <v>0</v>
      </c>
      <c r="U45" s="154">
        <v>0</v>
      </c>
      <c r="V45" s="78">
        <v>1</v>
      </c>
      <c r="W45" s="78">
        <v>1</v>
      </c>
      <c r="X45" s="78">
        <v>1</v>
      </c>
      <c r="Y45" s="136">
        <v>1</v>
      </c>
      <c r="Z45" s="78">
        <v>0</v>
      </c>
      <c r="AA45" s="78">
        <v>0</v>
      </c>
      <c r="AB45" s="78">
        <v>0</v>
      </c>
      <c r="AC45" s="136">
        <v>0</v>
      </c>
      <c r="AD45" s="80">
        <v>0</v>
      </c>
      <c r="AE45" s="80">
        <v>0</v>
      </c>
      <c r="AF45" s="80">
        <v>0</v>
      </c>
      <c r="AG45" s="145">
        <v>0</v>
      </c>
      <c r="AH45" s="80">
        <v>1</v>
      </c>
      <c r="AI45" s="80">
        <v>1</v>
      </c>
      <c r="AJ45" s="80">
        <v>1</v>
      </c>
      <c r="AK45" s="145">
        <v>1</v>
      </c>
      <c r="AL45" s="80">
        <v>1</v>
      </c>
      <c r="AM45" s="80">
        <v>1</v>
      </c>
      <c r="AN45" s="80">
        <v>1</v>
      </c>
      <c r="AO45" s="145">
        <v>1</v>
      </c>
      <c r="AP45" s="81">
        <v>0</v>
      </c>
      <c r="AQ45" s="81">
        <v>0</v>
      </c>
      <c r="AR45" s="81">
        <v>0</v>
      </c>
      <c r="AS45" s="154">
        <v>0</v>
      </c>
      <c r="AT45" s="81">
        <v>0</v>
      </c>
      <c r="AU45" s="81">
        <v>0</v>
      </c>
      <c r="AV45" s="81">
        <v>0</v>
      </c>
      <c r="AW45" s="154">
        <v>0</v>
      </c>
      <c r="AX45" s="81">
        <v>0</v>
      </c>
      <c r="AY45" s="81">
        <v>0</v>
      </c>
      <c r="AZ45" s="81">
        <v>0</v>
      </c>
      <c r="BA45" s="154">
        <v>0</v>
      </c>
      <c r="BB45" s="81">
        <v>0</v>
      </c>
      <c r="BC45" s="81">
        <v>0</v>
      </c>
      <c r="BD45" s="81">
        <v>0</v>
      </c>
      <c r="BE45" s="154">
        <v>0</v>
      </c>
      <c r="BF45" s="239">
        <v>0.02</v>
      </c>
      <c r="BG45" s="239">
        <v>0.02</v>
      </c>
      <c r="BH45" s="81">
        <v>0.02</v>
      </c>
      <c r="BI45" s="240">
        <v>0.02</v>
      </c>
      <c r="BJ45" s="81">
        <v>0</v>
      </c>
      <c r="BK45" s="81">
        <v>0</v>
      </c>
      <c r="BL45" s="81">
        <v>0</v>
      </c>
      <c r="BM45" s="154">
        <v>0</v>
      </c>
      <c r="BN45" s="81">
        <v>0</v>
      </c>
      <c r="BO45" s="81">
        <v>0</v>
      </c>
      <c r="BP45" s="81">
        <v>0</v>
      </c>
      <c r="BQ45" s="154">
        <v>0</v>
      </c>
      <c r="BR45" s="81">
        <v>0</v>
      </c>
      <c r="BS45" s="81">
        <v>0</v>
      </c>
      <c r="BT45" s="81">
        <v>0</v>
      </c>
      <c r="BU45" s="154">
        <v>0</v>
      </c>
      <c r="BV45" s="79">
        <v>0</v>
      </c>
      <c r="BW45" s="79">
        <v>0</v>
      </c>
      <c r="BX45" s="79">
        <v>0</v>
      </c>
      <c r="BY45" s="163">
        <v>0</v>
      </c>
      <c r="BZ45" s="80">
        <v>0.08</v>
      </c>
      <c r="CA45" s="80">
        <v>0.08</v>
      </c>
      <c r="CB45" s="80">
        <v>0.08</v>
      </c>
      <c r="CC45" s="80">
        <v>0.08</v>
      </c>
    </row>
    <row r="46" spans="1:81" s="78" customFormat="1" x14ac:dyDescent="0.35">
      <c r="A46" s="417"/>
      <c r="B46" s="78" t="s">
        <v>180</v>
      </c>
      <c r="C46" s="82" t="s">
        <v>282</v>
      </c>
      <c r="D46" s="77" t="s">
        <v>277</v>
      </c>
      <c r="E46" s="396" t="s">
        <v>86</v>
      </c>
      <c r="F46" s="6">
        <f t="shared" si="58"/>
        <v>41</v>
      </c>
      <c r="G46" s="105">
        <v>1</v>
      </c>
      <c r="H46" s="117" t="s">
        <v>387</v>
      </c>
      <c r="I46" s="117" t="s">
        <v>388</v>
      </c>
      <c r="J46" s="238">
        <v>0</v>
      </c>
      <c r="K46" s="126" t="s">
        <v>12</v>
      </c>
      <c r="L46" s="238">
        <v>0</v>
      </c>
      <c r="M46" s="238">
        <v>0</v>
      </c>
      <c r="N46" s="238">
        <v>-1</v>
      </c>
      <c r="O46" s="238">
        <v>0</v>
      </c>
      <c r="P46" s="238">
        <v>0</v>
      </c>
      <c r="Q46" s="136">
        <f>Q54</f>
        <v>2000000</v>
      </c>
      <c r="R46" s="81">
        <v>0</v>
      </c>
      <c r="S46" s="81">
        <v>0</v>
      </c>
      <c r="T46" s="81">
        <v>0</v>
      </c>
      <c r="U46" s="154">
        <v>0</v>
      </c>
      <c r="V46" s="81">
        <v>0</v>
      </c>
      <c r="W46" s="81">
        <v>0</v>
      </c>
      <c r="X46" s="81">
        <v>0</v>
      </c>
      <c r="Y46" s="154">
        <v>0</v>
      </c>
      <c r="Z46" s="81">
        <v>1</v>
      </c>
      <c r="AA46" s="81">
        <v>1</v>
      </c>
      <c r="AB46" s="81">
        <v>1</v>
      </c>
      <c r="AC46" s="154">
        <v>1</v>
      </c>
      <c r="AD46" s="80">
        <v>0</v>
      </c>
      <c r="AE46" s="80">
        <v>0</v>
      </c>
      <c r="AF46" s="80">
        <v>0</v>
      </c>
      <c r="AG46" s="145">
        <v>0</v>
      </c>
      <c r="AH46" s="80">
        <v>1</v>
      </c>
      <c r="AI46" s="80">
        <v>1</v>
      </c>
      <c r="AJ46" s="80">
        <v>1</v>
      </c>
      <c r="AK46" s="145">
        <v>1</v>
      </c>
      <c r="AL46" s="80">
        <v>1</v>
      </c>
      <c r="AM46" s="80">
        <v>1</v>
      </c>
      <c r="AN46" s="80">
        <v>1</v>
      </c>
      <c r="AO46" s="145">
        <v>1</v>
      </c>
      <c r="AP46" s="81">
        <v>0</v>
      </c>
      <c r="AQ46" s="81">
        <v>0</v>
      </c>
      <c r="AR46" s="81">
        <v>0</v>
      </c>
      <c r="AS46" s="154">
        <v>0</v>
      </c>
      <c r="AT46" s="81">
        <v>0</v>
      </c>
      <c r="AU46" s="81">
        <v>0</v>
      </c>
      <c r="AV46" s="81">
        <v>0</v>
      </c>
      <c r="AW46" s="154">
        <v>0</v>
      </c>
      <c r="AX46" s="81">
        <v>0</v>
      </c>
      <c r="AY46" s="81">
        <v>0</v>
      </c>
      <c r="AZ46" s="81">
        <v>0</v>
      </c>
      <c r="BA46" s="154">
        <v>0</v>
      </c>
      <c r="BB46" s="81">
        <v>0</v>
      </c>
      <c r="BC46" s="81">
        <v>0</v>
      </c>
      <c r="BD46" s="81">
        <v>0</v>
      </c>
      <c r="BE46" s="154">
        <v>0</v>
      </c>
      <c r="BF46" s="239">
        <v>3.3500000000000002E-2</v>
      </c>
      <c r="BG46" s="239">
        <v>3.3500000000000002E-2</v>
      </c>
      <c r="BH46" s="239">
        <v>3.3500000000000002E-2</v>
      </c>
      <c r="BI46" s="240">
        <v>3.3500000000000002E-2</v>
      </c>
      <c r="BJ46" s="81">
        <v>0</v>
      </c>
      <c r="BK46" s="81">
        <v>0</v>
      </c>
      <c r="BL46" s="81">
        <v>0</v>
      </c>
      <c r="BM46" s="154">
        <v>0</v>
      </c>
      <c r="BN46" s="81">
        <v>0</v>
      </c>
      <c r="BO46" s="81">
        <v>0</v>
      </c>
      <c r="BP46" s="81">
        <v>0</v>
      </c>
      <c r="BQ46" s="154">
        <v>0</v>
      </c>
      <c r="BR46" s="81">
        <v>0</v>
      </c>
      <c r="BS46" s="81">
        <v>0</v>
      </c>
      <c r="BT46" s="81">
        <v>0</v>
      </c>
      <c r="BU46" s="154">
        <v>0</v>
      </c>
      <c r="BV46" s="79">
        <v>0</v>
      </c>
      <c r="BW46" s="79">
        <v>0</v>
      </c>
      <c r="BX46" s="79">
        <v>0</v>
      </c>
      <c r="BY46" s="163">
        <v>0</v>
      </c>
      <c r="BZ46" s="80">
        <v>0.08</v>
      </c>
      <c r="CA46" s="80">
        <v>0.08</v>
      </c>
      <c r="CB46" s="80">
        <v>0.08</v>
      </c>
      <c r="CC46" s="80">
        <v>0.08</v>
      </c>
    </row>
    <row r="47" spans="1:81" s="87" customFormat="1" x14ac:dyDescent="0.35">
      <c r="A47" s="417"/>
      <c r="B47" s="83" t="s">
        <v>14</v>
      </c>
      <c r="C47" s="241" t="s">
        <v>180</v>
      </c>
      <c r="D47" s="85" t="s">
        <v>29</v>
      </c>
      <c r="E47" s="400" t="s">
        <v>86</v>
      </c>
      <c r="F47" s="6">
        <f t="shared" si="58"/>
        <v>42</v>
      </c>
      <c r="G47" s="106">
        <v>1</v>
      </c>
      <c r="H47" s="118" t="s">
        <v>383</v>
      </c>
      <c r="I47" s="118" t="s">
        <v>384</v>
      </c>
      <c r="J47" s="129">
        <v>0</v>
      </c>
      <c r="K47" s="129" t="s">
        <v>12</v>
      </c>
      <c r="L47" s="129">
        <v>0</v>
      </c>
      <c r="M47" s="129">
        <v>0</v>
      </c>
      <c r="N47" s="243">
        <v>0</v>
      </c>
      <c r="O47" s="243">
        <v>-1</v>
      </c>
      <c r="P47" s="129">
        <v>0</v>
      </c>
      <c r="Q47" s="141">
        <v>20000</v>
      </c>
      <c r="R47" s="87">
        <v>0</v>
      </c>
      <c r="S47" s="87">
        <v>0</v>
      </c>
      <c r="T47" s="87">
        <v>0</v>
      </c>
      <c r="U47" s="141">
        <v>0</v>
      </c>
      <c r="V47" s="87">
        <v>0</v>
      </c>
      <c r="W47" s="87">
        <v>0</v>
      </c>
      <c r="X47" s="87">
        <v>0</v>
      </c>
      <c r="Y47" s="141">
        <v>0</v>
      </c>
      <c r="Z47" s="87">
        <v>0</v>
      </c>
      <c r="AA47" s="87">
        <v>0</v>
      </c>
      <c r="AB47" s="87">
        <v>0</v>
      </c>
      <c r="AC47" s="141">
        <v>0</v>
      </c>
      <c r="AD47" s="89">
        <v>0</v>
      </c>
      <c r="AE47" s="89">
        <v>0</v>
      </c>
      <c r="AF47" s="89">
        <v>0</v>
      </c>
      <c r="AG47" s="146">
        <v>0</v>
      </c>
      <c r="AH47" s="89">
        <v>1</v>
      </c>
      <c r="AI47" s="89">
        <v>1</v>
      </c>
      <c r="AJ47" s="89">
        <v>1</v>
      </c>
      <c r="AK47" s="146">
        <v>1</v>
      </c>
      <c r="AL47" s="89">
        <v>1</v>
      </c>
      <c r="AM47" s="89">
        <v>1</v>
      </c>
      <c r="AN47" s="89">
        <v>1</v>
      </c>
      <c r="AO47" s="146">
        <v>1</v>
      </c>
      <c r="AP47" s="87">
        <v>3.5</v>
      </c>
      <c r="AQ47" s="87">
        <v>3.5</v>
      </c>
      <c r="AR47" s="87">
        <v>3.5</v>
      </c>
      <c r="AS47" s="141">
        <v>3.5</v>
      </c>
      <c r="AT47" s="87">
        <v>0</v>
      </c>
      <c r="AU47" s="87">
        <v>0</v>
      </c>
      <c r="AV47" s="87">
        <v>0</v>
      </c>
      <c r="AW47" s="141">
        <v>0</v>
      </c>
      <c r="AX47" s="87">
        <v>0</v>
      </c>
      <c r="AY47" s="87">
        <v>0</v>
      </c>
      <c r="AZ47" s="87">
        <v>0</v>
      </c>
      <c r="BA47" s="141">
        <v>0</v>
      </c>
      <c r="BB47" s="87">
        <v>0</v>
      </c>
      <c r="BC47" s="87">
        <v>0</v>
      </c>
      <c r="BD47" s="87">
        <v>0</v>
      </c>
      <c r="BE47" s="141">
        <v>0</v>
      </c>
      <c r="BF47" s="87">
        <v>0</v>
      </c>
      <c r="BG47" s="87">
        <v>0</v>
      </c>
      <c r="BH47" s="87">
        <v>0</v>
      </c>
      <c r="BI47" s="141">
        <v>0</v>
      </c>
      <c r="BJ47" s="87">
        <v>0</v>
      </c>
      <c r="BK47" s="87">
        <v>0</v>
      </c>
      <c r="BL47" s="87">
        <v>0</v>
      </c>
      <c r="BM47" s="141">
        <v>0</v>
      </c>
      <c r="BN47" s="87">
        <v>0</v>
      </c>
      <c r="BO47" s="87">
        <v>0</v>
      </c>
      <c r="BP47" s="87">
        <v>0</v>
      </c>
      <c r="BQ47" s="141">
        <v>0</v>
      </c>
      <c r="BR47" s="87">
        <v>0</v>
      </c>
      <c r="BS47" s="87">
        <v>0</v>
      </c>
      <c r="BT47" s="87">
        <v>0</v>
      </c>
      <c r="BU47" s="141">
        <v>0</v>
      </c>
      <c r="BV47" s="86">
        <v>0</v>
      </c>
      <c r="BW47" s="86">
        <v>0</v>
      </c>
      <c r="BX47" s="86">
        <v>0</v>
      </c>
      <c r="BY47" s="164">
        <v>0</v>
      </c>
      <c r="BZ47" s="89">
        <v>0.08</v>
      </c>
      <c r="CA47" s="89">
        <v>0.08</v>
      </c>
      <c r="CB47" s="89">
        <v>0.08</v>
      </c>
      <c r="CC47" s="89">
        <v>0.08</v>
      </c>
    </row>
    <row r="48" spans="1:81" s="87" customFormat="1" x14ac:dyDescent="0.35">
      <c r="A48" s="417"/>
      <c r="B48" s="83" t="s">
        <v>15</v>
      </c>
      <c r="C48" s="241" t="s">
        <v>180</v>
      </c>
      <c r="D48" s="85" t="s">
        <v>30</v>
      </c>
      <c r="E48" s="400" t="s">
        <v>86</v>
      </c>
      <c r="F48" s="6">
        <f t="shared" si="58"/>
        <v>43</v>
      </c>
      <c r="G48" s="106">
        <v>1</v>
      </c>
      <c r="H48" s="118" t="s">
        <v>383</v>
      </c>
      <c r="I48" s="118" t="s">
        <v>384</v>
      </c>
      <c r="J48" s="129">
        <v>0</v>
      </c>
      <c r="K48" s="129" t="s">
        <v>12</v>
      </c>
      <c r="L48" s="129">
        <v>0</v>
      </c>
      <c r="M48" s="129">
        <v>0</v>
      </c>
      <c r="N48" s="243">
        <v>0</v>
      </c>
      <c r="O48" s="129">
        <v>1</v>
      </c>
      <c r="P48" s="129">
        <v>0</v>
      </c>
      <c r="Q48" s="141">
        <f>Q47</f>
        <v>20000</v>
      </c>
      <c r="R48" s="244">
        <v>0</v>
      </c>
      <c r="S48" s="244">
        <v>0</v>
      </c>
      <c r="T48" s="244">
        <v>0</v>
      </c>
      <c r="U48" s="242">
        <v>0</v>
      </c>
      <c r="V48" s="87">
        <v>0</v>
      </c>
      <c r="W48" s="87">
        <v>0</v>
      </c>
      <c r="X48" s="87">
        <v>0</v>
      </c>
      <c r="Y48" s="141">
        <v>0</v>
      </c>
      <c r="Z48" s="87">
        <v>0</v>
      </c>
      <c r="AA48" s="87">
        <v>0</v>
      </c>
      <c r="AB48" s="87">
        <v>0</v>
      </c>
      <c r="AC48" s="141">
        <v>0</v>
      </c>
      <c r="AD48" s="89">
        <v>0</v>
      </c>
      <c r="AE48" s="89">
        <v>0</v>
      </c>
      <c r="AF48" s="89">
        <v>0</v>
      </c>
      <c r="AG48" s="146">
        <v>0</v>
      </c>
      <c r="AH48" s="89">
        <v>1</v>
      </c>
      <c r="AI48" s="89">
        <v>1</v>
      </c>
      <c r="AJ48" s="89">
        <v>1</v>
      </c>
      <c r="AK48" s="146">
        <v>1</v>
      </c>
      <c r="AL48" s="89">
        <v>1</v>
      </c>
      <c r="AM48" s="89">
        <v>1</v>
      </c>
      <c r="AN48" s="89">
        <v>1</v>
      </c>
      <c r="AO48" s="146">
        <v>1</v>
      </c>
      <c r="AP48" s="87">
        <v>0</v>
      </c>
      <c r="AQ48" s="87">
        <v>0</v>
      </c>
      <c r="AR48" s="87">
        <v>0</v>
      </c>
      <c r="AS48" s="141">
        <v>0</v>
      </c>
      <c r="AT48" s="87">
        <v>0</v>
      </c>
      <c r="AU48" s="87">
        <v>0</v>
      </c>
      <c r="AV48" s="87">
        <v>0</v>
      </c>
      <c r="AW48" s="141">
        <v>0</v>
      </c>
      <c r="AX48" s="87">
        <v>0</v>
      </c>
      <c r="AY48" s="87">
        <v>0</v>
      </c>
      <c r="AZ48" s="87">
        <v>0</v>
      </c>
      <c r="BA48" s="141">
        <v>0</v>
      </c>
      <c r="BB48" s="87">
        <v>0</v>
      </c>
      <c r="BC48" s="87">
        <v>0</v>
      </c>
      <c r="BD48" s="87">
        <v>0</v>
      </c>
      <c r="BE48" s="141">
        <v>0</v>
      </c>
      <c r="BF48" s="87">
        <v>0</v>
      </c>
      <c r="BG48" s="87">
        <v>0</v>
      </c>
      <c r="BH48" s="87">
        <v>0</v>
      </c>
      <c r="BI48" s="141">
        <v>0</v>
      </c>
      <c r="BJ48" s="87">
        <v>0</v>
      </c>
      <c r="BK48" s="87">
        <v>0</v>
      </c>
      <c r="BL48" s="87">
        <v>0</v>
      </c>
      <c r="BM48" s="141">
        <v>0</v>
      </c>
      <c r="BN48" s="87">
        <v>0</v>
      </c>
      <c r="BO48" s="87">
        <v>0</v>
      </c>
      <c r="BP48" s="87">
        <v>0</v>
      </c>
      <c r="BQ48" s="141">
        <v>0</v>
      </c>
      <c r="BR48" s="87">
        <v>0</v>
      </c>
      <c r="BS48" s="87">
        <v>0</v>
      </c>
      <c r="BT48" s="87">
        <v>0</v>
      </c>
      <c r="BU48" s="141">
        <v>0</v>
      </c>
      <c r="BV48" s="86">
        <v>0</v>
      </c>
      <c r="BW48" s="86">
        <v>0</v>
      </c>
      <c r="BX48" s="86">
        <v>0</v>
      </c>
      <c r="BY48" s="164">
        <v>0</v>
      </c>
      <c r="BZ48" s="89">
        <v>0.08</v>
      </c>
      <c r="CA48" s="89">
        <v>0.08</v>
      </c>
      <c r="CB48" s="89">
        <v>0.08</v>
      </c>
      <c r="CC48" s="89">
        <v>0.08</v>
      </c>
    </row>
    <row r="49" spans="1:81" s="87" customFormat="1" x14ac:dyDescent="0.35">
      <c r="A49" s="417"/>
      <c r="B49" s="83" t="s">
        <v>16</v>
      </c>
      <c r="C49" s="241" t="s">
        <v>180</v>
      </c>
      <c r="D49" s="245" t="s">
        <v>31</v>
      </c>
      <c r="E49" s="400" t="s">
        <v>86</v>
      </c>
      <c r="F49" s="6">
        <f t="shared" si="58"/>
        <v>44</v>
      </c>
      <c r="G49" s="106">
        <v>1</v>
      </c>
      <c r="H49" s="118" t="s">
        <v>384</v>
      </c>
      <c r="I49" s="118" t="s">
        <v>384</v>
      </c>
      <c r="J49" s="129">
        <v>0</v>
      </c>
      <c r="K49" s="129" t="s">
        <v>12</v>
      </c>
      <c r="L49" s="129">
        <v>0</v>
      </c>
      <c r="M49" s="129">
        <v>0</v>
      </c>
      <c r="N49" s="243">
        <v>0</v>
      </c>
      <c r="O49" s="129">
        <v>0</v>
      </c>
      <c r="P49" s="129">
        <v>0</v>
      </c>
      <c r="Q49" s="141">
        <v>20000000</v>
      </c>
      <c r="R49" s="244">
        <v>0</v>
      </c>
      <c r="S49" s="244">
        <v>0</v>
      </c>
      <c r="T49" s="244">
        <v>0</v>
      </c>
      <c r="U49" s="242">
        <v>0</v>
      </c>
      <c r="V49" s="87">
        <v>0</v>
      </c>
      <c r="W49" s="87">
        <v>0</v>
      </c>
      <c r="X49" s="87">
        <v>0</v>
      </c>
      <c r="Y49" s="141">
        <v>0</v>
      </c>
      <c r="Z49" s="87">
        <v>0</v>
      </c>
      <c r="AA49" s="87">
        <v>0</v>
      </c>
      <c r="AB49" s="87">
        <v>0</v>
      </c>
      <c r="AC49" s="141">
        <v>0</v>
      </c>
      <c r="AD49" s="89">
        <v>0.03</v>
      </c>
      <c r="AE49" s="89">
        <v>0.03</v>
      </c>
      <c r="AF49" s="89">
        <v>0.03</v>
      </c>
      <c r="AG49" s="146">
        <v>0.03</v>
      </c>
      <c r="AH49" s="89">
        <v>1</v>
      </c>
      <c r="AI49" s="89">
        <v>1</v>
      </c>
      <c r="AJ49" s="89">
        <v>1</v>
      </c>
      <c r="AK49" s="146">
        <v>1</v>
      </c>
      <c r="AL49" s="89">
        <v>1</v>
      </c>
      <c r="AM49" s="89">
        <v>1</v>
      </c>
      <c r="AN49" s="89">
        <v>1</v>
      </c>
      <c r="AO49" s="146">
        <v>1</v>
      </c>
      <c r="AP49" s="87">
        <v>0</v>
      </c>
      <c r="AQ49" s="87">
        <v>0</v>
      </c>
      <c r="AR49" s="87">
        <v>0</v>
      </c>
      <c r="AS49" s="141">
        <v>0</v>
      </c>
      <c r="AT49" s="87">
        <v>900</v>
      </c>
      <c r="AU49" s="87">
        <v>800</v>
      </c>
      <c r="AV49" s="87">
        <f>(AW49+AU49)/2</f>
        <v>650</v>
      </c>
      <c r="AW49" s="141">
        <v>500</v>
      </c>
      <c r="AX49" s="87">
        <f>AT49*0.03</f>
        <v>27</v>
      </c>
      <c r="AY49" s="87">
        <f>AU49*0.03</f>
        <v>24</v>
      </c>
      <c r="AZ49" s="87">
        <f>AV49*0.03</f>
        <v>19.5</v>
      </c>
      <c r="BA49" s="141">
        <f>AW49*0.03</f>
        <v>15</v>
      </c>
      <c r="BB49" s="87">
        <v>0</v>
      </c>
      <c r="BC49" s="87">
        <v>0</v>
      </c>
      <c r="BD49" s="87">
        <v>0</v>
      </c>
      <c r="BE49" s="141">
        <v>0</v>
      </c>
      <c r="BF49" s="87">
        <v>0</v>
      </c>
      <c r="BG49" s="87">
        <v>0</v>
      </c>
      <c r="BH49" s="87">
        <v>0</v>
      </c>
      <c r="BI49" s="141">
        <v>0</v>
      </c>
      <c r="BJ49" s="87">
        <v>6.2260740740740748E-3</v>
      </c>
      <c r="BK49" s="87">
        <v>0</v>
      </c>
      <c r="BL49" s="87">
        <v>0</v>
      </c>
      <c r="BM49" s="141">
        <v>0</v>
      </c>
      <c r="BN49" s="87">
        <v>0</v>
      </c>
      <c r="BO49" s="87">
        <v>0</v>
      </c>
      <c r="BP49" s="87">
        <v>0</v>
      </c>
      <c r="BQ49" s="141">
        <v>0</v>
      </c>
      <c r="BR49" s="87">
        <f>IF(BV49&lt;&gt;0,(BZ49*(1+BZ49)^BV49)/((1+BZ49)^BV49-1),0)</f>
        <v>0.14902948869707539</v>
      </c>
      <c r="BS49" s="87">
        <f t="shared" ref="BS49:BU53" si="90">IF(BW49&lt;&gt;0,(CA49*(1+CA49)^BW49)/((1+CA49)^BW49-1),0)</f>
        <v>0.14902948869707539</v>
      </c>
      <c r="BT49" s="87">
        <f t="shared" si="90"/>
        <v>0.14902948869707539</v>
      </c>
      <c r="BU49" s="141">
        <f t="shared" si="90"/>
        <v>0.14902948869707539</v>
      </c>
      <c r="BV49" s="86">
        <v>10</v>
      </c>
      <c r="BW49" s="86">
        <v>10</v>
      </c>
      <c r="BX49" s="86">
        <v>10</v>
      </c>
      <c r="BY49" s="164">
        <v>10</v>
      </c>
      <c r="BZ49" s="89">
        <v>0.08</v>
      </c>
      <c r="CA49" s="89">
        <v>0.08</v>
      </c>
      <c r="CB49" s="89">
        <v>0.08</v>
      </c>
      <c r="CC49" s="89">
        <v>0.08</v>
      </c>
    </row>
    <row r="50" spans="1:81" s="47" customFormat="1" x14ac:dyDescent="0.35">
      <c r="A50" s="417"/>
      <c r="B50" s="43" t="s">
        <v>14</v>
      </c>
      <c r="C50" s="246" t="s">
        <v>180</v>
      </c>
      <c r="D50" s="247" t="s">
        <v>111</v>
      </c>
      <c r="E50" s="398" t="s">
        <v>86</v>
      </c>
      <c r="F50" s="6">
        <f t="shared" si="58"/>
        <v>45</v>
      </c>
      <c r="G50" s="103">
        <v>1</v>
      </c>
      <c r="H50" s="115" t="s">
        <v>383</v>
      </c>
      <c r="I50" s="115" t="s">
        <v>384</v>
      </c>
      <c r="J50" s="128">
        <v>0</v>
      </c>
      <c r="K50" s="128" t="s">
        <v>12</v>
      </c>
      <c r="L50" s="128">
        <v>0</v>
      </c>
      <c r="M50" s="128">
        <v>0</v>
      </c>
      <c r="N50" s="324">
        <v>0</v>
      </c>
      <c r="O50" s="128">
        <v>-1</v>
      </c>
      <c r="P50" s="128">
        <v>0</v>
      </c>
      <c r="Q50" s="157">
        <v>20000</v>
      </c>
      <c r="R50" s="53">
        <v>0</v>
      </c>
      <c r="S50" s="53">
        <v>0</v>
      </c>
      <c r="T50" s="53">
        <v>0</v>
      </c>
      <c r="U50" s="150">
        <v>0</v>
      </c>
      <c r="V50" s="47">
        <v>0</v>
      </c>
      <c r="W50" s="47">
        <v>0</v>
      </c>
      <c r="X50" s="47">
        <v>0</v>
      </c>
      <c r="Y50" s="157">
        <v>0</v>
      </c>
      <c r="Z50" s="47">
        <v>0</v>
      </c>
      <c r="AA50" s="47">
        <v>0</v>
      </c>
      <c r="AB50" s="47">
        <v>0</v>
      </c>
      <c r="AC50" s="157">
        <v>0</v>
      </c>
      <c r="AD50" s="50">
        <v>0</v>
      </c>
      <c r="AE50" s="50">
        <v>0</v>
      </c>
      <c r="AF50" s="50">
        <v>0</v>
      </c>
      <c r="AG50" s="143">
        <v>0</v>
      </c>
      <c r="AH50" s="50">
        <v>1</v>
      </c>
      <c r="AI50" s="50">
        <v>1</v>
      </c>
      <c r="AJ50" s="50">
        <v>1</v>
      </c>
      <c r="AK50" s="143">
        <v>1</v>
      </c>
      <c r="AL50" s="50">
        <v>1</v>
      </c>
      <c r="AM50" s="50">
        <v>1</v>
      </c>
      <c r="AN50" s="50">
        <v>1</v>
      </c>
      <c r="AO50" s="143">
        <v>1</v>
      </c>
      <c r="AP50" s="47">
        <v>0.94</v>
      </c>
      <c r="AQ50" s="47">
        <v>0.94</v>
      </c>
      <c r="AR50" s="47">
        <v>0.94</v>
      </c>
      <c r="AS50" s="157">
        <v>0.94</v>
      </c>
      <c r="AT50" s="47">
        <v>0</v>
      </c>
      <c r="AU50" s="47">
        <v>0</v>
      </c>
      <c r="AV50" s="47">
        <v>0</v>
      </c>
      <c r="AW50" s="157">
        <v>0</v>
      </c>
      <c r="AX50" s="47">
        <v>0</v>
      </c>
      <c r="AY50" s="47">
        <v>0</v>
      </c>
      <c r="AZ50" s="47">
        <v>0</v>
      </c>
      <c r="BA50" s="157">
        <v>0</v>
      </c>
      <c r="BB50" s="47">
        <v>0</v>
      </c>
      <c r="BC50" s="47">
        <v>0</v>
      </c>
      <c r="BD50" s="47">
        <v>0</v>
      </c>
      <c r="BE50" s="157">
        <v>0</v>
      </c>
      <c r="BF50" s="47">
        <v>0</v>
      </c>
      <c r="BG50" s="47">
        <v>0</v>
      </c>
      <c r="BH50" s="47">
        <v>0</v>
      </c>
      <c r="BI50" s="157">
        <v>0</v>
      </c>
      <c r="BJ50" s="47">
        <v>0</v>
      </c>
      <c r="BK50" s="47">
        <v>0</v>
      </c>
      <c r="BL50" s="47">
        <v>0</v>
      </c>
      <c r="BM50" s="157">
        <v>0</v>
      </c>
      <c r="BN50" s="47">
        <v>0</v>
      </c>
      <c r="BO50" s="47">
        <v>0</v>
      </c>
      <c r="BP50" s="47">
        <v>0</v>
      </c>
      <c r="BQ50" s="157">
        <v>0</v>
      </c>
      <c r="BR50" s="47">
        <f t="shared" ref="BR50:BR53" si="91">IF(BV50&lt;&gt;0,(BZ50*(1+BZ50)^BV50)/((1+BZ50)^BV50-1),0)</f>
        <v>0</v>
      </c>
      <c r="BS50" s="47">
        <f t="shared" si="90"/>
        <v>0</v>
      </c>
      <c r="BT50" s="47">
        <f t="shared" si="90"/>
        <v>0</v>
      </c>
      <c r="BU50" s="157">
        <f t="shared" si="90"/>
        <v>0</v>
      </c>
      <c r="BV50" s="46">
        <v>0</v>
      </c>
      <c r="BW50" s="46">
        <v>0</v>
      </c>
      <c r="BX50" s="46">
        <v>0</v>
      </c>
      <c r="BY50" s="168">
        <v>0</v>
      </c>
      <c r="BZ50" s="50">
        <v>0.08</v>
      </c>
      <c r="CA50" s="50">
        <v>0.08</v>
      </c>
      <c r="CB50" s="50">
        <v>0.08</v>
      </c>
      <c r="CC50" s="50">
        <v>0.08</v>
      </c>
    </row>
    <row r="51" spans="1:81" s="47" customFormat="1" x14ac:dyDescent="0.35">
      <c r="A51" s="417"/>
      <c r="B51" s="43" t="s">
        <v>15</v>
      </c>
      <c r="C51" s="246" t="s">
        <v>180</v>
      </c>
      <c r="D51" s="247" t="s">
        <v>112</v>
      </c>
      <c r="E51" s="398" t="s">
        <v>86</v>
      </c>
      <c r="F51" s="6">
        <f t="shared" si="58"/>
        <v>46</v>
      </c>
      <c r="G51" s="103">
        <v>1</v>
      </c>
      <c r="H51" s="115" t="s">
        <v>383</v>
      </c>
      <c r="I51" s="115" t="s">
        <v>384</v>
      </c>
      <c r="J51" s="128">
        <v>0</v>
      </c>
      <c r="K51" s="128" t="s">
        <v>12</v>
      </c>
      <c r="L51" s="128">
        <v>0</v>
      </c>
      <c r="M51" s="128">
        <v>0</v>
      </c>
      <c r="N51" s="324">
        <v>0</v>
      </c>
      <c r="O51" s="128">
        <v>1</v>
      </c>
      <c r="P51" s="128">
        <v>0</v>
      </c>
      <c r="Q51" s="157">
        <f>Q47</f>
        <v>20000</v>
      </c>
      <c r="R51" s="53">
        <v>0</v>
      </c>
      <c r="S51" s="53">
        <v>0</v>
      </c>
      <c r="T51" s="53">
        <v>0</v>
      </c>
      <c r="U51" s="150">
        <v>0</v>
      </c>
      <c r="V51" s="47">
        <v>0</v>
      </c>
      <c r="W51" s="47">
        <v>0</v>
      </c>
      <c r="X51" s="47">
        <v>0</v>
      </c>
      <c r="Y51" s="157">
        <v>0</v>
      </c>
      <c r="Z51" s="47">
        <v>0</v>
      </c>
      <c r="AA51" s="47">
        <v>0</v>
      </c>
      <c r="AB51" s="47">
        <v>0</v>
      </c>
      <c r="AC51" s="157">
        <v>0</v>
      </c>
      <c r="AD51" s="50">
        <v>0</v>
      </c>
      <c r="AE51" s="50">
        <v>0</v>
      </c>
      <c r="AF51" s="50">
        <v>0</v>
      </c>
      <c r="AG51" s="143">
        <v>0</v>
      </c>
      <c r="AH51" s="50">
        <v>1</v>
      </c>
      <c r="AI51" s="50">
        <v>1</v>
      </c>
      <c r="AJ51" s="50">
        <v>1</v>
      </c>
      <c r="AK51" s="143">
        <v>1</v>
      </c>
      <c r="AL51" s="50">
        <v>1</v>
      </c>
      <c r="AM51" s="50">
        <v>1</v>
      </c>
      <c r="AN51" s="50">
        <v>1</v>
      </c>
      <c r="AO51" s="143">
        <v>1</v>
      </c>
      <c r="AP51" s="47">
        <v>0</v>
      </c>
      <c r="AQ51" s="47">
        <v>0</v>
      </c>
      <c r="AR51" s="47">
        <v>0</v>
      </c>
      <c r="AS51" s="157">
        <v>0</v>
      </c>
      <c r="AT51" s="47">
        <v>0</v>
      </c>
      <c r="AU51" s="47">
        <v>0</v>
      </c>
      <c r="AV51" s="47">
        <v>0</v>
      </c>
      <c r="AW51" s="157">
        <v>0</v>
      </c>
      <c r="AX51" s="47">
        <v>0</v>
      </c>
      <c r="AY51" s="47">
        <v>0</v>
      </c>
      <c r="AZ51" s="47">
        <v>0</v>
      </c>
      <c r="BA51" s="157">
        <v>0</v>
      </c>
      <c r="BB51" s="47">
        <v>0</v>
      </c>
      <c r="BC51" s="47">
        <v>0</v>
      </c>
      <c r="BD51" s="47">
        <v>0</v>
      </c>
      <c r="BE51" s="157">
        <v>0</v>
      </c>
      <c r="BF51" s="47">
        <v>0</v>
      </c>
      <c r="BG51" s="47">
        <v>0</v>
      </c>
      <c r="BH51" s="47">
        <v>0</v>
      </c>
      <c r="BI51" s="157">
        <v>0</v>
      </c>
      <c r="BJ51" s="47">
        <v>0</v>
      </c>
      <c r="BK51" s="47">
        <v>0</v>
      </c>
      <c r="BL51" s="47">
        <v>0</v>
      </c>
      <c r="BM51" s="157">
        <v>0</v>
      </c>
      <c r="BN51" s="47">
        <v>0</v>
      </c>
      <c r="BO51" s="47">
        <v>0</v>
      </c>
      <c r="BP51" s="47">
        <v>0</v>
      </c>
      <c r="BQ51" s="157">
        <v>0</v>
      </c>
      <c r="BR51" s="47">
        <f t="shared" si="91"/>
        <v>0</v>
      </c>
      <c r="BS51" s="47">
        <f t="shared" si="90"/>
        <v>0</v>
      </c>
      <c r="BT51" s="47">
        <f t="shared" si="90"/>
        <v>0</v>
      </c>
      <c r="BU51" s="157">
        <f t="shared" si="90"/>
        <v>0</v>
      </c>
      <c r="BV51" s="46">
        <v>0</v>
      </c>
      <c r="BW51" s="46">
        <v>0</v>
      </c>
      <c r="BX51" s="46">
        <v>0</v>
      </c>
      <c r="BY51" s="168">
        <v>0</v>
      </c>
      <c r="BZ51" s="50">
        <v>0.08</v>
      </c>
      <c r="CA51" s="50">
        <v>0.08</v>
      </c>
      <c r="CB51" s="50">
        <v>0.08</v>
      </c>
      <c r="CC51" s="50">
        <v>0.08</v>
      </c>
    </row>
    <row r="52" spans="1:81" s="47" customFormat="1" x14ac:dyDescent="0.35">
      <c r="A52" s="421"/>
      <c r="B52" s="43" t="s">
        <v>16</v>
      </c>
      <c r="C52" s="246" t="s">
        <v>180</v>
      </c>
      <c r="D52" s="247" t="s">
        <v>113</v>
      </c>
      <c r="E52" s="398" t="s">
        <v>86</v>
      </c>
      <c r="F52" s="6">
        <f t="shared" si="58"/>
        <v>47</v>
      </c>
      <c r="G52" s="103">
        <v>1</v>
      </c>
      <c r="H52" s="115" t="s">
        <v>384</v>
      </c>
      <c r="I52" s="115" t="s">
        <v>384</v>
      </c>
      <c r="J52" s="128">
        <v>0</v>
      </c>
      <c r="K52" s="128" t="s">
        <v>12</v>
      </c>
      <c r="L52" s="128">
        <v>0</v>
      </c>
      <c r="M52" s="128">
        <v>0</v>
      </c>
      <c r="N52" s="324">
        <v>0</v>
      </c>
      <c r="O52" s="128">
        <v>0</v>
      </c>
      <c r="P52" s="128">
        <v>0</v>
      </c>
      <c r="Q52" s="157">
        <v>20000000</v>
      </c>
      <c r="R52" s="47">
        <v>0</v>
      </c>
      <c r="S52" s="47">
        <v>0</v>
      </c>
      <c r="T52" s="47">
        <v>0</v>
      </c>
      <c r="U52" s="157">
        <v>0</v>
      </c>
      <c r="V52" s="47">
        <v>0</v>
      </c>
      <c r="W52" s="47">
        <v>0</v>
      </c>
      <c r="X52" s="47">
        <v>0</v>
      </c>
      <c r="Y52" s="157">
        <v>0</v>
      </c>
      <c r="Z52" s="47">
        <v>0</v>
      </c>
      <c r="AA52" s="47">
        <v>0</v>
      </c>
      <c r="AB52" s="47">
        <v>0</v>
      </c>
      <c r="AC52" s="157">
        <v>0</v>
      </c>
      <c r="AD52" s="50">
        <v>0.09</v>
      </c>
      <c r="AE52" s="50">
        <v>0.09</v>
      </c>
      <c r="AF52" s="50">
        <v>0.09</v>
      </c>
      <c r="AG52" s="143">
        <v>0.09</v>
      </c>
      <c r="AH52" s="50">
        <v>1</v>
      </c>
      <c r="AI52" s="50">
        <v>1</v>
      </c>
      <c r="AJ52" s="50">
        <v>1</v>
      </c>
      <c r="AK52" s="143">
        <v>1</v>
      </c>
      <c r="AL52" s="50">
        <v>1</v>
      </c>
      <c r="AM52" s="50">
        <v>1</v>
      </c>
      <c r="AN52" s="50">
        <v>1</v>
      </c>
      <c r="AO52" s="143">
        <v>1</v>
      </c>
      <c r="AP52" s="47">
        <v>0</v>
      </c>
      <c r="AQ52" s="47">
        <v>0</v>
      </c>
      <c r="AR52" s="47">
        <v>0</v>
      </c>
      <c r="AS52" s="157">
        <v>0</v>
      </c>
      <c r="AT52" s="47">
        <v>250</v>
      </c>
      <c r="AU52" s="47">
        <v>250</v>
      </c>
      <c r="AV52" s="47">
        <v>250</v>
      </c>
      <c r="AW52" s="157">
        <v>250</v>
      </c>
      <c r="AX52" s="47">
        <f>0.03*AT52</f>
        <v>7.5</v>
      </c>
      <c r="AY52" s="47">
        <f>0.03*AU52</f>
        <v>7.5</v>
      </c>
      <c r="AZ52" s="47">
        <f>0.03*AV52</f>
        <v>7.5</v>
      </c>
      <c r="BA52" s="157">
        <f>0.03*AW52</f>
        <v>7.5</v>
      </c>
      <c r="BB52" s="47">
        <v>0</v>
      </c>
      <c r="BC52" s="47">
        <v>0</v>
      </c>
      <c r="BD52" s="47">
        <v>0</v>
      </c>
      <c r="BE52" s="157">
        <v>0</v>
      </c>
      <c r="BF52" s="47">
        <v>0</v>
      </c>
      <c r="BG52" s="47">
        <v>0</v>
      </c>
      <c r="BH52" s="47">
        <v>0</v>
      </c>
      <c r="BI52" s="157">
        <v>0</v>
      </c>
      <c r="BJ52" s="390">
        <v>6.2260740740740748E-3</v>
      </c>
      <c r="BK52" s="47">
        <v>0</v>
      </c>
      <c r="BL52" s="47">
        <v>0</v>
      </c>
      <c r="BM52" s="157">
        <v>0</v>
      </c>
      <c r="BN52" s="47">
        <v>0</v>
      </c>
      <c r="BO52" s="47">
        <v>0</v>
      </c>
      <c r="BP52" s="47">
        <v>0</v>
      </c>
      <c r="BQ52" s="157">
        <v>0</v>
      </c>
      <c r="BR52" s="47">
        <f t="shared" si="91"/>
        <v>8.174285816161557E-2</v>
      </c>
      <c r="BS52" s="47">
        <f t="shared" si="90"/>
        <v>8.174285816161557E-2</v>
      </c>
      <c r="BT52" s="47">
        <f t="shared" si="90"/>
        <v>8.174285816161557E-2</v>
      </c>
      <c r="BU52" s="157">
        <f t="shared" si="90"/>
        <v>8.174285816161557E-2</v>
      </c>
      <c r="BV52" s="46">
        <v>50</v>
      </c>
      <c r="BW52" s="46">
        <v>50</v>
      </c>
      <c r="BX52" s="46">
        <v>50</v>
      </c>
      <c r="BY52" s="168">
        <v>50</v>
      </c>
      <c r="BZ52" s="50">
        <v>0.08</v>
      </c>
      <c r="CA52" s="50">
        <v>0.08</v>
      </c>
      <c r="CB52" s="50">
        <v>0.08</v>
      </c>
      <c r="CC52" s="50">
        <v>0.08</v>
      </c>
    </row>
    <row r="53" spans="1:81" s="345" customFormat="1" ht="14.5" customHeight="1" x14ac:dyDescent="0.35">
      <c r="A53" s="417" t="s">
        <v>17</v>
      </c>
      <c r="B53" s="335" t="s">
        <v>39</v>
      </c>
      <c r="C53" s="336" t="s">
        <v>180</v>
      </c>
      <c r="D53" s="337" t="s">
        <v>36</v>
      </c>
      <c r="E53" s="405" t="s">
        <v>462</v>
      </c>
      <c r="F53" s="6">
        <f t="shared" si="58"/>
        <v>48</v>
      </c>
      <c r="G53" s="338">
        <v>1</v>
      </c>
      <c r="H53" s="339" t="s">
        <v>391</v>
      </c>
      <c r="I53" s="339" t="s">
        <v>392</v>
      </c>
      <c r="J53" s="340">
        <v>0</v>
      </c>
      <c r="K53" s="340" t="s">
        <v>12</v>
      </c>
      <c r="L53" s="340">
        <v>1</v>
      </c>
      <c r="M53" s="340">
        <v>0</v>
      </c>
      <c r="N53" s="341">
        <v>0</v>
      </c>
      <c r="O53" s="340">
        <v>0</v>
      </c>
      <c r="P53" s="340">
        <v>0</v>
      </c>
      <c r="Q53" s="342">
        <v>2000000</v>
      </c>
      <c r="R53" s="343">
        <v>0</v>
      </c>
      <c r="S53" s="343">
        <v>0</v>
      </c>
      <c r="T53" s="343">
        <v>0</v>
      </c>
      <c r="U53" s="344">
        <v>0</v>
      </c>
      <c r="V53" s="345">
        <v>0</v>
      </c>
      <c r="W53" s="345">
        <v>0</v>
      </c>
      <c r="X53" s="345">
        <v>0</v>
      </c>
      <c r="Y53" s="342">
        <v>0</v>
      </c>
      <c r="Z53" s="345">
        <v>0</v>
      </c>
      <c r="AA53" s="345">
        <v>0</v>
      </c>
      <c r="AB53" s="345">
        <v>0</v>
      </c>
      <c r="AC53" s="342">
        <v>0</v>
      </c>
      <c r="AD53" s="346">
        <v>0</v>
      </c>
      <c r="AE53" s="346">
        <v>0</v>
      </c>
      <c r="AF53" s="346">
        <v>0</v>
      </c>
      <c r="AG53" s="347">
        <v>0</v>
      </c>
      <c r="AH53" s="346">
        <v>1</v>
      </c>
      <c r="AI53" s="346">
        <v>1</v>
      </c>
      <c r="AJ53" s="346">
        <v>1</v>
      </c>
      <c r="AK53" s="347">
        <v>1</v>
      </c>
      <c r="AL53" s="346">
        <v>1</v>
      </c>
      <c r="AM53" s="346">
        <v>1</v>
      </c>
      <c r="AN53" s="346">
        <v>1</v>
      </c>
      <c r="AO53" s="347">
        <v>1</v>
      </c>
      <c r="AP53" s="345">
        <v>0</v>
      </c>
      <c r="AQ53" s="345">
        <v>0</v>
      </c>
      <c r="AR53" s="345">
        <v>0</v>
      </c>
      <c r="AS53" s="342">
        <v>0</v>
      </c>
      <c r="AT53" s="345">
        <v>552.67870000000005</v>
      </c>
      <c r="AU53" s="345">
        <v>396.26020000000005</v>
      </c>
      <c r="AV53" s="345">
        <v>344.12070000000006</v>
      </c>
      <c r="AW53" s="342">
        <v>312.83700000000005</v>
      </c>
      <c r="AX53" s="345">
        <v>9.1244125000000018</v>
      </c>
      <c r="AY53" s="345">
        <v>7.5602275000000008</v>
      </c>
      <c r="AZ53" s="345">
        <v>6.9084837500000003</v>
      </c>
      <c r="BA53" s="342">
        <v>6.5174375000000007</v>
      </c>
      <c r="BB53" s="345">
        <v>0</v>
      </c>
      <c r="BC53" s="345">
        <v>0</v>
      </c>
      <c r="BD53" s="345">
        <v>0</v>
      </c>
      <c r="BE53" s="342">
        <v>0</v>
      </c>
      <c r="BF53" s="345">
        <v>0</v>
      </c>
      <c r="BG53" s="345">
        <v>0</v>
      </c>
      <c r="BH53" s="345">
        <v>0</v>
      </c>
      <c r="BI53" s="342">
        <v>0</v>
      </c>
      <c r="BJ53" s="388">
        <v>90.584795321637415</v>
      </c>
      <c r="BK53" s="345">
        <v>0</v>
      </c>
      <c r="BL53" s="345">
        <v>0</v>
      </c>
      <c r="BM53" s="342">
        <v>0</v>
      </c>
      <c r="BN53" s="345">
        <v>0</v>
      </c>
      <c r="BO53" s="345">
        <v>0</v>
      </c>
      <c r="BP53" s="345">
        <v>0</v>
      </c>
      <c r="BQ53" s="342">
        <v>0</v>
      </c>
      <c r="BR53" s="345">
        <f t="shared" si="91"/>
        <v>8.5803264560679798E-2</v>
      </c>
      <c r="BS53" s="345">
        <f t="shared" si="90"/>
        <v>8.3860161500585326E-2</v>
      </c>
      <c r="BT53" s="345">
        <f t="shared" si="90"/>
        <v>8.3860161500585326E-2</v>
      </c>
      <c r="BU53" s="342">
        <f t="shared" si="90"/>
        <v>8.3860161500585326E-2</v>
      </c>
      <c r="BV53" s="348">
        <v>35</v>
      </c>
      <c r="BW53" s="348">
        <v>40</v>
      </c>
      <c r="BX53" s="348">
        <v>40</v>
      </c>
      <c r="BY53" s="349">
        <v>40</v>
      </c>
      <c r="BZ53" s="346">
        <v>0.08</v>
      </c>
      <c r="CA53" s="346">
        <v>0.08</v>
      </c>
      <c r="CB53" s="346">
        <v>0.08</v>
      </c>
      <c r="CC53" s="346">
        <v>0.08</v>
      </c>
    </row>
    <row r="54" spans="1:81" s="37" customFormat="1" ht="14.5" customHeight="1" x14ac:dyDescent="0.35">
      <c r="A54" s="417"/>
      <c r="B54" s="248" t="s">
        <v>38</v>
      </c>
      <c r="C54" s="234" t="s">
        <v>180</v>
      </c>
      <c r="D54" s="249" t="s">
        <v>37</v>
      </c>
      <c r="E54" s="403" t="s">
        <v>462</v>
      </c>
      <c r="F54" s="6">
        <f t="shared" si="58"/>
        <v>49</v>
      </c>
      <c r="G54" s="220">
        <v>1</v>
      </c>
      <c r="H54" s="221" t="s">
        <v>391</v>
      </c>
      <c r="I54" s="221" t="s">
        <v>392</v>
      </c>
      <c r="J54" s="224">
        <v>0</v>
      </c>
      <c r="K54" s="224" t="s">
        <v>12</v>
      </c>
      <c r="L54" s="224">
        <v>1</v>
      </c>
      <c r="M54" s="224">
        <v>0</v>
      </c>
      <c r="N54" s="323">
        <v>0</v>
      </c>
      <c r="O54" s="224">
        <v>0</v>
      </c>
      <c r="P54" s="224">
        <v>0</v>
      </c>
      <c r="Q54" s="222">
        <f t="shared" ref="Q54:Q78" si="92">$Q$53</f>
        <v>2000000</v>
      </c>
      <c r="R54" s="236">
        <v>0</v>
      </c>
      <c r="S54" s="236">
        <v>0</v>
      </c>
      <c r="T54" s="236">
        <v>0</v>
      </c>
      <c r="U54" s="235">
        <v>0</v>
      </c>
      <c r="V54" s="37">
        <v>0</v>
      </c>
      <c r="W54" s="37">
        <v>0</v>
      </c>
      <c r="X54" s="37">
        <v>0</v>
      </c>
      <c r="Y54" s="222">
        <v>0</v>
      </c>
      <c r="Z54" s="37">
        <v>0</v>
      </c>
      <c r="AA54" s="37">
        <v>0</v>
      </c>
      <c r="AB54" s="37">
        <v>0</v>
      </c>
      <c r="AC54" s="222">
        <v>0</v>
      </c>
      <c r="AD54" s="225">
        <v>0</v>
      </c>
      <c r="AE54" s="225">
        <v>0</v>
      </c>
      <c r="AF54" s="225">
        <v>0</v>
      </c>
      <c r="AG54" s="226">
        <v>0</v>
      </c>
      <c r="AH54" s="225">
        <v>1</v>
      </c>
      <c r="AI54" s="225">
        <v>1</v>
      </c>
      <c r="AJ54" s="225">
        <v>1</v>
      </c>
      <c r="AK54" s="226">
        <v>1</v>
      </c>
      <c r="AL54" s="225">
        <v>1</v>
      </c>
      <c r="AM54" s="225">
        <v>1</v>
      </c>
      <c r="AN54" s="225">
        <v>1</v>
      </c>
      <c r="AO54" s="226">
        <v>1</v>
      </c>
      <c r="AP54" s="37">
        <v>0</v>
      </c>
      <c r="AQ54" s="37">
        <v>0</v>
      </c>
      <c r="AR54" s="37">
        <v>0</v>
      </c>
      <c r="AS54" s="222">
        <v>0</v>
      </c>
      <c r="AT54" s="37">
        <v>646.52980000000002</v>
      </c>
      <c r="AU54" s="37">
        <v>458.82760000000007</v>
      </c>
      <c r="AV54" s="37">
        <v>406.68810000000002</v>
      </c>
      <c r="AW54" s="222">
        <v>375.40440000000001</v>
      </c>
      <c r="AX54" s="37">
        <v>11.157853000000001</v>
      </c>
      <c r="AY54" s="37">
        <v>9.2808310000000009</v>
      </c>
      <c r="AZ54" s="37">
        <v>8.5508780000000009</v>
      </c>
      <c r="BA54" s="222">
        <v>8.1337620000000008</v>
      </c>
      <c r="BB54" s="37">
        <v>0</v>
      </c>
      <c r="BC54" s="37">
        <v>0</v>
      </c>
      <c r="BD54" s="37">
        <v>0</v>
      </c>
      <c r="BE54" s="222">
        <v>0</v>
      </c>
      <c r="BF54" s="37">
        <v>0</v>
      </c>
      <c r="BG54" s="37">
        <v>0</v>
      </c>
      <c r="BH54" s="37">
        <v>0</v>
      </c>
      <c r="BI54" s="222">
        <v>0</v>
      </c>
      <c r="BJ54" s="388">
        <v>90.584795321637415</v>
      </c>
      <c r="BK54" s="37">
        <v>0</v>
      </c>
      <c r="BL54" s="37">
        <v>0</v>
      </c>
      <c r="BM54" s="222">
        <v>0</v>
      </c>
      <c r="BN54" s="37">
        <v>0</v>
      </c>
      <c r="BO54" s="37">
        <v>0</v>
      </c>
      <c r="BP54" s="37">
        <v>0</v>
      </c>
      <c r="BQ54" s="222">
        <v>0</v>
      </c>
      <c r="BR54" s="37">
        <f t="shared" ref="BR54" si="93">IF(BV54&lt;&gt;0,(BZ54*(1+BZ54)^BV54)/((1+BZ54)^BV54-1),0)</f>
        <v>8.5803264560679798E-2</v>
      </c>
      <c r="BS54" s="37">
        <f t="shared" ref="BS54" si="94">IF(BW54&lt;&gt;0,(CA54*(1+CA54)^BW54)/((1+CA54)^BW54-1),0)</f>
        <v>8.3860161500585326E-2</v>
      </c>
      <c r="BT54" s="37">
        <f t="shared" ref="BT54" si="95">IF(BX54&lt;&gt;0,(CB54*(1+CB54)^BX54)/((1+CB54)^BX54-1),0)</f>
        <v>8.3860161500585326E-2</v>
      </c>
      <c r="BU54" s="222">
        <f t="shared" ref="BU54" si="96">IF(BY54&lt;&gt;0,(CC54*(1+CC54)^BY54)/((1+CC54)^BY54-1),0)</f>
        <v>8.3860161500585326E-2</v>
      </c>
      <c r="BV54" s="229">
        <v>35</v>
      </c>
      <c r="BW54" s="229">
        <v>40</v>
      </c>
      <c r="BX54" s="229">
        <v>40</v>
      </c>
      <c r="BY54" s="223">
        <v>40</v>
      </c>
      <c r="BZ54" s="225">
        <v>0.08</v>
      </c>
      <c r="CA54" s="225">
        <v>0.08</v>
      </c>
      <c r="CB54" s="225">
        <v>0.08</v>
      </c>
      <c r="CC54" s="225">
        <v>0.08</v>
      </c>
    </row>
    <row r="55" spans="1:81" s="179" customFormat="1" x14ac:dyDescent="0.35">
      <c r="A55" s="417"/>
      <c r="B55" s="250" t="str">
        <f t="shared" ref="B55:B66" si="97">CONCATENATE("RPU_"&amp;D55)</f>
        <v>RPU_ON_SP198-HH100</v>
      </c>
      <c r="C55" s="65" t="s">
        <v>180</v>
      </c>
      <c r="D55" s="174" t="s">
        <v>114</v>
      </c>
      <c r="E55" s="402" t="s">
        <v>466</v>
      </c>
      <c r="F55" s="6">
        <f t="shared" si="58"/>
        <v>50</v>
      </c>
      <c r="G55" s="175">
        <v>1</v>
      </c>
      <c r="H55" s="176" t="s">
        <v>391</v>
      </c>
      <c r="I55" s="176" t="s">
        <v>392</v>
      </c>
      <c r="J55" s="178">
        <v>0</v>
      </c>
      <c r="K55" s="178" t="s">
        <v>12</v>
      </c>
      <c r="L55" s="178">
        <v>1</v>
      </c>
      <c r="M55" s="178">
        <v>0</v>
      </c>
      <c r="N55" s="311">
        <v>0</v>
      </c>
      <c r="O55" s="178">
        <v>0</v>
      </c>
      <c r="P55" s="178">
        <v>0</v>
      </c>
      <c r="Q55" s="177">
        <f t="shared" si="92"/>
        <v>2000000</v>
      </c>
      <c r="R55" s="183">
        <v>0</v>
      </c>
      <c r="S55" s="183">
        <v>0</v>
      </c>
      <c r="T55" s="183">
        <v>0</v>
      </c>
      <c r="U55" s="237">
        <v>0</v>
      </c>
      <c r="V55" s="179">
        <v>0</v>
      </c>
      <c r="W55" s="179">
        <v>0</v>
      </c>
      <c r="X55" s="179">
        <v>0</v>
      </c>
      <c r="Y55" s="177">
        <v>0</v>
      </c>
      <c r="Z55" s="179">
        <v>0</v>
      </c>
      <c r="AA55" s="179">
        <v>0</v>
      </c>
      <c r="AB55" s="179">
        <v>0</v>
      </c>
      <c r="AC55" s="177">
        <v>0</v>
      </c>
      <c r="AD55" s="180">
        <v>0</v>
      </c>
      <c r="AE55" s="180">
        <v>0</v>
      </c>
      <c r="AF55" s="180">
        <v>0</v>
      </c>
      <c r="AG55" s="181">
        <v>0</v>
      </c>
      <c r="AH55" s="180">
        <v>1</v>
      </c>
      <c r="AI55" s="180">
        <v>1</v>
      </c>
      <c r="AJ55" s="180">
        <v>1</v>
      </c>
      <c r="AK55" s="181">
        <v>1</v>
      </c>
      <c r="AL55" s="180">
        <v>1</v>
      </c>
      <c r="AM55" s="180">
        <v>1</v>
      </c>
      <c r="AN55" s="180">
        <v>1</v>
      </c>
      <c r="AO55" s="181">
        <v>1</v>
      </c>
      <c r="AP55" s="179">
        <v>0</v>
      </c>
      <c r="AQ55" s="179">
        <v>0</v>
      </c>
      <c r="AR55" s="179">
        <v>0</v>
      </c>
      <c r="AS55" s="177">
        <v>0</v>
      </c>
      <c r="AT55" s="179">
        <v>1758.6807528485745</v>
      </c>
      <c r="AU55" s="179">
        <v>1633.060699073676</v>
      </c>
      <c r="AV55" s="179">
        <v>1538.8456587425023</v>
      </c>
      <c r="AW55" s="177">
        <v>1507.4406452987776</v>
      </c>
      <c r="AX55" s="179">
        <v>14.599060000000001</v>
      </c>
      <c r="AY55" s="179">
        <v>13.139154000000001</v>
      </c>
      <c r="AZ55" s="179">
        <v>12.088021680000002</v>
      </c>
      <c r="BA55" s="177">
        <v>11.8252386</v>
      </c>
      <c r="BB55" s="179">
        <v>1.5641850000000001E-3</v>
      </c>
      <c r="BC55" s="179">
        <v>1.4077665000000001E-3</v>
      </c>
      <c r="BD55" s="179">
        <v>1.2930596E-3</v>
      </c>
      <c r="BE55" s="177">
        <v>1.2722038E-3</v>
      </c>
      <c r="BF55" s="179">
        <v>0</v>
      </c>
      <c r="BG55" s="179">
        <v>0</v>
      </c>
      <c r="BH55" s="179">
        <v>0</v>
      </c>
      <c r="BI55" s="177">
        <v>0</v>
      </c>
      <c r="BJ55" s="389">
        <v>55.12222222222222</v>
      </c>
      <c r="BK55" s="351">
        <v>0</v>
      </c>
      <c r="BL55" s="351">
        <v>0</v>
      </c>
      <c r="BM55" s="352">
        <v>0</v>
      </c>
      <c r="BN55" s="179">
        <v>0</v>
      </c>
      <c r="BO55" s="179">
        <v>0</v>
      </c>
      <c r="BP55" s="179">
        <v>0</v>
      </c>
      <c r="BQ55" s="177">
        <v>0</v>
      </c>
      <c r="BR55" s="179">
        <f t="shared" ref="BR55" si="98">IF(BV55&lt;&gt;0,(BZ55*(1+BZ55)^BV55)/((1+BZ55)^BV55-1),0)</f>
        <v>9.1448096207564403E-2</v>
      </c>
      <c r="BS55" s="179">
        <f t="shared" ref="BS55" si="99">IF(BW55&lt;&gt;0,(CA55*(1+CA55)^BW55)/((1+CA55)^BW55-1),0)</f>
        <v>8.8827433387272267E-2</v>
      </c>
      <c r="BT55" s="179">
        <f t="shared" ref="BT55" si="100">IF(BX55&lt;&gt;0,(CB55*(1+CB55)^BX55)/((1+CB55)^BX55-1),0)</f>
        <v>8.8827433387272267E-2</v>
      </c>
      <c r="BU55" s="177">
        <f t="shared" ref="BU55" si="101">IF(BY55&lt;&gt;0,(CC55*(1+CC55)^BY55)/((1+CC55)^BY55-1),0)</f>
        <v>8.8827433387272267E-2</v>
      </c>
      <c r="BV55" s="182">
        <v>27</v>
      </c>
      <c r="BW55" s="182">
        <v>30</v>
      </c>
      <c r="BX55" s="182">
        <v>30</v>
      </c>
      <c r="BY55" s="251">
        <v>30</v>
      </c>
      <c r="BZ55" s="180">
        <v>0.08</v>
      </c>
      <c r="CA55" s="180">
        <v>0.08</v>
      </c>
      <c r="CB55" s="180">
        <v>0.08</v>
      </c>
      <c r="CC55" s="180">
        <v>0.08</v>
      </c>
    </row>
    <row r="56" spans="1:81" s="179" customFormat="1" x14ac:dyDescent="0.35">
      <c r="A56" s="417"/>
      <c r="B56" s="250" t="str">
        <f t="shared" si="97"/>
        <v>RPU_ON_SP198-HH150</v>
      </c>
      <c r="C56" s="65" t="s">
        <v>180</v>
      </c>
      <c r="D56" s="174" t="s">
        <v>40</v>
      </c>
      <c r="E56" s="402" t="s">
        <v>466</v>
      </c>
      <c r="F56" s="6">
        <f t="shared" si="58"/>
        <v>51</v>
      </c>
      <c r="G56" s="175">
        <v>1</v>
      </c>
      <c r="H56" s="176" t="s">
        <v>391</v>
      </c>
      <c r="I56" s="176" t="s">
        <v>392</v>
      </c>
      <c r="J56" s="178">
        <v>0</v>
      </c>
      <c r="K56" s="178" t="s">
        <v>12</v>
      </c>
      <c r="L56" s="178">
        <v>1</v>
      </c>
      <c r="M56" s="178">
        <v>0</v>
      </c>
      <c r="N56" s="311">
        <v>0</v>
      </c>
      <c r="O56" s="178">
        <v>0</v>
      </c>
      <c r="P56" s="178">
        <v>0</v>
      </c>
      <c r="Q56" s="177">
        <f t="shared" si="92"/>
        <v>2000000</v>
      </c>
      <c r="R56" s="183">
        <v>0</v>
      </c>
      <c r="S56" s="183">
        <v>0</v>
      </c>
      <c r="T56" s="183">
        <v>0</v>
      </c>
      <c r="U56" s="237">
        <v>0</v>
      </c>
      <c r="V56" s="179">
        <v>0</v>
      </c>
      <c r="W56" s="179">
        <v>0</v>
      </c>
      <c r="X56" s="179">
        <v>0</v>
      </c>
      <c r="Y56" s="177">
        <v>0</v>
      </c>
      <c r="Z56" s="179">
        <v>0</v>
      </c>
      <c r="AA56" s="179">
        <v>0</v>
      </c>
      <c r="AB56" s="179">
        <v>0</v>
      </c>
      <c r="AC56" s="177">
        <v>0</v>
      </c>
      <c r="AD56" s="180">
        <v>0</v>
      </c>
      <c r="AE56" s="180">
        <v>0</v>
      </c>
      <c r="AF56" s="180">
        <v>0</v>
      </c>
      <c r="AG56" s="181">
        <v>0</v>
      </c>
      <c r="AH56" s="180">
        <v>1</v>
      </c>
      <c r="AI56" s="180">
        <v>1</v>
      </c>
      <c r="AJ56" s="180">
        <v>1</v>
      </c>
      <c r="AK56" s="181">
        <v>1</v>
      </c>
      <c r="AL56" s="180">
        <v>1</v>
      </c>
      <c r="AM56" s="180">
        <v>1</v>
      </c>
      <c r="AN56" s="180">
        <v>1</v>
      </c>
      <c r="AO56" s="181">
        <v>1</v>
      </c>
      <c r="AP56" s="179">
        <v>0</v>
      </c>
      <c r="AQ56" s="179">
        <v>0</v>
      </c>
      <c r="AR56" s="179">
        <v>0</v>
      </c>
      <c r="AS56" s="177">
        <v>0</v>
      </c>
      <c r="AT56" s="179">
        <v>2188.7934195531479</v>
      </c>
      <c r="AU56" s="179">
        <v>2032.4510324422088</v>
      </c>
      <c r="AV56" s="179">
        <v>1915.1942421090046</v>
      </c>
      <c r="AW56" s="177">
        <v>1876.1086453312696</v>
      </c>
      <c r="AX56" s="179">
        <v>14.599060000000001</v>
      </c>
      <c r="AY56" s="179">
        <v>13.139154000000001</v>
      </c>
      <c r="AZ56" s="179">
        <v>12.088021680000002</v>
      </c>
      <c r="BA56" s="177">
        <v>11.8252386</v>
      </c>
      <c r="BB56" s="179">
        <v>1.5641850000000001E-3</v>
      </c>
      <c r="BC56" s="179">
        <v>1.4077665000000001E-3</v>
      </c>
      <c r="BD56" s="179">
        <v>1.2930596E-3</v>
      </c>
      <c r="BE56" s="177">
        <v>1.2722038E-3</v>
      </c>
      <c r="BF56" s="179">
        <v>0</v>
      </c>
      <c r="BG56" s="179">
        <v>0</v>
      </c>
      <c r="BH56" s="179">
        <v>0</v>
      </c>
      <c r="BI56" s="177">
        <v>0</v>
      </c>
      <c r="BJ56" s="389">
        <v>55.12222222222222</v>
      </c>
      <c r="BK56" s="351">
        <v>0</v>
      </c>
      <c r="BL56" s="351">
        <v>0</v>
      </c>
      <c r="BM56" s="352">
        <v>0</v>
      </c>
      <c r="BN56" s="179">
        <v>0</v>
      </c>
      <c r="BO56" s="179">
        <v>0</v>
      </c>
      <c r="BP56" s="179">
        <v>0</v>
      </c>
      <c r="BQ56" s="177">
        <v>0</v>
      </c>
      <c r="BR56" s="179">
        <f t="shared" ref="BR56:BR67" si="102">IF(BV56&lt;&gt;0,(BZ56*(1+BZ56)^BV56)/((1+BZ56)^BV56-1),0)</f>
        <v>9.1448096207564403E-2</v>
      </c>
      <c r="BS56" s="179">
        <f t="shared" ref="BS56:BS67" si="103">IF(BW56&lt;&gt;0,(CA56*(1+CA56)^BW56)/((1+CA56)^BW56-1),0)</f>
        <v>8.8827433387272267E-2</v>
      </c>
      <c r="BT56" s="179">
        <f t="shared" ref="BT56:BT67" si="104">IF(BX56&lt;&gt;0,(CB56*(1+CB56)^BX56)/((1+CB56)^BX56-1),0)</f>
        <v>8.8827433387272267E-2</v>
      </c>
      <c r="BU56" s="177">
        <f t="shared" ref="BU56:BU67" si="105">IF(BY56&lt;&gt;0,(CC56*(1+CC56)^BY56)/((1+CC56)^BY56-1),0)</f>
        <v>8.8827433387272267E-2</v>
      </c>
      <c r="BV56" s="182">
        <v>27</v>
      </c>
      <c r="BW56" s="182">
        <v>30</v>
      </c>
      <c r="BX56" s="182">
        <v>30</v>
      </c>
      <c r="BY56" s="251">
        <v>30</v>
      </c>
      <c r="BZ56" s="180">
        <v>0.08</v>
      </c>
      <c r="CA56" s="180">
        <v>0.08</v>
      </c>
      <c r="CB56" s="180">
        <v>0.08</v>
      </c>
      <c r="CC56" s="180">
        <v>0.08</v>
      </c>
    </row>
    <row r="57" spans="1:81" s="179" customFormat="1" x14ac:dyDescent="0.35">
      <c r="A57" s="417"/>
      <c r="B57" s="250" t="str">
        <f t="shared" si="97"/>
        <v>RPU_ON_SP237-HH100</v>
      </c>
      <c r="C57" s="65" t="s">
        <v>180</v>
      </c>
      <c r="D57" s="174" t="s">
        <v>41</v>
      </c>
      <c r="E57" s="402" t="s">
        <v>466</v>
      </c>
      <c r="F57" s="6">
        <f t="shared" si="58"/>
        <v>52</v>
      </c>
      <c r="G57" s="175">
        <v>1</v>
      </c>
      <c r="H57" s="176" t="s">
        <v>391</v>
      </c>
      <c r="I57" s="176" t="s">
        <v>392</v>
      </c>
      <c r="J57" s="178">
        <v>0</v>
      </c>
      <c r="K57" s="178" t="s">
        <v>12</v>
      </c>
      <c r="L57" s="178">
        <v>1</v>
      </c>
      <c r="M57" s="178">
        <v>0</v>
      </c>
      <c r="N57" s="311">
        <v>0</v>
      </c>
      <c r="O57" s="178">
        <v>0</v>
      </c>
      <c r="P57" s="178">
        <v>0</v>
      </c>
      <c r="Q57" s="177">
        <f t="shared" si="92"/>
        <v>2000000</v>
      </c>
      <c r="R57" s="183">
        <v>0</v>
      </c>
      <c r="S57" s="183">
        <v>0</v>
      </c>
      <c r="T57" s="183">
        <v>0</v>
      </c>
      <c r="U57" s="237">
        <v>0</v>
      </c>
      <c r="V57" s="179">
        <v>0</v>
      </c>
      <c r="W57" s="179">
        <v>0</v>
      </c>
      <c r="X57" s="179">
        <v>0</v>
      </c>
      <c r="Y57" s="177">
        <v>0</v>
      </c>
      <c r="Z57" s="179">
        <v>0</v>
      </c>
      <c r="AA57" s="179">
        <v>0</v>
      </c>
      <c r="AB57" s="179">
        <v>0</v>
      </c>
      <c r="AC57" s="177">
        <v>0</v>
      </c>
      <c r="AD57" s="180">
        <v>0</v>
      </c>
      <c r="AE57" s="180">
        <v>0</v>
      </c>
      <c r="AF57" s="180">
        <v>0</v>
      </c>
      <c r="AG57" s="181">
        <v>0</v>
      </c>
      <c r="AH57" s="180">
        <v>1</v>
      </c>
      <c r="AI57" s="180">
        <v>1</v>
      </c>
      <c r="AJ57" s="180">
        <v>1</v>
      </c>
      <c r="AK57" s="181">
        <v>1</v>
      </c>
      <c r="AL57" s="180">
        <v>1</v>
      </c>
      <c r="AM57" s="180">
        <v>1</v>
      </c>
      <c r="AN57" s="180">
        <v>1</v>
      </c>
      <c r="AO57" s="181">
        <v>1</v>
      </c>
      <c r="AP57" s="179">
        <v>0</v>
      </c>
      <c r="AQ57" s="179">
        <v>0</v>
      </c>
      <c r="AR57" s="179">
        <v>0</v>
      </c>
      <c r="AS57" s="177">
        <v>0</v>
      </c>
      <c r="AT57" s="179">
        <v>1554.7627916706663</v>
      </c>
      <c r="AU57" s="179">
        <v>1443.7083065513327</v>
      </c>
      <c r="AV57" s="179">
        <v>1360.4174427118328</v>
      </c>
      <c r="AW57" s="177">
        <v>1332.6538214319989</v>
      </c>
      <c r="AX57" s="179">
        <v>14.599060000000001</v>
      </c>
      <c r="AY57" s="179">
        <v>13.139154000000001</v>
      </c>
      <c r="AZ57" s="179">
        <v>12.088021680000002</v>
      </c>
      <c r="BA57" s="177">
        <v>11.8252386</v>
      </c>
      <c r="BB57" s="179">
        <v>1.5641850000000001E-3</v>
      </c>
      <c r="BC57" s="179">
        <v>1.4077665000000001E-3</v>
      </c>
      <c r="BD57" s="179">
        <v>1.2930596E-3</v>
      </c>
      <c r="BE57" s="177">
        <v>1.2722038E-3</v>
      </c>
      <c r="BF57" s="179">
        <v>0</v>
      </c>
      <c r="BG57" s="179">
        <v>0</v>
      </c>
      <c r="BH57" s="179">
        <v>0</v>
      </c>
      <c r="BI57" s="177">
        <v>0</v>
      </c>
      <c r="BJ57" s="389">
        <v>55.12222222222222</v>
      </c>
      <c r="BK57" s="351">
        <v>0</v>
      </c>
      <c r="BL57" s="351">
        <v>0</v>
      </c>
      <c r="BM57" s="352">
        <v>0</v>
      </c>
      <c r="BN57" s="179">
        <v>0</v>
      </c>
      <c r="BO57" s="179">
        <v>0</v>
      </c>
      <c r="BP57" s="179">
        <v>0</v>
      </c>
      <c r="BQ57" s="177">
        <v>0</v>
      </c>
      <c r="BR57" s="179">
        <f t="shared" si="102"/>
        <v>9.1448096207564403E-2</v>
      </c>
      <c r="BS57" s="179">
        <f t="shared" si="103"/>
        <v>8.8827433387272267E-2</v>
      </c>
      <c r="BT57" s="179">
        <f t="shared" si="104"/>
        <v>8.8827433387272267E-2</v>
      </c>
      <c r="BU57" s="177">
        <f t="shared" si="105"/>
        <v>8.8827433387272267E-2</v>
      </c>
      <c r="BV57" s="182">
        <v>27</v>
      </c>
      <c r="BW57" s="182">
        <v>30</v>
      </c>
      <c r="BX57" s="182">
        <v>30</v>
      </c>
      <c r="BY57" s="251">
        <v>30</v>
      </c>
      <c r="BZ57" s="180">
        <v>0.08</v>
      </c>
      <c r="CA57" s="180">
        <v>0.08</v>
      </c>
      <c r="CB57" s="180">
        <v>0.08</v>
      </c>
      <c r="CC57" s="180">
        <v>0.08</v>
      </c>
    </row>
    <row r="58" spans="1:81" s="179" customFormat="1" x14ac:dyDescent="0.35">
      <c r="A58" s="417"/>
      <c r="B58" s="250" t="str">
        <f t="shared" si="97"/>
        <v>RPU_ON_SP237-HH150</v>
      </c>
      <c r="C58" s="65" t="s">
        <v>180</v>
      </c>
      <c r="D58" s="174" t="s">
        <v>42</v>
      </c>
      <c r="E58" s="402" t="s">
        <v>466</v>
      </c>
      <c r="F58" s="6">
        <f t="shared" si="58"/>
        <v>53</v>
      </c>
      <c r="G58" s="175">
        <v>1</v>
      </c>
      <c r="H58" s="176" t="s">
        <v>391</v>
      </c>
      <c r="I58" s="176" t="s">
        <v>392</v>
      </c>
      <c r="J58" s="178">
        <v>0</v>
      </c>
      <c r="K58" s="178" t="s">
        <v>12</v>
      </c>
      <c r="L58" s="178">
        <v>1</v>
      </c>
      <c r="M58" s="178">
        <v>0</v>
      </c>
      <c r="N58" s="311">
        <v>0</v>
      </c>
      <c r="O58" s="178">
        <v>0</v>
      </c>
      <c r="P58" s="178">
        <v>0</v>
      </c>
      <c r="Q58" s="177">
        <f t="shared" si="92"/>
        <v>2000000</v>
      </c>
      <c r="R58" s="183">
        <v>0</v>
      </c>
      <c r="S58" s="183">
        <v>0</v>
      </c>
      <c r="T58" s="183">
        <v>0</v>
      </c>
      <c r="U58" s="237">
        <v>0</v>
      </c>
      <c r="V58" s="179">
        <v>0</v>
      </c>
      <c r="W58" s="179">
        <v>0</v>
      </c>
      <c r="X58" s="179">
        <v>0</v>
      </c>
      <c r="Y58" s="177">
        <v>0</v>
      </c>
      <c r="Z58" s="179">
        <v>0</v>
      </c>
      <c r="AA58" s="179">
        <v>0</v>
      </c>
      <c r="AB58" s="179">
        <v>0</v>
      </c>
      <c r="AC58" s="177">
        <v>0</v>
      </c>
      <c r="AD58" s="180">
        <v>0</v>
      </c>
      <c r="AE58" s="180">
        <v>0</v>
      </c>
      <c r="AF58" s="180">
        <v>0</v>
      </c>
      <c r="AG58" s="181">
        <v>0</v>
      </c>
      <c r="AH58" s="180">
        <v>1</v>
      </c>
      <c r="AI58" s="180">
        <v>1</v>
      </c>
      <c r="AJ58" s="180">
        <v>1</v>
      </c>
      <c r="AK58" s="181">
        <v>1</v>
      </c>
      <c r="AL58" s="180">
        <v>1</v>
      </c>
      <c r="AM58" s="180">
        <v>1</v>
      </c>
      <c r="AN58" s="180">
        <v>1</v>
      </c>
      <c r="AO58" s="181">
        <v>1</v>
      </c>
      <c r="AP58" s="179">
        <v>0</v>
      </c>
      <c r="AQ58" s="179">
        <v>0</v>
      </c>
      <c r="AR58" s="179">
        <v>0</v>
      </c>
      <c r="AS58" s="177">
        <v>0</v>
      </c>
      <c r="AT58" s="179">
        <v>1947.4738868244795</v>
      </c>
      <c r="AU58" s="179">
        <v>1808.3686091941595</v>
      </c>
      <c r="AV58" s="179">
        <v>1704.0396509714192</v>
      </c>
      <c r="AW58" s="177">
        <v>1669.2633315638391</v>
      </c>
      <c r="AX58" s="179">
        <v>14.599060000000001</v>
      </c>
      <c r="AY58" s="179">
        <v>13.139154000000001</v>
      </c>
      <c r="AZ58" s="179">
        <v>12.088021680000002</v>
      </c>
      <c r="BA58" s="177">
        <v>11.8252386</v>
      </c>
      <c r="BB58" s="179">
        <v>1.5641850000000001E-3</v>
      </c>
      <c r="BC58" s="179">
        <v>1.4077665000000001E-3</v>
      </c>
      <c r="BD58" s="179">
        <v>1.2930596E-3</v>
      </c>
      <c r="BE58" s="177">
        <v>1.2722038E-3</v>
      </c>
      <c r="BF58" s="179">
        <v>0</v>
      </c>
      <c r="BG58" s="179">
        <v>0</v>
      </c>
      <c r="BH58" s="179">
        <v>0</v>
      </c>
      <c r="BI58" s="177">
        <v>0</v>
      </c>
      <c r="BJ58" s="389">
        <v>55.12222222222222</v>
      </c>
      <c r="BK58" s="351">
        <v>0</v>
      </c>
      <c r="BL58" s="351">
        <v>0</v>
      </c>
      <c r="BM58" s="352">
        <v>0</v>
      </c>
      <c r="BN58" s="179">
        <v>0</v>
      </c>
      <c r="BO58" s="179">
        <v>0</v>
      </c>
      <c r="BP58" s="179">
        <v>0</v>
      </c>
      <c r="BQ58" s="177">
        <v>0</v>
      </c>
      <c r="BR58" s="179">
        <f t="shared" si="102"/>
        <v>9.1448096207564403E-2</v>
      </c>
      <c r="BS58" s="179">
        <f t="shared" si="103"/>
        <v>8.8827433387272267E-2</v>
      </c>
      <c r="BT58" s="179">
        <f t="shared" si="104"/>
        <v>8.8827433387272267E-2</v>
      </c>
      <c r="BU58" s="177">
        <f t="shared" si="105"/>
        <v>8.8827433387272267E-2</v>
      </c>
      <c r="BV58" s="182">
        <v>27</v>
      </c>
      <c r="BW58" s="182">
        <v>30</v>
      </c>
      <c r="BX58" s="182">
        <v>30</v>
      </c>
      <c r="BY58" s="251">
        <v>30</v>
      </c>
      <c r="BZ58" s="180">
        <v>0.08</v>
      </c>
      <c r="CA58" s="180">
        <v>0.08</v>
      </c>
      <c r="CB58" s="180">
        <v>0.08</v>
      </c>
      <c r="CC58" s="180">
        <v>0.08</v>
      </c>
    </row>
    <row r="59" spans="1:81" s="179" customFormat="1" x14ac:dyDescent="0.35">
      <c r="A59" s="417"/>
      <c r="B59" s="250" t="str">
        <f t="shared" si="97"/>
        <v>RPU_ON_SP277-HH100</v>
      </c>
      <c r="C59" s="65" t="s">
        <v>180</v>
      </c>
      <c r="D59" s="174" t="s">
        <v>43</v>
      </c>
      <c r="E59" s="402" t="s">
        <v>466</v>
      </c>
      <c r="F59" s="6">
        <f t="shared" si="58"/>
        <v>54</v>
      </c>
      <c r="G59" s="175">
        <v>1</v>
      </c>
      <c r="H59" s="176" t="s">
        <v>391</v>
      </c>
      <c r="I59" s="176" t="s">
        <v>392</v>
      </c>
      <c r="J59" s="178">
        <v>0</v>
      </c>
      <c r="K59" s="178" t="s">
        <v>12</v>
      </c>
      <c r="L59" s="178">
        <v>1</v>
      </c>
      <c r="M59" s="178">
        <v>0</v>
      </c>
      <c r="N59" s="311">
        <v>0</v>
      </c>
      <c r="O59" s="178">
        <v>0</v>
      </c>
      <c r="P59" s="178">
        <v>0</v>
      </c>
      <c r="Q59" s="177">
        <f t="shared" si="92"/>
        <v>2000000</v>
      </c>
      <c r="R59" s="183">
        <v>0</v>
      </c>
      <c r="S59" s="183">
        <v>0</v>
      </c>
      <c r="T59" s="183">
        <v>0</v>
      </c>
      <c r="U59" s="237">
        <v>0</v>
      </c>
      <c r="V59" s="179">
        <v>0</v>
      </c>
      <c r="W59" s="179">
        <v>0</v>
      </c>
      <c r="X59" s="179">
        <v>0</v>
      </c>
      <c r="Y59" s="177">
        <v>0</v>
      </c>
      <c r="Z59" s="179">
        <v>0</v>
      </c>
      <c r="AA59" s="179">
        <v>0</v>
      </c>
      <c r="AB59" s="179">
        <v>0</v>
      </c>
      <c r="AC59" s="177">
        <v>0</v>
      </c>
      <c r="AD59" s="180">
        <v>0</v>
      </c>
      <c r="AE59" s="180">
        <v>0</v>
      </c>
      <c r="AF59" s="180">
        <v>0</v>
      </c>
      <c r="AG59" s="181">
        <v>0</v>
      </c>
      <c r="AH59" s="180">
        <v>1</v>
      </c>
      <c r="AI59" s="180">
        <v>1</v>
      </c>
      <c r="AJ59" s="180">
        <v>1</v>
      </c>
      <c r="AK59" s="181">
        <v>1</v>
      </c>
      <c r="AL59" s="180">
        <v>1</v>
      </c>
      <c r="AM59" s="180">
        <v>1</v>
      </c>
      <c r="AN59" s="180">
        <v>1</v>
      </c>
      <c r="AO59" s="181">
        <v>1</v>
      </c>
      <c r="AP59" s="179">
        <v>0</v>
      </c>
      <c r="AQ59" s="179">
        <v>0</v>
      </c>
      <c r="AR59" s="179">
        <v>0</v>
      </c>
      <c r="AS59" s="177">
        <v>0</v>
      </c>
      <c r="AT59" s="179">
        <v>1414.9828559823698</v>
      </c>
      <c r="AU59" s="179">
        <v>1313.9126519836288</v>
      </c>
      <c r="AV59" s="179">
        <v>1238.1099989845734</v>
      </c>
      <c r="AW59" s="177">
        <v>1212.8424479848879</v>
      </c>
      <c r="AX59" s="179">
        <v>14.599060000000001</v>
      </c>
      <c r="AY59" s="179">
        <v>13.139154000000001</v>
      </c>
      <c r="AZ59" s="179">
        <v>12.088021680000002</v>
      </c>
      <c r="BA59" s="177">
        <v>11.8252386</v>
      </c>
      <c r="BB59" s="179">
        <v>1.5641850000000001E-3</v>
      </c>
      <c r="BC59" s="179">
        <v>1.4077665000000001E-3</v>
      </c>
      <c r="BD59" s="179">
        <v>1.2930596E-3</v>
      </c>
      <c r="BE59" s="177">
        <v>1.2722038E-3</v>
      </c>
      <c r="BF59" s="179">
        <v>0</v>
      </c>
      <c r="BG59" s="179">
        <v>0</v>
      </c>
      <c r="BH59" s="179">
        <v>0</v>
      </c>
      <c r="BI59" s="177">
        <v>0</v>
      </c>
      <c r="BJ59" s="389">
        <v>55.12222222222222</v>
      </c>
      <c r="BK59" s="351">
        <v>0</v>
      </c>
      <c r="BL59" s="351">
        <v>0</v>
      </c>
      <c r="BM59" s="352">
        <v>0</v>
      </c>
      <c r="BN59" s="179">
        <v>0</v>
      </c>
      <c r="BO59" s="179">
        <v>0</v>
      </c>
      <c r="BP59" s="179">
        <v>0</v>
      </c>
      <c r="BQ59" s="177">
        <v>0</v>
      </c>
      <c r="BR59" s="179">
        <f t="shared" si="102"/>
        <v>9.1448096207564403E-2</v>
      </c>
      <c r="BS59" s="179">
        <f t="shared" si="103"/>
        <v>8.8827433387272267E-2</v>
      </c>
      <c r="BT59" s="179">
        <f t="shared" si="104"/>
        <v>8.8827433387272267E-2</v>
      </c>
      <c r="BU59" s="177">
        <f t="shared" si="105"/>
        <v>8.8827433387272267E-2</v>
      </c>
      <c r="BV59" s="182">
        <v>27</v>
      </c>
      <c r="BW59" s="182">
        <v>30</v>
      </c>
      <c r="BX59" s="182">
        <v>30</v>
      </c>
      <c r="BY59" s="251">
        <v>30</v>
      </c>
      <c r="BZ59" s="180">
        <v>0.08</v>
      </c>
      <c r="CA59" s="180">
        <v>0.08</v>
      </c>
      <c r="CB59" s="180">
        <v>0.08</v>
      </c>
      <c r="CC59" s="180">
        <v>0.08</v>
      </c>
    </row>
    <row r="60" spans="1:81" s="179" customFormat="1" x14ac:dyDescent="0.35">
      <c r="A60" s="417"/>
      <c r="B60" s="250" t="str">
        <f t="shared" si="97"/>
        <v>RPU_ON_SP277-HH150</v>
      </c>
      <c r="C60" s="65" t="s">
        <v>180</v>
      </c>
      <c r="D60" s="174" t="s">
        <v>44</v>
      </c>
      <c r="E60" s="402" t="s">
        <v>466</v>
      </c>
      <c r="F60" s="6">
        <f t="shared" si="58"/>
        <v>55</v>
      </c>
      <c r="G60" s="175">
        <v>1</v>
      </c>
      <c r="H60" s="176" t="s">
        <v>391</v>
      </c>
      <c r="I60" s="176" t="s">
        <v>392</v>
      </c>
      <c r="J60" s="178">
        <v>0</v>
      </c>
      <c r="K60" s="178" t="s">
        <v>12</v>
      </c>
      <c r="L60" s="178">
        <v>1</v>
      </c>
      <c r="M60" s="178">
        <v>0</v>
      </c>
      <c r="N60" s="311">
        <v>0</v>
      </c>
      <c r="O60" s="178">
        <v>0</v>
      </c>
      <c r="P60" s="178">
        <v>0</v>
      </c>
      <c r="Q60" s="177">
        <f t="shared" si="92"/>
        <v>2000000</v>
      </c>
      <c r="R60" s="183">
        <v>0</v>
      </c>
      <c r="S60" s="183">
        <v>0</v>
      </c>
      <c r="T60" s="183">
        <v>0</v>
      </c>
      <c r="U60" s="237">
        <v>0</v>
      </c>
      <c r="V60" s="179">
        <v>0</v>
      </c>
      <c r="W60" s="179">
        <v>0</v>
      </c>
      <c r="X60" s="179">
        <v>0</v>
      </c>
      <c r="Y60" s="177">
        <v>0</v>
      </c>
      <c r="Z60" s="179">
        <v>0</v>
      </c>
      <c r="AA60" s="179">
        <v>0</v>
      </c>
      <c r="AB60" s="179">
        <v>0</v>
      </c>
      <c r="AC60" s="177">
        <v>0</v>
      </c>
      <c r="AD60" s="180">
        <v>0</v>
      </c>
      <c r="AE60" s="180">
        <v>0</v>
      </c>
      <c r="AF60" s="180">
        <v>0</v>
      </c>
      <c r="AG60" s="181">
        <v>0</v>
      </c>
      <c r="AH60" s="180">
        <v>1</v>
      </c>
      <c r="AI60" s="180">
        <v>1</v>
      </c>
      <c r="AJ60" s="180">
        <v>1</v>
      </c>
      <c r="AK60" s="181">
        <v>1</v>
      </c>
      <c r="AL60" s="180">
        <v>1</v>
      </c>
      <c r="AM60" s="180">
        <v>1</v>
      </c>
      <c r="AN60" s="180">
        <v>1</v>
      </c>
      <c r="AO60" s="181">
        <v>1</v>
      </c>
      <c r="AP60" s="179">
        <v>0</v>
      </c>
      <c r="AQ60" s="179">
        <v>0</v>
      </c>
      <c r="AR60" s="179">
        <v>0</v>
      </c>
      <c r="AS60" s="177">
        <v>0</v>
      </c>
      <c r="AT60" s="179">
        <v>1807.6939511361822</v>
      </c>
      <c r="AU60" s="179">
        <v>1678.5729546264547</v>
      </c>
      <c r="AV60" s="179">
        <v>1581.7322072441593</v>
      </c>
      <c r="AW60" s="177">
        <v>1549.4519581167272</v>
      </c>
      <c r="AX60" s="179">
        <v>14.599060000000001</v>
      </c>
      <c r="AY60" s="179">
        <v>13.139154000000001</v>
      </c>
      <c r="AZ60" s="179">
        <v>12.088021680000002</v>
      </c>
      <c r="BA60" s="177">
        <v>11.8252386</v>
      </c>
      <c r="BB60" s="179">
        <v>1.5641850000000001E-3</v>
      </c>
      <c r="BC60" s="179">
        <v>1.4077665000000001E-3</v>
      </c>
      <c r="BD60" s="179">
        <v>1.2930596E-3</v>
      </c>
      <c r="BE60" s="177">
        <v>1.2722038E-3</v>
      </c>
      <c r="BF60" s="179">
        <v>0</v>
      </c>
      <c r="BG60" s="179">
        <v>0</v>
      </c>
      <c r="BH60" s="179">
        <v>0</v>
      </c>
      <c r="BI60" s="177">
        <v>0</v>
      </c>
      <c r="BJ60" s="389">
        <v>55.12222222222222</v>
      </c>
      <c r="BK60" s="351">
        <v>0</v>
      </c>
      <c r="BL60" s="351">
        <v>0</v>
      </c>
      <c r="BM60" s="352">
        <v>0</v>
      </c>
      <c r="BN60" s="179">
        <v>0</v>
      </c>
      <c r="BO60" s="179">
        <v>0</v>
      </c>
      <c r="BP60" s="179">
        <v>0</v>
      </c>
      <c r="BQ60" s="177">
        <v>0</v>
      </c>
      <c r="BR60" s="179">
        <f t="shared" si="102"/>
        <v>9.1448096207564403E-2</v>
      </c>
      <c r="BS60" s="179">
        <f t="shared" si="103"/>
        <v>8.8827433387272267E-2</v>
      </c>
      <c r="BT60" s="179">
        <f t="shared" si="104"/>
        <v>8.8827433387272267E-2</v>
      </c>
      <c r="BU60" s="177">
        <f t="shared" si="105"/>
        <v>8.8827433387272267E-2</v>
      </c>
      <c r="BV60" s="182">
        <v>27</v>
      </c>
      <c r="BW60" s="182">
        <v>30</v>
      </c>
      <c r="BX60" s="182">
        <v>30</v>
      </c>
      <c r="BY60" s="251">
        <v>30</v>
      </c>
      <c r="BZ60" s="180">
        <v>0.08</v>
      </c>
      <c r="CA60" s="180">
        <v>0.08</v>
      </c>
      <c r="CB60" s="180">
        <v>0.08</v>
      </c>
      <c r="CC60" s="180">
        <v>0.08</v>
      </c>
    </row>
    <row r="61" spans="1:81" s="179" customFormat="1" x14ac:dyDescent="0.35">
      <c r="A61" s="417"/>
      <c r="B61" s="250" t="str">
        <f t="shared" si="97"/>
        <v>RPU_ON_SP321-HH100</v>
      </c>
      <c r="C61" s="65" t="s">
        <v>180</v>
      </c>
      <c r="D61" s="174" t="s">
        <v>45</v>
      </c>
      <c r="E61" s="402" t="s">
        <v>466</v>
      </c>
      <c r="F61" s="6">
        <f t="shared" si="58"/>
        <v>56</v>
      </c>
      <c r="G61" s="175">
        <v>1</v>
      </c>
      <c r="H61" s="176" t="s">
        <v>391</v>
      </c>
      <c r="I61" s="176" t="s">
        <v>392</v>
      </c>
      <c r="J61" s="178">
        <v>0</v>
      </c>
      <c r="K61" s="178" t="s">
        <v>12</v>
      </c>
      <c r="L61" s="178">
        <v>1</v>
      </c>
      <c r="M61" s="178">
        <v>0</v>
      </c>
      <c r="N61" s="311">
        <v>0</v>
      </c>
      <c r="O61" s="178">
        <v>0</v>
      </c>
      <c r="P61" s="178">
        <v>0</v>
      </c>
      <c r="Q61" s="177">
        <f t="shared" si="92"/>
        <v>2000000</v>
      </c>
      <c r="R61" s="183">
        <v>0</v>
      </c>
      <c r="S61" s="183">
        <v>0</v>
      </c>
      <c r="T61" s="183">
        <v>0</v>
      </c>
      <c r="U61" s="237">
        <v>0</v>
      </c>
      <c r="V61" s="179">
        <v>0</v>
      </c>
      <c r="W61" s="179">
        <v>0</v>
      </c>
      <c r="X61" s="179">
        <v>0</v>
      </c>
      <c r="Y61" s="177">
        <v>0</v>
      </c>
      <c r="Z61" s="179">
        <v>0</v>
      </c>
      <c r="AA61" s="179">
        <v>0</v>
      </c>
      <c r="AB61" s="179">
        <v>0</v>
      </c>
      <c r="AC61" s="177">
        <v>0</v>
      </c>
      <c r="AD61" s="180">
        <v>0</v>
      </c>
      <c r="AE61" s="180">
        <v>0</v>
      </c>
      <c r="AF61" s="180">
        <v>0</v>
      </c>
      <c r="AG61" s="181">
        <v>0</v>
      </c>
      <c r="AH61" s="180">
        <v>1</v>
      </c>
      <c r="AI61" s="180">
        <v>1</v>
      </c>
      <c r="AJ61" s="180">
        <v>1</v>
      </c>
      <c r="AK61" s="181">
        <v>1</v>
      </c>
      <c r="AL61" s="180">
        <v>1</v>
      </c>
      <c r="AM61" s="180">
        <v>1</v>
      </c>
      <c r="AN61" s="180">
        <v>1</v>
      </c>
      <c r="AO61" s="181">
        <v>1</v>
      </c>
      <c r="AP61" s="179">
        <v>0</v>
      </c>
      <c r="AQ61" s="179">
        <v>0</v>
      </c>
      <c r="AR61" s="179">
        <v>0</v>
      </c>
      <c r="AS61" s="177">
        <v>0</v>
      </c>
      <c r="AT61" s="179">
        <v>1301.2947800734096</v>
      </c>
      <c r="AU61" s="179">
        <v>1208.3451529253089</v>
      </c>
      <c r="AV61" s="179">
        <v>1138.6329325642334</v>
      </c>
      <c r="AW61" s="177">
        <v>1115.3955257772077</v>
      </c>
      <c r="AX61" s="179">
        <v>14.599060000000001</v>
      </c>
      <c r="AY61" s="179">
        <v>13.139154000000001</v>
      </c>
      <c r="AZ61" s="179">
        <v>12.088021680000002</v>
      </c>
      <c r="BA61" s="177">
        <v>11.8252386</v>
      </c>
      <c r="BB61" s="179">
        <v>1.5641850000000001E-3</v>
      </c>
      <c r="BC61" s="179">
        <v>1.4077665000000001E-3</v>
      </c>
      <c r="BD61" s="179">
        <v>1.2930596E-3</v>
      </c>
      <c r="BE61" s="177">
        <v>1.2722038E-3</v>
      </c>
      <c r="BF61" s="179">
        <v>0</v>
      </c>
      <c r="BG61" s="179">
        <v>0</v>
      </c>
      <c r="BH61" s="179">
        <v>0</v>
      </c>
      <c r="BI61" s="177">
        <v>0</v>
      </c>
      <c r="BJ61" s="389">
        <v>55.12222222222222</v>
      </c>
      <c r="BK61" s="351">
        <v>0</v>
      </c>
      <c r="BL61" s="351">
        <v>0</v>
      </c>
      <c r="BM61" s="352">
        <v>0</v>
      </c>
      <c r="BN61" s="179">
        <v>0</v>
      </c>
      <c r="BO61" s="179">
        <v>0</v>
      </c>
      <c r="BP61" s="179">
        <v>0</v>
      </c>
      <c r="BQ61" s="177">
        <v>0</v>
      </c>
      <c r="BR61" s="179">
        <f t="shared" si="102"/>
        <v>9.1448096207564403E-2</v>
      </c>
      <c r="BS61" s="179">
        <f t="shared" si="103"/>
        <v>8.8827433387272267E-2</v>
      </c>
      <c r="BT61" s="179">
        <f t="shared" si="104"/>
        <v>8.8827433387272267E-2</v>
      </c>
      <c r="BU61" s="177">
        <f t="shared" si="105"/>
        <v>8.8827433387272267E-2</v>
      </c>
      <c r="BV61" s="182">
        <v>27</v>
      </c>
      <c r="BW61" s="182">
        <v>30</v>
      </c>
      <c r="BX61" s="182">
        <v>30</v>
      </c>
      <c r="BY61" s="251">
        <v>30</v>
      </c>
      <c r="BZ61" s="180">
        <v>0.08</v>
      </c>
      <c r="CA61" s="180">
        <v>0.08</v>
      </c>
      <c r="CB61" s="180">
        <v>0.08</v>
      </c>
      <c r="CC61" s="180">
        <v>0.08</v>
      </c>
    </row>
    <row r="62" spans="1:81" s="179" customFormat="1" x14ac:dyDescent="0.35">
      <c r="A62" s="417"/>
      <c r="B62" s="250" t="str">
        <f t="shared" si="97"/>
        <v>RPU_ON_SP321-HH150</v>
      </c>
      <c r="C62" s="65" t="s">
        <v>180</v>
      </c>
      <c r="D62" s="174" t="s">
        <v>46</v>
      </c>
      <c r="E62" s="402" t="s">
        <v>466</v>
      </c>
      <c r="F62" s="6">
        <f t="shared" si="58"/>
        <v>57</v>
      </c>
      <c r="G62" s="175">
        <v>1</v>
      </c>
      <c r="H62" s="176" t="s">
        <v>391</v>
      </c>
      <c r="I62" s="176" t="s">
        <v>392</v>
      </c>
      <c r="J62" s="178">
        <v>0</v>
      </c>
      <c r="K62" s="178" t="s">
        <v>12</v>
      </c>
      <c r="L62" s="178">
        <v>1</v>
      </c>
      <c r="M62" s="178">
        <v>0</v>
      </c>
      <c r="N62" s="311">
        <v>0</v>
      </c>
      <c r="O62" s="178">
        <v>0</v>
      </c>
      <c r="P62" s="178">
        <v>0</v>
      </c>
      <c r="Q62" s="177">
        <f t="shared" si="92"/>
        <v>2000000</v>
      </c>
      <c r="R62" s="183">
        <v>0</v>
      </c>
      <c r="S62" s="183">
        <v>0</v>
      </c>
      <c r="T62" s="183">
        <v>0</v>
      </c>
      <c r="U62" s="237">
        <v>0</v>
      </c>
      <c r="V62" s="179">
        <v>0</v>
      </c>
      <c r="W62" s="179">
        <v>0</v>
      </c>
      <c r="X62" s="179">
        <v>0</v>
      </c>
      <c r="Y62" s="177">
        <v>0</v>
      </c>
      <c r="Z62" s="179">
        <v>0</v>
      </c>
      <c r="AA62" s="179">
        <v>0</v>
      </c>
      <c r="AB62" s="179">
        <v>0</v>
      </c>
      <c r="AC62" s="177">
        <v>0</v>
      </c>
      <c r="AD62" s="180">
        <v>0</v>
      </c>
      <c r="AE62" s="180">
        <v>0</v>
      </c>
      <c r="AF62" s="180">
        <v>0</v>
      </c>
      <c r="AG62" s="181">
        <v>0</v>
      </c>
      <c r="AH62" s="180">
        <v>1</v>
      </c>
      <c r="AI62" s="180">
        <v>1</v>
      </c>
      <c r="AJ62" s="180">
        <v>1</v>
      </c>
      <c r="AK62" s="181">
        <v>1</v>
      </c>
      <c r="AL62" s="180">
        <v>1</v>
      </c>
      <c r="AM62" s="180">
        <v>1</v>
      </c>
      <c r="AN62" s="180">
        <v>1</v>
      </c>
      <c r="AO62" s="181">
        <v>1</v>
      </c>
      <c r="AP62" s="179">
        <v>0</v>
      </c>
      <c r="AQ62" s="179">
        <v>0</v>
      </c>
      <c r="AR62" s="179">
        <v>0</v>
      </c>
      <c r="AS62" s="177">
        <v>0</v>
      </c>
      <c r="AT62" s="179">
        <v>1694.0063453254108</v>
      </c>
      <c r="AU62" s="179">
        <v>1573.0058920878812</v>
      </c>
      <c r="AV62" s="179">
        <v>1482.2555521597342</v>
      </c>
      <c r="AW62" s="177">
        <v>1452.0054388503518</v>
      </c>
      <c r="AX62" s="179">
        <v>14.599060000000001</v>
      </c>
      <c r="AY62" s="179">
        <v>13.139154000000001</v>
      </c>
      <c r="AZ62" s="179">
        <v>12.088021680000002</v>
      </c>
      <c r="BA62" s="177">
        <v>11.8252386</v>
      </c>
      <c r="BB62" s="179">
        <v>1.5641850000000001E-3</v>
      </c>
      <c r="BC62" s="179">
        <v>1.4077665000000001E-3</v>
      </c>
      <c r="BD62" s="179">
        <v>1.2930596E-3</v>
      </c>
      <c r="BE62" s="177">
        <v>1.2722038E-3</v>
      </c>
      <c r="BF62" s="179">
        <v>0</v>
      </c>
      <c r="BG62" s="179">
        <v>0</v>
      </c>
      <c r="BH62" s="179">
        <v>0</v>
      </c>
      <c r="BI62" s="177">
        <v>0</v>
      </c>
      <c r="BJ62" s="389">
        <v>55.12222222222222</v>
      </c>
      <c r="BK62" s="351">
        <v>0</v>
      </c>
      <c r="BL62" s="351">
        <v>0</v>
      </c>
      <c r="BM62" s="352">
        <v>0</v>
      </c>
      <c r="BN62" s="179">
        <v>0</v>
      </c>
      <c r="BO62" s="179">
        <v>0</v>
      </c>
      <c r="BP62" s="179">
        <v>0</v>
      </c>
      <c r="BQ62" s="177">
        <v>0</v>
      </c>
      <c r="BR62" s="179">
        <f t="shared" si="102"/>
        <v>9.1448096207564403E-2</v>
      </c>
      <c r="BS62" s="179">
        <f t="shared" si="103"/>
        <v>8.8827433387272267E-2</v>
      </c>
      <c r="BT62" s="179">
        <f t="shared" si="104"/>
        <v>8.8827433387272267E-2</v>
      </c>
      <c r="BU62" s="177">
        <f t="shared" si="105"/>
        <v>8.8827433387272267E-2</v>
      </c>
      <c r="BV62" s="182">
        <v>27</v>
      </c>
      <c r="BW62" s="182">
        <v>30</v>
      </c>
      <c r="BX62" s="182">
        <v>30</v>
      </c>
      <c r="BY62" s="251">
        <v>30</v>
      </c>
      <c r="BZ62" s="180">
        <v>0.08</v>
      </c>
      <c r="CA62" s="180">
        <v>0.08</v>
      </c>
      <c r="CB62" s="180">
        <v>0.08</v>
      </c>
      <c r="CC62" s="180">
        <v>0.08</v>
      </c>
    </row>
    <row r="63" spans="1:81" s="189" customFormat="1" x14ac:dyDescent="0.35">
      <c r="A63" s="417"/>
      <c r="B63" s="252" t="str">
        <f t="shared" si="97"/>
        <v>RPU_OFF_SP379-HH100</v>
      </c>
      <c r="C63" s="184" t="s">
        <v>180</v>
      </c>
      <c r="D63" s="185" t="s">
        <v>47</v>
      </c>
      <c r="E63" s="406" t="s">
        <v>467</v>
      </c>
      <c r="F63" s="6">
        <f t="shared" si="58"/>
        <v>58</v>
      </c>
      <c r="G63" s="186">
        <v>1</v>
      </c>
      <c r="H63" s="253" t="s">
        <v>391</v>
      </c>
      <c r="I63" s="253" t="s">
        <v>392</v>
      </c>
      <c r="J63" s="188">
        <v>0</v>
      </c>
      <c r="K63" s="188" t="s">
        <v>12</v>
      </c>
      <c r="L63" s="188">
        <v>1</v>
      </c>
      <c r="M63" s="188">
        <v>0</v>
      </c>
      <c r="N63" s="325">
        <v>0</v>
      </c>
      <c r="O63" s="188">
        <v>0</v>
      </c>
      <c r="P63" s="188">
        <v>0</v>
      </c>
      <c r="Q63" s="187">
        <f t="shared" si="92"/>
        <v>2000000</v>
      </c>
      <c r="R63" s="193">
        <v>0</v>
      </c>
      <c r="S63" s="193">
        <v>0</v>
      </c>
      <c r="T63" s="193">
        <v>0</v>
      </c>
      <c r="U63" s="254">
        <v>0</v>
      </c>
      <c r="V63" s="189">
        <v>0</v>
      </c>
      <c r="W63" s="189">
        <v>0</v>
      </c>
      <c r="X63" s="189">
        <v>0</v>
      </c>
      <c r="Y63" s="187">
        <v>0</v>
      </c>
      <c r="Z63" s="189">
        <v>0</v>
      </c>
      <c r="AA63" s="189">
        <v>0</v>
      </c>
      <c r="AB63" s="189">
        <v>0</v>
      </c>
      <c r="AC63" s="187">
        <v>0</v>
      </c>
      <c r="AD63" s="190">
        <v>0</v>
      </c>
      <c r="AE63" s="190">
        <v>0</v>
      </c>
      <c r="AF63" s="190">
        <v>0</v>
      </c>
      <c r="AG63" s="191">
        <v>0</v>
      </c>
      <c r="AH63" s="190">
        <v>1</v>
      </c>
      <c r="AI63" s="190">
        <v>1</v>
      </c>
      <c r="AJ63" s="190">
        <v>1</v>
      </c>
      <c r="AK63" s="191">
        <v>1</v>
      </c>
      <c r="AL63" s="190">
        <v>1</v>
      </c>
      <c r="AM63" s="190">
        <v>1</v>
      </c>
      <c r="AN63" s="190">
        <v>1</v>
      </c>
      <c r="AO63" s="191">
        <v>1</v>
      </c>
      <c r="AP63" s="189">
        <v>0</v>
      </c>
      <c r="AQ63" s="189">
        <v>0</v>
      </c>
      <c r="AR63" s="189">
        <v>0</v>
      </c>
      <c r="AS63" s="187">
        <v>0</v>
      </c>
      <c r="AT63" s="189">
        <v>2205.1904479084506</v>
      </c>
      <c r="AU63" s="189">
        <v>1998.1303119546053</v>
      </c>
      <c r="AV63" s="189">
        <v>1873.8942303822985</v>
      </c>
      <c r="AW63" s="187">
        <v>1842.8352099892215</v>
      </c>
      <c r="AX63" s="189">
        <v>41.773124610000004</v>
      </c>
      <c r="AY63" s="189">
        <v>37.595707870000005</v>
      </c>
      <c r="AZ63" s="189">
        <v>34.588301510000008</v>
      </c>
      <c r="BA63" s="187">
        <v>33.836449920000007</v>
      </c>
      <c r="BB63" s="189">
        <v>3.1283700000000001E-3</v>
      </c>
      <c r="BC63" s="189">
        <v>2.8155330000000003E-3</v>
      </c>
      <c r="BD63" s="189">
        <v>2.6069750000000001E-3</v>
      </c>
      <c r="BE63" s="187">
        <v>2.5026960000000004E-3</v>
      </c>
      <c r="BF63" s="189">
        <v>0</v>
      </c>
      <c r="BG63" s="189">
        <v>0</v>
      </c>
      <c r="BH63" s="189">
        <v>0</v>
      </c>
      <c r="BI63" s="187">
        <v>0</v>
      </c>
      <c r="BJ63" s="189">
        <v>53.53</v>
      </c>
      <c r="BK63" s="189">
        <v>0</v>
      </c>
      <c r="BL63" s="189">
        <v>0</v>
      </c>
      <c r="BM63" s="187">
        <v>0</v>
      </c>
      <c r="BN63" s="189">
        <v>0</v>
      </c>
      <c r="BO63" s="189">
        <v>0</v>
      </c>
      <c r="BP63" s="189">
        <v>0</v>
      </c>
      <c r="BQ63" s="187">
        <v>0</v>
      </c>
      <c r="BR63" s="189">
        <f t="shared" si="102"/>
        <v>9.1448096207564403E-2</v>
      </c>
      <c r="BS63" s="189">
        <f t="shared" si="103"/>
        <v>8.8827433387272267E-2</v>
      </c>
      <c r="BT63" s="189">
        <f t="shared" si="104"/>
        <v>8.8827433387272267E-2</v>
      </c>
      <c r="BU63" s="187">
        <f t="shared" si="105"/>
        <v>8.8827433387272267E-2</v>
      </c>
      <c r="BV63" s="192">
        <v>27</v>
      </c>
      <c r="BW63" s="192">
        <v>30</v>
      </c>
      <c r="BX63" s="192">
        <v>30</v>
      </c>
      <c r="BY63" s="255">
        <v>30</v>
      </c>
      <c r="BZ63" s="190">
        <v>0.08</v>
      </c>
      <c r="CA63" s="190">
        <v>0.08</v>
      </c>
      <c r="CB63" s="190">
        <v>0.08</v>
      </c>
      <c r="CC63" s="190">
        <v>0.08</v>
      </c>
    </row>
    <row r="64" spans="1:81" s="189" customFormat="1" x14ac:dyDescent="0.35">
      <c r="A64" s="417"/>
      <c r="B64" s="252" t="str">
        <f t="shared" si="97"/>
        <v>RPU_OFF_SP379-HH150</v>
      </c>
      <c r="C64" s="184" t="s">
        <v>180</v>
      </c>
      <c r="D64" s="185" t="s">
        <v>48</v>
      </c>
      <c r="E64" s="406" t="s">
        <v>467</v>
      </c>
      <c r="F64" s="6">
        <f t="shared" si="58"/>
        <v>59</v>
      </c>
      <c r="G64" s="186">
        <v>1</v>
      </c>
      <c r="H64" s="253" t="s">
        <v>391</v>
      </c>
      <c r="I64" s="253" t="s">
        <v>392</v>
      </c>
      <c r="J64" s="188">
        <v>0</v>
      </c>
      <c r="K64" s="188" t="s">
        <v>12</v>
      </c>
      <c r="L64" s="188">
        <v>1</v>
      </c>
      <c r="M64" s="188">
        <v>0</v>
      </c>
      <c r="N64" s="325">
        <v>0</v>
      </c>
      <c r="O64" s="188">
        <v>0</v>
      </c>
      <c r="P64" s="188">
        <v>0</v>
      </c>
      <c r="Q64" s="187">
        <f t="shared" si="92"/>
        <v>2000000</v>
      </c>
      <c r="R64" s="193">
        <v>0</v>
      </c>
      <c r="S64" s="193">
        <v>0</v>
      </c>
      <c r="T64" s="193">
        <v>0</v>
      </c>
      <c r="U64" s="254">
        <v>0</v>
      </c>
      <c r="V64" s="189">
        <v>0</v>
      </c>
      <c r="W64" s="189">
        <v>0</v>
      </c>
      <c r="X64" s="189">
        <v>0</v>
      </c>
      <c r="Y64" s="187">
        <v>0</v>
      </c>
      <c r="Z64" s="189">
        <v>0</v>
      </c>
      <c r="AA64" s="189">
        <v>0</v>
      </c>
      <c r="AB64" s="189">
        <v>0</v>
      </c>
      <c r="AC64" s="187">
        <v>0</v>
      </c>
      <c r="AD64" s="190">
        <v>0</v>
      </c>
      <c r="AE64" s="190">
        <v>0</v>
      </c>
      <c r="AF64" s="190">
        <v>0</v>
      </c>
      <c r="AG64" s="191">
        <v>0</v>
      </c>
      <c r="AH64" s="190">
        <v>1</v>
      </c>
      <c r="AI64" s="190">
        <v>1</v>
      </c>
      <c r="AJ64" s="190">
        <v>1</v>
      </c>
      <c r="AK64" s="191">
        <v>1</v>
      </c>
      <c r="AL64" s="190">
        <v>1</v>
      </c>
      <c r="AM64" s="190">
        <v>1</v>
      </c>
      <c r="AN64" s="190">
        <v>1</v>
      </c>
      <c r="AO64" s="191">
        <v>1</v>
      </c>
      <c r="AP64" s="189">
        <v>0</v>
      </c>
      <c r="AQ64" s="189">
        <v>0</v>
      </c>
      <c r="AR64" s="189">
        <v>0</v>
      </c>
      <c r="AS64" s="187">
        <v>0</v>
      </c>
      <c r="AT64" s="189">
        <v>2534.6071744804217</v>
      </c>
      <c r="AU64" s="189">
        <v>2296.6158904916497</v>
      </c>
      <c r="AV64" s="189">
        <v>2153.8211200983869</v>
      </c>
      <c r="AW64" s="187">
        <v>2118.1224275000709</v>
      </c>
      <c r="AX64" s="189">
        <v>41.773124610000004</v>
      </c>
      <c r="AY64" s="189">
        <v>37.595707870000005</v>
      </c>
      <c r="AZ64" s="189">
        <v>34.588301510000008</v>
      </c>
      <c r="BA64" s="187">
        <v>33.836449920000007</v>
      </c>
      <c r="BB64" s="189">
        <v>3.1283700000000001E-3</v>
      </c>
      <c r="BC64" s="189">
        <v>2.8155330000000003E-3</v>
      </c>
      <c r="BD64" s="189">
        <v>2.6069750000000001E-3</v>
      </c>
      <c r="BE64" s="187">
        <v>2.5026960000000004E-3</v>
      </c>
      <c r="BF64" s="189">
        <v>0</v>
      </c>
      <c r="BG64" s="189">
        <v>0</v>
      </c>
      <c r="BH64" s="189">
        <v>0</v>
      </c>
      <c r="BI64" s="187">
        <v>0</v>
      </c>
      <c r="BJ64" s="189">
        <v>53.529999999999994</v>
      </c>
      <c r="BK64" s="189">
        <v>0</v>
      </c>
      <c r="BL64" s="189">
        <v>0</v>
      </c>
      <c r="BM64" s="187">
        <v>0</v>
      </c>
      <c r="BN64" s="189">
        <v>0</v>
      </c>
      <c r="BO64" s="189">
        <v>0</v>
      </c>
      <c r="BP64" s="189">
        <v>0</v>
      </c>
      <c r="BQ64" s="187">
        <v>0</v>
      </c>
      <c r="BR64" s="189">
        <f t="shared" si="102"/>
        <v>9.1448096207564403E-2</v>
      </c>
      <c r="BS64" s="189">
        <f t="shared" si="103"/>
        <v>8.8827433387272267E-2</v>
      </c>
      <c r="BT64" s="189">
        <f t="shared" si="104"/>
        <v>8.8827433387272267E-2</v>
      </c>
      <c r="BU64" s="187">
        <f t="shared" si="105"/>
        <v>8.8827433387272267E-2</v>
      </c>
      <c r="BV64" s="192">
        <v>27</v>
      </c>
      <c r="BW64" s="192">
        <v>30</v>
      </c>
      <c r="BX64" s="192">
        <v>30</v>
      </c>
      <c r="BY64" s="255">
        <v>30</v>
      </c>
      <c r="BZ64" s="190">
        <v>0.08</v>
      </c>
      <c r="CA64" s="190">
        <v>0.08</v>
      </c>
      <c r="CB64" s="190">
        <v>0.08</v>
      </c>
      <c r="CC64" s="190">
        <v>0.08</v>
      </c>
    </row>
    <row r="65" spans="1:81" s="189" customFormat="1" x14ac:dyDescent="0.35">
      <c r="A65" s="417"/>
      <c r="B65" s="252" t="str">
        <f t="shared" si="97"/>
        <v>RPU_OFF_SP450-HH100</v>
      </c>
      <c r="C65" s="184" t="s">
        <v>180</v>
      </c>
      <c r="D65" s="185" t="s">
        <v>49</v>
      </c>
      <c r="E65" s="406" t="s">
        <v>467</v>
      </c>
      <c r="F65" s="6">
        <f t="shared" si="58"/>
        <v>60</v>
      </c>
      <c r="G65" s="186">
        <v>1</v>
      </c>
      <c r="H65" s="253" t="s">
        <v>391</v>
      </c>
      <c r="I65" s="253" t="s">
        <v>392</v>
      </c>
      <c r="J65" s="188">
        <v>0</v>
      </c>
      <c r="K65" s="188" t="s">
        <v>12</v>
      </c>
      <c r="L65" s="188">
        <v>1</v>
      </c>
      <c r="M65" s="188">
        <v>0</v>
      </c>
      <c r="N65" s="325">
        <v>0</v>
      </c>
      <c r="O65" s="188">
        <v>0</v>
      </c>
      <c r="P65" s="188">
        <v>0</v>
      </c>
      <c r="Q65" s="187">
        <f t="shared" si="92"/>
        <v>2000000</v>
      </c>
      <c r="R65" s="193">
        <v>0</v>
      </c>
      <c r="S65" s="193">
        <v>0</v>
      </c>
      <c r="T65" s="193">
        <v>0</v>
      </c>
      <c r="U65" s="254">
        <v>0</v>
      </c>
      <c r="V65" s="189">
        <v>0</v>
      </c>
      <c r="W65" s="189">
        <v>0</v>
      </c>
      <c r="X65" s="189">
        <v>0</v>
      </c>
      <c r="Y65" s="187">
        <v>0</v>
      </c>
      <c r="Z65" s="189">
        <v>0</v>
      </c>
      <c r="AA65" s="189">
        <v>0</v>
      </c>
      <c r="AB65" s="189">
        <v>0</v>
      </c>
      <c r="AC65" s="187">
        <v>0</v>
      </c>
      <c r="AD65" s="190">
        <v>0</v>
      </c>
      <c r="AE65" s="190">
        <v>0</v>
      </c>
      <c r="AF65" s="190">
        <v>0</v>
      </c>
      <c r="AG65" s="191">
        <v>0</v>
      </c>
      <c r="AH65" s="190">
        <v>1</v>
      </c>
      <c r="AI65" s="190">
        <v>1</v>
      </c>
      <c r="AJ65" s="190">
        <v>1</v>
      </c>
      <c r="AK65" s="191">
        <v>1</v>
      </c>
      <c r="AL65" s="190">
        <v>1</v>
      </c>
      <c r="AM65" s="190">
        <v>1</v>
      </c>
      <c r="AN65" s="190">
        <v>1</v>
      </c>
      <c r="AO65" s="191">
        <v>1</v>
      </c>
      <c r="AP65" s="189">
        <v>0</v>
      </c>
      <c r="AQ65" s="189">
        <v>0</v>
      </c>
      <c r="AR65" s="189">
        <v>0</v>
      </c>
      <c r="AS65" s="187">
        <v>0</v>
      </c>
      <c r="AT65" s="189">
        <v>1988.1234836201065</v>
      </c>
      <c r="AU65" s="189">
        <v>1801.4452222473265</v>
      </c>
      <c r="AV65" s="189">
        <v>1689.4382654236588</v>
      </c>
      <c r="AW65" s="187">
        <v>1661.4365262177421</v>
      </c>
      <c r="AX65" s="189">
        <v>41.773124610000004</v>
      </c>
      <c r="AY65" s="189">
        <v>37.595707870000005</v>
      </c>
      <c r="AZ65" s="189">
        <v>34.588301510000008</v>
      </c>
      <c r="BA65" s="187">
        <v>33.836449920000007</v>
      </c>
      <c r="BB65" s="189">
        <v>3.1283700000000001E-3</v>
      </c>
      <c r="BC65" s="189">
        <v>2.8155330000000003E-3</v>
      </c>
      <c r="BD65" s="189">
        <v>2.6069750000000001E-3</v>
      </c>
      <c r="BE65" s="187">
        <v>2.5026960000000004E-3</v>
      </c>
      <c r="BF65" s="189">
        <v>0</v>
      </c>
      <c r="BG65" s="189">
        <v>0</v>
      </c>
      <c r="BH65" s="189">
        <v>0</v>
      </c>
      <c r="BI65" s="187">
        <v>0</v>
      </c>
      <c r="BJ65" s="189">
        <v>53.529999999999994</v>
      </c>
      <c r="BK65" s="189">
        <v>0</v>
      </c>
      <c r="BL65" s="189">
        <v>0</v>
      </c>
      <c r="BM65" s="187">
        <v>0</v>
      </c>
      <c r="BN65" s="189">
        <v>0</v>
      </c>
      <c r="BO65" s="189">
        <v>0</v>
      </c>
      <c r="BP65" s="189">
        <v>0</v>
      </c>
      <c r="BQ65" s="187">
        <v>0</v>
      </c>
      <c r="BR65" s="189">
        <f t="shared" si="102"/>
        <v>9.1448096207564403E-2</v>
      </c>
      <c r="BS65" s="189">
        <f t="shared" si="103"/>
        <v>8.8827433387272267E-2</v>
      </c>
      <c r="BT65" s="189">
        <f t="shared" si="104"/>
        <v>8.8827433387272267E-2</v>
      </c>
      <c r="BU65" s="187">
        <f t="shared" si="105"/>
        <v>8.8827433387272267E-2</v>
      </c>
      <c r="BV65" s="192">
        <v>27</v>
      </c>
      <c r="BW65" s="192">
        <v>30</v>
      </c>
      <c r="BX65" s="192">
        <v>30</v>
      </c>
      <c r="BY65" s="255">
        <v>30</v>
      </c>
      <c r="BZ65" s="190">
        <v>0.08</v>
      </c>
      <c r="CA65" s="190">
        <v>0.08</v>
      </c>
      <c r="CB65" s="190">
        <v>0.08</v>
      </c>
      <c r="CC65" s="190">
        <v>0.08</v>
      </c>
    </row>
    <row r="66" spans="1:81" s="189" customFormat="1" x14ac:dyDescent="0.35">
      <c r="A66" s="417"/>
      <c r="B66" s="252" t="str">
        <f t="shared" si="97"/>
        <v>RPU_OFF_SP450-HH150</v>
      </c>
      <c r="C66" s="184" t="s">
        <v>180</v>
      </c>
      <c r="D66" s="185" t="s">
        <v>115</v>
      </c>
      <c r="E66" s="406" t="s">
        <v>467</v>
      </c>
      <c r="F66" s="6">
        <f t="shared" si="58"/>
        <v>61</v>
      </c>
      <c r="G66" s="186">
        <v>1</v>
      </c>
      <c r="H66" s="253" t="s">
        <v>391</v>
      </c>
      <c r="I66" s="253" t="s">
        <v>392</v>
      </c>
      <c r="J66" s="188">
        <v>0</v>
      </c>
      <c r="K66" s="188" t="s">
        <v>12</v>
      </c>
      <c r="L66" s="188">
        <v>1</v>
      </c>
      <c r="M66" s="188">
        <v>0</v>
      </c>
      <c r="N66" s="325">
        <v>0</v>
      </c>
      <c r="O66" s="188">
        <v>0</v>
      </c>
      <c r="P66" s="188">
        <v>0</v>
      </c>
      <c r="Q66" s="187">
        <f t="shared" si="92"/>
        <v>2000000</v>
      </c>
      <c r="R66" s="193">
        <v>0</v>
      </c>
      <c r="S66" s="193">
        <v>0</v>
      </c>
      <c r="T66" s="193">
        <v>0</v>
      </c>
      <c r="U66" s="254">
        <v>0</v>
      </c>
      <c r="V66" s="189">
        <v>0</v>
      </c>
      <c r="W66" s="189">
        <v>0</v>
      </c>
      <c r="X66" s="189">
        <v>0</v>
      </c>
      <c r="Y66" s="187">
        <v>0</v>
      </c>
      <c r="Z66" s="189">
        <v>0</v>
      </c>
      <c r="AA66" s="189">
        <v>0</v>
      </c>
      <c r="AB66" s="189">
        <v>0</v>
      </c>
      <c r="AC66" s="187">
        <v>0</v>
      </c>
      <c r="AD66" s="190">
        <v>0</v>
      </c>
      <c r="AE66" s="190">
        <v>0</v>
      </c>
      <c r="AF66" s="190">
        <v>0</v>
      </c>
      <c r="AG66" s="191">
        <v>0</v>
      </c>
      <c r="AH66" s="190">
        <v>1</v>
      </c>
      <c r="AI66" s="190">
        <v>1</v>
      </c>
      <c r="AJ66" s="190">
        <v>1</v>
      </c>
      <c r="AK66" s="191">
        <v>1</v>
      </c>
      <c r="AL66" s="190">
        <v>1</v>
      </c>
      <c r="AM66" s="190">
        <v>1</v>
      </c>
      <c r="AN66" s="190">
        <v>1</v>
      </c>
      <c r="AO66" s="191">
        <v>1</v>
      </c>
      <c r="AP66" s="189">
        <v>0</v>
      </c>
      <c r="AQ66" s="189">
        <v>0</v>
      </c>
      <c r="AR66" s="189">
        <v>0</v>
      </c>
      <c r="AS66" s="187">
        <v>0</v>
      </c>
      <c r="AT66" s="189">
        <v>2265.5270428386079</v>
      </c>
      <c r="AU66" s="189">
        <v>2052.8014989101002</v>
      </c>
      <c r="AV66" s="189">
        <v>1925.1661725529959</v>
      </c>
      <c r="AW66" s="187">
        <v>1893.2573409637196</v>
      </c>
      <c r="AX66" s="189">
        <v>41.773124610000004</v>
      </c>
      <c r="AY66" s="189">
        <v>37.595707870000005</v>
      </c>
      <c r="AZ66" s="189">
        <v>34.588301510000008</v>
      </c>
      <c r="BA66" s="187">
        <v>33.836449920000007</v>
      </c>
      <c r="BB66" s="189">
        <v>3.1283700000000001E-3</v>
      </c>
      <c r="BC66" s="189">
        <v>2.8155330000000003E-3</v>
      </c>
      <c r="BD66" s="189">
        <v>2.6069750000000001E-3</v>
      </c>
      <c r="BE66" s="187">
        <v>2.5026960000000004E-3</v>
      </c>
      <c r="BF66" s="189">
        <v>0</v>
      </c>
      <c r="BG66" s="189">
        <v>0</v>
      </c>
      <c r="BH66" s="189">
        <v>0</v>
      </c>
      <c r="BI66" s="187">
        <v>0</v>
      </c>
      <c r="BJ66" s="189">
        <v>53.529999999999994</v>
      </c>
      <c r="BK66" s="189">
        <v>0</v>
      </c>
      <c r="BL66" s="189">
        <v>0</v>
      </c>
      <c r="BM66" s="187">
        <v>0</v>
      </c>
      <c r="BN66" s="189">
        <v>0</v>
      </c>
      <c r="BO66" s="189">
        <v>0</v>
      </c>
      <c r="BP66" s="189">
        <v>0</v>
      </c>
      <c r="BQ66" s="187">
        <v>0</v>
      </c>
      <c r="BR66" s="189">
        <f t="shared" si="102"/>
        <v>9.1448096207564403E-2</v>
      </c>
      <c r="BS66" s="189">
        <f t="shared" si="103"/>
        <v>8.8827433387272267E-2</v>
      </c>
      <c r="BT66" s="189">
        <f t="shared" si="104"/>
        <v>8.8827433387272267E-2</v>
      </c>
      <c r="BU66" s="187">
        <f t="shared" si="105"/>
        <v>8.8827433387272267E-2</v>
      </c>
      <c r="BV66" s="192">
        <v>27</v>
      </c>
      <c r="BW66" s="192">
        <v>30</v>
      </c>
      <c r="BX66" s="192">
        <v>30</v>
      </c>
      <c r="BY66" s="255">
        <v>30</v>
      </c>
      <c r="BZ66" s="190">
        <v>0.08</v>
      </c>
      <c r="CA66" s="190">
        <v>0.08</v>
      </c>
      <c r="CB66" s="190">
        <v>0.08</v>
      </c>
      <c r="CC66" s="190">
        <v>0.08</v>
      </c>
    </row>
    <row r="67" spans="1:81" s="78" customFormat="1" ht="14.5" customHeight="1" x14ac:dyDescent="0.35">
      <c r="A67" s="417"/>
      <c r="B67" s="256" t="s">
        <v>324</v>
      </c>
      <c r="C67" s="76" t="s">
        <v>180</v>
      </c>
      <c r="D67" s="257" t="s">
        <v>325</v>
      </c>
      <c r="E67" s="396" t="s">
        <v>86</v>
      </c>
      <c r="F67" s="6">
        <f t="shared" si="58"/>
        <v>62</v>
      </c>
      <c r="G67" s="105">
        <v>1</v>
      </c>
      <c r="H67" s="117" t="s">
        <v>391</v>
      </c>
      <c r="I67" s="117" t="s">
        <v>392</v>
      </c>
      <c r="J67" s="126">
        <v>0</v>
      </c>
      <c r="K67" s="126" t="s">
        <v>12</v>
      </c>
      <c r="L67" s="126">
        <v>0</v>
      </c>
      <c r="M67" s="126">
        <v>0</v>
      </c>
      <c r="N67" s="126">
        <v>0</v>
      </c>
      <c r="O67" s="126">
        <v>0</v>
      </c>
      <c r="P67" s="126">
        <v>1</v>
      </c>
      <c r="Q67" s="136">
        <v>2000000</v>
      </c>
      <c r="R67" s="78">
        <v>0</v>
      </c>
      <c r="S67" s="78">
        <v>0</v>
      </c>
      <c r="T67" s="78">
        <v>0</v>
      </c>
      <c r="U67" s="136">
        <v>0</v>
      </c>
      <c r="V67" s="78">
        <v>0</v>
      </c>
      <c r="W67" s="78">
        <v>0</v>
      </c>
      <c r="X67" s="78">
        <v>0</v>
      </c>
      <c r="Y67" s="136">
        <v>0</v>
      </c>
      <c r="Z67" s="78">
        <v>0</v>
      </c>
      <c r="AA67" s="78">
        <v>0</v>
      </c>
      <c r="AB67" s="78">
        <v>0</v>
      </c>
      <c r="AC67" s="78">
        <v>0</v>
      </c>
      <c r="AD67" s="258">
        <v>0</v>
      </c>
      <c r="AE67" s="258">
        <v>0</v>
      </c>
      <c r="AF67" s="258">
        <v>0</v>
      </c>
      <c r="AG67" s="258">
        <v>0</v>
      </c>
      <c r="AH67" s="258">
        <v>1</v>
      </c>
      <c r="AI67" s="258">
        <v>1</v>
      </c>
      <c r="AJ67" s="258">
        <v>1</v>
      </c>
      <c r="AK67" s="258">
        <v>1</v>
      </c>
      <c r="AL67" s="258">
        <v>1</v>
      </c>
      <c r="AM67" s="258">
        <v>1</v>
      </c>
      <c r="AN67" s="258">
        <v>1</v>
      </c>
      <c r="AO67" s="358">
        <v>1</v>
      </c>
      <c r="AP67" s="78">
        <v>0</v>
      </c>
      <c r="AQ67" s="78">
        <v>0</v>
      </c>
      <c r="AR67" s="78">
        <v>0</v>
      </c>
      <c r="AS67" s="136">
        <v>0</v>
      </c>
      <c r="AT67" s="78">
        <v>3440.462003850032</v>
      </c>
      <c r="AU67" s="78">
        <f>AT67</f>
        <v>3440.462003850032</v>
      </c>
      <c r="AV67" s="78">
        <f t="shared" ref="AV67:AW67" si="106">AU67</f>
        <v>3440.462003850032</v>
      </c>
      <c r="AW67" s="78">
        <f t="shared" si="106"/>
        <v>3440.462003850032</v>
      </c>
      <c r="AX67" s="78">
        <v>59.583829865248902</v>
      </c>
      <c r="AY67" s="78">
        <f>AX67</f>
        <v>59.583829865248902</v>
      </c>
      <c r="AZ67" s="78">
        <f t="shared" ref="AZ67:BA67" si="107">AY67</f>
        <v>59.583829865248902</v>
      </c>
      <c r="BA67" s="78">
        <f t="shared" si="107"/>
        <v>59.583829865248902</v>
      </c>
      <c r="BB67" s="78">
        <v>4.5833715280960696E-3</v>
      </c>
      <c r="BC67" s="78">
        <f>BB67</f>
        <v>4.5833715280960696E-3</v>
      </c>
      <c r="BD67" s="78">
        <f t="shared" ref="BD67:BE67" si="108">BC67</f>
        <v>4.5833715280960696E-3</v>
      </c>
      <c r="BE67" s="78">
        <f t="shared" si="108"/>
        <v>4.5833715280960696E-3</v>
      </c>
      <c r="BF67" s="78">
        <v>0</v>
      </c>
      <c r="BG67" s="78">
        <v>0</v>
      </c>
      <c r="BH67" s="78">
        <v>0</v>
      </c>
      <c r="BI67" s="136">
        <v>0</v>
      </c>
      <c r="BJ67" s="78">
        <f t="shared" ref="BJ67:BJ70" si="109">((6.78*10^7)/(20*10^3))/30</f>
        <v>113</v>
      </c>
      <c r="BK67" s="78">
        <v>0</v>
      </c>
      <c r="BL67" s="78">
        <v>0</v>
      </c>
      <c r="BM67" s="136">
        <v>0</v>
      </c>
      <c r="BN67" s="78">
        <v>0</v>
      </c>
      <c r="BO67" s="78">
        <v>0</v>
      </c>
      <c r="BP67" s="78">
        <v>0</v>
      </c>
      <c r="BQ67" s="136">
        <v>0</v>
      </c>
      <c r="BR67" s="78">
        <f t="shared" si="102"/>
        <v>8.5810517220665614E-2</v>
      </c>
      <c r="BS67" s="78">
        <f t="shared" si="103"/>
        <v>8.5810517220665614E-2</v>
      </c>
      <c r="BT67" s="78">
        <f t="shared" si="104"/>
        <v>8.5810517220665614E-2</v>
      </c>
      <c r="BU67" s="136">
        <f t="shared" si="105"/>
        <v>8.5810517220665614E-2</v>
      </c>
      <c r="BV67" s="79">
        <v>25</v>
      </c>
      <c r="BW67" s="79">
        <v>25</v>
      </c>
      <c r="BX67" s="79">
        <v>25</v>
      </c>
      <c r="BY67" s="163">
        <v>25</v>
      </c>
      <c r="BZ67" s="80">
        <v>7.0000000000000007E-2</v>
      </c>
      <c r="CA67" s="80">
        <v>7.0000000000000007E-2</v>
      </c>
      <c r="CB67" s="80">
        <v>7.0000000000000007E-2</v>
      </c>
      <c r="CC67" s="80">
        <v>7.0000000000000007E-2</v>
      </c>
    </row>
    <row r="68" spans="1:81" s="78" customFormat="1" ht="14.5" customHeight="1" x14ac:dyDescent="0.35">
      <c r="A68" s="417"/>
      <c r="B68" s="256" t="s">
        <v>326</v>
      </c>
      <c r="C68" s="76" t="s">
        <v>180</v>
      </c>
      <c r="D68" s="257" t="s">
        <v>327</v>
      </c>
      <c r="E68" s="396" t="s">
        <v>86</v>
      </c>
      <c r="F68" s="6">
        <f t="shared" si="58"/>
        <v>63</v>
      </c>
      <c r="G68" s="105">
        <v>1</v>
      </c>
      <c r="H68" s="117" t="s">
        <v>391</v>
      </c>
      <c r="I68" s="117" t="s">
        <v>392</v>
      </c>
      <c r="J68" s="126">
        <v>0</v>
      </c>
      <c r="K68" s="126" t="s">
        <v>12</v>
      </c>
      <c r="L68" s="126">
        <v>0</v>
      </c>
      <c r="M68" s="126">
        <v>0</v>
      </c>
      <c r="N68" s="126">
        <v>0</v>
      </c>
      <c r="O68" s="126">
        <v>0</v>
      </c>
      <c r="P68" s="126">
        <v>1</v>
      </c>
      <c r="Q68" s="136">
        <v>2000000</v>
      </c>
      <c r="R68" s="78">
        <v>0</v>
      </c>
      <c r="S68" s="78">
        <v>0</v>
      </c>
      <c r="T68" s="78">
        <v>0</v>
      </c>
      <c r="U68" s="136">
        <v>0</v>
      </c>
      <c r="V68" s="78">
        <v>0</v>
      </c>
      <c r="W68" s="78">
        <v>0</v>
      </c>
      <c r="X68" s="78">
        <v>0</v>
      </c>
      <c r="Y68" s="136">
        <v>0</v>
      </c>
      <c r="Z68" s="78">
        <v>0</v>
      </c>
      <c r="AA68" s="78">
        <v>0</v>
      </c>
      <c r="AB68" s="78">
        <v>0</v>
      </c>
      <c r="AC68" s="78">
        <v>0</v>
      </c>
      <c r="AD68" s="258">
        <v>0</v>
      </c>
      <c r="AE68" s="258">
        <v>0</v>
      </c>
      <c r="AF68" s="258">
        <v>0</v>
      </c>
      <c r="AG68" s="258">
        <v>0</v>
      </c>
      <c r="AH68" s="258">
        <v>1</v>
      </c>
      <c r="AI68" s="258">
        <v>1</v>
      </c>
      <c r="AJ68" s="258">
        <v>1</v>
      </c>
      <c r="AK68" s="258">
        <v>1</v>
      </c>
      <c r="AL68" s="258">
        <v>1</v>
      </c>
      <c r="AM68" s="258">
        <v>1</v>
      </c>
      <c r="AN68" s="258">
        <v>1</v>
      </c>
      <c r="AO68" s="358">
        <v>1</v>
      </c>
      <c r="AP68" s="78">
        <v>0</v>
      </c>
      <c r="AQ68" s="78">
        <v>0</v>
      </c>
      <c r="AR68" s="78">
        <v>0</v>
      </c>
      <c r="AS68" s="136">
        <v>0</v>
      </c>
      <c r="AT68" s="78">
        <v>3440.462003850032</v>
      </c>
      <c r="AU68" s="78">
        <f t="shared" ref="AU68:AW68" si="110">AT68</f>
        <v>3440.462003850032</v>
      </c>
      <c r="AV68" s="78">
        <f t="shared" si="110"/>
        <v>3440.462003850032</v>
      </c>
      <c r="AW68" s="78">
        <f t="shared" si="110"/>
        <v>3440.462003850032</v>
      </c>
      <c r="AX68" s="78">
        <v>60.583829865248902</v>
      </c>
      <c r="AY68" s="78">
        <f t="shared" ref="AY68:BA68" si="111">AX68</f>
        <v>60.583829865248902</v>
      </c>
      <c r="AZ68" s="78">
        <f t="shared" si="111"/>
        <v>60.583829865248902</v>
      </c>
      <c r="BA68" s="78">
        <f t="shared" si="111"/>
        <v>60.583829865248902</v>
      </c>
      <c r="BB68" s="78">
        <v>1.0045833715281001</v>
      </c>
      <c r="BC68" s="78">
        <f t="shared" ref="BC68:BE68" si="112">BB68</f>
        <v>1.0045833715281001</v>
      </c>
      <c r="BD68" s="78">
        <f t="shared" si="112"/>
        <v>1.0045833715281001</v>
      </c>
      <c r="BE68" s="78">
        <f t="shared" si="112"/>
        <v>1.0045833715281001</v>
      </c>
      <c r="BF68" s="78">
        <v>0</v>
      </c>
      <c r="BG68" s="78">
        <v>0</v>
      </c>
      <c r="BH68" s="78">
        <v>0</v>
      </c>
      <c r="BI68" s="136">
        <v>0</v>
      </c>
      <c r="BJ68" s="78">
        <f t="shared" si="109"/>
        <v>113</v>
      </c>
      <c r="BK68" s="78">
        <v>0</v>
      </c>
      <c r="BL68" s="78">
        <v>0</v>
      </c>
      <c r="BM68" s="136">
        <v>0</v>
      </c>
      <c r="BN68" s="78">
        <v>0</v>
      </c>
      <c r="BO68" s="78">
        <v>0</v>
      </c>
      <c r="BP68" s="78">
        <v>0</v>
      </c>
      <c r="BQ68" s="136">
        <v>0</v>
      </c>
      <c r="BR68" s="78">
        <f t="shared" ref="BR68:BR82" si="113">IF(BV68&lt;&gt;0,(BZ68*(1+BZ68)^BV68)/((1+BZ68)^BV68-1),0)</f>
        <v>8.5810517220665614E-2</v>
      </c>
      <c r="BS68" s="78">
        <f t="shared" ref="BS68:BS78" si="114">IF(BW68&lt;&gt;0,(CA68*(1+CA68)^BW68)/((1+CA68)^BW68-1),0)</f>
        <v>8.5810517220665614E-2</v>
      </c>
      <c r="BT68" s="78">
        <f t="shared" ref="BT68:BT78" si="115">IF(BX68&lt;&gt;0,(CB68*(1+CB68)^BX68)/((1+CB68)^BX68-1),0)</f>
        <v>8.5810517220665614E-2</v>
      </c>
      <c r="BU68" s="136">
        <f t="shared" ref="BU68:BU78" si="116">IF(BY68&lt;&gt;0,(CC68*(1+CC68)^BY68)/((1+CC68)^BY68-1),0)</f>
        <v>8.5810517220665614E-2</v>
      </c>
      <c r="BV68" s="79">
        <v>25</v>
      </c>
      <c r="BW68" s="79">
        <v>25</v>
      </c>
      <c r="BX68" s="79">
        <v>25</v>
      </c>
      <c r="BY68" s="163">
        <v>25</v>
      </c>
      <c r="BZ68" s="80">
        <v>7.0000000000000007E-2</v>
      </c>
      <c r="CA68" s="80">
        <v>7.0000000000000007E-2</v>
      </c>
      <c r="CB68" s="80">
        <v>7.0000000000000007E-2</v>
      </c>
      <c r="CC68" s="80">
        <v>7.0000000000000007E-2</v>
      </c>
    </row>
    <row r="69" spans="1:81" s="78" customFormat="1" ht="14.5" customHeight="1" x14ac:dyDescent="0.35">
      <c r="A69" s="417"/>
      <c r="B69" s="256" t="s">
        <v>328</v>
      </c>
      <c r="C69" s="76" t="s">
        <v>180</v>
      </c>
      <c r="D69" s="257" t="s">
        <v>329</v>
      </c>
      <c r="E69" s="396" t="s">
        <v>86</v>
      </c>
      <c r="F69" s="6">
        <f t="shared" si="58"/>
        <v>64</v>
      </c>
      <c r="G69" s="105">
        <v>1</v>
      </c>
      <c r="H69" s="117" t="s">
        <v>391</v>
      </c>
      <c r="I69" s="117" t="s">
        <v>392</v>
      </c>
      <c r="J69" s="126">
        <v>0</v>
      </c>
      <c r="K69" s="126" t="s">
        <v>12</v>
      </c>
      <c r="L69" s="126">
        <v>0</v>
      </c>
      <c r="M69" s="126">
        <v>0</v>
      </c>
      <c r="N69" s="126">
        <v>0</v>
      </c>
      <c r="O69" s="126">
        <v>0</v>
      </c>
      <c r="P69" s="126">
        <v>1</v>
      </c>
      <c r="Q69" s="136">
        <v>2000000</v>
      </c>
      <c r="R69" s="78">
        <v>0</v>
      </c>
      <c r="S69" s="78">
        <v>0</v>
      </c>
      <c r="T69" s="78">
        <v>0</v>
      </c>
      <c r="U69" s="136">
        <v>0</v>
      </c>
      <c r="V69" s="78">
        <v>0</v>
      </c>
      <c r="W69" s="78">
        <v>0</v>
      </c>
      <c r="X69" s="78">
        <v>0</v>
      </c>
      <c r="Y69" s="136">
        <v>0</v>
      </c>
      <c r="Z69" s="78">
        <v>0</v>
      </c>
      <c r="AA69" s="78">
        <v>0</v>
      </c>
      <c r="AB69" s="78">
        <v>0</v>
      </c>
      <c r="AC69" s="78">
        <v>0</v>
      </c>
      <c r="AD69" s="258">
        <v>0</v>
      </c>
      <c r="AE69" s="258">
        <v>0</v>
      </c>
      <c r="AF69" s="258">
        <v>0</v>
      </c>
      <c r="AG69" s="258">
        <v>0</v>
      </c>
      <c r="AH69" s="258">
        <v>1</v>
      </c>
      <c r="AI69" s="258">
        <v>1</v>
      </c>
      <c r="AJ69" s="258">
        <v>1</v>
      </c>
      <c r="AK69" s="258">
        <v>1</v>
      </c>
      <c r="AL69" s="258">
        <v>1</v>
      </c>
      <c r="AM69" s="258">
        <v>1</v>
      </c>
      <c r="AN69" s="258">
        <v>1</v>
      </c>
      <c r="AO69" s="358">
        <v>1</v>
      </c>
      <c r="AP69" s="78">
        <v>0</v>
      </c>
      <c r="AQ69" s="78">
        <v>0</v>
      </c>
      <c r="AR69" s="78">
        <v>0</v>
      </c>
      <c r="AS69" s="136">
        <v>0</v>
      </c>
      <c r="AT69" s="78">
        <v>3440.462003850032</v>
      </c>
      <c r="AU69" s="78">
        <f t="shared" ref="AU69:AW69" si="117">AT69</f>
        <v>3440.462003850032</v>
      </c>
      <c r="AV69" s="78">
        <f t="shared" si="117"/>
        <v>3440.462003850032</v>
      </c>
      <c r="AW69" s="78">
        <f t="shared" si="117"/>
        <v>3440.462003850032</v>
      </c>
      <c r="AX69" s="78">
        <v>61.583829865248902</v>
      </c>
      <c r="AY69" s="78">
        <f t="shared" ref="AY69:BA69" si="118">AX69</f>
        <v>61.583829865248902</v>
      </c>
      <c r="AZ69" s="78">
        <f t="shared" si="118"/>
        <v>61.583829865248902</v>
      </c>
      <c r="BA69" s="78">
        <f t="shared" si="118"/>
        <v>61.583829865248902</v>
      </c>
      <c r="BB69" s="78">
        <v>2.0045833715281001</v>
      </c>
      <c r="BC69" s="78">
        <f t="shared" ref="BC69:BE69" si="119">BB69</f>
        <v>2.0045833715281001</v>
      </c>
      <c r="BD69" s="78">
        <f t="shared" si="119"/>
        <v>2.0045833715281001</v>
      </c>
      <c r="BE69" s="78">
        <f t="shared" si="119"/>
        <v>2.0045833715281001</v>
      </c>
      <c r="BF69" s="78">
        <v>0</v>
      </c>
      <c r="BG69" s="78">
        <v>0</v>
      </c>
      <c r="BH69" s="78">
        <v>0</v>
      </c>
      <c r="BI69" s="136">
        <v>0</v>
      </c>
      <c r="BJ69" s="78">
        <f t="shared" si="109"/>
        <v>113</v>
      </c>
      <c r="BK69" s="78">
        <v>0</v>
      </c>
      <c r="BL69" s="78">
        <v>0</v>
      </c>
      <c r="BM69" s="136">
        <v>0</v>
      </c>
      <c r="BN69" s="78">
        <v>0</v>
      </c>
      <c r="BO69" s="78">
        <v>0</v>
      </c>
      <c r="BP69" s="78">
        <v>0</v>
      </c>
      <c r="BQ69" s="136">
        <v>0</v>
      </c>
      <c r="BR69" s="78">
        <f t="shared" si="113"/>
        <v>8.5810517220665614E-2</v>
      </c>
      <c r="BS69" s="78">
        <f t="shared" si="114"/>
        <v>8.5810517220665614E-2</v>
      </c>
      <c r="BT69" s="78">
        <f t="shared" si="115"/>
        <v>8.5810517220665614E-2</v>
      </c>
      <c r="BU69" s="136">
        <f t="shared" si="116"/>
        <v>8.5810517220665614E-2</v>
      </c>
      <c r="BV69" s="79">
        <v>25</v>
      </c>
      <c r="BW69" s="79">
        <v>25</v>
      </c>
      <c r="BX69" s="79">
        <v>25</v>
      </c>
      <c r="BY69" s="163">
        <v>25</v>
      </c>
      <c r="BZ69" s="80">
        <v>7.0000000000000007E-2</v>
      </c>
      <c r="CA69" s="80">
        <v>7.0000000000000007E-2</v>
      </c>
      <c r="CB69" s="80">
        <v>7.0000000000000007E-2</v>
      </c>
      <c r="CC69" s="80">
        <v>7.0000000000000007E-2</v>
      </c>
    </row>
    <row r="70" spans="1:81" s="78" customFormat="1" ht="14.5" customHeight="1" x14ac:dyDescent="0.35">
      <c r="A70" s="417"/>
      <c r="B70" s="256" t="s">
        <v>330</v>
      </c>
      <c r="C70" s="76" t="s">
        <v>180</v>
      </c>
      <c r="D70" s="257" t="s">
        <v>331</v>
      </c>
      <c r="E70" s="396" t="s">
        <v>86</v>
      </c>
      <c r="F70" s="6">
        <f t="shared" ref="F70:F82" si="120">ROW(D69)-ROW($F$4)</f>
        <v>65</v>
      </c>
      <c r="G70" s="105">
        <v>1</v>
      </c>
      <c r="H70" s="117" t="s">
        <v>391</v>
      </c>
      <c r="I70" s="117" t="s">
        <v>392</v>
      </c>
      <c r="J70" s="126">
        <v>0</v>
      </c>
      <c r="K70" s="126" t="s">
        <v>12</v>
      </c>
      <c r="L70" s="126">
        <v>0</v>
      </c>
      <c r="M70" s="126">
        <v>0</v>
      </c>
      <c r="N70" s="126">
        <v>0</v>
      </c>
      <c r="O70" s="126">
        <v>0</v>
      </c>
      <c r="P70" s="126">
        <v>1</v>
      </c>
      <c r="Q70" s="136">
        <v>2000000</v>
      </c>
      <c r="R70" s="78">
        <v>0</v>
      </c>
      <c r="S70" s="78">
        <v>0</v>
      </c>
      <c r="T70" s="78">
        <v>0</v>
      </c>
      <c r="U70" s="136">
        <v>0</v>
      </c>
      <c r="V70" s="78">
        <v>0</v>
      </c>
      <c r="W70" s="78">
        <v>0</v>
      </c>
      <c r="X70" s="78">
        <v>0</v>
      </c>
      <c r="Y70" s="136">
        <v>0</v>
      </c>
      <c r="Z70" s="78">
        <v>0</v>
      </c>
      <c r="AA70" s="78">
        <v>0</v>
      </c>
      <c r="AB70" s="78">
        <v>0</v>
      </c>
      <c r="AC70" s="78">
        <v>0</v>
      </c>
      <c r="AD70" s="258">
        <v>0</v>
      </c>
      <c r="AE70" s="258">
        <v>0</v>
      </c>
      <c r="AF70" s="258">
        <v>0</v>
      </c>
      <c r="AG70" s="258">
        <v>0</v>
      </c>
      <c r="AH70" s="258">
        <v>1</v>
      </c>
      <c r="AI70" s="258">
        <v>1</v>
      </c>
      <c r="AJ70" s="258">
        <v>1</v>
      </c>
      <c r="AK70" s="258">
        <v>1</v>
      </c>
      <c r="AL70" s="258">
        <v>1</v>
      </c>
      <c r="AM70" s="258">
        <v>1</v>
      </c>
      <c r="AN70" s="258">
        <v>1</v>
      </c>
      <c r="AO70" s="358">
        <v>1</v>
      </c>
      <c r="AP70" s="78">
        <v>0</v>
      </c>
      <c r="AQ70" s="78">
        <v>0</v>
      </c>
      <c r="AR70" s="78">
        <v>0</v>
      </c>
      <c r="AS70" s="136">
        <v>0</v>
      </c>
      <c r="AT70" s="78">
        <v>3440.462003850032</v>
      </c>
      <c r="AU70" s="78">
        <f t="shared" ref="AU70:AW70" si="121">AT70</f>
        <v>3440.462003850032</v>
      </c>
      <c r="AV70" s="78">
        <f t="shared" si="121"/>
        <v>3440.462003850032</v>
      </c>
      <c r="AW70" s="78">
        <f t="shared" si="121"/>
        <v>3440.462003850032</v>
      </c>
      <c r="AX70" s="78">
        <v>62.583829865248902</v>
      </c>
      <c r="AY70" s="78">
        <f t="shared" ref="AY70:BA70" si="122">AX70</f>
        <v>62.583829865248902</v>
      </c>
      <c r="AZ70" s="78">
        <f t="shared" si="122"/>
        <v>62.583829865248902</v>
      </c>
      <c r="BA70" s="78">
        <f t="shared" si="122"/>
        <v>62.583829865248902</v>
      </c>
      <c r="BB70" s="78">
        <v>3.0045833715281001</v>
      </c>
      <c r="BC70" s="78">
        <f t="shared" ref="BC70:BE70" si="123">BB70</f>
        <v>3.0045833715281001</v>
      </c>
      <c r="BD70" s="78">
        <f t="shared" si="123"/>
        <v>3.0045833715281001</v>
      </c>
      <c r="BE70" s="78">
        <f t="shared" si="123"/>
        <v>3.0045833715281001</v>
      </c>
      <c r="BF70" s="78">
        <v>0</v>
      </c>
      <c r="BG70" s="78">
        <v>0</v>
      </c>
      <c r="BH70" s="78">
        <v>0</v>
      </c>
      <c r="BI70" s="136">
        <v>0</v>
      </c>
      <c r="BJ70" s="78">
        <f t="shared" si="109"/>
        <v>113</v>
      </c>
      <c r="BK70" s="78">
        <v>0</v>
      </c>
      <c r="BL70" s="78">
        <v>0</v>
      </c>
      <c r="BM70" s="136">
        <v>0</v>
      </c>
      <c r="BN70" s="78">
        <v>0</v>
      </c>
      <c r="BO70" s="78">
        <v>0</v>
      </c>
      <c r="BP70" s="78">
        <v>0</v>
      </c>
      <c r="BQ70" s="136">
        <v>0</v>
      </c>
      <c r="BR70" s="78">
        <f t="shared" si="113"/>
        <v>8.5810517220665614E-2</v>
      </c>
      <c r="BS70" s="78">
        <f t="shared" si="114"/>
        <v>8.5810517220665614E-2</v>
      </c>
      <c r="BT70" s="78">
        <f t="shared" si="115"/>
        <v>8.5810517220665614E-2</v>
      </c>
      <c r="BU70" s="136">
        <f t="shared" si="116"/>
        <v>8.5810517220665614E-2</v>
      </c>
      <c r="BV70" s="79">
        <v>25</v>
      </c>
      <c r="BW70" s="79">
        <v>25</v>
      </c>
      <c r="BX70" s="79">
        <v>25</v>
      </c>
      <c r="BY70" s="163">
        <v>25</v>
      </c>
      <c r="BZ70" s="80">
        <v>7.0000000000000007E-2</v>
      </c>
      <c r="CA70" s="80">
        <v>7.0000000000000007E-2</v>
      </c>
      <c r="CB70" s="80">
        <v>7.0000000000000007E-2</v>
      </c>
      <c r="CC70" s="80">
        <v>7.0000000000000007E-2</v>
      </c>
    </row>
    <row r="71" spans="1:81" s="266" customFormat="1" ht="14.5" customHeight="1" x14ac:dyDescent="0.35">
      <c r="A71" s="417"/>
      <c r="B71" s="259" t="s">
        <v>14</v>
      </c>
      <c r="C71" s="260" t="s">
        <v>180</v>
      </c>
      <c r="D71" s="261" t="s">
        <v>178</v>
      </c>
      <c r="E71" s="407" t="s">
        <v>86</v>
      </c>
      <c r="F71" s="6">
        <f t="shared" si="120"/>
        <v>66</v>
      </c>
      <c r="G71" s="262">
        <v>1</v>
      </c>
      <c r="H71" s="263" t="s">
        <v>391</v>
      </c>
      <c r="I71" s="263" t="s">
        <v>12</v>
      </c>
      <c r="J71" s="265">
        <v>0</v>
      </c>
      <c r="K71" s="265" t="s">
        <v>12</v>
      </c>
      <c r="L71" s="265">
        <v>0</v>
      </c>
      <c r="M71" s="265">
        <v>0</v>
      </c>
      <c r="N71" s="265">
        <v>0</v>
      </c>
      <c r="O71" s="265">
        <v>0</v>
      </c>
      <c r="P71" s="265">
        <v>-1</v>
      </c>
      <c r="Q71" s="264">
        <v>2000000</v>
      </c>
      <c r="R71" s="266">
        <v>0</v>
      </c>
      <c r="S71" s="266">
        <v>0</v>
      </c>
      <c r="T71" s="266">
        <v>0</v>
      </c>
      <c r="U71" s="264">
        <v>0</v>
      </c>
      <c r="V71" s="266">
        <v>0</v>
      </c>
      <c r="W71" s="266">
        <v>0</v>
      </c>
      <c r="X71" s="266">
        <v>0</v>
      </c>
      <c r="Y71" s="264">
        <v>0</v>
      </c>
      <c r="Z71" s="266">
        <v>0</v>
      </c>
      <c r="AA71" s="266">
        <v>0</v>
      </c>
      <c r="AB71" s="266">
        <v>0</v>
      </c>
      <c r="AC71" s="266">
        <v>0</v>
      </c>
      <c r="AD71" s="267">
        <v>0</v>
      </c>
      <c r="AE71" s="267">
        <v>0</v>
      </c>
      <c r="AF71" s="267">
        <v>0</v>
      </c>
      <c r="AG71" s="267">
        <v>0</v>
      </c>
      <c r="AH71" s="267">
        <v>1</v>
      </c>
      <c r="AI71" s="267">
        <v>1</v>
      </c>
      <c r="AJ71" s="267">
        <v>1</v>
      </c>
      <c r="AK71" s="267">
        <v>1</v>
      </c>
      <c r="AL71" s="267">
        <v>1</v>
      </c>
      <c r="AM71" s="267">
        <v>1</v>
      </c>
      <c r="AN71" s="267">
        <v>1</v>
      </c>
      <c r="AO71" s="359">
        <v>1</v>
      </c>
      <c r="AP71" s="266">
        <v>0</v>
      </c>
      <c r="AQ71" s="266">
        <v>0</v>
      </c>
      <c r="AR71" s="266">
        <v>0</v>
      </c>
      <c r="AS71" s="264">
        <v>0</v>
      </c>
      <c r="AT71" s="266">
        <v>3440.462003850032</v>
      </c>
      <c r="AU71" s="266">
        <f t="shared" ref="AU71:AW71" si="124">AT71</f>
        <v>3440.462003850032</v>
      </c>
      <c r="AV71" s="266">
        <f t="shared" si="124"/>
        <v>3440.462003850032</v>
      </c>
      <c r="AW71" s="266">
        <f t="shared" si="124"/>
        <v>3440.462003850032</v>
      </c>
      <c r="AX71" s="266">
        <v>63.583829865248902</v>
      </c>
      <c r="AY71" s="266">
        <f t="shared" ref="AY71:BA71" si="125">AX71</f>
        <v>63.583829865248902</v>
      </c>
      <c r="AZ71" s="266">
        <f t="shared" si="125"/>
        <v>63.583829865248902</v>
      </c>
      <c r="BA71" s="266">
        <f t="shared" si="125"/>
        <v>63.583829865248902</v>
      </c>
      <c r="BB71" s="266">
        <v>4.0045833715281001</v>
      </c>
      <c r="BC71" s="266">
        <f t="shared" ref="BC71:BE71" si="126">BB71</f>
        <v>4.0045833715281001</v>
      </c>
      <c r="BD71" s="266">
        <f t="shared" si="126"/>
        <v>4.0045833715281001</v>
      </c>
      <c r="BE71" s="266">
        <f t="shared" si="126"/>
        <v>4.0045833715281001</v>
      </c>
      <c r="BF71" s="266">
        <v>0</v>
      </c>
      <c r="BG71" s="266">
        <v>0</v>
      </c>
      <c r="BH71" s="266">
        <v>0</v>
      </c>
      <c r="BI71" s="264">
        <v>0</v>
      </c>
      <c r="BJ71" s="266">
        <v>0</v>
      </c>
      <c r="BK71" s="266">
        <v>0</v>
      </c>
      <c r="BL71" s="266">
        <v>0</v>
      </c>
      <c r="BM71" s="264">
        <v>0</v>
      </c>
      <c r="BN71" s="266">
        <v>0</v>
      </c>
      <c r="BO71" s="266">
        <v>0</v>
      </c>
      <c r="BP71" s="266">
        <v>0</v>
      </c>
      <c r="BQ71" s="264">
        <v>0</v>
      </c>
      <c r="BR71" s="266">
        <f t="shared" si="113"/>
        <v>8.5810517220665614E-2</v>
      </c>
      <c r="BS71" s="266">
        <f t="shared" si="114"/>
        <v>8.5810517220665614E-2</v>
      </c>
      <c r="BT71" s="266">
        <f t="shared" si="115"/>
        <v>8.5810517220665614E-2</v>
      </c>
      <c r="BU71" s="264">
        <f t="shared" si="116"/>
        <v>8.5810517220665614E-2</v>
      </c>
      <c r="BV71" s="268">
        <v>25</v>
      </c>
      <c r="BW71" s="268">
        <v>25</v>
      </c>
      <c r="BX71" s="268">
        <v>25</v>
      </c>
      <c r="BY71" s="354">
        <v>25</v>
      </c>
      <c r="BZ71" s="269">
        <v>7.0000000000000007E-2</v>
      </c>
      <c r="CA71" s="269">
        <v>7.0000000000000007E-2</v>
      </c>
      <c r="CB71" s="269">
        <v>7.0000000000000007E-2</v>
      </c>
      <c r="CC71" s="269">
        <v>7.0000000000000007E-2</v>
      </c>
    </row>
    <row r="72" spans="1:81" s="266" customFormat="1" ht="14.5" customHeight="1" x14ac:dyDescent="0.35">
      <c r="A72" s="417"/>
      <c r="B72" s="259" t="s">
        <v>15</v>
      </c>
      <c r="C72" s="260" t="s">
        <v>180</v>
      </c>
      <c r="D72" s="261" t="s">
        <v>179</v>
      </c>
      <c r="E72" s="407" t="s">
        <v>86</v>
      </c>
      <c r="F72" s="6">
        <f t="shared" si="120"/>
        <v>67</v>
      </c>
      <c r="G72" s="262">
        <v>1</v>
      </c>
      <c r="H72" s="263" t="s">
        <v>391</v>
      </c>
      <c r="I72" s="263" t="s">
        <v>392</v>
      </c>
      <c r="J72" s="265">
        <v>0</v>
      </c>
      <c r="K72" s="265" t="s">
        <v>12</v>
      </c>
      <c r="L72" s="265">
        <v>0</v>
      </c>
      <c r="M72" s="265">
        <v>0</v>
      </c>
      <c r="N72" s="265">
        <v>0</v>
      </c>
      <c r="O72" s="265">
        <v>0</v>
      </c>
      <c r="P72" s="265">
        <v>1</v>
      </c>
      <c r="Q72" s="264">
        <v>2000000</v>
      </c>
      <c r="R72" s="266">
        <v>0</v>
      </c>
      <c r="S72" s="266">
        <v>0</v>
      </c>
      <c r="T72" s="266">
        <v>0</v>
      </c>
      <c r="U72" s="264">
        <v>0</v>
      </c>
      <c r="V72" s="266">
        <v>0</v>
      </c>
      <c r="W72" s="266">
        <v>0</v>
      </c>
      <c r="X72" s="266">
        <v>0</v>
      </c>
      <c r="Y72" s="264">
        <v>0</v>
      </c>
      <c r="Z72" s="266">
        <v>0</v>
      </c>
      <c r="AA72" s="266">
        <v>0</v>
      </c>
      <c r="AB72" s="266">
        <v>0</v>
      </c>
      <c r="AC72" s="266">
        <v>0</v>
      </c>
      <c r="AD72" s="267">
        <v>0</v>
      </c>
      <c r="AE72" s="267">
        <v>0</v>
      </c>
      <c r="AF72" s="267">
        <v>0</v>
      </c>
      <c r="AG72" s="267">
        <v>0</v>
      </c>
      <c r="AH72" s="267">
        <v>1</v>
      </c>
      <c r="AI72" s="267">
        <v>1</v>
      </c>
      <c r="AJ72" s="267">
        <v>1</v>
      </c>
      <c r="AK72" s="267">
        <v>1</v>
      </c>
      <c r="AL72" s="267">
        <v>1</v>
      </c>
      <c r="AM72" s="267">
        <v>1</v>
      </c>
      <c r="AN72" s="267">
        <v>1</v>
      </c>
      <c r="AO72" s="359">
        <v>1</v>
      </c>
      <c r="AP72" s="266">
        <v>0</v>
      </c>
      <c r="AQ72" s="266">
        <v>0</v>
      </c>
      <c r="AR72" s="266">
        <v>0</v>
      </c>
      <c r="AS72" s="264">
        <v>0</v>
      </c>
      <c r="AT72" s="266">
        <v>3440.462003850032</v>
      </c>
      <c r="AU72" s="266">
        <f t="shared" ref="AU72:AW72" si="127">AT72</f>
        <v>3440.462003850032</v>
      </c>
      <c r="AV72" s="266">
        <f t="shared" si="127"/>
        <v>3440.462003850032</v>
      </c>
      <c r="AW72" s="266">
        <f t="shared" si="127"/>
        <v>3440.462003850032</v>
      </c>
      <c r="AX72" s="266">
        <v>64.583829865248902</v>
      </c>
      <c r="AY72" s="266">
        <f t="shared" ref="AY72:BA72" si="128">AX72</f>
        <v>64.583829865248902</v>
      </c>
      <c r="AZ72" s="266">
        <f t="shared" si="128"/>
        <v>64.583829865248902</v>
      </c>
      <c r="BA72" s="266">
        <f t="shared" si="128"/>
        <v>64.583829865248902</v>
      </c>
      <c r="BB72" s="266">
        <v>5.0045833715281001</v>
      </c>
      <c r="BC72" s="266">
        <f t="shared" ref="BC72:BE72" si="129">BB72</f>
        <v>5.0045833715281001</v>
      </c>
      <c r="BD72" s="266">
        <f t="shared" si="129"/>
        <v>5.0045833715281001</v>
      </c>
      <c r="BE72" s="266">
        <f t="shared" si="129"/>
        <v>5.0045833715281001</v>
      </c>
      <c r="BF72" s="266">
        <v>0</v>
      </c>
      <c r="BG72" s="266">
        <v>0</v>
      </c>
      <c r="BH72" s="266">
        <v>0</v>
      </c>
      <c r="BI72" s="264">
        <v>0</v>
      </c>
      <c r="BJ72" s="266">
        <v>0</v>
      </c>
      <c r="BK72" s="266">
        <v>0</v>
      </c>
      <c r="BL72" s="266">
        <v>0</v>
      </c>
      <c r="BM72" s="264">
        <v>0</v>
      </c>
      <c r="BN72" s="266">
        <v>0</v>
      </c>
      <c r="BO72" s="266">
        <v>0</v>
      </c>
      <c r="BP72" s="266">
        <v>0</v>
      </c>
      <c r="BQ72" s="264">
        <v>0</v>
      </c>
      <c r="BR72" s="266">
        <f t="shared" si="113"/>
        <v>8.5810517220665614E-2</v>
      </c>
      <c r="BS72" s="266">
        <f t="shared" si="114"/>
        <v>8.5810517220665614E-2</v>
      </c>
      <c r="BT72" s="266">
        <f t="shared" si="115"/>
        <v>8.5810517220665614E-2</v>
      </c>
      <c r="BU72" s="264">
        <f t="shared" si="116"/>
        <v>8.5810517220665614E-2</v>
      </c>
      <c r="BV72" s="268">
        <v>25</v>
      </c>
      <c r="BW72" s="268">
        <v>25</v>
      </c>
      <c r="BX72" s="268">
        <v>25</v>
      </c>
      <c r="BY72" s="354">
        <v>25</v>
      </c>
      <c r="BZ72" s="269">
        <v>7.0000000000000007E-2</v>
      </c>
      <c r="CA72" s="269">
        <v>7.0000000000000007E-2</v>
      </c>
      <c r="CB72" s="269">
        <v>7.0000000000000007E-2</v>
      </c>
      <c r="CC72" s="269">
        <v>7.0000000000000007E-2</v>
      </c>
    </row>
    <row r="73" spans="1:81" s="277" customFormat="1" ht="14.5" customHeight="1" x14ac:dyDescent="0.35">
      <c r="A73" s="417"/>
      <c r="B73" s="270" t="s">
        <v>16</v>
      </c>
      <c r="C73" s="271" t="s">
        <v>180</v>
      </c>
      <c r="D73" s="272" t="s">
        <v>332</v>
      </c>
      <c r="E73" s="408" t="s">
        <v>86</v>
      </c>
      <c r="F73" s="6">
        <f t="shared" si="120"/>
        <v>68</v>
      </c>
      <c r="G73" s="273">
        <v>1</v>
      </c>
      <c r="H73" s="274" t="s">
        <v>392</v>
      </c>
      <c r="I73" s="274" t="s">
        <v>392</v>
      </c>
      <c r="J73" s="276">
        <v>0</v>
      </c>
      <c r="K73" s="276" t="s">
        <v>12</v>
      </c>
      <c r="L73" s="276">
        <v>0</v>
      </c>
      <c r="M73" s="276">
        <v>0</v>
      </c>
      <c r="N73" s="276">
        <v>0</v>
      </c>
      <c r="O73" s="276">
        <v>0</v>
      </c>
      <c r="P73" s="276">
        <v>0</v>
      </c>
      <c r="Q73" s="275">
        <v>2000000</v>
      </c>
      <c r="R73" s="277">
        <v>0</v>
      </c>
      <c r="S73" s="277">
        <v>0</v>
      </c>
      <c r="T73" s="277">
        <v>0</v>
      </c>
      <c r="U73" s="275">
        <v>0</v>
      </c>
      <c r="V73" s="277">
        <v>0</v>
      </c>
      <c r="W73" s="277">
        <v>0</v>
      </c>
      <c r="X73" s="277">
        <v>0</v>
      </c>
      <c r="Y73" s="275">
        <v>0</v>
      </c>
      <c r="Z73" s="277">
        <v>0</v>
      </c>
      <c r="AA73" s="277">
        <v>0</v>
      </c>
      <c r="AB73" s="277">
        <v>0</v>
      </c>
      <c r="AC73" s="277">
        <v>0</v>
      </c>
      <c r="AD73" s="278">
        <v>0</v>
      </c>
      <c r="AE73" s="278">
        <v>0</v>
      </c>
      <c r="AF73" s="278">
        <v>0</v>
      </c>
      <c r="AG73" s="278">
        <v>0</v>
      </c>
      <c r="AH73" s="278">
        <v>1</v>
      </c>
      <c r="AI73" s="278">
        <v>1</v>
      </c>
      <c r="AJ73" s="278">
        <v>1</v>
      </c>
      <c r="AK73" s="278">
        <v>1</v>
      </c>
      <c r="AL73" s="278">
        <v>1</v>
      </c>
      <c r="AM73" s="278">
        <v>1</v>
      </c>
      <c r="AN73" s="278">
        <v>1</v>
      </c>
      <c r="AO73" s="360">
        <v>1</v>
      </c>
      <c r="AP73" s="277">
        <v>0</v>
      </c>
      <c r="AQ73" s="277">
        <v>0</v>
      </c>
      <c r="AR73" s="277">
        <v>0</v>
      </c>
      <c r="AS73" s="275">
        <v>0</v>
      </c>
      <c r="AT73" s="277">
        <v>3440.462003850032</v>
      </c>
      <c r="AU73" s="277">
        <f t="shared" ref="AU73:AW73" si="130">AT73</f>
        <v>3440.462003850032</v>
      </c>
      <c r="AV73" s="277">
        <f t="shared" si="130"/>
        <v>3440.462003850032</v>
      </c>
      <c r="AW73" s="277">
        <f t="shared" si="130"/>
        <v>3440.462003850032</v>
      </c>
      <c r="AX73" s="277">
        <v>65.583829865248902</v>
      </c>
      <c r="AY73" s="277">
        <f t="shared" ref="AY73:BA73" si="131">AX73</f>
        <v>65.583829865248902</v>
      </c>
      <c r="AZ73" s="277">
        <f t="shared" si="131"/>
        <v>65.583829865248902</v>
      </c>
      <c r="BA73" s="277">
        <f t="shared" si="131"/>
        <v>65.583829865248902</v>
      </c>
      <c r="BB73" s="277">
        <v>6.0045833715281001</v>
      </c>
      <c r="BC73" s="277">
        <f t="shared" ref="BC73:BE73" si="132">BB73</f>
        <v>6.0045833715281001</v>
      </c>
      <c r="BD73" s="277">
        <f t="shared" si="132"/>
        <v>6.0045833715281001</v>
      </c>
      <c r="BE73" s="277">
        <f t="shared" si="132"/>
        <v>6.0045833715281001</v>
      </c>
      <c r="BF73" s="277">
        <v>0</v>
      </c>
      <c r="BG73" s="277">
        <v>0</v>
      </c>
      <c r="BH73" s="277">
        <v>0</v>
      </c>
      <c r="BI73" s="275">
        <v>0</v>
      </c>
      <c r="BJ73" s="277">
        <v>0</v>
      </c>
      <c r="BK73" s="277">
        <v>0</v>
      </c>
      <c r="BL73" s="277">
        <v>0</v>
      </c>
      <c r="BM73" s="275">
        <v>0</v>
      </c>
      <c r="BN73" s="277">
        <v>0</v>
      </c>
      <c r="BO73" s="277">
        <v>0</v>
      </c>
      <c r="BP73" s="277">
        <v>0</v>
      </c>
      <c r="BQ73" s="275">
        <v>0</v>
      </c>
      <c r="BR73" s="277">
        <f t="shared" si="113"/>
        <v>8.5810517220665614E-2</v>
      </c>
      <c r="BS73" s="277">
        <f t="shared" si="114"/>
        <v>8.5810517220665614E-2</v>
      </c>
      <c r="BT73" s="277">
        <f t="shared" si="115"/>
        <v>8.5810517220665614E-2</v>
      </c>
      <c r="BU73" s="275">
        <f t="shared" si="116"/>
        <v>8.5810517220665614E-2</v>
      </c>
      <c r="BV73" s="279">
        <v>25</v>
      </c>
      <c r="BW73" s="279">
        <v>25</v>
      </c>
      <c r="BX73" s="279">
        <v>25</v>
      </c>
      <c r="BY73" s="355">
        <v>25</v>
      </c>
      <c r="BZ73" s="280">
        <v>7.0000000000000007E-2</v>
      </c>
      <c r="CA73" s="280">
        <v>7.0000000000000007E-2</v>
      </c>
      <c r="CB73" s="280">
        <v>7.0000000000000007E-2</v>
      </c>
      <c r="CC73" s="280">
        <v>7.0000000000000007E-2</v>
      </c>
    </row>
    <row r="74" spans="1:81" s="277" customFormat="1" ht="14.5" customHeight="1" x14ac:dyDescent="0.35">
      <c r="A74" s="417"/>
      <c r="B74" s="270" t="s">
        <v>16</v>
      </c>
      <c r="C74" s="271" t="s">
        <v>180</v>
      </c>
      <c r="D74" s="272" t="s">
        <v>333</v>
      </c>
      <c r="E74" s="408" t="s">
        <v>86</v>
      </c>
      <c r="F74" s="6">
        <f t="shared" si="120"/>
        <v>69</v>
      </c>
      <c r="G74" s="273">
        <v>1</v>
      </c>
      <c r="H74" s="274" t="s">
        <v>392</v>
      </c>
      <c r="I74" s="274" t="s">
        <v>392</v>
      </c>
      <c r="J74" s="276">
        <v>0</v>
      </c>
      <c r="K74" s="276" t="s">
        <v>12</v>
      </c>
      <c r="L74" s="276">
        <v>0</v>
      </c>
      <c r="M74" s="276">
        <v>0</v>
      </c>
      <c r="N74" s="276">
        <v>0</v>
      </c>
      <c r="O74" s="276">
        <v>0</v>
      </c>
      <c r="P74" s="276">
        <v>0</v>
      </c>
      <c r="Q74" s="275">
        <v>2000000</v>
      </c>
      <c r="R74" s="277">
        <v>0</v>
      </c>
      <c r="S74" s="277">
        <v>0</v>
      </c>
      <c r="T74" s="277">
        <v>0</v>
      </c>
      <c r="U74" s="275">
        <v>0</v>
      </c>
      <c r="V74" s="277">
        <v>0</v>
      </c>
      <c r="W74" s="277">
        <v>0</v>
      </c>
      <c r="X74" s="277">
        <v>0</v>
      </c>
      <c r="Y74" s="275">
        <v>0</v>
      </c>
      <c r="Z74" s="277">
        <v>0</v>
      </c>
      <c r="AA74" s="277">
        <v>0</v>
      </c>
      <c r="AB74" s="277">
        <v>0</v>
      </c>
      <c r="AC74" s="277">
        <v>0</v>
      </c>
      <c r="AD74" s="278">
        <v>0</v>
      </c>
      <c r="AE74" s="278">
        <v>0</v>
      </c>
      <c r="AF74" s="278">
        <v>0</v>
      </c>
      <c r="AG74" s="278">
        <v>0</v>
      </c>
      <c r="AH74" s="278">
        <v>1</v>
      </c>
      <c r="AI74" s="278">
        <v>1</v>
      </c>
      <c r="AJ74" s="278">
        <v>1</v>
      </c>
      <c r="AK74" s="278">
        <v>1</v>
      </c>
      <c r="AL74" s="278">
        <v>1</v>
      </c>
      <c r="AM74" s="278">
        <v>1</v>
      </c>
      <c r="AN74" s="278">
        <v>1</v>
      </c>
      <c r="AO74" s="360">
        <v>1</v>
      </c>
      <c r="AP74" s="277">
        <v>0</v>
      </c>
      <c r="AQ74" s="277">
        <v>0</v>
      </c>
      <c r="AR74" s="277">
        <v>0</v>
      </c>
      <c r="AS74" s="275">
        <v>0</v>
      </c>
      <c r="AT74" s="277">
        <v>3440.462003850032</v>
      </c>
      <c r="AU74" s="277">
        <f t="shared" ref="AU74:AW74" si="133">AT74</f>
        <v>3440.462003850032</v>
      </c>
      <c r="AV74" s="277">
        <f t="shared" si="133"/>
        <v>3440.462003850032</v>
      </c>
      <c r="AW74" s="277">
        <f t="shared" si="133"/>
        <v>3440.462003850032</v>
      </c>
      <c r="AX74" s="277">
        <v>66.583829865248902</v>
      </c>
      <c r="AY74" s="277">
        <f t="shared" ref="AY74:BA74" si="134">AX74</f>
        <v>66.583829865248902</v>
      </c>
      <c r="AZ74" s="277">
        <f t="shared" si="134"/>
        <v>66.583829865248902</v>
      </c>
      <c r="BA74" s="277">
        <f t="shared" si="134"/>
        <v>66.583829865248902</v>
      </c>
      <c r="BB74" s="277">
        <v>7.0045833715281001</v>
      </c>
      <c r="BC74" s="277">
        <f t="shared" ref="BC74:BE74" si="135">BB74</f>
        <v>7.0045833715281001</v>
      </c>
      <c r="BD74" s="277">
        <f t="shared" si="135"/>
        <v>7.0045833715281001</v>
      </c>
      <c r="BE74" s="277">
        <f t="shared" si="135"/>
        <v>7.0045833715281001</v>
      </c>
      <c r="BF74" s="277">
        <v>0</v>
      </c>
      <c r="BG74" s="277">
        <v>0</v>
      </c>
      <c r="BH74" s="277">
        <v>0</v>
      </c>
      <c r="BI74" s="275">
        <v>0</v>
      </c>
      <c r="BJ74" s="277">
        <v>0</v>
      </c>
      <c r="BK74" s="277">
        <v>0</v>
      </c>
      <c r="BL74" s="277">
        <v>0</v>
      </c>
      <c r="BM74" s="275">
        <v>0</v>
      </c>
      <c r="BN74" s="277">
        <v>0</v>
      </c>
      <c r="BO74" s="277">
        <v>0</v>
      </c>
      <c r="BP74" s="277">
        <v>0</v>
      </c>
      <c r="BQ74" s="275">
        <v>0</v>
      </c>
      <c r="BR74" s="277">
        <f t="shared" si="113"/>
        <v>8.5810517220665614E-2</v>
      </c>
      <c r="BS74" s="277">
        <f t="shared" si="114"/>
        <v>8.5810517220665614E-2</v>
      </c>
      <c r="BT74" s="277">
        <f t="shared" si="115"/>
        <v>8.5810517220665614E-2</v>
      </c>
      <c r="BU74" s="275">
        <f t="shared" si="116"/>
        <v>8.5810517220665614E-2</v>
      </c>
      <c r="BV74" s="279">
        <v>25</v>
      </c>
      <c r="BW74" s="279">
        <v>25</v>
      </c>
      <c r="BX74" s="279">
        <v>25</v>
      </c>
      <c r="BY74" s="355">
        <v>25</v>
      </c>
      <c r="BZ74" s="280">
        <v>7.0000000000000007E-2</v>
      </c>
      <c r="CA74" s="280">
        <v>7.0000000000000007E-2</v>
      </c>
      <c r="CB74" s="280">
        <v>7.0000000000000007E-2</v>
      </c>
      <c r="CC74" s="280">
        <v>7.0000000000000007E-2</v>
      </c>
    </row>
    <row r="75" spans="1:81" s="277" customFormat="1" ht="14.5" customHeight="1" x14ac:dyDescent="0.35">
      <c r="A75" s="417"/>
      <c r="B75" s="270" t="s">
        <v>16</v>
      </c>
      <c r="C75" s="271" t="s">
        <v>180</v>
      </c>
      <c r="D75" s="272" t="s">
        <v>411</v>
      </c>
      <c r="E75" s="408" t="s">
        <v>86</v>
      </c>
      <c r="F75" s="6">
        <f t="shared" si="120"/>
        <v>70</v>
      </c>
      <c r="G75" s="273">
        <v>1</v>
      </c>
      <c r="H75" s="274" t="s">
        <v>392</v>
      </c>
      <c r="I75" s="274" t="s">
        <v>392</v>
      </c>
      <c r="J75" s="276">
        <v>0</v>
      </c>
      <c r="K75" s="276" t="s">
        <v>12</v>
      </c>
      <c r="L75" s="276">
        <v>0</v>
      </c>
      <c r="M75" s="276">
        <v>0</v>
      </c>
      <c r="N75" s="276">
        <v>0</v>
      </c>
      <c r="O75" s="276">
        <v>0</v>
      </c>
      <c r="P75" s="276">
        <v>0</v>
      </c>
      <c r="Q75" s="275">
        <v>2000000</v>
      </c>
      <c r="R75" s="277">
        <v>0</v>
      </c>
      <c r="S75" s="277">
        <v>0</v>
      </c>
      <c r="T75" s="277">
        <v>0</v>
      </c>
      <c r="U75" s="275">
        <v>0</v>
      </c>
      <c r="V75" s="277">
        <v>0</v>
      </c>
      <c r="W75" s="277">
        <v>0</v>
      </c>
      <c r="X75" s="277">
        <v>0</v>
      </c>
      <c r="Y75" s="275">
        <v>0</v>
      </c>
      <c r="Z75" s="277">
        <v>0</v>
      </c>
      <c r="AA75" s="277">
        <v>0</v>
      </c>
      <c r="AB75" s="277">
        <v>0</v>
      </c>
      <c r="AC75" s="277">
        <v>0</v>
      </c>
      <c r="AD75" s="278">
        <v>0</v>
      </c>
      <c r="AE75" s="278">
        <v>0</v>
      </c>
      <c r="AF75" s="278">
        <v>0</v>
      </c>
      <c r="AG75" s="278">
        <v>0</v>
      </c>
      <c r="AH75" s="278">
        <v>1</v>
      </c>
      <c r="AI75" s="278">
        <v>1</v>
      </c>
      <c r="AJ75" s="278">
        <v>1</v>
      </c>
      <c r="AK75" s="278">
        <v>1</v>
      </c>
      <c r="AL75" s="278">
        <v>1</v>
      </c>
      <c r="AM75" s="278">
        <v>1</v>
      </c>
      <c r="AN75" s="278">
        <v>1</v>
      </c>
      <c r="AO75" s="360">
        <v>1</v>
      </c>
      <c r="AP75" s="277">
        <v>0</v>
      </c>
      <c r="AQ75" s="277">
        <v>0</v>
      </c>
      <c r="AR75" s="277">
        <v>0</v>
      </c>
      <c r="AS75" s="275">
        <v>0</v>
      </c>
      <c r="AT75" s="277">
        <v>3440.462003850032</v>
      </c>
      <c r="AU75" s="277">
        <f t="shared" ref="AU75:AW75" si="136">AT75</f>
        <v>3440.462003850032</v>
      </c>
      <c r="AV75" s="277">
        <f t="shared" si="136"/>
        <v>3440.462003850032</v>
      </c>
      <c r="AW75" s="277">
        <f t="shared" si="136"/>
        <v>3440.462003850032</v>
      </c>
      <c r="AX75" s="277">
        <v>67.583829865248902</v>
      </c>
      <c r="AY75" s="277">
        <f t="shared" ref="AY75:BA75" si="137">AX75</f>
        <v>67.583829865248902</v>
      </c>
      <c r="AZ75" s="277">
        <f t="shared" si="137"/>
        <v>67.583829865248902</v>
      </c>
      <c r="BA75" s="277">
        <f t="shared" si="137"/>
        <v>67.583829865248902</v>
      </c>
      <c r="BB75" s="277">
        <v>8.0045833715280992</v>
      </c>
      <c r="BC75" s="277">
        <f t="shared" ref="BC75:BE75" si="138">BB75</f>
        <v>8.0045833715280992</v>
      </c>
      <c r="BD75" s="277">
        <f t="shared" si="138"/>
        <v>8.0045833715280992</v>
      </c>
      <c r="BE75" s="277">
        <f t="shared" si="138"/>
        <v>8.0045833715280992</v>
      </c>
      <c r="BF75" s="277">
        <v>0</v>
      </c>
      <c r="BG75" s="277">
        <v>0</v>
      </c>
      <c r="BH75" s="277">
        <v>0</v>
      </c>
      <c r="BI75" s="275">
        <v>0</v>
      </c>
      <c r="BJ75" s="277">
        <v>0</v>
      </c>
      <c r="BK75" s="277">
        <v>0</v>
      </c>
      <c r="BL75" s="277">
        <v>0</v>
      </c>
      <c r="BM75" s="275">
        <v>0</v>
      </c>
      <c r="BN75" s="277">
        <v>0</v>
      </c>
      <c r="BO75" s="277">
        <v>0</v>
      </c>
      <c r="BP75" s="277">
        <v>0</v>
      </c>
      <c r="BQ75" s="275">
        <v>0</v>
      </c>
      <c r="BR75" s="277">
        <f t="shared" si="113"/>
        <v>8.5810517220665614E-2</v>
      </c>
      <c r="BS75" s="277">
        <f t="shared" si="114"/>
        <v>8.5810517220665614E-2</v>
      </c>
      <c r="BT75" s="277">
        <f t="shared" si="115"/>
        <v>8.5810517220665614E-2</v>
      </c>
      <c r="BU75" s="275">
        <f t="shared" si="116"/>
        <v>8.5810517220665614E-2</v>
      </c>
      <c r="BV75" s="279">
        <v>25</v>
      </c>
      <c r="BW75" s="279">
        <v>25</v>
      </c>
      <c r="BX75" s="279">
        <v>25</v>
      </c>
      <c r="BY75" s="355">
        <v>25</v>
      </c>
      <c r="BZ75" s="280">
        <v>7.0000000000000007E-2</v>
      </c>
      <c r="CA75" s="280">
        <v>7.0000000000000007E-2</v>
      </c>
      <c r="CB75" s="280">
        <v>7.0000000000000007E-2</v>
      </c>
      <c r="CC75" s="280">
        <v>7.0000000000000007E-2</v>
      </c>
    </row>
    <row r="76" spans="1:81" s="277" customFormat="1" ht="14.5" customHeight="1" x14ac:dyDescent="0.35">
      <c r="A76" s="417"/>
      <c r="B76" s="270" t="s">
        <v>16</v>
      </c>
      <c r="C76" s="271" t="s">
        <v>180</v>
      </c>
      <c r="D76" s="272" t="s">
        <v>334</v>
      </c>
      <c r="E76" s="408" t="s">
        <v>86</v>
      </c>
      <c r="F76" s="6">
        <f t="shared" si="120"/>
        <v>71</v>
      </c>
      <c r="G76" s="273">
        <v>1</v>
      </c>
      <c r="H76" s="274" t="s">
        <v>392</v>
      </c>
      <c r="I76" s="274" t="s">
        <v>392</v>
      </c>
      <c r="J76" s="276">
        <v>0</v>
      </c>
      <c r="K76" s="276" t="s">
        <v>12</v>
      </c>
      <c r="L76" s="276">
        <v>0</v>
      </c>
      <c r="M76" s="276">
        <v>0</v>
      </c>
      <c r="N76" s="276">
        <v>0</v>
      </c>
      <c r="O76" s="276">
        <v>0</v>
      </c>
      <c r="P76" s="276">
        <v>0</v>
      </c>
      <c r="Q76" s="275">
        <v>2000000</v>
      </c>
      <c r="R76" s="277">
        <v>0</v>
      </c>
      <c r="S76" s="277">
        <v>0</v>
      </c>
      <c r="T76" s="277">
        <v>0</v>
      </c>
      <c r="U76" s="275">
        <v>0</v>
      </c>
      <c r="V76" s="277">
        <v>0</v>
      </c>
      <c r="W76" s="277">
        <v>0</v>
      </c>
      <c r="X76" s="277">
        <v>0</v>
      </c>
      <c r="Y76" s="275">
        <v>0</v>
      </c>
      <c r="Z76" s="277">
        <v>0</v>
      </c>
      <c r="AA76" s="277">
        <v>0</v>
      </c>
      <c r="AB76" s="277">
        <v>0</v>
      </c>
      <c r="AC76" s="277">
        <v>0</v>
      </c>
      <c r="AD76" s="278">
        <v>0</v>
      </c>
      <c r="AE76" s="278">
        <v>0</v>
      </c>
      <c r="AF76" s="278">
        <v>0</v>
      </c>
      <c r="AG76" s="278">
        <v>0</v>
      </c>
      <c r="AH76" s="278">
        <v>1</v>
      </c>
      <c r="AI76" s="278">
        <v>1</v>
      </c>
      <c r="AJ76" s="278">
        <v>1</v>
      </c>
      <c r="AK76" s="278">
        <v>1</v>
      </c>
      <c r="AL76" s="278">
        <v>1</v>
      </c>
      <c r="AM76" s="278">
        <v>1</v>
      </c>
      <c r="AN76" s="278">
        <v>1</v>
      </c>
      <c r="AO76" s="360">
        <v>1</v>
      </c>
      <c r="AP76" s="277">
        <v>0</v>
      </c>
      <c r="AQ76" s="277">
        <v>0</v>
      </c>
      <c r="AR76" s="277">
        <v>0</v>
      </c>
      <c r="AS76" s="275">
        <v>0</v>
      </c>
      <c r="AT76" s="277">
        <v>3440.462003850032</v>
      </c>
      <c r="AU76" s="277">
        <f t="shared" ref="AU76:AW76" si="139">AT76</f>
        <v>3440.462003850032</v>
      </c>
      <c r="AV76" s="277">
        <f t="shared" si="139"/>
        <v>3440.462003850032</v>
      </c>
      <c r="AW76" s="277">
        <f t="shared" si="139"/>
        <v>3440.462003850032</v>
      </c>
      <c r="AX76" s="277">
        <v>68.583829865248902</v>
      </c>
      <c r="AY76" s="277">
        <f t="shared" ref="AY76:BA76" si="140">AX76</f>
        <v>68.583829865248902</v>
      </c>
      <c r="AZ76" s="277">
        <f t="shared" si="140"/>
        <v>68.583829865248902</v>
      </c>
      <c r="BA76" s="277">
        <f t="shared" si="140"/>
        <v>68.583829865248902</v>
      </c>
      <c r="BB76" s="277">
        <v>9.0045833715280992</v>
      </c>
      <c r="BC76" s="277">
        <f t="shared" ref="BC76:BE76" si="141">BB76</f>
        <v>9.0045833715280992</v>
      </c>
      <c r="BD76" s="277">
        <f t="shared" si="141"/>
        <v>9.0045833715280992</v>
      </c>
      <c r="BE76" s="277">
        <f t="shared" si="141"/>
        <v>9.0045833715280992</v>
      </c>
      <c r="BF76" s="277">
        <v>0</v>
      </c>
      <c r="BG76" s="277">
        <v>0</v>
      </c>
      <c r="BH76" s="277">
        <v>0</v>
      </c>
      <c r="BI76" s="275">
        <v>0</v>
      </c>
      <c r="BJ76" s="277">
        <v>0</v>
      </c>
      <c r="BK76" s="277">
        <v>0</v>
      </c>
      <c r="BL76" s="277">
        <v>0</v>
      </c>
      <c r="BM76" s="275">
        <v>0</v>
      </c>
      <c r="BN76" s="277">
        <v>0</v>
      </c>
      <c r="BO76" s="277">
        <v>0</v>
      </c>
      <c r="BP76" s="277">
        <v>0</v>
      </c>
      <c r="BQ76" s="275">
        <v>0</v>
      </c>
      <c r="BR76" s="277">
        <f t="shared" si="113"/>
        <v>8.5810517220665614E-2</v>
      </c>
      <c r="BS76" s="277">
        <f t="shared" si="114"/>
        <v>8.5810517220665614E-2</v>
      </c>
      <c r="BT76" s="277">
        <f t="shared" si="115"/>
        <v>8.5810517220665614E-2</v>
      </c>
      <c r="BU76" s="275">
        <f t="shared" si="116"/>
        <v>8.5810517220665614E-2</v>
      </c>
      <c r="BV76" s="279">
        <v>25</v>
      </c>
      <c r="BW76" s="279">
        <v>25</v>
      </c>
      <c r="BX76" s="279">
        <v>25</v>
      </c>
      <c r="BY76" s="355">
        <v>25</v>
      </c>
      <c r="BZ76" s="280">
        <v>7.0000000000000007E-2</v>
      </c>
      <c r="CA76" s="280">
        <v>7.0000000000000007E-2</v>
      </c>
      <c r="CB76" s="280">
        <v>7.0000000000000007E-2</v>
      </c>
      <c r="CC76" s="280">
        <v>7.0000000000000007E-2</v>
      </c>
    </row>
    <row r="77" spans="1:81" ht="14.5" customHeight="1" x14ac:dyDescent="0.35">
      <c r="A77" s="417"/>
      <c r="B77" s="171" t="s">
        <v>180</v>
      </c>
      <c r="C77" s="7" t="s">
        <v>180</v>
      </c>
      <c r="D77" s="169" t="s">
        <v>335</v>
      </c>
      <c r="E77" s="25" t="s">
        <v>86</v>
      </c>
      <c r="F77" s="6">
        <f t="shared" si="120"/>
        <v>72</v>
      </c>
      <c r="G77" s="108">
        <v>1</v>
      </c>
      <c r="H77" s="120" t="s">
        <v>12</v>
      </c>
      <c r="I77" s="120" t="s">
        <v>12</v>
      </c>
      <c r="J77" s="121">
        <v>0</v>
      </c>
      <c r="K77" s="121" t="s">
        <v>12</v>
      </c>
      <c r="L77" s="121">
        <v>1</v>
      </c>
      <c r="M77" s="121">
        <v>0</v>
      </c>
      <c r="N77" s="121">
        <v>0</v>
      </c>
      <c r="O77" s="121">
        <v>0</v>
      </c>
      <c r="P77" s="121">
        <v>-1</v>
      </c>
      <c r="Q77" s="15">
        <v>2000000</v>
      </c>
      <c r="R77">
        <v>0</v>
      </c>
      <c r="S77">
        <v>0</v>
      </c>
      <c r="T77">
        <v>0</v>
      </c>
      <c r="U77" s="15">
        <v>0</v>
      </c>
      <c r="V77">
        <v>0</v>
      </c>
      <c r="W77">
        <v>0</v>
      </c>
      <c r="X77">
        <v>0</v>
      </c>
      <c r="Y77" s="15">
        <v>0</v>
      </c>
      <c r="Z77">
        <v>0</v>
      </c>
      <c r="AA77">
        <v>0</v>
      </c>
      <c r="AB77">
        <v>0</v>
      </c>
      <c r="AC77">
        <v>0</v>
      </c>
      <c r="AD77" s="170">
        <v>0</v>
      </c>
      <c r="AE77" s="170">
        <v>0</v>
      </c>
      <c r="AF77" s="170">
        <v>0</v>
      </c>
      <c r="AG77" s="170">
        <v>0</v>
      </c>
      <c r="AH77" s="170">
        <v>1</v>
      </c>
      <c r="AI77" s="170">
        <v>1</v>
      </c>
      <c r="AJ77" s="170">
        <v>1</v>
      </c>
      <c r="AK77" s="170">
        <v>1</v>
      </c>
      <c r="AL77" s="170">
        <v>1</v>
      </c>
      <c r="AM77" s="170">
        <v>1</v>
      </c>
      <c r="AN77" s="170">
        <v>1</v>
      </c>
      <c r="AO77" s="361">
        <v>1</v>
      </c>
      <c r="AP77">
        <v>0</v>
      </c>
      <c r="AQ77">
        <v>0</v>
      </c>
      <c r="AR77">
        <v>0</v>
      </c>
      <c r="AS77" s="15">
        <v>0</v>
      </c>
      <c r="AT77">
        <v>3440.462003850032</v>
      </c>
      <c r="AU77">
        <f t="shared" ref="AU77:AW77" si="142">AT77</f>
        <v>3440.462003850032</v>
      </c>
      <c r="AV77">
        <f t="shared" si="142"/>
        <v>3440.462003850032</v>
      </c>
      <c r="AW77">
        <f t="shared" si="142"/>
        <v>3440.462003850032</v>
      </c>
      <c r="AX77">
        <v>69.583829865248902</v>
      </c>
      <c r="AY77">
        <f t="shared" ref="AY77:BA77" si="143">AX77</f>
        <v>69.583829865248902</v>
      </c>
      <c r="AZ77">
        <f t="shared" si="143"/>
        <v>69.583829865248902</v>
      </c>
      <c r="BA77">
        <f t="shared" si="143"/>
        <v>69.583829865248902</v>
      </c>
      <c r="BB77">
        <v>10.004583371528099</v>
      </c>
      <c r="BC77">
        <f t="shared" ref="BC77:BE77" si="144">BB77</f>
        <v>10.004583371528099</v>
      </c>
      <c r="BD77">
        <f t="shared" si="144"/>
        <v>10.004583371528099</v>
      </c>
      <c r="BE77">
        <f t="shared" si="144"/>
        <v>10.004583371528099</v>
      </c>
      <c r="BF77">
        <v>0</v>
      </c>
      <c r="BG77">
        <v>0</v>
      </c>
      <c r="BH77">
        <v>0</v>
      </c>
      <c r="BI77" s="15">
        <v>0</v>
      </c>
      <c r="BJ77">
        <v>0</v>
      </c>
      <c r="BK77">
        <v>0</v>
      </c>
      <c r="BL77">
        <v>0</v>
      </c>
      <c r="BM77" s="15">
        <v>0</v>
      </c>
      <c r="BN77">
        <v>0</v>
      </c>
      <c r="BO77">
        <v>0</v>
      </c>
      <c r="BP77">
        <v>0</v>
      </c>
      <c r="BQ77" s="15">
        <v>0</v>
      </c>
      <c r="BR77">
        <f t="shared" si="113"/>
        <v>8.5810517220665614E-2</v>
      </c>
      <c r="BS77">
        <f t="shared" si="114"/>
        <v>8.5810517220665614E-2</v>
      </c>
      <c r="BT77">
        <f t="shared" si="115"/>
        <v>8.5810517220665614E-2</v>
      </c>
      <c r="BU77" s="15">
        <f t="shared" si="116"/>
        <v>8.5810517220665614E-2</v>
      </c>
      <c r="BV77" s="17">
        <v>25</v>
      </c>
      <c r="BW77" s="17">
        <v>25</v>
      </c>
      <c r="BX77" s="17">
        <v>25</v>
      </c>
      <c r="BY77" s="166">
        <v>25</v>
      </c>
      <c r="BZ77" s="9">
        <v>7.0000000000000007E-2</v>
      </c>
      <c r="CA77" s="9">
        <v>7.0000000000000007E-2</v>
      </c>
      <c r="CB77" s="9">
        <v>7.0000000000000007E-2</v>
      </c>
      <c r="CC77" s="9">
        <v>7.0000000000000007E-2</v>
      </c>
    </row>
    <row r="78" spans="1:81" s="213" customFormat="1" x14ac:dyDescent="0.35">
      <c r="A78" s="417"/>
      <c r="B78" s="281" t="s">
        <v>18</v>
      </c>
      <c r="C78" s="207" t="s">
        <v>23</v>
      </c>
      <c r="D78" s="282" t="s">
        <v>32</v>
      </c>
      <c r="E78" s="409" t="s">
        <v>478</v>
      </c>
      <c r="F78" s="6">
        <f t="shared" si="120"/>
        <v>73</v>
      </c>
      <c r="G78" s="208">
        <v>1</v>
      </c>
      <c r="H78" s="209" t="s">
        <v>391</v>
      </c>
      <c r="I78" s="209" t="s">
        <v>392</v>
      </c>
      <c r="J78" s="212">
        <v>0</v>
      </c>
      <c r="K78" s="212" t="s">
        <v>12</v>
      </c>
      <c r="L78" s="212">
        <v>1</v>
      </c>
      <c r="M78" s="212">
        <v>0</v>
      </c>
      <c r="N78" s="326">
        <v>0</v>
      </c>
      <c r="O78" s="212">
        <v>0</v>
      </c>
      <c r="P78" s="212">
        <v>0</v>
      </c>
      <c r="Q78" s="210">
        <f t="shared" si="92"/>
        <v>2000000</v>
      </c>
      <c r="R78" s="233">
        <v>0</v>
      </c>
      <c r="S78" s="233">
        <v>0</v>
      </c>
      <c r="T78" s="233">
        <v>0</v>
      </c>
      <c r="U78" s="232">
        <v>0</v>
      </c>
      <c r="V78" s="213">
        <v>0</v>
      </c>
      <c r="W78" s="213">
        <v>0</v>
      </c>
      <c r="X78" s="213">
        <v>0</v>
      </c>
      <c r="Y78" s="210">
        <v>0</v>
      </c>
      <c r="Z78" s="213">
        <v>0</v>
      </c>
      <c r="AA78" s="213">
        <v>0</v>
      </c>
      <c r="AB78" s="213">
        <v>0</v>
      </c>
      <c r="AC78" s="210">
        <v>0</v>
      </c>
      <c r="AD78" s="214">
        <v>0</v>
      </c>
      <c r="AE78" s="214">
        <v>0</v>
      </c>
      <c r="AF78" s="214">
        <v>0</v>
      </c>
      <c r="AG78" s="215">
        <v>0</v>
      </c>
      <c r="AH78" s="214">
        <v>1</v>
      </c>
      <c r="AI78" s="214">
        <v>1</v>
      </c>
      <c r="AJ78" s="214">
        <v>1</v>
      </c>
      <c r="AK78" s="215">
        <v>1</v>
      </c>
      <c r="AL78" s="214">
        <v>1</v>
      </c>
      <c r="AM78" s="214">
        <v>1</v>
      </c>
      <c r="AN78" s="214">
        <v>1</v>
      </c>
      <c r="AO78" s="215">
        <v>1</v>
      </c>
      <c r="AP78" s="213">
        <v>0</v>
      </c>
      <c r="AQ78" s="213">
        <v>0</v>
      </c>
      <c r="AR78" s="213">
        <v>0</v>
      </c>
      <c r="AS78" s="210">
        <v>0</v>
      </c>
      <c r="AT78" s="213">
        <v>180</v>
      </c>
      <c r="AU78" s="213">
        <v>180</v>
      </c>
      <c r="AV78" s="213">
        <v>180</v>
      </c>
      <c r="AW78" s="210">
        <v>180</v>
      </c>
      <c r="AX78" s="213">
        <v>0</v>
      </c>
      <c r="AY78" s="213">
        <v>0</v>
      </c>
      <c r="AZ78" s="213">
        <v>0</v>
      </c>
      <c r="BA78" s="210">
        <v>0</v>
      </c>
      <c r="BB78" s="213">
        <v>1.6649999999999998E-2</v>
      </c>
      <c r="BC78" s="213">
        <v>1.6649999999999998E-2</v>
      </c>
      <c r="BD78" s="213">
        <v>1.6649999999999998E-2</v>
      </c>
      <c r="BE78" s="210">
        <v>1.6649999999999998E-2</v>
      </c>
      <c r="BF78" s="213">
        <v>0</v>
      </c>
      <c r="BG78" s="213">
        <v>0</v>
      </c>
      <c r="BH78" s="213">
        <v>0</v>
      </c>
      <c r="BI78" s="210">
        <v>0</v>
      </c>
      <c r="BJ78" s="213">
        <v>0</v>
      </c>
      <c r="BK78" s="213">
        <v>0</v>
      </c>
      <c r="BL78" s="213">
        <v>0</v>
      </c>
      <c r="BM78" s="210">
        <v>0</v>
      </c>
      <c r="BN78" s="213">
        <v>0</v>
      </c>
      <c r="BO78" s="213">
        <v>0</v>
      </c>
      <c r="BP78" s="213">
        <v>0</v>
      </c>
      <c r="BQ78" s="210">
        <v>0</v>
      </c>
      <c r="BR78" s="213">
        <f t="shared" si="113"/>
        <v>8.8827433387272267E-2</v>
      </c>
      <c r="BS78" s="213">
        <f t="shared" si="114"/>
        <v>8.8827433387272267E-2</v>
      </c>
      <c r="BT78" s="213">
        <f t="shared" si="115"/>
        <v>8.8827433387272267E-2</v>
      </c>
      <c r="BU78" s="210">
        <f t="shared" si="116"/>
        <v>8.8827433387272267E-2</v>
      </c>
      <c r="BV78" s="216">
        <v>30</v>
      </c>
      <c r="BW78" s="216">
        <v>30</v>
      </c>
      <c r="BX78" s="216">
        <v>30</v>
      </c>
      <c r="BY78" s="211">
        <v>30</v>
      </c>
      <c r="BZ78" s="214">
        <v>0.08</v>
      </c>
      <c r="CA78" s="214">
        <v>0.08</v>
      </c>
      <c r="CB78" s="214">
        <v>0.08</v>
      </c>
      <c r="CC78" s="214">
        <v>0.08</v>
      </c>
    </row>
    <row r="79" spans="1:81" s="213" customFormat="1" x14ac:dyDescent="0.35">
      <c r="A79" s="417"/>
      <c r="B79" s="281" t="s">
        <v>159</v>
      </c>
      <c r="C79" s="207" t="s">
        <v>24</v>
      </c>
      <c r="D79" s="282" t="s">
        <v>181</v>
      </c>
      <c r="E79" s="409" t="s">
        <v>86</v>
      </c>
      <c r="F79" s="6">
        <f t="shared" si="120"/>
        <v>74</v>
      </c>
      <c r="G79" s="208">
        <v>1</v>
      </c>
      <c r="H79" s="209" t="s">
        <v>391</v>
      </c>
      <c r="I79" s="209" t="s">
        <v>392</v>
      </c>
      <c r="J79" s="212">
        <v>0</v>
      </c>
      <c r="K79" s="212" t="s">
        <v>12</v>
      </c>
      <c r="L79" s="212">
        <v>-1</v>
      </c>
      <c r="M79" s="212">
        <v>0</v>
      </c>
      <c r="N79" s="326">
        <v>0</v>
      </c>
      <c r="O79" s="212">
        <v>0</v>
      </c>
      <c r="P79" s="212">
        <v>0</v>
      </c>
      <c r="Q79" s="210">
        <v>24000</v>
      </c>
      <c r="R79" s="213">
        <v>0</v>
      </c>
      <c r="S79" s="213">
        <v>0</v>
      </c>
      <c r="T79" s="213">
        <v>0</v>
      </c>
      <c r="U79" s="210">
        <v>0</v>
      </c>
      <c r="V79" s="213">
        <v>0</v>
      </c>
      <c r="W79" s="213">
        <v>0</v>
      </c>
      <c r="X79" s="213">
        <v>0</v>
      </c>
      <c r="Y79" s="210">
        <v>0</v>
      </c>
      <c r="Z79" s="213">
        <v>0</v>
      </c>
      <c r="AA79" s="213">
        <v>0</v>
      </c>
      <c r="AB79" s="213">
        <v>0</v>
      </c>
      <c r="AC79" s="210">
        <v>0</v>
      </c>
      <c r="AD79" s="214">
        <v>0</v>
      </c>
      <c r="AE79" s="214">
        <v>0</v>
      </c>
      <c r="AF79" s="214">
        <v>0</v>
      </c>
      <c r="AG79" s="215">
        <v>0</v>
      </c>
      <c r="AH79" s="214">
        <v>1</v>
      </c>
      <c r="AI79" s="214">
        <v>1</v>
      </c>
      <c r="AJ79" s="214">
        <v>1</v>
      </c>
      <c r="AK79" s="215">
        <v>1</v>
      </c>
      <c r="AL79" s="214">
        <v>1</v>
      </c>
      <c r="AM79" s="214">
        <v>1</v>
      </c>
      <c r="AN79" s="214">
        <v>1</v>
      </c>
      <c r="AO79" s="215">
        <v>1</v>
      </c>
      <c r="AP79" s="213">
        <v>0</v>
      </c>
      <c r="AQ79" s="213">
        <v>0</v>
      </c>
      <c r="AR79" s="213">
        <v>0</v>
      </c>
      <c r="AS79" s="210">
        <v>0</v>
      </c>
      <c r="AT79" s="213">
        <v>0</v>
      </c>
      <c r="AU79" s="213">
        <v>0</v>
      </c>
      <c r="AV79" s="213">
        <v>0</v>
      </c>
      <c r="AW79" s="210">
        <v>0</v>
      </c>
      <c r="AX79" s="213">
        <v>0</v>
      </c>
      <c r="AY79" s="213">
        <v>0</v>
      </c>
      <c r="AZ79" s="213">
        <v>0</v>
      </c>
      <c r="BA79" s="210">
        <v>0</v>
      </c>
      <c r="BB79" s="213">
        <v>0</v>
      </c>
      <c r="BC79" s="213">
        <v>0</v>
      </c>
      <c r="BD79" s="213">
        <v>0</v>
      </c>
      <c r="BE79" s="210">
        <v>0</v>
      </c>
      <c r="BF79" s="213">
        <v>0</v>
      </c>
      <c r="BG79" s="213">
        <v>0</v>
      </c>
      <c r="BH79" s="213">
        <v>0</v>
      </c>
      <c r="BI79" s="210">
        <v>0</v>
      </c>
      <c r="BJ79" s="213">
        <v>0</v>
      </c>
      <c r="BK79" s="213">
        <v>0</v>
      </c>
      <c r="BL79" s="213">
        <v>0</v>
      </c>
      <c r="BM79" s="210">
        <v>0</v>
      </c>
      <c r="BN79" s="213">
        <v>0</v>
      </c>
      <c r="BO79" s="213">
        <v>0</v>
      </c>
      <c r="BP79" s="213">
        <v>0</v>
      </c>
      <c r="BQ79" s="210">
        <v>0</v>
      </c>
      <c r="BR79" s="213">
        <f t="shared" si="113"/>
        <v>0</v>
      </c>
      <c r="BS79" s="213">
        <v>0</v>
      </c>
      <c r="BT79" s="213">
        <v>0</v>
      </c>
      <c r="BU79" s="210">
        <v>0</v>
      </c>
      <c r="BV79" s="213">
        <v>0</v>
      </c>
      <c r="BW79" s="213">
        <v>0</v>
      </c>
      <c r="BX79" s="213">
        <v>0</v>
      </c>
      <c r="BY79" s="210">
        <v>0</v>
      </c>
      <c r="BZ79" s="214">
        <v>0.08</v>
      </c>
      <c r="CA79" s="214">
        <v>0.08</v>
      </c>
      <c r="CB79" s="214">
        <v>0.08</v>
      </c>
      <c r="CC79" s="214">
        <v>0.08</v>
      </c>
    </row>
    <row r="80" spans="1:81" s="37" customFormat="1" x14ac:dyDescent="0.35">
      <c r="A80" s="417"/>
      <c r="B80" s="248" t="s">
        <v>14</v>
      </c>
      <c r="C80" s="234" t="s">
        <v>180</v>
      </c>
      <c r="D80" s="249" t="s">
        <v>33</v>
      </c>
      <c r="E80" s="403" t="s">
        <v>86</v>
      </c>
      <c r="F80" s="6">
        <f t="shared" si="120"/>
        <v>75</v>
      </c>
      <c r="G80" s="220">
        <v>1</v>
      </c>
      <c r="H80" s="221" t="s">
        <v>391</v>
      </c>
      <c r="I80" s="221" t="s">
        <v>392</v>
      </c>
      <c r="J80" s="224">
        <v>0</v>
      </c>
      <c r="K80" s="224" t="s">
        <v>12</v>
      </c>
      <c r="L80" s="224">
        <v>-1</v>
      </c>
      <c r="M80" s="224">
        <v>0</v>
      </c>
      <c r="N80" s="323">
        <v>0</v>
      </c>
      <c r="O80" s="224">
        <v>0</v>
      </c>
      <c r="P80" s="224">
        <v>0</v>
      </c>
      <c r="Q80" s="222">
        <f>Q82/2</f>
        <v>10000000</v>
      </c>
      <c r="R80" s="236">
        <v>0</v>
      </c>
      <c r="S80" s="236">
        <v>0</v>
      </c>
      <c r="T80" s="236">
        <v>0</v>
      </c>
      <c r="U80" s="235">
        <v>0</v>
      </c>
      <c r="V80" s="37">
        <v>0</v>
      </c>
      <c r="W80" s="37">
        <v>0</v>
      </c>
      <c r="X80" s="37">
        <v>0</v>
      </c>
      <c r="Y80" s="222">
        <v>0</v>
      </c>
      <c r="Z80" s="37">
        <v>0</v>
      </c>
      <c r="AA80" s="37">
        <v>0</v>
      </c>
      <c r="AB80" s="37">
        <v>0</v>
      </c>
      <c r="AC80" s="222">
        <v>0</v>
      </c>
      <c r="AD80" s="225">
        <v>0</v>
      </c>
      <c r="AE80" s="225">
        <v>0</v>
      </c>
      <c r="AF80" s="225">
        <v>0</v>
      </c>
      <c r="AG80" s="226">
        <v>0</v>
      </c>
      <c r="AH80" s="225">
        <v>1</v>
      </c>
      <c r="AI80" s="225">
        <v>1</v>
      </c>
      <c r="AJ80" s="225">
        <v>1</v>
      </c>
      <c r="AK80" s="226">
        <v>1</v>
      </c>
      <c r="AL80" s="225">
        <v>1</v>
      </c>
      <c r="AM80" s="225">
        <v>1</v>
      </c>
      <c r="AN80" s="225">
        <v>1</v>
      </c>
      <c r="AO80" s="226">
        <v>1</v>
      </c>
      <c r="AP80" s="37">
        <v>0.06</v>
      </c>
      <c r="AQ80" s="37">
        <v>0.05</v>
      </c>
      <c r="AR80" s="37">
        <f>(AQ80+AS80)/2</f>
        <v>3.7500000000000006E-2</v>
      </c>
      <c r="AS80" s="222">
        <v>2.5000000000000001E-2</v>
      </c>
      <c r="AT80" s="37">
        <v>0</v>
      </c>
      <c r="AU80" s="37">
        <v>0</v>
      </c>
      <c r="AV80" s="37">
        <v>0</v>
      </c>
      <c r="AW80" s="222">
        <v>0</v>
      </c>
      <c r="AX80" s="37">
        <v>0</v>
      </c>
      <c r="AY80" s="37">
        <v>0</v>
      </c>
      <c r="AZ80" s="37">
        <v>0</v>
      </c>
      <c r="BA80" s="222">
        <v>0</v>
      </c>
      <c r="BB80" s="37">
        <v>0</v>
      </c>
      <c r="BC80" s="37">
        <v>0</v>
      </c>
      <c r="BD80" s="37">
        <v>0</v>
      </c>
      <c r="BE80" s="222">
        <v>0</v>
      </c>
      <c r="BF80" s="37">
        <v>0</v>
      </c>
      <c r="BG80" s="37">
        <v>0</v>
      </c>
      <c r="BH80" s="37">
        <v>0</v>
      </c>
      <c r="BI80" s="222">
        <v>0</v>
      </c>
      <c r="BJ80" s="37">
        <v>0</v>
      </c>
      <c r="BK80" s="37">
        <v>0</v>
      </c>
      <c r="BL80" s="37">
        <v>0</v>
      </c>
      <c r="BM80" s="222">
        <v>0</v>
      </c>
      <c r="BN80" s="37">
        <v>0</v>
      </c>
      <c r="BO80" s="37">
        <v>0</v>
      </c>
      <c r="BP80" s="37">
        <v>0</v>
      </c>
      <c r="BQ80" s="222">
        <v>0</v>
      </c>
      <c r="BR80" s="37">
        <f t="shared" si="113"/>
        <v>0</v>
      </c>
      <c r="BS80" s="37">
        <v>0</v>
      </c>
      <c r="BT80" s="37">
        <v>0</v>
      </c>
      <c r="BU80" s="222">
        <v>0</v>
      </c>
      <c r="BV80" s="37">
        <v>0</v>
      </c>
      <c r="BW80" s="37">
        <v>0</v>
      </c>
      <c r="BX80" s="37">
        <v>0</v>
      </c>
      <c r="BY80" s="222">
        <v>0</v>
      </c>
      <c r="BZ80" s="225">
        <v>0.08</v>
      </c>
      <c r="CA80" s="225">
        <v>0.08</v>
      </c>
      <c r="CB80" s="225">
        <v>0.08</v>
      </c>
      <c r="CC80" s="225">
        <v>0.08</v>
      </c>
    </row>
    <row r="81" spans="1:81" s="37" customFormat="1" x14ac:dyDescent="0.35">
      <c r="A81" s="417"/>
      <c r="B81" s="248" t="s">
        <v>15</v>
      </c>
      <c r="C81" s="234" t="s">
        <v>180</v>
      </c>
      <c r="D81" s="249" t="s">
        <v>34</v>
      </c>
      <c r="E81" s="403" t="s">
        <v>86</v>
      </c>
      <c r="F81" s="6">
        <f t="shared" si="120"/>
        <v>76</v>
      </c>
      <c r="G81" s="220">
        <v>1</v>
      </c>
      <c r="H81" s="221" t="s">
        <v>391</v>
      </c>
      <c r="I81" s="221" t="s">
        <v>392</v>
      </c>
      <c r="J81" s="224">
        <v>0</v>
      </c>
      <c r="K81" s="224" t="s">
        <v>12</v>
      </c>
      <c r="L81" s="224">
        <v>1</v>
      </c>
      <c r="M81" s="224">
        <v>0</v>
      </c>
      <c r="N81" s="323">
        <v>0</v>
      </c>
      <c r="O81" s="224">
        <v>0</v>
      </c>
      <c r="P81" s="224">
        <v>0</v>
      </c>
      <c r="Q81" s="222">
        <f>3*Q82</f>
        <v>60000000</v>
      </c>
      <c r="R81" s="236">
        <v>0</v>
      </c>
      <c r="S81" s="236">
        <v>0</v>
      </c>
      <c r="T81" s="236">
        <v>0</v>
      </c>
      <c r="U81" s="235">
        <v>0</v>
      </c>
      <c r="V81" s="37">
        <v>0</v>
      </c>
      <c r="W81" s="37">
        <v>0</v>
      </c>
      <c r="X81" s="37">
        <v>0</v>
      </c>
      <c r="Y81" s="222">
        <v>0</v>
      </c>
      <c r="Z81" s="37">
        <v>0</v>
      </c>
      <c r="AA81" s="37">
        <v>0</v>
      </c>
      <c r="AB81" s="37">
        <v>0</v>
      </c>
      <c r="AC81" s="222">
        <v>0</v>
      </c>
      <c r="AD81" s="225">
        <v>0</v>
      </c>
      <c r="AE81" s="225">
        <v>0</v>
      </c>
      <c r="AF81" s="225">
        <v>0</v>
      </c>
      <c r="AG81" s="226">
        <v>0</v>
      </c>
      <c r="AH81" s="225">
        <v>1</v>
      </c>
      <c r="AI81" s="225">
        <v>1</v>
      </c>
      <c r="AJ81" s="225">
        <v>1</v>
      </c>
      <c r="AK81" s="226">
        <v>1</v>
      </c>
      <c r="AL81" s="225">
        <v>1</v>
      </c>
      <c r="AM81" s="225">
        <v>1</v>
      </c>
      <c r="AN81" s="225">
        <v>1</v>
      </c>
      <c r="AO81" s="226">
        <v>1</v>
      </c>
      <c r="AP81" s="37">
        <v>0.06</v>
      </c>
      <c r="AQ81" s="37">
        <v>0.05</v>
      </c>
      <c r="AR81" s="37">
        <f>(AQ81+AS81)/2</f>
        <v>3.7500000000000006E-2</v>
      </c>
      <c r="AS81" s="222">
        <v>2.5000000000000001E-2</v>
      </c>
      <c r="AT81" s="37">
        <v>0</v>
      </c>
      <c r="AU81" s="37">
        <v>0</v>
      </c>
      <c r="AV81" s="37">
        <v>0</v>
      </c>
      <c r="AW81" s="222">
        <v>0</v>
      </c>
      <c r="AX81" s="37">
        <v>0</v>
      </c>
      <c r="AY81" s="37">
        <v>0</v>
      </c>
      <c r="AZ81" s="37">
        <v>0</v>
      </c>
      <c r="BA81" s="222">
        <v>0</v>
      </c>
      <c r="BB81" s="37">
        <v>0</v>
      </c>
      <c r="BC81" s="37">
        <v>0</v>
      </c>
      <c r="BD81" s="37">
        <v>0</v>
      </c>
      <c r="BE81" s="222">
        <v>0</v>
      </c>
      <c r="BF81" s="37">
        <v>0</v>
      </c>
      <c r="BG81" s="37">
        <v>0</v>
      </c>
      <c r="BH81" s="37">
        <v>0</v>
      </c>
      <c r="BI81" s="222">
        <v>0</v>
      </c>
      <c r="BJ81" s="37">
        <v>0</v>
      </c>
      <c r="BK81" s="37">
        <v>0</v>
      </c>
      <c r="BL81" s="37">
        <v>0</v>
      </c>
      <c r="BM81" s="222">
        <v>0</v>
      </c>
      <c r="BN81" s="37">
        <v>0</v>
      </c>
      <c r="BO81" s="37">
        <v>0</v>
      </c>
      <c r="BP81" s="37">
        <v>0</v>
      </c>
      <c r="BQ81" s="222">
        <v>0</v>
      </c>
      <c r="BR81" s="37">
        <f t="shared" si="113"/>
        <v>0</v>
      </c>
      <c r="BS81" s="37">
        <v>0</v>
      </c>
      <c r="BT81" s="37">
        <v>0</v>
      </c>
      <c r="BU81" s="222">
        <v>0</v>
      </c>
      <c r="BV81" s="37">
        <v>0</v>
      </c>
      <c r="BW81" s="37">
        <v>0</v>
      </c>
      <c r="BX81" s="37">
        <v>0</v>
      </c>
      <c r="BY81" s="222">
        <v>0</v>
      </c>
      <c r="BZ81" s="225">
        <v>0.08</v>
      </c>
      <c r="CA81" s="225">
        <v>0.08</v>
      </c>
      <c r="CB81" s="225">
        <v>0.08</v>
      </c>
      <c r="CC81" s="225">
        <v>0.08</v>
      </c>
    </row>
    <row r="82" spans="1:81" s="37" customFormat="1" x14ac:dyDescent="0.35">
      <c r="A82" s="417"/>
      <c r="B82" s="248" t="s">
        <v>16</v>
      </c>
      <c r="C82" s="234" t="s">
        <v>180</v>
      </c>
      <c r="D82" s="219" t="s">
        <v>35</v>
      </c>
      <c r="E82" s="403" t="s">
        <v>465</v>
      </c>
      <c r="F82" s="6">
        <f t="shared" si="120"/>
        <v>77</v>
      </c>
      <c r="G82" s="220">
        <v>1</v>
      </c>
      <c r="H82" s="221" t="s">
        <v>392</v>
      </c>
      <c r="I82" s="221" t="s">
        <v>392</v>
      </c>
      <c r="J82" s="224">
        <v>0</v>
      </c>
      <c r="K82" s="224" t="s">
        <v>12</v>
      </c>
      <c r="L82" s="224">
        <v>0</v>
      </c>
      <c r="M82" s="224">
        <v>0</v>
      </c>
      <c r="N82" s="323">
        <v>0</v>
      </c>
      <c r="O82" s="224">
        <v>0</v>
      </c>
      <c r="P82" s="224">
        <v>0</v>
      </c>
      <c r="Q82" s="222">
        <v>20000000</v>
      </c>
      <c r="R82" s="236">
        <v>0</v>
      </c>
      <c r="S82" s="236">
        <v>0</v>
      </c>
      <c r="T82" s="236">
        <v>0</v>
      </c>
      <c r="U82" s="235">
        <v>0</v>
      </c>
      <c r="V82" s="37">
        <v>0</v>
      </c>
      <c r="W82" s="37">
        <v>0</v>
      </c>
      <c r="X82" s="37">
        <v>0</v>
      </c>
      <c r="Y82" s="222">
        <v>0</v>
      </c>
      <c r="Z82" s="37">
        <v>0</v>
      </c>
      <c r="AA82" s="37">
        <v>0</v>
      </c>
      <c r="AB82" s="37">
        <v>0</v>
      </c>
      <c r="AC82" s="222">
        <v>0</v>
      </c>
      <c r="AD82" s="225">
        <v>0.1</v>
      </c>
      <c r="AE82" s="225">
        <v>0</v>
      </c>
      <c r="AF82" s="225">
        <v>0</v>
      </c>
      <c r="AG82" s="226">
        <v>0</v>
      </c>
      <c r="AH82" s="225">
        <v>1</v>
      </c>
      <c r="AI82" s="225">
        <v>1</v>
      </c>
      <c r="AJ82" s="225">
        <v>1</v>
      </c>
      <c r="AK82" s="226">
        <v>1</v>
      </c>
      <c r="AL82" s="225">
        <v>1</v>
      </c>
      <c r="AM82" s="225">
        <v>1</v>
      </c>
      <c r="AN82" s="225">
        <v>1</v>
      </c>
      <c r="AO82" s="226">
        <v>1</v>
      </c>
      <c r="AP82" s="37">
        <v>0</v>
      </c>
      <c r="AQ82" s="37">
        <v>0</v>
      </c>
      <c r="AR82" s="37">
        <v>0</v>
      </c>
      <c r="AS82" s="222">
        <v>0</v>
      </c>
      <c r="AT82" s="37">
        <v>550</v>
      </c>
      <c r="AU82" s="37">
        <v>180</v>
      </c>
      <c r="AV82" s="37">
        <f>(AU82+AW82)/2</f>
        <v>162.5</v>
      </c>
      <c r="AW82" s="222">
        <v>145</v>
      </c>
      <c r="AX82" s="37">
        <f>AT82*0.015</f>
        <v>8.25</v>
      </c>
      <c r="AY82" s="37">
        <f>AU82*0.015</f>
        <v>2.6999999999999997</v>
      </c>
      <c r="AZ82" s="37">
        <f>AV82*0.015</f>
        <v>2.4375</v>
      </c>
      <c r="BA82" s="222">
        <f>AW82*0.015</f>
        <v>2.1749999999999998</v>
      </c>
      <c r="BB82" s="37">
        <v>0</v>
      </c>
      <c r="BC82" s="37">
        <v>0</v>
      </c>
      <c r="BD82" s="37">
        <v>0</v>
      </c>
      <c r="BE82" s="222">
        <v>0</v>
      </c>
      <c r="BF82" s="37">
        <v>0</v>
      </c>
      <c r="BG82" s="37">
        <v>0</v>
      </c>
      <c r="BH82" s="37">
        <v>0</v>
      </c>
      <c r="BI82" s="222">
        <v>0</v>
      </c>
      <c r="BJ82" s="37">
        <v>2.64634920634921</v>
      </c>
      <c r="BK82" s="37">
        <v>0</v>
      </c>
      <c r="BL82" s="37">
        <v>0</v>
      </c>
      <c r="BM82" s="222">
        <v>0</v>
      </c>
      <c r="BN82" s="37">
        <v>0</v>
      </c>
      <c r="BO82" s="37">
        <v>0</v>
      </c>
      <c r="BP82" s="37">
        <v>0</v>
      </c>
      <c r="BQ82" s="222">
        <v>0</v>
      </c>
      <c r="BR82" s="37">
        <f t="shared" si="113"/>
        <v>0.11682954493601999</v>
      </c>
      <c r="BS82" s="37">
        <f t="shared" ref="BS82" si="145">IF(BW82&lt;&gt;0,(CA82*(1+CA82)^BW82)/((1+CA82)^BW82-1),0)</f>
        <v>0.10185220882315059</v>
      </c>
      <c r="BT82" s="37">
        <f t="shared" ref="BT82" si="146">IF(BX82&lt;&gt;0,(CB82*(1+CB82)^BX82)/((1+CB82)^BX82-1),0)</f>
        <v>9.3678779051968114E-2</v>
      </c>
      <c r="BU82" s="222">
        <f t="shared" ref="BU82" si="147">IF(BY82&lt;&gt;0,(CC82*(1+CC82)^BY82)/((1+CC82)^BY82-1),0)</f>
        <v>8.8827433387272267E-2</v>
      </c>
      <c r="BV82" s="229">
        <v>15</v>
      </c>
      <c r="BW82" s="229">
        <v>20</v>
      </c>
      <c r="BX82" s="229">
        <v>25</v>
      </c>
      <c r="BY82" s="223">
        <v>30</v>
      </c>
      <c r="BZ82" s="225">
        <v>0.08</v>
      </c>
      <c r="CA82" s="225">
        <v>0.08</v>
      </c>
      <c r="CB82" s="225">
        <v>0.08</v>
      </c>
      <c r="CC82" s="225">
        <v>0.08</v>
      </c>
    </row>
  </sheetData>
  <mergeCells count="23">
    <mergeCell ref="R1:U1"/>
    <mergeCell ref="V1:Y1"/>
    <mergeCell ref="Z1:AC1"/>
    <mergeCell ref="A53:A82"/>
    <mergeCell ref="A1:C1"/>
    <mergeCell ref="D2:D5"/>
    <mergeCell ref="B2:B5"/>
    <mergeCell ref="C2:C5"/>
    <mergeCell ref="A6:A52"/>
    <mergeCell ref="E2:E5"/>
    <mergeCell ref="AD1:AG1"/>
    <mergeCell ref="AH1:AK1"/>
    <mergeCell ref="AL1:AO1"/>
    <mergeCell ref="AP1:AS1"/>
    <mergeCell ref="AX1:BA1"/>
    <mergeCell ref="AT1:AW1"/>
    <mergeCell ref="BR1:BU1"/>
    <mergeCell ref="BV1:BY1"/>
    <mergeCell ref="BZ1:CC1"/>
    <mergeCell ref="BB1:BE1"/>
    <mergeCell ref="BF1:BI1"/>
    <mergeCell ref="BJ1:BM1"/>
    <mergeCell ref="BN1:BQ1"/>
  </mergeCells>
  <pageMargins left="0.7" right="0.7" top="0.75" bottom="0.75" header="0.3" footer="0.3"/>
  <pageSetup paperSize="9" orientation="portrait" horizontalDpi="429496729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A5"/>
  <sheetViews>
    <sheetView workbookViewId="0">
      <selection activeCell="F8" sqref="F8"/>
    </sheetView>
  </sheetViews>
  <sheetFormatPr defaultColWidth="8.7265625" defaultRowHeight="14.5" x14ac:dyDescent="0.35"/>
  <cols>
    <col min="1" max="1" width="33.453125" customWidth="1"/>
  </cols>
  <sheetData>
    <row r="1" spans="1:1" x14ac:dyDescent="0.35">
      <c r="A1" t="s">
        <v>412</v>
      </c>
    </row>
    <row r="2" spans="1:1" x14ac:dyDescent="0.35">
      <c r="A2" t="s">
        <v>414</v>
      </c>
    </row>
    <row r="3" spans="1:1" x14ac:dyDescent="0.35">
      <c r="A3" s="284" t="s">
        <v>459</v>
      </c>
    </row>
    <row r="5" spans="1:1" x14ac:dyDescent="0.35">
      <c r="A5" s="19" t="s">
        <v>413</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W6"/>
  <sheetViews>
    <sheetView workbookViewId="0">
      <selection activeCell="C16" sqref="C16"/>
    </sheetView>
  </sheetViews>
  <sheetFormatPr defaultColWidth="8.7265625" defaultRowHeight="14.5" x14ac:dyDescent="0.35"/>
  <cols>
    <col min="1" max="1" width="20.36328125" style="1" customWidth="1"/>
    <col min="2" max="2" width="31.36328125" style="1" customWidth="1"/>
    <col min="3" max="3" width="31.81640625" style="1" customWidth="1"/>
    <col min="4" max="4" width="35.90625" style="1" customWidth="1"/>
    <col min="5" max="5" width="13.6328125" style="1" customWidth="1"/>
    <col min="6" max="6" width="9.81640625" style="1" customWidth="1"/>
    <col min="7" max="7" width="13.453125" style="1" customWidth="1"/>
    <col min="8" max="8" width="12.7265625" style="1" customWidth="1"/>
    <col min="9" max="16384" width="8.7265625" style="1"/>
  </cols>
  <sheetData>
    <row r="1" spans="1:127" x14ac:dyDescent="0.35">
      <c r="A1" s="1" t="s">
        <v>132</v>
      </c>
    </row>
    <row r="2" spans="1:127" x14ac:dyDescent="0.35">
      <c r="A2" s="1" t="s">
        <v>437</v>
      </c>
    </row>
    <row r="4" spans="1:127" s="13" customFormat="1" x14ac:dyDescent="0.35">
      <c r="A4" s="23" t="s">
        <v>131</v>
      </c>
      <c r="B4" s="4" t="s">
        <v>102</v>
      </c>
      <c r="C4" s="4" t="s">
        <v>101</v>
      </c>
      <c r="D4" s="4" t="s">
        <v>62</v>
      </c>
      <c r="E4" s="4" t="s">
        <v>100</v>
      </c>
      <c r="F4" s="4" t="s">
        <v>64</v>
      </c>
      <c r="G4" s="13" t="s">
        <v>99</v>
      </c>
      <c r="H4" s="13" t="s">
        <v>65</v>
      </c>
      <c r="DW4" s="13" t="str">
        <f>Data_base_case!CM2&amp;Data_base_case!CM3</f>
        <v/>
      </c>
    </row>
    <row r="5" spans="1:127" ht="14.5" customHeight="1" x14ac:dyDescent="0.35">
      <c r="A5" s="18"/>
      <c r="B5" s="1" t="s">
        <v>289</v>
      </c>
      <c r="C5" s="7" t="s">
        <v>32</v>
      </c>
      <c r="D5" s="1" t="s">
        <v>93</v>
      </c>
      <c r="E5" s="7" t="s">
        <v>95</v>
      </c>
      <c r="F5" s="1">
        <f>H5</f>
        <v>1</v>
      </c>
      <c r="G5" s="39" t="s">
        <v>95</v>
      </c>
      <c r="H5" s="1">
        <f>INDEX(Data_base_case!$D$5:$BU$82,MATCH(Scenarios_definition!C5,Data_base_case!$D$5:$D$82,0),MATCH(Scenarios_definition!D5&amp;Scenarios_definition!G5,Data_base_case!$D$4:$BU$4,0))</f>
        <v>1</v>
      </c>
    </row>
    <row r="6" spans="1:127" x14ac:dyDescent="0.35">
      <c r="A6" s="1" t="s">
        <v>289</v>
      </c>
      <c r="B6" s="1" t="s">
        <v>288</v>
      </c>
      <c r="C6" s="7" t="s">
        <v>32</v>
      </c>
      <c r="D6" s="1" t="s">
        <v>93</v>
      </c>
      <c r="E6" s="40" t="s">
        <v>95</v>
      </c>
      <c r="F6" s="1">
        <v>0</v>
      </c>
      <c r="G6" s="39" t="s">
        <v>95</v>
      </c>
      <c r="H6" s="1">
        <f>INDEX(Data_base_case!$D$5:$BU$82,MATCH(Scenarios_definition!C6,Data_base_case!$D$5:$D$82,0),MATCH(Scenarios_definition!D6&amp;Scenarios_definition!G6,Data_base_case!$D$4:$BU$4,0))</f>
        <v>1</v>
      </c>
    </row>
  </sheetData>
  <pageMargins left="0.7" right="0.7" top="0.75" bottom="0.75" header="0.3" footer="0.3"/>
  <pageSetup paperSize="9" orientation="portrait" horizontalDpi="429496729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L19"/>
  <sheetViews>
    <sheetView tabSelected="1" zoomScale="88" zoomScaleNormal="145" workbookViewId="0">
      <selection activeCell="H13" sqref="H13"/>
    </sheetView>
  </sheetViews>
  <sheetFormatPr defaultColWidth="8.7265625" defaultRowHeight="14.5" x14ac:dyDescent="0.35"/>
  <cols>
    <col min="1" max="1" width="15.08984375" bestFit="1" customWidth="1"/>
    <col min="2" max="2" width="31.54296875" customWidth="1"/>
    <col min="3" max="3" width="23.7265625" style="10" customWidth="1"/>
    <col min="4" max="4" width="13.1796875" style="10" customWidth="1"/>
    <col min="5" max="5" width="11.7265625" style="10" customWidth="1"/>
    <col min="6" max="6" width="11.1796875" style="10" customWidth="1"/>
    <col min="7" max="7" width="14.7265625" style="10" customWidth="1"/>
    <col min="8" max="8" width="15.36328125" style="10" customWidth="1"/>
    <col min="9" max="9" width="19.90625" style="10" customWidth="1"/>
    <col min="10" max="10" width="10.90625" style="10" customWidth="1"/>
    <col min="11" max="11" width="18.08984375" style="10" customWidth="1"/>
    <col min="12" max="12" width="13" style="10" customWidth="1"/>
    <col min="13" max="13" width="15.7265625" style="10" customWidth="1"/>
    <col min="14" max="16" width="31.90625" style="10" customWidth="1"/>
    <col min="17" max="17" width="12.6328125" style="10" customWidth="1"/>
    <col min="18" max="18" width="13.453125" style="10" customWidth="1"/>
    <col min="19" max="19" width="15.7265625" style="10" customWidth="1"/>
    <col min="20" max="20" width="17.26953125" style="10" customWidth="1"/>
    <col min="21" max="21" width="18.453125" style="10" customWidth="1"/>
    <col min="22" max="22" width="19.81640625" style="10" customWidth="1"/>
    <col min="23" max="24" width="21.36328125" customWidth="1"/>
    <col min="25" max="25" width="23.90625" customWidth="1"/>
    <col min="26" max="26" width="11.7265625" style="14" bestFit="1" customWidth="1"/>
    <col min="27" max="27" width="8.08984375" bestFit="1" customWidth="1"/>
    <col min="28" max="28" width="19.1796875" bestFit="1" customWidth="1"/>
    <col min="29" max="29" width="20.26953125" customWidth="1"/>
    <col min="30" max="30" width="14.7265625" customWidth="1"/>
    <col min="31" max="31" width="13.54296875" customWidth="1"/>
    <col min="32" max="32" width="16" customWidth="1"/>
    <col min="33" max="33" width="20.54296875" customWidth="1"/>
    <col min="34" max="34" width="16" customWidth="1"/>
    <col min="35" max="35" width="14.6328125" style="15" bestFit="1" customWidth="1"/>
    <col min="36" max="36" width="12.26953125" bestFit="1" customWidth="1"/>
    <col min="37" max="37" width="8.1796875" bestFit="1" customWidth="1"/>
    <col min="38" max="38" width="5.54296875" bestFit="1" customWidth="1"/>
  </cols>
  <sheetData>
    <row r="1" spans="1:38" x14ac:dyDescent="0.35">
      <c r="C1" s="10" t="s">
        <v>105</v>
      </c>
      <c r="W1" s="10"/>
      <c r="X1" s="10"/>
      <c r="Y1" s="10"/>
    </row>
    <row r="2" spans="1:38" ht="16.5" customHeight="1" x14ac:dyDescent="0.35">
      <c r="B2" s="423" t="s">
        <v>110</v>
      </c>
      <c r="C2" s="424" t="s">
        <v>340</v>
      </c>
      <c r="D2" s="8" t="s">
        <v>171</v>
      </c>
      <c r="E2" s="8" t="s">
        <v>87</v>
      </c>
      <c r="F2" s="8" t="s">
        <v>313</v>
      </c>
      <c r="G2" s="8" t="s">
        <v>401</v>
      </c>
      <c r="H2" s="283" t="s">
        <v>406</v>
      </c>
      <c r="I2" s="8" t="s">
        <v>16</v>
      </c>
      <c r="J2" s="8">
        <v>2025</v>
      </c>
      <c r="K2" s="425" t="s">
        <v>420</v>
      </c>
      <c r="L2" s="8" t="s">
        <v>479</v>
      </c>
      <c r="M2" s="423" t="s">
        <v>337</v>
      </c>
      <c r="N2" s="428" t="s">
        <v>339</v>
      </c>
      <c r="O2" s="96"/>
      <c r="P2" s="96"/>
      <c r="Q2" s="8" t="s">
        <v>117</v>
      </c>
      <c r="R2" s="8" t="s">
        <v>117</v>
      </c>
      <c r="S2" s="425" t="s">
        <v>173</v>
      </c>
      <c r="T2" s="426" t="s">
        <v>174</v>
      </c>
      <c r="U2" s="427" t="s">
        <v>176</v>
      </c>
      <c r="V2" s="423" t="s">
        <v>458</v>
      </c>
      <c r="W2" s="8" t="s">
        <v>152</v>
      </c>
      <c r="X2" s="8" t="s">
        <v>152</v>
      </c>
      <c r="Y2" s="8" t="s">
        <v>106</v>
      </c>
    </row>
    <row r="3" spans="1:38" x14ac:dyDescent="0.35">
      <c r="B3" s="423"/>
      <c r="C3" s="424"/>
      <c r="D3" s="8" t="s">
        <v>438</v>
      </c>
      <c r="E3" s="8" t="s">
        <v>60</v>
      </c>
      <c r="F3" s="8" t="s">
        <v>314</v>
      </c>
      <c r="G3" s="8" t="s">
        <v>402</v>
      </c>
      <c r="H3" s="283" t="s">
        <v>410</v>
      </c>
      <c r="I3" s="8" t="s">
        <v>409</v>
      </c>
      <c r="J3" s="8">
        <v>2030</v>
      </c>
      <c r="K3" s="425"/>
      <c r="L3" s="8"/>
      <c r="M3" s="423"/>
      <c r="N3" s="428"/>
      <c r="O3" s="96"/>
      <c r="P3" s="96"/>
      <c r="S3" s="425"/>
      <c r="T3" s="426"/>
      <c r="U3" s="427"/>
      <c r="V3" s="423"/>
      <c r="W3" s="8"/>
      <c r="X3" s="8"/>
      <c r="Y3" s="8"/>
    </row>
    <row r="4" spans="1:38" x14ac:dyDescent="0.35">
      <c r="B4" s="423"/>
      <c r="C4" s="424"/>
      <c r="D4" s="8" t="s">
        <v>439</v>
      </c>
      <c r="E4" s="8" t="s">
        <v>86</v>
      </c>
      <c r="F4" t="s">
        <v>457</v>
      </c>
      <c r="G4" s="8" t="s">
        <v>403</v>
      </c>
      <c r="H4" s="283" t="s">
        <v>407</v>
      </c>
      <c r="I4" s="8"/>
      <c r="J4" s="8">
        <v>2040</v>
      </c>
      <c r="K4" s="425"/>
      <c r="L4" s="8"/>
      <c r="M4" s="423"/>
      <c r="N4" s="8"/>
      <c r="O4" s="8"/>
      <c r="P4" s="8"/>
      <c r="Q4" s="8"/>
      <c r="R4" s="8"/>
      <c r="S4" s="425"/>
      <c r="T4" s="426"/>
      <c r="U4" s="427"/>
      <c r="V4" s="423"/>
      <c r="W4" s="8"/>
      <c r="X4" s="8"/>
      <c r="Y4" s="8"/>
    </row>
    <row r="5" spans="1:38" x14ac:dyDescent="0.35">
      <c r="B5" s="423"/>
      <c r="C5" s="424"/>
      <c r="D5" s="8" t="s">
        <v>440</v>
      </c>
      <c r="E5" s="8"/>
      <c r="F5" s="8" t="s">
        <v>315</v>
      </c>
      <c r="G5" s="8" t="s">
        <v>404</v>
      </c>
      <c r="H5" s="8"/>
      <c r="I5" s="8"/>
      <c r="J5" s="8">
        <v>2050</v>
      </c>
      <c r="K5" s="26"/>
      <c r="L5" s="8"/>
      <c r="M5" s="25"/>
      <c r="N5" s="428" t="s">
        <v>338</v>
      </c>
      <c r="O5" s="96"/>
      <c r="P5" s="96"/>
      <c r="Q5" s="8"/>
      <c r="R5" s="8"/>
      <c r="S5" s="425"/>
      <c r="T5" s="426"/>
      <c r="U5" s="427"/>
      <c r="V5" s="423"/>
      <c r="W5" s="8"/>
      <c r="X5" s="8"/>
      <c r="Y5" s="8"/>
    </row>
    <row r="6" spans="1:38" x14ac:dyDescent="0.35">
      <c r="B6" s="423"/>
      <c r="C6" s="424"/>
      <c r="D6" s="8" t="s">
        <v>441</v>
      </c>
      <c r="E6" s="8"/>
      <c r="F6" s="8" t="s">
        <v>86</v>
      </c>
      <c r="G6" s="8" t="s">
        <v>405</v>
      </c>
      <c r="H6" s="8"/>
      <c r="I6" s="8"/>
      <c r="J6" s="8"/>
      <c r="K6" s="26"/>
      <c r="L6" s="8"/>
      <c r="M6" s="25"/>
      <c r="N6" s="428"/>
      <c r="O6" s="96"/>
      <c r="P6" s="96"/>
      <c r="Q6" s="8"/>
      <c r="R6" s="8"/>
      <c r="S6" s="425"/>
      <c r="T6" s="426"/>
      <c r="U6" s="427"/>
      <c r="V6" s="423"/>
      <c r="W6" s="8"/>
      <c r="X6" s="8"/>
      <c r="Y6" s="8"/>
    </row>
    <row r="7" spans="1:38" x14ac:dyDescent="0.35">
      <c r="B7" s="423"/>
      <c r="C7" s="424"/>
      <c r="D7" s="8" t="s">
        <v>287</v>
      </c>
      <c r="E7" s="8"/>
      <c r="F7" s="8"/>
      <c r="G7" s="8"/>
      <c r="H7" s="8"/>
      <c r="I7" s="8"/>
      <c r="J7" s="8"/>
      <c r="K7" s="8"/>
      <c r="M7" s="25"/>
      <c r="N7" s="428"/>
      <c r="O7" s="96"/>
      <c r="P7" s="96"/>
      <c r="Q7" s="8"/>
      <c r="R7" s="8"/>
      <c r="S7" s="425"/>
      <c r="T7" s="426"/>
      <c r="U7" s="427"/>
      <c r="V7" s="423"/>
      <c r="W7" s="12"/>
      <c r="X7" s="12"/>
      <c r="Y7" s="12"/>
      <c r="Z7" s="95"/>
      <c r="AA7" s="12"/>
      <c r="AB7" s="12"/>
      <c r="AC7" s="12"/>
      <c r="AD7" s="12"/>
      <c r="AE7" s="12"/>
      <c r="AF7" s="12"/>
      <c r="AG7" s="12"/>
      <c r="AH7" s="12"/>
      <c r="AI7" s="22"/>
      <c r="AJ7" s="422" t="s">
        <v>107</v>
      </c>
      <c r="AK7" s="418"/>
      <c r="AL7" s="418"/>
    </row>
    <row r="8" spans="1:38" x14ac:dyDescent="0.35">
      <c r="B8" s="24"/>
      <c r="C8" s="25"/>
      <c r="D8" s="8" t="s">
        <v>271</v>
      </c>
      <c r="E8" s="8"/>
      <c r="F8" s="8"/>
      <c r="G8" s="8"/>
      <c r="H8" s="8"/>
      <c r="I8" s="8"/>
      <c r="J8" s="8"/>
      <c r="K8" s="8"/>
      <c r="M8" s="25"/>
      <c r="N8" s="428"/>
      <c r="O8" s="96"/>
      <c r="P8" s="96"/>
      <c r="Q8" s="8"/>
      <c r="R8" s="8"/>
      <c r="S8" s="26"/>
      <c r="T8" s="41"/>
      <c r="U8" s="42"/>
      <c r="V8" s="26"/>
      <c r="W8" s="12"/>
      <c r="X8" s="12"/>
      <c r="Y8" s="12"/>
      <c r="Z8" s="95"/>
      <c r="AA8" s="12"/>
      <c r="AB8" s="12"/>
      <c r="AC8" s="12"/>
      <c r="AD8" s="12"/>
      <c r="AE8" s="12"/>
      <c r="AF8" s="12"/>
      <c r="AG8" s="12"/>
      <c r="AH8" s="12"/>
      <c r="AI8" s="22"/>
      <c r="AJ8" s="12"/>
      <c r="AK8" s="12"/>
      <c r="AL8" s="12"/>
    </row>
    <row r="9" spans="1:38" x14ac:dyDescent="0.35">
      <c r="B9" s="24"/>
      <c r="C9" s="25"/>
      <c r="D9" s="8" t="s">
        <v>272</v>
      </c>
      <c r="E9" s="8"/>
      <c r="F9" s="8"/>
      <c r="G9" s="8"/>
      <c r="H9" s="8"/>
      <c r="I9" s="8"/>
      <c r="J9" s="8"/>
      <c r="K9" s="8"/>
      <c r="M9" s="25"/>
      <c r="N9" s="428"/>
      <c r="O9" s="96"/>
      <c r="P9" s="96"/>
      <c r="Q9" s="8"/>
      <c r="R9" s="8"/>
      <c r="S9" s="26"/>
      <c r="T9" s="41"/>
      <c r="U9" s="42"/>
      <c r="V9" s="26"/>
      <c r="W9" s="12"/>
      <c r="X9" s="12"/>
      <c r="Y9" s="12"/>
      <c r="Z9" s="95" t="s">
        <v>415</v>
      </c>
      <c r="AA9" s="12"/>
      <c r="AB9" s="12"/>
      <c r="AC9" s="12"/>
      <c r="AD9" s="12"/>
      <c r="AE9" s="12"/>
      <c r="AF9" s="12"/>
      <c r="AG9" s="12"/>
      <c r="AH9" s="12"/>
      <c r="AI9" s="22"/>
      <c r="AJ9" s="12"/>
      <c r="AK9" s="12"/>
      <c r="AL9" s="12"/>
    </row>
    <row r="10" spans="1:38" x14ac:dyDescent="0.35">
      <c r="B10" s="24"/>
      <c r="C10" s="25"/>
      <c r="D10" s="8" t="s">
        <v>273</v>
      </c>
      <c r="E10" s="8"/>
      <c r="F10" s="8"/>
      <c r="G10" s="8"/>
      <c r="H10" s="8"/>
      <c r="I10" s="8"/>
      <c r="J10" s="8"/>
      <c r="K10" s="8"/>
      <c r="M10" s="25"/>
      <c r="N10" s="96"/>
      <c r="O10" s="96"/>
      <c r="P10" s="96"/>
      <c r="Q10" s="8"/>
      <c r="R10" s="8"/>
      <c r="S10" s="26"/>
      <c r="T10" s="41"/>
      <c r="U10" s="42"/>
      <c r="V10" s="26"/>
      <c r="W10" s="12"/>
      <c r="X10" s="12"/>
      <c r="Y10" s="12"/>
      <c r="Z10" s="95"/>
      <c r="AA10" s="12"/>
      <c r="AB10" s="12"/>
      <c r="AC10" s="12"/>
      <c r="AD10" s="12"/>
      <c r="AE10" s="12"/>
      <c r="AF10" s="12"/>
      <c r="AG10" s="12"/>
      <c r="AH10" s="12"/>
      <c r="AI10" s="22"/>
      <c r="AJ10" s="12"/>
      <c r="AK10" s="12"/>
      <c r="AL10" s="12"/>
    </row>
    <row r="11" spans="1:38" x14ac:dyDescent="0.35">
      <c r="B11" s="24"/>
      <c r="C11" s="25"/>
      <c r="D11" s="8" t="s">
        <v>274</v>
      </c>
      <c r="E11" s="8"/>
      <c r="G11" s="8"/>
      <c r="H11" s="8"/>
      <c r="I11" s="8"/>
      <c r="J11" s="8"/>
      <c r="K11" s="8"/>
      <c r="M11" s="25"/>
      <c r="N11" s="96"/>
      <c r="O11" s="96"/>
      <c r="P11" s="96"/>
      <c r="Q11" s="8"/>
      <c r="R11" s="8"/>
      <c r="S11" s="26"/>
      <c r="T11" s="41"/>
      <c r="U11" s="42"/>
      <c r="V11" s="26"/>
      <c r="W11" s="12"/>
      <c r="X11" s="12"/>
      <c r="Y11" s="12"/>
      <c r="Z11" s="95"/>
      <c r="AA11" s="12"/>
      <c r="AB11" s="12"/>
      <c r="AC11" s="12"/>
      <c r="AD11" s="12"/>
      <c r="AE11" s="12"/>
      <c r="AF11" s="12"/>
      <c r="AG11" s="12"/>
      <c r="AH11" s="12"/>
      <c r="AI11" s="22"/>
      <c r="AJ11" s="12"/>
      <c r="AK11" s="12"/>
      <c r="AL11" s="12"/>
    </row>
    <row r="12" spans="1:38" x14ac:dyDescent="0.35">
      <c r="B12" s="24"/>
      <c r="C12" s="25"/>
      <c r="D12" s="8" t="s">
        <v>84</v>
      </c>
      <c r="E12" s="8"/>
      <c r="F12" s="8"/>
      <c r="G12" s="8"/>
      <c r="H12" s="8"/>
      <c r="I12" s="8"/>
      <c r="J12" s="8"/>
      <c r="K12" s="8"/>
      <c r="M12" s="25"/>
      <c r="N12" s="96"/>
      <c r="O12" s="96"/>
      <c r="P12" s="96"/>
      <c r="Q12" s="8"/>
      <c r="R12" s="8"/>
      <c r="S12" s="26"/>
      <c r="T12" s="41"/>
      <c r="U12" s="42"/>
      <c r="V12" s="26"/>
      <c r="W12" s="12"/>
      <c r="X12" s="12"/>
      <c r="Y12" s="12"/>
      <c r="Z12" s="95"/>
      <c r="AA12" s="12"/>
      <c r="AB12" s="12"/>
      <c r="AC12" s="12"/>
      <c r="AD12" s="12"/>
      <c r="AE12" s="12"/>
      <c r="AF12" s="12"/>
      <c r="AG12" s="12"/>
      <c r="AH12" s="12"/>
      <c r="AI12" s="22"/>
      <c r="AJ12" s="12"/>
      <c r="AK12" s="12"/>
      <c r="AL12" s="12"/>
    </row>
    <row r="13" spans="1:38" x14ac:dyDescent="0.35">
      <c r="B13" s="24"/>
      <c r="C13" s="25"/>
      <c r="D13" s="8" t="s">
        <v>295</v>
      </c>
      <c r="E13" s="8"/>
      <c r="F13" s="8"/>
      <c r="G13" s="8"/>
      <c r="H13" s="8"/>
      <c r="I13" s="8"/>
      <c r="J13" s="8"/>
      <c r="K13" s="8"/>
      <c r="M13" s="25"/>
      <c r="N13" s="96"/>
      <c r="O13" s="96"/>
      <c r="P13" s="96"/>
      <c r="Q13" s="8"/>
      <c r="R13" s="8"/>
      <c r="S13" s="26"/>
      <c r="T13" s="41"/>
      <c r="U13" s="42"/>
      <c r="V13" s="26"/>
      <c r="W13" s="12"/>
      <c r="X13" s="12"/>
      <c r="Y13" s="12"/>
      <c r="Z13" s="95"/>
      <c r="AA13" s="12"/>
      <c r="AB13" s="12"/>
      <c r="AC13" s="12"/>
      <c r="AD13" s="12"/>
      <c r="AE13" s="12"/>
      <c r="AF13" s="12"/>
      <c r="AG13" s="12"/>
      <c r="AH13" s="12"/>
      <c r="AI13" s="22"/>
      <c r="AJ13" s="12"/>
      <c r="AK13" s="12"/>
      <c r="AL13" s="12"/>
    </row>
    <row r="14" spans="1:38" x14ac:dyDescent="0.35">
      <c r="B14" s="10"/>
      <c r="W14" s="10"/>
      <c r="X14" s="10"/>
      <c r="Y14" s="10"/>
      <c r="Z14" s="95"/>
      <c r="AA14" s="12"/>
      <c r="AB14" s="12"/>
      <c r="AC14" s="12"/>
      <c r="AD14" s="12"/>
      <c r="AE14" s="12"/>
      <c r="AF14" s="12"/>
      <c r="AG14" s="12"/>
      <c r="AH14" s="12"/>
      <c r="AI14" s="22"/>
      <c r="AJ14" s="12"/>
      <c r="AK14" s="12"/>
    </row>
    <row r="15" spans="1:38" s="19" customFormat="1" x14ac:dyDescent="0.35">
      <c r="A15" s="19" t="s">
        <v>69</v>
      </c>
      <c r="B15" s="19" t="s">
        <v>109</v>
      </c>
      <c r="C15" s="19" t="s">
        <v>108</v>
      </c>
      <c r="D15" s="19" t="s">
        <v>70</v>
      </c>
      <c r="E15" s="19" t="s">
        <v>85</v>
      </c>
      <c r="F15" s="19" t="s">
        <v>316</v>
      </c>
      <c r="G15" s="19" t="s">
        <v>71</v>
      </c>
      <c r="H15" s="19" t="s">
        <v>168</v>
      </c>
      <c r="I15" s="19" t="s">
        <v>169</v>
      </c>
      <c r="J15" s="19" t="s">
        <v>124</v>
      </c>
      <c r="K15" s="19" t="s">
        <v>73</v>
      </c>
      <c r="L15" s="19" t="s">
        <v>160</v>
      </c>
      <c r="M15" s="19" t="s">
        <v>336</v>
      </c>
      <c r="N15" s="19" t="s">
        <v>301</v>
      </c>
      <c r="O15" s="19" t="s">
        <v>416</v>
      </c>
      <c r="P15" s="19" t="s">
        <v>417</v>
      </c>
      <c r="Q15" s="19" t="s">
        <v>118</v>
      </c>
      <c r="R15" s="19" t="s">
        <v>116</v>
      </c>
      <c r="S15" s="19" t="s">
        <v>163</v>
      </c>
      <c r="T15" s="19" t="s">
        <v>170</v>
      </c>
      <c r="U15" s="19" t="s">
        <v>175</v>
      </c>
      <c r="V15" s="19" t="s">
        <v>475</v>
      </c>
      <c r="W15" s="19" t="s">
        <v>72</v>
      </c>
      <c r="X15" s="19" t="s">
        <v>151</v>
      </c>
      <c r="Y15" s="19" t="s">
        <v>74</v>
      </c>
      <c r="Z15" s="20" t="s">
        <v>77</v>
      </c>
      <c r="AA15" s="19" t="s">
        <v>78</v>
      </c>
      <c r="AB15" s="19" t="s">
        <v>79</v>
      </c>
      <c r="AC15" s="19" t="s">
        <v>88</v>
      </c>
      <c r="AD15" s="19" t="s">
        <v>89</v>
      </c>
      <c r="AE15" s="19" t="s">
        <v>90</v>
      </c>
      <c r="AF15" s="19" t="s">
        <v>91</v>
      </c>
      <c r="AG15" s="19" t="s">
        <v>279</v>
      </c>
      <c r="AH15" s="19" t="s">
        <v>280</v>
      </c>
      <c r="AI15" s="21" t="s">
        <v>80</v>
      </c>
      <c r="AJ15" s="19" t="s">
        <v>81</v>
      </c>
      <c r="AK15" s="19" t="s">
        <v>82</v>
      </c>
      <c r="AL15" s="19" t="s">
        <v>83</v>
      </c>
    </row>
    <row r="16" spans="1:38" x14ac:dyDescent="0.35">
      <c r="A16" s="8">
        <f t="shared" ref="A16:A19" si="0">ROW(A16)-ROW($A$15)</f>
        <v>1</v>
      </c>
      <c r="B16" s="8" t="s">
        <v>470</v>
      </c>
      <c r="C16" s="10" t="s">
        <v>289</v>
      </c>
      <c r="D16" s="8" t="s">
        <v>84</v>
      </c>
      <c r="E16" s="10" t="s">
        <v>86</v>
      </c>
      <c r="F16" s="10" t="s">
        <v>86</v>
      </c>
      <c r="G16" s="10" t="s">
        <v>402</v>
      </c>
      <c r="H16" s="10" t="s">
        <v>408</v>
      </c>
      <c r="I16" s="10" t="s">
        <v>409</v>
      </c>
      <c r="J16" s="10">
        <v>2030</v>
      </c>
      <c r="K16" s="391" t="s">
        <v>469</v>
      </c>
      <c r="L16" t="s">
        <v>479</v>
      </c>
      <c r="M16" s="12" t="s">
        <v>86</v>
      </c>
      <c r="N16" s="12" t="s">
        <v>477</v>
      </c>
      <c r="O16" s="10" t="s">
        <v>418</v>
      </c>
      <c r="P16" s="10" t="s">
        <v>419</v>
      </c>
      <c r="Q16" s="10">
        <v>0</v>
      </c>
      <c r="R16" s="10">
        <v>0</v>
      </c>
      <c r="S16" s="10">
        <v>-1</v>
      </c>
      <c r="T16" s="10" t="s">
        <v>86</v>
      </c>
      <c r="U16" s="10">
        <v>0</v>
      </c>
      <c r="V16" s="10" t="s">
        <v>476</v>
      </c>
      <c r="W16" t="s">
        <v>161</v>
      </c>
      <c r="X16" t="s">
        <v>162</v>
      </c>
      <c r="Y16" t="s">
        <v>290</v>
      </c>
      <c r="Z16" s="14" t="b">
        <v>0</v>
      </c>
      <c r="AA16" t="b">
        <v>0</v>
      </c>
      <c r="AB16" t="b">
        <v>1</v>
      </c>
      <c r="AC16" t="b">
        <v>0</v>
      </c>
      <c r="AD16" t="b">
        <v>0</v>
      </c>
      <c r="AE16" t="b">
        <v>1</v>
      </c>
      <c r="AF16" t="b">
        <v>1</v>
      </c>
      <c r="AG16" t="b">
        <v>1</v>
      </c>
      <c r="AH16" t="b">
        <v>1</v>
      </c>
      <c r="AI16" s="15" t="b">
        <v>0</v>
      </c>
      <c r="AJ16" t="b">
        <v>0</v>
      </c>
      <c r="AK16" t="b">
        <v>0</v>
      </c>
      <c r="AL16" t="b">
        <v>1</v>
      </c>
    </row>
    <row r="17" spans="1:38" x14ac:dyDescent="0.35">
      <c r="A17" s="8">
        <f>ROW(A17)-ROW($A$15)</f>
        <v>2</v>
      </c>
      <c r="B17" s="8" t="s">
        <v>288</v>
      </c>
      <c r="C17" s="10" t="s">
        <v>288</v>
      </c>
      <c r="D17" s="8" t="s">
        <v>84</v>
      </c>
      <c r="E17" s="10" t="s">
        <v>86</v>
      </c>
      <c r="F17" s="10" t="s">
        <v>86</v>
      </c>
      <c r="G17" s="10" t="s">
        <v>402</v>
      </c>
      <c r="H17" s="10" t="s">
        <v>408</v>
      </c>
      <c r="I17" s="10" t="s">
        <v>409</v>
      </c>
      <c r="J17" s="10">
        <v>2030</v>
      </c>
      <c r="K17" s="391" t="s">
        <v>469</v>
      </c>
      <c r="L17" t="s">
        <v>479</v>
      </c>
      <c r="M17" s="12" t="s">
        <v>86</v>
      </c>
      <c r="N17" s="12" t="s">
        <v>477</v>
      </c>
      <c r="O17" s="10" t="s">
        <v>418</v>
      </c>
      <c r="P17" s="10" t="s">
        <v>419</v>
      </c>
      <c r="Q17" s="10">
        <v>0</v>
      </c>
      <c r="R17" s="10">
        <v>0</v>
      </c>
      <c r="S17" s="10">
        <v>-1</v>
      </c>
      <c r="T17" s="10" t="s">
        <v>86</v>
      </c>
      <c r="U17" s="10">
        <v>0</v>
      </c>
      <c r="V17" s="10" t="s">
        <v>476</v>
      </c>
      <c r="W17" t="s">
        <v>161</v>
      </c>
      <c r="X17" t="s">
        <v>162</v>
      </c>
      <c r="Y17" t="s">
        <v>290</v>
      </c>
      <c r="Z17" s="14" t="b">
        <v>0</v>
      </c>
      <c r="AA17" t="b">
        <v>0</v>
      </c>
      <c r="AB17" t="b">
        <v>1</v>
      </c>
      <c r="AC17" t="b">
        <v>0</v>
      </c>
      <c r="AD17" t="b">
        <v>0</v>
      </c>
      <c r="AE17" t="b">
        <v>1</v>
      </c>
      <c r="AF17" t="b">
        <v>1</v>
      </c>
      <c r="AG17" t="b">
        <v>1</v>
      </c>
      <c r="AH17" t="b">
        <v>1</v>
      </c>
      <c r="AI17" s="15" t="b">
        <v>0</v>
      </c>
      <c r="AJ17" t="b">
        <v>0</v>
      </c>
      <c r="AK17" t="b">
        <v>0</v>
      </c>
      <c r="AL17" t="b">
        <v>1</v>
      </c>
    </row>
    <row r="18" spans="1:38" x14ac:dyDescent="0.35">
      <c r="A18" s="8">
        <f t="shared" si="0"/>
        <v>3</v>
      </c>
      <c r="B18" s="8" t="s">
        <v>472</v>
      </c>
      <c r="C18" s="10" t="s">
        <v>289</v>
      </c>
      <c r="D18" s="8" t="s">
        <v>84</v>
      </c>
      <c r="E18" s="10" t="s">
        <v>86</v>
      </c>
      <c r="F18" s="10" t="s">
        <v>86</v>
      </c>
      <c r="G18" s="10" t="s">
        <v>401</v>
      </c>
      <c r="H18" s="10" t="s">
        <v>408</v>
      </c>
      <c r="I18" s="10" t="s">
        <v>409</v>
      </c>
      <c r="J18" s="10">
        <v>2025</v>
      </c>
      <c r="K18" s="391" t="s">
        <v>469</v>
      </c>
      <c r="L18" t="s">
        <v>479</v>
      </c>
      <c r="M18" s="12" t="s">
        <v>86</v>
      </c>
      <c r="N18" s="12" t="s">
        <v>302</v>
      </c>
      <c r="O18" s="10" t="s">
        <v>418</v>
      </c>
      <c r="P18" s="10" t="s">
        <v>419</v>
      </c>
      <c r="Q18" s="10">
        <v>0</v>
      </c>
      <c r="R18" s="10">
        <v>0</v>
      </c>
      <c r="S18" s="10">
        <f>28.2/1000</f>
        <v>2.8199999999999999E-2</v>
      </c>
      <c r="T18" s="10" t="s">
        <v>471</v>
      </c>
      <c r="U18" s="10">
        <v>-1</v>
      </c>
      <c r="V18" s="10" t="s">
        <v>476</v>
      </c>
      <c r="W18" t="s">
        <v>161</v>
      </c>
      <c r="X18" t="s">
        <v>162</v>
      </c>
      <c r="Y18" t="s">
        <v>290</v>
      </c>
      <c r="Z18" s="14" t="b">
        <v>0</v>
      </c>
      <c r="AA18" t="b">
        <v>0</v>
      </c>
      <c r="AB18" t="b">
        <v>1</v>
      </c>
      <c r="AC18" t="b">
        <v>0</v>
      </c>
      <c r="AD18" t="b">
        <v>0</v>
      </c>
      <c r="AE18" t="b">
        <v>1</v>
      </c>
      <c r="AF18" t="b">
        <v>1</v>
      </c>
      <c r="AG18" t="b">
        <v>1</v>
      </c>
      <c r="AH18" t="b">
        <v>1</v>
      </c>
      <c r="AI18" s="15" t="b">
        <v>0</v>
      </c>
      <c r="AJ18" t="b">
        <v>0</v>
      </c>
      <c r="AK18" t="b">
        <v>0</v>
      </c>
      <c r="AL18" t="b">
        <v>1</v>
      </c>
    </row>
    <row r="19" spans="1:38" x14ac:dyDescent="0.35">
      <c r="A19" s="8">
        <f t="shared" si="0"/>
        <v>4</v>
      </c>
      <c r="B19" s="8" t="s">
        <v>473</v>
      </c>
      <c r="C19" s="10" t="s">
        <v>289</v>
      </c>
      <c r="D19" s="8" t="s">
        <v>84</v>
      </c>
      <c r="E19" s="10" t="s">
        <v>86</v>
      </c>
      <c r="F19" s="10" t="s">
        <v>86</v>
      </c>
      <c r="G19" s="10" t="s">
        <v>401</v>
      </c>
      <c r="H19" s="10" t="s">
        <v>408</v>
      </c>
      <c r="I19" s="10" t="s">
        <v>409</v>
      </c>
      <c r="J19" s="10">
        <v>2025</v>
      </c>
      <c r="K19" s="391" t="s">
        <v>469</v>
      </c>
      <c r="L19" t="s">
        <v>479</v>
      </c>
      <c r="M19" s="12" t="s">
        <v>86</v>
      </c>
      <c r="N19" s="12" t="s">
        <v>302</v>
      </c>
      <c r="O19" s="10" t="s">
        <v>418</v>
      </c>
      <c r="P19" s="10" t="s">
        <v>419</v>
      </c>
      <c r="Q19" s="10">
        <v>0</v>
      </c>
      <c r="R19" s="10">
        <v>0</v>
      </c>
      <c r="S19" s="10">
        <f>28.2/1000</f>
        <v>2.8199999999999999E-2</v>
      </c>
      <c r="T19" s="10" t="s">
        <v>471</v>
      </c>
      <c r="U19" s="10">
        <v>0</v>
      </c>
      <c r="V19" s="10" t="s">
        <v>476</v>
      </c>
      <c r="W19" t="s">
        <v>161</v>
      </c>
      <c r="X19" t="s">
        <v>162</v>
      </c>
      <c r="Y19" t="s">
        <v>290</v>
      </c>
      <c r="Z19" s="14" t="b">
        <v>0</v>
      </c>
      <c r="AA19" t="b">
        <v>0</v>
      </c>
      <c r="AB19" t="b">
        <v>1</v>
      </c>
      <c r="AC19" t="b">
        <v>0</v>
      </c>
      <c r="AD19" t="b">
        <v>0</v>
      </c>
      <c r="AE19" t="b">
        <v>1</v>
      </c>
      <c r="AF19" t="b">
        <v>1</v>
      </c>
      <c r="AG19" t="b">
        <v>1</v>
      </c>
      <c r="AH19" t="b">
        <v>1</v>
      </c>
      <c r="AI19" s="15" t="b">
        <v>0</v>
      </c>
      <c r="AJ19" t="b">
        <v>0</v>
      </c>
      <c r="AK19" t="b">
        <v>0</v>
      </c>
      <c r="AL19" t="b">
        <v>1</v>
      </c>
    </row>
  </sheetData>
  <mergeCells count="11">
    <mergeCell ref="AJ7:AL7"/>
    <mergeCell ref="B2:B7"/>
    <mergeCell ref="C2:C7"/>
    <mergeCell ref="V2:V7"/>
    <mergeCell ref="K2:K4"/>
    <mergeCell ref="T2:T7"/>
    <mergeCell ref="S2:S7"/>
    <mergeCell ref="U2:U7"/>
    <mergeCell ref="N5:N9"/>
    <mergeCell ref="N2:N3"/>
    <mergeCell ref="M2:M4"/>
  </mergeCells>
  <conditionalFormatting sqref="Z16:AL19">
    <cfRule type="cellIs" dxfId="31" priority="1" operator="equal">
      <formula>TRUE</formula>
    </cfRule>
    <cfRule type="cellIs" dxfId="30" priority="2" operator="equal">
      <formula>FALSE</formula>
    </cfRule>
  </conditionalFormatting>
  <pageMargins left="0.7" right="0.7" top="0.75" bottom="0.75" header="0.3" footer="0.3"/>
  <pageSetup paperSize="9" orientation="portrait" horizontalDpi="429496729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I356"/>
  <sheetViews>
    <sheetView topLeftCell="B36" workbookViewId="0">
      <selection activeCell="H16" sqref="H16"/>
    </sheetView>
  </sheetViews>
  <sheetFormatPr defaultColWidth="8.7265625" defaultRowHeight="14.5" x14ac:dyDescent="0.35"/>
  <cols>
    <col min="1" max="1" width="15.08984375" bestFit="1" customWidth="1"/>
    <col min="2" max="2" width="31.54296875" customWidth="1"/>
    <col min="3" max="3" width="36.90625" style="10" customWidth="1"/>
    <col min="4" max="4" width="22.1796875" style="10" customWidth="1"/>
    <col min="5" max="5" width="13.1796875" style="10" customWidth="1"/>
    <col min="6" max="6" width="11.7265625" style="10" customWidth="1"/>
    <col min="7" max="7" width="10.90625" style="10" customWidth="1"/>
    <col min="8" max="8" width="16.36328125" style="10" customWidth="1"/>
    <col min="9" max="9" width="12.26953125" style="10" customWidth="1"/>
    <col min="10" max="10" width="11.1796875" style="10" customWidth="1"/>
    <col min="11" max="11" width="12.6328125" style="10" customWidth="1"/>
    <col min="12" max="12" width="13.453125" style="10" customWidth="1"/>
    <col min="13" max="13" width="15.7265625" style="10" customWidth="1"/>
    <col min="14" max="14" width="17.26953125" style="10" customWidth="1"/>
    <col min="15" max="15" width="18.453125" style="10" customWidth="1"/>
    <col min="16" max="17" width="13.453125" style="10" customWidth="1"/>
    <col min="18" max="19" width="21.36328125" customWidth="1"/>
    <col min="20" max="20" width="23.90625" customWidth="1"/>
    <col min="21" max="21" width="9.6328125" style="14" bestFit="1" customWidth="1"/>
    <col min="22" max="22" width="7.90625" bestFit="1" customWidth="1"/>
    <col min="23" max="23" width="11.7265625" bestFit="1" customWidth="1"/>
    <col min="24" max="24" width="8.08984375" bestFit="1" customWidth="1"/>
    <col min="25" max="25" width="19.1796875" bestFit="1" customWidth="1"/>
    <col min="26" max="26" width="20.26953125" customWidth="1"/>
    <col min="27" max="27" width="14.7265625" customWidth="1"/>
    <col min="28" max="28" width="13.54296875" customWidth="1"/>
    <col min="29" max="29" width="16" customWidth="1"/>
    <col min="30" max="30" width="20.54296875" customWidth="1"/>
    <col min="31" max="31" width="16" customWidth="1"/>
    <col min="32" max="32" width="14.6328125" style="15" bestFit="1" customWidth="1"/>
    <col min="33" max="33" width="12.26953125" bestFit="1" customWidth="1"/>
    <col min="34" max="34" width="8.1796875" bestFit="1" customWidth="1"/>
    <col min="35" max="35" width="5.54296875" bestFit="1" customWidth="1"/>
  </cols>
  <sheetData>
    <row r="1" spans="1:35" x14ac:dyDescent="0.35">
      <c r="C1" s="10" t="s">
        <v>105</v>
      </c>
      <c r="E1" s="8" t="s">
        <v>171</v>
      </c>
      <c r="R1" s="10"/>
      <c r="S1" s="10"/>
      <c r="T1" s="35"/>
    </row>
    <row r="2" spans="1:35" ht="16.5" customHeight="1" x14ac:dyDescent="0.35">
      <c r="B2" s="423" t="s">
        <v>110</v>
      </c>
      <c r="C2" s="424" t="s">
        <v>104</v>
      </c>
      <c r="D2" s="8" t="s">
        <v>479</v>
      </c>
      <c r="E2" s="8" t="s">
        <v>67</v>
      </c>
      <c r="F2" s="8" t="s">
        <v>87</v>
      </c>
      <c r="G2" s="8">
        <v>2020</v>
      </c>
      <c r="H2" s="425" t="s">
        <v>127</v>
      </c>
      <c r="I2" s="425" t="s">
        <v>126</v>
      </c>
      <c r="J2" s="8" t="s">
        <v>59</v>
      </c>
      <c r="K2" s="8" t="s">
        <v>117</v>
      </c>
      <c r="L2" s="8" t="s">
        <v>117</v>
      </c>
      <c r="M2" s="425" t="s">
        <v>173</v>
      </c>
      <c r="N2" s="426" t="s">
        <v>174</v>
      </c>
      <c r="O2" s="427" t="s">
        <v>176</v>
      </c>
      <c r="P2" s="425" t="s">
        <v>121</v>
      </c>
      <c r="Q2" s="425" t="s">
        <v>122</v>
      </c>
      <c r="R2" s="8" t="s">
        <v>152</v>
      </c>
      <c r="S2" s="8" t="s">
        <v>152</v>
      </c>
      <c r="T2" s="8" t="s">
        <v>106</v>
      </c>
    </row>
    <row r="3" spans="1:35" x14ac:dyDescent="0.35">
      <c r="B3" s="423"/>
      <c r="C3" s="424"/>
      <c r="D3" s="8"/>
      <c r="E3" s="8" t="s">
        <v>84</v>
      </c>
      <c r="F3" s="8" t="s">
        <v>60</v>
      </c>
      <c r="G3" s="8">
        <v>2030</v>
      </c>
      <c r="H3" s="425"/>
      <c r="I3" s="425"/>
      <c r="J3" s="8" t="s">
        <v>68</v>
      </c>
      <c r="M3" s="425"/>
      <c r="N3" s="426"/>
      <c r="O3" s="427"/>
      <c r="P3" s="425"/>
      <c r="Q3" s="425"/>
      <c r="R3" s="8"/>
      <c r="S3" s="8"/>
      <c r="T3" s="8"/>
    </row>
    <row r="4" spans="1:35" x14ac:dyDescent="0.35">
      <c r="B4" s="423"/>
      <c r="C4" s="424"/>
      <c r="D4" s="8"/>
      <c r="E4" s="8" t="s">
        <v>271</v>
      </c>
      <c r="F4" s="8" t="s">
        <v>86</v>
      </c>
      <c r="G4" s="8">
        <v>2050</v>
      </c>
      <c r="H4" s="8"/>
      <c r="I4" s="425"/>
      <c r="J4" s="8" t="s">
        <v>167</v>
      </c>
      <c r="K4" s="8"/>
      <c r="L4" s="8"/>
      <c r="M4" s="425"/>
      <c r="N4" s="426"/>
      <c r="O4" s="427"/>
      <c r="P4" s="425"/>
      <c r="Q4" s="425"/>
      <c r="R4" s="8"/>
      <c r="S4" s="8"/>
      <c r="T4" s="8"/>
    </row>
    <row r="5" spans="1:35" x14ac:dyDescent="0.35">
      <c r="B5" s="423"/>
      <c r="C5" s="424"/>
      <c r="D5" s="8"/>
      <c r="E5" s="8" t="s">
        <v>272</v>
      </c>
      <c r="F5" s="8"/>
      <c r="G5" s="8"/>
      <c r="H5" s="8"/>
      <c r="I5" s="26"/>
      <c r="J5" s="8"/>
      <c r="K5" s="8"/>
      <c r="L5" s="8"/>
      <c r="M5" s="425"/>
      <c r="N5" s="426"/>
      <c r="O5" s="427"/>
      <c r="P5" s="425"/>
      <c r="Q5" s="425"/>
      <c r="R5" s="8"/>
      <c r="S5" s="8"/>
      <c r="T5" s="8"/>
    </row>
    <row r="6" spans="1:35" x14ac:dyDescent="0.35">
      <c r="B6" s="423"/>
      <c r="C6" s="424"/>
      <c r="D6" s="8"/>
      <c r="E6" s="8" t="s">
        <v>273</v>
      </c>
      <c r="F6" s="8"/>
      <c r="G6" s="8"/>
      <c r="H6" s="8"/>
      <c r="I6" s="26"/>
      <c r="J6" s="8"/>
      <c r="K6" s="8"/>
      <c r="L6" s="8"/>
      <c r="M6" s="425"/>
      <c r="N6" s="426"/>
      <c r="O6" s="427"/>
      <c r="P6" s="425"/>
      <c r="Q6" s="425"/>
      <c r="R6" s="8"/>
      <c r="S6" s="8"/>
      <c r="T6" s="8"/>
    </row>
    <row r="7" spans="1:35" x14ac:dyDescent="0.35">
      <c r="B7" s="423"/>
      <c r="C7" s="424"/>
      <c r="E7" s="8" t="s">
        <v>274</v>
      </c>
      <c r="F7" s="8"/>
      <c r="G7" s="8"/>
      <c r="H7" s="8"/>
      <c r="I7" s="8"/>
      <c r="J7" s="8"/>
      <c r="K7" s="8"/>
      <c r="L7" s="8"/>
      <c r="M7" s="425"/>
      <c r="N7" s="426"/>
      <c r="O7" s="427"/>
      <c r="P7" s="425"/>
      <c r="Q7" s="425"/>
      <c r="R7" s="12"/>
      <c r="S7" s="12"/>
      <c r="T7" s="12"/>
      <c r="V7" s="95" t="s">
        <v>103</v>
      </c>
      <c r="W7" s="12"/>
      <c r="X7" s="12"/>
      <c r="Y7" s="12"/>
      <c r="Z7" s="12"/>
      <c r="AA7" s="12"/>
      <c r="AB7" s="12"/>
      <c r="AC7" s="12"/>
      <c r="AD7" s="12"/>
      <c r="AE7" s="12"/>
      <c r="AF7" s="22"/>
      <c r="AG7" s="422" t="s">
        <v>107</v>
      </c>
      <c r="AH7" s="418"/>
      <c r="AI7" s="418"/>
    </row>
    <row r="8" spans="1:35" x14ac:dyDescent="0.35">
      <c r="B8" s="24"/>
      <c r="C8" s="25"/>
      <c r="E8" s="8" t="s">
        <v>287</v>
      </c>
      <c r="F8" s="8"/>
      <c r="G8" s="8"/>
      <c r="H8" s="8"/>
      <c r="I8" s="8"/>
      <c r="J8" s="8"/>
      <c r="K8" s="8"/>
      <c r="L8" s="8"/>
      <c r="M8" s="26"/>
      <c r="N8" s="41"/>
      <c r="O8" s="42"/>
      <c r="P8" s="26"/>
      <c r="Q8" s="26"/>
      <c r="R8" s="12"/>
      <c r="S8" s="12"/>
      <c r="T8" s="12"/>
      <c r="V8" s="12"/>
      <c r="W8" s="12"/>
      <c r="X8" s="12"/>
      <c r="Y8" s="12"/>
      <c r="Z8" s="12"/>
      <c r="AA8" s="12"/>
      <c r="AB8" s="12"/>
      <c r="AC8" s="12"/>
      <c r="AD8" s="12"/>
      <c r="AE8" s="12"/>
      <c r="AF8" s="22"/>
      <c r="AG8" s="12"/>
      <c r="AH8" s="12"/>
      <c r="AI8" s="12"/>
    </row>
    <row r="9" spans="1:35" x14ac:dyDescent="0.35">
      <c r="B9" s="24"/>
      <c r="C9" s="25"/>
      <c r="E9" s="8" t="s">
        <v>295</v>
      </c>
      <c r="F9" s="8"/>
      <c r="G9" s="8"/>
      <c r="H9" s="8"/>
      <c r="I9" s="8"/>
      <c r="J9" s="8"/>
      <c r="K9" s="8"/>
      <c r="L9" s="8"/>
      <c r="M9" s="26"/>
      <c r="N9" s="41"/>
      <c r="O9" s="42"/>
      <c r="P9" s="26"/>
      <c r="Q9" s="26"/>
      <c r="R9" s="12"/>
      <c r="S9" s="12"/>
      <c r="T9" s="12"/>
      <c r="V9" s="12"/>
      <c r="W9" s="12"/>
      <c r="X9" s="12"/>
      <c r="Y9" s="12"/>
      <c r="Z9" s="12"/>
      <c r="AA9" s="12"/>
      <c r="AB9" s="12"/>
      <c r="AC9" s="12"/>
      <c r="AD9" s="12"/>
      <c r="AE9" s="12"/>
      <c r="AF9" s="22"/>
      <c r="AG9" s="12"/>
      <c r="AH9" s="12"/>
      <c r="AI9" s="12"/>
    </row>
    <row r="10" spans="1:35" x14ac:dyDescent="0.35">
      <c r="R10" s="10"/>
      <c r="S10" s="10"/>
      <c r="T10" s="10"/>
      <c r="V10" s="12"/>
      <c r="W10" s="12"/>
      <c r="X10" s="12"/>
      <c r="Y10" s="12"/>
      <c r="Z10" s="12"/>
      <c r="AA10" s="12"/>
      <c r="AB10" s="12"/>
      <c r="AC10" s="12"/>
      <c r="AD10" s="12"/>
      <c r="AE10" s="12"/>
      <c r="AF10" s="22"/>
      <c r="AG10" s="12"/>
      <c r="AH10" s="12"/>
    </row>
    <row r="11" spans="1:35" s="19" customFormat="1" x14ac:dyDescent="0.35">
      <c r="A11" s="19" t="s">
        <v>69</v>
      </c>
      <c r="B11" s="19" t="s">
        <v>109</v>
      </c>
      <c r="C11" s="19" t="s">
        <v>108</v>
      </c>
      <c r="D11" s="19" t="s">
        <v>160</v>
      </c>
      <c r="E11" s="19" t="s">
        <v>70</v>
      </c>
      <c r="F11" s="19" t="s">
        <v>85</v>
      </c>
      <c r="G11" s="19" t="s">
        <v>124</v>
      </c>
      <c r="H11" s="19" t="s">
        <v>125</v>
      </c>
      <c r="I11" s="19" t="s">
        <v>73</v>
      </c>
      <c r="J11" s="19" t="s">
        <v>71</v>
      </c>
      <c r="K11" s="19" t="s">
        <v>118</v>
      </c>
      <c r="L11" s="19" t="s">
        <v>116</v>
      </c>
      <c r="M11" s="19" t="s">
        <v>163</v>
      </c>
      <c r="N11" s="19" t="s">
        <v>170</v>
      </c>
      <c r="O11" s="19" t="s">
        <v>175</v>
      </c>
      <c r="P11" s="19" t="s">
        <v>120</v>
      </c>
      <c r="Q11" s="19" t="s">
        <v>123</v>
      </c>
      <c r="R11" s="19" t="s">
        <v>72</v>
      </c>
      <c r="S11" s="19" t="s">
        <v>151</v>
      </c>
      <c r="T11" s="19" t="s">
        <v>74</v>
      </c>
      <c r="U11" s="20" t="s">
        <v>75</v>
      </c>
      <c r="V11" s="19" t="s">
        <v>76</v>
      </c>
      <c r="W11" s="19" t="s">
        <v>77</v>
      </c>
      <c r="X11" s="19" t="s">
        <v>78</v>
      </c>
      <c r="Y11" s="19" t="s">
        <v>79</v>
      </c>
      <c r="Z11" s="19" t="s">
        <v>88</v>
      </c>
      <c r="AA11" s="19" t="s">
        <v>89</v>
      </c>
      <c r="AB11" s="19" t="s">
        <v>90</v>
      </c>
      <c r="AC11" s="19" t="s">
        <v>91</v>
      </c>
      <c r="AD11" s="19" t="s">
        <v>279</v>
      </c>
      <c r="AE11" s="19" t="s">
        <v>280</v>
      </c>
      <c r="AF11" s="21" t="s">
        <v>80</v>
      </c>
      <c r="AG11" s="19" t="s">
        <v>81</v>
      </c>
      <c r="AH11" s="19" t="s">
        <v>82</v>
      </c>
      <c r="AI11" s="19" t="s">
        <v>83</v>
      </c>
    </row>
    <row r="12" spans="1:35" x14ac:dyDescent="0.35">
      <c r="A12" s="8">
        <f t="shared" ref="A12:A48" si="0">ROW(A12)-ROW($A$11)</f>
        <v>1</v>
      </c>
      <c r="B12" s="8" t="s">
        <v>288</v>
      </c>
      <c r="C12" s="10" t="s">
        <v>288</v>
      </c>
      <c r="D12" t="s">
        <v>479</v>
      </c>
      <c r="E12" s="8" t="s">
        <v>84</v>
      </c>
      <c r="F12" s="10" t="s">
        <v>86</v>
      </c>
      <c r="G12" s="10" t="s">
        <v>215</v>
      </c>
      <c r="H12" s="10" t="s">
        <v>480</v>
      </c>
      <c r="I12" s="10" t="s">
        <v>481</v>
      </c>
      <c r="J12" s="10" t="s">
        <v>59</v>
      </c>
      <c r="K12" s="10">
        <v>0</v>
      </c>
      <c r="L12" s="10">
        <v>0</v>
      </c>
      <c r="M12" s="10">
        <v>-1</v>
      </c>
      <c r="N12" s="10" t="s">
        <v>86</v>
      </c>
      <c r="O12" s="10">
        <v>0</v>
      </c>
      <c r="P12" s="10">
        <v>1</v>
      </c>
      <c r="Q12" s="10">
        <v>0</v>
      </c>
      <c r="R12" t="s">
        <v>161</v>
      </c>
      <c r="S12" t="s">
        <v>162</v>
      </c>
      <c r="T12" t="s">
        <v>290</v>
      </c>
      <c r="U12" s="14" t="b">
        <v>0</v>
      </c>
      <c r="V12" t="b">
        <v>1</v>
      </c>
      <c r="W12" t="b">
        <v>0</v>
      </c>
      <c r="X12" t="b">
        <v>0</v>
      </c>
      <c r="Y12" t="b">
        <v>1</v>
      </c>
      <c r="Z12" t="b">
        <v>0</v>
      </c>
      <c r="AA12" t="b">
        <v>0</v>
      </c>
      <c r="AB12" t="b">
        <v>1</v>
      </c>
      <c r="AC12" t="b">
        <v>1</v>
      </c>
      <c r="AD12" t="b">
        <v>1</v>
      </c>
      <c r="AE12" t="b">
        <v>1</v>
      </c>
      <c r="AF12" s="15" t="b">
        <v>0</v>
      </c>
      <c r="AG12" t="b">
        <v>0</v>
      </c>
      <c r="AH12" t="b">
        <v>0</v>
      </c>
      <c r="AI12" t="b">
        <v>1</v>
      </c>
    </row>
    <row r="13" spans="1:35" x14ac:dyDescent="0.35">
      <c r="A13" s="8">
        <f t="shared" si="0"/>
        <v>2</v>
      </c>
      <c r="B13" s="8" t="s">
        <v>289</v>
      </c>
      <c r="C13" s="10" t="s">
        <v>289</v>
      </c>
      <c r="D13" t="s">
        <v>479</v>
      </c>
      <c r="E13" s="8" t="s">
        <v>84</v>
      </c>
      <c r="F13" s="10" t="s">
        <v>86</v>
      </c>
      <c r="G13" s="10" t="s">
        <v>215</v>
      </c>
      <c r="H13" s="10" t="s">
        <v>480</v>
      </c>
      <c r="I13" s="10" t="s">
        <v>481</v>
      </c>
      <c r="J13" s="10" t="s">
        <v>59</v>
      </c>
      <c r="K13" s="10">
        <v>0</v>
      </c>
      <c r="L13" s="10">
        <v>0</v>
      </c>
      <c r="M13" s="10">
        <v>-1</v>
      </c>
      <c r="N13" s="10" t="s">
        <v>86</v>
      </c>
      <c r="O13" s="10">
        <v>0</v>
      </c>
      <c r="P13" s="10">
        <v>1</v>
      </c>
      <c r="Q13" s="10">
        <v>0</v>
      </c>
      <c r="R13" t="s">
        <v>161</v>
      </c>
      <c r="S13" t="s">
        <v>162</v>
      </c>
      <c r="T13" t="s">
        <v>290</v>
      </c>
      <c r="U13" s="14" t="b">
        <v>0</v>
      </c>
      <c r="V13" t="b">
        <v>1</v>
      </c>
      <c r="W13" t="b">
        <v>0</v>
      </c>
      <c r="X13" t="b">
        <v>0</v>
      </c>
      <c r="Y13" t="b">
        <v>1</v>
      </c>
      <c r="Z13" t="b">
        <v>0</v>
      </c>
      <c r="AA13" t="b">
        <v>0</v>
      </c>
      <c r="AB13" t="b">
        <v>1</v>
      </c>
      <c r="AC13" t="b">
        <v>1</v>
      </c>
      <c r="AD13" t="b">
        <v>1</v>
      </c>
      <c r="AE13" t="b">
        <v>1</v>
      </c>
      <c r="AF13" s="15" t="b">
        <v>0</v>
      </c>
      <c r="AG13" t="b">
        <v>0</v>
      </c>
      <c r="AH13" t="b">
        <v>0</v>
      </c>
      <c r="AI13" t="b">
        <v>1</v>
      </c>
    </row>
    <row r="14" spans="1:35" x14ac:dyDescent="0.35">
      <c r="A14" s="8">
        <f t="shared" si="0"/>
        <v>3</v>
      </c>
      <c r="B14" s="8" t="s">
        <v>288</v>
      </c>
      <c r="C14" s="10" t="s">
        <v>288</v>
      </c>
      <c r="D14" t="s">
        <v>479</v>
      </c>
      <c r="E14" s="8" t="s">
        <v>171</v>
      </c>
      <c r="F14" s="10" t="s">
        <v>86</v>
      </c>
      <c r="G14" s="10" t="s">
        <v>215</v>
      </c>
      <c r="H14" s="10" t="s">
        <v>480</v>
      </c>
      <c r="I14" s="10" t="s">
        <v>481</v>
      </c>
      <c r="J14" s="10" t="s">
        <v>59</v>
      </c>
      <c r="K14" s="10">
        <v>0</v>
      </c>
      <c r="L14" s="10">
        <v>0</v>
      </c>
      <c r="M14" s="10">
        <v>-1</v>
      </c>
      <c r="N14" s="10" t="s">
        <v>86</v>
      </c>
      <c r="O14" s="10">
        <v>0</v>
      </c>
      <c r="P14" s="10">
        <v>1</v>
      </c>
      <c r="Q14" s="10">
        <v>0</v>
      </c>
      <c r="R14" t="s">
        <v>161</v>
      </c>
      <c r="S14" t="s">
        <v>162</v>
      </c>
      <c r="T14" t="s">
        <v>290</v>
      </c>
      <c r="U14" s="14" t="b">
        <v>0</v>
      </c>
      <c r="V14" t="b">
        <v>1</v>
      </c>
      <c r="W14" t="b">
        <v>0</v>
      </c>
      <c r="X14" t="b">
        <v>0</v>
      </c>
      <c r="Y14" t="b">
        <v>1</v>
      </c>
      <c r="Z14" t="b">
        <v>0</v>
      </c>
      <c r="AA14" t="b">
        <v>0</v>
      </c>
      <c r="AB14" t="b">
        <v>1</v>
      </c>
      <c r="AC14" t="b">
        <v>1</v>
      </c>
      <c r="AD14" t="b">
        <v>1</v>
      </c>
      <c r="AE14" t="b">
        <v>1</v>
      </c>
      <c r="AF14" s="15" t="b">
        <v>0</v>
      </c>
      <c r="AG14" t="b">
        <v>0</v>
      </c>
      <c r="AH14" t="b">
        <v>0</v>
      </c>
      <c r="AI14" t="b">
        <v>1</v>
      </c>
    </row>
    <row r="15" spans="1:35" x14ac:dyDescent="0.35">
      <c r="A15" s="8">
        <f t="shared" si="0"/>
        <v>4</v>
      </c>
      <c r="B15" s="8" t="s">
        <v>289</v>
      </c>
      <c r="C15" s="10" t="s">
        <v>289</v>
      </c>
      <c r="D15" t="s">
        <v>479</v>
      </c>
      <c r="E15" s="8" t="s">
        <v>171</v>
      </c>
      <c r="F15" s="10" t="s">
        <v>86</v>
      </c>
      <c r="G15" s="10" t="s">
        <v>215</v>
      </c>
      <c r="H15" s="10" t="s">
        <v>480</v>
      </c>
      <c r="I15" s="10" t="s">
        <v>481</v>
      </c>
      <c r="J15" s="10" t="s">
        <v>59</v>
      </c>
      <c r="K15" s="10">
        <v>0</v>
      </c>
      <c r="L15" s="10">
        <v>0</v>
      </c>
      <c r="M15" s="10">
        <v>-1</v>
      </c>
      <c r="N15" s="10" t="s">
        <v>86</v>
      </c>
      <c r="O15" s="10">
        <v>0</v>
      </c>
      <c r="P15" s="10">
        <v>1</v>
      </c>
      <c r="Q15" s="10">
        <v>0</v>
      </c>
      <c r="R15" t="s">
        <v>161</v>
      </c>
      <c r="S15" t="s">
        <v>162</v>
      </c>
      <c r="T15" t="s">
        <v>290</v>
      </c>
      <c r="U15" s="14" t="b">
        <v>0</v>
      </c>
      <c r="V15" t="b">
        <v>1</v>
      </c>
      <c r="W15" t="b">
        <v>0</v>
      </c>
      <c r="X15" t="b">
        <v>0</v>
      </c>
      <c r="Y15" t="b">
        <v>1</v>
      </c>
      <c r="Z15" t="b">
        <v>0</v>
      </c>
      <c r="AA15" t="b">
        <v>0</v>
      </c>
      <c r="AB15" t="b">
        <v>1</v>
      </c>
      <c r="AC15" t="b">
        <v>1</v>
      </c>
      <c r="AD15" t="b">
        <v>1</v>
      </c>
      <c r="AE15" t="b">
        <v>1</v>
      </c>
      <c r="AF15" s="15" t="b">
        <v>0</v>
      </c>
      <c r="AG15" t="b">
        <v>0</v>
      </c>
      <c r="AH15" t="b">
        <v>0</v>
      </c>
      <c r="AI15" t="b">
        <v>1</v>
      </c>
    </row>
    <row r="16" spans="1:35" x14ac:dyDescent="0.35">
      <c r="A16" s="8">
        <f t="shared" si="0"/>
        <v>5</v>
      </c>
      <c r="B16" s="8" t="s">
        <v>289</v>
      </c>
      <c r="C16" s="10" t="s">
        <v>289</v>
      </c>
      <c r="D16" t="s">
        <v>479</v>
      </c>
      <c r="E16" s="8" t="s">
        <v>67</v>
      </c>
      <c r="F16" s="10" t="s">
        <v>87</v>
      </c>
      <c r="G16" s="10" t="s">
        <v>215</v>
      </c>
      <c r="H16" s="10" t="s">
        <v>480</v>
      </c>
      <c r="I16" s="10" t="s">
        <v>481</v>
      </c>
      <c r="J16" s="10" t="s">
        <v>59</v>
      </c>
      <c r="K16" s="10">
        <v>0</v>
      </c>
      <c r="L16" s="10">
        <v>0</v>
      </c>
      <c r="M16" s="10">
        <v>-1</v>
      </c>
      <c r="N16" s="10" t="s">
        <v>86</v>
      </c>
      <c r="O16" s="10">
        <v>0</v>
      </c>
      <c r="P16" s="10">
        <v>1</v>
      </c>
      <c r="Q16" s="10">
        <v>0</v>
      </c>
      <c r="R16" t="s">
        <v>161</v>
      </c>
      <c r="S16" t="s">
        <v>162</v>
      </c>
      <c r="T16" t="s">
        <v>290</v>
      </c>
      <c r="U16" s="14" t="b">
        <v>0</v>
      </c>
      <c r="V16" t="b">
        <v>1</v>
      </c>
      <c r="W16" t="b">
        <v>0</v>
      </c>
      <c r="X16" t="b">
        <v>0</v>
      </c>
      <c r="Y16" t="b">
        <v>1</v>
      </c>
      <c r="Z16" t="b">
        <v>0</v>
      </c>
      <c r="AA16" t="b">
        <v>0</v>
      </c>
      <c r="AB16" t="b">
        <v>1</v>
      </c>
      <c r="AC16" t="b">
        <v>1</v>
      </c>
      <c r="AD16" t="b">
        <v>1</v>
      </c>
      <c r="AE16" t="b">
        <v>1</v>
      </c>
      <c r="AF16" s="15" t="b">
        <v>0</v>
      </c>
      <c r="AG16" t="b">
        <v>0</v>
      </c>
      <c r="AH16" t="b">
        <v>0</v>
      </c>
      <c r="AI16" t="b">
        <v>1</v>
      </c>
    </row>
    <row r="17" spans="1:35" x14ac:dyDescent="0.35">
      <c r="A17" s="8">
        <f t="shared" si="0"/>
        <v>6</v>
      </c>
      <c r="B17" s="8" t="s">
        <v>289</v>
      </c>
      <c r="C17" s="10" t="s">
        <v>289</v>
      </c>
      <c r="D17" t="s">
        <v>479</v>
      </c>
      <c r="E17" s="8" t="s">
        <v>67</v>
      </c>
      <c r="F17" s="10" t="s">
        <v>60</v>
      </c>
      <c r="G17" s="10" t="s">
        <v>215</v>
      </c>
      <c r="H17" s="10" t="s">
        <v>480</v>
      </c>
      <c r="I17" s="10" t="s">
        <v>481</v>
      </c>
      <c r="J17" s="10" t="s">
        <v>59</v>
      </c>
      <c r="K17" s="10">
        <v>0</v>
      </c>
      <c r="L17" s="10">
        <v>0</v>
      </c>
      <c r="M17" s="10">
        <v>-1</v>
      </c>
      <c r="N17" s="10" t="s">
        <v>86</v>
      </c>
      <c r="O17" s="10">
        <v>0</v>
      </c>
      <c r="P17" s="10">
        <v>1</v>
      </c>
      <c r="Q17" s="10">
        <v>0</v>
      </c>
      <c r="R17" t="s">
        <v>161</v>
      </c>
      <c r="S17" t="s">
        <v>162</v>
      </c>
      <c r="T17" t="s">
        <v>290</v>
      </c>
      <c r="U17" s="14" t="b">
        <v>0</v>
      </c>
      <c r="V17" t="b">
        <v>1</v>
      </c>
      <c r="W17" t="b">
        <v>0</v>
      </c>
      <c r="X17" t="b">
        <v>0</v>
      </c>
      <c r="Y17" t="b">
        <v>1</v>
      </c>
      <c r="Z17" t="b">
        <v>0</v>
      </c>
      <c r="AA17" t="b">
        <v>0</v>
      </c>
      <c r="AB17" t="b">
        <v>1</v>
      </c>
      <c r="AC17" t="b">
        <v>1</v>
      </c>
      <c r="AD17" t="b">
        <v>1</v>
      </c>
      <c r="AE17" t="b">
        <v>1</v>
      </c>
      <c r="AF17" s="15" t="b">
        <v>0</v>
      </c>
      <c r="AG17" t="b">
        <v>0</v>
      </c>
      <c r="AH17" t="b">
        <v>0</v>
      </c>
      <c r="AI17" t="b">
        <v>1</v>
      </c>
    </row>
    <row r="18" spans="1:35" x14ac:dyDescent="0.35">
      <c r="A18" s="8">
        <f t="shared" si="0"/>
        <v>7</v>
      </c>
      <c r="B18" s="8" t="s">
        <v>289</v>
      </c>
      <c r="C18" s="10" t="s">
        <v>289</v>
      </c>
      <c r="D18" t="s">
        <v>479</v>
      </c>
      <c r="E18" s="8" t="s">
        <v>287</v>
      </c>
      <c r="F18" s="10" t="s">
        <v>86</v>
      </c>
      <c r="G18" s="10" t="s">
        <v>215</v>
      </c>
      <c r="H18" s="10" t="s">
        <v>480</v>
      </c>
      <c r="I18" s="10" t="s">
        <v>481</v>
      </c>
      <c r="J18" s="10" t="s">
        <v>68</v>
      </c>
      <c r="K18" s="10">
        <v>0</v>
      </c>
      <c r="L18" s="10">
        <v>0</v>
      </c>
      <c r="M18" s="10">
        <v>-1</v>
      </c>
      <c r="N18" s="10" t="s">
        <v>86</v>
      </c>
      <c r="O18" s="10">
        <v>0</v>
      </c>
      <c r="P18" s="10">
        <v>1</v>
      </c>
      <c r="Q18" s="10">
        <v>0</v>
      </c>
      <c r="R18" t="s">
        <v>161</v>
      </c>
      <c r="S18" t="s">
        <v>162</v>
      </c>
      <c r="T18" t="s">
        <v>290</v>
      </c>
      <c r="U18" s="14" t="b">
        <v>0</v>
      </c>
      <c r="V18" t="b">
        <v>1</v>
      </c>
      <c r="W18" t="b">
        <v>0</v>
      </c>
      <c r="X18" t="b">
        <v>0</v>
      </c>
      <c r="Y18" t="b">
        <v>1</v>
      </c>
      <c r="Z18" t="b">
        <v>0</v>
      </c>
      <c r="AA18" t="b">
        <v>0</v>
      </c>
      <c r="AB18" t="b">
        <v>1</v>
      </c>
      <c r="AC18" t="b">
        <v>1</v>
      </c>
      <c r="AD18" t="b">
        <v>1</v>
      </c>
      <c r="AE18" t="b">
        <v>1</v>
      </c>
      <c r="AF18" s="15" t="b">
        <v>0</v>
      </c>
      <c r="AG18" t="b">
        <v>0</v>
      </c>
      <c r="AH18" t="b">
        <v>0</v>
      </c>
      <c r="AI18" t="b">
        <v>1</v>
      </c>
    </row>
    <row r="19" spans="1:35" x14ac:dyDescent="0.35">
      <c r="A19" s="8">
        <f t="shared" si="0"/>
        <v>8</v>
      </c>
      <c r="B19" s="8" t="s">
        <v>289</v>
      </c>
      <c r="C19" s="10" t="s">
        <v>289</v>
      </c>
      <c r="D19" t="s">
        <v>479</v>
      </c>
      <c r="E19" s="8" t="s">
        <v>272</v>
      </c>
      <c r="F19" s="10" t="s">
        <v>86</v>
      </c>
      <c r="G19" s="10" t="s">
        <v>215</v>
      </c>
      <c r="H19" s="10" t="s">
        <v>480</v>
      </c>
      <c r="I19" s="10" t="s">
        <v>481</v>
      </c>
      <c r="J19" s="10" t="s">
        <v>68</v>
      </c>
      <c r="K19" s="10">
        <v>0</v>
      </c>
      <c r="L19" s="10">
        <v>0</v>
      </c>
      <c r="M19" s="10">
        <v>-1</v>
      </c>
      <c r="N19" s="10" t="s">
        <v>86</v>
      </c>
      <c r="O19" s="10">
        <v>0</v>
      </c>
      <c r="P19" s="10">
        <v>1</v>
      </c>
      <c r="Q19" s="10">
        <v>0</v>
      </c>
      <c r="R19" t="s">
        <v>161</v>
      </c>
      <c r="S19" t="s">
        <v>162</v>
      </c>
      <c r="T19" t="s">
        <v>290</v>
      </c>
      <c r="U19" s="14" t="b">
        <v>0</v>
      </c>
      <c r="V19" t="b">
        <v>1</v>
      </c>
      <c r="W19" t="b">
        <v>0</v>
      </c>
      <c r="X19" t="b">
        <v>0</v>
      </c>
      <c r="Y19" t="b">
        <v>1</v>
      </c>
      <c r="Z19" t="b">
        <v>0</v>
      </c>
      <c r="AA19" t="b">
        <v>0</v>
      </c>
      <c r="AB19" t="b">
        <v>1</v>
      </c>
      <c r="AC19" t="b">
        <v>1</v>
      </c>
      <c r="AD19" t="b">
        <v>1</v>
      </c>
      <c r="AE19" t="b">
        <v>1</v>
      </c>
      <c r="AF19" s="15" t="b">
        <v>0</v>
      </c>
      <c r="AG19" t="b">
        <v>0</v>
      </c>
      <c r="AH19" t="b">
        <v>0</v>
      </c>
      <c r="AI19" t="b">
        <v>1</v>
      </c>
    </row>
    <row r="20" spans="1:35" x14ac:dyDescent="0.35">
      <c r="A20" s="8">
        <f t="shared" si="0"/>
        <v>9</v>
      </c>
      <c r="B20" s="8" t="s">
        <v>289</v>
      </c>
      <c r="C20" s="10" t="s">
        <v>289</v>
      </c>
      <c r="D20" t="s">
        <v>479</v>
      </c>
      <c r="E20" s="8" t="s">
        <v>295</v>
      </c>
      <c r="F20" s="10" t="s">
        <v>86</v>
      </c>
      <c r="G20" s="10" t="s">
        <v>215</v>
      </c>
      <c r="H20" s="10" t="s">
        <v>480</v>
      </c>
      <c r="I20" s="10" t="s">
        <v>481</v>
      </c>
      <c r="J20" s="10" t="s">
        <v>59</v>
      </c>
      <c r="K20" s="10">
        <v>0</v>
      </c>
      <c r="L20" s="10">
        <v>0</v>
      </c>
      <c r="M20" s="10">
        <v>-1</v>
      </c>
      <c r="N20" s="10" t="s">
        <v>86</v>
      </c>
      <c r="O20" s="10">
        <v>0</v>
      </c>
      <c r="P20" s="10">
        <v>1</v>
      </c>
      <c r="Q20" s="10">
        <v>0</v>
      </c>
      <c r="R20" t="s">
        <v>161</v>
      </c>
      <c r="S20" t="s">
        <v>162</v>
      </c>
      <c r="T20" t="s">
        <v>290</v>
      </c>
      <c r="U20" s="14" t="b">
        <v>0</v>
      </c>
      <c r="V20" t="b">
        <v>1</v>
      </c>
      <c r="W20" t="b">
        <v>0</v>
      </c>
      <c r="X20" t="b">
        <v>0</v>
      </c>
      <c r="Y20" t="b">
        <v>1</v>
      </c>
      <c r="Z20" t="b">
        <v>0</v>
      </c>
      <c r="AA20" t="b">
        <v>0</v>
      </c>
      <c r="AB20" t="b">
        <v>1</v>
      </c>
      <c r="AC20" t="b">
        <v>1</v>
      </c>
      <c r="AD20" t="b">
        <v>1</v>
      </c>
      <c r="AE20" t="b">
        <v>1</v>
      </c>
      <c r="AF20" s="15" t="b">
        <v>0</v>
      </c>
      <c r="AG20" t="b">
        <v>0</v>
      </c>
      <c r="AH20" t="b">
        <v>0</v>
      </c>
      <c r="AI20" t="b">
        <v>1</v>
      </c>
    </row>
    <row r="21" spans="1:35" x14ac:dyDescent="0.35">
      <c r="A21" s="8">
        <f t="shared" si="0"/>
        <v>10</v>
      </c>
      <c r="B21" s="8" t="s">
        <v>288</v>
      </c>
      <c r="C21" s="10" t="s">
        <v>288</v>
      </c>
      <c r="D21" t="s">
        <v>479</v>
      </c>
      <c r="E21" s="8" t="s">
        <v>84</v>
      </c>
      <c r="F21" s="10" t="s">
        <v>86</v>
      </c>
      <c r="G21" s="10" t="s">
        <v>216</v>
      </c>
      <c r="H21" s="10" t="s">
        <v>480</v>
      </c>
      <c r="I21" s="10" t="s">
        <v>481</v>
      </c>
      <c r="J21" s="10" t="s">
        <v>68</v>
      </c>
      <c r="K21" s="10">
        <v>0</v>
      </c>
      <c r="L21" s="10">
        <v>0</v>
      </c>
      <c r="M21" s="10">
        <v>-1</v>
      </c>
      <c r="N21" s="10" t="s">
        <v>86</v>
      </c>
      <c r="O21" s="10">
        <v>0</v>
      </c>
      <c r="P21" s="10">
        <v>1</v>
      </c>
      <c r="Q21" s="10">
        <v>0</v>
      </c>
      <c r="R21" t="s">
        <v>161</v>
      </c>
      <c r="S21" t="s">
        <v>162</v>
      </c>
      <c r="T21" t="s">
        <v>290</v>
      </c>
      <c r="U21" s="14" t="b">
        <v>0</v>
      </c>
      <c r="V21" t="b">
        <v>1</v>
      </c>
      <c r="W21" t="b">
        <v>0</v>
      </c>
      <c r="X21" t="b">
        <v>0</v>
      </c>
      <c r="Y21" t="b">
        <v>1</v>
      </c>
      <c r="Z21" t="b">
        <v>0</v>
      </c>
      <c r="AA21" t="b">
        <v>0</v>
      </c>
      <c r="AB21" t="b">
        <v>1</v>
      </c>
      <c r="AC21" t="b">
        <v>1</v>
      </c>
      <c r="AD21" t="b">
        <v>1</v>
      </c>
      <c r="AE21" t="b">
        <v>1</v>
      </c>
      <c r="AF21" s="15" t="b">
        <v>0</v>
      </c>
      <c r="AG21" t="b">
        <v>0</v>
      </c>
      <c r="AH21" t="b">
        <v>0</v>
      </c>
      <c r="AI21" t="b">
        <v>1</v>
      </c>
    </row>
    <row r="22" spans="1:35" x14ac:dyDescent="0.35">
      <c r="A22" s="8">
        <f t="shared" si="0"/>
        <v>11</v>
      </c>
      <c r="B22" s="8" t="s">
        <v>289</v>
      </c>
      <c r="C22" s="10" t="s">
        <v>289</v>
      </c>
      <c r="D22" t="s">
        <v>479</v>
      </c>
      <c r="E22" s="8" t="s">
        <v>84</v>
      </c>
      <c r="F22" s="10" t="s">
        <v>86</v>
      </c>
      <c r="G22" s="10" t="s">
        <v>216</v>
      </c>
      <c r="H22" s="10" t="s">
        <v>480</v>
      </c>
      <c r="I22" s="10" t="s">
        <v>481</v>
      </c>
      <c r="J22" s="10" t="s">
        <v>68</v>
      </c>
      <c r="K22" s="10">
        <v>0</v>
      </c>
      <c r="L22" s="10">
        <v>0</v>
      </c>
      <c r="M22" s="10">
        <v>-1</v>
      </c>
      <c r="N22" s="10" t="s">
        <v>86</v>
      </c>
      <c r="O22" s="10">
        <v>0</v>
      </c>
      <c r="P22" s="10">
        <v>1</v>
      </c>
      <c r="Q22" s="10">
        <v>0</v>
      </c>
      <c r="R22" t="s">
        <v>161</v>
      </c>
      <c r="S22" t="s">
        <v>162</v>
      </c>
      <c r="T22" t="s">
        <v>290</v>
      </c>
      <c r="U22" s="14" t="b">
        <v>0</v>
      </c>
      <c r="V22" t="b">
        <v>1</v>
      </c>
      <c r="W22" t="b">
        <v>0</v>
      </c>
      <c r="X22" t="b">
        <v>0</v>
      </c>
      <c r="Y22" t="b">
        <v>1</v>
      </c>
      <c r="Z22" t="b">
        <v>0</v>
      </c>
      <c r="AA22" t="b">
        <v>0</v>
      </c>
      <c r="AB22" t="b">
        <v>1</v>
      </c>
      <c r="AC22" t="b">
        <v>1</v>
      </c>
      <c r="AD22" t="b">
        <v>1</v>
      </c>
      <c r="AE22" t="b">
        <v>1</v>
      </c>
      <c r="AF22" s="15" t="b">
        <v>0</v>
      </c>
      <c r="AG22" t="b">
        <v>0</v>
      </c>
      <c r="AH22" t="b">
        <v>0</v>
      </c>
      <c r="AI22" t="b">
        <v>1</v>
      </c>
    </row>
    <row r="23" spans="1:35" x14ac:dyDescent="0.35">
      <c r="A23" s="8">
        <f t="shared" si="0"/>
        <v>12</v>
      </c>
      <c r="B23" s="8" t="s">
        <v>288</v>
      </c>
      <c r="C23" s="10" t="s">
        <v>288</v>
      </c>
      <c r="D23" t="s">
        <v>479</v>
      </c>
      <c r="E23" s="8" t="s">
        <v>171</v>
      </c>
      <c r="F23" s="10" t="s">
        <v>86</v>
      </c>
      <c r="G23" s="10" t="s">
        <v>216</v>
      </c>
      <c r="H23" s="10" t="s">
        <v>480</v>
      </c>
      <c r="I23" s="10" t="s">
        <v>481</v>
      </c>
      <c r="J23" s="10" t="s">
        <v>68</v>
      </c>
      <c r="K23" s="10">
        <v>0</v>
      </c>
      <c r="L23" s="10">
        <v>0</v>
      </c>
      <c r="M23" s="10">
        <v>-1</v>
      </c>
      <c r="N23" s="10" t="s">
        <v>86</v>
      </c>
      <c r="O23" s="10">
        <v>0</v>
      </c>
      <c r="P23" s="10">
        <v>1</v>
      </c>
      <c r="Q23" s="10">
        <v>0</v>
      </c>
      <c r="R23" t="s">
        <v>161</v>
      </c>
      <c r="S23" t="s">
        <v>162</v>
      </c>
      <c r="T23" t="s">
        <v>290</v>
      </c>
      <c r="U23" s="14" t="b">
        <v>0</v>
      </c>
      <c r="V23" t="b">
        <v>1</v>
      </c>
      <c r="W23" t="b">
        <v>0</v>
      </c>
      <c r="X23" t="b">
        <v>0</v>
      </c>
      <c r="Y23" t="b">
        <v>1</v>
      </c>
      <c r="Z23" t="b">
        <v>0</v>
      </c>
      <c r="AA23" t="b">
        <v>0</v>
      </c>
      <c r="AB23" t="b">
        <v>1</v>
      </c>
      <c r="AC23" t="b">
        <v>1</v>
      </c>
      <c r="AD23" t="b">
        <v>1</v>
      </c>
      <c r="AE23" t="b">
        <v>1</v>
      </c>
      <c r="AF23" s="15" t="b">
        <v>0</v>
      </c>
      <c r="AG23" t="b">
        <v>0</v>
      </c>
      <c r="AH23" t="b">
        <v>0</v>
      </c>
      <c r="AI23" t="b">
        <v>1</v>
      </c>
    </row>
    <row r="24" spans="1:35" x14ac:dyDescent="0.35">
      <c r="A24" s="8">
        <f t="shared" si="0"/>
        <v>13</v>
      </c>
      <c r="B24" s="8" t="s">
        <v>289</v>
      </c>
      <c r="C24" s="10" t="s">
        <v>289</v>
      </c>
      <c r="D24" t="s">
        <v>479</v>
      </c>
      <c r="E24" s="8" t="s">
        <v>171</v>
      </c>
      <c r="F24" s="10" t="s">
        <v>86</v>
      </c>
      <c r="G24" s="10" t="s">
        <v>216</v>
      </c>
      <c r="H24" s="10" t="s">
        <v>480</v>
      </c>
      <c r="I24" s="10" t="s">
        <v>481</v>
      </c>
      <c r="J24" s="10" t="s">
        <v>68</v>
      </c>
      <c r="K24" s="10">
        <v>0</v>
      </c>
      <c r="L24" s="10">
        <v>0</v>
      </c>
      <c r="M24" s="10">
        <v>-1</v>
      </c>
      <c r="N24" s="10" t="s">
        <v>86</v>
      </c>
      <c r="O24" s="10">
        <v>0</v>
      </c>
      <c r="P24" s="10">
        <v>1</v>
      </c>
      <c r="Q24" s="10">
        <v>0</v>
      </c>
      <c r="R24" t="s">
        <v>161</v>
      </c>
      <c r="S24" t="s">
        <v>162</v>
      </c>
      <c r="T24" t="s">
        <v>290</v>
      </c>
      <c r="U24" s="14" t="b">
        <v>0</v>
      </c>
      <c r="V24" t="b">
        <v>1</v>
      </c>
      <c r="W24" t="b">
        <v>0</v>
      </c>
      <c r="X24" t="b">
        <v>0</v>
      </c>
      <c r="Y24" t="b">
        <v>1</v>
      </c>
      <c r="Z24" t="b">
        <v>0</v>
      </c>
      <c r="AA24" t="b">
        <v>0</v>
      </c>
      <c r="AB24" t="b">
        <v>1</v>
      </c>
      <c r="AC24" t="b">
        <v>1</v>
      </c>
      <c r="AD24" t="b">
        <v>1</v>
      </c>
      <c r="AE24" t="b">
        <v>1</v>
      </c>
      <c r="AF24" s="15" t="b">
        <v>0</v>
      </c>
      <c r="AG24" t="b">
        <v>0</v>
      </c>
      <c r="AH24" t="b">
        <v>0</v>
      </c>
      <c r="AI24" t="b">
        <v>1</v>
      </c>
    </row>
    <row r="25" spans="1:35" x14ac:dyDescent="0.35">
      <c r="A25" s="8">
        <f t="shared" si="0"/>
        <v>14</v>
      </c>
      <c r="B25" s="8" t="s">
        <v>288</v>
      </c>
      <c r="C25" s="10" t="s">
        <v>288</v>
      </c>
      <c r="D25" t="s">
        <v>479</v>
      </c>
      <c r="E25" s="8" t="s">
        <v>67</v>
      </c>
      <c r="F25" s="10" t="s">
        <v>87</v>
      </c>
      <c r="G25" s="10" t="s">
        <v>216</v>
      </c>
      <c r="H25" s="10" t="s">
        <v>480</v>
      </c>
      <c r="I25" s="10" t="s">
        <v>481</v>
      </c>
      <c r="J25" s="10" t="s">
        <v>68</v>
      </c>
      <c r="K25" s="10">
        <v>0</v>
      </c>
      <c r="L25" s="10">
        <v>0</v>
      </c>
      <c r="M25" s="10">
        <v>-1</v>
      </c>
      <c r="N25" s="10" t="s">
        <v>86</v>
      </c>
      <c r="O25" s="10">
        <v>0</v>
      </c>
      <c r="P25" s="10">
        <v>1</v>
      </c>
      <c r="Q25" s="10">
        <v>0</v>
      </c>
      <c r="R25" t="s">
        <v>161</v>
      </c>
      <c r="S25" t="s">
        <v>162</v>
      </c>
      <c r="T25" t="s">
        <v>290</v>
      </c>
      <c r="U25" s="14" t="b">
        <v>0</v>
      </c>
      <c r="V25" t="b">
        <v>1</v>
      </c>
      <c r="W25" t="b">
        <v>0</v>
      </c>
      <c r="X25" t="b">
        <v>0</v>
      </c>
      <c r="Y25" t="b">
        <v>1</v>
      </c>
      <c r="Z25" t="b">
        <v>0</v>
      </c>
      <c r="AA25" t="b">
        <v>0</v>
      </c>
      <c r="AB25" t="b">
        <v>1</v>
      </c>
      <c r="AC25" t="b">
        <v>1</v>
      </c>
      <c r="AD25" t="b">
        <v>1</v>
      </c>
      <c r="AE25" t="b">
        <v>1</v>
      </c>
      <c r="AF25" s="15" t="b">
        <v>0</v>
      </c>
      <c r="AG25" t="b">
        <v>0</v>
      </c>
      <c r="AH25" t="b">
        <v>0</v>
      </c>
      <c r="AI25" t="b">
        <v>1</v>
      </c>
    </row>
    <row r="26" spans="1:35" x14ac:dyDescent="0.35">
      <c r="A26" s="8">
        <f t="shared" si="0"/>
        <v>15</v>
      </c>
      <c r="B26" s="8" t="s">
        <v>289</v>
      </c>
      <c r="C26" s="10" t="s">
        <v>289</v>
      </c>
      <c r="D26" t="s">
        <v>479</v>
      </c>
      <c r="E26" s="8" t="s">
        <v>67</v>
      </c>
      <c r="F26" s="10" t="s">
        <v>87</v>
      </c>
      <c r="G26" s="10" t="s">
        <v>216</v>
      </c>
      <c r="H26" s="10" t="s">
        <v>480</v>
      </c>
      <c r="I26" s="10" t="s">
        <v>481</v>
      </c>
      <c r="J26" s="10" t="s">
        <v>68</v>
      </c>
      <c r="K26" s="10">
        <v>0</v>
      </c>
      <c r="L26" s="10">
        <v>0</v>
      </c>
      <c r="M26" s="10">
        <v>-1</v>
      </c>
      <c r="N26" s="10" t="s">
        <v>86</v>
      </c>
      <c r="O26" s="10">
        <v>0</v>
      </c>
      <c r="P26" s="10">
        <v>1</v>
      </c>
      <c r="Q26" s="10">
        <v>0</v>
      </c>
      <c r="R26" t="s">
        <v>161</v>
      </c>
      <c r="S26" t="s">
        <v>162</v>
      </c>
      <c r="T26" t="s">
        <v>290</v>
      </c>
      <c r="U26" s="14" t="b">
        <v>0</v>
      </c>
      <c r="V26" t="b">
        <v>1</v>
      </c>
      <c r="W26" t="b">
        <v>0</v>
      </c>
      <c r="X26" t="b">
        <v>0</v>
      </c>
      <c r="Y26" t="b">
        <v>1</v>
      </c>
      <c r="Z26" t="b">
        <v>0</v>
      </c>
      <c r="AA26" t="b">
        <v>0</v>
      </c>
      <c r="AB26" t="b">
        <v>1</v>
      </c>
      <c r="AC26" t="b">
        <v>1</v>
      </c>
      <c r="AD26" t="b">
        <v>1</v>
      </c>
      <c r="AE26" t="b">
        <v>1</v>
      </c>
      <c r="AF26" s="15" t="b">
        <v>0</v>
      </c>
      <c r="AG26" t="b">
        <v>0</v>
      </c>
      <c r="AH26" t="b">
        <v>0</v>
      </c>
      <c r="AI26" t="b">
        <v>1</v>
      </c>
    </row>
    <row r="27" spans="1:35" x14ac:dyDescent="0.35">
      <c r="A27" s="8">
        <f t="shared" si="0"/>
        <v>16</v>
      </c>
      <c r="B27" s="8" t="s">
        <v>288</v>
      </c>
      <c r="C27" s="10" t="s">
        <v>288</v>
      </c>
      <c r="D27" t="s">
        <v>479</v>
      </c>
      <c r="E27" s="8" t="s">
        <v>67</v>
      </c>
      <c r="F27" s="10" t="s">
        <v>60</v>
      </c>
      <c r="G27" s="10" t="s">
        <v>216</v>
      </c>
      <c r="H27" s="10" t="s">
        <v>480</v>
      </c>
      <c r="I27" s="10" t="s">
        <v>481</v>
      </c>
      <c r="J27" s="10" t="s">
        <v>68</v>
      </c>
      <c r="K27" s="10">
        <v>0</v>
      </c>
      <c r="L27" s="10">
        <v>0</v>
      </c>
      <c r="M27" s="10">
        <v>-1</v>
      </c>
      <c r="N27" s="10" t="s">
        <v>86</v>
      </c>
      <c r="O27" s="10">
        <v>0</v>
      </c>
      <c r="P27" s="10">
        <v>1</v>
      </c>
      <c r="Q27" s="10">
        <v>0</v>
      </c>
      <c r="R27" t="s">
        <v>161</v>
      </c>
      <c r="S27" t="s">
        <v>162</v>
      </c>
      <c r="T27" t="s">
        <v>290</v>
      </c>
      <c r="U27" s="14" t="b">
        <v>0</v>
      </c>
      <c r="V27" t="b">
        <v>1</v>
      </c>
      <c r="W27" t="b">
        <v>0</v>
      </c>
      <c r="X27" t="b">
        <v>0</v>
      </c>
      <c r="Y27" t="b">
        <v>1</v>
      </c>
      <c r="Z27" t="b">
        <v>0</v>
      </c>
      <c r="AA27" t="b">
        <v>0</v>
      </c>
      <c r="AB27" t="b">
        <v>1</v>
      </c>
      <c r="AC27" t="b">
        <v>1</v>
      </c>
      <c r="AD27" t="b">
        <v>1</v>
      </c>
      <c r="AE27" t="b">
        <v>1</v>
      </c>
      <c r="AF27" s="15" t="b">
        <v>0</v>
      </c>
      <c r="AG27" t="b">
        <v>0</v>
      </c>
      <c r="AH27" t="b">
        <v>0</v>
      </c>
      <c r="AI27" t="b">
        <v>1</v>
      </c>
    </row>
    <row r="28" spans="1:35" x14ac:dyDescent="0.35">
      <c r="A28" s="8">
        <f t="shared" si="0"/>
        <v>17</v>
      </c>
      <c r="B28" s="8" t="s">
        <v>289</v>
      </c>
      <c r="C28" s="10" t="s">
        <v>289</v>
      </c>
      <c r="D28" t="s">
        <v>479</v>
      </c>
      <c r="E28" s="8" t="s">
        <v>67</v>
      </c>
      <c r="F28" s="10" t="s">
        <v>60</v>
      </c>
      <c r="G28" s="10" t="s">
        <v>216</v>
      </c>
      <c r="H28" s="10" t="s">
        <v>480</v>
      </c>
      <c r="I28" s="10" t="s">
        <v>481</v>
      </c>
      <c r="J28" s="10" t="s">
        <v>68</v>
      </c>
      <c r="K28" s="10">
        <v>0</v>
      </c>
      <c r="L28" s="10">
        <v>0</v>
      </c>
      <c r="M28" s="10">
        <v>-1</v>
      </c>
      <c r="N28" s="10" t="s">
        <v>86</v>
      </c>
      <c r="O28" s="10">
        <v>0</v>
      </c>
      <c r="P28" s="10">
        <v>1</v>
      </c>
      <c r="Q28" s="10">
        <v>0</v>
      </c>
      <c r="R28" t="s">
        <v>161</v>
      </c>
      <c r="S28" t="s">
        <v>162</v>
      </c>
      <c r="T28" t="s">
        <v>290</v>
      </c>
      <c r="U28" s="14" t="b">
        <v>0</v>
      </c>
      <c r="V28" t="b">
        <v>1</v>
      </c>
      <c r="W28" t="b">
        <v>0</v>
      </c>
      <c r="X28" t="b">
        <v>0</v>
      </c>
      <c r="Y28" t="b">
        <v>1</v>
      </c>
      <c r="Z28" t="b">
        <v>0</v>
      </c>
      <c r="AA28" t="b">
        <v>0</v>
      </c>
      <c r="AB28" t="b">
        <v>1</v>
      </c>
      <c r="AC28" t="b">
        <v>1</v>
      </c>
      <c r="AD28" t="b">
        <v>1</v>
      </c>
      <c r="AE28" t="b">
        <v>1</v>
      </c>
      <c r="AF28" s="15" t="b">
        <v>0</v>
      </c>
      <c r="AG28" t="b">
        <v>0</v>
      </c>
      <c r="AH28" t="b">
        <v>0</v>
      </c>
      <c r="AI28" t="b">
        <v>1</v>
      </c>
    </row>
    <row r="29" spans="1:35" x14ac:dyDescent="0.35">
      <c r="A29" s="8">
        <f t="shared" si="0"/>
        <v>18</v>
      </c>
      <c r="B29" s="8" t="s">
        <v>288</v>
      </c>
      <c r="C29" s="10" t="s">
        <v>288</v>
      </c>
      <c r="D29" t="s">
        <v>479</v>
      </c>
      <c r="E29" s="8" t="s">
        <v>287</v>
      </c>
      <c r="F29" s="10" t="s">
        <v>86</v>
      </c>
      <c r="G29" s="10" t="s">
        <v>216</v>
      </c>
      <c r="H29" s="10" t="s">
        <v>480</v>
      </c>
      <c r="I29" s="10" t="s">
        <v>481</v>
      </c>
      <c r="J29" s="10" t="s">
        <v>68</v>
      </c>
      <c r="K29" s="10">
        <v>0</v>
      </c>
      <c r="L29" s="10">
        <v>0</v>
      </c>
      <c r="M29" s="10">
        <v>-1</v>
      </c>
      <c r="N29" s="10" t="s">
        <v>86</v>
      </c>
      <c r="O29" s="10">
        <v>0</v>
      </c>
      <c r="P29" s="10">
        <v>1</v>
      </c>
      <c r="Q29" s="10">
        <v>0</v>
      </c>
      <c r="R29" t="s">
        <v>161</v>
      </c>
      <c r="S29" t="s">
        <v>162</v>
      </c>
      <c r="T29" t="s">
        <v>290</v>
      </c>
      <c r="U29" s="14" t="b">
        <v>0</v>
      </c>
      <c r="V29" t="b">
        <v>1</v>
      </c>
      <c r="W29" t="b">
        <v>0</v>
      </c>
      <c r="X29" t="b">
        <v>0</v>
      </c>
      <c r="Y29" t="b">
        <v>1</v>
      </c>
      <c r="Z29" t="b">
        <v>0</v>
      </c>
      <c r="AA29" t="b">
        <v>0</v>
      </c>
      <c r="AB29" t="b">
        <v>1</v>
      </c>
      <c r="AC29" t="b">
        <v>1</v>
      </c>
      <c r="AD29" t="b">
        <v>1</v>
      </c>
      <c r="AE29" t="b">
        <v>1</v>
      </c>
      <c r="AF29" s="15" t="b">
        <v>0</v>
      </c>
      <c r="AG29" t="b">
        <v>0</v>
      </c>
      <c r="AH29" t="b">
        <v>0</v>
      </c>
      <c r="AI29" t="b">
        <v>1</v>
      </c>
    </row>
    <row r="30" spans="1:35" x14ac:dyDescent="0.35">
      <c r="A30" s="8">
        <f t="shared" si="0"/>
        <v>19</v>
      </c>
      <c r="B30" s="8" t="s">
        <v>289</v>
      </c>
      <c r="C30" s="10" t="s">
        <v>289</v>
      </c>
      <c r="D30" t="s">
        <v>479</v>
      </c>
      <c r="E30" s="8" t="s">
        <v>287</v>
      </c>
      <c r="F30" s="10" t="s">
        <v>86</v>
      </c>
      <c r="G30" s="10" t="s">
        <v>216</v>
      </c>
      <c r="H30" s="10" t="s">
        <v>480</v>
      </c>
      <c r="I30" s="10" t="s">
        <v>481</v>
      </c>
      <c r="J30" s="10" t="s">
        <v>68</v>
      </c>
      <c r="K30" s="10">
        <v>0</v>
      </c>
      <c r="L30" s="10">
        <v>0</v>
      </c>
      <c r="M30" s="10">
        <v>-1</v>
      </c>
      <c r="N30" s="10" t="s">
        <v>86</v>
      </c>
      <c r="O30" s="10">
        <v>0</v>
      </c>
      <c r="P30" s="10">
        <v>1</v>
      </c>
      <c r="Q30" s="10">
        <v>0</v>
      </c>
      <c r="R30" t="s">
        <v>161</v>
      </c>
      <c r="S30" t="s">
        <v>162</v>
      </c>
      <c r="T30" t="s">
        <v>290</v>
      </c>
      <c r="U30" s="14" t="b">
        <v>0</v>
      </c>
      <c r="V30" t="b">
        <v>1</v>
      </c>
      <c r="W30" t="b">
        <v>0</v>
      </c>
      <c r="X30" t="b">
        <v>0</v>
      </c>
      <c r="Y30" t="b">
        <v>1</v>
      </c>
      <c r="Z30" t="b">
        <v>0</v>
      </c>
      <c r="AA30" t="b">
        <v>0</v>
      </c>
      <c r="AB30" t="b">
        <v>1</v>
      </c>
      <c r="AC30" t="b">
        <v>1</v>
      </c>
      <c r="AD30" t="b">
        <v>1</v>
      </c>
      <c r="AE30" t="b">
        <v>1</v>
      </c>
      <c r="AF30" s="15" t="b">
        <v>0</v>
      </c>
      <c r="AG30" t="b">
        <v>0</v>
      </c>
      <c r="AH30" t="b">
        <v>0</v>
      </c>
      <c r="AI30" t="b">
        <v>1</v>
      </c>
    </row>
    <row r="31" spans="1:35" x14ac:dyDescent="0.35">
      <c r="A31" s="8">
        <f t="shared" si="0"/>
        <v>20</v>
      </c>
      <c r="B31" s="8" t="s">
        <v>288</v>
      </c>
      <c r="C31" s="10" t="s">
        <v>288</v>
      </c>
      <c r="D31" t="s">
        <v>479</v>
      </c>
      <c r="E31" s="8" t="s">
        <v>272</v>
      </c>
      <c r="F31" s="10" t="s">
        <v>86</v>
      </c>
      <c r="G31" s="10" t="s">
        <v>216</v>
      </c>
      <c r="H31" s="10" t="s">
        <v>480</v>
      </c>
      <c r="I31" s="10" t="s">
        <v>481</v>
      </c>
      <c r="J31" s="10" t="s">
        <v>68</v>
      </c>
      <c r="K31" s="10">
        <v>0</v>
      </c>
      <c r="L31" s="10">
        <v>0</v>
      </c>
      <c r="M31" s="10">
        <v>-1</v>
      </c>
      <c r="N31" s="10" t="s">
        <v>86</v>
      </c>
      <c r="O31" s="10">
        <v>0</v>
      </c>
      <c r="P31" s="10">
        <v>1</v>
      </c>
      <c r="Q31" s="10">
        <v>0</v>
      </c>
      <c r="R31" t="s">
        <v>161</v>
      </c>
      <c r="S31" t="s">
        <v>162</v>
      </c>
      <c r="T31" t="s">
        <v>290</v>
      </c>
      <c r="U31" s="14" t="b">
        <v>0</v>
      </c>
      <c r="V31" t="b">
        <v>1</v>
      </c>
      <c r="W31" t="b">
        <v>0</v>
      </c>
      <c r="X31" t="b">
        <v>0</v>
      </c>
      <c r="Y31" t="b">
        <v>1</v>
      </c>
      <c r="Z31" t="b">
        <v>0</v>
      </c>
      <c r="AA31" t="b">
        <v>0</v>
      </c>
      <c r="AB31" t="b">
        <v>1</v>
      </c>
      <c r="AC31" t="b">
        <v>1</v>
      </c>
      <c r="AD31" t="b">
        <v>1</v>
      </c>
      <c r="AE31" t="b">
        <v>1</v>
      </c>
      <c r="AF31" s="15" t="b">
        <v>0</v>
      </c>
      <c r="AG31" t="b">
        <v>0</v>
      </c>
      <c r="AH31" t="b">
        <v>0</v>
      </c>
      <c r="AI31" t="b">
        <v>1</v>
      </c>
    </row>
    <row r="32" spans="1:35" x14ac:dyDescent="0.35">
      <c r="A32" s="8">
        <f t="shared" si="0"/>
        <v>21</v>
      </c>
      <c r="B32" s="8" t="s">
        <v>289</v>
      </c>
      <c r="C32" s="10" t="s">
        <v>289</v>
      </c>
      <c r="D32" t="s">
        <v>479</v>
      </c>
      <c r="E32" s="8" t="s">
        <v>272</v>
      </c>
      <c r="F32" s="10" t="s">
        <v>86</v>
      </c>
      <c r="G32" s="10" t="s">
        <v>216</v>
      </c>
      <c r="H32" s="10" t="s">
        <v>480</v>
      </c>
      <c r="I32" s="10" t="s">
        <v>481</v>
      </c>
      <c r="J32" s="10" t="s">
        <v>68</v>
      </c>
      <c r="K32" s="10">
        <v>0</v>
      </c>
      <c r="L32" s="10">
        <v>0</v>
      </c>
      <c r="M32" s="10">
        <v>-1</v>
      </c>
      <c r="N32" s="10" t="s">
        <v>86</v>
      </c>
      <c r="O32" s="10">
        <v>0</v>
      </c>
      <c r="P32" s="10">
        <v>1</v>
      </c>
      <c r="Q32" s="10">
        <v>0</v>
      </c>
      <c r="R32" t="s">
        <v>161</v>
      </c>
      <c r="S32" t="s">
        <v>162</v>
      </c>
      <c r="T32" t="s">
        <v>290</v>
      </c>
      <c r="U32" s="14" t="b">
        <v>0</v>
      </c>
      <c r="V32" t="b">
        <v>1</v>
      </c>
      <c r="W32" t="b">
        <v>0</v>
      </c>
      <c r="X32" t="b">
        <v>0</v>
      </c>
      <c r="Y32" t="b">
        <v>1</v>
      </c>
      <c r="Z32" t="b">
        <v>0</v>
      </c>
      <c r="AA32" t="b">
        <v>0</v>
      </c>
      <c r="AB32" t="b">
        <v>1</v>
      </c>
      <c r="AC32" t="b">
        <v>1</v>
      </c>
      <c r="AD32" t="b">
        <v>1</v>
      </c>
      <c r="AE32" t="b">
        <v>1</v>
      </c>
      <c r="AF32" s="15" t="b">
        <v>0</v>
      </c>
      <c r="AG32" t="b">
        <v>0</v>
      </c>
      <c r="AH32" t="b">
        <v>0</v>
      </c>
      <c r="AI32" t="b">
        <v>1</v>
      </c>
    </row>
    <row r="33" spans="1:35" x14ac:dyDescent="0.35">
      <c r="A33" s="8">
        <f t="shared" si="0"/>
        <v>22</v>
      </c>
      <c r="B33" s="8" t="s">
        <v>288</v>
      </c>
      <c r="C33" s="10" t="s">
        <v>288</v>
      </c>
      <c r="D33" t="s">
        <v>479</v>
      </c>
      <c r="E33" s="8" t="s">
        <v>295</v>
      </c>
      <c r="F33" s="10" t="s">
        <v>86</v>
      </c>
      <c r="G33" s="10" t="s">
        <v>216</v>
      </c>
      <c r="H33" s="10" t="s">
        <v>480</v>
      </c>
      <c r="I33" s="10" t="s">
        <v>481</v>
      </c>
      <c r="J33" s="10" t="s">
        <v>68</v>
      </c>
      <c r="K33" s="10">
        <v>0</v>
      </c>
      <c r="L33" s="10">
        <v>0</v>
      </c>
      <c r="M33" s="10">
        <v>-1</v>
      </c>
      <c r="N33" s="10" t="s">
        <v>86</v>
      </c>
      <c r="O33" s="10">
        <v>0</v>
      </c>
      <c r="P33" s="10">
        <v>1</v>
      </c>
      <c r="Q33" s="10">
        <v>0</v>
      </c>
      <c r="R33" t="s">
        <v>161</v>
      </c>
      <c r="S33" t="s">
        <v>162</v>
      </c>
      <c r="T33" t="s">
        <v>290</v>
      </c>
      <c r="U33" s="14" t="b">
        <v>0</v>
      </c>
      <c r="V33" t="b">
        <v>1</v>
      </c>
      <c r="W33" t="b">
        <v>0</v>
      </c>
      <c r="X33" t="b">
        <v>0</v>
      </c>
      <c r="Y33" t="b">
        <v>1</v>
      </c>
      <c r="Z33" t="b">
        <v>0</v>
      </c>
      <c r="AA33" t="b">
        <v>0</v>
      </c>
      <c r="AB33" t="b">
        <v>1</v>
      </c>
      <c r="AC33" t="b">
        <v>1</v>
      </c>
      <c r="AD33" t="b">
        <v>1</v>
      </c>
      <c r="AE33" t="b">
        <v>1</v>
      </c>
      <c r="AF33" s="15" t="b">
        <v>0</v>
      </c>
      <c r="AG33" t="b">
        <v>0</v>
      </c>
      <c r="AH33" t="b">
        <v>0</v>
      </c>
      <c r="AI33" t="b">
        <v>1</v>
      </c>
    </row>
    <row r="34" spans="1:35" x14ac:dyDescent="0.35">
      <c r="A34" s="8">
        <f t="shared" si="0"/>
        <v>23</v>
      </c>
      <c r="B34" s="8" t="s">
        <v>289</v>
      </c>
      <c r="C34" s="10" t="s">
        <v>289</v>
      </c>
      <c r="D34" t="s">
        <v>479</v>
      </c>
      <c r="E34" s="8" t="s">
        <v>295</v>
      </c>
      <c r="F34" s="10" t="s">
        <v>86</v>
      </c>
      <c r="G34" s="10" t="s">
        <v>216</v>
      </c>
      <c r="H34" s="10" t="s">
        <v>480</v>
      </c>
      <c r="I34" s="10" t="s">
        <v>481</v>
      </c>
      <c r="J34" s="10" t="s">
        <v>68</v>
      </c>
      <c r="K34" s="10">
        <v>0</v>
      </c>
      <c r="L34" s="10">
        <v>0</v>
      </c>
      <c r="M34" s="10">
        <v>-1</v>
      </c>
      <c r="N34" s="10" t="s">
        <v>86</v>
      </c>
      <c r="O34" s="10">
        <v>0</v>
      </c>
      <c r="P34" s="10">
        <v>1</v>
      </c>
      <c r="Q34" s="10">
        <v>0</v>
      </c>
      <c r="R34" t="s">
        <v>161</v>
      </c>
      <c r="S34" t="s">
        <v>162</v>
      </c>
      <c r="T34" t="s">
        <v>290</v>
      </c>
      <c r="U34" s="14" t="b">
        <v>0</v>
      </c>
      <c r="V34" t="b">
        <v>1</v>
      </c>
      <c r="W34" t="b">
        <v>0</v>
      </c>
      <c r="X34" t="b">
        <v>0</v>
      </c>
      <c r="Y34" t="b">
        <v>1</v>
      </c>
      <c r="Z34" t="b">
        <v>0</v>
      </c>
      <c r="AA34" t="b">
        <v>0</v>
      </c>
      <c r="AB34" t="b">
        <v>1</v>
      </c>
      <c r="AC34" t="b">
        <v>1</v>
      </c>
      <c r="AD34" t="b">
        <v>1</v>
      </c>
      <c r="AE34" t="b">
        <v>1</v>
      </c>
      <c r="AF34" s="15" t="b">
        <v>0</v>
      </c>
      <c r="AG34" t="b">
        <v>0</v>
      </c>
      <c r="AH34" t="b">
        <v>0</v>
      </c>
      <c r="AI34" t="b">
        <v>1</v>
      </c>
    </row>
    <row r="35" spans="1:35" x14ac:dyDescent="0.35">
      <c r="A35" s="8">
        <f t="shared" si="0"/>
        <v>24</v>
      </c>
      <c r="B35" s="8" t="s">
        <v>288</v>
      </c>
      <c r="C35" s="10" t="s">
        <v>288</v>
      </c>
      <c r="D35" t="s">
        <v>479</v>
      </c>
      <c r="E35" s="8" t="s">
        <v>84</v>
      </c>
      <c r="F35" s="10" t="s">
        <v>86</v>
      </c>
      <c r="G35" s="10" t="s">
        <v>217</v>
      </c>
      <c r="H35" s="10" t="s">
        <v>480</v>
      </c>
      <c r="I35" s="10" t="s">
        <v>481</v>
      </c>
      <c r="J35" s="10" t="s">
        <v>68</v>
      </c>
      <c r="K35" s="10">
        <v>0</v>
      </c>
      <c r="L35" s="10">
        <v>0</v>
      </c>
      <c r="M35" s="10">
        <v>-1</v>
      </c>
      <c r="N35" s="10" t="s">
        <v>86</v>
      </c>
      <c r="O35" s="10">
        <v>0</v>
      </c>
      <c r="P35" s="10">
        <v>1</v>
      </c>
      <c r="Q35" s="10">
        <v>0</v>
      </c>
      <c r="R35" t="s">
        <v>161</v>
      </c>
      <c r="S35" t="s">
        <v>162</v>
      </c>
      <c r="T35" t="s">
        <v>290</v>
      </c>
      <c r="U35" s="14" t="b">
        <v>0</v>
      </c>
      <c r="V35" t="b">
        <v>1</v>
      </c>
      <c r="W35" t="b">
        <v>0</v>
      </c>
      <c r="X35" t="b">
        <v>0</v>
      </c>
      <c r="Y35" t="b">
        <v>1</v>
      </c>
      <c r="Z35" t="b">
        <v>0</v>
      </c>
      <c r="AA35" t="b">
        <v>0</v>
      </c>
      <c r="AB35" t="b">
        <v>1</v>
      </c>
      <c r="AC35" t="b">
        <v>1</v>
      </c>
      <c r="AD35" t="b">
        <v>1</v>
      </c>
      <c r="AE35" t="b">
        <v>1</v>
      </c>
      <c r="AF35" s="15" t="b">
        <v>0</v>
      </c>
      <c r="AG35" t="b">
        <v>0</v>
      </c>
      <c r="AH35" t="b">
        <v>0</v>
      </c>
      <c r="AI35" t="b">
        <v>1</v>
      </c>
    </row>
    <row r="36" spans="1:35" x14ac:dyDescent="0.35">
      <c r="A36" s="8">
        <f t="shared" si="0"/>
        <v>25</v>
      </c>
      <c r="B36" s="8" t="s">
        <v>289</v>
      </c>
      <c r="C36" s="10" t="s">
        <v>289</v>
      </c>
      <c r="D36" t="s">
        <v>479</v>
      </c>
      <c r="E36" s="8" t="s">
        <v>84</v>
      </c>
      <c r="F36" s="10" t="s">
        <v>86</v>
      </c>
      <c r="G36" s="10" t="s">
        <v>217</v>
      </c>
      <c r="H36" s="10" t="s">
        <v>480</v>
      </c>
      <c r="I36" s="10" t="s">
        <v>481</v>
      </c>
      <c r="J36" s="10" t="s">
        <v>68</v>
      </c>
      <c r="K36" s="10">
        <v>0</v>
      </c>
      <c r="L36" s="10">
        <v>0</v>
      </c>
      <c r="M36" s="10">
        <v>-1</v>
      </c>
      <c r="N36" s="10" t="s">
        <v>86</v>
      </c>
      <c r="O36" s="10">
        <v>0</v>
      </c>
      <c r="P36" s="10">
        <v>1</v>
      </c>
      <c r="Q36" s="10">
        <v>0</v>
      </c>
      <c r="R36" t="s">
        <v>161</v>
      </c>
      <c r="S36" t="s">
        <v>162</v>
      </c>
      <c r="T36" t="s">
        <v>290</v>
      </c>
      <c r="U36" s="14" t="b">
        <v>0</v>
      </c>
      <c r="V36" t="b">
        <v>1</v>
      </c>
      <c r="W36" t="b">
        <v>0</v>
      </c>
      <c r="X36" t="b">
        <v>0</v>
      </c>
      <c r="Y36" t="b">
        <v>1</v>
      </c>
      <c r="Z36" t="b">
        <v>0</v>
      </c>
      <c r="AA36" t="b">
        <v>0</v>
      </c>
      <c r="AB36" t="b">
        <v>1</v>
      </c>
      <c r="AC36" t="b">
        <v>1</v>
      </c>
      <c r="AD36" t="b">
        <v>1</v>
      </c>
      <c r="AE36" t="b">
        <v>1</v>
      </c>
      <c r="AF36" s="15" t="b">
        <v>0</v>
      </c>
      <c r="AG36" t="b">
        <v>0</v>
      </c>
      <c r="AH36" t="b">
        <v>0</v>
      </c>
      <c r="AI36" t="b">
        <v>1</v>
      </c>
    </row>
    <row r="37" spans="1:35" x14ac:dyDescent="0.35">
      <c r="A37" s="8">
        <f t="shared" si="0"/>
        <v>26</v>
      </c>
      <c r="B37" s="8" t="s">
        <v>288</v>
      </c>
      <c r="C37" s="10" t="s">
        <v>288</v>
      </c>
      <c r="D37" t="s">
        <v>479</v>
      </c>
      <c r="E37" s="8" t="s">
        <v>171</v>
      </c>
      <c r="F37" s="10" t="s">
        <v>86</v>
      </c>
      <c r="G37" s="10" t="s">
        <v>217</v>
      </c>
      <c r="H37" s="10" t="s">
        <v>480</v>
      </c>
      <c r="I37" s="10" t="s">
        <v>481</v>
      </c>
      <c r="J37" s="10" t="s">
        <v>68</v>
      </c>
      <c r="K37" s="10">
        <v>0</v>
      </c>
      <c r="L37" s="10">
        <v>0</v>
      </c>
      <c r="M37" s="10">
        <v>-1</v>
      </c>
      <c r="N37" s="10" t="s">
        <v>86</v>
      </c>
      <c r="O37" s="10">
        <v>0</v>
      </c>
      <c r="P37" s="10">
        <v>1</v>
      </c>
      <c r="Q37" s="10">
        <v>0</v>
      </c>
      <c r="R37" t="s">
        <v>161</v>
      </c>
      <c r="S37" t="s">
        <v>162</v>
      </c>
      <c r="T37" t="s">
        <v>290</v>
      </c>
      <c r="U37" s="14" t="b">
        <v>0</v>
      </c>
      <c r="V37" t="b">
        <v>1</v>
      </c>
      <c r="W37" t="b">
        <v>0</v>
      </c>
      <c r="X37" t="b">
        <v>0</v>
      </c>
      <c r="Y37" t="b">
        <v>1</v>
      </c>
      <c r="Z37" t="b">
        <v>0</v>
      </c>
      <c r="AA37" t="b">
        <v>0</v>
      </c>
      <c r="AB37" t="b">
        <v>1</v>
      </c>
      <c r="AC37" t="b">
        <v>1</v>
      </c>
      <c r="AD37" t="b">
        <v>1</v>
      </c>
      <c r="AE37" t="b">
        <v>1</v>
      </c>
      <c r="AF37" s="15" t="b">
        <v>0</v>
      </c>
      <c r="AG37" t="b">
        <v>0</v>
      </c>
      <c r="AH37" t="b">
        <v>0</v>
      </c>
      <c r="AI37" t="b">
        <v>1</v>
      </c>
    </row>
    <row r="38" spans="1:35" x14ac:dyDescent="0.35">
      <c r="A38" s="8">
        <f t="shared" si="0"/>
        <v>27</v>
      </c>
      <c r="B38" s="8" t="s">
        <v>289</v>
      </c>
      <c r="C38" s="10" t="s">
        <v>289</v>
      </c>
      <c r="D38" t="s">
        <v>479</v>
      </c>
      <c r="E38" s="8" t="s">
        <v>171</v>
      </c>
      <c r="F38" s="10" t="s">
        <v>86</v>
      </c>
      <c r="G38" s="10" t="s">
        <v>217</v>
      </c>
      <c r="H38" s="10" t="s">
        <v>480</v>
      </c>
      <c r="I38" s="10" t="s">
        <v>481</v>
      </c>
      <c r="J38" s="10" t="s">
        <v>68</v>
      </c>
      <c r="K38" s="10">
        <v>0</v>
      </c>
      <c r="L38" s="10">
        <v>0</v>
      </c>
      <c r="M38" s="10">
        <v>-1</v>
      </c>
      <c r="N38" s="10" t="s">
        <v>86</v>
      </c>
      <c r="O38" s="10">
        <v>0</v>
      </c>
      <c r="P38" s="10">
        <v>1</v>
      </c>
      <c r="Q38" s="10">
        <v>0</v>
      </c>
      <c r="R38" t="s">
        <v>161</v>
      </c>
      <c r="S38" t="s">
        <v>162</v>
      </c>
      <c r="T38" t="s">
        <v>290</v>
      </c>
      <c r="U38" s="14" t="b">
        <v>0</v>
      </c>
      <c r="V38" t="b">
        <v>1</v>
      </c>
      <c r="W38" t="b">
        <v>0</v>
      </c>
      <c r="X38" t="b">
        <v>0</v>
      </c>
      <c r="Y38" t="b">
        <v>1</v>
      </c>
      <c r="Z38" t="b">
        <v>0</v>
      </c>
      <c r="AA38" t="b">
        <v>0</v>
      </c>
      <c r="AB38" t="b">
        <v>1</v>
      </c>
      <c r="AC38" t="b">
        <v>1</v>
      </c>
      <c r="AD38" t="b">
        <v>1</v>
      </c>
      <c r="AE38" t="b">
        <v>1</v>
      </c>
      <c r="AF38" s="15" t="b">
        <v>0</v>
      </c>
      <c r="AG38" t="b">
        <v>0</v>
      </c>
      <c r="AH38" t="b">
        <v>0</v>
      </c>
      <c r="AI38" t="b">
        <v>1</v>
      </c>
    </row>
    <row r="39" spans="1:35" x14ac:dyDescent="0.35">
      <c r="A39" s="8">
        <f t="shared" si="0"/>
        <v>28</v>
      </c>
      <c r="B39" s="8" t="s">
        <v>288</v>
      </c>
      <c r="C39" s="10" t="s">
        <v>288</v>
      </c>
      <c r="D39" t="s">
        <v>479</v>
      </c>
      <c r="E39" s="8" t="s">
        <v>67</v>
      </c>
      <c r="F39" s="10" t="s">
        <v>87</v>
      </c>
      <c r="G39" s="10" t="s">
        <v>217</v>
      </c>
      <c r="H39" s="10" t="s">
        <v>480</v>
      </c>
      <c r="I39" s="10" t="s">
        <v>481</v>
      </c>
      <c r="J39" s="10" t="s">
        <v>68</v>
      </c>
      <c r="K39" s="10">
        <v>0</v>
      </c>
      <c r="L39" s="10">
        <v>0</v>
      </c>
      <c r="M39" s="10">
        <v>-1</v>
      </c>
      <c r="N39" s="10" t="s">
        <v>86</v>
      </c>
      <c r="O39" s="10">
        <v>0</v>
      </c>
      <c r="P39" s="10">
        <v>1</v>
      </c>
      <c r="Q39" s="10">
        <v>0</v>
      </c>
      <c r="R39" t="s">
        <v>161</v>
      </c>
      <c r="S39" t="s">
        <v>162</v>
      </c>
      <c r="T39" t="s">
        <v>290</v>
      </c>
      <c r="U39" s="14" t="b">
        <v>0</v>
      </c>
      <c r="V39" t="b">
        <v>1</v>
      </c>
      <c r="W39" t="b">
        <v>0</v>
      </c>
      <c r="X39" t="b">
        <v>0</v>
      </c>
      <c r="Y39" t="b">
        <v>1</v>
      </c>
      <c r="Z39" t="b">
        <v>0</v>
      </c>
      <c r="AA39" t="b">
        <v>0</v>
      </c>
      <c r="AB39" t="b">
        <v>1</v>
      </c>
      <c r="AC39" t="b">
        <v>1</v>
      </c>
      <c r="AD39" t="b">
        <v>1</v>
      </c>
      <c r="AE39" t="b">
        <v>1</v>
      </c>
      <c r="AF39" s="15" t="b">
        <v>0</v>
      </c>
      <c r="AG39" t="b">
        <v>0</v>
      </c>
      <c r="AH39" t="b">
        <v>0</v>
      </c>
      <c r="AI39" t="b">
        <v>1</v>
      </c>
    </row>
    <row r="40" spans="1:35" x14ac:dyDescent="0.35">
      <c r="A40" s="8">
        <f t="shared" si="0"/>
        <v>29</v>
      </c>
      <c r="B40" s="8" t="s">
        <v>289</v>
      </c>
      <c r="C40" s="10" t="s">
        <v>289</v>
      </c>
      <c r="D40" t="s">
        <v>479</v>
      </c>
      <c r="E40" s="8" t="s">
        <v>67</v>
      </c>
      <c r="F40" s="10" t="s">
        <v>87</v>
      </c>
      <c r="G40" s="10" t="s">
        <v>217</v>
      </c>
      <c r="H40" s="10" t="s">
        <v>480</v>
      </c>
      <c r="I40" s="10" t="s">
        <v>481</v>
      </c>
      <c r="J40" s="10" t="s">
        <v>68</v>
      </c>
      <c r="K40" s="10">
        <v>0</v>
      </c>
      <c r="L40" s="10">
        <v>0</v>
      </c>
      <c r="M40" s="10">
        <v>-1</v>
      </c>
      <c r="N40" s="10" t="s">
        <v>86</v>
      </c>
      <c r="O40" s="10">
        <v>0</v>
      </c>
      <c r="P40" s="10">
        <v>1</v>
      </c>
      <c r="Q40" s="10">
        <v>0</v>
      </c>
      <c r="R40" t="s">
        <v>161</v>
      </c>
      <c r="S40" t="s">
        <v>162</v>
      </c>
      <c r="T40" t="s">
        <v>290</v>
      </c>
      <c r="U40" s="14" t="b">
        <v>0</v>
      </c>
      <c r="V40" t="b">
        <v>1</v>
      </c>
      <c r="W40" t="b">
        <v>0</v>
      </c>
      <c r="X40" t="b">
        <v>0</v>
      </c>
      <c r="Y40" t="b">
        <v>1</v>
      </c>
      <c r="Z40" t="b">
        <v>0</v>
      </c>
      <c r="AA40" t="b">
        <v>0</v>
      </c>
      <c r="AB40" t="b">
        <v>1</v>
      </c>
      <c r="AC40" t="b">
        <v>1</v>
      </c>
      <c r="AD40" t="b">
        <v>1</v>
      </c>
      <c r="AE40" t="b">
        <v>1</v>
      </c>
      <c r="AF40" s="15" t="b">
        <v>0</v>
      </c>
      <c r="AG40" t="b">
        <v>0</v>
      </c>
      <c r="AH40" t="b">
        <v>0</v>
      </c>
      <c r="AI40" t="b">
        <v>1</v>
      </c>
    </row>
    <row r="41" spans="1:35" x14ac:dyDescent="0.35">
      <c r="A41" s="8">
        <f t="shared" si="0"/>
        <v>30</v>
      </c>
      <c r="B41" s="8" t="s">
        <v>288</v>
      </c>
      <c r="C41" s="10" t="s">
        <v>288</v>
      </c>
      <c r="D41" t="s">
        <v>479</v>
      </c>
      <c r="E41" s="8" t="s">
        <v>67</v>
      </c>
      <c r="F41" s="10" t="s">
        <v>60</v>
      </c>
      <c r="G41" s="10" t="s">
        <v>217</v>
      </c>
      <c r="H41" s="10" t="s">
        <v>480</v>
      </c>
      <c r="I41" s="10" t="s">
        <v>481</v>
      </c>
      <c r="J41" s="10" t="s">
        <v>68</v>
      </c>
      <c r="K41" s="10">
        <v>0</v>
      </c>
      <c r="L41" s="10">
        <v>0</v>
      </c>
      <c r="M41" s="10">
        <v>-1</v>
      </c>
      <c r="N41" s="10" t="s">
        <v>86</v>
      </c>
      <c r="O41" s="10">
        <v>0</v>
      </c>
      <c r="P41" s="10">
        <v>1</v>
      </c>
      <c r="Q41" s="10">
        <v>0</v>
      </c>
      <c r="R41" t="s">
        <v>161</v>
      </c>
      <c r="S41" t="s">
        <v>162</v>
      </c>
      <c r="T41" t="s">
        <v>290</v>
      </c>
      <c r="U41" s="14" t="b">
        <v>0</v>
      </c>
      <c r="V41" t="b">
        <v>1</v>
      </c>
      <c r="W41" t="b">
        <v>0</v>
      </c>
      <c r="X41" t="b">
        <v>0</v>
      </c>
      <c r="Y41" t="b">
        <v>1</v>
      </c>
      <c r="Z41" t="b">
        <v>0</v>
      </c>
      <c r="AA41" t="b">
        <v>0</v>
      </c>
      <c r="AB41" t="b">
        <v>1</v>
      </c>
      <c r="AC41" t="b">
        <v>1</v>
      </c>
      <c r="AD41" t="b">
        <v>1</v>
      </c>
      <c r="AE41" t="b">
        <v>1</v>
      </c>
      <c r="AF41" s="15" t="b">
        <v>0</v>
      </c>
      <c r="AG41" t="b">
        <v>0</v>
      </c>
      <c r="AH41" t="b">
        <v>0</v>
      </c>
      <c r="AI41" t="b">
        <v>1</v>
      </c>
    </row>
    <row r="42" spans="1:35" x14ac:dyDescent="0.35">
      <c r="A42" s="8">
        <f t="shared" si="0"/>
        <v>31</v>
      </c>
      <c r="B42" s="8" t="s">
        <v>289</v>
      </c>
      <c r="C42" s="10" t="s">
        <v>289</v>
      </c>
      <c r="D42" t="s">
        <v>479</v>
      </c>
      <c r="E42" s="8" t="s">
        <v>67</v>
      </c>
      <c r="F42" s="10" t="s">
        <v>60</v>
      </c>
      <c r="G42" s="10" t="s">
        <v>217</v>
      </c>
      <c r="H42" s="10" t="s">
        <v>480</v>
      </c>
      <c r="I42" s="10" t="s">
        <v>481</v>
      </c>
      <c r="J42" s="10" t="s">
        <v>68</v>
      </c>
      <c r="K42" s="10">
        <v>0</v>
      </c>
      <c r="L42" s="10">
        <v>0</v>
      </c>
      <c r="M42" s="10">
        <v>-1</v>
      </c>
      <c r="N42" s="10" t="s">
        <v>86</v>
      </c>
      <c r="O42" s="10">
        <v>0</v>
      </c>
      <c r="P42" s="10">
        <v>1</v>
      </c>
      <c r="Q42" s="10">
        <v>0</v>
      </c>
      <c r="R42" t="s">
        <v>161</v>
      </c>
      <c r="S42" t="s">
        <v>162</v>
      </c>
      <c r="T42" t="s">
        <v>290</v>
      </c>
      <c r="U42" s="14" t="b">
        <v>0</v>
      </c>
      <c r="V42" t="b">
        <v>1</v>
      </c>
      <c r="W42" t="b">
        <v>0</v>
      </c>
      <c r="X42" t="b">
        <v>0</v>
      </c>
      <c r="Y42" t="b">
        <v>1</v>
      </c>
      <c r="Z42" t="b">
        <v>0</v>
      </c>
      <c r="AA42" t="b">
        <v>0</v>
      </c>
      <c r="AB42" t="b">
        <v>1</v>
      </c>
      <c r="AC42" t="b">
        <v>1</v>
      </c>
      <c r="AD42" t="b">
        <v>1</v>
      </c>
      <c r="AE42" t="b">
        <v>1</v>
      </c>
      <c r="AF42" s="15" t="b">
        <v>0</v>
      </c>
      <c r="AG42" t="b">
        <v>0</v>
      </c>
      <c r="AH42" t="b">
        <v>0</v>
      </c>
      <c r="AI42" t="b">
        <v>1</v>
      </c>
    </row>
    <row r="43" spans="1:35" x14ac:dyDescent="0.35">
      <c r="A43" s="8">
        <f t="shared" si="0"/>
        <v>32</v>
      </c>
      <c r="B43" s="8" t="s">
        <v>288</v>
      </c>
      <c r="C43" s="10" t="s">
        <v>288</v>
      </c>
      <c r="D43" t="s">
        <v>479</v>
      </c>
      <c r="E43" s="8" t="s">
        <v>287</v>
      </c>
      <c r="F43" s="10" t="s">
        <v>86</v>
      </c>
      <c r="G43" s="10" t="s">
        <v>217</v>
      </c>
      <c r="H43" s="10" t="s">
        <v>480</v>
      </c>
      <c r="I43" s="10" t="s">
        <v>481</v>
      </c>
      <c r="J43" s="10" t="s">
        <v>68</v>
      </c>
      <c r="K43" s="10">
        <v>0</v>
      </c>
      <c r="L43" s="10">
        <v>0</v>
      </c>
      <c r="M43" s="10">
        <v>-1</v>
      </c>
      <c r="N43" s="10" t="s">
        <v>86</v>
      </c>
      <c r="O43" s="10">
        <v>0</v>
      </c>
      <c r="P43" s="10">
        <v>1</v>
      </c>
      <c r="Q43" s="10">
        <v>0</v>
      </c>
      <c r="R43" t="s">
        <v>161</v>
      </c>
      <c r="S43" t="s">
        <v>162</v>
      </c>
      <c r="T43" t="s">
        <v>290</v>
      </c>
      <c r="U43" s="14" t="b">
        <v>0</v>
      </c>
      <c r="V43" t="b">
        <v>1</v>
      </c>
      <c r="W43" t="b">
        <v>0</v>
      </c>
      <c r="X43" t="b">
        <v>0</v>
      </c>
      <c r="Y43" t="b">
        <v>1</v>
      </c>
      <c r="Z43" t="b">
        <v>0</v>
      </c>
      <c r="AA43" t="b">
        <v>0</v>
      </c>
      <c r="AB43" t="b">
        <v>1</v>
      </c>
      <c r="AC43" t="b">
        <v>1</v>
      </c>
      <c r="AD43" t="b">
        <v>1</v>
      </c>
      <c r="AE43" t="b">
        <v>1</v>
      </c>
      <c r="AF43" s="15" t="b">
        <v>0</v>
      </c>
      <c r="AG43" t="b">
        <v>0</v>
      </c>
      <c r="AH43" t="b">
        <v>0</v>
      </c>
      <c r="AI43" t="b">
        <v>1</v>
      </c>
    </row>
    <row r="44" spans="1:35" x14ac:dyDescent="0.35">
      <c r="A44" s="8">
        <f t="shared" si="0"/>
        <v>33</v>
      </c>
      <c r="B44" s="8" t="s">
        <v>289</v>
      </c>
      <c r="C44" s="10" t="s">
        <v>289</v>
      </c>
      <c r="D44" t="s">
        <v>479</v>
      </c>
      <c r="E44" s="8" t="s">
        <v>287</v>
      </c>
      <c r="F44" s="10" t="s">
        <v>86</v>
      </c>
      <c r="G44" s="10" t="s">
        <v>217</v>
      </c>
      <c r="H44" s="10" t="s">
        <v>480</v>
      </c>
      <c r="I44" s="10" t="s">
        <v>481</v>
      </c>
      <c r="J44" s="10" t="s">
        <v>68</v>
      </c>
      <c r="K44" s="10">
        <v>0</v>
      </c>
      <c r="L44" s="10">
        <v>0</v>
      </c>
      <c r="M44" s="10">
        <v>-1</v>
      </c>
      <c r="N44" s="10" t="s">
        <v>86</v>
      </c>
      <c r="O44" s="10">
        <v>0</v>
      </c>
      <c r="P44" s="10">
        <v>1</v>
      </c>
      <c r="Q44" s="10">
        <v>0</v>
      </c>
      <c r="R44" t="s">
        <v>161</v>
      </c>
      <c r="S44" t="s">
        <v>162</v>
      </c>
      <c r="T44" t="s">
        <v>290</v>
      </c>
      <c r="U44" s="14" t="b">
        <v>0</v>
      </c>
      <c r="V44" t="b">
        <v>1</v>
      </c>
      <c r="W44" t="b">
        <v>0</v>
      </c>
      <c r="X44" t="b">
        <v>0</v>
      </c>
      <c r="Y44" t="b">
        <v>1</v>
      </c>
      <c r="Z44" t="b">
        <v>0</v>
      </c>
      <c r="AA44" t="b">
        <v>0</v>
      </c>
      <c r="AB44" t="b">
        <v>1</v>
      </c>
      <c r="AC44" t="b">
        <v>1</v>
      </c>
      <c r="AD44" t="b">
        <v>1</v>
      </c>
      <c r="AE44" t="b">
        <v>1</v>
      </c>
      <c r="AF44" s="15" t="b">
        <v>0</v>
      </c>
      <c r="AG44" t="b">
        <v>0</v>
      </c>
      <c r="AH44" t="b">
        <v>0</v>
      </c>
      <c r="AI44" t="b">
        <v>1</v>
      </c>
    </row>
    <row r="45" spans="1:35" x14ac:dyDescent="0.35">
      <c r="A45" s="8">
        <f t="shared" si="0"/>
        <v>34</v>
      </c>
      <c r="B45" s="8" t="s">
        <v>288</v>
      </c>
      <c r="C45" s="10" t="s">
        <v>288</v>
      </c>
      <c r="D45" t="s">
        <v>479</v>
      </c>
      <c r="E45" s="8" t="s">
        <v>272</v>
      </c>
      <c r="F45" s="10" t="s">
        <v>86</v>
      </c>
      <c r="G45" s="10" t="s">
        <v>217</v>
      </c>
      <c r="H45" s="10" t="s">
        <v>480</v>
      </c>
      <c r="I45" s="10" t="s">
        <v>481</v>
      </c>
      <c r="J45" s="10" t="s">
        <v>68</v>
      </c>
      <c r="K45" s="10">
        <v>0</v>
      </c>
      <c r="L45" s="10">
        <v>0</v>
      </c>
      <c r="M45" s="10">
        <v>-1</v>
      </c>
      <c r="N45" s="10" t="s">
        <v>86</v>
      </c>
      <c r="O45" s="10">
        <v>0</v>
      </c>
      <c r="P45" s="10">
        <v>1</v>
      </c>
      <c r="Q45" s="10">
        <v>0</v>
      </c>
      <c r="R45" t="s">
        <v>161</v>
      </c>
      <c r="S45" t="s">
        <v>162</v>
      </c>
      <c r="T45" t="s">
        <v>290</v>
      </c>
      <c r="U45" s="14" t="b">
        <v>0</v>
      </c>
      <c r="V45" t="b">
        <v>1</v>
      </c>
      <c r="W45" t="b">
        <v>0</v>
      </c>
      <c r="X45" t="b">
        <v>0</v>
      </c>
      <c r="Y45" t="b">
        <v>1</v>
      </c>
      <c r="Z45" t="b">
        <v>0</v>
      </c>
      <c r="AA45" t="b">
        <v>0</v>
      </c>
      <c r="AB45" t="b">
        <v>1</v>
      </c>
      <c r="AC45" t="b">
        <v>1</v>
      </c>
      <c r="AD45" t="b">
        <v>1</v>
      </c>
      <c r="AE45" t="b">
        <v>1</v>
      </c>
      <c r="AF45" s="15" t="b">
        <v>0</v>
      </c>
      <c r="AG45" t="b">
        <v>0</v>
      </c>
      <c r="AH45" t="b">
        <v>0</v>
      </c>
      <c r="AI45" t="b">
        <v>1</v>
      </c>
    </row>
    <row r="46" spans="1:35" x14ac:dyDescent="0.35">
      <c r="A46" s="8">
        <f t="shared" si="0"/>
        <v>35</v>
      </c>
      <c r="B46" s="8" t="s">
        <v>289</v>
      </c>
      <c r="C46" s="10" t="s">
        <v>289</v>
      </c>
      <c r="D46" t="s">
        <v>479</v>
      </c>
      <c r="E46" s="8" t="s">
        <v>272</v>
      </c>
      <c r="F46" s="10" t="s">
        <v>86</v>
      </c>
      <c r="G46" s="10" t="s">
        <v>217</v>
      </c>
      <c r="H46" s="10" t="s">
        <v>480</v>
      </c>
      <c r="I46" s="10" t="s">
        <v>481</v>
      </c>
      <c r="J46" s="10" t="s">
        <v>68</v>
      </c>
      <c r="K46" s="10">
        <v>0</v>
      </c>
      <c r="L46" s="10">
        <v>0</v>
      </c>
      <c r="M46" s="10">
        <v>-1</v>
      </c>
      <c r="N46" s="10" t="s">
        <v>86</v>
      </c>
      <c r="O46" s="10">
        <v>0</v>
      </c>
      <c r="P46" s="10">
        <v>1</v>
      </c>
      <c r="Q46" s="10">
        <v>0</v>
      </c>
      <c r="R46" t="s">
        <v>161</v>
      </c>
      <c r="S46" t="s">
        <v>162</v>
      </c>
      <c r="T46" t="s">
        <v>290</v>
      </c>
      <c r="U46" s="14" t="b">
        <v>0</v>
      </c>
      <c r="V46" t="b">
        <v>1</v>
      </c>
      <c r="W46" t="b">
        <v>0</v>
      </c>
      <c r="X46" t="b">
        <v>0</v>
      </c>
      <c r="Y46" t="b">
        <v>1</v>
      </c>
      <c r="Z46" t="b">
        <v>0</v>
      </c>
      <c r="AA46" t="b">
        <v>0</v>
      </c>
      <c r="AB46" t="b">
        <v>1</v>
      </c>
      <c r="AC46" t="b">
        <v>1</v>
      </c>
      <c r="AD46" t="b">
        <v>1</v>
      </c>
      <c r="AE46" t="b">
        <v>1</v>
      </c>
      <c r="AF46" s="15" t="b">
        <v>0</v>
      </c>
      <c r="AG46" t="b">
        <v>0</v>
      </c>
      <c r="AH46" t="b">
        <v>0</v>
      </c>
      <c r="AI46" t="b">
        <v>1</v>
      </c>
    </row>
    <row r="47" spans="1:35" x14ac:dyDescent="0.35">
      <c r="A47" s="8">
        <f t="shared" si="0"/>
        <v>36</v>
      </c>
      <c r="B47" s="8" t="s">
        <v>288</v>
      </c>
      <c r="C47" s="10" t="s">
        <v>288</v>
      </c>
      <c r="D47" t="s">
        <v>479</v>
      </c>
      <c r="E47" s="8" t="s">
        <v>295</v>
      </c>
      <c r="F47" s="10" t="s">
        <v>86</v>
      </c>
      <c r="G47" s="10" t="s">
        <v>217</v>
      </c>
      <c r="H47" s="10" t="s">
        <v>480</v>
      </c>
      <c r="I47" s="10" t="s">
        <v>481</v>
      </c>
      <c r="J47" s="10" t="s">
        <v>68</v>
      </c>
      <c r="K47" s="10">
        <v>0</v>
      </c>
      <c r="L47" s="10">
        <v>0</v>
      </c>
      <c r="M47" s="10">
        <v>-1</v>
      </c>
      <c r="N47" s="10" t="s">
        <v>86</v>
      </c>
      <c r="O47" s="10">
        <v>0</v>
      </c>
      <c r="P47" s="10">
        <v>1</v>
      </c>
      <c r="Q47" s="10">
        <v>0</v>
      </c>
      <c r="R47" t="s">
        <v>161</v>
      </c>
      <c r="S47" t="s">
        <v>162</v>
      </c>
      <c r="T47" t="s">
        <v>290</v>
      </c>
      <c r="U47" s="14" t="b">
        <v>0</v>
      </c>
      <c r="V47" t="b">
        <v>1</v>
      </c>
      <c r="W47" t="b">
        <v>0</v>
      </c>
      <c r="X47" t="b">
        <v>0</v>
      </c>
      <c r="Y47" t="b">
        <v>1</v>
      </c>
      <c r="Z47" t="b">
        <v>0</v>
      </c>
      <c r="AA47" t="b">
        <v>0</v>
      </c>
      <c r="AB47" t="b">
        <v>1</v>
      </c>
      <c r="AC47" t="b">
        <v>1</v>
      </c>
      <c r="AD47" t="b">
        <v>1</v>
      </c>
      <c r="AE47" t="b">
        <v>1</v>
      </c>
      <c r="AF47" s="15" t="b">
        <v>0</v>
      </c>
      <c r="AG47" t="b">
        <v>0</v>
      </c>
      <c r="AH47" t="b">
        <v>0</v>
      </c>
      <c r="AI47" t="b">
        <v>1</v>
      </c>
    </row>
    <row r="48" spans="1:35" x14ac:dyDescent="0.35">
      <c r="A48" s="8">
        <f t="shared" si="0"/>
        <v>37</v>
      </c>
      <c r="B48" s="8" t="s">
        <v>289</v>
      </c>
      <c r="C48" s="10" t="s">
        <v>289</v>
      </c>
      <c r="D48" t="s">
        <v>479</v>
      </c>
      <c r="E48" s="8" t="s">
        <v>295</v>
      </c>
      <c r="F48" s="10" t="s">
        <v>86</v>
      </c>
      <c r="G48" s="10" t="s">
        <v>217</v>
      </c>
      <c r="H48" s="10" t="s">
        <v>480</v>
      </c>
      <c r="I48" s="10" t="s">
        <v>481</v>
      </c>
      <c r="J48" s="10" t="s">
        <v>68</v>
      </c>
      <c r="K48" s="10">
        <v>0</v>
      </c>
      <c r="L48" s="10">
        <v>0</v>
      </c>
      <c r="M48" s="10">
        <v>-1</v>
      </c>
      <c r="N48" s="10" t="s">
        <v>86</v>
      </c>
      <c r="O48" s="10">
        <v>0</v>
      </c>
      <c r="P48" s="10">
        <v>1</v>
      </c>
      <c r="Q48" s="10">
        <v>0</v>
      </c>
      <c r="R48" t="s">
        <v>161</v>
      </c>
      <c r="S48" t="s">
        <v>162</v>
      </c>
      <c r="T48" t="s">
        <v>290</v>
      </c>
      <c r="U48" s="14" t="b">
        <v>0</v>
      </c>
      <c r="V48" t="b">
        <v>1</v>
      </c>
      <c r="W48" t="b">
        <v>0</v>
      </c>
      <c r="X48" t="b">
        <v>0</v>
      </c>
      <c r="Y48" t="b">
        <v>1</v>
      </c>
      <c r="Z48" t="b">
        <v>0</v>
      </c>
      <c r="AA48" t="b">
        <v>0</v>
      </c>
      <c r="AB48" t="b">
        <v>1</v>
      </c>
      <c r="AC48" t="b">
        <v>1</v>
      </c>
      <c r="AD48" t="b">
        <v>1</v>
      </c>
      <c r="AE48" t="b">
        <v>1</v>
      </c>
      <c r="AF48" s="15" t="b">
        <v>0</v>
      </c>
      <c r="AG48" t="b">
        <v>0</v>
      </c>
      <c r="AH48" t="b">
        <v>0</v>
      </c>
      <c r="AI48" t="b">
        <v>1</v>
      </c>
    </row>
    <row r="49" spans="1:32" x14ac:dyDescent="0.35">
      <c r="C49"/>
      <c r="D49"/>
      <c r="E49"/>
      <c r="F49"/>
      <c r="G49"/>
      <c r="H49"/>
      <c r="I49"/>
      <c r="J49"/>
      <c r="K49"/>
      <c r="L49"/>
      <c r="M49"/>
      <c r="N49"/>
      <c r="O49"/>
      <c r="P49"/>
      <c r="Q49"/>
      <c r="U49"/>
      <c r="AF49"/>
    </row>
    <row r="50" spans="1:32" x14ac:dyDescent="0.35">
      <c r="C50"/>
      <c r="D50"/>
      <c r="E50"/>
      <c r="F50"/>
      <c r="G50"/>
      <c r="H50"/>
      <c r="I50"/>
      <c r="J50"/>
      <c r="K50"/>
      <c r="L50"/>
      <c r="M50"/>
      <c r="N50"/>
      <c r="O50"/>
      <c r="P50"/>
      <c r="Q50"/>
      <c r="U50"/>
      <c r="AF50"/>
    </row>
    <row r="51" spans="1:32" x14ac:dyDescent="0.35">
      <c r="C51"/>
      <c r="D51"/>
      <c r="E51"/>
      <c r="F51"/>
      <c r="G51"/>
      <c r="H51"/>
      <c r="I51"/>
      <c r="J51"/>
      <c r="K51"/>
      <c r="L51"/>
      <c r="M51"/>
      <c r="N51"/>
      <c r="O51"/>
      <c r="P51"/>
      <c r="Q51"/>
      <c r="U51"/>
      <c r="AF51"/>
    </row>
    <row r="52" spans="1:32" x14ac:dyDescent="0.35">
      <c r="C52"/>
      <c r="D52"/>
      <c r="E52"/>
      <c r="F52"/>
      <c r="G52"/>
      <c r="H52"/>
      <c r="I52"/>
      <c r="J52"/>
      <c r="K52"/>
      <c r="L52"/>
      <c r="M52"/>
      <c r="N52"/>
      <c r="O52"/>
      <c r="P52"/>
      <c r="Q52"/>
      <c r="U52"/>
      <c r="AF52"/>
    </row>
    <row r="53" spans="1:32" x14ac:dyDescent="0.35">
      <c r="C53"/>
      <c r="D53"/>
      <c r="E53"/>
      <c r="F53"/>
      <c r="G53"/>
      <c r="H53"/>
      <c r="I53"/>
      <c r="J53"/>
      <c r="K53"/>
      <c r="L53"/>
      <c r="M53"/>
      <c r="N53"/>
      <c r="O53"/>
      <c r="P53"/>
      <c r="Q53"/>
      <c r="U53"/>
      <c r="AF53"/>
    </row>
    <row r="54" spans="1:32" x14ac:dyDescent="0.35">
      <c r="A54" s="8"/>
      <c r="B54" s="8"/>
      <c r="D54"/>
      <c r="E54" s="8"/>
    </row>
    <row r="55" spans="1:32" x14ac:dyDescent="0.35">
      <c r="A55" s="8"/>
      <c r="B55" s="8"/>
      <c r="D55"/>
      <c r="E55" s="8"/>
    </row>
    <row r="56" spans="1:32" x14ac:dyDescent="0.35">
      <c r="A56" s="8"/>
      <c r="B56" s="8"/>
      <c r="D56"/>
      <c r="E56" s="8"/>
    </row>
    <row r="57" spans="1:32" x14ac:dyDescent="0.35">
      <c r="A57" s="8"/>
      <c r="B57" s="8"/>
      <c r="D57"/>
      <c r="E57" s="8"/>
    </row>
    <row r="58" spans="1:32" x14ac:dyDescent="0.35">
      <c r="A58" s="8"/>
      <c r="B58" s="8"/>
      <c r="D58"/>
      <c r="E58" s="8"/>
    </row>
    <row r="59" spans="1:32" x14ac:dyDescent="0.35">
      <c r="A59" s="8"/>
      <c r="B59" s="8"/>
      <c r="D59"/>
      <c r="E59" s="8"/>
    </row>
    <row r="60" spans="1:32" x14ac:dyDescent="0.35">
      <c r="A60" s="8"/>
      <c r="B60" s="8"/>
      <c r="D60"/>
      <c r="E60" s="8"/>
    </row>
    <row r="61" spans="1:32" x14ac:dyDescent="0.35">
      <c r="A61" s="8"/>
      <c r="B61" s="8"/>
      <c r="D61"/>
      <c r="E61" s="8"/>
    </row>
    <row r="62" spans="1:32" x14ac:dyDescent="0.35">
      <c r="A62" s="8"/>
      <c r="B62" s="8"/>
      <c r="D62"/>
      <c r="E62" s="8"/>
    </row>
    <row r="63" spans="1:32" x14ac:dyDescent="0.35">
      <c r="A63" s="8"/>
      <c r="B63" s="8"/>
      <c r="D63"/>
      <c r="E63" s="8"/>
    </row>
    <row r="64" spans="1:32" x14ac:dyDescent="0.35">
      <c r="A64" s="8"/>
      <c r="B64" s="8"/>
      <c r="D64"/>
      <c r="E64" s="8"/>
    </row>
    <row r="65" spans="1:5" x14ac:dyDescent="0.35">
      <c r="A65" s="8"/>
      <c r="B65" s="8"/>
      <c r="D65"/>
      <c r="E65" s="8"/>
    </row>
    <row r="66" spans="1:5" x14ac:dyDescent="0.35">
      <c r="A66" s="8"/>
      <c r="B66" s="8"/>
      <c r="D66"/>
      <c r="E66" s="8"/>
    </row>
    <row r="67" spans="1:5" x14ac:dyDescent="0.35">
      <c r="A67" s="8"/>
      <c r="B67" s="8"/>
      <c r="D67"/>
      <c r="E67" s="8"/>
    </row>
    <row r="68" spans="1:5" x14ac:dyDescent="0.35">
      <c r="A68" s="8"/>
      <c r="B68" s="8"/>
      <c r="D68"/>
      <c r="E68" s="8"/>
    </row>
    <row r="69" spans="1:5" x14ac:dyDescent="0.35">
      <c r="A69" s="8"/>
      <c r="B69" s="8"/>
      <c r="D69"/>
      <c r="E69" s="8"/>
    </row>
    <row r="70" spans="1:5" x14ac:dyDescent="0.35">
      <c r="A70" s="8"/>
      <c r="B70" s="8"/>
      <c r="D70"/>
      <c r="E70" s="8"/>
    </row>
    <row r="71" spans="1:5" x14ac:dyDescent="0.35">
      <c r="A71" s="8"/>
      <c r="B71" s="8"/>
      <c r="D71"/>
      <c r="E71" s="8"/>
    </row>
    <row r="72" spans="1:5" x14ac:dyDescent="0.35">
      <c r="A72" s="8"/>
      <c r="B72" s="8"/>
      <c r="D72"/>
      <c r="E72" s="8"/>
    </row>
    <row r="73" spans="1:5" x14ac:dyDescent="0.35">
      <c r="A73" s="8"/>
      <c r="B73" s="8"/>
      <c r="D73"/>
      <c r="E73" s="8"/>
    </row>
    <row r="74" spans="1:5" x14ac:dyDescent="0.35">
      <c r="A74" s="8"/>
      <c r="B74" s="8"/>
      <c r="D74"/>
      <c r="E74" s="8"/>
    </row>
    <row r="75" spans="1:5" x14ac:dyDescent="0.35">
      <c r="A75" s="8"/>
      <c r="B75" s="8"/>
      <c r="D75"/>
      <c r="E75" s="8"/>
    </row>
    <row r="76" spans="1:5" x14ac:dyDescent="0.35">
      <c r="A76" s="8"/>
      <c r="B76" s="8"/>
      <c r="D76"/>
      <c r="E76" s="8"/>
    </row>
    <row r="77" spans="1:5" x14ac:dyDescent="0.35">
      <c r="A77" s="8"/>
      <c r="B77" s="8"/>
      <c r="D77"/>
      <c r="E77" s="8"/>
    </row>
    <row r="78" spans="1:5" x14ac:dyDescent="0.35">
      <c r="A78" s="8"/>
      <c r="B78" s="8"/>
      <c r="D78"/>
      <c r="E78" s="8"/>
    </row>
    <row r="79" spans="1:5" x14ac:dyDescent="0.35">
      <c r="A79" s="8"/>
      <c r="B79" s="8"/>
      <c r="D79"/>
      <c r="E79" s="8"/>
    </row>
    <row r="80" spans="1:5" x14ac:dyDescent="0.35">
      <c r="A80" s="8"/>
      <c r="B80" s="8"/>
      <c r="D80"/>
      <c r="E80" s="8"/>
    </row>
    <row r="81" spans="1:5" x14ac:dyDescent="0.35">
      <c r="A81" s="8"/>
      <c r="B81" s="8"/>
      <c r="D81"/>
      <c r="E81" s="8"/>
    </row>
    <row r="82" spans="1:5" x14ac:dyDescent="0.35">
      <c r="A82" s="8"/>
      <c r="B82" s="8"/>
      <c r="D82"/>
      <c r="E82" s="8"/>
    </row>
    <row r="83" spans="1:5" x14ac:dyDescent="0.35">
      <c r="A83" s="8"/>
      <c r="B83" s="8"/>
      <c r="D83"/>
      <c r="E83" s="8"/>
    </row>
    <row r="84" spans="1:5" x14ac:dyDescent="0.35">
      <c r="A84" s="8"/>
      <c r="B84" s="8"/>
      <c r="D84"/>
      <c r="E84" s="8"/>
    </row>
    <row r="85" spans="1:5" x14ac:dyDescent="0.35">
      <c r="A85" s="8"/>
      <c r="B85" s="8"/>
      <c r="D85"/>
      <c r="E85" s="8"/>
    </row>
    <row r="86" spans="1:5" x14ac:dyDescent="0.35">
      <c r="A86" s="8"/>
      <c r="B86" s="8"/>
      <c r="D86"/>
      <c r="E86" s="8"/>
    </row>
    <row r="87" spans="1:5" x14ac:dyDescent="0.35">
      <c r="A87" s="8"/>
      <c r="B87" s="8"/>
      <c r="D87"/>
      <c r="E87" s="8"/>
    </row>
    <row r="88" spans="1:5" x14ac:dyDescent="0.35">
      <c r="A88" s="8"/>
      <c r="B88" s="8"/>
      <c r="D88"/>
      <c r="E88" s="8"/>
    </row>
    <row r="89" spans="1:5" x14ac:dyDescent="0.35">
      <c r="A89" s="8"/>
      <c r="B89" s="8"/>
      <c r="D89"/>
      <c r="E89" s="8"/>
    </row>
    <row r="90" spans="1:5" x14ac:dyDescent="0.35">
      <c r="A90" s="8"/>
      <c r="B90" s="8"/>
      <c r="D90"/>
      <c r="E90" s="8"/>
    </row>
    <row r="91" spans="1:5" x14ac:dyDescent="0.35">
      <c r="A91" s="8"/>
      <c r="B91" s="8"/>
      <c r="D91"/>
      <c r="E91" s="8"/>
    </row>
    <row r="92" spans="1:5" x14ac:dyDescent="0.35">
      <c r="A92" s="8"/>
      <c r="B92" s="8"/>
      <c r="D92"/>
      <c r="E92" s="8"/>
    </row>
    <row r="93" spans="1:5" x14ac:dyDescent="0.35">
      <c r="A93" s="8"/>
      <c r="B93" s="8"/>
      <c r="D93"/>
      <c r="E93" s="8"/>
    </row>
    <row r="94" spans="1:5" x14ac:dyDescent="0.35">
      <c r="A94" s="8"/>
      <c r="B94" s="8"/>
      <c r="D94"/>
      <c r="E94" s="8"/>
    </row>
    <row r="95" spans="1:5" x14ac:dyDescent="0.35">
      <c r="A95" s="8"/>
      <c r="B95" s="8"/>
      <c r="D95"/>
      <c r="E95" s="8"/>
    </row>
    <row r="96" spans="1:5" x14ac:dyDescent="0.35">
      <c r="A96" s="8"/>
      <c r="B96" s="8"/>
      <c r="D96"/>
      <c r="E96" s="8"/>
    </row>
    <row r="97" spans="1:5" x14ac:dyDescent="0.35">
      <c r="A97" s="8"/>
      <c r="B97" s="8"/>
      <c r="D97"/>
      <c r="E97" s="8"/>
    </row>
    <row r="98" spans="1:5" x14ac:dyDescent="0.35">
      <c r="A98" s="8"/>
      <c r="B98" s="8"/>
      <c r="D98"/>
      <c r="E98" s="8"/>
    </row>
    <row r="99" spans="1:5" x14ac:dyDescent="0.35">
      <c r="A99" s="8"/>
      <c r="B99" s="8"/>
      <c r="D99"/>
      <c r="E99" s="8"/>
    </row>
    <row r="100" spans="1:5" x14ac:dyDescent="0.35">
      <c r="A100" s="8"/>
      <c r="B100" s="8"/>
      <c r="D100"/>
      <c r="E100" s="8"/>
    </row>
    <row r="101" spans="1:5" x14ac:dyDescent="0.35">
      <c r="A101" s="8"/>
      <c r="B101" s="8"/>
      <c r="D101"/>
      <c r="E101" s="8"/>
    </row>
    <row r="102" spans="1:5" x14ac:dyDescent="0.35">
      <c r="A102" s="8"/>
      <c r="B102" s="8"/>
      <c r="D102"/>
      <c r="E102" s="8"/>
    </row>
    <row r="103" spans="1:5" x14ac:dyDescent="0.35">
      <c r="A103" s="8"/>
      <c r="B103" s="8"/>
      <c r="D103"/>
      <c r="E103" s="8"/>
    </row>
    <row r="104" spans="1:5" x14ac:dyDescent="0.35">
      <c r="A104" s="8"/>
      <c r="B104" s="8"/>
      <c r="D104"/>
      <c r="E104" s="8"/>
    </row>
    <row r="105" spans="1:5" x14ac:dyDescent="0.35">
      <c r="A105" s="8"/>
      <c r="B105" s="8"/>
      <c r="D105"/>
      <c r="E105" s="8"/>
    </row>
    <row r="106" spans="1:5" x14ac:dyDescent="0.35">
      <c r="A106" s="8"/>
      <c r="B106" s="8"/>
      <c r="D106"/>
      <c r="E106" s="8"/>
    </row>
    <row r="107" spans="1:5" x14ac:dyDescent="0.35">
      <c r="A107" s="8"/>
      <c r="B107" s="8"/>
      <c r="D107"/>
      <c r="E107" s="8"/>
    </row>
    <row r="108" spans="1:5" x14ac:dyDescent="0.35">
      <c r="A108" s="8"/>
      <c r="B108" s="8"/>
      <c r="D108"/>
      <c r="E108" s="8"/>
    </row>
    <row r="109" spans="1:5" x14ac:dyDescent="0.35">
      <c r="A109" s="8"/>
      <c r="B109" s="8"/>
      <c r="D109"/>
      <c r="E109" s="8"/>
    </row>
    <row r="110" spans="1:5" x14ac:dyDescent="0.35">
      <c r="A110" s="8"/>
      <c r="B110" s="8"/>
      <c r="D110"/>
      <c r="E110" s="8"/>
    </row>
    <row r="111" spans="1:5" x14ac:dyDescent="0.35">
      <c r="A111" s="8"/>
      <c r="B111" s="8"/>
      <c r="D111"/>
      <c r="E111" s="8"/>
    </row>
    <row r="112" spans="1:5" x14ac:dyDescent="0.35">
      <c r="A112" s="8"/>
      <c r="B112" s="8"/>
      <c r="D112"/>
      <c r="E112" s="8"/>
    </row>
    <row r="113" spans="1:5" x14ac:dyDescent="0.35">
      <c r="A113" s="8"/>
      <c r="B113" s="8"/>
      <c r="D113"/>
      <c r="E113" s="8"/>
    </row>
    <row r="114" spans="1:5" x14ac:dyDescent="0.35">
      <c r="A114" s="8"/>
      <c r="B114" s="8"/>
      <c r="D114"/>
      <c r="E114" s="8"/>
    </row>
    <row r="115" spans="1:5" x14ac:dyDescent="0.35">
      <c r="A115" s="8"/>
      <c r="B115" s="8"/>
      <c r="D115"/>
      <c r="E115" s="8"/>
    </row>
    <row r="116" spans="1:5" x14ac:dyDescent="0.35">
      <c r="A116" s="8"/>
      <c r="B116" s="8"/>
      <c r="D116"/>
      <c r="E116" s="8"/>
    </row>
    <row r="117" spans="1:5" x14ac:dyDescent="0.35">
      <c r="A117" s="8"/>
      <c r="B117" s="8"/>
      <c r="D117"/>
      <c r="E117" s="8"/>
    </row>
    <row r="118" spans="1:5" x14ac:dyDescent="0.35">
      <c r="A118" s="8"/>
      <c r="B118" s="8"/>
      <c r="D118"/>
      <c r="E118" s="8"/>
    </row>
    <row r="119" spans="1:5" x14ac:dyDescent="0.35">
      <c r="A119" s="8"/>
      <c r="B119" s="8"/>
      <c r="D119"/>
      <c r="E119" s="8"/>
    </row>
    <row r="120" spans="1:5" x14ac:dyDescent="0.35">
      <c r="A120" s="8"/>
      <c r="B120" s="8"/>
      <c r="D120"/>
      <c r="E120" s="8"/>
    </row>
    <row r="121" spans="1:5" x14ac:dyDescent="0.35">
      <c r="A121" s="8"/>
      <c r="B121" s="8"/>
      <c r="D121"/>
      <c r="E121" s="8"/>
    </row>
    <row r="122" spans="1:5" x14ac:dyDescent="0.35">
      <c r="A122" s="8"/>
      <c r="B122" s="8"/>
      <c r="D122"/>
      <c r="E122" s="8"/>
    </row>
    <row r="123" spans="1:5" x14ac:dyDescent="0.35">
      <c r="A123" s="8"/>
      <c r="B123" s="8"/>
      <c r="D123"/>
      <c r="E123" s="8"/>
    </row>
    <row r="124" spans="1:5" x14ac:dyDescent="0.35">
      <c r="A124" s="8"/>
      <c r="B124" s="8"/>
      <c r="D124"/>
      <c r="E124" s="8"/>
    </row>
    <row r="125" spans="1:5" x14ac:dyDescent="0.35">
      <c r="A125" s="8"/>
      <c r="B125" s="8"/>
      <c r="D125"/>
      <c r="E125" s="8"/>
    </row>
    <row r="126" spans="1:5" x14ac:dyDescent="0.35">
      <c r="A126" s="8"/>
      <c r="B126" s="8"/>
      <c r="D126"/>
      <c r="E126" s="8"/>
    </row>
    <row r="127" spans="1:5" x14ac:dyDescent="0.35">
      <c r="A127" s="8"/>
      <c r="B127" s="8"/>
      <c r="D127"/>
      <c r="E127" s="8"/>
    </row>
    <row r="128" spans="1:5" x14ac:dyDescent="0.35">
      <c r="A128" s="8"/>
      <c r="B128" s="8"/>
      <c r="D128"/>
      <c r="E128" s="8"/>
    </row>
    <row r="129" spans="1:5" x14ac:dyDescent="0.35">
      <c r="A129" s="8"/>
      <c r="B129" s="8"/>
      <c r="D129"/>
      <c r="E129" s="8"/>
    </row>
    <row r="130" spans="1:5" x14ac:dyDescent="0.35">
      <c r="A130" s="8"/>
      <c r="B130" s="8"/>
      <c r="D130"/>
      <c r="E130" s="8"/>
    </row>
    <row r="131" spans="1:5" x14ac:dyDescent="0.35">
      <c r="A131" s="8"/>
      <c r="B131" s="8"/>
      <c r="D131"/>
      <c r="E131" s="8"/>
    </row>
    <row r="132" spans="1:5" x14ac:dyDescent="0.35">
      <c r="A132" s="8"/>
      <c r="B132" s="8"/>
      <c r="D132"/>
      <c r="E132" s="8"/>
    </row>
    <row r="133" spans="1:5" x14ac:dyDescent="0.35">
      <c r="A133" s="8"/>
      <c r="B133" s="8"/>
      <c r="D133"/>
      <c r="E133" s="8"/>
    </row>
    <row r="134" spans="1:5" x14ac:dyDescent="0.35">
      <c r="A134" s="8"/>
      <c r="B134" s="8"/>
      <c r="D134"/>
      <c r="E134" s="8"/>
    </row>
    <row r="135" spans="1:5" x14ac:dyDescent="0.35">
      <c r="A135" s="8"/>
      <c r="B135" s="8"/>
      <c r="D135"/>
      <c r="E135" s="8"/>
    </row>
    <row r="136" spans="1:5" x14ac:dyDescent="0.35">
      <c r="A136" s="8"/>
      <c r="B136" s="8"/>
      <c r="D136"/>
      <c r="E136" s="8"/>
    </row>
    <row r="137" spans="1:5" x14ac:dyDescent="0.35">
      <c r="A137" s="8"/>
      <c r="B137" s="8"/>
      <c r="D137"/>
      <c r="E137" s="8"/>
    </row>
    <row r="138" spans="1:5" x14ac:dyDescent="0.35">
      <c r="A138" s="8"/>
      <c r="B138" s="8"/>
      <c r="D138"/>
      <c r="E138" s="8"/>
    </row>
    <row r="139" spans="1:5" x14ac:dyDescent="0.35">
      <c r="A139" s="8"/>
      <c r="B139" s="8"/>
      <c r="D139"/>
      <c r="E139" s="8"/>
    </row>
    <row r="140" spans="1:5" x14ac:dyDescent="0.35">
      <c r="A140" s="8"/>
      <c r="B140" s="8"/>
      <c r="D140"/>
      <c r="E140" s="8"/>
    </row>
    <row r="141" spans="1:5" x14ac:dyDescent="0.35">
      <c r="A141" s="8"/>
      <c r="B141" s="8"/>
      <c r="D141"/>
      <c r="E141" s="8"/>
    </row>
    <row r="142" spans="1:5" x14ac:dyDescent="0.35">
      <c r="A142" s="8"/>
      <c r="B142" s="8"/>
      <c r="D142"/>
      <c r="E142" s="8"/>
    </row>
    <row r="143" spans="1:5" x14ac:dyDescent="0.35">
      <c r="A143" s="8"/>
      <c r="B143" s="8"/>
      <c r="D143"/>
      <c r="E143" s="8"/>
    </row>
    <row r="144" spans="1:5" x14ac:dyDescent="0.35">
      <c r="A144" s="8"/>
      <c r="B144" s="8"/>
      <c r="D144"/>
      <c r="E144" s="8"/>
    </row>
    <row r="145" spans="1:5" x14ac:dyDescent="0.35">
      <c r="A145" s="8"/>
      <c r="B145" s="8"/>
      <c r="D145"/>
      <c r="E145" s="8"/>
    </row>
    <row r="146" spans="1:5" x14ac:dyDescent="0.35">
      <c r="A146" s="8"/>
      <c r="B146" s="8"/>
      <c r="D146"/>
      <c r="E146" s="8"/>
    </row>
    <row r="147" spans="1:5" x14ac:dyDescent="0.35">
      <c r="A147" s="8"/>
      <c r="B147" s="8"/>
      <c r="D147"/>
      <c r="E147" s="8"/>
    </row>
    <row r="148" spans="1:5" x14ac:dyDescent="0.35">
      <c r="A148" s="8"/>
      <c r="B148" s="8"/>
      <c r="D148"/>
      <c r="E148" s="8"/>
    </row>
    <row r="149" spans="1:5" x14ac:dyDescent="0.35">
      <c r="A149" s="8"/>
      <c r="B149" s="8"/>
      <c r="D149"/>
      <c r="E149" s="8"/>
    </row>
    <row r="150" spans="1:5" x14ac:dyDescent="0.35">
      <c r="A150" s="8"/>
      <c r="B150" s="8"/>
      <c r="D150"/>
      <c r="E150" s="8"/>
    </row>
    <row r="151" spans="1:5" x14ac:dyDescent="0.35">
      <c r="A151" s="8"/>
      <c r="B151" s="8"/>
      <c r="D151"/>
      <c r="E151" s="8"/>
    </row>
    <row r="152" spans="1:5" x14ac:dyDescent="0.35">
      <c r="A152" s="8"/>
      <c r="B152" s="8"/>
      <c r="D152"/>
      <c r="E152" s="8"/>
    </row>
    <row r="153" spans="1:5" x14ac:dyDescent="0.35">
      <c r="A153" s="8"/>
      <c r="B153" s="8"/>
      <c r="D153"/>
      <c r="E153" s="8"/>
    </row>
    <row r="154" spans="1:5" x14ac:dyDescent="0.35">
      <c r="A154" s="8"/>
      <c r="B154" s="8"/>
      <c r="D154"/>
      <c r="E154" s="8"/>
    </row>
    <row r="155" spans="1:5" x14ac:dyDescent="0.35">
      <c r="A155" s="8"/>
      <c r="B155" s="8"/>
      <c r="D155"/>
      <c r="E155" s="8"/>
    </row>
    <row r="156" spans="1:5" x14ac:dyDescent="0.35">
      <c r="A156" s="8"/>
      <c r="B156" s="8"/>
      <c r="D156"/>
      <c r="E156" s="8"/>
    </row>
    <row r="157" spans="1:5" x14ac:dyDescent="0.35">
      <c r="A157" s="8"/>
      <c r="B157" s="8"/>
      <c r="D157"/>
      <c r="E157" s="8"/>
    </row>
    <row r="158" spans="1:5" x14ac:dyDescent="0.35">
      <c r="A158" s="8"/>
      <c r="B158" s="8"/>
      <c r="D158"/>
      <c r="E158" s="8"/>
    </row>
    <row r="159" spans="1:5" x14ac:dyDescent="0.35">
      <c r="A159" s="8"/>
      <c r="B159" s="8"/>
      <c r="D159"/>
      <c r="E159" s="8"/>
    </row>
    <row r="160" spans="1:5" x14ac:dyDescent="0.35">
      <c r="A160" s="8"/>
      <c r="B160" s="8"/>
      <c r="D160"/>
      <c r="E160" s="8"/>
    </row>
    <row r="161" spans="1:5" x14ac:dyDescent="0.35">
      <c r="A161" s="8"/>
      <c r="B161" s="8"/>
      <c r="D161"/>
      <c r="E161" s="8"/>
    </row>
    <row r="162" spans="1:5" x14ac:dyDescent="0.35">
      <c r="A162" s="8"/>
      <c r="B162" s="8"/>
      <c r="D162"/>
      <c r="E162" s="8"/>
    </row>
    <row r="163" spans="1:5" x14ac:dyDescent="0.35">
      <c r="A163" s="8"/>
      <c r="B163" s="8"/>
      <c r="D163"/>
      <c r="E163" s="8"/>
    </row>
    <row r="164" spans="1:5" x14ac:dyDescent="0.35">
      <c r="A164" s="8"/>
      <c r="B164" s="8"/>
      <c r="D164"/>
      <c r="E164" s="8"/>
    </row>
    <row r="165" spans="1:5" x14ac:dyDescent="0.35">
      <c r="A165" s="8"/>
      <c r="B165" s="8"/>
      <c r="D165"/>
      <c r="E165" s="8"/>
    </row>
    <row r="166" spans="1:5" x14ac:dyDescent="0.35">
      <c r="A166" s="8"/>
      <c r="B166" s="8"/>
      <c r="D166"/>
      <c r="E166" s="8"/>
    </row>
    <row r="167" spans="1:5" x14ac:dyDescent="0.35">
      <c r="A167" s="8"/>
      <c r="B167" s="8"/>
      <c r="D167"/>
      <c r="E167" s="8"/>
    </row>
    <row r="168" spans="1:5" x14ac:dyDescent="0.35">
      <c r="A168" s="8"/>
      <c r="B168" s="8"/>
      <c r="D168"/>
      <c r="E168" s="8"/>
    </row>
    <row r="169" spans="1:5" x14ac:dyDescent="0.35">
      <c r="A169" s="8"/>
      <c r="B169" s="8"/>
      <c r="D169"/>
      <c r="E169" s="8"/>
    </row>
    <row r="170" spans="1:5" x14ac:dyDescent="0.35">
      <c r="A170" s="8"/>
      <c r="B170" s="8"/>
      <c r="D170"/>
      <c r="E170" s="8"/>
    </row>
    <row r="171" spans="1:5" x14ac:dyDescent="0.35">
      <c r="A171" s="8"/>
      <c r="B171" s="8"/>
      <c r="D171"/>
      <c r="E171" s="8"/>
    </row>
    <row r="172" spans="1:5" x14ac:dyDescent="0.35">
      <c r="A172" s="8"/>
      <c r="B172" s="8"/>
      <c r="D172"/>
      <c r="E172" s="8"/>
    </row>
    <row r="173" spans="1:5" x14ac:dyDescent="0.35">
      <c r="A173" s="8"/>
      <c r="B173" s="8"/>
      <c r="D173"/>
      <c r="E173" s="8"/>
    </row>
    <row r="174" spans="1:5" x14ac:dyDescent="0.35">
      <c r="A174" s="8"/>
      <c r="B174" s="8"/>
      <c r="D174"/>
      <c r="E174" s="8"/>
    </row>
    <row r="175" spans="1:5" x14ac:dyDescent="0.35">
      <c r="A175" s="8"/>
      <c r="B175" s="8"/>
      <c r="D175"/>
      <c r="E175" s="8"/>
    </row>
    <row r="176" spans="1:5" x14ac:dyDescent="0.35">
      <c r="A176" s="8"/>
      <c r="B176" s="8"/>
      <c r="D176"/>
      <c r="E176" s="8"/>
    </row>
    <row r="177" spans="1:5" x14ac:dyDescent="0.35">
      <c r="A177" s="8"/>
      <c r="B177" s="8"/>
      <c r="D177"/>
      <c r="E177" s="8"/>
    </row>
    <row r="178" spans="1:5" x14ac:dyDescent="0.35">
      <c r="A178" s="8"/>
      <c r="B178" s="8"/>
      <c r="D178"/>
      <c r="E178" s="8"/>
    </row>
    <row r="179" spans="1:5" x14ac:dyDescent="0.35">
      <c r="A179" s="8"/>
      <c r="B179" s="8"/>
      <c r="D179"/>
      <c r="E179" s="8"/>
    </row>
    <row r="180" spans="1:5" x14ac:dyDescent="0.35">
      <c r="A180" s="8"/>
      <c r="B180" s="8"/>
      <c r="D180"/>
      <c r="E180" s="8"/>
    </row>
    <row r="181" spans="1:5" x14ac:dyDescent="0.35">
      <c r="A181" s="8"/>
      <c r="B181" s="8"/>
      <c r="D181"/>
      <c r="E181" s="8"/>
    </row>
    <row r="182" spans="1:5" x14ac:dyDescent="0.35">
      <c r="A182" s="8"/>
      <c r="B182" s="8"/>
      <c r="D182"/>
      <c r="E182" s="8"/>
    </row>
    <row r="183" spans="1:5" x14ac:dyDescent="0.35">
      <c r="A183" s="8"/>
      <c r="B183" s="8"/>
      <c r="D183"/>
      <c r="E183" s="8"/>
    </row>
    <row r="184" spans="1:5" x14ac:dyDescent="0.35">
      <c r="A184" s="8"/>
      <c r="B184" s="8"/>
      <c r="D184"/>
      <c r="E184" s="8"/>
    </row>
    <row r="185" spans="1:5" x14ac:dyDescent="0.35">
      <c r="A185" s="8"/>
      <c r="B185" s="8"/>
      <c r="D185"/>
      <c r="E185" s="8"/>
    </row>
    <row r="186" spans="1:5" x14ac:dyDescent="0.35">
      <c r="A186" s="8"/>
      <c r="B186" s="8"/>
      <c r="D186"/>
      <c r="E186" s="8"/>
    </row>
    <row r="187" spans="1:5" x14ac:dyDescent="0.35">
      <c r="A187" s="8"/>
      <c r="B187" s="8"/>
      <c r="D187"/>
      <c r="E187" s="8"/>
    </row>
    <row r="188" spans="1:5" x14ac:dyDescent="0.35">
      <c r="A188" s="8"/>
      <c r="B188" s="8"/>
      <c r="D188"/>
      <c r="E188" s="8"/>
    </row>
    <row r="189" spans="1:5" x14ac:dyDescent="0.35">
      <c r="A189" s="8"/>
      <c r="B189" s="8"/>
      <c r="D189"/>
      <c r="E189" s="8"/>
    </row>
    <row r="190" spans="1:5" x14ac:dyDescent="0.35">
      <c r="A190" s="8"/>
      <c r="B190" s="8"/>
      <c r="D190"/>
      <c r="E190" s="8"/>
    </row>
    <row r="191" spans="1:5" x14ac:dyDescent="0.35">
      <c r="A191" s="8"/>
      <c r="B191" s="8"/>
      <c r="D191"/>
      <c r="E191" s="8"/>
    </row>
    <row r="192" spans="1:5" x14ac:dyDescent="0.35">
      <c r="A192" s="8"/>
      <c r="B192" s="8"/>
      <c r="D192"/>
      <c r="E192" s="8"/>
    </row>
    <row r="193" spans="1:5" x14ac:dyDescent="0.35">
      <c r="A193" s="8"/>
      <c r="B193" s="8"/>
      <c r="D193"/>
      <c r="E193" s="8"/>
    </row>
    <row r="194" spans="1:5" x14ac:dyDescent="0.35">
      <c r="A194" s="8"/>
      <c r="B194" s="8"/>
      <c r="D194"/>
      <c r="E194" s="8"/>
    </row>
    <row r="195" spans="1:5" x14ac:dyDescent="0.35">
      <c r="A195" s="8"/>
      <c r="B195" s="8"/>
      <c r="D195"/>
      <c r="E195" s="8"/>
    </row>
    <row r="196" spans="1:5" x14ac:dyDescent="0.35">
      <c r="A196" s="8"/>
      <c r="B196" s="8"/>
      <c r="D196"/>
      <c r="E196" s="8"/>
    </row>
    <row r="197" spans="1:5" x14ac:dyDescent="0.35">
      <c r="A197" s="8"/>
      <c r="B197" s="8"/>
      <c r="D197"/>
      <c r="E197" s="8"/>
    </row>
    <row r="198" spans="1:5" x14ac:dyDescent="0.35">
      <c r="A198" s="8"/>
      <c r="B198" s="8"/>
      <c r="D198"/>
      <c r="E198" s="8"/>
    </row>
    <row r="199" spans="1:5" x14ac:dyDescent="0.35">
      <c r="A199" s="8"/>
      <c r="B199" s="8"/>
      <c r="D199"/>
      <c r="E199" s="8"/>
    </row>
    <row r="200" spans="1:5" x14ac:dyDescent="0.35">
      <c r="A200" s="8"/>
      <c r="B200" s="8"/>
      <c r="D200"/>
      <c r="E200" s="8"/>
    </row>
    <row r="201" spans="1:5" x14ac:dyDescent="0.35">
      <c r="A201" s="8"/>
      <c r="B201" s="8"/>
      <c r="D201"/>
      <c r="E201" s="8"/>
    </row>
    <row r="202" spans="1:5" x14ac:dyDescent="0.35">
      <c r="A202" s="8"/>
      <c r="B202" s="8"/>
      <c r="D202"/>
      <c r="E202" s="8"/>
    </row>
    <row r="203" spans="1:5" x14ac:dyDescent="0.35">
      <c r="A203" s="8"/>
      <c r="B203" s="8"/>
      <c r="D203"/>
      <c r="E203" s="8"/>
    </row>
    <row r="204" spans="1:5" x14ac:dyDescent="0.35">
      <c r="A204" s="8"/>
      <c r="B204" s="8"/>
      <c r="D204"/>
      <c r="E204" s="8"/>
    </row>
    <row r="205" spans="1:5" x14ac:dyDescent="0.35">
      <c r="A205" s="8"/>
      <c r="B205" s="8"/>
      <c r="D205"/>
      <c r="E205" s="8"/>
    </row>
    <row r="206" spans="1:5" x14ac:dyDescent="0.35">
      <c r="A206" s="8"/>
      <c r="B206" s="8"/>
      <c r="D206"/>
      <c r="E206" s="8"/>
    </row>
    <row r="207" spans="1:5" x14ac:dyDescent="0.35">
      <c r="A207" s="8"/>
      <c r="B207" s="8"/>
      <c r="D207"/>
      <c r="E207" s="8"/>
    </row>
    <row r="208" spans="1:5" x14ac:dyDescent="0.35">
      <c r="A208" s="8"/>
      <c r="B208" s="8"/>
      <c r="D208"/>
      <c r="E208" s="8"/>
    </row>
    <row r="209" spans="1:5" x14ac:dyDescent="0.35">
      <c r="A209" s="8"/>
      <c r="B209" s="8"/>
      <c r="D209"/>
      <c r="E209" s="8"/>
    </row>
    <row r="210" spans="1:5" x14ac:dyDescent="0.35">
      <c r="A210" s="8"/>
      <c r="B210" s="8"/>
      <c r="D210"/>
      <c r="E210" s="8"/>
    </row>
    <row r="211" spans="1:5" x14ac:dyDescent="0.35">
      <c r="A211" s="8"/>
      <c r="B211" s="8"/>
      <c r="D211"/>
      <c r="E211" s="8"/>
    </row>
    <row r="212" spans="1:5" x14ac:dyDescent="0.35">
      <c r="A212" s="8"/>
      <c r="B212" s="8"/>
      <c r="D212"/>
      <c r="E212" s="8"/>
    </row>
    <row r="213" spans="1:5" x14ac:dyDescent="0.35">
      <c r="A213" s="8"/>
      <c r="B213" s="8"/>
      <c r="D213"/>
      <c r="E213" s="8"/>
    </row>
    <row r="214" spans="1:5" x14ac:dyDescent="0.35">
      <c r="A214" s="8"/>
      <c r="B214" s="8"/>
      <c r="D214"/>
      <c r="E214" s="8"/>
    </row>
    <row r="215" spans="1:5" x14ac:dyDescent="0.35">
      <c r="A215" s="8"/>
      <c r="B215" s="8"/>
      <c r="D215"/>
      <c r="E215" s="8"/>
    </row>
    <row r="216" spans="1:5" x14ac:dyDescent="0.35">
      <c r="A216" s="8"/>
      <c r="B216" s="8"/>
      <c r="D216"/>
      <c r="E216" s="8"/>
    </row>
    <row r="217" spans="1:5" x14ac:dyDescent="0.35">
      <c r="A217" s="8"/>
      <c r="B217" s="8"/>
      <c r="D217"/>
      <c r="E217" s="8"/>
    </row>
    <row r="218" spans="1:5" x14ac:dyDescent="0.35">
      <c r="A218" s="8"/>
      <c r="B218" s="8"/>
      <c r="D218"/>
      <c r="E218" s="8"/>
    </row>
    <row r="219" spans="1:5" x14ac:dyDescent="0.35">
      <c r="A219" s="8"/>
      <c r="B219" s="8"/>
      <c r="D219"/>
      <c r="E219" s="8"/>
    </row>
    <row r="220" spans="1:5" x14ac:dyDescent="0.35">
      <c r="A220" s="8"/>
      <c r="B220" s="8"/>
      <c r="D220"/>
      <c r="E220" s="8"/>
    </row>
    <row r="221" spans="1:5" x14ac:dyDescent="0.35">
      <c r="A221" s="8"/>
      <c r="B221" s="8"/>
      <c r="D221"/>
      <c r="E221" s="8"/>
    </row>
    <row r="222" spans="1:5" x14ac:dyDescent="0.35">
      <c r="A222" s="8"/>
      <c r="B222" s="8"/>
      <c r="D222"/>
      <c r="E222" s="8"/>
    </row>
    <row r="223" spans="1:5" x14ac:dyDescent="0.35">
      <c r="A223" s="8"/>
      <c r="B223" s="8"/>
      <c r="D223"/>
      <c r="E223" s="8"/>
    </row>
    <row r="224" spans="1:5" x14ac:dyDescent="0.35">
      <c r="A224" s="8"/>
      <c r="B224" s="8"/>
      <c r="D224"/>
      <c r="E224" s="8"/>
    </row>
    <row r="225" spans="1:5" x14ac:dyDescent="0.35">
      <c r="A225" s="8"/>
      <c r="B225" s="8"/>
      <c r="D225"/>
      <c r="E225" s="8"/>
    </row>
    <row r="226" spans="1:5" x14ac:dyDescent="0.35">
      <c r="A226" s="8"/>
      <c r="B226" s="8"/>
      <c r="D226"/>
      <c r="E226" s="8"/>
    </row>
    <row r="227" spans="1:5" x14ac:dyDescent="0.35">
      <c r="A227" s="8"/>
      <c r="B227" s="8"/>
      <c r="D227"/>
      <c r="E227" s="8"/>
    </row>
    <row r="228" spans="1:5" x14ac:dyDescent="0.35">
      <c r="A228" s="8"/>
      <c r="B228" s="8"/>
      <c r="D228"/>
      <c r="E228" s="8"/>
    </row>
    <row r="229" spans="1:5" x14ac:dyDescent="0.35">
      <c r="A229" s="8"/>
      <c r="B229" s="8"/>
      <c r="D229"/>
      <c r="E229" s="8"/>
    </row>
    <row r="230" spans="1:5" x14ac:dyDescent="0.35">
      <c r="A230" s="8"/>
      <c r="B230" s="8"/>
      <c r="D230"/>
      <c r="E230" s="8"/>
    </row>
    <row r="231" spans="1:5" x14ac:dyDescent="0.35">
      <c r="A231" s="8"/>
      <c r="B231" s="8"/>
      <c r="D231"/>
      <c r="E231" s="8"/>
    </row>
    <row r="232" spans="1:5" x14ac:dyDescent="0.35">
      <c r="A232" s="8"/>
      <c r="B232" s="8"/>
      <c r="D232"/>
      <c r="E232" s="8"/>
    </row>
    <row r="233" spans="1:5" x14ac:dyDescent="0.35">
      <c r="A233" s="8"/>
      <c r="B233" s="8"/>
      <c r="D233"/>
      <c r="E233" s="8"/>
    </row>
    <row r="234" spans="1:5" x14ac:dyDescent="0.35">
      <c r="A234" s="8"/>
      <c r="B234" s="8"/>
      <c r="D234"/>
      <c r="E234" s="8"/>
    </row>
    <row r="235" spans="1:5" x14ac:dyDescent="0.35">
      <c r="A235" s="8"/>
      <c r="B235" s="8"/>
      <c r="D235"/>
      <c r="E235" s="8"/>
    </row>
    <row r="236" spans="1:5" x14ac:dyDescent="0.35">
      <c r="A236" s="8"/>
      <c r="B236" s="8"/>
      <c r="D236"/>
      <c r="E236" s="8"/>
    </row>
    <row r="237" spans="1:5" x14ac:dyDescent="0.35">
      <c r="A237" s="8"/>
      <c r="B237" s="8"/>
      <c r="D237"/>
      <c r="E237" s="8"/>
    </row>
    <row r="238" spans="1:5" x14ac:dyDescent="0.35">
      <c r="A238" s="8"/>
      <c r="B238" s="8"/>
      <c r="D238"/>
      <c r="E238" s="8"/>
    </row>
    <row r="239" spans="1:5" x14ac:dyDescent="0.35">
      <c r="A239" s="8"/>
      <c r="B239" s="8"/>
      <c r="D239"/>
      <c r="E239" s="8"/>
    </row>
    <row r="240" spans="1:5" x14ac:dyDescent="0.35">
      <c r="A240" s="8"/>
      <c r="B240" s="8"/>
      <c r="D240"/>
      <c r="E240" s="8"/>
    </row>
    <row r="241" spans="1:5" x14ac:dyDescent="0.35">
      <c r="A241" s="8"/>
      <c r="B241" s="8"/>
      <c r="D241"/>
      <c r="E241" s="8"/>
    </row>
    <row r="242" spans="1:5" x14ac:dyDescent="0.35">
      <c r="A242" s="8"/>
      <c r="B242" s="8"/>
      <c r="D242"/>
      <c r="E242" s="8"/>
    </row>
    <row r="243" spans="1:5" x14ac:dyDescent="0.35">
      <c r="A243" s="8"/>
      <c r="B243" s="8"/>
      <c r="D243"/>
      <c r="E243" s="8"/>
    </row>
    <row r="244" spans="1:5" x14ac:dyDescent="0.35">
      <c r="A244" s="8"/>
      <c r="B244" s="8"/>
      <c r="D244"/>
      <c r="E244" s="8"/>
    </row>
    <row r="245" spans="1:5" x14ac:dyDescent="0.35">
      <c r="A245" s="8"/>
      <c r="B245" s="8"/>
      <c r="D245"/>
      <c r="E245" s="8"/>
    </row>
    <row r="246" spans="1:5" x14ac:dyDescent="0.35">
      <c r="A246" s="8"/>
      <c r="B246" s="8"/>
      <c r="D246"/>
      <c r="E246" s="8"/>
    </row>
    <row r="247" spans="1:5" x14ac:dyDescent="0.35">
      <c r="A247" s="8"/>
      <c r="B247" s="8"/>
      <c r="D247"/>
      <c r="E247" s="8"/>
    </row>
    <row r="248" spans="1:5" x14ac:dyDescent="0.35">
      <c r="A248" s="8"/>
      <c r="B248" s="8"/>
      <c r="D248"/>
      <c r="E248" s="8"/>
    </row>
    <row r="249" spans="1:5" x14ac:dyDescent="0.35">
      <c r="A249" s="8"/>
      <c r="B249" s="8"/>
      <c r="D249"/>
      <c r="E249" s="8"/>
    </row>
    <row r="250" spans="1:5" x14ac:dyDescent="0.35">
      <c r="A250" s="8"/>
      <c r="B250" s="8"/>
      <c r="D250"/>
      <c r="E250" s="8"/>
    </row>
    <row r="251" spans="1:5" x14ac:dyDescent="0.35">
      <c r="A251" s="8"/>
      <c r="B251" s="8"/>
      <c r="D251"/>
      <c r="E251" s="8"/>
    </row>
    <row r="252" spans="1:5" x14ac:dyDescent="0.35">
      <c r="A252" s="8"/>
      <c r="B252" s="8"/>
      <c r="D252"/>
      <c r="E252" s="8"/>
    </row>
    <row r="253" spans="1:5" x14ac:dyDescent="0.35">
      <c r="A253" s="8"/>
      <c r="B253" s="8"/>
      <c r="D253"/>
      <c r="E253" s="8"/>
    </row>
    <row r="254" spans="1:5" x14ac:dyDescent="0.35">
      <c r="A254" s="8"/>
      <c r="B254" s="8"/>
      <c r="D254"/>
      <c r="E254" s="8"/>
    </row>
    <row r="255" spans="1:5" x14ac:dyDescent="0.35">
      <c r="A255" s="8"/>
      <c r="B255" s="8"/>
      <c r="D255"/>
      <c r="E255" s="8"/>
    </row>
    <row r="256" spans="1:5" x14ac:dyDescent="0.35">
      <c r="A256" s="8"/>
      <c r="B256" s="8"/>
      <c r="D256"/>
      <c r="E256" s="8"/>
    </row>
    <row r="257" spans="1:5" x14ac:dyDescent="0.35">
      <c r="A257" s="8"/>
      <c r="B257" s="8"/>
      <c r="D257"/>
      <c r="E257" s="8"/>
    </row>
    <row r="258" spans="1:5" x14ac:dyDescent="0.35">
      <c r="A258" s="8"/>
      <c r="B258" s="8"/>
      <c r="D258"/>
      <c r="E258" s="8"/>
    </row>
    <row r="259" spans="1:5" x14ac:dyDescent="0.35">
      <c r="A259" s="8"/>
      <c r="B259" s="8"/>
      <c r="D259"/>
      <c r="E259" s="8"/>
    </row>
    <row r="260" spans="1:5" x14ac:dyDescent="0.35">
      <c r="A260" s="8"/>
      <c r="B260" s="8"/>
      <c r="D260"/>
      <c r="E260" s="8"/>
    </row>
    <row r="261" spans="1:5" x14ac:dyDescent="0.35">
      <c r="A261" s="8"/>
      <c r="B261" s="8"/>
      <c r="D261"/>
      <c r="E261" s="8"/>
    </row>
    <row r="262" spans="1:5" x14ac:dyDescent="0.35">
      <c r="A262" s="8"/>
      <c r="B262" s="8"/>
      <c r="D262"/>
      <c r="E262" s="8"/>
    </row>
    <row r="263" spans="1:5" x14ac:dyDescent="0.35">
      <c r="A263" s="8"/>
      <c r="B263" s="8"/>
      <c r="D263"/>
      <c r="E263" s="8"/>
    </row>
    <row r="264" spans="1:5" x14ac:dyDescent="0.35">
      <c r="A264" s="8"/>
      <c r="B264" s="8"/>
      <c r="D264"/>
      <c r="E264" s="8"/>
    </row>
    <row r="265" spans="1:5" x14ac:dyDescent="0.35">
      <c r="A265" s="8"/>
      <c r="B265" s="8"/>
      <c r="D265"/>
      <c r="E265" s="8"/>
    </row>
    <row r="266" spans="1:5" x14ac:dyDescent="0.35">
      <c r="A266" s="8"/>
      <c r="B266" s="8"/>
      <c r="D266"/>
      <c r="E266" s="8"/>
    </row>
    <row r="267" spans="1:5" x14ac:dyDescent="0.35">
      <c r="A267" s="8"/>
      <c r="B267" s="8"/>
      <c r="D267"/>
      <c r="E267" s="8"/>
    </row>
    <row r="268" spans="1:5" x14ac:dyDescent="0.35">
      <c r="A268" s="8"/>
      <c r="B268" s="8"/>
      <c r="D268"/>
      <c r="E268" s="8"/>
    </row>
    <row r="269" spans="1:5" x14ac:dyDescent="0.35">
      <c r="A269" s="8"/>
      <c r="B269" s="8"/>
      <c r="D269"/>
      <c r="E269" s="8"/>
    </row>
    <row r="270" spans="1:5" x14ac:dyDescent="0.35">
      <c r="A270" s="8"/>
      <c r="B270" s="8"/>
      <c r="D270"/>
      <c r="E270" s="8"/>
    </row>
    <row r="271" spans="1:5" x14ac:dyDescent="0.35">
      <c r="A271" s="8"/>
      <c r="B271" s="8"/>
      <c r="D271"/>
      <c r="E271" s="8"/>
    </row>
    <row r="272" spans="1:5" x14ac:dyDescent="0.35">
      <c r="A272" s="8"/>
      <c r="B272" s="8"/>
      <c r="D272"/>
      <c r="E272" s="8"/>
    </row>
    <row r="273" spans="1:5" x14ac:dyDescent="0.35">
      <c r="A273" s="8"/>
      <c r="B273" s="8"/>
      <c r="D273"/>
      <c r="E273" s="8"/>
    </row>
    <row r="274" spans="1:5" x14ac:dyDescent="0.35">
      <c r="A274" s="8"/>
      <c r="B274" s="8"/>
      <c r="D274"/>
      <c r="E274" s="8"/>
    </row>
    <row r="275" spans="1:5" x14ac:dyDescent="0.35">
      <c r="A275" s="8"/>
      <c r="B275" s="8"/>
      <c r="D275"/>
      <c r="E275" s="8"/>
    </row>
    <row r="276" spans="1:5" x14ac:dyDescent="0.35">
      <c r="A276" s="8"/>
      <c r="B276" s="8"/>
      <c r="D276"/>
      <c r="E276" s="8"/>
    </row>
    <row r="277" spans="1:5" x14ac:dyDescent="0.35">
      <c r="A277" s="8"/>
      <c r="B277" s="8"/>
      <c r="D277"/>
      <c r="E277" s="8"/>
    </row>
    <row r="278" spans="1:5" x14ac:dyDescent="0.35">
      <c r="A278" s="8"/>
      <c r="B278" s="8"/>
      <c r="D278"/>
      <c r="E278" s="8"/>
    </row>
    <row r="279" spans="1:5" x14ac:dyDescent="0.35">
      <c r="A279" s="8"/>
      <c r="B279" s="8"/>
      <c r="D279"/>
      <c r="E279" s="8"/>
    </row>
    <row r="280" spans="1:5" x14ac:dyDescent="0.35">
      <c r="A280" s="8"/>
      <c r="B280" s="8"/>
      <c r="D280"/>
      <c r="E280" s="8"/>
    </row>
    <row r="281" spans="1:5" x14ac:dyDescent="0.35">
      <c r="A281" s="8"/>
      <c r="B281" s="8"/>
      <c r="D281"/>
      <c r="E281" s="8"/>
    </row>
    <row r="282" spans="1:5" x14ac:dyDescent="0.35">
      <c r="A282" s="8"/>
      <c r="B282" s="8"/>
      <c r="D282"/>
      <c r="E282" s="8"/>
    </row>
    <row r="283" spans="1:5" x14ac:dyDescent="0.35">
      <c r="A283" s="8"/>
      <c r="B283" s="8"/>
      <c r="D283"/>
      <c r="E283" s="8"/>
    </row>
    <row r="284" spans="1:5" x14ac:dyDescent="0.35">
      <c r="A284" s="8"/>
      <c r="B284" s="8"/>
      <c r="D284"/>
      <c r="E284" s="8"/>
    </row>
    <row r="285" spans="1:5" x14ac:dyDescent="0.35">
      <c r="A285" s="8"/>
      <c r="B285" s="8"/>
      <c r="D285"/>
      <c r="E285" s="8"/>
    </row>
    <row r="286" spans="1:5" x14ac:dyDescent="0.35">
      <c r="A286" s="8"/>
      <c r="B286" s="8"/>
      <c r="D286"/>
      <c r="E286" s="8"/>
    </row>
    <row r="287" spans="1:5" x14ac:dyDescent="0.35">
      <c r="A287" s="8"/>
      <c r="B287" s="8"/>
      <c r="D287"/>
      <c r="E287" s="8"/>
    </row>
    <row r="288" spans="1:5" x14ac:dyDescent="0.35">
      <c r="A288" s="8"/>
      <c r="B288" s="8"/>
      <c r="D288"/>
      <c r="E288" s="8"/>
    </row>
    <row r="289" spans="1:5" x14ac:dyDescent="0.35">
      <c r="A289" s="8"/>
      <c r="B289" s="8"/>
      <c r="D289"/>
      <c r="E289" s="8"/>
    </row>
    <row r="290" spans="1:5" x14ac:dyDescent="0.35">
      <c r="A290" s="8"/>
      <c r="B290" s="8"/>
      <c r="D290"/>
      <c r="E290" s="8"/>
    </row>
    <row r="291" spans="1:5" x14ac:dyDescent="0.35">
      <c r="A291" s="8"/>
      <c r="B291" s="8"/>
      <c r="D291"/>
      <c r="E291" s="8"/>
    </row>
    <row r="292" spans="1:5" x14ac:dyDescent="0.35">
      <c r="A292" s="8"/>
      <c r="B292" s="8"/>
      <c r="D292"/>
      <c r="E292" s="8"/>
    </row>
    <row r="293" spans="1:5" x14ac:dyDescent="0.35">
      <c r="A293" s="8"/>
      <c r="B293" s="8"/>
      <c r="D293"/>
      <c r="E293" s="8"/>
    </row>
    <row r="294" spans="1:5" x14ac:dyDescent="0.35">
      <c r="A294" s="8"/>
      <c r="B294" s="8"/>
      <c r="D294"/>
      <c r="E294" s="8"/>
    </row>
    <row r="295" spans="1:5" x14ac:dyDescent="0.35">
      <c r="A295" s="8"/>
      <c r="B295" s="8"/>
      <c r="D295"/>
      <c r="E295" s="8"/>
    </row>
    <row r="296" spans="1:5" x14ac:dyDescent="0.35">
      <c r="A296" s="8"/>
      <c r="B296" s="8"/>
      <c r="D296"/>
      <c r="E296" s="8"/>
    </row>
    <row r="297" spans="1:5" x14ac:dyDescent="0.35">
      <c r="A297" s="8"/>
      <c r="B297" s="8"/>
      <c r="D297"/>
      <c r="E297" s="8"/>
    </row>
    <row r="298" spans="1:5" x14ac:dyDescent="0.35">
      <c r="A298" s="8"/>
      <c r="B298" s="8"/>
      <c r="D298"/>
      <c r="E298" s="8"/>
    </row>
    <row r="299" spans="1:5" x14ac:dyDescent="0.35">
      <c r="A299" s="8"/>
      <c r="B299" s="8"/>
      <c r="D299"/>
      <c r="E299" s="8"/>
    </row>
    <row r="300" spans="1:5" x14ac:dyDescent="0.35">
      <c r="A300" s="8"/>
      <c r="B300" s="8"/>
      <c r="D300"/>
      <c r="E300" s="8"/>
    </row>
    <row r="301" spans="1:5" x14ac:dyDescent="0.35">
      <c r="A301" s="8"/>
      <c r="B301" s="8"/>
      <c r="D301"/>
      <c r="E301" s="8"/>
    </row>
    <row r="302" spans="1:5" x14ac:dyDescent="0.35">
      <c r="A302" s="8"/>
      <c r="B302" s="8"/>
      <c r="D302"/>
      <c r="E302" s="8"/>
    </row>
    <row r="303" spans="1:5" x14ac:dyDescent="0.35">
      <c r="A303" s="8"/>
      <c r="B303" s="8"/>
      <c r="D303"/>
      <c r="E303" s="8"/>
    </row>
    <row r="304" spans="1:5" x14ac:dyDescent="0.35">
      <c r="A304" s="8"/>
      <c r="B304" s="8"/>
      <c r="D304"/>
      <c r="E304" s="8"/>
    </row>
    <row r="305" spans="1:5" x14ac:dyDescent="0.35">
      <c r="A305" s="8"/>
      <c r="B305" s="8"/>
      <c r="D305"/>
      <c r="E305" s="8"/>
    </row>
    <row r="306" spans="1:5" x14ac:dyDescent="0.35">
      <c r="A306" s="8"/>
      <c r="B306" s="8"/>
      <c r="D306"/>
      <c r="E306" s="8"/>
    </row>
    <row r="307" spans="1:5" x14ac:dyDescent="0.35">
      <c r="A307" s="8"/>
      <c r="B307" s="8"/>
      <c r="D307"/>
      <c r="E307" s="8"/>
    </row>
    <row r="308" spans="1:5" x14ac:dyDescent="0.35">
      <c r="A308" s="8"/>
      <c r="B308" s="8"/>
      <c r="D308"/>
      <c r="E308" s="8"/>
    </row>
    <row r="309" spans="1:5" x14ac:dyDescent="0.35">
      <c r="A309" s="8"/>
      <c r="B309" s="8"/>
      <c r="D309"/>
      <c r="E309" s="8"/>
    </row>
    <row r="310" spans="1:5" x14ac:dyDescent="0.35">
      <c r="A310" s="8"/>
      <c r="B310" s="8"/>
      <c r="D310"/>
      <c r="E310" s="8"/>
    </row>
    <row r="311" spans="1:5" x14ac:dyDescent="0.35">
      <c r="A311" s="8"/>
      <c r="B311" s="8"/>
      <c r="D311"/>
      <c r="E311" s="8"/>
    </row>
    <row r="312" spans="1:5" x14ac:dyDescent="0.35">
      <c r="A312" s="8"/>
      <c r="B312" s="8"/>
      <c r="D312"/>
      <c r="E312" s="8"/>
    </row>
    <row r="313" spans="1:5" x14ac:dyDescent="0.35">
      <c r="A313" s="8"/>
      <c r="B313" s="8"/>
      <c r="D313"/>
      <c r="E313" s="8"/>
    </row>
    <row r="314" spans="1:5" x14ac:dyDescent="0.35">
      <c r="A314" s="8"/>
      <c r="B314" s="8"/>
      <c r="D314"/>
      <c r="E314" s="8"/>
    </row>
    <row r="315" spans="1:5" x14ac:dyDescent="0.35">
      <c r="A315" s="8"/>
      <c r="B315" s="8"/>
      <c r="D315"/>
      <c r="E315" s="8"/>
    </row>
    <row r="316" spans="1:5" x14ac:dyDescent="0.35">
      <c r="A316" s="8"/>
      <c r="B316" s="8"/>
      <c r="D316"/>
      <c r="E316" s="8"/>
    </row>
    <row r="317" spans="1:5" x14ac:dyDescent="0.35">
      <c r="A317" s="8"/>
      <c r="B317" s="8"/>
      <c r="D317"/>
      <c r="E317" s="8"/>
    </row>
    <row r="318" spans="1:5" x14ac:dyDescent="0.35">
      <c r="A318" s="8"/>
      <c r="B318" s="8"/>
      <c r="D318"/>
      <c r="E318" s="8"/>
    </row>
    <row r="319" spans="1:5" x14ac:dyDescent="0.35">
      <c r="A319" s="8"/>
      <c r="B319" s="8"/>
      <c r="D319"/>
      <c r="E319" s="8"/>
    </row>
    <row r="320" spans="1:5" x14ac:dyDescent="0.35">
      <c r="A320" s="8"/>
      <c r="B320" s="8"/>
      <c r="D320"/>
      <c r="E320" s="8"/>
    </row>
    <row r="321" spans="1:5" x14ac:dyDescent="0.35">
      <c r="A321" s="8"/>
      <c r="B321" s="8"/>
      <c r="D321"/>
      <c r="E321" s="8"/>
    </row>
    <row r="322" spans="1:5" x14ac:dyDescent="0.35">
      <c r="A322" s="8"/>
      <c r="B322" s="8"/>
      <c r="D322"/>
      <c r="E322" s="8"/>
    </row>
    <row r="323" spans="1:5" x14ac:dyDescent="0.35">
      <c r="A323" s="8"/>
      <c r="B323" s="8"/>
      <c r="D323"/>
      <c r="E323" s="8"/>
    </row>
    <row r="324" spans="1:5" x14ac:dyDescent="0.35">
      <c r="A324" s="8"/>
      <c r="B324" s="8"/>
      <c r="D324"/>
      <c r="E324" s="8"/>
    </row>
    <row r="325" spans="1:5" x14ac:dyDescent="0.35">
      <c r="A325" s="8"/>
      <c r="B325" s="8"/>
      <c r="D325"/>
      <c r="E325" s="8"/>
    </row>
    <row r="326" spans="1:5" x14ac:dyDescent="0.35">
      <c r="A326" s="8"/>
      <c r="B326" s="8"/>
      <c r="D326"/>
      <c r="E326" s="8"/>
    </row>
    <row r="327" spans="1:5" x14ac:dyDescent="0.35">
      <c r="A327" s="8"/>
      <c r="B327" s="8"/>
      <c r="D327"/>
      <c r="E327" s="8"/>
    </row>
    <row r="328" spans="1:5" x14ac:dyDescent="0.35">
      <c r="A328" s="8"/>
      <c r="B328" s="8"/>
      <c r="D328"/>
      <c r="E328" s="8"/>
    </row>
    <row r="329" spans="1:5" x14ac:dyDescent="0.35">
      <c r="A329" s="8"/>
      <c r="B329" s="8"/>
      <c r="D329"/>
      <c r="E329" s="8"/>
    </row>
    <row r="330" spans="1:5" x14ac:dyDescent="0.35">
      <c r="A330" s="8"/>
      <c r="B330" s="8"/>
      <c r="D330"/>
      <c r="E330" s="8"/>
    </row>
    <row r="331" spans="1:5" x14ac:dyDescent="0.35">
      <c r="A331" s="8"/>
      <c r="B331" s="8"/>
      <c r="D331"/>
      <c r="E331" s="8"/>
    </row>
    <row r="332" spans="1:5" x14ac:dyDescent="0.35">
      <c r="A332" s="8"/>
      <c r="B332" s="8"/>
      <c r="D332"/>
      <c r="E332" s="8"/>
    </row>
    <row r="333" spans="1:5" x14ac:dyDescent="0.35">
      <c r="A333" s="8"/>
      <c r="B333" s="8"/>
      <c r="D333"/>
      <c r="E333" s="8"/>
    </row>
    <row r="334" spans="1:5" x14ac:dyDescent="0.35">
      <c r="A334" s="8"/>
      <c r="B334" s="8"/>
      <c r="D334"/>
      <c r="E334" s="8"/>
    </row>
    <row r="335" spans="1:5" x14ac:dyDescent="0.35">
      <c r="A335" s="8"/>
      <c r="B335" s="8"/>
      <c r="D335"/>
      <c r="E335" s="8"/>
    </row>
    <row r="336" spans="1:5" x14ac:dyDescent="0.35">
      <c r="A336" s="8"/>
      <c r="B336" s="8"/>
      <c r="D336"/>
      <c r="E336" s="8"/>
    </row>
    <row r="337" spans="1:5" x14ac:dyDescent="0.35">
      <c r="A337" s="8"/>
      <c r="B337" s="8"/>
      <c r="D337"/>
      <c r="E337" s="8"/>
    </row>
    <row r="338" spans="1:5" x14ac:dyDescent="0.35">
      <c r="A338" s="8"/>
      <c r="B338" s="8"/>
      <c r="D338"/>
      <c r="E338" s="8"/>
    </row>
    <row r="339" spans="1:5" x14ac:dyDescent="0.35">
      <c r="A339" s="8"/>
      <c r="B339" s="8"/>
      <c r="D339"/>
      <c r="E339" s="8"/>
    </row>
    <row r="340" spans="1:5" x14ac:dyDescent="0.35">
      <c r="A340" s="8"/>
      <c r="B340" s="8"/>
      <c r="D340"/>
      <c r="E340" s="8"/>
    </row>
    <row r="341" spans="1:5" x14ac:dyDescent="0.35">
      <c r="A341" s="8"/>
      <c r="B341" s="8"/>
      <c r="D341"/>
      <c r="E341" s="8"/>
    </row>
    <row r="342" spans="1:5" x14ac:dyDescent="0.35">
      <c r="A342" s="8"/>
      <c r="B342" s="8"/>
      <c r="D342"/>
      <c r="E342" s="8"/>
    </row>
    <row r="343" spans="1:5" x14ac:dyDescent="0.35">
      <c r="A343" s="8"/>
      <c r="B343" s="8"/>
      <c r="D343"/>
      <c r="E343" s="8"/>
    </row>
    <row r="344" spans="1:5" x14ac:dyDescent="0.35">
      <c r="A344" s="8"/>
      <c r="B344" s="8"/>
      <c r="D344"/>
      <c r="E344" s="8"/>
    </row>
    <row r="345" spans="1:5" x14ac:dyDescent="0.35">
      <c r="A345" s="8"/>
      <c r="B345" s="8"/>
      <c r="D345"/>
      <c r="E345" s="8"/>
    </row>
    <row r="346" spans="1:5" x14ac:dyDescent="0.35">
      <c r="A346" s="8"/>
      <c r="B346" s="8"/>
      <c r="D346"/>
      <c r="E346" s="8"/>
    </row>
    <row r="347" spans="1:5" x14ac:dyDescent="0.35">
      <c r="A347" s="8"/>
      <c r="B347" s="8"/>
      <c r="D347"/>
      <c r="E347" s="8"/>
    </row>
    <row r="348" spans="1:5" x14ac:dyDescent="0.35">
      <c r="A348" s="8"/>
      <c r="B348" s="8"/>
      <c r="D348"/>
      <c r="E348" s="8"/>
    </row>
    <row r="349" spans="1:5" x14ac:dyDescent="0.35">
      <c r="A349" s="8"/>
      <c r="B349" s="8"/>
      <c r="D349"/>
      <c r="E349" s="8"/>
    </row>
    <row r="350" spans="1:5" x14ac:dyDescent="0.35">
      <c r="A350" s="8"/>
      <c r="B350" s="8"/>
      <c r="D350"/>
      <c r="E350" s="8"/>
    </row>
    <row r="351" spans="1:5" x14ac:dyDescent="0.35">
      <c r="A351" s="8"/>
      <c r="B351" s="8"/>
      <c r="D351"/>
      <c r="E351" s="8"/>
    </row>
    <row r="352" spans="1:5" x14ac:dyDescent="0.35">
      <c r="A352" s="8"/>
      <c r="B352" s="8"/>
      <c r="D352"/>
      <c r="E352" s="8"/>
    </row>
    <row r="353" spans="1:5" x14ac:dyDescent="0.35">
      <c r="A353" s="8"/>
      <c r="B353" s="8"/>
      <c r="D353"/>
      <c r="E353" s="8"/>
    </row>
    <row r="354" spans="1:5" x14ac:dyDescent="0.35">
      <c r="A354" s="8"/>
      <c r="B354" s="8"/>
      <c r="D354"/>
      <c r="E354" s="8"/>
    </row>
    <row r="355" spans="1:5" x14ac:dyDescent="0.35">
      <c r="A355" s="8"/>
      <c r="B355" s="8"/>
      <c r="D355"/>
      <c r="E355" s="8"/>
    </row>
    <row r="356" spans="1:5" x14ac:dyDescent="0.35">
      <c r="A356" s="8"/>
      <c r="B356" s="8"/>
      <c r="D356"/>
      <c r="E356" s="8"/>
    </row>
  </sheetData>
  <mergeCells count="10">
    <mergeCell ref="O2:O7"/>
    <mergeCell ref="P2:P7"/>
    <mergeCell ref="Q2:Q7"/>
    <mergeCell ref="AG7:AI7"/>
    <mergeCell ref="B2:B7"/>
    <mergeCell ref="C2:C7"/>
    <mergeCell ref="H2:H3"/>
    <mergeCell ref="I2:I4"/>
    <mergeCell ref="M2:M7"/>
    <mergeCell ref="N2:N7"/>
  </mergeCells>
  <conditionalFormatting sqref="U54:X356">
    <cfRule type="cellIs" dxfId="29" priority="3" operator="equal">
      <formula>TRUE</formula>
    </cfRule>
    <cfRule type="cellIs" dxfId="28" priority="4" operator="equal">
      <formula>FALSE</formula>
    </cfRule>
  </conditionalFormatting>
  <conditionalFormatting sqref="U12:AI48 AI54:AI170">
    <cfRule type="cellIs" dxfId="27" priority="1" operator="equal">
      <formula>TRUE</formula>
    </cfRule>
    <cfRule type="cellIs" dxfId="26" priority="2" operator="equal">
      <formula>FALSE</formula>
    </cfRule>
  </conditionalFormatting>
  <conditionalFormatting sqref="Y64:AA104">
    <cfRule type="cellIs" dxfId="25" priority="993" operator="equal">
      <formula>TRUE</formula>
    </cfRule>
    <cfRule type="cellIs" dxfId="24" priority="994" operator="equal">
      <formula>FALSE</formula>
    </cfRule>
  </conditionalFormatting>
  <conditionalFormatting sqref="Y105:AD356 AF171:AI356">
    <cfRule type="cellIs" dxfId="23" priority="175" operator="equal">
      <formula>TRUE</formula>
    </cfRule>
    <cfRule type="cellIs" dxfId="22" priority="176" operator="equal">
      <formula>FALSE</formula>
    </cfRule>
  </conditionalFormatting>
  <conditionalFormatting sqref="Y54:AH63">
    <cfRule type="cellIs" dxfId="21" priority="5" operator="equal">
      <formula>TRUE</formula>
    </cfRule>
    <cfRule type="cellIs" dxfId="20" priority="6" operator="equal">
      <formula>FALSE</formula>
    </cfRule>
  </conditionalFormatting>
  <conditionalFormatting sqref="AB82:AD104 AE82:AE356">
    <cfRule type="cellIs" dxfId="19" priority="2031" operator="equal">
      <formula>TRUE</formula>
    </cfRule>
    <cfRule type="cellIs" dxfId="18" priority="2032" operator="equal">
      <formula>FALSE</formula>
    </cfRule>
  </conditionalFormatting>
  <conditionalFormatting sqref="AB64:AE81">
    <cfRule type="cellIs" dxfId="17" priority="1023" operator="equal">
      <formula>TRUE</formula>
    </cfRule>
    <cfRule type="cellIs" dxfId="16" priority="1024" operator="equal">
      <formula>FALSE</formula>
    </cfRule>
  </conditionalFormatting>
  <conditionalFormatting sqref="AF64:AH170">
    <cfRule type="cellIs" dxfId="15" priority="921" operator="equal">
      <formula>TRUE</formula>
    </cfRule>
    <cfRule type="cellIs" dxfId="14" priority="922" operator="equal">
      <formula>FALSE</formula>
    </cfRule>
  </conditionalFormatting>
  <pageMargins left="0.7" right="0.7" top="0.75" bottom="0.75" header="0.3" footer="0.3"/>
  <pageSetup paperSize="9" orientation="portrait" horizont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AI335"/>
  <sheetViews>
    <sheetView topLeftCell="C6" workbookViewId="0">
      <selection activeCell="H14" sqref="H14"/>
    </sheetView>
  </sheetViews>
  <sheetFormatPr defaultColWidth="8.7265625" defaultRowHeight="14.5" x14ac:dyDescent="0.35"/>
  <cols>
    <col min="1" max="1" width="15.08984375" bestFit="1" customWidth="1"/>
    <col min="2" max="2" width="31.54296875" customWidth="1"/>
    <col min="3" max="3" width="36.90625" style="10" customWidth="1"/>
    <col min="4" max="4" width="22.1796875" style="10" customWidth="1"/>
    <col min="5" max="5" width="13.1796875" style="12" customWidth="1"/>
    <col min="6" max="6" width="11.7265625" style="10" customWidth="1"/>
    <col min="7" max="7" width="10.90625" style="10" customWidth="1"/>
    <col min="8" max="8" width="16.36328125" style="10" customWidth="1"/>
    <col min="9" max="9" width="12.26953125" style="10" customWidth="1"/>
    <col min="10" max="10" width="11.1796875" style="10" customWidth="1"/>
    <col min="11" max="11" width="12.6328125" style="10" customWidth="1"/>
    <col min="12" max="12" width="13.453125" style="10" customWidth="1"/>
    <col min="13" max="13" width="15.7265625" style="10" customWidth="1"/>
    <col min="14" max="14" width="17.26953125" style="10" customWidth="1"/>
    <col min="15" max="15" width="18.453125" style="10" customWidth="1"/>
    <col min="16" max="17" width="13.453125" style="10" customWidth="1"/>
    <col min="18" max="19" width="21.36328125" customWidth="1"/>
    <col min="20" max="20" width="23.90625" customWidth="1"/>
    <col min="21" max="21" width="9.6328125" style="14" bestFit="1" customWidth="1"/>
    <col min="22" max="22" width="7.90625" bestFit="1" customWidth="1"/>
    <col min="23" max="23" width="11.7265625" bestFit="1" customWidth="1"/>
    <col min="24" max="24" width="8.08984375" bestFit="1" customWidth="1"/>
    <col min="25" max="25" width="19.1796875" bestFit="1" customWidth="1"/>
    <col min="26" max="26" width="20.26953125" customWidth="1"/>
    <col min="27" max="27" width="14.7265625" customWidth="1"/>
    <col min="28" max="28" width="13.54296875" customWidth="1"/>
    <col min="29" max="29" width="16" customWidth="1"/>
    <col min="30" max="30" width="20.54296875" customWidth="1"/>
    <col min="31" max="31" width="16" customWidth="1"/>
    <col min="32" max="32" width="14.6328125" style="15" bestFit="1" customWidth="1"/>
    <col min="33" max="33" width="12.26953125" bestFit="1" customWidth="1"/>
    <col min="34" max="34" width="8.1796875" bestFit="1" customWidth="1"/>
    <col min="35" max="35" width="5.54296875" bestFit="1" customWidth="1"/>
  </cols>
  <sheetData>
    <row r="1" spans="1:35" x14ac:dyDescent="0.35">
      <c r="C1" s="10" t="s">
        <v>105</v>
      </c>
      <c r="E1" s="8" t="s">
        <v>171</v>
      </c>
      <c r="R1" s="10"/>
      <c r="S1" s="10"/>
      <c r="T1" s="35"/>
    </row>
    <row r="2" spans="1:35" ht="16.5" customHeight="1" x14ac:dyDescent="0.35">
      <c r="B2" s="423" t="s">
        <v>110</v>
      </c>
      <c r="C2" s="424" t="s">
        <v>104</v>
      </c>
      <c r="D2" s="8" t="s">
        <v>479</v>
      </c>
      <c r="E2" s="8" t="s">
        <v>67</v>
      </c>
      <c r="F2" s="8" t="s">
        <v>87</v>
      </c>
      <c r="G2" s="8">
        <v>2020</v>
      </c>
      <c r="H2" s="425" t="s">
        <v>127</v>
      </c>
      <c r="I2" s="425" t="s">
        <v>126</v>
      </c>
      <c r="J2" s="8" t="s">
        <v>59</v>
      </c>
      <c r="K2" s="8" t="s">
        <v>117</v>
      </c>
      <c r="L2" s="8" t="s">
        <v>117</v>
      </c>
      <c r="M2" s="425" t="s">
        <v>173</v>
      </c>
      <c r="N2" s="426" t="s">
        <v>174</v>
      </c>
      <c r="O2" s="427" t="s">
        <v>176</v>
      </c>
      <c r="P2" s="425" t="s">
        <v>121</v>
      </c>
      <c r="Q2" s="425" t="s">
        <v>122</v>
      </c>
      <c r="R2" s="8" t="s">
        <v>152</v>
      </c>
      <c r="S2" s="8" t="s">
        <v>152</v>
      </c>
      <c r="T2" s="8" t="s">
        <v>106</v>
      </c>
    </row>
    <row r="3" spans="1:35" x14ac:dyDescent="0.35">
      <c r="B3" s="423"/>
      <c r="C3" s="424"/>
      <c r="D3" s="8"/>
      <c r="E3" s="8" t="s">
        <v>84</v>
      </c>
      <c r="F3" s="8" t="s">
        <v>60</v>
      </c>
      <c r="G3" s="8">
        <v>2030</v>
      </c>
      <c r="H3" s="425"/>
      <c r="I3" s="425"/>
      <c r="J3" s="8" t="s">
        <v>68</v>
      </c>
      <c r="M3" s="425"/>
      <c r="N3" s="426"/>
      <c r="O3" s="427"/>
      <c r="P3" s="425"/>
      <c r="Q3" s="425"/>
      <c r="R3" s="8"/>
      <c r="S3" s="8"/>
      <c r="T3" s="8"/>
    </row>
    <row r="4" spans="1:35" x14ac:dyDescent="0.35">
      <c r="B4" s="423"/>
      <c r="C4" s="424"/>
      <c r="D4" s="8"/>
      <c r="E4" s="8" t="s">
        <v>271</v>
      </c>
      <c r="F4" s="8" t="s">
        <v>86</v>
      </c>
      <c r="G4" s="8">
        <v>2050</v>
      </c>
      <c r="H4" s="8"/>
      <c r="I4" s="425"/>
      <c r="J4" s="8" t="s">
        <v>167</v>
      </c>
      <c r="K4" s="8"/>
      <c r="L4" s="8"/>
      <c r="M4" s="425"/>
      <c r="N4" s="426"/>
      <c r="O4" s="427"/>
      <c r="P4" s="425"/>
      <c r="Q4" s="425"/>
      <c r="R4" s="8"/>
      <c r="S4" s="8"/>
      <c r="T4" s="8"/>
    </row>
    <row r="5" spans="1:35" x14ac:dyDescent="0.35">
      <c r="B5" s="423"/>
      <c r="C5" s="424"/>
      <c r="D5" s="8"/>
      <c r="E5" s="8" t="s">
        <v>272</v>
      </c>
      <c r="F5" s="8"/>
      <c r="G5" s="8"/>
      <c r="H5" s="8"/>
      <c r="I5" s="26"/>
      <c r="J5" s="8"/>
      <c r="K5" s="8"/>
      <c r="L5" s="8"/>
      <c r="M5" s="425"/>
      <c r="N5" s="426"/>
      <c r="O5" s="427"/>
      <c r="P5" s="425"/>
      <c r="Q5" s="425"/>
      <c r="R5" s="8"/>
      <c r="S5" s="8"/>
      <c r="T5" s="8"/>
    </row>
    <row r="6" spans="1:35" x14ac:dyDescent="0.35">
      <c r="B6" s="423"/>
      <c r="C6" s="424"/>
      <c r="D6" s="8"/>
      <c r="E6" s="8" t="s">
        <v>273</v>
      </c>
      <c r="F6" s="8"/>
      <c r="G6" s="8"/>
      <c r="H6" s="8"/>
      <c r="I6" s="26"/>
      <c r="J6" s="8"/>
      <c r="K6" s="8"/>
      <c r="L6" s="8"/>
      <c r="M6" s="425"/>
      <c r="N6" s="426"/>
      <c r="O6" s="427"/>
      <c r="P6" s="425"/>
      <c r="Q6" s="425"/>
      <c r="R6" s="8"/>
      <c r="S6" s="8"/>
      <c r="T6" s="8"/>
    </row>
    <row r="7" spans="1:35" x14ac:dyDescent="0.35">
      <c r="B7" s="423"/>
      <c r="C7" s="424"/>
      <c r="E7" s="8" t="s">
        <v>274</v>
      </c>
      <c r="F7" s="8"/>
      <c r="G7" s="8"/>
      <c r="H7" s="8"/>
      <c r="I7" s="8"/>
      <c r="J7" s="8"/>
      <c r="K7" s="8"/>
      <c r="L7" s="8"/>
      <c r="M7" s="425"/>
      <c r="N7" s="426"/>
      <c r="O7" s="427"/>
      <c r="P7" s="425"/>
      <c r="Q7" s="425"/>
      <c r="R7" s="12"/>
      <c r="S7" s="12"/>
      <c r="T7" s="12"/>
      <c r="V7" s="95" t="s">
        <v>103</v>
      </c>
      <c r="W7" s="12"/>
      <c r="X7" s="12"/>
      <c r="Y7" s="12"/>
      <c r="Z7" s="12"/>
      <c r="AA7" s="12"/>
      <c r="AB7" s="12"/>
      <c r="AC7" s="12"/>
      <c r="AD7" s="12"/>
      <c r="AE7" s="12"/>
      <c r="AF7" s="22"/>
      <c r="AG7" s="422" t="s">
        <v>107</v>
      </c>
      <c r="AH7" s="418"/>
      <c r="AI7" s="418"/>
    </row>
    <row r="8" spans="1:35" x14ac:dyDescent="0.35">
      <c r="B8" s="24"/>
      <c r="C8" s="25"/>
      <c r="E8" s="8" t="s">
        <v>287</v>
      </c>
      <c r="F8" s="8"/>
      <c r="G8" s="8"/>
      <c r="H8" s="8"/>
      <c r="I8" s="8"/>
      <c r="J8" s="8"/>
      <c r="K8" s="8"/>
      <c r="L8" s="8"/>
      <c r="M8" s="26"/>
      <c r="N8" s="41"/>
      <c r="O8" s="42"/>
      <c r="P8" s="26"/>
      <c r="Q8" s="26"/>
      <c r="R8" s="12"/>
      <c r="S8" s="12"/>
      <c r="T8" s="12"/>
      <c r="V8" s="12"/>
      <c r="W8" s="12"/>
      <c r="X8" s="12"/>
      <c r="Y8" s="12"/>
      <c r="Z8" s="12"/>
      <c r="AA8" s="12"/>
      <c r="AB8" s="12"/>
      <c r="AC8" s="12"/>
      <c r="AD8" s="12"/>
      <c r="AE8" s="12"/>
      <c r="AF8" s="22"/>
      <c r="AG8" s="12"/>
      <c r="AH8" s="12"/>
      <c r="AI8" s="12"/>
    </row>
    <row r="9" spans="1:35" x14ac:dyDescent="0.35">
      <c r="B9" s="24"/>
      <c r="C9" s="25"/>
      <c r="E9" s="8" t="s">
        <v>295</v>
      </c>
      <c r="F9" s="8"/>
      <c r="G9" s="8"/>
      <c r="H9" s="8"/>
      <c r="I9" s="8"/>
      <c r="J9" s="8"/>
      <c r="K9" s="8"/>
      <c r="L9" s="8"/>
      <c r="M9" s="26"/>
      <c r="N9" s="41"/>
      <c r="O9" s="42"/>
      <c r="P9" s="26"/>
      <c r="Q9" s="26"/>
      <c r="R9" s="12"/>
      <c r="S9" s="12"/>
      <c r="T9" s="12"/>
      <c r="V9" s="12"/>
      <c r="W9" s="12"/>
      <c r="X9" s="12"/>
      <c r="Y9" s="12"/>
      <c r="Z9" s="12"/>
      <c r="AA9" s="12"/>
      <c r="AB9" s="12"/>
      <c r="AC9" s="12"/>
      <c r="AD9" s="12"/>
      <c r="AE9" s="12"/>
      <c r="AF9" s="22"/>
      <c r="AG9" s="12"/>
      <c r="AH9" s="12"/>
      <c r="AI9" s="12"/>
    </row>
    <row r="10" spans="1:35" x14ac:dyDescent="0.35">
      <c r="R10" s="10"/>
      <c r="S10" s="10"/>
      <c r="T10" s="10"/>
      <c r="V10" s="12"/>
      <c r="W10" s="12"/>
      <c r="X10" s="12"/>
      <c r="Y10" s="12"/>
      <c r="Z10" s="12"/>
      <c r="AA10" s="12"/>
      <c r="AB10" s="12"/>
      <c r="AC10" s="12"/>
      <c r="AD10" s="12"/>
      <c r="AE10" s="12"/>
      <c r="AF10" s="22"/>
      <c r="AG10" s="12"/>
      <c r="AH10" s="12"/>
    </row>
    <row r="11" spans="1:35" s="19" customFormat="1" x14ac:dyDescent="0.35">
      <c r="A11" s="19" t="s">
        <v>69</v>
      </c>
      <c r="B11" s="19" t="s">
        <v>109</v>
      </c>
      <c r="C11" s="19" t="s">
        <v>108</v>
      </c>
      <c r="D11" s="19" t="s">
        <v>160</v>
      </c>
      <c r="E11" s="19" t="s">
        <v>70</v>
      </c>
      <c r="F11" s="19" t="s">
        <v>85</v>
      </c>
      <c r="G11" s="19" t="s">
        <v>124</v>
      </c>
      <c r="H11" s="19" t="s">
        <v>125</v>
      </c>
      <c r="I11" s="19" t="s">
        <v>73</v>
      </c>
      <c r="J11" s="19" t="s">
        <v>71</v>
      </c>
      <c r="K11" s="19" t="s">
        <v>118</v>
      </c>
      <c r="L11" s="19" t="s">
        <v>116</v>
      </c>
      <c r="M11" s="19" t="s">
        <v>163</v>
      </c>
      <c r="N11" s="19" t="s">
        <v>170</v>
      </c>
      <c r="O11" s="19" t="s">
        <v>175</v>
      </c>
      <c r="P11" s="19" t="s">
        <v>120</v>
      </c>
      <c r="Q11" s="19" t="s">
        <v>123</v>
      </c>
      <c r="R11" s="19" t="s">
        <v>72</v>
      </c>
      <c r="S11" s="19" t="s">
        <v>151</v>
      </c>
      <c r="T11" s="19" t="s">
        <v>74</v>
      </c>
      <c r="U11" s="20" t="s">
        <v>75</v>
      </c>
      <c r="V11" s="19" t="s">
        <v>76</v>
      </c>
      <c r="W11" s="19" t="s">
        <v>77</v>
      </c>
      <c r="X11" s="19" t="s">
        <v>78</v>
      </c>
      <c r="Y11" s="19" t="s">
        <v>79</v>
      </c>
      <c r="Z11" s="19" t="s">
        <v>88</v>
      </c>
      <c r="AA11" s="19" t="s">
        <v>89</v>
      </c>
      <c r="AB11" s="19" t="s">
        <v>90</v>
      </c>
      <c r="AC11" s="19" t="s">
        <v>91</v>
      </c>
      <c r="AD11" s="19" t="s">
        <v>279</v>
      </c>
      <c r="AE11" s="19" t="s">
        <v>280</v>
      </c>
      <c r="AF11" s="21" t="s">
        <v>80</v>
      </c>
      <c r="AG11" s="19" t="s">
        <v>81</v>
      </c>
      <c r="AH11" s="19" t="s">
        <v>82</v>
      </c>
      <c r="AI11" s="19" t="s">
        <v>83</v>
      </c>
    </row>
    <row r="12" spans="1:35" x14ac:dyDescent="0.35">
      <c r="A12" s="8">
        <f t="shared" ref="A12:A25" si="0">ROW(A12)-ROW($A$11)</f>
        <v>1</v>
      </c>
      <c r="B12" s="8" t="s">
        <v>299</v>
      </c>
      <c r="C12" s="10" t="s">
        <v>289</v>
      </c>
      <c r="D12" s="410" t="s">
        <v>479</v>
      </c>
      <c r="E12" s="12" t="s">
        <v>84</v>
      </c>
      <c r="F12" s="10" t="s">
        <v>86</v>
      </c>
      <c r="G12" s="10" t="s">
        <v>216</v>
      </c>
      <c r="H12" s="10" t="s">
        <v>480</v>
      </c>
      <c r="I12" s="10" t="s">
        <v>481</v>
      </c>
      <c r="J12" s="10" t="s">
        <v>59</v>
      </c>
      <c r="K12" s="10">
        <v>0</v>
      </c>
      <c r="L12" s="10">
        <v>0</v>
      </c>
      <c r="M12" s="10">
        <v>-1</v>
      </c>
      <c r="N12" s="10" t="s">
        <v>86</v>
      </c>
      <c r="O12" s="10">
        <v>0</v>
      </c>
      <c r="P12" s="10">
        <v>1</v>
      </c>
      <c r="Q12" s="10">
        <v>0</v>
      </c>
      <c r="R12" t="s">
        <v>161</v>
      </c>
      <c r="S12" t="s">
        <v>162</v>
      </c>
      <c r="T12" t="s">
        <v>300</v>
      </c>
      <c r="U12" s="14" t="b">
        <v>0</v>
      </c>
      <c r="V12" t="b">
        <v>1</v>
      </c>
      <c r="W12" t="b">
        <v>0</v>
      </c>
      <c r="X12" t="b">
        <v>0</v>
      </c>
      <c r="Y12" t="b">
        <v>1</v>
      </c>
      <c r="Z12" t="b">
        <v>0</v>
      </c>
      <c r="AA12" t="b">
        <v>0</v>
      </c>
      <c r="AB12" t="b">
        <v>0</v>
      </c>
      <c r="AC12" t="b">
        <v>0</v>
      </c>
      <c r="AD12" t="b">
        <v>0</v>
      </c>
      <c r="AE12" t="b">
        <v>0</v>
      </c>
      <c r="AF12" s="15" t="b">
        <v>0</v>
      </c>
      <c r="AG12" t="b">
        <v>0</v>
      </c>
      <c r="AH12" t="b">
        <v>0</v>
      </c>
      <c r="AI12" t="b">
        <v>1</v>
      </c>
    </row>
    <row r="13" spans="1:35" x14ac:dyDescent="0.35">
      <c r="A13" s="8">
        <f t="shared" si="0"/>
        <v>2</v>
      </c>
      <c r="B13" s="8" t="s">
        <v>299</v>
      </c>
      <c r="C13" s="10" t="s">
        <v>289</v>
      </c>
      <c r="D13" s="410" t="s">
        <v>479</v>
      </c>
      <c r="E13" s="12" t="s">
        <v>84</v>
      </c>
      <c r="F13" s="10" t="s">
        <v>86</v>
      </c>
      <c r="G13" s="10" t="s">
        <v>216</v>
      </c>
      <c r="H13" s="10" t="s">
        <v>480</v>
      </c>
      <c r="I13" s="10" t="s">
        <v>481</v>
      </c>
      <c r="J13" s="10" t="s">
        <v>68</v>
      </c>
      <c r="K13" s="10">
        <v>0</v>
      </c>
      <c r="L13" s="10">
        <v>0</v>
      </c>
      <c r="M13" s="10">
        <v>-1</v>
      </c>
      <c r="N13" s="10" t="s">
        <v>86</v>
      </c>
      <c r="O13" s="10">
        <v>0</v>
      </c>
      <c r="P13" s="10">
        <v>1</v>
      </c>
      <c r="Q13" s="10">
        <v>0</v>
      </c>
      <c r="R13" t="s">
        <v>161</v>
      </c>
      <c r="S13" t="s">
        <v>162</v>
      </c>
      <c r="T13" t="s">
        <v>300</v>
      </c>
      <c r="U13" s="14" t="b">
        <v>0</v>
      </c>
      <c r="V13" t="b">
        <v>1</v>
      </c>
      <c r="W13" t="b">
        <v>0</v>
      </c>
      <c r="X13" t="b">
        <v>0</v>
      </c>
      <c r="Y13" t="b">
        <v>1</v>
      </c>
      <c r="Z13" t="b">
        <v>0</v>
      </c>
      <c r="AA13" t="b">
        <v>0</v>
      </c>
      <c r="AB13" t="b">
        <v>0</v>
      </c>
      <c r="AC13" t="b">
        <v>0</v>
      </c>
      <c r="AD13" t="b">
        <v>0</v>
      </c>
      <c r="AE13" t="b">
        <v>0</v>
      </c>
      <c r="AF13" s="15" t="b">
        <v>0</v>
      </c>
      <c r="AG13" t="b">
        <v>0</v>
      </c>
      <c r="AH13" t="b">
        <v>0</v>
      </c>
      <c r="AI13" t="b">
        <v>1</v>
      </c>
    </row>
    <row r="14" spans="1:35" x14ac:dyDescent="0.35">
      <c r="A14" s="8">
        <f t="shared" si="0"/>
        <v>3</v>
      </c>
      <c r="B14" s="8" t="s">
        <v>299</v>
      </c>
      <c r="C14" s="10" t="s">
        <v>289</v>
      </c>
      <c r="D14" s="410" t="s">
        <v>479</v>
      </c>
      <c r="E14" s="12" t="s">
        <v>67</v>
      </c>
      <c r="F14" s="10" t="s">
        <v>87</v>
      </c>
      <c r="G14" s="10" t="s">
        <v>216</v>
      </c>
      <c r="H14" s="10" t="s">
        <v>480</v>
      </c>
      <c r="I14" s="10" t="s">
        <v>481</v>
      </c>
      <c r="J14" s="10" t="s">
        <v>59</v>
      </c>
      <c r="K14" s="10">
        <v>0</v>
      </c>
      <c r="L14" s="10">
        <v>0</v>
      </c>
      <c r="M14" s="10">
        <v>-1</v>
      </c>
      <c r="N14" s="10" t="s">
        <v>86</v>
      </c>
      <c r="O14" s="10">
        <v>0</v>
      </c>
      <c r="P14" s="10">
        <v>1</v>
      </c>
      <c r="Q14" s="10">
        <v>0</v>
      </c>
      <c r="R14" t="s">
        <v>161</v>
      </c>
      <c r="S14" t="s">
        <v>162</v>
      </c>
      <c r="T14" t="s">
        <v>300</v>
      </c>
      <c r="U14" s="14" t="b">
        <v>0</v>
      </c>
      <c r="V14" t="b">
        <v>1</v>
      </c>
      <c r="W14" t="b">
        <v>0</v>
      </c>
      <c r="X14" t="b">
        <v>0</v>
      </c>
      <c r="Y14" t="b">
        <v>1</v>
      </c>
      <c r="Z14" t="b">
        <v>0</v>
      </c>
      <c r="AA14" t="b">
        <v>0</v>
      </c>
      <c r="AB14" t="b">
        <v>0</v>
      </c>
      <c r="AC14" t="b">
        <v>0</v>
      </c>
      <c r="AD14" t="b">
        <v>0</v>
      </c>
      <c r="AE14" t="b">
        <v>0</v>
      </c>
      <c r="AF14" s="15" t="b">
        <v>0</v>
      </c>
      <c r="AG14" t="b">
        <v>0</v>
      </c>
      <c r="AH14" t="b">
        <v>0</v>
      </c>
      <c r="AI14" t="b">
        <v>1</v>
      </c>
    </row>
    <row r="15" spans="1:35" x14ac:dyDescent="0.35">
      <c r="A15" s="8">
        <f t="shared" si="0"/>
        <v>4</v>
      </c>
      <c r="B15" s="8" t="s">
        <v>299</v>
      </c>
      <c r="C15" s="10" t="s">
        <v>289</v>
      </c>
      <c r="D15" s="410" t="s">
        <v>479</v>
      </c>
      <c r="E15" s="12" t="s">
        <v>67</v>
      </c>
      <c r="F15" s="10" t="s">
        <v>87</v>
      </c>
      <c r="G15" s="10" t="s">
        <v>216</v>
      </c>
      <c r="H15" s="10" t="s">
        <v>480</v>
      </c>
      <c r="I15" s="10" t="s">
        <v>481</v>
      </c>
      <c r="J15" s="10" t="s">
        <v>68</v>
      </c>
      <c r="K15" s="10">
        <v>0</v>
      </c>
      <c r="L15" s="10">
        <v>0</v>
      </c>
      <c r="M15" s="10">
        <v>-1</v>
      </c>
      <c r="N15" s="10" t="s">
        <v>86</v>
      </c>
      <c r="O15" s="10">
        <v>0</v>
      </c>
      <c r="P15" s="10">
        <v>1</v>
      </c>
      <c r="Q15" s="10">
        <v>0</v>
      </c>
      <c r="R15" t="s">
        <v>161</v>
      </c>
      <c r="S15" t="s">
        <v>162</v>
      </c>
      <c r="T15" t="s">
        <v>300</v>
      </c>
      <c r="U15" s="14" t="b">
        <v>0</v>
      </c>
      <c r="V15" t="b">
        <v>1</v>
      </c>
      <c r="W15" t="b">
        <v>0</v>
      </c>
      <c r="X15" t="b">
        <v>0</v>
      </c>
      <c r="Y15" t="b">
        <v>1</v>
      </c>
      <c r="Z15" t="b">
        <v>0</v>
      </c>
      <c r="AA15" t="b">
        <v>0</v>
      </c>
      <c r="AB15" t="b">
        <v>0</v>
      </c>
      <c r="AC15" t="b">
        <v>0</v>
      </c>
      <c r="AD15" t="b">
        <v>0</v>
      </c>
      <c r="AE15" t="b">
        <v>0</v>
      </c>
      <c r="AF15" s="15" t="b">
        <v>0</v>
      </c>
      <c r="AG15" t="b">
        <v>0</v>
      </c>
      <c r="AH15" t="b">
        <v>0</v>
      </c>
      <c r="AI15" t="b">
        <v>1</v>
      </c>
    </row>
    <row r="16" spans="1:35" x14ac:dyDescent="0.35">
      <c r="A16" s="8">
        <f t="shared" si="0"/>
        <v>5</v>
      </c>
      <c r="B16" s="8" t="s">
        <v>299</v>
      </c>
      <c r="C16" s="10" t="s">
        <v>289</v>
      </c>
      <c r="D16" s="410" t="s">
        <v>479</v>
      </c>
      <c r="E16" s="12" t="s">
        <v>272</v>
      </c>
      <c r="F16" s="10" t="s">
        <v>86</v>
      </c>
      <c r="G16" s="10" t="s">
        <v>216</v>
      </c>
      <c r="H16" s="10" t="s">
        <v>480</v>
      </c>
      <c r="I16" s="10" t="s">
        <v>481</v>
      </c>
      <c r="J16" s="10" t="s">
        <v>68</v>
      </c>
      <c r="K16" s="10">
        <v>0</v>
      </c>
      <c r="L16" s="10">
        <v>0</v>
      </c>
      <c r="M16" s="10">
        <v>-1</v>
      </c>
      <c r="N16" s="10" t="s">
        <v>86</v>
      </c>
      <c r="O16" s="10">
        <v>0</v>
      </c>
      <c r="P16" s="10">
        <v>1</v>
      </c>
      <c r="Q16" s="10">
        <v>0</v>
      </c>
      <c r="R16" t="s">
        <v>161</v>
      </c>
      <c r="S16" t="s">
        <v>162</v>
      </c>
      <c r="T16" t="s">
        <v>300</v>
      </c>
      <c r="U16" s="14" t="b">
        <v>0</v>
      </c>
      <c r="V16" t="b">
        <v>1</v>
      </c>
      <c r="W16" t="b">
        <v>0</v>
      </c>
      <c r="X16" t="b">
        <v>0</v>
      </c>
      <c r="Y16" t="b">
        <v>1</v>
      </c>
      <c r="Z16" t="b">
        <v>0</v>
      </c>
      <c r="AA16" t="b">
        <v>0</v>
      </c>
      <c r="AB16" t="b">
        <v>0</v>
      </c>
      <c r="AC16" t="b">
        <v>0</v>
      </c>
      <c r="AD16" t="b">
        <v>0</v>
      </c>
      <c r="AE16" t="b">
        <v>0</v>
      </c>
      <c r="AF16" s="15" t="b">
        <v>0</v>
      </c>
      <c r="AG16" t="b">
        <v>0</v>
      </c>
      <c r="AH16" t="b">
        <v>0</v>
      </c>
      <c r="AI16" t="b">
        <v>1</v>
      </c>
    </row>
    <row r="17" spans="1:35" x14ac:dyDescent="0.35">
      <c r="A17" s="8">
        <f t="shared" si="0"/>
        <v>6</v>
      </c>
      <c r="B17" s="8" t="s">
        <v>299</v>
      </c>
      <c r="C17" s="10" t="s">
        <v>289</v>
      </c>
      <c r="D17" s="410" t="s">
        <v>479</v>
      </c>
      <c r="E17" s="12" t="s">
        <v>171</v>
      </c>
      <c r="F17" s="10" t="s">
        <v>86</v>
      </c>
      <c r="G17" s="10" t="s">
        <v>216</v>
      </c>
      <c r="H17" s="10" t="s">
        <v>480</v>
      </c>
      <c r="I17" s="10" t="s">
        <v>481</v>
      </c>
      <c r="J17" s="10" t="s">
        <v>59</v>
      </c>
      <c r="K17" s="10">
        <v>0</v>
      </c>
      <c r="L17" s="10">
        <v>0</v>
      </c>
      <c r="M17" s="10">
        <v>-1</v>
      </c>
      <c r="N17" s="10" t="s">
        <v>86</v>
      </c>
      <c r="O17" s="10">
        <v>0</v>
      </c>
      <c r="P17" s="10">
        <v>1</v>
      </c>
      <c r="Q17" s="10">
        <v>0</v>
      </c>
      <c r="R17" t="s">
        <v>161</v>
      </c>
      <c r="S17" t="s">
        <v>162</v>
      </c>
      <c r="T17" t="s">
        <v>300</v>
      </c>
      <c r="U17" s="14" t="b">
        <v>0</v>
      </c>
      <c r="V17" t="b">
        <v>1</v>
      </c>
      <c r="W17" t="b">
        <v>0</v>
      </c>
      <c r="X17" t="b">
        <v>0</v>
      </c>
      <c r="Y17" t="b">
        <v>1</v>
      </c>
      <c r="Z17" t="b">
        <v>0</v>
      </c>
      <c r="AA17" t="b">
        <v>0</v>
      </c>
      <c r="AB17" t="b">
        <v>0</v>
      </c>
      <c r="AC17" t="b">
        <v>0</v>
      </c>
      <c r="AD17" t="b">
        <v>0</v>
      </c>
      <c r="AE17" t="b">
        <v>0</v>
      </c>
      <c r="AF17" s="15" t="b">
        <v>0</v>
      </c>
      <c r="AG17" t="b">
        <v>0</v>
      </c>
      <c r="AH17" t="b">
        <v>0</v>
      </c>
      <c r="AI17" t="b">
        <v>1</v>
      </c>
    </row>
    <row r="18" spans="1:35" x14ac:dyDescent="0.35">
      <c r="A18" s="8">
        <f t="shared" si="0"/>
        <v>7</v>
      </c>
      <c r="B18" s="8" t="s">
        <v>299</v>
      </c>
      <c r="C18" s="10" t="s">
        <v>289</v>
      </c>
      <c r="D18" s="410" t="s">
        <v>479</v>
      </c>
      <c r="E18" s="12" t="s">
        <v>171</v>
      </c>
      <c r="F18" s="10" t="s">
        <v>86</v>
      </c>
      <c r="G18" s="10" t="s">
        <v>216</v>
      </c>
      <c r="H18" s="10" t="s">
        <v>480</v>
      </c>
      <c r="I18" s="10" t="s">
        <v>481</v>
      </c>
      <c r="J18" s="10" t="s">
        <v>68</v>
      </c>
      <c r="K18" s="10">
        <v>0</v>
      </c>
      <c r="L18" s="10">
        <v>0</v>
      </c>
      <c r="M18" s="10">
        <v>-1</v>
      </c>
      <c r="N18" s="10" t="s">
        <v>86</v>
      </c>
      <c r="O18" s="10">
        <v>0</v>
      </c>
      <c r="P18" s="10">
        <v>1</v>
      </c>
      <c r="Q18" s="10">
        <v>0</v>
      </c>
      <c r="R18" t="s">
        <v>161</v>
      </c>
      <c r="S18" t="s">
        <v>162</v>
      </c>
      <c r="T18" t="s">
        <v>300</v>
      </c>
      <c r="U18" s="14" t="b">
        <v>0</v>
      </c>
      <c r="V18" t="b">
        <v>1</v>
      </c>
      <c r="W18" t="b">
        <v>0</v>
      </c>
      <c r="X18" t="b">
        <v>0</v>
      </c>
      <c r="Y18" t="b">
        <v>1</v>
      </c>
      <c r="Z18" t="b">
        <v>0</v>
      </c>
      <c r="AA18" t="b">
        <v>0</v>
      </c>
      <c r="AB18" t="b">
        <v>0</v>
      </c>
      <c r="AC18" t="b">
        <v>0</v>
      </c>
      <c r="AD18" t="b">
        <v>0</v>
      </c>
      <c r="AE18" t="b">
        <v>0</v>
      </c>
      <c r="AF18" s="15" t="b">
        <v>0</v>
      </c>
      <c r="AG18" t="b">
        <v>0</v>
      </c>
      <c r="AH18" t="b">
        <v>0</v>
      </c>
      <c r="AI18" t="b">
        <v>1</v>
      </c>
    </row>
    <row r="19" spans="1:35" x14ac:dyDescent="0.35">
      <c r="A19" s="8">
        <f t="shared" si="0"/>
        <v>8</v>
      </c>
      <c r="B19" s="8" t="s">
        <v>288</v>
      </c>
      <c r="C19" s="10" t="s">
        <v>288</v>
      </c>
      <c r="D19" s="410" t="s">
        <v>479</v>
      </c>
      <c r="E19" s="12" t="s">
        <v>84</v>
      </c>
      <c r="F19" s="10" t="s">
        <v>86</v>
      </c>
      <c r="G19" s="10" t="s">
        <v>216</v>
      </c>
      <c r="H19" s="10" t="s">
        <v>480</v>
      </c>
      <c r="I19" s="10" t="s">
        <v>481</v>
      </c>
      <c r="J19" s="10" t="s">
        <v>59</v>
      </c>
      <c r="K19" s="10">
        <v>0</v>
      </c>
      <c r="L19" s="10">
        <v>0</v>
      </c>
      <c r="M19" s="10">
        <v>-1</v>
      </c>
      <c r="N19" s="10" t="s">
        <v>86</v>
      </c>
      <c r="O19" s="10">
        <v>0</v>
      </c>
      <c r="P19" s="10">
        <v>1</v>
      </c>
      <c r="Q19" s="10">
        <v>0</v>
      </c>
      <c r="R19" t="s">
        <v>161</v>
      </c>
      <c r="S19" t="s">
        <v>162</v>
      </c>
      <c r="T19" t="s">
        <v>300</v>
      </c>
      <c r="U19" s="14" t="b">
        <v>0</v>
      </c>
      <c r="V19" t="b">
        <v>1</v>
      </c>
      <c r="W19" t="b">
        <v>0</v>
      </c>
      <c r="X19" t="b">
        <v>0</v>
      </c>
      <c r="Y19" t="b">
        <v>1</v>
      </c>
      <c r="Z19" t="b">
        <v>0</v>
      </c>
      <c r="AA19" t="b">
        <v>0</v>
      </c>
      <c r="AB19" t="b">
        <v>0</v>
      </c>
      <c r="AC19" t="b">
        <v>0</v>
      </c>
      <c r="AD19" t="b">
        <v>0</v>
      </c>
      <c r="AE19" t="b">
        <v>0</v>
      </c>
      <c r="AF19" s="15" t="b">
        <v>0</v>
      </c>
      <c r="AG19" t="b">
        <v>0</v>
      </c>
      <c r="AH19" t="b">
        <v>0</v>
      </c>
      <c r="AI19" t="b">
        <v>1</v>
      </c>
    </row>
    <row r="20" spans="1:35" x14ac:dyDescent="0.35">
      <c r="A20" s="8">
        <f t="shared" si="0"/>
        <v>9</v>
      </c>
      <c r="B20" s="8" t="s">
        <v>288</v>
      </c>
      <c r="C20" s="10" t="s">
        <v>288</v>
      </c>
      <c r="D20" s="410" t="s">
        <v>479</v>
      </c>
      <c r="E20" s="12" t="s">
        <v>84</v>
      </c>
      <c r="F20" s="10" t="s">
        <v>86</v>
      </c>
      <c r="G20" s="10" t="s">
        <v>216</v>
      </c>
      <c r="H20" s="10" t="s">
        <v>480</v>
      </c>
      <c r="I20" s="10" t="s">
        <v>481</v>
      </c>
      <c r="J20" s="10" t="s">
        <v>68</v>
      </c>
      <c r="K20" s="10">
        <v>0</v>
      </c>
      <c r="L20" s="10">
        <v>0</v>
      </c>
      <c r="M20" s="10">
        <v>-1</v>
      </c>
      <c r="N20" s="10" t="s">
        <v>86</v>
      </c>
      <c r="O20" s="10">
        <v>0</v>
      </c>
      <c r="P20" s="10">
        <v>1</v>
      </c>
      <c r="Q20" s="10">
        <v>0</v>
      </c>
      <c r="R20" t="s">
        <v>161</v>
      </c>
      <c r="S20" t="s">
        <v>162</v>
      </c>
      <c r="T20" t="s">
        <v>300</v>
      </c>
      <c r="U20" s="14" t="b">
        <v>0</v>
      </c>
      <c r="V20" t="b">
        <v>1</v>
      </c>
      <c r="W20" t="b">
        <v>0</v>
      </c>
      <c r="X20" t="b">
        <v>0</v>
      </c>
      <c r="Y20" t="b">
        <v>1</v>
      </c>
      <c r="Z20" t="b">
        <v>0</v>
      </c>
      <c r="AA20" t="b">
        <v>0</v>
      </c>
      <c r="AB20" t="b">
        <v>0</v>
      </c>
      <c r="AC20" t="b">
        <v>0</v>
      </c>
      <c r="AD20" t="b">
        <v>0</v>
      </c>
      <c r="AE20" t="b">
        <v>0</v>
      </c>
      <c r="AF20" s="15" t="b">
        <v>0</v>
      </c>
      <c r="AG20" t="b">
        <v>0</v>
      </c>
      <c r="AH20" t="b">
        <v>0</v>
      </c>
      <c r="AI20" t="b">
        <v>1</v>
      </c>
    </row>
    <row r="21" spans="1:35" x14ac:dyDescent="0.35">
      <c r="A21" s="8">
        <f t="shared" si="0"/>
        <v>10</v>
      </c>
      <c r="B21" s="8" t="s">
        <v>288</v>
      </c>
      <c r="C21" s="10" t="s">
        <v>288</v>
      </c>
      <c r="D21" s="410" t="s">
        <v>479</v>
      </c>
      <c r="E21" s="12" t="s">
        <v>67</v>
      </c>
      <c r="F21" s="10" t="s">
        <v>87</v>
      </c>
      <c r="G21" s="10" t="s">
        <v>216</v>
      </c>
      <c r="H21" s="10" t="s">
        <v>480</v>
      </c>
      <c r="I21" s="10" t="s">
        <v>481</v>
      </c>
      <c r="J21" s="10" t="s">
        <v>59</v>
      </c>
      <c r="K21" s="10">
        <v>0</v>
      </c>
      <c r="L21" s="10">
        <v>0</v>
      </c>
      <c r="M21" s="10">
        <v>-1</v>
      </c>
      <c r="N21" s="10" t="s">
        <v>86</v>
      </c>
      <c r="O21" s="10">
        <v>0</v>
      </c>
      <c r="P21" s="10">
        <v>1</v>
      </c>
      <c r="Q21" s="10">
        <v>0</v>
      </c>
      <c r="R21" t="s">
        <v>161</v>
      </c>
      <c r="S21" t="s">
        <v>162</v>
      </c>
      <c r="T21" t="s">
        <v>300</v>
      </c>
      <c r="U21" s="14" t="b">
        <v>0</v>
      </c>
      <c r="V21" t="b">
        <v>1</v>
      </c>
      <c r="W21" t="b">
        <v>0</v>
      </c>
      <c r="X21" t="b">
        <v>0</v>
      </c>
      <c r="Y21" t="b">
        <v>1</v>
      </c>
      <c r="Z21" t="b">
        <v>0</v>
      </c>
      <c r="AA21" t="b">
        <v>0</v>
      </c>
      <c r="AB21" t="b">
        <v>0</v>
      </c>
      <c r="AC21" t="b">
        <v>0</v>
      </c>
      <c r="AD21" t="b">
        <v>0</v>
      </c>
      <c r="AE21" t="b">
        <v>0</v>
      </c>
      <c r="AF21" s="15" t="b">
        <v>0</v>
      </c>
      <c r="AG21" t="b">
        <v>0</v>
      </c>
      <c r="AH21" t="b">
        <v>0</v>
      </c>
      <c r="AI21" t="b">
        <v>1</v>
      </c>
    </row>
    <row r="22" spans="1:35" x14ac:dyDescent="0.35">
      <c r="A22" s="8">
        <f t="shared" si="0"/>
        <v>11</v>
      </c>
      <c r="B22" s="8" t="s">
        <v>288</v>
      </c>
      <c r="C22" s="10" t="s">
        <v>288</v>
      </c>
      <c r="D22" s="410" t="s">
        <v>479</v>
      </c>
      <c r="E22" s="12" t="s">
        <v>67</v>
      </c>
      <c r="F22" s="10" t="s">
        <v>87</v>
      </c>
      <c r="G22" s="10" t="s">
        <v>216</v>
      </c>
      <c r="H22" s="10" t="s">
        <v>480</v>
      </c>
      <c r="I22" s="10" t="s">
        <v>481</v>
      </c>
      <c r="J22" s="10" t="s">
        <v>68</v>
      </c>
      <c r="K22" s="10">
        <v>0</v>
      </c>
      <c r="L22" s="10">
        <v>0</v>
      </c>
      <c r="M22" s="10">
        <v>-1</v>
      </c>
      <c r="N22" s="10" t="s">
        <v>86</v>
      </c>
      <c r="O22" s="10">
        <v>0</v>
      </c>
      <c r="P22" s="10">
        <v>1</v>
      </c>
      <c r="Q22" s="10">
        <v>0</v>
      </c>
      <c r="R22" t="s">
        <v>161</v>
      </c>
      <c r="S22" t="s">
        <v>162</v>
      </c>
      <c r="T22" t="s">
        <v>300</v>
      </c>
      <c r="U22" s="14" t="b">
        <v>0</v>
      </c>
      <c r="V22" t="b">
        <v>1</v>
      </c>
      <c r="W22" t="b">
        <v>0</v>
      </c>
      <c r="X22" t="b">
        <v>0</v>
      </c>
      <c r="Y22" t="b">
        <v>1</v>
      </c>
      <c r="Z22" t="b">
        <v>0</v>
      </c>
      <c r="AA22" t="b">
        <v>0</v>
      </c>
      <c r="AB22" t="b">
        <v>0</v>
      </c>
      <c r="AC22" t="b">
        <v>0</v>
      </c>
      <c r="AD22" t="b">
        <v>0</v>
      </c>
      <c r="AE22" t="b">
        <v>0</v>
      </c>
      <c r="AF22" s="15" t="b">
        <v>0</v>
      </c>
      <c r="AG22" t="b">
        <v>0</v>
      </c>
      <c r="AH22" t="b">
        <v>0</v>
      </c>
      <c r="AI22" t="b">
        <v>1</v>
      </c>
    </row>
    <row r="23" spans="1:35" x14ac:dyDescent="0.35">
      <c r="A23" s="8">
        <f t="shared" si="0"/>
        <v>12</v>
      </c>
      <c r="B23" s="8" t="s">
        <v>288</v>
      </c>
      <c r="C23" s="10" t="s">
        <v>288</v>
      </c>
      <c r="D23" s="410" t="s">
        <v>479</v>
      </c>
      <c r="E23" s="12" t="s">
        <v>272</v>
      </c>
      <c r="F23" s="10" t="s">
        <v>86</v>
      </c>
      <c r="G23" s="10" t="s">
        <v>216</v>
      </c>
      <c r="H23" s="10" t="s">
        <v>480</v>
      </c>
      <c r="I23" s="10" t="s">
        <v>481</v>
      </c>
      <c r="J23" s="10" t="s">
        <v>68</v>
      </c>
      <c r="K23" s="10">
        <v>0</v>
      </c>
      <c r="L23" s="10">
        <v>0</v>
      </c>
      <c r="M23" s="10">
        <v>-1</v>
      </c>
      <c r="N23" s="10" t="s">
        <v>86</v>
      </c>
      <c r="O23" s="10">
        <v>0</v>
      </c>
      <c r="P23" s="10">
        <v>1</v>
      </c>
      <c r="Q23" s="10">
        <v>0</v>
      </c>
      <c r="R23" t="s">
        <v>161</v>
      </c>
      <c r="S23" t="s">
        <v>162</v>
      </c>
      <c r="T23" t="s">
        <v>300</v>
      </c>
      <c r="U23" s="14" t="b">
        <v>0</v>
      </c>
      <c r="V23" t="b">
        <v>1</v>
      </c>
      <c r="W23" t="b">
        <v>0</v>
      </c>
      <c r="X23" t="b">
        <v>0</v>
      </c>
      <c r="Y23" t="b">
        <v>1</v>
      </c>
      <c r="Z23" t="b">
        <v>0</v>
      </c>
      <c r="AA23" t="b">
        <v>0</v>
      </c>
      <c r="AB23" t="b">
        <v>0</v>
      </c>
      <c r="AC23" t="b">
        <v>0</v>
      </c>
      <c r="AD23" t="b">
        <v>0</v>
      </c>
      <c r="AE23" t="b">
        <v>0</v>
      </c>
      <c r="AF23" s="15" t="b">
        <v>0</v>
      </c>
      <c r="AG23" t="b">
        <v>0</v>
      </c>
      <c r="AH23" t="b">
        <v>0</v>
      </c>
      <c r="AI23" t="b">
        <v>1</v>
      </c>
    </row>
    <row r="24" spans="1:35" x14ac:dyDescent="0.35">
      <c r="A24" s="8">
        <f t="shared" si="0"/>
        <v>13</v>
      </c>
      <c r="B24" s="8" t="s">
        <v>288</v>
      </c>
      <c r="C24" s="10" t="s">
        <v>288</v>
      </c>
      <c r="D24" s="410" t="s">
        <v>479</v>
      </c>
      <c r="E24" s="12" t="s">
        <v>171</v>
      </c>
      <c r="F24" s="10" t="s">
        <v>86</v>
      </c>
      <c r="G24" s="10" t="s">
        <v>216</v>
      </c>
      <c r="H24" s="10" t="s">
        <v>480</v>
      </c>
      <c r="I24" s="10" t="s">
        <v>481</v>
      </c>
      <c r="J24" s="10" t="s">
        <v>59</v>
      </c>
      <c r="K24" s="10">
        <v>0</v>
      </c>
      <c r="L24" s="10">
        <v>0</v>
      </c>
      <c r="M24" s="10">
        <v>-1</v>
      </c>
      <c r="N24" s="10" t="s">
        <v>86</v>
      </c>
      <c r="O24" s="10">
        <v>0</v>
      </c>
      <c r="P24" s="10">
        <v>1</v>
      </c>
      <c r="Q24" s="10">
        <v>0</v>
      </c>
      <c r="R24" t="s">
        <v>161</v>
      </c>
      <c r="S24" t="s">
        <v>162</v>
      </c>
      <c r="T24" t="s">
        <v>300</v>
      </c>
      <c r="U24" s="14" t="b">
        <v>0</v>
      </c>
      <c r="V24" t="b">
        <v>1</v>
      </c>
      <c r="W24" t="b">
        <v>0</v>
      </c>
      <c r="X24" t="b">
        <v>0</v>
      </c>
      <c r="Y24" t="b">
        <v>1</v>
      </c>
      <c r="Z24" t="b">
        <v>0</v>
      </c>
      <c r="AA24" t="b">
        <v>0</v>
      </c>
      <c r="AB24" t="b">
        <v>0</v>
      </c>
      <c r="AC24" t="b">
        <v>0</v>
      </c>
      <c r="AD24" t="b">
        <v>0</v>
      </c>
      <c r="AE24" t="b">
        <v>0</v>
      </c>
      <c r="AF24" s="15" t="b">
        <v>0</v>
      </c>
      <c r="AG24" t="b">
        <v>0</v>
      </c>
      <c r="AH24" t="b">
        <v>0</v>
      </c>
      <c r="AI24" t="b">
        <v>1</v>
      </c>
    </row>
    <row r="25" spans="1:35" x14ac:dyDescent="0.35">
      <c r="A25" s="8">
        <f t="shared" si="0"/>
        <v>14</v>
      </c>
      <c r="B25" s="8" t="s">
        <v>288</v>
      </c>
      <c r="C25" s="10" t="s">
        <v>288</v>
      </c>
      <c r="D25" s="410" t="s">
        <v>479</v>
      </c>
      <c r="E25" s="12" t="s">
        <v>171</v>
      </c>
      <c r="F25" s="10" t="s">
        <v>86</v>
      </c>
      <c r="G25" s="10" t="s">
        <v>216</v>
      </c>
      <c r="H25" s="10" t="s">
        <v>480</v>
      </c>
      <c r="I25" s="10" t="s">
        <v>481</v>
      </c>
      <c r="J25" s="10" t="s">
        <v>68</v>
      </c>
      <c r="K25" s="10">
        <v>0</v>
      </c>
      <c r="L25" s="10">
        <v>0</v>
      </c>
      <c r="M25" s="10">
        <v>-1</v>
      </c>
      <c r="N25" s="10" t="s">
        <v>86</v>
      </c>
      <c r="O25" s="10">
        <v>0</v>
      </c>
      <c r="P25" s="10">
        <v>1</v>
      </c>
      <c r="Q25" s="10">
        <v>0</v>
      </c>
      <c r="R25" t="s">
        <v>161</v>
      </c>
      <c r="S25" t="s">
        <v>162</v>
      </c>
      <c r="T25" t="s">
        <v>300</v>
      </c>
      <c r="U25" s="14" t="b">
        <v>0</v>
      </c>
      <c r="V25" t="b">
        <v>1</v>
      </c>
      <c r="W25" t="b">
        <v>0</v>
      </c>
      <c r="X25" t="b">
        <v>0</v>
      </c>
      <c r="Y25" t="b">
        <v>1</v>
      </c>
      <c r="Z25" t="b">
        <v>0</v>
      </c>
      <c r="AA25" t="b">
        <v>0</v>
      </c>
      <c r="AB25" t="b">
        <v>0</v>
      </c>
      <c r="AC25" t="b">
        <v>0</v>
      </c>
      <c r="AD25" t="b">
        <v>0</v>
      </c>
      <c r="AE25" t="b">
        <v>0</v>
      </c>
      <c r="AF25" s="15" t="b">
        <v>0</v>
      </c>
      <c r="AG25" t="b">
        <v>0</v>
      </c>
      <c r="AH25" t="b">
        <v>0</v>
      </c>
      <c r="AI25" t="b">
        <v>1</v>
      </c>
    </row>
    <row r="26" spans="1:35" x14ac:dyDescent="0.35">
      <c r="C26"/>
      <c r="D26"/>
      <c r="E26"/>
      <c r="F26"/>
      <c r="G26"/>
      <c r="H26"/>
      <c r="I26"/>
      <c r="J26"/>
      <c r="K26"/>
      <c r="L26"/>
      <c r="M26"/>
      <c r="N26"/>
      <c r="O26"/>
      <c r="P26"/>
      <c r="Q26"/>
      <c r="U26"/>
      <c r="AF26"/>
    </row>
    <row r="27" spans="1:35" x14ac:dyDescent="0.35">
      <c r="C27"/>
      <c r="D27"/>
      <c r="E27"/>
      <c r="F27"/>
      <c r="G27"/>
      <c r="H27"/>
      <c r="I27"/>
      <c r="J27"/>
      <c r="K27"/>
      <c r="L27"/>
      <c r="M27"/>
      <c r="N27"/>
      <c r="O27"/>
      <c r="P27"/>
      <c r="Q27"/>
      <c r="U27"/>
      <c r="AF27"/>
    </row>
    <row r="28" spans="1:35" x14ac:dyDescent="0.35">
      <c r="C28"/>
      <c r="D28"/>
      <c r="E28"/>
      <c r="F28"/>
      <c r="G28"/>
      <c r="H28"/>
      <c r="I28"/>
      <c r="J28"/>
      <c r="K28"/>
      <c r="L28"/>
      <c r="M28"/>
      <c r="N28"/>
      <c r="O28"/>
      <c r="P28"/>
      <c r="Q28"/>
      <c r="U28"/>
      <c r="AF28"/>
    </row>
    <row r="29" spans="1:35" x14ac:dyDescent="0.35">
      <c r="C29"/>
      <c r="D29"/>
      <c r="E29"/>
      <c r="F29"/>
      <c r="G29"/>
      <c r="H29"/>
      <c r="I29"/>
      <c r="J29"/>
      <c r="K29"/>
      <c r="L29"/>
      <c r="M29"/>
      <c r="N29"/>
      <c r="O29"/>
      <c r="P29"/>
      <c r="Q29"/>
      <c r="U29"/>
      <c r="AF29"/>
    </row>
    <row r="30" spans="1:35" x14ac:dyDescent="0.35">
      <c r="C30"/>
      <c r="D30"/>
      <c r="E30"/>
      <c r="F30"/>
      <c r="G30"/>
      <c r="H30"/>
      <c r="I30"/>
      <c r="J30"/>
      <c r="K30"/>
      <c r="L30"/>
      <c r="M30"/>
      <c r="N30"/>
      <c r="O30"/>
      <c r="P30"/>
      <c r="Q30"/>
      <c r="U30"/>
      <c r="AF30"/>
    </row>
    <row r="31" spans="1:35" x14ac:dyDescent="0.35">
      <c r="C31"/>
      <c r="D31"/>
      <c r="E31"/>
      <c r="F31"/>
      <c r="G31"/>
      <c r="H31"/>
      <c r="I31"/>
      <c r="J31"/>
      <c r="K31"/>
      <c r="L31"/>
      <c r="M31"/>
      <c r="N31"/>
      <c r="O31"/>
      <c r="P31"/>
      <c r="Q31"/>
      <c r="U31"/>
      <c r="AF31"/>
    </row>
    <row r="32" spans="1:35" x14ac:dyDescent="0.35">
      <c r="C32"/>
      <c r="D32"/>
      <c r="E32"/>
      <c r="F32"/>
      <c r="G32"/>
      <c r="H32"/>
      <c r="I32"/>
      <c r="J32"/>
      <c r="K32"/>
      <c r="L32"/>
      <c r="M32"/>
      <c r="N32"/>
      <c r="O32"/>
      <c r="P32"/>
      <c r="Q32"/>
      <c r="U32"/>
      <c r="AF32"/>
    </row>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spans="1:35" x14ac:dyDescent="0.35">
      <c r="C49"/>
      <c r="D49"/>
      <c r="E49"/>
      <c r="F49"/>
      <c r="G49"/>
      <c r="H49"/>
      <c r="I49"/>
      <c r="J49"/>
      <c r="K49"/>
      <c r="L49"/>
      <c r="M49"/>
      <c r="N49"/>
      <c r="O49"/>
      <c r="P49"/>
      <c r="Q49"/>
      <c r="U49"/>
      <c r="AF49"/>
    </row>
    <row r="50" spans="1:35" x14ac:dyDescent="0.35">
      <c r="C50"/>
      <c r="D50"/>
      <c r="E50"/>
      <c r="F50"/>
      <c r="G50"/>
      <c r="H50"/>
      <c r="I50"/>
      <c r="J50"/>
      <c r="K50"/>
      <c r="L50"/>
      <c r="M50"/>
      <c r="N50"/>
      <c r="O50"/>
      <c r="P50"/>
      <c r="Q50"/>
      <c r="U50"/>
      <c r="AF50"/>
    </row>
    <row r="51" spans="1:35" x14ac:dyDescent="0.35">
      <c r="C51"/>
      <c r="D51"/>
      <c r="E51"/>
      <c r="F51"/>
      <c r="G51"/>
      <c r="H51"/>
      <c r="I51"/>
      <c r="J51"/>
      <c r="K51"/>
      <c r="L51"/>
      <c r="M51"/>
      <c r="N51"/>
      <c r="O51"/>
      <c r="P51"/>
      <c r="Q51"/>
      <c r="U51"/>
      <c r="AF51"/>
    </row>
    <row r="52" spans="1:35" x14ac:dyDescent="0.35">
      <c r="C52"/>
      <c r="D52"/>
      <c r="E52"/>
      <c r="F52"/>
      <c r="G52"/>
      <c r="H52"/>
      <c r="I52"/>
      <c r="J52"/>
      <c r="K52"/>
      <c r="L52"/>
      <c r="M52"/>
      <c r="N52"/>
      <c r="O52"/>
      <c r="P52"/>
      <c r="Q52"/>
      <c r="U52"/>
      <c r="AF52"/>
    </row>
    <row r="53" spans="1:35" x14ac:dyDescent="0.35">
      <c r="C53"/>
      <c r="D53"/>
      <c r="E53"/>
      <c r="F53"/>
      <c r="G53"/>
      <c r="H53"/>
      <c r="I53"/>
      <c r="J53"/>
      <c r="K53"/>
      <c r="L53"/>
      <c r="M53"/>
      <c r="N53"/>
      <c r="O53"/>
      <c r="P53"/>
      <c r="Q53"/>
      <c r="U53"/>
      <c r="AF53"/>
    </row>
    <row r="54" spans="1:35" s="10" customFormat="1" x14ac:dyDescent="0.35">
      <c r="A54" s="8"/>
      <c r="B54" s="8"/>
      <c r="D54"/>
      <c r="E54" s="8"/>
      <c r="R54"/>
      <c r="S54"/>
      <c r="T54"/>
      <c r="U54" s="14"/>
      <c r="V54"/>
      <c r="W54"/>
      <c r="X54"/>
      <c r="Y54"/>
      <c r="Z54"/>
      <c r="AA54"/>
      <c r="AB54"/>
      <c r="AC54"/>
      <c r="AD54"/>
      <c r="AE54"/>
      <c r="AF54" s="15"/>
      <c r="AG54"/>
      <c r="AH54"/>
      <c r="AI54"/>
    </row>
    <row r="55" spans="1:35" s="10" customFormat="1" x14ac:dyDescent="0.35">
      <c r="A55" s="8"/>
      <c r="B55" s="8"/>
      <c r="D55"/>
      <c r="E55" s="8"/>
      <c r="R55"/>
      <c r="S55"/>
      <c r="T55"/>
      <c r="U55" s="14"/>
      <c r="V55"/>
      <c r="W55"/>
      <c r="X55"/>
      <c r="Y55"/>
      <c r="Z55"/>
      <c r="AA55"/>
      <c r="AB55"/>
      <c r="AC55"/>
      <c r="AD55"/>
      <c r="AE55"/>
      <c r="AF55" s="15"/>
      <c r="AG55"/>
      <c r="AH55"/>
      <c r="AI55"/>
    </row>
    <row r="56" spans="1:35" s="10" customFormat="1" x14ac:dyDescent="0.35">
      <c r="A56" s="8"/>
      <c r="B56" s="8"/>
      <c r="D56"/>
      <c r="E56" s="8"/>
      <c r="R56"/>
      <c r="S56"/>
      <c r="T56"/>
      <c r="U56" s="14"/>
      <c r="V56"/>
      <c r="W56"/>
      <c r="X56"/>
      <c r="Y56"/>
      <c r="Z56"/>
      <c r="AA56"/>
      <c r="AB56"/>
      <c r="AC56"/>
      <c r="AD56"/>
      <c r="AE56"/>
      <c r="AF56" s="15"/>
      <c r="AG56"/>
      <c r="AH56"/>
      <c r="AI56"/>
    </row>
    <row r="57" spans="1:35" s="10" customFormat="1" x14ac:dyDescent="0.35">
      <c r="A57" s="8"/>
      <c r="B57" s="8"/>
      <c r="D57"/>
      <c r="E57" s="8"/>
      <c r="R57"/>
      <c r="S57"/>
      <c r="T57"/>
      <c r="U57" s="14"/>
      <c r="V57"/>
      <c r="W57"/>
      <c r="X57"/>
      <c r="Y57"/>
      <c r="Z57"/>
      <c r="AA57"/>
      <c r="AB57"/>
      <c r="AC57"/>
      <c r="AD57"/>
      <c r="AE57"/>
      <c r="AF57" s="15"/>
      <c r="AG57"/>
      <c r="AH57"/>
      <c r="AI57"/>
    </row>
    <row r="58" spans="1:35" s="10" customFormat="1" x14ac:dyDescent="0.35">
      <c r="A58" s="8"/>
      <c r="B58" s="8"/>
      <c r="D58"/>
      <c r="E58" s="8"/>
      <c r="R58"/>
      <c r="S58"/>
      <c r="T58"/>
      <c r="U58" s="14"/>
      <c r="V58"/>
      <c r="W58"/>
      <c r="X58"/>
      <c r="Y58"/>
      <c r="Z58"/>
      <c r="AA58"/>
      <c r="AB58"/>
      <c r="AC58"/>
      <c r="AD58"/>
      <c r="AE58"/>
      <c r="AF58" s="15"/>
      <c r="AG58"/>
      <c r="AH58"/>
      <c r="AI58"/>
    </row>
    <row r="59" spans="1:35" s="10" customFormat="1" x14ac:dyDescent="0.35">
      <c r="A59" s="8"/>
      <c r="B59" s="8"/>
      <c r="D59"/>
      <c r="E59" s="8"/>
      <c r="R59"/>
      <c r="S59"/>
      <c r="T59"/>
      <c r="U59" s="14"/>
      <c r="V59"/>
      <c r="W59"/>
      <c r="X59"/>
      <c r="Y59"/>
      <c r="Z59"/>
      <c r="AA59"/>
      <c r="AB59"/>
      <c r="AC59"/>
      <c r="AD59"/>
      <c r="AE59"/>
      <c r="AF59" s="15"/>
      <c r="AG59"/>
      <c r="AH59"/>
      <c r="AI59"/>
    </row>
    <row r="60" spans="1:35" s="10" customFormat="1" x14ac:dyDescent="0.35">
      <c r="A60" s="8"/>
      <c r="B60" s="8"/>
      <c r="D60"/>
      <c r="E60" s="8"/>
      <c r="R60"/>
      <c r="S60"/>
      <c r="T60"/>
      <c r="U60" s="14"/>
      <c r="V60"/>
      <c r="W60"/>
      <c r="X60"/>
      <c r="Y60"/>
      <c r="Z60"/>
      <c r="AA60"/>
      <c r="AB60"/>
      <c r="AC60"/>
      <c r="AD60"/>
      <c r="AE60"/>
      <c r="AF60" s="15"/>
      <c r="AG60"/>
      <c r="AH60"/>
      <c r="AI60"/>
    </row>
    <row r="61" spans="1:35" s="10" customFormat="1" x14ac:dyDescent="0.35">
      <c r="A61" s="8"/>
      <c r="B61" s="8"/>
      <c r="D61"/>
      <c r="E61" s="8"/>
      <c r="R61"/>
      <c r="S61"/>
      <c r="T61"/>
      <c r="U61" s="14"/>
      <c r="V61"/>
      <c r="W61"/>
      <c r="X61"/>
      <c r="Y61"/>
      <c r="Z61"/>
      <c r="AA61"/>
      <c r="AB61"/>
      <c r="AC61"/>
      <c r="AD61"/>
      <c r="AE61"/>
      <c r="AF61" s="15"/>
      <c r="AG61"/>
      <c r="AH61"/>
      <c r="AI61"/>
    </row>
    <row r="62" spans="1:35" s="10" customFormat="1" x14ac:dyDescent="0.35">
      <c r="A62" s="8"/>
      <c r="B62" s="8"/>
      <c r="D62"/>
      <c r="E62" s="8"/>
      <c r="R62"/>
      <c r="S62"/>
      <c r="T62"/>
      <c r="U62" s="14"/>
      <c r="V62"/>
      <c r="W62"/>
      <c r="X62"/>
      <c r="Y62"/>
      <c r="Z62"/>
      <c r="AA62"/>
      <c r="AB62"/>
      <c r="AC62"/>
      <c r="AD62"/>
      <c r="AE62"/>
      <c r="AF62" s="15"/>
      <c r="AG62"/>
      <c r="AH62"/>
      <c r="AI62"/>
    </row>
    <row r="63" spans="1:35" s="10" customFormat="1" x14ac:dyDescent="0.35">
      <c r="A63" s="8"/>
      <c r="B63" s="8"/>
      <c r="D63"/>
      <c r="E63" s="8"/>
      <c r="R63"/>
      <c r="S63"/>
      <c r="T63"/>
      <c r="U63" s="14"/>
      <c r="V63"/>
      <c r="W63"/>
      <c r="X63"/>
      <c r="Y63"/>
      <c r="Z63"/>
      <c r="AA63"/>
      <c r="AB63"/>
      <c r="AC63"/>
      <c r="AD63"/>
      <c r="AE63"/>
      <c r="AF63" s="15"/>
      <c r="AG63"/>
      <c r="AH63"/>
      <c r="AI63"/>
    </row>
    <row r="64" spans="1:35" s="10" customFormat="1" x14ac:dyDescent="0.35">
      <c r="A64" s="8"/>
      <c r="B64" s="8"/>
      <c r="D64"/>
      <c r="E64" s="8"/>
      <c r="R64"/>
      <c r="S64"/>
      <c r="T64"/>
      <c r="U64" s="14"/>
      <c r="V64"/>
      <c r="W64"/>
      <c r="X64"/>
      <c r="Y64"/>
      <c r="Z64"/>
      <c r="AA64"/>
      <c r="AB64"/>
      <c r="AC64"/>
      <c r="AD64"/>
      <c r="AE64"/>
      <c r="AF64" s="15"/>
      <c r="AG64"/>
      <c r="AH64"/>
      <c r="AI64"/>
    </row>
    <row r="65" spans="1:35" s="10" customFormat="1" x14ac:dyDescent="0.35">
      <c r="A65" s="8"/>
      <c r="B65" s="8"/>
      <c r="D65"/>
      <c r="E65" s="8"/>
      <c r="R65"/>
      <c r="S65"/>
      <c r="T65"/>
      <c r="U65" s="14"/>
      <c r="V65"/>
      <c r="W65"/>
      <c r="X65"/>
      <c r="Y65"/>
      <c r="Z65"/>
      <c r="AA65"/>
      <c r="AB65"/>
      <c r="AC65"/>
      <c r="AD65"/>
      <c r="AE65"/>
      <c r="AF65" s="15"/>
      <c r="AG65"/>
      <c r="AH65"/>
      <c r="AI65"/>
    </row>
    <row r="66" spans="1:35" s="10" customFormat="1" x14ac:dyDescent="0.35">
      <c r="A66" s="8"/>
      <c r="B66" s="8"/>
      <c r="D66"/>
      <c r="E66" s="8"/>
      <c r="R66"/>
      <c r="S66"/>
      <c r="T66"/>
      <c r="U66" s="14"/>
      <c r="V66"/>
      <c r="W66"/>
      <c r="X66"/>
      <c r="Y66"/>
      <c r="Z66"/>
      <c r="AA66"/>
      <c r="AB66"/>
      <c r="AC66"/>
      <c r="AD66"/>
      <c r="AE66"/>
      <c r="AF66" s="15"/>
      <c r="AG66"/>
      <c r="AH66"/>
      <c r="AI66"/>
    </row>
    <row r="67" spans="1:35" s="10" customFormat="1" x14ac:dyDescent="0.35">
      <c r="A67" s="8"/>
      <c r="B67" s="8"/>
      <c r="D67"/>
      <c r="E67" s="8"/>
      <c r="R67"/>
      <c r="S67"/>
      <c r="T67"/>
      <c r="U67" s="14"/>
      <c r="V67"/>
      <c r="W67"/>
      <c r="X67"/>
      <c r="Y67"/>
      <c r="Z67"/>
      <c r="AA67"/>
      <c r="AB67"/>
      <c r="AC67"/>
      <c r="AD67"/>
      <c r="AE67"/>
      <c r="AF67" s="15"/>
      <c r="AG67"/>
      <c r="AH67"/>
      <c r="AI67"/>
    </row>
    <row r="68" spans="1:35" s="10" customFormat="1" x14ac:dyDescent="0.35">
      <c r="A68" s="8"/>
      <c r="B68" s="8"/>
      <c r="D68"/>
      <c r="E68" s="8"/>
      <c r="R68"/>
      <c r="S68"/>
      <c r="T68"/>
      <c r="U68" s="14"/>
      <c r="V68"/>
      <c r="W68"/>
      <c r="X68"/>
      <c r="Y68"/>
      <c r="Z68"/>
      <c r="AA68"/>
      <c r="AB68"/>
      <c r="AC68"/>
      <c r="AD68"/>
      <c r="AE68"/>
      <c r="AF68" s="15"/>
      <c r="AG68"/>
      <c r="AH68"/>
      <c r="AI68"/>
    </row>
    <row r="69" spans="1:35" s="10" customFormat="1" x14ac:dyDescent="0.35">
      <c r="A69" s="8"/>
      <c r="B69" s="8"/>
      <c r="D69"/>
      <c r="E69" s="8"/>
      <c r="R69"/>
      <c r="S69"/>
      <c r="T69"/>
      <c r="U69" s="14"/>
      <c r="V69"/>
      <c r="W69"/>
      <c r="X69"/>
      <c r="Y69"/>
      <c r="Z69"/>
      <c r="AA69"/>
      <c r="AB69"/>
      <c r="AC69"/>
      <c r="AD69"/>
      <c r="AE69"/>
      <c r="AF69" s="15"/>
      <c r="AG69"/>
      <c r="AH69"/>
      <c r="AI69"/>
    </row>
    <row r="70" spans="1:35" s="10" customFormat="1" x14ac:dyDescent="0.35">
      <c r="A70" s="8"/>
      <c r="B70" s="8"/>
      <c r="D70"/>
      <c r="E70" s="8"/>
      <c r="R70"/>
      <c r="S70"/>
      <c r="T70"/>
      <c r="U70" s="14"/>
      <c r="V70"/>
      <c r="W70"/>
      <c r="X70"/>
      <c r="Y70"/>
      <c r="Z70"/>
      <c r="AA70"/>
      <c r="AB70"/>
      <c r="AC70"/>
      <c r="AD70"/>
      <c r="AE70"/>
      <c r="AF70" s="15"/>
      <c r="AG70"/>
      <c r="AH70"/>
      <c r="AI70"/>
    </row>
    <row r="71" spans="1:35" s="10" customFormat="1" x14ac:dyDescent="0.35">
      <c r="A71" s="8"/>
      <c r="B71" s="8"/>
      <c r="D71"/>
      <c r="E71" s="8"/>
      <c r="R71"/>
      <c r="S71"/>
      <c r="T71"/>
      <c r="U71" s="14"/>
      <c r="V71"/>
      <c r="W71"/>
      <c r="X71"/>
      <c r="Y71"/>
      <c r="Z71"/>
      <c r="AA71"/>
      <c r="AB71"/>
      <c r="AC71"/>
      <c r="AD71"/>
      <c r="AE71"/>
      <c r="AF71" s="15"/>
      <c r="AG71"/>
      <c r="AH71"/>
      <c r="AI71"/>
    </row>
    <row r="72" spans="1:35" s="10" customFormat="1" x14ac:dyDescent="0.35">
      <c r="A72" s="8"/>
      <c r="B72" s="8"/>
      <c r="D72"/>
      <c r="E72" s="8"/>
      <c r="R72"/>
      <c r="S72"/>
      <c r="T72"/>
      <c r="U72" s="14"/>
      <c r="V72"/>
      <c r="W72"/>
      <c r="X72"/>
      <c r="Y72"/>
      <c r="Z72"/>
      <c r="AA72"/>
      <c r="AB72"/>
      <c r="AC72"/>
      <c r="AD72"/>
      <c r="AE72"/>
      <c r="AF72" s="15"/>
      <c r="AG72"/>
      <c r="AH72"/>
      <c r="AI72"/>
    </row>
    <row r="73" spans="1:35" s="10" customFormat="1" x14ac:dyDescent="0.35">
      <c r="A73" s="8"/>
      <c r="B73" s="8"/>
      <c r="D73"/>
      <c r="E73" s="8"/>
      <c r="R73"/>
      <c r="S73"/>
      <c r="T73"/>
      <c r="U73" s="14"/>
      <c r="V73"/>
      <c r="W73"/>
      <c r="X73"/>
      <c r="Y73"/>
      <c r="Z73"/>
      <c r="AA73"/>
      <c r="AB73"/>
      <c r="AC73"/>
      <c r="AD73"/>
      <c r="AE73"/>
      <c r="AF73" s="15"/>
      <c r="AG73"/>
      <c r="AH73"/>
      <c r="AI73"/>
    </row>
    <row r="74" spans="1:35" s="10" customFormat="1" x14ac:dyDescent="0.35">
      <c r="A74" s="8"/>
      <c r="B74" s="8"/>
      <c r="D74"/>
      <c r="E74" s="8"/>
      <c r="R74"/>
      <c r="S74"/>
      <c r="T74"/>
      <c r="U74" s="14"/>
      <c r="V74"/>
      <c r="W74"/>
      <c r="X74"/>
      <c r="Y74"/>
      <c r="Z74"/>
      <c r="AA74"/>
      <c r="AB74"/>
      <c r="AC74"/>
      <c r="AD74"/>
      <c r="AE74"/>
      <c r="AF74" s="15"/>
      <c r="AG74"/>
      <c r="AH74"/>
      <c r="AI74"/>
    </row>
    <row r="75" spans="1:35" s="10" customFormat="1" x14ac:dyDescent="0.35">
      <c r="A75" s="8"/>
      <c r="B75" s="8"/>
      <c r="D75"/>
      <c r="E75" s="8"/>
      <c r="R75"/>
      <c r="S75"/>
      <c r="T75"/>
      <c r="U75" s="14"/>
      <c r="V75"/>
      <c r="W75"/>
      <c r="X75"/>
      <c r="Y75"/>
      <c r="Z75"/>
      <c r="AA75"/>
      <c r="AB75"/>
      <c r="AC75"/>
      <c r="AD75"/>
      <c r="AE75"/>
      <c r="AF75" s="15"/>
      <c r="AG75"/>
      <c r="AH75"/>
      <c r="AI75"/>
    </row>
    <row r="76" spans="1:35" s="10" customFormat="1" x14ac:dyDescent="0.35">
      <c r="A76" s="8"/>
      <c r="B76" s="8"/>
      <c r="D76"/>
      <c r="E76" s="8"/>
      <c r="R76"/>
      <c r="S76"/>
      <c r="T76"/>
      <c r="U76" s="14"/>
      <c r="V76"/>
      <c r="W76"/>
      <c r="X76"/>
      <c r="Y76"/>
      <c r="Z76"/>
      <c r="AA76"/>
      <c r="AB76"/>
      <c r="AC76"/>
      <c r="AD76"/>
      <c r="AE76"/>
      <c r="AF76" s="15"/>
      <c r="AG76"/>
      <c r="AH76"/>
      <c r="AI76"/>
    </row>
    <row r="77" spans="1:35" s="10" customFormat="1" x14ac:dyDescent="0.35">
      <c r="A77" s="8"/>
      <c r="B77" s="8"/>
      <c r="D77"/>
      <c r="E77" s="8"/>
      <c r="R77"/>
      <c r="S77"/>
      <c r="T77"/>
      <c r="U77" s="14"/>
      <c r="V77"/>
      <c r="W77"/>
      <c r="X77"/>
      <c r="Y77"/>
      <c r="Z77"/>
      <c r="AA77"/>
      <c r="AB77"/>
      <c r="AC77"/>
      <c r="AD77"/>
      <c r="AE77"/>
      <c r="AF77" s="15"/>
      <c r="AG77"/>
      <c r="AH77"/>
      <c r="AI77"/>
    </row>
    <row r="78" spans="1:35" s="10" customFormat="1" x14ac:dyDescent="0.35">
      <c r="A78" s="8"/>
      <c r="B78" s="8"/>
      <c r="D78"/>
      <c r="E78" s="8"/>
      <c r="R78"/>
      <c r="S78"/>
      <c r="T78"/>
      <c r="U78" s="14"/>
      <c r="V78"/>
      <c r="W78"/>
      <c r="X78"/>
      <c r="Y78"/>
      <c r="Z78"/>
      <c r="AA78"/>
      <c r="AB78"/>
      <c r="AC78"/>
      <c r="AD78"/>
      <c r="AE78"/>
      <c r="AF78" s="15"/>
      <c r="AG78"/>
      <c r="AH78"/>
      <c r="AI78"/>
    </row>
    <row r="79" spans="1:35" s="10" customFormat="1" x14ac:dyDescent="0.35">
      <c r="A79" s="8"/>
      <c r="B79" s="8"/>
      <c r="D79"/>
      <c r="E79" s="8"/>
      <c r="R79"/>
      <c r="S79"/>
      <c r="T79"/>
      <c r="U79" s="14"/>
      <c r="V79"/>
      <c r="W79"/>
      <c r="X79"/>
      <c r="Y79"/>
      <c r="Z79"/>
      <c r="AA79"/>
      <c r="AB79"/>
      <c r="AC79"/>
      <c r="AD79"/>
      <c r="AE79"/>
      <c r="AF79" s="15"/>
      <c r="AG79"/>
      <c r="AH79"/>
      <c r="AI79"/>
    </row>
    <row r="80" spans="1:35" s="10" customFormat="1" x14ac:dyDescent="0.35">
      <c r="A80" s="8"/>
      <c r="B80" s="8"/>
      <c r="D80"/>
      <c r="E80" s="8"/>
      <c r="R80"/>
      <c r="S80"/>
      <c r="T80"/>
      <c r="U80" s="14"/>
      <c r="V80"/>
      <c r="W80"/>
      <c r="X80"/>
      <c r="Y80"/>
      <c r="Z80"/>
      <c r="AA80"/>
      <c r="AB80"/>
      <c r="AC80"/>
      <c r="AD80"/>
      <c r="AE80"/>
      <c r="AF80" s="15"/>
      <c r="AG80"/>
      <c r="AH80"/>
      <c r="AI80"/>
    </row>
    <row r="81" spans="1:35" s="10" customFormat="1" x14ac:dyDescent="0.35">
      <c r="A81" s="8"/>
      <c r="B81" s="8"/>
      <c r="D81"/>
      <c r="E81" s="8"/>
      <c r="R81"/>
      <c r="S81"/>
      <c r="T81"/>
      <c r="U81" s="14"/>
      <c r="V81"/>
      <c r="W81"/>
      <c r="X81"/>
      <c r="Y81"/>
      <c r="Z81"/>
      <c r="AA81"/>
      <c r="AB81"/>
      <c r="AC81"/>
      <c r="AD81"/>
      <c r="AE81"/>
      <c r="AF81" s="15"/>
      <c r="AG81"/>
      <c r="AH81"/>
      <c r="AI81"/>
    </row>
    <row r="82" spans="1:35" s="10" customFormat="1" x14ac:dyDescent="0.35">
      <c r="A82" s="8"/>
      <c r="B82" s="8"/>
      <c r="D82"/>
      <c r="E82" s="8"/>
      <c r="R82"/>
      <c r="S82"/>
      <c r="T82"/>
      <c r="U82" s="14"/>
      <c r="V82"/>
      <c r="W82"/>
      <c r="X82"/>
      <c r="Y82"/>
      <c r="Z82"/>
      <c r="AA82"/>
      <c r="AB82"/>
      <c r="AC82"/>
      <c r="AD82"/>
      <c r="AE82"/>
      <c r="AF82" s="15"/>
      <c r="AG82"/>
      <c r="AH82"/>
      <c r="AI82"/>
    </row>
    <row r="83" spans="1:35" s="10" customFormat="1" x14ac:dyDescent="0.35">
      <c r="A83" s="8"/>
      <c r="B83" s="8"/>
      <c r="D83"/>
      <c r="E83" s="8"/>
      <c r="R83"/>
      <c r="S83"/>
      <c r="T83"/>
      <c r="U83" s="14"/>
      <c r="V83"/>
      <c r="W83"/>
      <c r="X83"/>
      <c r="Y83"/>
      <c r="Z83"/>
      <c r="AA83"/>
      <c r="AB83"/>
      <c r="AC83"/>
      <c r="AD83"/>
      <c r="AE83"/>
      <c r="AF83" s="15"/>
      <c r="AG83"/>
      <c r="AH83"/>
      <c r="AI83"/>
    </row>
    <row r="84" spans="1:35" s="10" customFormat="1" x14ac:dyDescent="0.35">
      <c r="A84" s="8"/>
      <c r="B84" s="8"/>
      <c r="D84"/>
      <c r="E84" s="8"/>
      <c r="R84"/>
      <c r="S84"/>
      <c r="T84"/>
      <c r="U84" s="14"/>
      <c r="V84"/>
      <c r="W84"/>
      <c r="X84"/>
      <c r="Y84"/>
      <c r="Z84"/>
      <c r="AA84"/>
      <c r="AB84"/>
      <c r="AC84"/>
      <c r="AD84"/>
      <c r="AE84"/>
      <c r="AF84" s="15"/>
      <c r="AG84"/>
      <c r="AH84"/>
      <c r="AI84"/>
    </row>
    <row r="85" spans="1:35" s="10" customFormat="1" x14ac:dyDescent="0.35">
      <c r="A85" s="8"/>
      <c r="B85" s="8"/>
      <c r="D85"/>
      <c r="E85" s="8"/>
      <c r="R85"/>
      <c r="S85"/>
      <c r="T85"/>
      <c r="U85" s="14"/>
      <c r="V85"/>
      <c r="W85"/>
      <c r="X85"/>
      <c r="Y85"/>
      <c r="Z85"/>
      <c r="AA85"/>
      <c r="AB85"/>
      <c r="AC85"/>
      <c r="AD85"/>
      <c r="AE85"/>
      <c r="AF85" s="15"/>
      <c r="AG85"/>
      <c r="AH85"/>
      <c r="AI85"/>
    </row>
    <row r="86" spans="1:35" s="10" customFormat="1" x14ac:dyDescent="0.35">
      <c r="A86" s="8"/>
      <c r="B86" s="8"/>
      <c r="D86"/>
      <c r="E86" s="8"/>
      <c r="R86"/>
      <c r="S86"/>
      <c r="T86"/>
      <c r="U86" s="14"/>
      <c r="V86"/>
      <c r="W86"/>
      <c r="X86"/>
      <c r="Y86"/>
      <c r="Z86"/>
      <c r="AA86"/>
      <c r="AB86"/>
      <c r="AC86"/>
      <c r="AD86"/>
      <c r="AE86"/>
      <c r="AF86" s="15"/>
      <c r="AG86"/>
      <c r="AH86"/>
      <c r="AI86"/>
    </row>
    <row r="87" spans="1:35" s="10" customFormat="1" x14ac:dyDescent="0.35">
      <c r="A87" s="8"/>
      <c r="B87" s="8"/>
      <c r="D87"/>
      <c r="E87" s="8"/>
      <c r="R87"/>
      <c r="S87"/>
      <c r="T87"/>
      <c r="U87" s="14"/>
      <c r="V87"/>
      <c r="W87"/>
      <c r="X87"/>
      <c r="Y87"/>
      <c r="Z87"/>
      <c r="AA87"/>
      <c r="AB87"/>
      <c r="AC87"/>
      <c r="AD87"/>
      <c r="AE87"/>
      <c r="AF87" s="15"/>
      <c r="AG87"/>
      <c r="AH87"/>
      <c r="AI87"/>
    </row>
    <row r="88" spans="1:35" s="10" customFormat="1" x14ac:dyDescent="0.35">
      <c r="A88" s="8"/>
      <c r="B88" s="8"/>
      <c r="D88"/>
      <c r="E88" s="8"/>
      <c r="R88"/>
      <c r="S88"/>
      <c r="T88"/>
      <c r="U88" s="14"/>
      <c r="V88"/>
      <c r="W88"/>
      <c r="X88"/>
      <c r="Y88"/>
      <c r="Z88"/>
      <c r="AA88"/>
      <c r="AB88"/>
      <c r="AC88"/>
      <c r="AD88"/>
      <c r="AE88"/>
      <c r="AF88" s="15"/>
      <c r="AG88"/>
      <c r="AH88"/>
      <c r="AI88"/>
    </row>
    <row r="89" spans="1:35" s="10" customFormat="1" x14ac:dyDescent="0.35">
      <c r="A89" s="8"/>
      <c r="B89" s="8"/>
      <c r="D89"/>
      <c r="E89" s="8"/>
      <c r="R89"/>
      <c r="S89"/>
      <c r="T89"/>
      <c r="U89" s="14"/>
      <c r="V89"/>
      <c r="W89"/>
      <c r="X89"/>
      <c r="Y89"/>
      <c r="Z89"/>
      <c r="AA89"/>
      <c r="AB89"/>
      <c r="AC89"/>
      <c r="AD89"/>
      <c r="AE89"/>
      <c r="AF89" s="15"/>
      <c r="AG89"/>
      <c r="AH89"/>
      <c r="AI89"/>
    </row>
    <row r="90" spans="1:35" s="10" customFormat="1" x14ac:dyDescent="0.35">
      <c r="A90" s="8"/>
      <c r="B90" s="8"/>
      <c r="D90"/>
      <c r="E90" s="8"/>
      <c r="R90"/>
      <c r="S90"/>
      <c r="T90"/>
      <c r="U90" s="14"/>
      <c r="V90"/>
      <c r="W90"/>
      <c r="X90"/>
      <c r="Y90"/>
      <c r="Z90"/>
      <c r="AA90"/>
      <c r="AB90"/>
      <c r="AC90"/>
      <c r="AD90"/>
      <c r="AE90"/>
      <c r="AF90" s="15"/>
      <c r="AG90"/>
      <c r="AH90"/>
      <c r="AI90"/>
    </row>
    <row r="91" spans="1:35" s="10" customFormat="1" x14ac:dyDescent="0.35">
      <c r="A91" s="8"/>
      <c r="B91" s="8"/>
      <c r="D91"/>
      <c r="E91" s="8"/>
      <c r="R91"/>
      <c r="S91"/>
      <c r="T91"/>
      <c r="U91" s="14"/>
      <c r="V91"/>
      <c r="W91"/>
      <c r="X91"/>
      <c r="Y91"/>
      <c r="Z91"/>
      <c r="AA91"/>
      <c r="AB91"/>
      <c r="AC91"/>
      <c r="AD91"/>
      <c r="AE91"/>
      <c r="AF91" s="15"/>
      <c r="AG91"/>
      <c r="AH91"/>
      <c r="AI91"/>
    </row>
    <row r="92" spans="1:35" s="10" customFormat="1" x14ac:dyDescent="0.35">
      <c r="A92" s="8"/>
      <c r="B92" s="8"/>
      <c r="D92"/>
      <c r="E92" s="8"/>
      <c r="R92"/>
      <c r="S92"/>
      <c r="T92"/>
      <c r="U92" s="14"/>
      <c r="V92"/>
      <c r="W92"/>
      <c r="X92"/>
      <c r="Y92"/>
      <c r="Z92"/>
      <c r="AA92"/>
      <c r="AB92"/>
      <c r="AC92"/>
      <c r="AD92"/>
      <c r="AE92"/>
      <c r="AF92" s="15"/>
      <c r="AG92"/>
      <c r="AH92"/>
      <c r="AI92"/>
    </row>
    <row r="93" spans="1:35" s="10" customFormat="1" x14ac:dyDescent="0.35">
      <c r="A93" s="8"/>
      <c r="B93" s="8"/>
      <c r="D93"/>
      <c r="E93" s="8"/>
      <c r="R93"/>
      <c r="S93"/>
      <c r="T93"/>
      <c r="U93" s="14"/>
      <c r="V93"/>
      <c r="W93"/>
      <c r="X93"/>
      <c r="Y93"/>
      <c r="Z93"/>
      <c r="AA93"/>
      <c r="AB93"/>
      <c r="AC93"/>
      <c r="AD93"/>
      <c r="AE93"/>
      <c r="AF93" s="15"/>
      <c r="AG93"/>
      <c r="AH93"/>
      <c r="AI93"/>
    </row>
    <row r="94" spans="1:35" s="10" customFormat="1" x14ac:dyDescent="0.35">
      <c r="A94" s="8"/>
      <c r="B94" s="8"/>
      <c r="D94"/>
      <c r="E94" s="8"/>
      <c r="R94"/>
      <c r="S94"/>
      <c r="T94"/>
      <c r="U94" s="14"/>
      <c r="V94"/>
      <c r="W94"/>
      <c r="X94"/>
      <c r="Y94"/>
      <c r="Z94"/>
      <c r="AA94"/>
      <c r="AB94"/>
      <c r="AC94"/>
      <c r="AD94"/>
      <c r="AE94"/>
      <c r="AF94" s="15"/>
      <c r="AG94"/>
      <c r="AH94"/>
      <c r="AI94"/>
    </row>
    <row r="95" spans="1:35" s="10" customFormat="1" x14ac:dyDescent="0.35">
      <c r="A95" s="8"/>
      <c r="B95" s="8"/>
      <c r="D95"/>
      <c r="E95" s="8"/>
      <c r="R95"/>
      <c r="S95"/>
      <c r="T95"/>
      <c r="U95" s="14"/>
      <c r="V95"/>
      <c r="W95"/>
      <c r="X95"/>
      <c r="Y95"/>
      <c r="Z95"/>
      <c r="AA95"/>
      <c r="AB95"/>
      <c r="AC95"/>
      <c r="AD95"/>
      <c r="AE95"/>
      <c r="AF95" s="15"/>
      <c r="AG95"/>
      <c r="AH95"/>
      <c r="AI95"/>
    </row>
    <row r="96" spans="1:35" s="10" customFormat="1" x14ac:dyDescent="0.35">
      <c r="A96" s="8"/>
      <c r="B96" s="8"/>
      <c r="D96"/>
      <c r="E96" s="8"/>
      <c r="R96"/>
      <c r="S96"/>
      <c r="T96"/>
      <c r="U96" s="14"/>
      <c r="V96"/>
      <c r="W96"/>
      <c r="X96"/>
      <c r="Y96"/>
      <c r="Z96"/>
      <c r="AA96"/>
      <c r="AB96"/>
      <c r="AC96"/>
      <c r="AD96"/>
      <c r="AE96"/>
      <c r="AF96" s="15"/>
      <c r="AG96"/>
      <c r="AH96"/>
      <c r="AI96"/>
    </row>
    <row r="97" spans="1:35" s="10" customFormat="1" x14ac:dyDescent="0.35">
      <c r="A97" s="8"/>
      <c r="B97" s="8"/>
      <c r="D97"/>
      <c r="E97" s="8"/>
      <c r="R97"/>
      <c r="S97"/>
      <c r="T97"/>
      <c r="U97" s="14"/>
      <c r="V97"/>
      <c r="W97"/>
      <c r="X97"/>
      <c r="Y97"/>
      <c r="Z97"/>
      <c r="AA97"/>
      <c r="AB97"/>
      <c r="AC97"/>
      <c r="AD97"/>
      <c r="AE97"/>
      <c r="AF97" s="15"/>
      <c r="AG97"/>
      <c r="AH97"/>
      <c r="AI97"/>
    </row>
    <row r="98" spans="1:35" s="10" customFormat="1" x14ac:dyDescent="0.35">
      <c r="A98" s="8"/>
      <c r="B98" s="8"/>
      <c r="D98"/>
      <c r="E98" s="8"/>
      <c r="R98"/>
      <c r="S98"/>
      <c r="T98"/>
      <c r="U98" s="14"/>
      <c r="V98"/>
      <c r="W98"/>
      <c r="X98"/>
      <c r="Y98"/>
      <c r="Z98"/>
      <c r="AA98"/>
      <c r="AB98"/>
      <c r="AC98"/>
      <c r="AD98"/>
      <c r="AE98"/>
      <c r="AF98" s="15"/>
      <c r="AG98"/>
      <c r="AH98"/>
      <c r="AI98"/>
    </row>
    <row r="99" spans="1:35" s="10" customFormat="1" x14ac:dyDescent="0.35">
      <c r="A99" s="8"/>
      <c r="B99" s="8"/>
      <c r="D99"/>
      <c r="E99" s="8"/>
      <c r="R99"/>
      <c r="S99"/>
      <c r="T99"/>
      <c r="U99" s="14"/>
      <c r="V99"/>
      <c r="W99"/>
      <c r="X99"/>
      <c r="Y99"/>
      <c r="Z99"/>
      <c r="AA99"/>
      <c r="AB99"/>
      <c r="AC99"/>
      <c r="AD99"/>
      <c r="AE99"/>
      <c r="AF99" s="15"/>
      <c r="AG99"/>
      <c r="AH99"/>
      <c r="AI99"/>
    </row>
    <row r="100" spans="1:35" s="10" customFormat="1" x14ac:dyDescent="0.35">
      <c r="A100" s="8"/>
      <c r="B100" s="8"/>
      <c r="D100"/>
      <c r="E100" s="8"/>
      <c r="R100"/>
      <c r="S100"/>
      <c r="T100"/>
      <c r="U100" s="14"/>
      <c r="V100"/>
      <c r="W100"/>
      <c r="X100"/>
      <c r="Y100"/>
      <c r="Z100"/>
      <c r="AA100"/>
      <c r="AB100"/>
      <c r="AC100"/>
      <c r="AD100"/>
      <c r="AE100"/>
      <c r="AF100" s="15"/>
      <c r="AG100"/>
      <c r="AH100"/>
      <c r="AI100"/>
    </row>
    <row r="101" spans="1:35" s="10" customFormat="1" x14ac:dyDescent="0.35">
      <c r="A101" s="8"/>
      <c r="B101" s="8"/>
      <c r="D101"/>
      <c r="E101" s="8"/>
      <c r="R101"/>
      <c r="S101"/>
      <c r="T101"/>
      <c r="U101" s="14"/>
      <c r="V101"/>
      <c r="W101"/>
      <c r="X101"/>
      <c r="Y101"/>
      <c r="Z101"/>
      <c r="AA101"/>
      <c r="AB101"/>
      <c r="AC101"/>
      <c r="AD101"/>
      <c r="AE101"/>
      <c r="AF101" s="15"/>
      <c r="AG101"/>
      <c r="AH101"/>
      <c r="AI101"/>
    </row>
    <row r="102" spans="1:35" s="10" customFormat="1" x14ac:dyDescent="0.35">
      <c r="A102" s="8"/>
      <c r="B102" s="8"/>
      <c r="D102"/>
      <c r="E102" s="8"/>
      <c r="R102"/>
      <c r="S102"/>
      <c r="T102"/>
      <c r="U102" s="14"/>
      <c r="V102"/>
      <c r="W102"/>
      <c r="X102"/>
      <c r="Y102"/>
      <c r="Z102"/>
      <c r="AA102"/>
      <c r="AB102"/>
      <c r="AC102"/>
      <c r="AD102"/>
      <c r="AE102"/>
      <c r="AF102" s="15"/>
      <c r="AG102"/>
      <c r="AH102"/>
      <c r="AI102"/>
    </row>
    <row r="103" spans="1:35" s="10" customFormat="1" x14ac:dyDescent="0.35">
      <c r="A103" s="8"/>
      <c r="B103" s="8"/>
      <c r="D103"/>
      <c r="E103" s="8"/>
      <c r="R103"/>
      <c r="S103"/>
      <c r="T103"/>
      <c r="U103" s="14"/>
      <c r="V103"/>
      <c r="W103"/>
      <c r="X103"/>
      <c r="Y103"/>
      <c r="Z103"/>
      <c r="AA103"/>
      <c r="AB103"/>
      <c r="AC103"/>
      <c r="AD103"/>
      <c r="AE103"/>
      <c r="AF103" s="15"/>
      <c r="AG103"/>
      <c r="AH103"/>
      <c r="AI103"/>
    </row>
    <row r="104" spans="1:35" s="10" customFormat="1" x14ac:dyDescent="0.35">
      <c r="A104" s="8"/>
      <c r="B104" s="8"/>
      <c r="D104"/>
      <c r="E104" s="8"/>
      <c r="R104"/>
      <c r="S104"/>
      <c r="T104"/>
      <c r="U104" s="14"/>
      <c r="V104"/>
      <c r="W104"/>
      <c r="X104"/>
      <c r="Y104"/>
      <c r="Z104"/>
      <c r="AA104"/>
      <c r="AB104"/>
      <c r="AC104"/>
      <c r="AD104"/>
      <c r="AE104"/>
      <c r="AF104" s="15"/>
      <c r="AG104"/>
      <c r="AH104"/>
      <c r="AI104"/>
    </row>
    <row r="105" spans="1:35" s="10" customFormat="1" x14ac:dyDescent="0.35">
      <c r="A105" s="8"/>
      <c r="B105" s="8"/>
      <c r="D105"/>
      <c r="E105" s="8"/>
      <c r="R105"/>
      <c r="S105"/>
      <c r="T105"/>
      <c r="U105" s="14"/>
      <c r="V105"/>
      <c r="W105"/>
      <c r="X105"/>
      <c r="Y105"/>
      <c r="Z105"/>
      <c r="AA105"/>
      <c r="AB105"/>
      <c r="AC105"/>
      <c r="AD105"/>
      <c r="AE105"/>
      <c r="AF105" s="15"/>
      <c r="AG105"/>
      <c r="AH105"/>
      <c r="AI105"/>
    </row>
    <row r="106" spans="1:35" s="10" customFormat="1" x14ac:dyDescent="0.35">
      <c r="A106" s="8"/>
      <c r="B106" s="8"/>
      <c r="D106"/>
      <c r="E106" s="8"/>
      <c r="R106"/>
      <c r="S106"/>
      <c r="T106"/>
      <c r="U106" s="14"/>
      <c r="V106"/>
      <c r="W106"/>
      <c r="X106"/>
      <c r="Y106"/>
      <c r="Z106"/>
      <c r="AA106"/>
      <c r="AB106"/>
      <c r="AC106"/>
      <c r="AD106"/>
      <c r="AE106"/>
      <c r="AF106" s="15"/>
      <c r="AG106"/>
      <c r="AH106"/>
      <c r="AI106"/>
    </row>
    <row r="107" spans="1:35" s="10" customFormat="1" x14ac:dyDescent="0.35">
      <c r="A107" s="8"/>
      <c r="B107" s="8"/>
      <c r="D107"/>
      <c r="E107" s="8"/>
      <c r="R107"/>
      <c r="S107"/>
      <c r="T107"/>
      <c r="U107" s="14"/>
      <c r="V107"/>
      <c r="W107"/>
      <c r="X107"/>
      <c r="Y107"/>
      <c r="Z107"/>
      <c r="AA107"/>
      <c r="AB107"/>
      <c r="AC107"/>
      <c r="AD107"/>
      <c r="AE107"/>
      <c r="AF107" s="15"/>
      <c r="AG107"/>
      <c r="AH107"/>
      <c r="AI107"/>
    </row>
    <row r="108" spans="1:35" s="10" customFormat="1" x14ac:dyDescent="0.35">
      <c r="A108" s="8"/>
      <c r="B108" s="8"/>
      <c r="D108"/>
      <c r="E108" s="8"/>
      <c r="R108"/>
      <c r="S108"/>
      <c r="T108"/>
      <c r="U108" s="14"/>
      <c r="V108"/>
      <c r="W108"/>
      <c r="X108"/>
      <c r="Y108"/>
      <c r="Z108"/>
      <c r="AA108"/>
      <c r="AB108"/>
      <c r="AC108"/>
      <c r="AD108"/>
      <c r="AE108"/>
      <c r="AF108" s="15"/>
      <c r="AG108"/>
      <c r="AH108"/>
      <c r="AI108"/>
    </row>
    <row r="109" spans="1:35" s="10" customFormat="1" x14ac:dyDescent="0.35">
      <c r="A109" s="8"/>
      <c r="B109" s="8"/>
      <c r="D109"/>
      <c r="E109" s="8"/>
      <c r="R109"/>
      <c r="S109"/>
      <c r="T109"/>
      <c r="U109" s="14"/>
      <c r="V109"/>
      <c r="W109"/>
      <c r="X109"/>
      <c r="Y109"/>
      <c r="Z109"/>
      <c r="AA109"/>
      <c r="AB109"/>
      <c r="AC109"/>
      <c r="AD109"/>
      <c r="AE109"/>
      <c r="AF109" s="15"/>
      <c r="AG109"/>
      <c r="AH109"/>
      <c r="AI109"/>
    </row>
    <row r="110" spans="1:35" s="10" customFormat="1" x14ac:dyDescent="0.35">
      <c r="A110" s="8"/>
      <c r="B110" s="8"/>
      <c r="D110"/>
      <c r="E110" s="8"/>
      <c r="R110"/>
      <c r="S110"/>
      <c r="T110"/>
      <c r="U110" s="14"/>
      <c r="V110"/>
      <c r="W110"/>
      <c r="X110"/>
      <c r="Y110"/>
      <c r="Z110"/>
      <c r="AA110"/>
      <c r="AB110"/>
      <c r="AC110"/>
      <c r="AD110"/>
      <c r="AE110"/>
      <c r="AF110" s="15"/>
      <c r="AG110"/>
      <c r="AH110"/>
      <c r="AI110"/>
    </row>
    <row r="111" spans="1:35" s="10" customFormat="1" x14ac:dyDescent="0.35">
      <c r="A111" s="8"/>
      <c r="B111" s="8"/>
      <c r="D111"/>
      <c r="E111" s="8"/>
      <c r="R111"/>
      <c r="S111"/>
      <c r="T111"/>
      <c r="U111" s="14"/>
      <c r="V111"/>
      <c r="W111"/>
      <c r="X111"/>
      <c r="Y111"/>
      <c r="Z111"/>
      <c r="AA111"/>
      <c r="AB111"/>
      <c r="AC111"/>
      <c r="AD111"/>
      <c r="AE111"/>
      <c r="AF111" s="15"/>
      <c r="AG111"/>
      <c r="AH111"/>
      <c r="AI111"/>
    </row>
    <row r="112" spans="1:35" s="10" customFormat="1" x14ac:dyDescent="0.35">
      <c r="A112" s="8"/>
      <c r="B112" s="8"/>
      <c r="D112"/>
      <c r="E112" s="8"/>
      <c r="R112"/>
      <c r="S112"/>
      <c r="T112"/>
      <c r="U112" s="14"/>
      <c r="V112"/>
      <c r="W112"/>
      <c r="X112"/>
      <c r="Y112"/>
      <c r="Z112"/>
      <c r="AA112"/>
      <c r="AB112"/>
      <c r="AC112"/>
      <c r="AD112"/>
      <c r="AE112"/>
      <c r="AF112" s="15"/>
      <c r="AG112"/>
      <c r="AH112"/>
      <c r="AI112"/>
    </row>
    <row r="113" spans="1:35" s="10" customFormat="1" x14ac:dyDescent="0.35">
      <c r="A113" s="8"/>
      <c r="B113" s="8"/>
      <c r="D113"/>
      <c r="E113" s="8"/>
      <c r="R113"/>
      <c r="S113"/>
      <c r="T113"/>
      <c r="U113" s="14"/>
      <c r="V113"/>
      <c r="W113"/>
      <c r="X113"/>
      <c r="Y113"/>
      <c r="Z113"/>
      <c r="AA113"/>
      <c r="AB113"/>
      <c r="AC113"/>
      <c r="AD113"/>
      <c r="AE113"/>
      <c r="AF113" s="15"/>
      <c r="AG113"/>
      <c r="AH113"/>
      <c r="AI113"/>
    </row>
    <row r="114" spans="1:35" s="10" customFormat="1" x14ac:dyDescent="0.35">
      <c r="A114" s="8"/>
      <c r="B114" s="8"/>
      <c r="D114"/>
      <c r="E114" s="8"/>
      <c r="R114"/>
      <c r="S114"/>
      <c r="T114"/>
      <c r="U114" s="14"/>
      <c r="V114"/>
      <c r="W114"/>
      <c r="X114"/>
      <c r="Y114"/>
      <c r="Z114"/>
      <c r="AA114"/>
      <c r="AB114"/>
      <c r="AC114"/>
      <c r="AD114"/>
      <c r="AE114"/>
      <c r="AF114" s="15"/>
      <c r="AG114"/>
      <c r="AH114"/>
      <c r="AI114"/>
    </row>
    <row r="115" spans="1:35" s="10" customFormat="1" x14ac:dyDescent="0.35">
      <c r="A115" s="8"/>
      <c r="B115" s="8"/>
      <c r="D115"/>
      <c r="E115" s="8"/>
      <c r="R115"/>
      <c r="S115"/>
      <c r="T115"/>
      <c r="U115" s="14"/>
      <c r="V115"/>
      <c r="W115"/>
      <c r="X115"/>
      <c r="Y115"/>
      <c r="Z115"/>
      <c r="AA115"/>
      <c r="AB115"/>
      <c r="AC115"/>
      <c r="AD115"/>
      <c r="AE115"/>
      <c r="AF115" s="15"/>
      <c r="AG115"/>
      <c r="AH115"/>
      <c r="AI115"/>
    </row>
    <row r="116" spans="1:35" s="10" customFormat="1" x14ac:dyDescent="0.35">
      <c r="A116" s="8"/>
      <c r="B116" s="8"/>
      <c r="D116"/>
      <c r="E116" s="8"/>
      <c r="R116"/>
      <c r="S116"/>
      <c r="T116"/>
      <c r="U116" s="14"/>
      <c r="V116"/>
      <c r="W116"/>
      <c r="X116"/>
      <c r="Y116"/>
      <c r="Z116"/>
      <c r="AA116"/>
      <c r="AB116"/>
      <c r="AC116"/>
      <c r="AD116"/>
      <c r="AE116"/>
      <c r="AF116" s="15"/>
      <c r="AG116"/>
      <c r="AH116"/>
      <c r="AI116"/>
    </row>
    <row r="117" spans="1:35" s="10" customFormat="1" x14ac:dyDescent="0.35">
      <c r="A117" s="8"/>
      <c r="B117" s="8"/>
      <c r="D117"/>
      <c r="E117" s="8"/>
      <c r="R117"/>
      <c r="S117"/>
      <c r="T117"/>
      <c r="U117" s="14"/>
      <c r="V117"/>
      <c r="W117"/>
      <c r="X117"/>
      <c r="Y117"/>
      <c r="Z117"/>
      <c r="AA117"/>
      <c r="AB117"/>
      <c r="AC117"/>
      <c r="AD117"/>
      <c r="AE117"/>
      <c r="AF117" s="15"/>
      <c r="AG117"/>
      <c r="AH117"/>
      <c r="AI117"/>
    </row>
    <row r="118" spans="1:35" s="10" customFormat="1" x14ac:dyDescent="0.35">
      <c r="A118" s="8"/>
      <c r="B118" s="8"/>
      <c r="D118"/>
      <c r="E118" s="8"/>
      <c r="R118"/>
      <c r="S118"/>
      <c r="T118"/>
      <c r="U118" s="14"/>
      <c r="V118"/>
      <c r="W118"/>
      <c r="X118"/>
      <c r="Y118"/>
      <c r="Z118"/>
      <c r="AA118"/>
      <c r="AB118"/>
      <c r="AC118"/>
      <c r="AD118"/>
      <c r="AE118"/>
      <c r="AF118" s="15"/>
      <c r="AG118"/>
      <c r="AH118"/>
      <c r="AI118"/>
    </row>
    <row r="119" spans="1:35" s="10" customFormat="1" x14ac:dyDescent="0.35">
      <c r="A119" s="8"/>
      <c r="B119" s="8"/>
      <c r="D119"/>
      <c r="E119" s="8"/>
      <c r="R119"/>
      <c r="S119"/>
      <c r="T119"/>
      <c r="U119" s="14"/>
      <c r="V119"/>
      <c r="W119"/>
      <c r="X119"/>
      <c r="Y119"/>
      <c r="Z119"/>
      <c r="AA119"/>
      <c r="AB119"/>
      <c r="AC119"/>
      <c r="AD119"/>
      <c r="AE119"/>
      <c r="AF119" s="15"/>
      <c r="AG119"/>
      <c r="AH119"/>
      <c r="AI119"/>
    </row>
    <row r="120" spans="1:35" s="10" customFormat="1" x14ac:dyDescent="0.35">
      <c r="A120" s="8"/>
      <c r="B120" s="8"/>
      <c r="D120"/>
      <c r="E120" s="8"/>
      <c r="R120"/>
      <c r="S120"/>
      <c r="T120"/>
      <c r="U120" s="14"/>
      <c r="V120"/>
      <c r="W120"/>
      <c r="X120"/>
      <c r="Y120"/>
      <c r="Z120"/>
      <c r="AA120"/>
      <c r="AB120"/>
      <c r="AC120"/>
      <c r="AD120"/>
      <c r="AE120"/>
      <c r="AF120" s="15"/>
      <c r="AG120"/>
      <c r="AH120"/>
      <c r="AI120"/>
    </row>
    <row r="121" spans="1:35" s="10" customFormat="1" x14ac:dyDescent="0.35">
      <c r="A121" s="8"/>
      <c r="B121" s="8"/>
      <c r="D121"/>
      <c r="E121" s="8"/>
      <c r="R121"/>
      <c r="S121"/>
      <c r="T121"/>
      <c r="U121" s="14"/>
      <c r="V121"/>
      <c r="W121"/>
      <c r="X121"/>
      <c r="Y121"/>
      <c r="Z121"/>
      <c r="AA121"/>
      <c r="AB121"/>
      <c r="AC121"/>
      <c r="AD121"/>
      <c r="AE121"/>
      <c r="AF121" s="15"/>
      <c r="AG121"/>
      <c r="AH121"/>
      <c r="AI121"/>
    </row>
    <row r="122" spans="1:35" s="10" customFormat="1" x14ac:dyDescent="0.35">
      <c r="A122" s="8"/>
      <c r="B122" s="8"/>
      <c r="D122"/>
      <c r="E122" s="8"/>
      <c r="R122"/>
      <c r="S122"/>
      <c r="T122"/>
      <c r="U122" s="14"/>
      <c r="V122"/>
      <c r="W122"/>
      <c r="X122"/>
      <c r="Y122"/>
      <c r="Z122"/>
      <c r="AA122"/>
      <c r="AB122"/>
      <c r="AC122"/>
      <c r="AD122"/>
      <c r="AE122"/>
      <c r="AF122" s="15"/>
      <c r="AG122"/>
      <c r="AH122"/>
      <c r="AI122"/>
    </row>
    <row r="123" spans="1:35" s="10" customFormat="1" x14ac:dyDescent="0.35">
      <c r="A123" s="8"/>
      <c r="B123" s="8"/>
      <c r="D123"/>
      <c r="E123" s="8"/>
      <c r="R123"/>
      <c r="S123"/>
      <c r="T123"/>
      <c r="U123" s="14"/>
      <c r="V123"/>
      <c r="W123"/>
      <c r="X123"/>
      <c r="Y123"/>
      <c r="Z123"/>
      <c r="AA123"/>
      <c r="AB123"/>
      <c r="AC123"/>
      <c r="AD123"/>
      <c r="AE123"/>
      <c r="AF123" s="15"/>
      <c r="AG123"/>
      <c r="AH123"/>
      <c r="AI123"/>
    </row>
    <row r="124" spans="1:35" s="10" customFormat="1" x14ac:dyDescent="0.35">
      <c r="A124" s="8"/>
      <c r="B124" s="8"/>
      <c r="D124"/>
      <c r="E124" s="8"/>
      <c r="R124"/>
      <c r="S124"/>
      <c r="T124"/>
      <c r="U124" s="14"/>
      <c r="V124"/>
      <c r="W124"/>
      <c r="X124"/>
      <c r="Y124"/>
      <c r="Z124"/>
      <c r="AA124"/>
      <c r="AB124"/>
      <c r="AC124"/>
      <c r="AD124"/>
      <c r="AE124"/>
      <c r="AF124" s="15"/>
      <c r="AG124"/>
      <c r="AH124"/>
      <c r="AI124"/>
    </row>
    <row r="125" spans="1:35" s="10" customFormat="1" x14ac:dyDescent="0.35">
      <c r="A125" s="8"/>
      <c r="B125" s="8"/>
      <c r="D125"/>
      <c r="E125" s="8"/>
      <c r="R125"/>
      <c r="S125"/>
      <c r="T125"/>
      <c r="U125" s="14"/>
      <c r="V125"/>
      <c r="W125"/>
      <c r="X125"/>
      <c r="Y125"/>
      <c r="Z125"/>
      <c r="AA125"/>
      <c r="AB125"/>
      <c r="AC125"/>
      <c r="AD125"/>
      <c r="AE125"/>
      <c r="AF125" s="15"/>
      <c r="AG125"/>
      <c r="AH125"/>
      <c r="AI125"/>
    </row>
    <row r="126" spans="1:35" s="10" customFormat="1" x14ac:dyDescent="0.35">
      <c r="A126" s="8"/>
      <c r="B126" s="8"/>
      <c r="D126"/>
      <c r="E126" s="8"/>
      <c r="R126"/>
      <c r="S126"/>
      <c r="T126"/>
      <c r="U126" s="14"/>
      <c r="V126"/>
      <c r="W126"/>
      <c r="X126"/>
      <c r="Y126"/>
      <c r="Z126"/>
      <c r="AA126"/>
      <c r="AB126"/>
      <c r="AC126"/>
      <c r="AD126"/>
      <c r="AE126"/>
      <c r="AF126" s="15"/>
      <c r="AG126"/>
      <c r="AH126"/>
      <c r="AI126"/>
    </row>
    <row r="127" spans="1:35" s="10" customFormat="1" x14ac:dyDescent="0.35">
      <c r="A127" s="8"/>
      <c r="B127" s="8"/>
      <c r="D127"/>
      <c r="E127" s="8"/>
      <c r="R127"/>
      <c r="S127"/>
      <c r="T127"/>
      <c r="U127" s="14"/>
      <c r="V127"/>
      <c r="W127"/>
      <c r="X127"/>
      <c r="Y127"/>
      <c r="Z127"/>
      <c r="AA127"/>
      <c r="AB127"/>
      <c r="AC127"/>
      <c r="AD127"/>
      <c r="AE127"/>
      <c r="AF127" s="15"/>
      <c r="AG127"/>
      <c r="AH127"/>
      <c r="AI127"/>
    </row>
    <row r="128" spans="1:35" s="10" customFormat="1" x14ac:dyDescent="0.35">
      <c r="A128" s="8"/>
      <c r="B128" s="8"/>
      <c r="D128"/>
      <c r="E128" s="8"/>
      <c r="R128"/>
      <c r="S128"/>
      <c r="T128"/>
      <c r="U128" s="14"/>
      <c r="V128"/>
      <c r="W128"/>
      <c r="X128"/>
      <c r="Y128"/>
      <c r="Z128"/>
      <c r="AA128"/>
      <c r="AB128"/>
      <c r="AC128"/>
      <c r="AD128"/>
      <c r="AE128"/>
      <c r="AF128" s="15"/>
      <c r="AG128"/>
      <c r="AH128"/>
      <c r="AI128"/>
    </row>
    <row r="129" spans="1:35" s="10" customFormat="1" x14ac:dyDescent="0.35">
      <c r="A129" s="8"/>
      <c r="B129" s="8"/>
      <c r="D129"/>
      <c r="E129" s="8"/>
      <c r="R129"/>
      <c r="S129"/>
      <c r="T129"/>
      <c r="U129" s="14"/>
      <c r="V129"/>
      <c r="W129"/>
      <c r="X129"/>
      <c r="Y129"/>
      <c r="Z129"/>
      <c r="AA129"/>
      <c r="AB129"/>
      <c r="AC129"/>
      <c r="AD129"/>
      <c r="AE129"/>
      <c r="AF129" s="15"/>
      <c r="AG129"/>
      <c r="AH129"/>
      <c r="AI129"/>
    </row>
    <row r="130" spans="1:35" s="10" customFormat="1" x14ac:dyDescent="0.35">
      <c r="A130" s="8"/>
      <c r="B130" s="8"/>
      <c r="D130"/>
      <c r="E130" s="8"/>
      <c r="R130"/>
      <c r="S130"/>
      <c r="T130"/>
      <c r="U130" s="14"/>
      <c r="V130"/>
      <c r="W130"/>
      <c r="X130"/>
      <c r="Y130"/>
      <c r="Z130"/>
      <c r="AA130"/>
      <c r="AB130"/>
      <c r="AC130"/>
      <c r="AD130"/>
      <c r="AE130"/>
      <c r="AF130" s="15"/>
      <c r="AG130"/>
      <c r="AH130"/>
      <c r="AI130"/>
    </row>
    <row r="131" spans="1:35" s="10" customFormat="1" x14ac:dyDescent="0.35">
      <c r="A131" s="8"/>
      <c r="B131" s="8"/>
      <c r="D131"/>
      <c r="E131" s="8"/>
      <c r="R131"/>
      <c r="S131"/>
      <c r="T131"/>
      <c r="U131" s="14"/>
      <c r="V131"/>
      <c r="W131"/>
      <c r="X131"/>
      <c r="Y131"/>
      <c r="Z131"/>
      <c r="AA131"/>
      <c r="AB131"/>
      <c r="AC131"/>
      <c r="AD131"/>
      <c r="AE131"/>
      <c r="AF131" s="15"/>
      <c r="AG131"/>
      <c r="AH131"/>
      <c r="AI131"/>
    </row>
    <row r="132" spans="1:35" s="10" customFormat="1" x14ac:dyDescent="0.35">
      <c r="A132" s="8"/>
      <c r="B132" s="8"/>
      <c r="D132"/>
      <c r="E132" s="8"/>
      <c r="R132"/>
      <c r="S132"/>
      <c r="T132"/>
      <c r="U132" s="14"/>
      <c r="V132"/>
      <c r="W132"/>
      <c r="X132"/>
      <c r="Y132"/>
      <c r="Z132"/>
      <c r="AA132"/>
      <c r="AB132"/>
      <c r="AC132"/>
      <c r="AD132"/>
      <c r="AE132"/>
      <c r="AF132" s="15"/>
      <c r="AG132"/>
      <c r="AH132"/>
      <c r="AI132"/>
    </row>
    <row r="133" spans="1:35" s="10" customFormat="1" x14ac:dyDescent="0.35">
      <c r="A133" s="8"/>
      <c r="B133" s="8"/>
      <c r="D133"/>
      <c r="E133" s="8"/>
      <c r="R133"/>
      <c r="S133"/>
      <c r="T133"/>
      <c r="U133" s="14"/>
      <c r="V133"/>
      <c r="W133"/>
      <c r="X133"/>
      <c r="Y133"/>
      <c r="Z133"/>
      <c r="AA133"/>
      <c r="AB133"/>
      <c r="AC133"/>
      <c r="AD133"/>
      <c r="AE133"/>
      <c r="AF133" s="15"/>
      <c r="AG133"/>
      <c r="AH133"/>
      <c r="AI133"/>
    </row>
    <row r="134" spans="1:35" s="10" customFormat="1" x14ac:dyDescent="0.35">
      <c r="A134" s="8"/>
      <c r="B134" s="8"/>
      <c r="D134"/>
      <c r="E134" s="8"/>
      <c r="R134"/>
      <c r="S134"/>
      <c r="T134"/>
      <c r="U134" s="14"/>
      <c r="V134"/>
      <c r="W134"/>
      <c r="X134"/>
      <c r="Y134"/>
      <c r="Z134"/>
      <c r="AA134"/>
      <c r="AB134"/>
      <c r="AC134"/>
      <c r="AD134"/>
      <c r="AE134"/>
      <c r="AF134" s="15"/>
      <c r="AG134"/>
      <c r="AH134"/>
      <c r="AI134"/>
    </row>
    <row r="135" spans="1:35" s="10" customFormat="1" x14ac:dyDescent="0.35">
      <c r="A135" s="8"/>
      <c r="B135" s="8"/>
      <c r="D135"/>
      <c r="E135" s="8"/>
      <c r="R135"/>
      <c r="S135"/>
      <c r="T135"/>
      <c r="U135" s="14"/>
      <c r="V135"/>
      <c r="W135"/>
      <c r="X135"/>
      <c r="Y135"/>
      <c r="Z135"/>
      <c r="AA135"/>
      <c r="AB135"/>
      <c r="AC135"/>
      <c r="AD135"/>
      <c r="AE135"/>
      <c r="AF135" s="15"/>
      <c r="AG135"/>
      <c r="AH135"/>
      <c r="AI135"/>
    </row>
    <row r="136" spans="1:35" s="10" customFormat="1" x14ac:dyDescent="0.35">
      <c r="A136" s="8"/>
      <c r="B136" s="8"/>
      <c r="D136"/>
      <c r="E136" s="8"/>
      <c r="R136"/>
      <c r="S136"/>
      <c r="T136"/>
      <c r="U136" s="14"/>
      <c r="V136"/>
      <c r="W136"/>
      <c r="X136"/>
      <c r="Y136"/>
      <c r="Z136"/>
      <c r="AA136"/>
      <c r="AB136"/>
      <c r="AC136"/>
      <c r="AD136"/>
      <c r="AE136"/>
      <c r="AF136" s="15"/>
      <c r="AG136"/>
      <c r="AH136"/>
      <c r="AI136"/>
    </row>
    <row r="137" spans="1:35" s="10" customFormat="1" x14ac:dyDescent="0.35">
      <c r="A137" s="8"/>
      <c r="B137" s="8"/>
      <c r="D137"/>
      <c r="E137" s="8"/>
      <c r="R137"/>
      <c r="S137"/>
      <c r="T137"/>
      <c r="U137" s="14"/>
      <c r="V137"/>
      <c r="W137"/>
      <c r="X137"/>
      <c r="Y137"/>
      <c r="Z137"/>
      <c r="AA137"/>
      <c r="AB137"/>
      <c r="AC137"/>
      <c r="AD137"/>
      <c r="AE137"/>
      <c r="AF137" s="15"/>
      <c r="AG137"/>
      <c r="AH137"/>
      <c r="AI137"/>
    </row>
    <row r="138" spans="1:35" s="10" customFormat="1" x14ac:dyDescent="0.35">
      <c r="A138" s="8"/>
      <c r="B138" s="8"/>
      <c r="D138"/>
      <c r="E138" s="8"/>
      <c r="R138"/>
      <c r="S138"/>
      <c r="T138"/>
      <c r="U138" s="14"/>
      <c r="V138"/>
      <c r="W138"/>
      <c r="X138"/>
      <c r="Y138"/>
      <c r="Z138"/>
      <c r="AA138"/>
      <c r="AB138"/>
      <c r="AC138"/>
      <c r="AD138"/>
      <c r="AE138"/>
      <c r="AF138" s="15"/>
      <c r="AG138"/>
      <c r="AH138"/>
      <c r="AI138"/>
    </row>
    <row r="139" spans="1:35" s="10" customFormat="1" x14ac:dyDescent="0.35">
      <c r="A139" s="8"/>
      <c r="B139" s="8"/>
      <c r="D139"/>
      <c r="E139" s="8"/>
      <c r="R139"/>
      <c r="S139"/>
      <c r="T139"/>
      <c r="U139" s="14"/>
      <c r="V139"/>
      <c r="W139"/>
      <c r="X139"/>
      <c r="Y139"/>
      <c r="Z139"/>
      <c r="AA139"/>
      <c r="AB139"/>
      <c r="AC139"/>
      <c r="AD139"/>
      <c r="AE139"/>
      <c r="AF139" s="15"/>
      <c r="AG139"/>
      <c r="AH139"/>
      <c r="AI139"/>
    </row>
    <row r="140" spans="1:35" s="10" customFormat="1" x14ac:dyDescent="0.35">
      <c r="A140" s="8"/>
      <c r="B140" s="8"/>
      <c r="D140"/>
      <c r="E140" s="8"/>
      <c r="R140"/>
      <c r="S140"/>
      <c r="T140"/>
      <c r="U140" s="14"/>
      <c r="V140"/>
      <c r="W140"/>
      <c r="X140"/>
      <c r="Y140"/>
      <c r="Z140"/>
      <c r="AA140"/>
      <c r="AB140"/>
      <c r="AC140"/>
      <c r="AD140"/>
      <c r="AE140"/>
      <c r="AF140" s="15"/>
      <c r="AG140"/>
      <c r="AH140"/>
      <c r="AI140"/>
    </row>
    <row r="141" spans="1:35" s="10" customFormat="1" x14ac:dyDescent="0.35">
      <c r="A141" s="8"/>
      <c r="B141" s="8"/>
      <c r="D141"/>
      <c r="E141" s="8"/>
      <c r="R141"/>
      <c r="S141"/>
      <c r="T141"/>
      <c r="U141" s="14"/>
      <c r="V141"/>
      <c r="W141"/>
      <c r="X141"/>
      <c r="Y141"/>
      <c r="Z141"/>
      <c r="AA141"/>
      <c r="AB141"/>
      <c r="AC141"/>
      <c r="AD141"/>
      <c r="AE141"/>
      <c r="AF141" s="15"/>
      <c r="AG141"/>
      <c r="AH141"/>
      <c r="AI141"/>
    </row>
    <row r="142" spans="1:35" s="10" customFormat="1" x14ac:dyDescent="0.35">
      <c r="A142" s="8"/>
      <c r="B142" s="8"/>
      <c r="D142"/>
      <c r="E142" s="8"/>
      <c r="R142"/>
      <c r="S142"/>
      <c r="T142"/>
      <c r="U142" s="14"/>
      <c r="V142"/>
      <c r="W142"/>
      <c r="X142"/>
      <c r="Y142"/>
      <c r="Z142"/>
      <c r="AA142"/>
      <c r="AB142"/>
      <c r="AC142"/>
      <c r="AD142"/>
      <c r="AE142"/>
      <c r="AF142" s="15"/>
      <c r="AG142"/>
      <c r="AH142"/>
      <c r="AI142"/>
    </row>
    <row r="143" spans="1:35" s="10" customFormat="1" x14ac:dyDescent="0.35">
      <c r="A143" s="8"/>
      <c r="B143" s="8"/>
      <c r="D143"/>
      <c r="E143" s="8"/>
      <c r="R143"/>
      <c r="S143"/>
      <c r="T143"/>
      <c r="U143" s="14"/>
      <c r="V143"/>
      <c r="W143"/>
      <c r="X143"/>
      <c r="Y143"/>
      <c r="Z143"/>
      <c r="AA143"/>
      <c r="AB143"/>
      <c r="AC143"/>
      <c r="AD143"/>
      <c r="AE143"/>
      <c r="AF143" s="15"/>
      <c r="AG143"/>
      <c r="AH143"/>
      <c r="AI143"/>
    </row>
    <row r="144" spans="1:35" s="10" customFormat="1" x14ac:dyDescent="0.35">
      <c r="A144" s="8"/>
      <c r="B144" s="8"/>
      <c r="D144"/>
      <c r="E144" s="8"/>
      <c r="R144"/>
      <c r="S144"/>
      <c r="T144"/>
      <c r="U144" s="14"/>
      <c r="V144"/>
      <c r="W144"/>
      <c r="X144"/>
      <c r="Y144"/>
      <c r="Z144"/>
      <c r="AA144"/>
      <c r="AB144"/>
      <c r="AC144"/>
      <c r="AD144"/>
      <c r="AE144"/>
      <c r="AF144" s="15"/>
      <c r="AG144"/>
      <c r="AH144"/>
      <c r="AI144"/>
    </row>
    <row r="145" spans="1:35" s="10" customFormat="1" x14ac:dyDescent="0.35">
      <c r="A145" s="8"/>
      <c r="B145" s="8"/>
      <c r="D145"/>
      <c r="E145" s="8"/>
      <c r="R145"/>
      <c r="S145"/>
      <c r="T145"/>
      <c r="U145" s="14"/>
      <c r="V145"/>
      <c r="W145"/>
      <c r="X145"/>
      <c r="Y145"/>
      <c r="Z145"/>
      <c r="AA145"/>
      <c r="AB145"/>
      <c r="AC145"/>
      <c r="AD145"/>
      <c r="AE145"/>
      <c r="AF145" s="15"/>
      <c r="AG145"/>
      <c r="AH145"/>
      <c r="AI145"/>
    </row>
    <row r="146" spans="1:35" s="10" customFormat="1" x14ac:dyDescent="0.35">
      <c r="A146" s="8"/>
      <c r="B146" s="8"/>
      <c r="D146"/>
      <c r="E146" s="8"/>
      <c r="R146"/>
      <c r="S146"/>
      <c r="T146"/>
      <c r="U146" s="14"/>
      <c r="V146"/>
      <c r="W146"/>
      <c r="X146"/>
      <c r="Y146"/>
      <c r="Z146"/>
      <c r="AA146"/>
      <c r="AB146"/>
      <c r="AC146"/>
      <c r="AD146"/>
      <c r="AE146"/>
      <c r="AF146" s="15"/>
      <c r="AG146"/>
      <c r="AH146"/>
      <c r="AI146"/>
    </row>
    <row r="147" spans="1:35" s="10" customFormat="1" x14ac:dyDescent="0.35">
      <c r="A147" s="8"/>
      <c r="B147" s="8"/>
      <c r="D147"/>
      <c r="E147" s="8"/>
      <c r="R147"/>
      <c r="S147"/>
      <c r="T147"/>
      <c r="U147" s="14"/>
      <c r="V147"/>
      <c r="W147"/>
      <c r="X147"/>
      <c r="Y147"/>
      <c r="Z147"/>
      <c r="AA147"/>
      <c r="AB147"/>
      <c r="AC147"/>
      <c r="AD147"/>
      <c r="AE147"/>
      <c r="AF147" s="15"/>
      <c r="AG147"/>
      <c r="AH147"/>
      <c r="AI147"/>
    </row>
    <row r="148" spans="1:35" s="10" customFormat="1" x14ac:dyDescent="0.35">
      <c r="A148" s="8"/>
      <c r="B148" s="8"/>
      <c r="D148"/>
      <c r="E148" s="8"/>
      <c r="R148"/>
      <c r="S148"/>
      <c r="T148"/>
      <c r="U148" s="14"/>
      <c r="V148"/>
      <c r="W148"/>
      <c r="X148"/>
      <c r="Y148"/>
      <c r="Z148"/>
      <c r="AA148"/>
      <c r="AB148"/>
      <c r="AC148"/>
      <c r="AD148"/>
      <c r="AE148"/>
      <c r="AF148" s="15"/>
      <c r="AG148"/>
      <c r="AH148"/>
      <c r="AI148"/>
    </row>
    <row r="149" spans="1:35" s="10" customFormat="1" x14ac:dyDescent="0.35">
      <c r="A149" s="8"/>
      <c r="B149" s="8"/>
      <c r="D149"/>
      <c r="E149" s="8"/>
      <c r="R149"/>
      <c r="S149"/>
      <c r="T149"/>
      <c r="U149" s="14"/>
      <c r="V149"/>
      <c r="W149"/>
      <c r="X149"/>
      <c r="Y149"/>
      <c r="Z149"/>
      <c r="AA149"/>
      <c r="AB149"/>
      <c r="AC149"/>
      <c r="AD149"/>
      <c r="AE149"/>
      <c r="AF149" s="15"/>
      <c r="AG149"/>
      <c r="AH149"/>
      <c r="AI149"/>
    </row>
    <row r="150" spans="1:35" s="10" customFormat="1" x14ac:dyDescent="0.35">
      <c r="A150" s="8"/>
      <c r="B150" s="8"/>
      <c r="D150"/>
      <c r="E150" s="8"/>
      <c r="R150"/>
      <c r="S150"/>
      <c r="T150"/>
      <c r="U150" s="14"/>
      <c r="V150"/>
      <c r="W150"/>
      <c r="X150"/>
      <c r="Y150"/>
      <c r="Z150"/>
      <c r="AA150"/>
      <c r="AB150"/>
      <c r="AC150"/>
      <c r="AD150"/>
      <c r="AE150"/>
      <c r="AF150" s="15"/>
      <c r="AG150"/>
      <c r="AH150"/>
      <c r="AI150"/>
    </row>
    <row r="151" spans="1:35" s="10" customFormat="1" x14ac:dyDescent="0.35">
      <c r="A151" s="8"/>
      <c r="B151" s="8"/>
      <c r="D151"/>
      <c r="E151" s="8"/>
      <c r="R151"/>
      <c r="S151"/>
      <c r="T151"/>
      <c r="U151" s="14"/>
      <c r="V151"/>
      <c r="W151"/>
      <c r="X151"/>
      <c r="Y151"/>
      <c r="Z151"/>
      <c r="AA151"/>
      <c r="AB151"/>
      <c r="AC151"/>
      <c r="AD151"/>
      <c r="AE151"/>
      <c r="AF151" s="15"/>
      <c r="AG151"/>
      <c r="AH151"/>
      <c r="AI151"/>
    </row>
    <row r="152" spans="1:35" s="10" customFormat="1" x14ac:dyDescent="0.35">
      <c r="A152" s="8"/>
      <c r="B152" s="8"/>
      <c r="D152"/>
      <c r="E152" s="8"/>
      <c r="R152"/>
      <c r="S152"/>
      <c r="T152"/>
      <c r="U152" s="14"/>
      <c r="V152"/>
      <c r="W152"/>
      <c r="X152"/>
      <c r="Y152"/>
      <c r="Z152"/>
      <c r="AA152"/>
      <c r="AB152"/>
      <c r="AC152"/>
      <c r="AD152"/>
      <c r="AE152"/>
      <c r="AF152" s="15"/>
      <c r="AG152"/>
      <c r="AH152"/>
      <c r="AI152"/>
    </row>
    <row r="153" spans="1:35" s="10" customFormat="1" x14ac:dyDescent="0.35">
      <c r="A153" s="8"/>
      <c r="B153" s="8"/>
      <c r="D153"/>
      <c r="E153" s="8"/>
      <c r="R153"/>
      <c r="S153"/>
      <c r="T153"/>
      <c r="U153" s="14"/>
      <c r="V153"/>
      <c r="W153"/>
      <c r="X153"/>
      <c r="Y153"/>
      <c r="Z153"/>
      <c r="AA153"/>
      <c r="AB153"/>
      <c r="AC153"/>
      <c r="AD153"/>
      <c r="AE153"/>
      <c r="AF153" s="15"/>
      <c r="AG153"/>
      <c r="AH153"/>
      <c r="AI153"/>
    </row>
    <row r="154" spans="1:35" s="10" customFormat="1" x14ac:dyDescent="0.35">
      <c r="A154" s="8"/>
      <c r="B154" s="8"/>
      <c r="D154"/>
      <c r="E154" s="8"/>
      <c r="R154"/>
      <c r="S154"/>
      <c r="T154"/>
      <c r="U154" s="14"/>
      <c r="V154"/>
      <c r="W154"/>
      <c r="X154"/>
      <c r="Y154"/>
      <c r="Z154"/>
      <c r="AA154"/>
      <c r="AB154"/>
      <c r="AC154"/>
      <c r="AD154"/>
      <c r="AE154"/>
      <c r="AF154" s="15"/>
      <c r="AG154"/>
      <c r="AH154"/>
      <c r="AI154"/>
    </row>
    <row r="155" spans="1:35" s="10" customFormat="1" x14ac:dyDescent="0.35">
      <c r="A155" s="8"/>
      <c r="B155" s="8"/>
      <c r="D155"/>
      <c r="E155" s="8"/>
      <c r="R155"/>
      <c r="S155"/>
      <c r="T155"/>
      <c r="U155" s="14"/>
      <c r="V155"/>
      <c r="W155"/>
      <c r="X155"/>
      <c r="Y155"/>
      <c r="Z155"/>
      <c r="AA155"/>
      <c r="AB155"/>
      <c r="AC155"/>
      <c r="AD155"/>
      <c r="AE155"/>
      <c r="AF155" s="15"/>
      <c r="AG155"/>
      <c r="AH155"/>
      <c r="AI155"/>
    </row>
    <row r="156" spans="1:35" s="10" customFormat="1" x14ac:dyDescent="0.35">
      <c r="A156" s="8"/>
      <c r="B156" s="8"/>
      <c r="D156"/>
      <c r="E156" s="8"/>
      <c r="R156"/>
      <c r="S156"/>
      <c r="T156"/>
      <c r="U156" s="14"/>
      <c r="V156"/>
      <c r="W156"/>
      <c r="X156"/>
      <c r="Y156"/>
      <c r="Z156"/>
      <c r="AA156"/>
      <c r="AB156"/>
      <c r="AC156"/>
      <c r="AD156"/>
      <c r="AE156"/>
      <c r="AF156" s="15"/>
      <c r="AG156"/>
      <c r="AH156"/>
      <c r="AI156"/>
    </row>
    <row r="157" spans="1:35" s="10" customFormat="1" x14ac:dyDescent="0.35">
      <c r="A157" s="8"/>
      <c r="B157" s="8"/>
      <c r="D157"/>
      <c r="E157" s="8"/>
      <c r="R157"/>
      <c r="S157"/>
      <c r="T157"/>
      <c r="U157" s="14"/>
      <c r="V157"/>
      <c r="W157"/>
      <c r="X157"/>
      <c r="Y157"/>
      <c r="Z157"/>
      <c r="AA157"/>
      <c r="AB157"/>
      <c r="AC157"/>
      <c r="AD157"/>
      <c r="AE157"/>
      <c r="AF157" s="15"/>
      <c r="AG157"/>
      <c r="AH157"/>
      <c r="AI157"/>
    </row>
    <row r="158" spans="1:35" s="10" customFormat="1" x14ac:dyDescent="0.35">
      <c r="A158" s="8"/>
      <c r="B158" s="8"/>
      <c r="D158"/>
      <c r="E158" s="8"/>
      <c r="R158"/>
      <c r="S158"/>
      <c r="T158"/>
      <c r="U158" s="14"/>
      <c r="V158"/>
      <c r="W158"/>
      <c r="X158"/>
      <c r="Y158"/>
      <c r="Z158"/>
      <c r="AA158"/>
      <c r="AB158"/>
      <c r="AC158"/>
      <c r="AD158"/>
      <c r="AE158"/>
      <c r="AF158" s="15"/>
      <c r="AG158"/>
      <c r="AH158"/>
      <c r="AI158"/>
    </row>
    <row r="159" spans="1:35" s="10" customFormat="1" x14ac:dyDescent="0.35">
      <c r="A159" s="8"/>
      <c r="B159" s="8"/>
      <c r="D159"/>
      <c r="E159" s="8"/>
      <c r="R159"/>
      <c r="S159"/>
      <c r="T159"/>
      <c r="U159" s="14"/>
      <c r="V159"/>
      <c r="W159"/>
      <c r="X159"/>
      <c r="Y159"/>
      <c r="Z159"/>
      <c r="AA159"/>
      <c r="AB159"/>
      <c r="AC159"/>
      <c r="AD159"/>
      <c r="AE159"/>
      <c r="AF159" s="15"/>
      <c r="AG159"/>
      <c r="AH159"/>
      <c r="AI159"/>
    </row>
    <row r="160" spans="1:35" s="10" customFormat="1" x14ac:dyDescent="0.35">
      <c r="A160" s="8"/>
      <c r="B160" s="8"/>
      <c r="D160"/>
      <c r="E160" s="8"/>
      <c r="R160"/>
      <c r="S160"/>
      <c r="T160"/>
      <c r="U160" s="14"/>
      <c r="V160"/>
      <c r="W160"/>
      <c r="X160"/>
      <c r="Y160"/>
      <c r="Z160"/>
      <c r="AA160"/>
      <c r="AB160"/>
      <c r="AC160"/>
      <c r="AD160"/>
      <c r="AE160"/>
      <c r="AF160" s="15"/>
      <c r="AG160"/>
      <c r="AH160"/>
      <c r="AI160"/>
    </row>
    <row r="161" spans="1:35" s="10" customFormat="1" x14ac:dyDescent="0.35">
      <c r="A161" s="8"/>
      <c r="B161" s="8"/>
      <c r="D161"/>
      <c r="E161" s="8"/>
      <c r="R161"/>
      <c r="S161"/>
      <c r="T161"/>
      <c r="U161" s="14"/>
      <c r="V161"/>
      <c r="W161"/>
      <c r="X161"/>
      <c r="Y161"/>
      <c r="Z161"/>
      <c r="AA161"/>
      <c r="AB161"/>
      <c r="AC161"/>
      <c r="AD161"/>
      <c r="AE161"/>
      <c r="AF161" s="15"/>
      <c r="AG161"/>
      <c r="AH161"/>
      <c r="AI161"/>
    </row>
    <row r="162" spans="1:35" s="10" customFormat="1" x14ac:dyDescent="0.35">
      <c r="A162" s="8"/>
      <c r="B162" s="8"/>
      <c r="D162"/>
      <c r="E162" s="8"/>
      <c r="R162"/>
      <c r="S162"/>
      <c r="T162"/>
      <c r="U162" s="14"/>
      <c r="V162"/>
      <c r="W162"/>
      <c r="X162"/>
      <c r="Y162"/>
      <c r="Z162"/>
      <c r="AA162"/>
      <c r="AB162"/>
      <c r="AC162"/>
      <c r="AD162"/>
      <c r="AE162"/>
      <c r="AF162" s="15"/>
      <c r="AG162"/>
      <c r="AH162"/>
      <c r="AI162"/>
    </row>
    <row r="163" spans="1:35" s="10" customFormat="1" x14ac:dyDescent="0.35">
      <c r="A163" s="8"/>
      <c r="B163" s="8"/>
      <c r="D163"/>
      <c r="E163" s="8"/>
      <c r="R163"/>
      <c r="S163"/>
      <c r="T163"/>
      <c r="U163" s="14"/>
      <c r="V163"/>
      <c r="W163"/>
      <c r="X163"/>
      <c r="Y163"/>
      <c r="Z163"/>
      <c r="AA163"/>
      <c r="AB163"/>
      <c r="AC163"/>
      <c r="AD163"/>
      <c r="AE163"/>
      <c r="AF163" s="15"/>
      <c r="AG163"/>
      <c r="AH163"/>
      <c r="AI163"/>
    </row>
    <row r="164" spans="1:35" s="10" customFormat="1" x14ac:dyDescent="0.35">
      <c r="A164" s="8"/>
      <c r="B164" s="8"/>
      <c r="D164"/>
      <c r="E164" s="8"/>
      <c r="R164"/>
      <c r="S164"/>
      <c r="T164"/>
      <c r="U164" s="14"/>
      <c r="V164"/>
      <c r="W164"/>
      <c r="X164"/>
      <c r="Y164"/>
      <c r="Z164"/>
      <c r="AA164"/>
      <c r="AB164"/>
      <c r="AC164"/>
      <c r="AD164"/>
      <c r="AE164"/>
      <c r="AF164" s="15"/>
      <c r="AG164"/>
      <c r="AH164"/>
      <c r="AI164"/>
    </row>
    <row r="165" spans="1:35" s="10" customFormat="1" x14ac:dyDescent="0.35">
      <c r="A165" s="8"/>
      <c r="B165" s="8"/>
      <c r="D165"/>
      <c r="E165" s="8"/>
      <c r="R165"/>
      <c r="S165"/>
      <c r="T165"/>
      <c r="U165" s="14"/>
      <c r="V165"/>
      <c r="W165"/>
      <c r="X165"/>
      <c r="Y165"/>
      <c r="Z165"/>
      <c r="AA165"/>
      <c r="AB165"/>
      <c r="AC165"/>
      <c r="AD165"/>
      <c r="AE165"/>
      <c r="AF165" s="15"/>
      <c r="AG165"/>
      <c r="AH165"/>
      <c r="AI165"/>
    </row>
    <row r="166" spans="1:35" s="10" customFormat="1" x14ac:dyDescent="0.35">
      <c r="A166" s="8"/>
      <c r="B166" s="8"/>
      <c r="D166"/>
      <c r="E166" s="8"/>
      <c r="R166"/>
      <c r="S166"/>
      <c r="T166"/>
      <c r="U166" s="14"/>
      <c r="V166"/>
      <c r="W166"/>
      <c r="X166"/>
      <c r="Y166"/>
      <c r="Z166"/>
      <c r="AA166"/>
      <c r="AB166"/>
      <c r="AC166"/>
      <c r="AD166"/>
      <c r="AE166"/>
      <c r="AF166" s="15"/>
      <c r="AG166"/>
      <c r="AH166"/>
      <c r="AI166"/>
    </row>
    <row r="167" spans="1:35" s="10" customFormat="1" x14ac:dyDescent="0.35">
      <c r="A167" s="8"/>
      <c r="B167" s="8"/>
      <c r="D167"/>
      <c r="E167" s="8"/>
      <c r="R167"/>
      <c r="S167"/>
      <c r="T167"/>
      <c r="U167" s="14"/>
      <c r="V167"/>
      <c r="W167"/>
      <c r="X167"/>
      <c r="Y167"/>
      <c r="Z167"/>
      <c r="AA167"/>
      <c r="AB167"/>
      <c r="AC167"/>
      <c r="AD167"/>
      <c r="AE167"/>
      <c r="AF167" s="15"/>
      <c r="AG167"/>
      <c r="AH167"/>
      <c r="AI167"/>
    </row>
    <row r="168" spans="1:35" s="10" customFormat="1" x14ac:dyDescent="0.35">
      <c r="A168" s="8"/>
      <c r="B168" s="8"/>
      <c r="D168"/>
      <c r="E168" s="8"/>
      <c r="R168"/>
      <c r="S168"/>
      <c r="T168"/>
      <c r="U168" s="14"/>
      <c r="V168"/>
      <c r="W168"/>
      <c r="X168"/>
      <c r="Y168"/>
      <c r="Z168"/>
      <c r="AA168"/>
      <c r="AB168"/>
      <c r="AC168"/>
      <c r="AD168"/>
      <c r="AE168"/>
      <c r="AF168" s="15"/>
      <c r="AG168"/>
      <c r="AH168"/>
      <c r="AI168"/>
    </row>
    <row r="169" spans="1:35" s="10" customFormat="1" x14ac:dyDescent="0.35">
      <c r="A169" s="8"/>
      <c r="B169" s="8"/>
      <c r="D169"/>
      <c r="E169" s="8"/>
      <c r="R169"/>
      <c r="S169"/>
      <c r="T169"/>
      <c r="U169" s="14"/>
      <c r="V169"/>
      <c r="W169"/>
      <c r="X169"/>
      <c r="Y169"/>
      <c r="Z169"/>
      <c r="AA169"/>
      <c r="AB169"/>
      <c r="AC169"/>
      <c r="AD169"/>
      <c r="AE169"/>
      <c r="AF169" s="15"/>
      <c r="AG169"/>
      <c r="AH169"/>
      <c r="AI169"/>
    </row>
    <row r="170" spans="1:35" s="10" customFormat="1" x14ac:dyDescent="0.35">
      <c r="A170" s="8"/>
      <c r="B170" s="8"/>
      <c r="D170"/>
      <c r="E170" s="8"/>
      <c r="R170"/>
      <c r="S170"/>
      <c r="T170"/>
      <c r="U170" s="14"/>
      <c r="V170"/>
      <c r="W170"/>
      <c r="X170"/>
      <c r="Y170"/>
      <c r="Z170"/>
      <c r="AA170"/>
      <c r="AB170"/>
      <c r="AC170"/>
      <c r="AD170"/>
      <c r="AE170"/>
      <c r="AF170" s="15"/>
      <c r="AG170"/>
      <c r="AH170"/>
      <c r="AI170"/>
    </row>
    <row r="171" spans="1:35" s="10" customFormat="1" x14ac:dyDescent="0.35">
      <c r="A171" s="8"/>
      <c r="B171" s="8"/>
      <c r="D171"/>
      <c r="E171" s="8"/>
      <c r="R171"/>
      <c r="S171"/>
      <c r="T171"/>
      <c r="U171" s="14"/>
      <c r="V171"/>
      <c r="W171"/>
      <c r="X171"/>
      <c r="Y171"/>
      <c r="Z171"/>
      <c r="AA171"/>
      <c r="AB171"/>
      <c r="AC171"/>
      <c r="AD171"/>
      <c r="AE171"/>
      <c r="AF171" s="15"/>
      <c r="AG171"/>
      <c r="AH171"/>
      <c r="AI171"/>
    </row>
    <row r="172" spans="1:35" s="10" customFormat="1" x14ac:dyDescent="0.35">
      <c r="A172" s="8"/>
      <c r="B172" s="8"/>
      <c r="D172"/>
      <c r="E172" s="8"/>
      <c r="R172"/>
      <c r="S172"/>
      <c r="T172"/>
      <c r="U172" s="14"/>
      <c r="V172"/>
      <c r="W172"/>
      <c r="X172"/>
      <c r="Y172"/>
      <c r="Z172"/>
      <c r="AA172"/>
      <c r="AB172"/>
      <c r="AC172"/>
      <c r="AD172"/>
      <c r="AE172"/>
      <c r="AF172" s="15"/>
      <c r="AG172"/>
      <c r="AH172"/>
      <c r="AI172"/>
    </row>
    <row r="173" spans="1:35" s="10" customFormat="1" x14ac:dyDescent="0.35">
      <c r="A173" s="8"/>
      <c r="B173" s="8"/>
      <c r="D173"/>
      <c r="E173" s="8"/>
      <c r="R173"/>
      <c r="S173"/>
      <c r="T173"/>
      <c r="U173" s="14"/>
      <c r="V173"/>
      <c r="W173"/>
      <c r="X173"/>
      <c r="Y173"/>
      <c r="Z173"/>
      <c r="AA173"/>
      <c r="AB173"/>
      <c r="AC173"/>
      <c r="AD173"/>
      <c r="AE173"/>
      <c r="AF173" s="15"/>
      <c r="AG173"/>
      <c r="AH173"/>
      <c r="AI173"/>
    </row>
    <row r="174" spans="1:35" s="10" customFormat="1" x14ac:dyDescent="0.35">
      <c r="A174" s="8"/>
      <c r="B174" s="8"/>
      <c r="D174"/>
      <c r="E174" s="8"/>
      <c r="R174"/>
      <c r="S174"/>
      <c r="T174"/>
      <c r="U174" s="14"/>
      <c r="V174"/>
      <c r="W174"/>
      <c r="X174"/>
      <c r="Y174"/>
      <c r="Z174"/>
      <c r="AA174"/>
      <c r="AB174"/>
      <c r="AC174"/>
      <c r="AD174"/>
      <c r="AE174"/>
      <c r="AF174" s="15"/>
      <c r="AG174"/>
      <c r="AH174"/>
      <c r="AI174"/>
    </row>
    <row r="175" spans="1:35" s="10" customFormat="1" x14ac:dyDescent="0.35">
      <c r="A175" s="8"/>
      <c r="B175" s="8"/>
      <c r="D175"/>
      <c r="E175" s="8"/>
      <c r="R175"/>
      <c r="S175"/>
      <c r="T175"/>
      <c r="U175" s="14"/>
      <c r="V175"/>
      <c r="W175"/>
      <c r="X175"/>
      <c r="Y175"/>
      <c r="Z175"/>
      <c r="AA175"/>
      <c r="AB175"/>
      <c r="AC175"/>
      <c r="AD175"/>
      <c r="AE175"/>
      <c r="AF175" s="15"/>
      <c r="AG175"/>
      <c r="AH175"/>
      <c r="AI175"/>
    </row>
    <row r="176" spans="1:35" s="10" customFormat="1" x14ac:dyDescent="0.35">
      <c r="A176" s="8"/>
      <c r="B176" s="8"/>
      <c r="D176"/>
      <c r="E176" s="8"/>
      <c r="R176"/>
      <c r="S176"/>
      <c r="T176"/>
      <c r="U176" s="14"/>
      <c r="V176"/>
      <c r="W176"/>
      <c r="X176"/>
      <c r="Y176"/>
      <c r="Z176"/>
      <c r="AA176"/>
      <c r="AB176"/>
      <c r="AC176"/>
      <c r="AD176"/>
      <c r="AE176"/>
      <c r="AF176" s="15"/>
      <c r="AG176"/>
      <c r="AH176"/>
      <c r="AI176"/>
    </row>
    <row r="177" spans="1:35" s="10" customFormat="1" x14ac:dyDescent="0.35">
      <c r="A177" s="8"/>
      <c r="B177" s="8"/>
      <c r="D177"/>
      <c r="E177" s="8"/>
      <c r="R177"/>
      <c r="S177"/>
      <c r="T177"/>
      <c r="U177" s="14"/>
      <c r="V177"/>
      <c r="W177"/>
      <c r="X177"/>
      <c r="Y177"/>
      <c r="Z177"/>
      <c r="AA177"/>
      <c r="AB177"/>
      <c r="AC177"/>
      <c r="AD177"/>
      <c r="AE177"/>
      <c r="AF177" s="15"/>
      <c r="AG177"/>
      <c r="AH177"/>
      <c r="AI177"/>
    </row>
    <row r="178" spans="1:35" s="10" customFormat="1" x14ac:dyDescent="0.35">
      <c r="A178" s="8"/>
      <c r="B178" s="8"/>
      <c r="D178"/>
      <c r="E178" s="8"/>
      <c r="R178"/>
      <c r="S178"/>
      <c r="T178"/>
      <c r="U178" s="14"/>
      <c r="V178"/>
      <c r="W178"/>
      <c r="X178"/>
      <c r="Y178"/>
      <c r="Z178"/>
      <c r="AA178"/>
      <c r="AB178"/>
      <c r="AC178"/>
      <c r="AD178"/>
      <c r="AE178"/>
      <c r="AF178" s="15"/>
      <c r="AG178"/>
      <c r="AH178"/>
      <c r="AI178"/>
    </row>
    <row r="179" spans="1:35" s="10" customFormat="1" x14ac:dyDescent="0.35">
      <c r="A179" s="8"/>
      <c r="B179" s="8"/>
      <c r="D179"/>
      <c r="E179" s="8"/>
      <c r="R179"/>
      <c r="S179"/>
      <c r="T179"/>
      <c r="U179" s="14"/>
      <c r="V179"/>
      <c r="W179"/>
      <c r="X179"/>
      <c r="Y179"/>
      <c r="Z179"/>
      <c r="AA179"/>
      <c r="AB179"/>
      <c r="AC179"/>
      <c r="AD179"/>
      <c r="AE179"/>
      <c r="AF179" s="15"/>
      <c r="AG179"/>
      <c r="AH179"/>
      <c r="AI179"/>
    </row>
    <row r="180" spans="1:35" s="10" customFormat="1" x14ac:dyDescent="0.35">
      <c r="A180" s="8"/>
      <c r="B180" s="8"/>
      <c r="D180"/>
      <c r="E180" s="8"/>
      <c r="R180"/>
      <c r="S180"/>
      <c r="T180"/>
      <c r="U180" s="14"/>
      <c r="V180"/>
      <c r="W180"/>
      <c r="X180"/>
      <c r="Y180"/>
      <c r="Z180"/>
      <c r="AA180"/>
      <c r="AB180"/>
      <c r="AC180"/>
      <c r="AD180"/>
      <c r="AE180"/>
      <c r="AF180" s="15"/>
      <c r="AG180"/>
      <c r="AH180"/>
      <c r="AI180"/>
    </row>
    <row r="181" spans="1:35" s="10" customFormat="1" x14ac:dyDescent="0.35">
      <c r="A181" s="8"/>
      <c r="B181" s="8"/>
      <c r="D181"/>
      <c r="E181" s="8"/>
      <c r="R181"/>
      <c r="S181"/>
      <c r="T181"/>
      <c r="U181" s="14"/>
      <c r="V181"/>
      <c r="W181"/>
      <c r="X181"/>
      <c r="Y181"/>
      <c r="Z181"/>
      <c r="AA181"/>
      <c r="AB181"/>
      <c r="AC181"/>
      <c r="AD181"/>
      <c r="AE181"/>
      <c r="AF181" s="15"/>
      <c r="AG181"/>
      <c r="AH181"/>
      <c r="AI181"/>
    </row>
    <row r="182" spans="1:35" s="10" customFormat="1" x14ac:dyDescent="0.35">
      <c r="A182" s="8"/>
      <c r="B182" s="8"/>
      <c r="D182"/>
      <c r="E182" s="8"/>
      <c r="R182"/>
      <c r="S182"/>
      <c r="T182"/>
      <c r="U182" s="14"/>
      <c r="V182"/>
      <c r="W182"/>
      <c r="X182"/>
      <c r="Y182"/>
      <c r="Z182"/>
      <c r="AA182"/>
      <c r="AB182"/>
      <c r="AC182"/>
      <c r="AD182"/>
      <c r="AE182"/>
      <c r="AF182" s="15"/>
      <c r="AG182"/>
      <c r="AH182"/>
      <c r="AI182"/>
    </row>
    <row r="183" spans="1:35" s="10" customFormat="1" x14ac:dyDescent="0.35">
      <c r="A183" s="8"/>
      <c r="B183" s="8"/>
      <c r="D183"/>
      <c r="E183" s="8"/>
      <c r="R183"/>
      <c r="S183"/>
      <c r="T183"/>
      <c r="U183" s="14"/>
      <c r="V183"/>
      <c r="W183"/>
      <c r="X183"/>
      <c r="Y183"/>
      <c r="Z183"/>
      <c r="AA183"/>
      <c r="AB183"/>
      <c r="AC183"/>
      <c r="AD183"/>
      <c r="AE183"/>
      <c r="AF183" s="15"/>
      <c r="AG183"/>
      <c r="AH183"/>
      <c r="AI183"/>
    </row>
    <row r="184" spans="1:35" s="10" customFormat="1" x14ac:dyDescent="0.35">
      <c r="A184" s="8"/>
      <c r="B184" s="8"/>
      <c r="D184"/>
      <c r="E184" s="8"/>
      <c r="R184"/>
      <c r="S184"/>
      <c r="T184"/>
      <c r="U184" s="14"/>
      <c r="V184"/>
      <c r="W184"/>
      <c r="X184"/>
      <c r="Y184"/>
      <c r="Z184"/>
      <c r="AA184"/>
      <c r="AB184"/>
      <c r="AC184"/>
      <c r="AD184"/>
      <c r="AE184"/>
      <c r="AF184" s="15"/>
      <c r="AG184"/>
      <c r="AH184"/>
      <c r="AI184"/>
    </row>
    <row r="185" spans="1:35" s="10" customFormat="1" x14ac:dyDescent="0.35">
      <c r="A185" s="8"/>
      <c r="B185" s="8"/>
      <c r="D185"/>
      <c r="E185" s="8"/>
      <c r="R185"/>
      <c r="S185"/>
      <c r="T185"/>
      <c r="U185" s="14"/>
      <c r="V185"/>
      <c r="W185"/>
      <c r="X185"/>
      <c r="Y185"/>
      <c r="Z185"/>
      <c r="AA185"/>
      <c r="AB185"/>
      <c r="AC185"/>
      <c r="AD185"/>
      <c r="AE185"/>
      <c r="AF185" s="15"/>
      <c r="AG185"/>
      <c r="AH185"/>
      <c r="AI185"/>
    </row>
    <row r="186" spans="1:35" s="10" customFormat="1" x14ac:dyDescent="0.35">
      <c r="A186" s="8"/>
      <c r="B186" s="8"/>
      <c r="D186"/>
      <c r="E186" s="8"/>
      <c r="R186"/>
      <c r="S186"/>
      <c r="T186"/>
      <c r="U186" s="14"/>
      <c r="V186"/>
      <c r="W186"/>
      <c r="X186"/>
      <c r="Y186"/>
      <c r="Z186"/>
      <c r="AA186"/>
      <c r="AB186"/>
      <c r="AC186"/>
      <c r="AD186"/>
      <c r="AE186"/>
      <c r="AF186" s="15"/>
      <c r="AG186"/>
      <c r="AH186"/>
      <c r="AI186"/>
    </row>
    <row r="187" spans="1:35" s="10" customFormat="1" x14ac:dyDescent="0.35">
      <c r="A187" s="8"/>
      <c r="B187" s="8"/>
      <c r="D187"/>
      <c r="E187" s="8"/>
      <c r="R187"/>
      <c r="S187"/>
      <c r="T187"/>
      <c r="U187" s="14"/>
      <c r="V187"/>
      <c r="W187"/>
      <c r="X187"/>
      <c r="Y187"/>
      <c r="Z187"/>
      <c r="AA187"/>
      <c r="AB187"/>
      <c r="AC187"/>
      <c r="AD187"/>
      <c r="AE187"/>
      <c r="AF187" s="15"/>
      <c r="AG187"/>
      <c r="AH187"/>
      <c r="AI187"/>
    </row>
    <row r="188" spans="1:35" s="10" customFormat="1" x14ac:dyDescent="0.35">
      <c r="A188" s="8"/>
      <c r="B188" s="8"/>
      <c r="D188"/>
      <c r="E188" s="8"/>
      <c r="R188"/>
      <c r="S188"/>
      <c r="T188"/>
      <c r="U188" s="14"/>
      <c r="V188"/>
      <c r="W188"/>
      <c r="X188"/>
      <c r="Y188"/>
      <c r="Z188"/>
      <c r="AA188"/>
      <c r="AB188"/>
      <c r="AC188"/>
      <c r="AD188"/>
      <c r="AE188"/>
      <c r="AF188" s="15"/>
      <c r="AG188"/>
      <c r="AH188"/>
      <c r="AI188"/>
    </row>
    <row r="189" spans="1:35" s="10" customFormat="1" x14ac:dyDescent="0.35">
      <c r="A189" s="8"/>
      <c r="B189" s="8"/>
      <c r="D189"/>
      <c r="E189" s="8"/>
      <c r="R189"/>
      <c r="S189"/>
      <c r="T189"/>
      <c r="U189" s="14"/>
      <c r="V189"/>
      <c r="W189"/>
      <c r="X189"/>
      <c r="Y189"/>
      <c r="Z189"/>
      <c r="AA189"/>
      <c r="AB189"/>
      <c r="AC189"/>
      <c r="AD189"/>
      <c r="AE189"/>
      <c r="AF189" s="15"/>
      <c r="AG189"/>
      <c r="AH189"/>
      <c r="AI189"/>
    </row>
    <row r="190" spans="1:35" s="10" customFormat="1" x14ac:dyDescent="0.35">
      <c r="A190" s="8"/>
      <c r="B190" s="8"/>
      <c r="D190"/>
      <c r="E190" s="8"/>
      <c r="R190"/>
      <c r="S190"/>
      <c r="T190"/>
      <c r="U190" s="14"/>
      <c r="V190"/>
      <c r="W190"/>
      <c r="X190"/>
      <c r="Y190"/>
      <c r="Z190"/>
      <c r="AA190"/>
      <c r="AB190"/>
      <c r="AC190"/>
      <c r="AD190"/>
      <c r="AE190"/>
      <c r="AF190" s="15"/>
      <c r="AG190"/>
      <c r="AH190"/>
      <c r="AI190"/>
    </row>
    <row r="191" spans="1:35" s="10" customFormat="1" x14ac:dyDescent="0.35">
      <c r="A191" s="8"/>
      <c r="B191" s="8"/>
      <c r="D191"/>
      <c r="E191" s="8"/>
      <c r="R191"/>
      <c r="S191"/>
      <c r="T191"/>
      <c r="U191" s="14"/>
      <c r="V191"/>
      <c r="W191"/>
      <c r="X191"/>
      <c r="Y191"/>
      <c r="Z191"/>
      <c r="AA191"/>
      <c r="AB191"/>
      <c r="AC191"/>
      <c r="AD191"/>
      <c r="AE191"/>
      <c r="AF191" s="15"/>
      <c r="AG191"/>
      <c r="AH191"/>
      <c r="AI191"/>
    </row>
    <row r="192" spans="1:35" s="10" customFormat="1" x14ac:dyDescent="0.35">
      <c r="A192" s="8"/>
      <c r="B192" s="8"/>
      <c r="D192"/>
      <c r="E192" s="8"/>
      <c r="R192"/>
      <c r="S192"/>
      <c r="T192"/>
      <c r="U192" s="14"/>
      <c r="V192"/>
      <c r="W192"/>
      <c r="X192"/>
      <c r="Y192"/>
      <c r="Z192"/>
      <c r="AA192"/>
      <c r="AB192"/>
      <c r="AC192"/>
      <c r="AD192"/>
      <c r="AE192"/>
      <c r="AF192" s="15"/>
      <c r="AG192"/>
      <c r="AH192"/>
      <c r="AI192"/>
    </row>
    <row r="193" spans="1:35" s="10" customFormat="1" x14ac:dyDescent="0.35">
      <c r="A193" s="8"/>
      <c r="B193" s="8"/>
      <c r="D193"/>
      <c r="E193" s="8"/>
      <c r="R193"/>
      <c r="S193"/>
      <c r="T193"/>
      <c r="U193" s="14"/>
      <c r="V193"/>
      <c r="W193"/>
      <c r="X193"/>
      <c r="Y193"/>
      <c r="Z193"/>
      <c r="AA193"/>
      <c r="AB193"/>
      <c r="AC193"/>
      <c r="AD193"/>
      <c r="AE193"/>
      <c r="AF193" s="15"/>
      <c r="AG193"/>
      <c r="AH193"/>
      <c r="AI193"/>
    </row>
    <row r="194" spans="1:35" s="10" customFormat="1" x14ac:dyDescent="0.35">
      <c r="A194" s="8"/>
      <c r="B194" s="8"/>
      <c r="D194"/>
      <c r="E194" s="8"/>
      <c r="R194"/>
      <c r="S194"/>
      <c r="T194"/>
      <c r="U194" s="14"/>
      <c r="V194"/>
      <c r="W194"/>
      <c r="X194"/>
      <c r="Y194"/>
      <c r="Z194"/>
      <c r="AA194"/>
      <c r="AB194"/>
      <c r="AC194"/>
      <c r="AD194"/>
      <c r="AE194"/>
      <c r="AF194" s="15"/>
      <c r="AG194"/>
      <c r="AH194"/>
      <c r="AI194"/>
    </row>
    <row r="195" spans="1:35" s="10" customFormat="1" x14ac:dyDescent="0.35">
      <c r="A195" s="8"/>
      <c r="B195" s="8"/>
      <c r="D195"/>
      <c r="E195" s="8"/>
      <c r="R195"/>
      <c r="S195"/>
      <c r="T195"/>
      <c r="U195" s="14"/>
      <c r="V195"/>
      <c r="W195"/>
      <c r="X195"/>
      <c r="Y195"/>
      <c r="Z195"/>
      <c r="AA195"/>
      <c r="AB195"/>
      <c r="AC195"/>
      <c r="AD195"/>
      <c r="AE195"/>
      <c r="AF195" s="15"/>
      <c r="AG195"/>
      <c r="AH195"/>
      <c r="AI195"/>
    </row>
    <row r="196" spans="1:35" s="10" customFormat="1" x14ac:dyDescent="0.35">
      <c r="A196" s="8"/>
      <c r="B196" s="8"/>
      <c r="D196"/>
      <c r="E196" s="8"/>
      <c r="R196"/>
      <c r="S196"/>
      <c r="T196"/>
      <c r="U196" s="14"/>
      <c r="V196"/>
      <c r="W196"/>
      <c r="X196"/>
      <c r="Y196"/>
      <c r="Z196"/>
      <c r="AA196"/>
      <c r="AB196"/>
      <c r="AC196"/>
      <c r="AD196"/>
      <c r="AE196"/>
      <c r="AF196" s="15"/>
      <c r="AG196"/>
      <c r="AH196"/>
      <c r="AI196"/>
    </row>
    <row r="197" spans="1:35" s="10" customFormat="1" x14ac:dyDescent="0.35">
      <c r="A197" s="8"/>
      <c r="B197" s="8"/>
      <c r="D197"/>
      <c r="E197" s="8"/>
      <c r="R197"/>
      <c r="S197"/>
      <c r="T197"/>
      <c r="U197" s="14"/>
      <c r="V197"/>
      <c r="W197"/>
      <c r="X197"/>
      <c r="Y197"/>
      <c r="Z197"/>
      <c r="AA197"/>
      <c r="AB197"/>
      <c r="AC197"/>
      <c r="AD197"/>
      <c r="AE197"/>
      <c r="AF197" s="15"/>
      <c r="AG197"/>
      <c r="AH197"/>
      <c r="AI197"/>
    </row>
    <row r="198" spans="1:35" s="10" customFormat="1" x14ac:dyDescent="0.35">
      <c r="A198" s="8"/>
      <c r="B198" s="8"/>
      <c r="D198"/>
      <c r="E198" s="8"/>
      <c r="R198"/>
      <c r="S198"/>
      <c r="T198"/>
      <c r="U198" s="14"/>
      <c r="V198"/>
      <c r="W198"/>
      <c r="X198"/>
      <c r="Y198"/>
      <c r="Z198"/>
      <c r="AA198"/>
      <c r="AB198"/>
      <c r="AC198"/>
      <c r="AD198"/>
      <c r="AE198"/>
      <c r="AF198" s="15"/>
      <c r="AG198"/>
      <c r="AH198"/>
      <c r="AI198"/>
    </row>
    <row r="199" spans="1:35" s="10" customFormat="1" x14ac:dyDescent="0.35">
      <c r="A199" s="8"/>
      <c r="B199" s="8"/>
      <c r="D199"/>
      <c r="E199" s="8"/>
      <c r="R199"/>
      <c r="S199"/>
      <c r="T199"/>
      <c r="U199" s="14"/>
      <c r="V199"/>
      <c r="W199"/>
      <c r="X199"/>
      <c r="Y199"/>
      <c r="Z199"/>
      <c r="AA199"/>
      <c r="AB199"/>
      <c r="AC199"/>
      <c r="AD199"/>
      <c r="AE199"/>
      <c r="AF199" s="15"/>
      <c r="AG199"/>
      <c r="AH199"/>
      <c r="AI199"/>
    </row>
    <row r="200" spans="1:35" s="10" customFormat="1" x14ac:dyDescent="0.35">
      <c r="A200" s="8"/>
      <c r="B200" s="8"/>
      <c r="D200"/>
      <c r="E200" s="8"/>
      <c r="R200"/>
      <c r="S200"/>
      <c r="T200"/>
      <c r="U200" s="14"/>
      <c r="V200"/>
      <c r="W200"/>
      <c r="X200"/>
      <c r="Y200"/>
      <c r="Z200"/>
      <c r="AA200"/>
      <c r="AB200"/>
      <c r="AC200"/>
      <c r="AD200"/>
      <c r="AE200"/>
      <c r="AF200" s="15"/>
      <c r="AG200"/>
      <c r="AH200"/>
      <c r="AI200"/>
    </row>
    <row r="201" spans="1:35" s="10" customFormat="1" x14ac:dyDescent="0.35">
      <c r="A201" s="8"/>
      <c r="B201" s="8"/>
      <c r="D201"/>
      <c r="E201" s="8"/>
      <c r="R201"/>
      <c r="S201"/>
      <c r="T201"/>
      <c r="U201" s="14"/>
      <c r="V201"/>
      <c r="W201"/>
      <c r="X201"/>
      <c r="Y201"/>
      <c r="Z201"/>
      <c r="AA201"/>
      <c r="AB201"/>
      <c r="AC201"/>
      <c r="AD201"/>
      <c r="AE201"/>
      <c r="AF201" s="15"/>
      <c r="AG201"/>
      <c r="AH201"/>
      <c r="AI201"/>
    </row>
    <row r="202" spans="1:35" s="10" customFormat="1" x14ac:dyDescent="0.35">
      <c r="A202" s="8"/>
      <c r="B202" s="8"/>
      <c r="D202"/>
      <c r="E202" s="8"/>
      <c r="R202"/>
      <c r="S202"/>
      <c r="T202"/>
      <c r="U202" s="14"/>
      <c r="V202"/>
      <c r="W202"/>
      <c r="X202"/>
      <c r="Y202"/>
      <c r="Z202"/>
      <c r="AA202"/>
      <c r="AB202"/>
      <c r="AC202"/>
      <c r="AD202"/>
      <c r="AE202"/>
      <c r="AF202" s="15"/>
      <c r="AG202"/>
      <c r="AH202"/>
      <c r="AI202"/>
    </row>
    <row r="203" spans="1:35" s="10" customFormat="1" x14ac:dyDescent="0.35">
      <c r="A203" s="8"/>
      <c r="B203" s="8"/>
      <c r="D203"/>
      <c r="E203" s="8"/>
      <c r="R203"/>
      <c r="S203"/>
      <c r="T203"/>
      <c r="U203" s="14"/>
      <c r="V203"/>
      <c r="W203"/>
      <c r="X203"/>
      <c r="Y203"/>
      <c r="Z203"/>
      <c r="AA203"/>
      <c r="AB203"/>
      <c r="AC203"/>
      <c r="AD203"/>
      <c r="AE203"/>
      <c r="AF203" s="15"/>
      <c r="AG203"/>
      <c r="AH203"/>
      <c r="AI203"/>
    </row>
    <row r="204" spans="1:35" s="10" customFormat="1" x14ac:dyDescent="0.35">
      <c r="A204" s="8"/>
      <c r="B204" s="8"/>
      <c r="D204"/>
      <c r="E204" s="8"/>
      <c r="R204"/>
      <c r="S204"/>
      <c r="T204"/>
      <c r="U204" s="14"/>
      <c r="V204"/>
      <c r="W204"/>
      <c r="X204"/>
      <c r="Y204"/>
      <c r="Z204"/>
      <c r="AA204"/>
      <c r="AB204"/>
      <c r="AC204"/>
      <c r="AD204"/>
      <c r="AE204"/>
      <c r="AF204" s="15"/>
      <c r="AG204"/>
      <c r="AH204"/>
      <c r="AI204"/>
    </row>
    <row r="205" spans="1:35" s="10" customFormat="1" x14ac:dyDescent="0.35">
      <c r="A205" s="8"/>
      <c r="B205" s="8"/>
      <c r="D205"/>
      <c r="E205" s="8"/>
      <c r="R205"/>
      <c r="S205"/>
      <c r="T205"/>
      <c r="U205" s="14"/>
      <c r="V205"/>
      <c r="W205"/>
      <c r="X205"/>
      <c r="Y205"/>
      <c r="Z205"/>
      <c r="AA205"/>
      <c r="AB205"/>
      <c r="AC205"/>
      <c r="AD205"/>
      <c r="AE205"/>
      <c r="AF205" s="15"/>
      <c r="AG205"/>
      <c r="AH205"/>
      <c r="AI205"/>
    </row>
    <row r="206" spans="1:35" s="10" customFormat="1" x14ac:dyDescent="0.35">
      <c r="A206" s="8"/>
      <c r="B206" s="8"/>
      <c r="D206"/>
      <c r="E206" s="8"/>
      <c r="R206"/>
      <c r="S206"/>
      <c r="T206"/>
      <c r="U206" s="14"/>
      <c r="V206"/>
      <c r="W206"/>
      <c r="X206"/>
      <c r="Y206"/>
      <c r="Z206"/>
      <c r="AA206"/>
      <c r="AB206"/>
      <c r="AC206"/>
      <c r="AD206"/>
      <c r="AE206"/>
      <c r="AF206" s="15"/>
      <c r="AG206"/>
      <c r="AH206"/>
      <c r="AI206"/>
    </row>
    <row r="207" spans="1:35" s="10" customFormat="1" x14ac:dyDescent="0.35">
      <c r="A207" s="8"/>
      <c r="B207" s="8"/>
      <c r="D207"/>
      <c r="E207" s="8"/>
      <c r="R207"/>
      <c r="S207"/>
      <c r="T207"/>
      <c r="U207" s="14"/>
      <c r="V207"/>
      <c r="W207"/>
      <c r="X207"/>
      <c r="Y207"/>
      <c r="Z207"/>
      <c r="AA207"/>
      <c r="AB207"/>
      <c r="AC207"/>
      <c r="AD207"/>
      <c r="AE207"/>
      <c r="AF207" s="15"/>
      <c r="AG207"/>
      <c r="AH207"/>
      <c r="AI207"/>
    </row>
    <row r="208" spans="1:35" s="10" customFormat="1" x14ac:dyDescent="0.35">
      <c r="A208" s="8"/>
      <c r="B208" s="8"/>
      <c r="D208"/>
      <c r="E208" s="8"/>
      <c r="R208"/>
      <c r="S208"/>
      <c r="T208"/>
      <c r="U208" s="14"/>
      <c r="V208"/>
      <c r="W208"/>
      <c r="X208"/>
      <c r="Y208"/>
      <c r="Z208"/>
      <c r="AA208"/>
      <c r="AB208"/>
      <c r="AC208"/>
      <c r="AD208"/>
      <c r="AE208"/>
      <c r="AF208" s="15"/>
      <c r="AG208"/>
      <c r="AH208"/>
      <c r="AI208"/>
    </row>
    <row r="209" spans="1:35" s="10" customFormat="1" x14ac:dyDescent="0.35">
      <c r="A209" s="8"/>
      <c r="B209" s="8"/>
      <c r="D209"/>
      <c r="E209" s="8"/>
      <c r="R209"/>
      <c r="S209"/>
      <c r="T209"/>
      <c r="U209" s="14"/>
      <c r="V209"/>
      <c r="W209"/>
      <c r="X209"/>
      <c r="Y209"/>
      <c r="Z209"/>
      <c r="AA209"/>
      <c r="AB209"/>
      <c r="AC209"/>
      <c r="AD209"/>
      <c r="AE209"/>
      <c r="AF209" s="15"/>
      <c r="AG209"/>
      <c r="AH209"/>
      <c r="AI209"/>
    </row>
    <row r="210" spans="1:35" s="10" customFormat="1" x14ac:dyDescent="0.35">
      <c r="A210" s="8"/>
      <c r="B210" s="8"/>
      <c r="D210"/>
      <c r="E210" s="8"/>
      <c r="R210"/>
      <c r="S210"/>
      <c r="T210"/>
      <c r="U210" s="14"/>
      <c r="V210"/>
      <c r="W210"/>
      <c r="X210"/>
      <c r="Y210"/>
      <c r="Z210"/>
      <c r="AA210"/>
      <c r="AB210"/>
      <c r="AC210"/>
      <c r="AD210"/>
      <c r="AE210"/>
      <c r="AF210" s="15"/>
      <c r="AG210"/>
      <c r="AH210"/>
      <c r="AI210"/>
    </row>
    <row r="211" spans="1:35" s="10" customFormat="1" x14ac:dyDescent="0.35">
      <c r="A211" s="8"/>
      <c r="B211" s="8"/>
      <c r="D211"/>
      <c r="E211" s="8"/>
      <c r="R211"/>
      <c r="S211"/>
      <c r="T211"/>
      <c r="U211" s="14"/>
      <c r="V211"/>
      <c r="W211"/>
      <c r="X211"/>
      <c r="Y211"/>
      <c r="Z211"/>
      <c r="AA211"/>
      <c r="AB211"/>
      <c r="AC211"/>
      <c r="AD211"/>
      <c r="AE211"/>
      <c r="AF211" s="15"/>
      <c r="AG211"/>
      <c r="AH211"/>
      <c r="AI211"/>
    </row>
    <row r="212" spans="1:35" s="10" customFormat="1" x14ac:dyDescent="0.35">
      <c r="A212" s="8"/>
      <c r="B212" s="8"/>
      <c r="D212"/>
      <c r="E212" s="8"/>
      <c r="R212"/>
      <c r="S212"/>
      <c r="T212"/>
      <c r="U212" s="14"/>
      <c r="V212"/>
      <c r="W212"/>
      <c r="X212"/>
      <c r="Y212"/>
      <c r="Z212"/>
      <c r="AA212"/>
      <c r="AB212"/>
      <c r="AC212"/>
      <c r="AD212"/>
      <c r="AE212"/>
      <c r="AF212" s="15"/>
      <c r="AG212"/>
      <c r="AH212"/>
      <c r="AI212"/>
    </row>
    <row r="213" spans="1:35" s="10" customFormat="1" x14ac:dyDescent="0.35">
      <c r="A213" s="8"/>
      <c r="B213" s="8"/>
      <c r="D213"/>
      <c r="E213" s="8"/>
      <c r="R213"/>
      <c r="S213"/>
      <c r="T213"/>
      <c r="U213" s="14"/>
      <c r="V213"/>
      <c r="W213"/>
      <c r="X213"/>
      <c r="Y213"/>
      <c r="Z213"/>
      <c r="AA213"/>
      <c r="AB213"/>
      <c r="AC213"/>
      <c r="AD213"/>
      <c r="AE213"/>
      <c r="AF213" s="15"/>
      <c r="AG213"/>
      <c r="AH213"/>
      <c r="AI213"/>
    </row>
    <row r="214" spans="1:35" s="10" customFormat="1" x14ac:dyDescent="0.35">
      <c r="A214" s="8"/>
      <c r="B214" s="8"/>
      <c r="D214"/>
      <c r="E214" s="8"/>
      <c r="R214"/>
      <c r="S214"/>
      <c r="T214"/>
      <c r="U214" s="14"/>
      <c r="V214"/>
      <c r="W214"/>
      <c r="X214"/>
      <c r="Y214"/>
      <c r="Z214"/>
      <c r="AA214"/>
      <c r="AB214"/>
      <c r="AC214"/>
      <c r="AD214"/>
      <c r="AE214"/>
      <c r="AF214" s="15"/>
      <c r="AG214"/>
      <c r="AH214"/>
      <c r="AI214"/>
    </row>
    <row r="215" spans="1:35" s="10" customFormat="1" x14ac:dyDescent="0.35">
      <c r="A215" s="8"/>
      <c r="B215" s="8"/>
      <c r="D215"/>
      <c r="E215" s="8"/>
      <c r="R215"/>
      <c r="S215"/>
      <c r="T215"/>
      <c r="U215" s="14"/>
      <c r="V215"/>
      <c r="W215"/>
      <c r="X215"/>
      <c r="Y215"/>
      <c r="Z215"/>
      <c r="AA215"/>
      <c r="AB215"/>
      <c r="AC215"/>
      <c r="AD215"/>
      <c r="AE215"/>
      <c r="AF215" s="15"/>
      <c r="AG215"/>
      <c r="AH215"/>
      <c r="AI215"/>
    </row>
    <row r="216" spans="1:35" s="10" customFormat="1" x14ac:dyDescent="0.35">
      <c r="A216" s="8"/>
      <c r="B216" s="8"/>
      <c r="D216"/>
      <c r="E216" s="8"/>
      <c r="R216"/>
      <c r="S216"/>
      <c r="T216"/>
      <c r="U216" s="14"/>
      <c r="V216"/>
      <c r="W216"/>
      <c r="X216"/>
      <c r="Y216"/>
      <c r="Z216"/>
      <c r="AA216"/>
      <c r="AB216"/>
      <c r="AC216"/>
      <c r="AD216"/>
      <c r="AE216"/>
      <c r="AF216" s="15"/>
      <c r="AG216"/>
      <c r="AH216"/>
      <c r="AI216"/>
    </row>
    <row r="217" spans="1:35" s="10" customFormat="1" x14ac:dyDescent="0.35">
      <c r="A217" s="8"/>
      <c r="B217" s="8"/>
      <c r="D217"/>
      <c r="E217" s="8"/>
      <c r="R217"/>
      <c r="S217"/>
      <c r="T217"/>
      <c r="U217" s="14"/>
      <c r="V217"/>
      <c r="W217"/>
      <c r="X217"/>
      <c r="Y217"/>
      <c r="Z217"/>
      <c r="AA217"/>
      <c r="AB217"/>
      <c r="AC217"/>
      <c r="AD217"/>
      <c r="AE217"/>
      <c r="AF217" s="15"/>
      <c r="AG217"/>
      <c r="AH217"/>
      <c r="AI217"/>
    </row>
    <row r="218" spans="1:35" s="10" customFormat="1" x14ac:dyDescent="0.35">
      <c r="A218" s="8"/>
      <c r="B218" s="8"/>
      <c r="D218"/>
      <c r="E218" s="8"/>
      <c r="R218"/>
      <c r="S218"/>
      <c r="T218"/>
      <c r="U218" s="14"/>
      <c r="V218"/>
      <c r="W218"/>
      <c r="X218"/>
      <c r="Y218"/>
      <c r="Z218"/>
      <c r="AA218"/>
      <c r="AB218"/>
      <c r="AC218"/>
      <c r="AD218"/>
      <c r="AE218"/>
      <c r="AF218" s="15"/>
      <c r="AG218"/>
      <c r="AH218"/>
      <c r="AI218"/>
    </row>
    <row r="219" spans="1:35" s="10" customFormat="1" x14ac:dyDescent="0.35">
      <c r="A219" s="8"/>
      <c r="B219" s="8"/>
      <c r="D219"/>
      <c r="E219" s="8"/>
      <c r="R219"/>
      <c r="S219"/>
      <c r="T219"/>
      <c r="U219" s="14"/>
      <c r="V219"/>
      <c r="W219"/>
      <c r="X219"/>
      <c r="Y219"/>
      <c r="Z219"/>
      <c r="AA219"/>
      <c r="AB219"/>
      <c r="AC219"/>
      <c r="AD219"/>
      <c r="AE219"/>
      <c r="AF219" s="15"/>
      <c r="AG219"/>
      <c r="AH219"/>
      <c r="AI219"/>
    </row>
    <row r="220" spans="1:35" s="10" customFormat="1" x14ac:dyDescent="0.35">
      <c r="A220" s="8"/>
      <c r="B220" s="8"/>
      <c r="D220"/>
      <c r="E220" s="8"/>
      <c r="R220"/>
      <c r="S220"/>
      <c r="T220"/>
      <c r="U220" s="14"/>
      <c r="V220"/>
      <c r="W220"/>
      <c r="X220"/>
      <c r="Y220"/>
      <c r="Z220"/>
      <c r="AA220"/>
      <c r="AB220"/>
      <c r="AC220"/>
      <c r="AD220"/>
      <c r="AE220"/>
      <c r="AF220" s="15"/>
      <c r="AG220"/>
      <c r="AH220"/>
      <c r="AI220"/>
    </row>
    <row r="221" spans="1:35" s="10" customFormat="1" x14ac:dyDescent="0.35">
      <c r="A221" s="8"/>
      <c r="B221" s="8"/>
      <c r="D221"/>
      <c r="E221" s="8"/>
      <c r="R221"/>
      <c r="S221"/>
      <c r="T221"/>
      <c r="U221" s="14"/>
      <c r="V221"/>
      <c r="W221"/>
      <c r="X221"/>
      <c r="Y221"/>
      <c r="Z221"/>
      <c r="AA221"/>
      <c r="AB221"/>
      <c r="AC221"/>
      <c r="AD221"/>
      <c r="AE221"/>
      <c r="AF221" s="15"/>
      <c r="AG221"/>
      <c r="AH221"/>
      <c r="AI221"/>
    </row>
    <row r="222" spans="1:35" s="10" customFormat="1" x14ac:dyDescent="0.35">
      <c r="A222" s="8"/>
      <c r="B222" s="8"/>
      <c r="D222"/>
      <c r="E222" s="8"/>
      <c r="R222"/>
      <c r="S222"/>
      <c r="T222"/>
      <c r="U222" s="14"/>
      <c r="V222"/>
      <c r="W222"/>
      <c r="X222"/>
      <c r="Y222"/>
      <c r="Z222"/>
      <c r="AA222"/>
      <c r="AB222"/>
      <c r="AC222"/>
      <c r="AD222"/>
      <c r="AE222"/>
      <c r="AF222" s="15"/>
      <c r="AG222"/>
      <c r="AH222"/>
      <c r="AI222"/>
    </row>
    <row r="223" spans="1:35" s="10" customFormat="1" x14ac:dyDescent="0.35">
      <c r="A223" s="8"/>
      <c r="B223" s="8"/>
      <c r="D223"/>
      <c r="E223" s="8"/>
      <c r="R223"/>
      <c r="S223"/>
      <c r="T223"/>
      <c r="U223" s="14"/>
      <c r="V223"/>
      <c r="W223"/>
      <c r="X223"/>
      <c r="Y223"/>
      <c r="Z223"/>
      <c r="AA223"/>
      <c r="AB223"/>
      <c r="AC223"/>
      <c r="AD223"/>
      <c r="AE223"/>
      <c r="AF223" s="15"/>
      <c r="AG223"/>
      <c r="AH223"/>
      <c r="AI223"/>
    </row>
    <row r="224" spans="1:35" s="10" customFormat="1" x14ac:dyDescent="0.35">
      <c r="A224" s="8"/>
      <c r="B224" s="8"/>
      <c r="D224"/>
      <c r="E224" s="8"/>
      <c r="R224"/>
      <c r="S224"/>
      <c r="T224"/>
      <c r="U224" s="14"/>
      <c r="V224"/>
      <c r="W224"/>
      <c r="X224"/>
      <c r="Y224"/>
      <c r="Z224"/>
      <c r="AA224"/>
      <c r="AB224"/>
      <c r="AC224"/>
      <c r="AD224"/>
      <c r="AE224"/>
      <c r="AF224" s="15"/>
      <c r="AG224"/>
      <c r="AH224"/>
      <c r="AI224"/>
    </row>
    <row r="225" spans="1:35" s="10" customFormat="1" x14ac:dyDescent="0.35">
      <c r="A225" s="8"/>
      <c r="B225" s="8"/>
      <c r="D225"/>
      <c r="E225" s="8"/>
      <c r="R225"/>
      <c r="S225"/>
      <c r="T225"/>
      <c r="U225" s="14"/>
      <c r="V225"/>
      <c r="W225"/>
      <c r="X225"/>
      <c r="Y225"/>
      <c r="Z225"/>
      <c r="AA225"/>
      <c r="AB225"/>
      <c r="AC225"/>
      <c r="AD225"/>
      <c r="AE225"/>
      <c r="AF225" s="15"/>
      <c r="AG225"/>
      <c r="AH225"/>
      <c r="AI225"/>
    </row>
    <row r="226" spans="1:35" s="10" customFormat="1" x14ac:dyDescent="0.35">
      <c r="A226" s="8"/>
      <c r="B226" s="8"/>
      <c r="D226"/>
      <c r="E226" s="8"/>
      <c r="R226"/>
      <c r="S226"/>
      <c r="T226"/>
      <c r="U226" s="14"/>
      <c r="V226"/>
      <c r="W226"/>
      <c r="X226"/>
      <c r="Y226"/>
      <c r="Z226"/>
      <c r="AA226"/>
      <c r="AB226"/>
      <c r="AC226"/>
      <c r="AD226"/>
      <c r="AE226"/>
      <c r="AF226" s="15"/>
      <c r="AG226"/>
      <c r="AH226"/>
      <c r="AI226"/>
    </row>
    <row r="227" spans="1:35" s="10" customFormat="1" x14ac:dyDescent="0.35">
      <c r="A227" s="8"/>
      <c r="B227" s="8"/>
      <c r="D227"/>
      <c r="E227" s="8"/>
      <c r="R227"/>
      <c r="S227"/>
      <c r="T227"/>
      <c r="U227" s="14"/>
      <c r="V227"/>
      <c r="W227"/>
      <c r="X227"/>
      <c r="Y227"/>
      <c r="Z227"/>
      <c r="AA227"/>
      <c r="AB227"/>
      <c r="AC227"/>
      <c r="AD227"/>
      <c r="AE227"/>
      <c r="AF227" s="15"/>
      <c r="AG227"/>
      <c r="AH227"/>
      <c r="AI227"/>
    </row>
    <row r="228" spans="1:35" s="10" customFormat="1" x14ac:dyDescent="0.35">
      <c r="A228" s="8"/>
      <c r="B228" s="8"/>
      <c r="D228"/>
      <c r="E228" s="8"/>
      <c r="R228"/>
      <c r="S228"/>
      <c r="T228"/>
      <c r="U228" s="14"/>
      <c r="V228"/>
      <c r="W228"/>
      <c r="X228"/>
      <c r="Y228"/>
      <c r="Z228"/>
      <c r="AA228"/>
      <c r="AB228"/>
      <c r="AC228"/>
      <c r="AD228"/>
      <c r="AE228"/>
      <c r="AF228" s="15"/>
      <c r="AG228"/>
      <c r="AH228"/>
      <c r="AI228"/>
    </row>
    <row r="229" spans="1:35" s="10" customFormat="1" x14ac:dyDescent="0.35">
      <c r="A229" s="8"/>
      <c r="B229" s="8"/>
      <c r="D229"/>
      <c r="E229" s="8"/>
      <c r="R229"/>
      <c r="S229"/>
      <c r="T229"/>
      <c r="U229" s="14"/>
      <c r="V229"/>
      <c r="W229"/>
      <c r="X229"/>
      <c r="Y229"/>
      <c r="Z229"/>
      <c r="AA229"/>
      <c r="AB229"/>
      <c r="AC229"/>
      <c r="AD229"/>
      <c r="AE229"/>
      <c r="AF229" s="15"/>
      <c r="AG229"/>
      <c r="AH229"/>
      <c r="AI229"/>
    </row>
    <row r="230" spans="1:35" s="10" customFormat="1" x14ac:dyDescent="0.35">
      <c r="A230" s="8"/>
      <c r="B230" s="8"/>
      <c r="D230"/>
      <c r="E230" s="8"/>
      <c r="R230"/>
      <c r="S230"/>
      <c r="T230"/>
      <c r="U230" s="14"/>
      <c r="V230"/>
      <c r="W230"/>
      <c r="X230"/>
      <c r="Y230"/>
      <c r="Z230"/>
      <c r="AA230"/>
      <c r="AB230"/>
      <c r="AC230"/>
      <c r="AD230"/>
      <c r="AE230"/>
      <c r="AF230" s="15"/>
      <c r="AG230"/>
      <c r="AH230"/>
      <c r="AI230"/>
    </row>
    <row r="231" spans="1:35" s="10" customFormat="1" x14ac:dyDescent="0.35">
      <c r="A231" s="8"/>
      <c r="B231" s="8"/>
      <c r="D231"/>
      <c r="E231" s="8"/>
      <c r="R231"/>
      <c r="S231"/>
      <c r="T231"/>
      <c r="U231" s="14"/>
      <c r="V231"/>
      <c r="W231"/>
      <c r="X231"/>
      <c r="Y231"/>
      <c r="Z231"/>
      <c r="AA231"/>
      <c r="AB231"/>
      <c r="AC231"/>
      <c r="AD231"/>
      <c r="AE231"/>
      <c r="AF231" s="15"/>
      <c r="AG231"/>
      <c r="AH231"/>
      <c r="AI231"/>
    </row>
    <row r="232" spans="1:35" s="10" customFormat="1" x14ac:dyDescent="0.35">
      <c r="A232" s="8"/>
      <c r="B232" s="8"/>
      <c r="D232"/>
      <c r="E232" s="8"/>
      <c r="R232"/>
      <c r="S232"/>
      <c r="T232"/>
      <c r="U232" s="14"/>
      <c r="V232"/>
      <c r="W232"/>
      <c r="X232"/>
      <c r="Y232"/>
      <c r="Z232"/>
      <c r="AA232"/>
      <c r="AB232"/>
      <c r="AC232"/>
      <c r="AD232"/>
      <c r="AE232"/>
      <c r="AF232" s="15"/>
      <c r="AG232"/>
      <c r="AH232"/>
      <c r="AI232"/>
    </row>
    <row r="233" spans="1:35" s="10" customFormat="1" x14ac:dyDescent="0.35">
      <c r="A233" s="8"/>
      <c r="B233" s="8"/>
      <c r="D233"/>
      <c r="E233" s="8"/>
      <c r="R233"/>
      <c r="S233"/>
      <c r="T233"/>
      <c r="U233" s="14"/>
      <c r="V233"/>
      <c r="W233"/>
      <c r="X233"/>
      <c r="Y233"/>
      <c r="Z233"/>
      <c r="AA233"/>
      <c r="AB233"/>
      <c r="AC233"/>
      <c r="AD233"/>
      <c r="AE233"/>
      <c r="AF233" s="15"/>
      <c r="AG233"/>
      <c r="AH233"/>
      <c r="AI233"/>
    </row>
    <row r="234" spans="1:35" s="10" customFormat="1" x14ac:dyDescent="0.35">
      <c r="A234" s="8"/>
      <c r="B234" s="8"/>
      <c r="D234"/>
      <c r="E234" s="8"/>
      <c r="R234"/>
      <c r="S234"/>
      <c r="T234"/>
      <c r="U234" s="14"/>
      <c r="V234"/>
      <c r="W234"/>
      <c r="X234"/>
      <c r="Y234"/>
      <c r="Z234"/>
      <c r="AA234"/>
      <c r="AB234"/>
      <c r="AC234"/>
      <c r="AD234"/>
      <c r="AE234"/>
      <c r="AF234" s="15"/>
      <c r="AG234"/>
      <c r="AH234"/>
      <c r="AI234"/>
    </row>
    <row r="235" spans="1:35" s="10" customFormat="1" x14ac:dyDescent="0.35">
      <c r="A235" s="8"/>
      <c r="B235" s="8"/>
      <c r="D235"/>
      <c r="E235" s="8"/>
      <c r="R235"/>
      <c r="S235"/>
      <c r="T235"/>
      <c r="U235" s="14"/>
      <c r="V235"/>
      <c r="W235"/>
      <c r="X235"/>
      <c r="Y235"/>
      <c r="Z235"/>
      <c r="AA235"/>
      <c r="AB235"/>
      <c r="AC235"/>
      <c r="AD235"/>
      <c r="AE235"/>
      <c r="AF235" s="15"/>
      <c r="AG235"/>
      <c r="AH235"/>
      <c r="AI235"/>
    </row>
    <row r="236" spans="1:35" s="10" customFormat="1" x14ac:dyDescent="0.35">
      <c r="A236" s="8"/>
      <c r="B236" s="8"/>
      <c r="D236"/>
      <c r="E236" s="8"/>
      <c r="R236"/>
      <c r="S236"/>
      <c r="T236"/>
      <c r="U236" s="14"/>
      <c r="V236"/>
      <c r="W236"/>
      <c r="X236"/>
      <c r="Y236"/>
      <c r="Z236"/>
      <c r="AA236"/>
      <c r="AB236"/>
      <c r="AC236"/>
      <c r="AD236"/>
      <c r="AE236"/>
      <c r="AF236" s="15"/>
      <c r="AG236"/>
      <c r="AH236"/>
      <c r="AI236"/>
    </row>
    <row r="237" spans="1:35" s="10" customFormat="1" x14ac:dyDescent="0.35">
      <c r="A237" s="8"/>
      <c r="B237" s="8"/>
      <c r="D237"/>
      <c r="E237" s="8"/>
      <c r="R237"/>
      <c r="S237"/>
      <c r="T237"/>
      <c r="U237" s="14"/>
      <c r="V237"/>
      <c r="W237"/>
      <c r="X237"/>
      <c r="Y237"/>
      <c r="Z237"/>
      <c r="AA237"/>
      <c r="AB237"/>
      <c r="AC237"/>
      <c r="AD237"/>
      <c r="AE237"/>
      <c r="AF237" s="15"/>
      <c r="AG237"/>
      <c r="AH237"/>
      <c r="AI237"/>
    </row>
    <row r="238" spans="1:35" s="10" customFormat="1" x14ac:dyDescent="0.35">
      <c r="A238" s="8"/>
      <c r="B238" s="8"/>
      <c r="D238"/>
      <c r="E238" s="8"/>
      <c r="R238"/>
      <c r="S238"/>
      <c r="T238"/>
      <c r="U238" s="14"/>
      <c r="V238"/>
      <c r="W238"/>
      <c r="X238"/>
      <c r="Y238"/>
      <c r="Z238"/>
      <c r="AA238"/>
      <c r="AB238"/>
      <c r="AC238"/>
      <c r="AD238"/>
      <c r="AE238"/>
      <c r="AF238" s="15"/>
      <c r="AG238"/>
      <c r="AH238"/>
      <c r="AI238"/>
    </row>
    <row r="239" spans="1:35" s="10" customFormat="1" x14ac:dyDescent="0.35">
      <c r="A239" s="8"/>
      <c r="B239" s="8"/>
      <c r="D239"/>
      <c r="E239" s="8"/>
      <c r="R239"/>
      <c r="S239"/>
      <c r="T239"/>
      <c r="U239" s="14"/>
      <c r="V239"/>
      <c r="W239"/>
      <c r="X239"/>
      <c r="Y239"/>
      <c r="Z239"/>
      <c r="AA239"/>
      <c r="AB239"/>
      <c r="AC239"/>
      <c r="AD239"/>
      <c r="AE239"/>
      <c r="AF239" s="15"/>
      <c r="AG239"/>
      <c r="AH239"/>
      <c r="AI239"/>
    </row>
    <row r="240" spans="1:35" s="10" customFormat="1" x14ac:dyDescent="0.35">
      <c r="A240" s="8"/>
      <c r="B240" s="8"/>
      <c r="D240"/>
      <c r="E240" s="8"/>
      <c r="R240"/>
      <c r="S240"/>
      <c r="T240"/>
      <c r="U240" s="14"/>
      <c r="V240"/>
      <c r="W240"/>
      <c r="X240"/>
      <c r="Y240"/>
      <c r="Z240"/>
      <c r="AA240"/>
      <c r="AB240"/>
      <c r="AC240"/>
      <c r="AD240"/>
      <c r="AE240"/>
      <c r="AF240" s="15"/>
      <c r="AG240"/>
      <c r="AH240"/>
      <c r="AI240"/>
    </row>
    <row r="241" spans="1:35" s="10" customFormat="1" x14ac:dyDescent="0.35">
      <c r="A241" s="8"/>
      <c r="B241" s="8"/>
      <c r="D241"/>
      <c r="E241" s="8"/>
      <c r="R241"/>
      <c r="S241"/>
      <c r="T241"/>
      <c r="U241" s="14"/>
      <c r="V241"/>
      <c r="W241"/>
      <c r="X241"/>
      <c r="Y241"/>
      <c r="Z241"/>
      <c r="AA241"/>
      <c r="AB241"/>
      <c r="AC241"/>
      <c r="AD241"/>
      <c r="AE241"/>
      <c r="AF241" s="15"/>
      <c r="AG241"/>
      <c r="AH241"/>
      <c r="AI241"/>
    </row>
    <row r="242" spans="1:35" s="10" customFormat="1" x14ac:dyDescent="0.35">
      <c r="A242" s="8"/>
      <c r="B242" s="8"/>
      <c r="D242"/>
      <c r="E242" s="8"/>
      <c r="R242"/>
      <c r="S242"/>
      <c r="T242"/>
      <c r="U242" s="14"/>
      <c r="V242"/>
      <c r="W242"/>
      <c r="X242"/>
      <c r="Y242"/>
      <c r="Z242"/>
      <c r="AA242"/>
      <c r="AB242"/>
      <c r="AC242"/>
      <c r="AD242"/>
      <c r="AE242"/>
      <c r="AF242" s="15"/>
      <c r="AG242"/>
      <c r="AH242"/>
      <c r="AI242"/>
    </row>
    <row r="243" spans="1:35" s="10" customFormat="1" x14ac:dyDescent="0.35">
      <c r="A243" s="8"/>
      <c r="B243" s="8"/>
      <c r="D243"/>
      <c r="E243" s="8"/>
      <c r="R243"/>
      <c r="S243"/>
      <c r="T243"/>
      <c r="U243" s="14"/>
      <c r="V243"/>
      <c r="W243"/>
      <c r="X243"/>
      <c r="Y243"/>
      <c r="Z243"/>
      <c r="AA243"/>
      <c r="AB243"/>
      <c r="AC243"/>
      <c r="AD243"/>
      <c r="AE243"/>
      <c r="AF243" s="15"/>
      <c r="AG243"/>
      <c r="AH243"/>
      <c r="AI243"/>
    </row>
    <row r="244" spans="1:35" s="10" customFormat="1" x14ac:dyDescent="0.35">
      <c r="A244" s="8"/>
      <c r="B244" s="8"/>
      <c r="D244"/>
      <c r="E244" s="8"/>
      <c r="R244"/>
      <c r="S244"/>
      <c r="T244"/>
      <c r="U244" s="14"/>
      <c r="V244"/>
      <c r="W244"/>
      <c r="X244"/>
      <c r="Y244"/>
      <c r="Z244"/>
      <c r="AA244"/>
      <c r="AB244"/>
      <c r="AC244"/>
      <c r="AD244"/>
      <c r="AE244"/>
      <c r="AF244" s="15"/>
      <c r="AG244"/>
      <c r="AH244"/>
      <c r="AI244"/>
    </row>
    <row r="245" spans="1:35" s="10" customFormat="1" x14ac:dyDescent="0.35">
      <c r="A245" s="8"/>
      <c r="B245" s="8"/>
      <c r="D245"/>
      <c r="E245" s="8"/>
      <c r="R245"/>
      <c r="S245"/>
      <c r="T245"/>
      <c r="U245" s="14"/>
      <c r="V245"/>
      <c r="W245"/>
      <c r="X245"/>
      <c r="Y245"/>
      <c r="Z245"/>
      <c r="AA245"/>
      <c r="AB245"/>
      <c r="AC245"/>
      <c r="AD245"/>
      <c r="AE245"/>
      <c r="AF245" s="15"/>
      <c r="AG245"/>
      <c r="AH245"/>
      <c r="AI245"/>
    </row>
    <row r="246" spans="1:35" s="10" customFormat="1" x14ac:dyDescent="0.35">
      <c r="A246" s="8"/>
      <c r="B246" s="8"/>
      <c r="D246"/>
      <c r="E246" s="8"/>
      <c r="R246"/>
      <c r="S246"/>
      <c r="T246"/>
      <c r="U246" s="14"/>
      <c r="V246"/>
      <c r="W246"/>
      <c r="X246"/>
      <c r="Y246"/>
      <c r="Z246"/>
      <c r="AA246"/>
      <c r="AB246"/>
      <c r="AC246"/>
      <c r="AD246"/>
      <c r="AE246"/>
      <c r="AF246" s="15"/>
      <c r="AG246"/>
      <c r="AH246"/>
      <c r="AI246"/>
    </row>
    <row r="247" spans="1:35" s="10" customFormat="1" x14ac:dyDescent="0.35">
      <c r="A247" s="8"/>
      <c r="B247" s="8"/>
      <c r="D247"/>
      <c r="E247" s="8"/>
      <c r="R247"/>
      <c r="S247"/>
      <c r="T247"/>
      <c r="U247" s="14"/>
      <c r="V247"/>
      <c r="W247"/>
      <c r="X247"/>
      <c r="Y247"/>
      <c r="Z247"/>
      <c r="AA247"/>
      <c r="AB247"/>
      <c r="AC247"/>
      <c r="AD247"/>
      <c r="AE247"/>
      <c r="AF247" s="15"/>
      <c r="AG247"/>
      <c r="AH247"/>
      <c r="AI247"/>
    </row>
    <row r="248" spans="1:35" s="10" customFormat="1" x14ac:dyDescent="0.35">
      <c r="A248" s="8"/>
      <c r="B248" s="8"/>
      <c r="D248"/>
      <c r="E248" s="8"/>
      <c r="R248"/>
      <c r="S248"/>
      <c r="T248"/>
      <c r="U248" s="14"/>
      <c r="V248"/>
      <c r="W248"/>
      <c r="X248"/>
      <c r="Y248"/>
      <c r="Z248"/>
      <c r="AA248"/>
      <c r="AB248"/>
      <c r="AC248"/>
      <c r="AD248"/>
      <c r="AE248"/>
      <c r="AF248" s="15"/>
      <c r="AG248"/>
      <c r="AH248"/>
      <c r="AI248"/>
    </row>
    <row r="249" spans="1:35" s="10" customFormat="1" x14ac:dyDescent="0.35">
      <c r="A249" s="8"/>
      <c r="B249" s="8"/>
      <c r="D249"/>
      <c r="E249" s="8"/>
      <c r="R249"/>
      <c r="S249"/>
      <c r="T249"/>
      <c r="U249" s="14"/>
      <c r="V249"/>
      <c r="W249"/>
      <c r="X249"/>
      <c r="Y249"/>
      <c r="Z249"/>
      <c r="AA249"/>
      <c r="AB249"/>
      <c r="AC249"/>
      <c r="AD249"/>
      <c r="AE249"/>
      <c r="AF249" s="15"/>
      <c r="AG249"/>
      <c r="AH249"/>
      <c r="AI249"/>
    </row>
    <row r="250" spans="1:35" s="10" customFormat="1" x14ac:dyDescent="0.35">
      <c r="A250" s="8"/>
      <c r="B250" s="8"/>
      <c r="D250"/>
      <c r="E250" s="8"/>
      <c r="R250"/>
      <c r="S250"/>
      <c r="T250"/>
      <c r="U250" s="14"/>
      <c r="V250"/>
      <c r="W250"/>
      <c r="X250"/>
      <c r="Y250"/>
      <c r="Z250"/>
      <c r="AA250"/>
      <c r="AB250"/>
      <c r="AC250"/>
      <c r="AD250"/>
      <c r="AE250"/>
      <c r="AF250" s="15"/>
      <c r="AG250"/>
      <c r="AH250"/>
      <c r="AI250"/>
    </row>
    <row r="251" spans="1:35" s="10" customFormat="1" x14ac:dyDescent="0.35">
      <c r="A251" s="8"/>
      <c r="B251" s="8"/>
      <c r="D251"/>
      <c r="E251" s="8"/>
      <c r="R251"/>
      <c r="S251"/>
      <c r="T251"/>
      <c r="U251" s="14"/>
      <c r="V251"/>
      <c r="W251"/>
      <c r="X251"/>
      <c r="Y251"/>
      <c r="Z251"/>
      <c r="AA251"/>
      <c r="AB251"/>
      <c r="AC251"/>
      <c r="AD251"/>
      <c r="AE251"/>
      <c r="AF251" s="15"/>
      <c r="AG251"/>
      <c r="AH251"/>
      <c r="AI251"/>
    </row>
    <row r="252" spans="1:35" s="10" customFormat="1" x14ac:dyDescent="0.35">
      <c r="A252" s="8"/>
      <c r="B252" s="8"/>
      <c r="D252"/>
      <c r="E252" s="8"/>
      <c r="R252"/>
      <c r="S252"/>
      <c r="T252"/>
      <c r="U252" s="14"/>
      <c r="V252"/>
      <c r="W252"/>
      <c r="X252"/>
      <c r="Y252"/>
      <c r="Z252"/>
      <c r="AA252"/>
      <c r="AB252"/>
      <c r="AC252"/>
      <c r="AD252"/>
      <c r="AE252"/>
      <c r="AF252" s="15"/>
      <c r="AG252"/>
      <c r="AH252"/>
      <c r="AI252"/>
    </row>
    <row r="253" spans="1:35" s="10" customFormat="1" x14ac:dyDescent="0.35">
      <c r="A253" s="8"/>
      <c r="B253" s="8"/>
      <c r="D253"/>
      <c r="E253" s="8"/>
      <c r="R253"/>
      <c r="S253"/>
      <c r="T253"/>
      <c r="U253" s="14"/>
      <c r="V253"/>
      <c r="W253"/>
      <c r="X253"/>
      <c r="Y253"/>
      <c r="Z253"/>
      <c r="AA253"/>
      <c r="AB253"/>
      <c r="AC253"/>
      <c r="AD253"/>
      <c r="AE253"/>
      <c r="AF253" s="15"/>
      <c r="AG253"/>
      <c r="AH253"/>
      <c r="AI253"/>
    </row>
    <row r="254" spans="1:35" s="10" customFormat="1" x14ac:dyDescent="0.35">
      <c r="A254" s="8"/>
      <c r="B254" s="8"/>
      <c r="D254"/>
      <c r="E254" s="8"/>
      <c r="R254"/>
      <c r="S254"/>
      <c r="T254"/>
      <c r="U254" s="14"/>
      <c r="V254"/>
      <c r="W254"/>
      <c r="X254"/>
      <c r="Y254"/>
      <c r="Z254"/>
      <c r="AA254"/>
      <c r="AB254"/>
      <c r="AC254"/>
      <c r="AD254"/>
      <c r="AE254"/>
      <c r="AF254" s="15"/>
      <c r="AG254"/>
      <c r="AH254"/>
      <c r="AI254"/>
    </row>
    <row r="255" spans="1:35" s="10" customFormat="1" x14ac:dyDescent="0.35">
      <c r="A255" s="8"/>
      <c r="B255" s="8"/>
      <c r="D255"/>
      <c r="E255" s="8"/>
      <c r="R255"/>
      <c r="S255"/>
      <c r="T255"/>
      <c r="U255" s="14"/>
      <c r="V255"/>
      <c r="W255"/>
      <c r="X255"/>
      <c r="Y255"/>
      <c r="Z255"/>
      <c r="AA255"/>
      <c r="AB255"/>
      <c r="AC255"/>
      <c r="AD255"/>
      <c r="AE255"/>
      <c r="AF255" s="15"/>
      <c r="AG255"/>
      <c r="AH255"/>
      <c r="AI255"/>
    </row>
    <row r="256" spans="1:35" s="10" customFormat="1" x14ac:dyDescent="0.35">
      <c r="A256" s="8"/>
      <c r="B256" s="8"/>
      <c r="D256"/>
      <c r="E256" s="8"/>
      <c r="R256"/>
      <c r="S256"/>
      <c r="T256"/>
      <c r="U256" s="14"/>
      <c r="V256"/>
      <c r="W256"/>
      <c r="X256"/>
      <c r="Y256"/>
      <c r="Z256"/>
      <c r="AA256"/>
      <c r="AB256"/>
      <c r="AC256"/>
      <c r="AD256"/>
      <c r="AE256"/>
      <c r="AF256" s="15"/>
      <c r="AG256"/>
      <c r="AH256"/>
      <c r="AI256"/>
    </row>
    <row r="257" spans="1:35" s="10" customFormat="1" x14ac:dyDescent="0.35">
      <c r="A257" s="8"/>
      <c r="B257" s="8"/>
      <c r="D257"/>
      <c r="E257" s="8"/>
      <c r="R257"/>
      <c r="S257"/>
      <c r="T257"/>
      <c r="U257" s="14"/>
      <c r="V257"/>
      <c r="W257"/>
      <c r="X257"/>
      <c r="Y257"/>
      <c r="Z257"/>
      <c r="AA257"/>
      <c r="AB257"/>
      <c r="AC257"/>
      <c r="AD257"/>
      <c r="AE257"/>
      <c r="AF257" s="15"/>
      <c r="AG257"/>
      <c r="AH257"/>
      <c r="AI257"/>
    </row>
    <row r="258" spans="1:35" s="10" customFormat="1" x14ac:dyDescent="0.35">
      <c r="A258" s="8"/>
      <c r="B258" s="8"/>
      <c r="D258"/>
      <c r="E258" s="8"/>
      <c r="R258"/>
      <c r="S258"/>
      <c r="T258"/>
      <c r="U258" s="14"/>
      <c r="V258"/>
      <c r="W258"/>
      <c r="X258"/>
      <c r="Y258"/>
      <c r="Z258"/>
      <c r="AA258"/>
      <c r="AB258"/>
      <c r="AC258"/>
      <c r="AD258"/>
      <c r="AE258"/>
      <c r="AF258" s="15"/>
      <c r="AG258"/>
      <c r="AH258"/>
      <c r="AI258"/>
    </row>
    <row r="259" spans="1:35" s="10" customFormat="1" x14ac:dyDescent="0.35">
      <c r="A259" s="8"/>
      <c r="B259" s="8"/>
      <c r="D259"/>
      <c r="E259" s="8"/>
      <c r="R259"/>
      <c r="S259"/>
      <c r="T259"/>
      <c r="U259" s="14"/>
      <c r="V259"/>
      <c r="W259"/>
      <c r="X259"/>
      <c r="Y259"/>
      <c r="Z259"/>
      <c r="AA259"/>
      <c r="AB259"/>
      <c r="AC259"/>
      <c r="AD259"/>
      <c r="AE259"/>
      <c r="AF259" s="15"/>
      <c r="AG259"/>
      <c r="AH259"/>
      <c r="AI259"/>
    </row>
    <row r="260" spans="1:35" s="10" customFormat="1" x14ac:dyDescent="0.35">
      <c r="A260" s="8"/>
      <c r="B260" s="8"/>
      <c r="D260"/>
      <c r="E260" s="8"/>
      <c r="R260"/>
      <c r="S260"/>
      <c r="T260"/>
      <c r="U260" s="14"/>
      <c r="V260"/>
      <c r="W260"/>
      <c r="X260"/>
      <c r="Y260"/>
      <c r="Z260"/>
      <c r="AA260"/>
      <c r="AB260"/>
      <c r="AC260"/>
      <c r="AD260"/>
      <c r="AE260"/>
      <c r="AF260" s="15"/>
      <c r="AG260"/>
      <c r="AH260"/>
      <c r="AI260"/>
    </row>
    <row r="261" spans="1:35" s="10" customFormat="1" x14ac:dyDescent="0.35">
      <c r="A261" s="8"/>
      <c r="B261" s="8"/>
      <c r="D261"/>
      <c r="E261" s="8"/>
      <c r="R261"/>
      <c r="S261"/>
      <c r="T261"/>
      <c r="U261" s="14"/>
      <c r="V261"/>
      <c r="W261"/>
      <c r="X261"/>
      <c r="Y261"/>
      <c r="Z261"/>
      <c r="AA261"/>
      <c r="AB261"/>
      <c r="AC261"/>
      <c r="AD261"/>
      <c r="AE261"/>
      <c r="AF261" s="15"/>
      <c r="AG261"/>
      <c r="AH261"/>
      <c r="AI261"/>
    </row>
    <row r="262" spans="1:35" s="10" customFormat="1" x14ac:dyDescent="0.35">
      <c r="A262" s="8"/>
      <c r="B262" s="8"/>
      <c r="D262"/>
      <c r="E262" s="8"/>
      <c r="R262"/>
      <c r="S262"/>
      <c r="T262"/>
      <c r="U262" s="14"/>
      <c r="V262"/>
      <c r="W262"/>
      <c r="X262"/>
      <c r="Y262"/>
      <c r="Z262"/>
      <c r="AA262"/>
      <c r="AB262"/>
      <c r="AC262"/>
      <c r="AD262"/>
      <c r="AE262"/>
      <c r="AF262" s="15"/>
      <c r="AG262"/>
      <c r="AH262"/>
      <c r="AI262"/>
    </row>
    <row r="263" spans="1:35" s="10" customFormat="1" x14ac:dyDescent="0.35">
      <c r="A263" s="8"/>
      <c r="B263" s="8"/>
      <c r="D263"/>
      <c r="E263" s="8"/>
      <c r="R263"/>
      <c r="S263"/>
      <c r="T263"/>
      <c r="U263" s="14"/>
      <c r="V263"/>
      <c r="W263"/>
      <c r="X263"/>
      <c r="Y263"/>
      <c r="Z263"/>
      <c r="AA263"/>
      <c r="AB263"/>
      <c r="AC263"/>
      <c r="AD263"/>
      <c r="AE263"/>
      <c r="AF263" s="15"/>
      <c r="AG263"/>
      <c r="AH263"/>
      <c r="AI263"/>
    </row>
    <row r="264" spans="1:35" s="10" customFormat="1" x14ac:dyDescent="0.35">
      <c r="A264" s="8"/>
      <c r="B264" s="8"/>
      <c r="D264"/>
      <c r="E264" s="8"/>
      <c r="R264"/>
      <c r="S264"/>
      <c r="T264"/>
      <c r="U264" s="14"/>
      <c r="V264"/>
      <c r="W264"/>
      <c r="X264"/>
      <c r="Y264"/>
      <c r="Z264"/>
      <c r="AA264"/>
      <c r="AB264"/>
      <c r="AC264"/>
      <c r="AD264"/>
      <c r="AE264"/>
      <c r="AF264" s="15"/>
      <c r="AG264"/>
      <c r="AH264"/>
      <c r="AI264"/>
    </row>
    <row r="265" spans="1:35" s="10" customFormat="1" x14ac:dyDescent="0.35">
      <c r="A265" s="8"/>
      <c r="B265" s="8"/>
      <c r="D265"/>
      <c r="E265" s="8"/>
      <c r="R265"/>
      <c r="S265"/>
      <c r="T265"/>
      <c r="U265" s="14"/>
      <c r="V265"/>
      <c r="W265"/>
      <c r="X265"/>
      <c r="Y265"/>
      <c r="Z265"/>
      <c r="AA265"/>
      <c r="AB265"/>
      <c r="AC265"/>
      <c r="AD265"/>
      <c r="AE265"/>
      <c r="AF265" s="15"/>
      <c r="AG265"/>
      <c r="AH265"/>
      <c r="AI265"/>
    </row>
    <row r="266" spans="1:35" s="10" customFormat="1" x14ac:dyDescent="0.35">
      <c r="A266" s="8"/>
      <c r="B266" s="8"/>
      <c r="D266"/>
      <c r="E266" s="8"/>
      <c r="R266"/>
      <c r="S266"/>
      <c r="T266"/>
      <c r="U266" s="14"/>
      <c r="V266"/>
      <c r="W266"/>
      <c r="X266"/>
      <c r="Y266"/>
      <c r="Z266"/>
      <c r="AA266"/>
      <c r="AB266"/>
      <c r="AC266"/>
      <c r="AD266"/>
      <c r="AE266"/>
      <c r="AF266" s="15"/>
      <c r="AG266"/>
      <c r="AH266"/>
      <c r="AI266"/>
    </row>
    <row r="267" spans="1:35" s="10" customFormat="1" x14ac:dyDescent="0.35">
      <c r="A267" s="8"/>
      <c r="B267" s="8"/>
      <c r="D267"/>
      <c r="E267" s="8"/>
      <c r="R267"/>
      <c r="S267"/>
      <c r="T267"/>
      <c r="U267" s="14"/>
      <c r="V267"/>
      <c r="W267"/>
      <c r="X267"/>
      <c r="Y267"/>
      <c r="Z267"/>
      <c r="AA267"/>
      <c r="AB267"/>
      <c r="AC267"/>
      <c r="AD267"/>
      <c r="AE267"/>
      <c r="AF267" s="15"/>
      <c r="AG267"/>
      <c r="AH267"/>
      <c r="AI267"/>
    </row>
    <row r="268" spans="1:35" s="10" customFormat="1" x14ac:dyDescent="0.35">
      <c r="A268" s="8"/>
      <c r="B268" s="8"/>
      <c r="D268"/>
      <c r="E268" s="8"/>
      <c r="R268"/>
      <c r="S268"/>
      <c r="T268"/>
      <c r="U268" s="14"/>
      <c r="V268"/>
      <c r="W268"/>
      <c r="X268"/>
      <c r="Y268"/>
      <c r="Z268"/>
      <c r="AA268"/>
      <c r="AB268"/>
      <c r="AC268"/>
      <c r="AD268"/>
      <c r="AE268"/>
      <c r="AF268" s="15"/>
      <c r="AG268"/>
      <c r="AH268"/>
      <c r="AI268"/>
    </row>
    <row r="269" spans="1:35" s="10" customFormat="1" x14ac:dyDescent="0.35">
      <c r="A269" s="8"/>
      <c r="B269" s="8"/>
      <c r="D269"/>
      <c r="E269" s="8"/>
      <c r="R269"/>
      <c r="S269"/>
      <c r="T269"/>
      <c r="U269" s="14"/>
      <c r="V269"/>
      <c r="W269"/>
      <c r="X269"/>
      <c r="Y269"/>
      <c r="Z269"/>
      <c r="AA269"/>
      <c r="AB269"/>
      <c r="AC269"/>
      <c r="AD269"/>
      <c r="AE269"/>
      <c r="AF269" s="15"/>
      <c r="AG269"/>
      <c r="AH269"/>
      <c r="AI269"/>
    </row>
    <row r="270" spans="1:35" s="10" customFormat="1" x14ac:dyDescent="0.35">
      <c r="A270" s="8"/>
      <c r="B270" s="8"/>
      <c r="D270"/>
      <c r="E270" s="8"/>
      <c r="R270"/>
      <c r="S270"/>
      <c r="T270"/>
      <c r="U270" s="14"/>
      <c r="V270"/>
      <c r="W270"/>
      <c r="X270"/>
      <c r="Y270"/>
      <c r="Z270"/>
      <c r="AA270"/>
      <c r="AB270"/>
      <c r="AC270"/>
      <c r="AD270"/>
      <c r="AE270"/>
      <c r="AF270" s="15"/>
      <c r="AG270"/>
      <c r="AH270"/>
      <c r="AI270"/>
    </row>
    <row r="271" spans="1:35" s="10" customFormat="1" x14ac:dyDescent="0.35">
      <c r="A271" s="8"/>
      <c r="B271" s="8"/>
      <c r="D271"/>
      <c r="E271" s="8"/>
      <c r="R271"/>
      <c r="S271"/>
      <c r="T271"/>
      <c r="U271" s="14"/>
      <c r="V271"/>
      <c r="W271"/>
      <c r="X271"/>
      <c r="Y271"/>
      <c r="Z271"/>
      <c r="AA271"/>
      <c r="AB271"/>
      <c r="AC271"/>
      <c r="AD271"/>
      <c r="AE271"/>
      <c r="AF271" s="15"/>
      <c r="AG271"/>
      <c r="AH271"/>
      <c r="AI271"/>
    </row>
    <row r="272" spans="1:35" s="10" customFormat="1" x14ac:dyDescent="0.35">
      <c r="A272" s="8"/>
      <c r="B272" s="8"/>
      <c r="D272"/>
      <c r="E272" s="8"/>
      <c r="R272"/>
      <c r="S272"/>
      <c r="T272"/>
      <c r="U272" s="14"/>
      <c r="V272"/>
      <c r="W272"/>
      <c r="X272"/>
      <c r="Y272"/>
      <c r="Z272"/>
      <c r="AA272"/>
      <c r="AB272"/>
      <c r="AC272"/>
      <c r="AD272"/>
      <c r="AE272"/>
      <c r="AF272" s="15"/>
      <c r="AG272"/>
      <c r="AH272"/>
      <c r="AI272"/>
    </row>
    <row r="273" spans="1:35" s="10" customFormat="1" x14ac:dyDescent="0.35">
      <c r="A273" s="8"/>
      <c r="B273" s="8"/>
      <c r="D273"/>
      <c r="E273" s="8"/>
      <c r="R273"/>
      <c r="S273"/>
      <c r="T273"/>
      <c r="U273" s="14"/>
      <c r="V273"/>
      <c r="W273"/>
      <c r="X273"/>
      <c r="Y273"/>
      <c r="Z273"/>
      <c r="AA273"/>
      <c r="AB273"/>
      <c r="AC273"/>
      <c r="AD273"/>
      <c r="AE273"/>
      <c r="AF273" s="15"/>
      <c r="AG273"/>
      <c r="AH273"/>
      <c r="AI273"/>
    </row>
    <row r="274" spans="1:35" s="10" customFormat="1" x14ac:dyDescent="0.35">
      <c r="A274" s="8"/>
      <c r="B274" s="8"/>
      <c r="D274"/>
      <c r="E274" s="8"/>
      <c r="R274"/>
      <c r="S274"/>
      <c r="T274"/>
      <c r="U274" s="14"/>
      <c r="V274"/>
      <c r="W274"/>
      <c r="X274"/>
      <c r="Y274"/>
      <c r="Z274"/>
      <c r="AA274"/>
      <c r="AB274"/>
      <c r="AC274"/>
      <c r="AD274"/>
      <c r="AE274"/>
      <c r="AF274" s="15"/>
      <c r="AG274"/>
      <c r="AH274"/>
      <c r="AI274"/>
    </row>
    <row r="275" spans="1:35" s="10" customFormat="1" x14ac:dyDescent="0.35">
      <c r="A275" s="8"/>
      <c r="B275" s="8"/>
      <c r="D275"/>
      <c r="E275" s="8"/>
      <c r="R275"/>
      <c r="S275"/>
      <c r="T275"/>
      <c r="U275" s="14"/>
      <c r="V275"/>
      <c r="W275"/>
      <c r="X275"/>
      <c r="Y275"/>
      <c r="Z275"/>
      <c r="AA275"/>
      <c r="AB275"/>
      <c r="AC275"/>
      <c r="AD275"/>
      <c r="AE275"/>
      <c r="AF275" s="15"/>
      <c r="AG275"/>
      <c r="AH275"/>
      <c r="AI275"/>
    </row>
    <row r="276" spans="1:35" s="10" customFormat="1" x14ac:dyDescent="0.35">
      <c r="A276" s="8"/>
      <c r="B276" s="8"/>
      <c r="D276"/>
      <c r="E276" s="8"/>
      <c r="R276"/>
      <c r="S276"/>
      <c r="T276"/>
      <c r="U276" s="14"/>
      <c r="V276"/>
      <c r="W276"/>
      <c r="X276"/>
      <c r="Y276"/>
      <c r="Z276"/>
      <c r="AA276"/>
      <c r="AB276"/>
      <c r="AC276"/>
      <c r="AD276"/>
      <c r="AE276"/>
      <c r="AF276" s="15"/>
      <c r="AG276"/>
      <c r="AH276"/>
      <c r="AI276"/>
    </row>
    <row r="277" spans="1:35" s="10" customFormat="1" x14ac:dyDescent="0.35">
      <c r="A277" s="8"/>
      <c r="B277" s="8"/>
      <c r="D277"/>
      <c r="E277" s="8"/>
      <c r="R277"/>
      <c r="S277"/>
      <c r="T277"/>
      <c r="U277" s="14"/>
      <c r="V277"/>
      <c r="W277"/>
      <c r="X277"/>
      <c r="Y277"/>
      <c r="Z277"/>
      <c r="AA277"/>
      <c r="AB277"/>
      <c r="AC277"/>
      <c r="AD277"/>
      <c r="AE277"/>
      <c r="AF277" s="15"/>
      <c r="AG277"/>
      <c r="AH277"/>
      <c r="AI277"/>
    </row>
    <row r="278" spans="1:35" s="10" customFormat="1" x14ac:dyDescent="0.35">
      <c r="A278" s="8"/>
      <c r="B278" s="8"/>
      <c r="D278"/>
      <c r="E278" s="8"/>
      <c r="R278"/>
      <c r="S278"/>
      <c r="T278"/>
      <c r="U278" s="14"/>
      <c r="V278"/>
      <c r="W278"/>
      <c r="X278"/>
      <c r="Y278"/>
      <c r="Z278"/>
      <c r="AA278"/>
      <c r="AB278"/>
      <c r="AC278"/>
      <c r="AD278"/>
      <c r="AE278"/>
      <c r="AF278" s="15"/>
      <c r="AG278"/>
      <c r="AH278"/>
      <c r="AI278"/>
    </row>
    <row r="279" spans="1:35" s="10" customFormat="1" x14ac:dyDescent="0.35">
      <c r="A279" s="8"/>
      <c r="B279" s="8"/>
      <c r="D279"/>
      <c r="E279" s="8"/>
      <c r="R279"/>
      <c r="S279"/>
      <c r="T279"/>
      <c r="U279" s="14"/>
      <c r="V279"/>
      <c r="W279"/>
      <c r="X279"/>
      <c r="Y279"/>
      <c r="Z279"/>
      <c r="AA279"/>
      <c r="AB279"/>
      <c r="AC279"/>
      <c r="AD279"/>
      <c r="AE279"/>
      <c r="AF279" s="15"/>
      <c r="AG279"/>
      <c r="AH279"/>
      <c r="AI279"/>
    </row>
    <row r="280" spans="1:35" s="10" customFormat="1" x14ac:dyDescent="0.35">
      <c r="A280" s="8"/>
      <c r="B280" s="8"/>
      <c r="D280"/>
      <c r="E280" s="8"/>
      <c r="R280"/>
      <c r="S280"/>
      <c r="T280"/>
      <c r="U280" s="14"/>
      <c r="V280"/>
      <c r="W280"/>
      <c r="X280"/>
      <c r="Y280"/>
      <c r="Z280"/>
      <c r="AA280"/>
      <c r="AB280"/>
      <c r="AC280"/>
      <c r="AD280"/>
      <c r="AE280"/>
      <c r="AF280" s="15"/>
      <c r="AG280"/>
      <c r="AH280"/>
      <c r="AI280"/>
    </row>
    <row r="281" spans="1:35" s="10" customFormat="1" x14ac:dyDescent="0.35">
      <c r="A281" s="8"/>
      <c r="B281" s="8"/>
      <c r="D281"/>
      <c r="E281" s="8"/>
      <c r="R281"/>
      <c r="S281"/>
      <c r="T281"/>
      <c r="U281" s="14"/>
      <c r="V281"/>
      <c r="W281"/>
      <c r="X281"/>
      <c r="Y281"/>
      <c r="Z281"/>
      <c r="AA281"/>
      <c r="AB281"/>
      <c r="AC281"/>
      <c r="AD281"/>
      <c r="AE281"/>
      <c r="AF281" s="15"/>
      <c r="AG281"/>
      <c r="AH281"/>
      <c r="AI281"/>
    </row>
    <row r="282" spans="1:35" s="10" customFormat="1" x14ac:dyDescent="0.35">
      <c r="A282" s="8"/>
      <c r="B282" s="8"/>
      <c r="D282"/>
      <c r="E282" s="8"/>
      <c r="R282"/>
      <c r="S282"/>
      <c r="T282"/>
      <c r="U282" s="14"/>
      <c r="V282"/>
      <c r="W282"/>
      <c r="X282"/>
      <c r="Y282"/>
      <c r="Z282"/>
      <c r="AA282"/>
      <c r="AB282"/>
      <c r="AC282"/>
      <c r="AD282"/>
      <c r="AE282"/>
      <c r="AF282" s="15"/>
      <c r="AG282"/>
      <c r="AH282"/>
      <c r="AI282"/>
    </row>
    <row r="283" spans="1:35" s="10" customFormat="1" x14ac:dyDescent="0.35">
      <c r="A283" s="8"/>
      <c r="B283" s="8"/>
      <c r="D283"/>
      <c r="E283" s="8"/>
      <c r="R283"/>
      <c r="S283"/>
      <c r="T283"/>
      <c r="U283" s="14"/>
      <c r="V283"/>
      <c r="W283"/>
      <c r="X283"/>
      <c r="Y283"/>
      <c r="Z283"/>
      <c r="AA283"/>
      <c r="AB283"/>
      <c r="AC283"/>
      <c r="AD283"/>
      <c r="AE283"/>
      <c r="AF283" s="15"/>
      <c r="AG283"/>
      <c r="AH283"/>
      <c r="AI283"/>
    </row>
    <row r="284" spans="1:35" s="10" customFormat="1" x14ac:dyDescent="0.35">
      <c r="A284" s="8"/>
      <c r="B284" s="8"/>
      <c r="D284"/>
      <c r="E284" s="8"/>
      <c r="R284"/>
      <c r="S284"/>
      <c r="T284"/>
      <c r="U284" s="14"/>
      <c r="V284"/>
      <c r="W284"/>
      <c r="X284"/>
      <c r="Y284"/>
      <c r="Z284"/>
      <c r="AA284"/>
      <c r="AB284"/>
      <c r="AC284"/>
      <c r="AD284"/>
      <c r="AE284"/>
      <c r="AF284" s="15"/>
      <c r="AG284"/>
      <c r="AH284"/>
      <c r="AI284"/>
    </row>
    <row r="285" spans="1:35" s="10" customFormat="1" x14ac:dyDescent="0.35">
      <c r="A285" s="8"/>
      <c r="B285" s="8"/>
      <c r="D285"/>
      <c r="E285" s="8"/>
      <c r="R285"/>
      <c r="S285"/>
      <c r="T285"/>
      <c r="U285" s="14"/>
      <c r="V285"/>
      <c r="W285"/>
      <c r="X285"/>
      <c r="Y285"/>
      <c r="Z285"/>
      <c r="AA285"/>
      <c r="AB285"/>
      <c r="AC285"/>
      <c r="AD285"/>
      <c r="AE285"/>
      <c r="AF285" s="15"/>
      <c r="AG285"/>
      <c r="AH285"/>
      <c r="AI285"/>
    </row>
    <row r="286" spans="1:35" s="10" customFormat="1" x14ac:dyDescent="0.35">
      <c r="A286" s="8"/>
      <c r="B286" s="8"/>
      <c r="D286"/>
      <c r="E286" s="8"/>
      <c r="R286"/>
      <c r="S286"/>
      <c r="T286"/>
      <c r="U286" s="14"/>
      <c r="V286"/>
      <c r="W286"/>
      <c r="X286"/>
      <c r="Y286"/>
      <c r="Z286"/>
      <c r="AA286"/>
      <c r="AB286"/>
      <c r="AC286"/>
      <c r="AD286"/>
      <c r="AE286"/>
      <c r="AF286" s="15"/>
      <c r="AG286"/>
      <c r="AH286"/>
      <c r="AI286"/>
    </row>
    <row r="287" spans="1:35" s="10" customFormat="1" x14ac:dyDescent="0.35">
      <c r="A287" s="8"/>
      <c r="B287" s="8"/>
      <c r="D287"/>
      <c r="E287" s="8"/>
      <c r="R287"/>
      <c r="S287"/>
      <c r="T287"/>
      <c r="U287" s="14"/>
      <c r="V287"/>
      <c r="W287"/>
      <c r="X287"/>
      <c r="Y287"/>
      <c r="Z287"/>
      <c r="AA287"/>
      <c r="AB287"/>
      <c r="AC287"/>
      <c r="AD287"/>
      <c r="AE287"/>
      <c r="AF287" s="15"/>
      <c r="AG287"/>
      <c r="AH287"/>
      <c r="AI287"/>
    </row>
    <row r="288" spans="1:35" s="10" customFormat="1" x14ac:dyDescent="0.35">
      <c r="A288" s="8"/>
      <c r="B288" s="8"/>
      <c r="D288"/>
      <c r="E288" s="8"/>
      <c r="R288"/>
      <c r="S288"/>
      <c r="T288"/>
      <c r="U288" s="14"/>
      <c r="V288"/>
      <c r="W288"/>
      <c r="X288"/>
      <c r="Y288"/>
      <c r="Z288"/>
      <c r="AA288"/>
      <c r="AB288"/>
      <c r="AC288"/>
      <c r="AD288"/>
      <c r="AE288"/>
      <c r="AF288" s="15"/>
      <c r="AG288"/>
      <c r="AH288"/>
      <c r="AI288"/>
    </row>
    <row r="289" spans="1:35" s="10" customFormat="1" x14ac:dyDescent="0.35">
      <c r="A289" s="8"/>
      <c r="B289" s="8"/>
      <c r="D289"/>
      <c r="E289" s="8"/>
      <c r="R289"/>
      <c r="S289"/>
      <c r="T289"/>
      <c r="U289" s="14"/>
      <c r="V289"/>
      <c r="W289"/>
      <c r="X289"/>
      <c r="Y289"/>
      <c r="Z289"/>
      <c r="AA289"/>
      <c r="AB289"/>
      <c r="AC289"/>
      <c r="AD289"/>
      <c r="AE289"/>
      <c r="AF289" s="15"/>
      <c r="AG289"/>
      <c r="AH289"/>
      <c r="AI289"/>
    </row>
    <row r="290" spans="1:35" s="10" customFormat="1" x14ac:dyDescent="0.35">
      <c r="A290" s="8"/>
      <c r="B290" s="8"/>
      <c r="D290"/>
      <c r="E290" s="8"/>
      <c r="R290"/>
      <c r="S290"/>
      <c r="T290"/>
      <c r="U290" s="14"/>
      <c r="V290"/>
      <c r="W290"/>
      <c r="X290"/>
      <c r="Y290"/>
      <c r="Z290"/>
      <c r="AA290"/>
      <c r="AB290"/>
      <c r="AC290"/>
      <c r="AD290"/>
      <c r="AE290"/>
      <c r="AF290" s="15"/>
      <c r="AG290"/>
      <c r="AH290"/>
      <c r="AI290"/>
    </row>
    <row r="291" spans="1:35" s="10" customFormat="1" x14ac:dyDescent="0.35">
      <c r="A291" s="8"/>
      <c r="B291" s="8"/>
      <c r="D291"/>
      <c r="E291" s="8"/>
      <c r="R291"/>
      <c r="S291"/>
      <c r="T291"/>
      <c r="U291" s="14"/>
      <c r="V291"/>
      <c r="W291"/>
      <c r="X291"/>
      <c r="Y291"/>
      <c r="Z291"/>
      <c r="AA291"/>
      <c r="AB291"/>
      <c r="AC291"/>
      <c r="AD291"/>
      <c r="AE291"/>
      <c r="AF291" s="15"/>
      <c r="AG291"/>
      <c r="AH291"/>
      <c r="AI291"/>
    </row>
    <row r="292" spans="1:35" s="10" customFormat="1" x14ac:dyDescent="0.35">
      <c r="A292" s="8"/>
      <c r="B292" s="8"/>
      <c r="D292"/>
      <c r="E292" s="8"/>
      <c r="R292"/>
      <c r="S292"/>
      <c r="T292"/>
      <c r="U292" s="14"/>
      <c r="V292"/>
      <c r="W292"/>
      <c r="X292"/>
      <c r="Y292"/>
      <c r="Z292"/>
      <c r="AA292"/>
      <c r="AB292"/>
      <c r="AC292"/>
      <c r="AD292"/>
      <c r="AE292"/>
      <c r="AF292" s="15"/>
      <c r="AG292"/>
      <c r="AH292"/>
      <c r="AI292"/>
    </row>
    <row r="293" spans="1:35" s="10" customFormat="1" x14ac:dyDescent="0.35">
      <c r="A293" s="8"/>
      <c r="B293" s="8"/>
      <c r="D293"/>
      <c r="E293" s="8"/>
      <c r="R293"/>
      <c r="S293"/>
      <c r="T293"/>
      <c r="U293" s="14"/>
      <c r="V293"/>
      <c r="W293"/>
      <c r="X293"/>
      <c r="Y293"/>
      <c r="Z293"/>
      <c r="AA293"/>
      <c r="AB293"/>
      <c r="AC293"/>
      <c r="AD293"/>
      <c r="AE293"/>
      <c r="AF293" s="15"/>
      <c r="AG293"/>
      <c r="AH293"/>
      <c r="AI293"/>
    </row>
    <row r="294" spans="1:35" s="10" customFormat="1" x14ac:dyDescent="0.35">
      <c r="A294" s="8"/>
      <c r="B294" s="8"/>
      <c r="D294"/>
      <c r="E294" s="8"/>
      <c r="R294"/>
      <c r="S294"/>
      <c r="T294"/>
      <c r="U294" s="14"/>
      <c r="V294"/>
      <c r="W294"/>
      <c r="X294"/>
      <c r="Y294"/>
      <c r="Z294"/>
      <c r="AA294"/>
      <c r="AB294"/>
      <c r="AC294"/>
      <c r="AD294"/>
      <c r="AE294"/>
      <c r="AF294" s="15"/>
      <c r="AG294"/>
      <c r="AH294"/>
      <c r="AI294"/>
    </row>
    <row r="295" spans="1:35" s="10" customFormat="1" x14ac:dyDescent="0.35">
      <c r="A295" s="8"/>
      <c r="B295" s="8"/>
      <c r="D295"/>
      <c r="E295" s="8"/>
      <c r="R295"/>
      <c r="S295"/>
      <c r="T295"/>
      <c r="U295" s="14"/>
      <c r="V295"/>
      <c r="W295"/>
      <c r="X295"/>
      <c r="Y295"/>
      <c r="Z295"/>
      <c r="AA295"/>
      <c r="AB295"/>
      <c r="AC295"/>
      <c r="AD295"/>
      <c r="AE295"/>
      <c r="AF295" s="15"/>
      <c r="AG295"/>
      <c r="AH295"/>
      <c r="AI295"/>
    </row>
    <row r="296" spans="1:35" s="10" customFormat="1" x14ac:dyDescent="0.35">
      <c r="A296" s="8"/>
      <c r="B296" s="8"/>
      <c r="D296"/>
      <c r="E296" s="8"/>
      <c r="R296"/>
      <c r="S296"/>
      <c r="T296"/>
      <c r="U296" s="14"/>
      <c r="V296"/>
      <c r="W296"/>
      <c r="X296"/>
      <c r="Y296"/>
      <c r="Z296"/>
      <c r="AA296"/>
      <c r="AB296"/>
      <c r="AC296"/>
      <c r="AD296"/>
      <c r="AE296"/>
      <c r="AF296" s="15"/>
      <c r="AG296"/>
      <c r="AH296"/>
      <c r="AI296"/>
    </row>
    <row r="297" spans="1:35" s="10" customFormat="1" x14ac:dyDescent="0.35">
      <c r="A297" s="8"/>
      <c r="B297" s="8"/>
      <c r="D297"/>
      <c r="E297" s="8"/>
      <c r="R297"/>
      <c r="S297"/>
      <c r="T297"/>
      <c r="U297" s="14"/>
      <c r="V297"/>
      <c r="W297"/>
      <c r="X297"/>
      <c r="Y297"/>
      <c r="Z297"/>
      <c r="AA297"/>
      <c r="AB297"/>
      <c r="AC297"/>
      <c r="AD297"/>
      <c r="AE297"/>
      <c r="AF297" s="15"/>
      <c r="AG297"/>
      <c r="AH297"/>
      <c r="AI297"/>
    </row>
    <row r="298" spans="1:35" s="10" customFormat="1" x14ac:dyDescent="0.35">
      <c r="A298" s="8"/>
      <c r="B298" s="8"/>
      <c r="D298"/>
      <c r="E298" s="8"/>
      <c r="R298"/>
      <c r="S298"/>
      <c r="T298"/>
      <c r="U298" s="14"/>
      <c r="V298"/>
      <c r="W298"/>
      <c r="X298"/>
      <c r="Y298"/>
      <c r="Z298"/>
      <c r="AA298"/>
      <c r="AB298"/>
      <c r="AC298"/>
      <c r="AD298"/>
      <c r="AE298"/>
      <c r="AF298" s="15"/>
      <c r="AG298"/>
      <c r="AH298"/>
      <c r="AI298"/>
    </row>
    <row r="299" spans="1:35" s="10" customFormat="1" x14ac:dyDescent="0.35">
      <c r="A299" s="8"/>
      <c r="B299" s="8"/>
      <c r="D299"/>
      <c r="E299" s="8"/>
      <c r="R299"/>
      <c r="S299"/>
      <c r="T299"/>
      <c r="U299" s="14"/>
      <c r="V299"/>
      <c r="W299"/>
      <c r="X299"/>
      <c r="Y299"/>
      <c r="Z299"/>
      <c r="AA299"/>
      <c r="AB299"/>
      <c r="AC299"/>
      <c r="AD299"/>
      <c r="AE299"/>
      <c r="AF299" s="15"/>
      <c r="AG299"/>
      <c r="AH299"/>
      <c r="AI299"/>
    </row>
    <row r="300" spans="1:35" s="10" customFormat="1" x14ac:dyDescent="0.35">
      <c r="A300" s="8"/>
      <c r="B300" s="8"/>
      <c r="D300"/>
      <c r="E300" s="8"/>
      <c r="R300"/>
      <c r="S300"/>
      <c r="T300"/>
      <c r="U300" s="14"/>
      <c r="V300"/>
      <c r="W300"/>
      <c r="X300"/>
      <c r="Y300"/>
      <c r="Z300"/>
      <c r="AA300"/>
      <c r="AB300"/>
      <c r="AC300"/>
      <c r="AD300"/>
      <c r="AE300"/>
      <c r="AF300" s="15"/>
      <c r="AG300"/>
      <c r="AH300"/>
      <c r="AI300"/>
    </row>
    <row r="301" spans="1:35" s="10" customFormat="1" x14ac:dyDescent="0.35">
      <c r="A301" s="8"/>
      <c r="B301" s="8"/>
      <c r="D301"/>
      <c r="E301" s="8"/>
      <c r="R301"/>
      <c r="S301"/>
      <c r="T301"/>
      <c r="U301" s="14"/>
      <c r="V301"/>
      <c r="W301"/>
      <c r="X301"/>
      <c r="Y301"/>
      <c r="Z301"/>
      <c r="AA301"/>
      <c r="AB301"/>
      <c r="AC301"/>
      <c r="AD301"/>
      <c r="AE301"/>
      <c r="AF301" s="15"/>
      <c r="AG301"/>
      <c r="AH301"/>
      <c r="AI301"/>
    </row>
    <row r="302" spans="1:35" s="10" customFormat="1" x14ac:dyDescent="0.35">
      <c r="A302" s="8"/>
      <c r="B302" s="8"/>
      <c r="D302"/>
      <c r="E302" s="8"/>
      <c r="R302"/>
      <c r="S302"/>
      <c r="T302"/>
      <c r="U302" s="14"/>
      <c r="V302"/>
      <c r="W302"/>
      <c r="X302"/>
      <c r="Y302"/>
      <c r="Z302"/>
      <c r="AA302"/>
      <c r="AB302"/>
      <c r="AC302"/>
      <c r="AD302"/>
      <c r="AE302"/>
      <c r="AF302" s="15"/>
      <c r="AG302"/>
      <c r="AH302"/>
      <c r="AI302"/>
    </row>
    <row r="303" spans="1:35" s="10" customFormat="1" x14ac:dyDescent="0.35">
      <c r="A303" s="8"/>
      <c r="B303" s="8"/>
      <c r="D303"/>
      <c r="E303" s="8"/>
      <c r="R303"/>
      <c r="S303"/>
      <c r="T303"/>
      <c r="U303" s="14"/>
      <c r="V303"/>
      <c r="W303"/>
      <c r="X303"/>
      <c r="Y303"/>
      <c r="Z303"/>
      <c r="AA303"/>
      <c r="AB303"/>
      <c r="AC303"/>
      <c r="AD303"/>
      <c r="AE303"/>
      <c r="AF303" s="15"/>
      <c r="AG303"/>
      <c r="AH303"/>
      <c r="AI303"/>
    </row>
    <row r="304" spans="1:35" s="10" customFormat="1" x14ac:dyDescent="0.35">
      <c r="A304" s="8"/>
      <c r="B304" s="8"/>
      <c r="D304"/>
      <c r="E304" s="8"/>
      <c r="R304"/>
      <c r="S304"/>
      <c r="T304"/>
      <c r="U304" s="14"/>
      <c r="V304"/>
      <c r="W304"/>
      <c r="X304"/>
      <c r="Y304"/>
      <c r="Z304"/>
      <c r="AA304"/>
      <c r="AB304"/>
      <c r="AC304"/>
      <c r="AD304"/>
      <c r="AE304"/>
      <c r="AF304" s="15"/>
      <c r="AG304"/>
      <c r="AH304"/>
      <c r="AI304"/>
    </row>
    <row r="305" spans="1:35" s="10" customFormat="1" x14ac:dyDescent="0.35">
      <c r="A305" s="8"/>
      <c r="B305" s="8"/>
      <c r="D305"/>
      <c r="E305" s="8"/>
      <c r="R305"/>
      <c r="S305"/>
      <c r="T305"/>
      <c r="U305" s="14"/>
      <c r="V305"/>
      <c r="W305"/>
      <c r="X305"/>
      <c r="Y305"/>
      <c r="Z305"/>
      <c r="AA305"/>
      <c r="AB305"/>
      <c r="AC305"/>
      <c r="AD305"/>
      <c r="AE305"/>
      <c r="AF305" s="15"/>
      <c r="AG305"/>
      <c r="AH305"/>
      <c r="AI305"/>
    </row>
    <row r="306" spans="1:35" s="10" customFormat="1" x14ac:dyDescent="0.35">
      <c r="A306" s="8"/>
      <c r="B306" s="8"/>
      <c r="D306"/>
      <c r="E306" s="8"/>
      <c r="R306"/>
      <c r="S306"/>
      <c r="T306"/>
      <c r="U306" s="14"/>
      <c r="V306"/>
      <c r="W306"/>
      <c r="X306"/>
      <c r="Y306"/>
      <c r="Z306"/>
      <c r="AA306"/>
      <c r="AB306"/>
      <c r="AC306"/>
      <c r="AD306"/>
      <c r="AE306"/>
      <c r="AF306" s="15"/>
      <c r="AG306"/>
      <c r="AH306"/>
      <c r="AI306"/>
    </row>
    <row r="307" spans="1:35" s="10" customFormat="1" x14ac:dyDescent="0.35">
      <c r="A307" s="8"/>
      <c r="B307" s="8"/>
      <c r="D307"/>
      <c r="E307" s="8"/>
      <c r="R307"/>
      <c r="S307"/>
      <c r="T307"/>
      <c r="U307" s="14"/>
      <c r="V307"/>
      <c r="W307"/>
      <c r="X307"/>
      <c r="Y307"/>
      <c r="Z307"/>
      <c r="AA307"/>
      <c r="AB307"/>
      <c r="AC307"/>
      <c r="AD307"/>
      <c r="AE307"/>
      <c r="AF307" s="15"/>
      <c r="AG307"/>
      <c r="AH307"/>
      <c r="AI307"/>
    </row>
    <row r="308" spans="1:35" s="10" customFormat="1" x14ac:dyDescent="0.35">
      <c r="A308" s="8"/>
      <c r="B308" s="8"/>
      <c r="D308"/>
      <c r="E308" s="8"/>
      <c r="R308"/>
      <c r="S308"/>
      <c r="T308"/>
      <c r="U308" s="14"/>
      <c r="V308"/>
      <c r="W308"/>
      <c r="X308"/>
      <c r="Y308"/>
      <c r="Z308"/>
      <c r="AA308"/>
      <c r="AB308"/>
      <c r="AC308"/>
      <c r="AD308"/>
      <c r="AE308"/>
      <c r="AF308" s="15"/>
      <c r="AG308"/>
      <c r="AH308"/>
      <c r="AI308"/>
    </row>
    <row r="309" spans="1:35" s="10" customFormat="1" x14ac:dyDescent="0.35">
      <c r="A309" s="8"/>
      <c r="B309" s="8"/>
      <c r="D309"/>
      <c r="E309" s="8"/>
      <c r="R309"/>
      <c r="S309"/>
      <c r="T309"/>
      <c r="U309" s="14"/>
      <c r="V309"/>
      <c r="W309"/>
      <c r="X309"/>
      <c r="Y309"/>
      <c r="Z309"/>
      <c r="AA309"/>
      <c r="AB309"/>
      <c r="AC309"/>
      <c r="AD309"/>
      <c r="AE309"/>
      <c r="AF309" s="15"/>
      <c r="AG309"/>
      <c r="AH309"/>
      <c r="AI309"/>
    </row>
    <row r="310" spans="1:35" s="10" customFormat="1" x14ac:dyDescent="0.35">
      <c r="A310" s="8"/>
      <c r="B310" s="8"/>
      <c r="D310"/>
      <c r="E310" s="8"/>
      <c r="R310"/>
      <c r="S310"/>
      <c r="T310"/>
      <c r="U310" s="14"/>
      <c r="V310"/>
      <c r="W310"/>
      <c r="X310"/>
      <c r="Y310"/>
      <c r="Z310"/>
      <c r="AA310"/>
      <c r="AB310"/>
      <c r="AC310"/>
      <c r="AD310"/>
      <c r="AE310"/>
      <c r="AF310" s="15"/>
      <c r="AG310"/>
      <c r="AH310"/>
      <c r="AI310"/>
    </row>
    <row r="311" spans="1:35" s="10" customFormat="1" x14ac:dyDescent="0.35">
      <c r="A311" s="8"/>
      <c r="B311" s="8"/>
      <c r="D311"/>
      <c r="E311" s="8"/>
      <c r="R311"/>
      <c r="S311"/>
      <c r="T311"/>
      <c r="U311" s="14"/>
      <c r="V311"/>
      <c r="W311"/>
      <c r="X311"/>
      <c r="Y311"/>
      <c r="Z311"/>
      <c r="AA311"/>
      <c r="AB311"/>
      <c r="AC311"/>
      <c r="AD311"/>
      <c r="AE311"/>
      <c r="AF311" s="15"/>
      <c r="AG311"/>
      <c r="AH311"/>
      <c r="AI311"/>
    </row>
    <row r="312" spans="1:35" s="10" customFormat="1" x14ac:dyDescent="0.35">
      <c r="A312" s="8"/>
      <c r="B312" s="8"/>
      <c r="D312"/>
      <c r="E312" s="8"/>
      <c r="R312"/>
      <c r="S312"/>
      <c r="T312"/>
      <c r="U312" s="14"/>
      <c r="V312"/>
      <c r="W312"/>
      <c r="X312"/>
      <c r="Y312"/>
      <c r="Z312"/>
      <c r="AA312"/>
      <c r="AB312"/>
      <c r="AC312"/>
      <c r="AD312"/>
      <c r="AE312"/>
      <c r="AF312" s="15"/>
      <c r="AG312"/>
      <c r="AH312"/>
      <c r="AI312"/>
    </row>
    <row r="313" spans="1:35" s="10" customFormat="1" x14ac:dyDescent="0.35">
      <c r="A313" s="8"/>
      <c r="B313" s="8"/>
      <c r="D313"/>
      <c r="E313" s="8"/>
      <c r="R313"/>
      <c r="S313"/>
      <c r="T313"/>
      <c r="U313" s="14"/>
      <c r="V313"/>
      <c r="W313"/>
      <c r="X313"/>
      <c r="Y313"/>
      <c r="Z313"/>
      <c r="AA313"/>
      <c r="AB313"/>
      <c r="AC313"/>
      <c r="AD313"/>
      <c r="AE313"/>
      <c r="AF313" s="15"/>
      <c r="AG313"/>
      <c r="AH313"/>
      <c r="AI313"/>
    </row>
    <row r="314" spans="1:35" s="10" customFormat="1" x14ac:dyDescent="0.35">
      <c r="A314" s="8"/>
      <c r="B314" s="8"/>
      <c r="D314"/>
      <c r="E314" s="8"/>
      <c r="R314"/>
      <c r="S314"/>
      <c r="T314"/>
      <c r="U314" s="14"/>
      <c r="V314"/>
      <c r="W314"/>
      <c r="X314"/>
      <c r="Y314"/>
      <c r="Z314"/>
      <c r="AA314"/>
      <c r="AB314"/>
      <c r="AC314"/>
      <c r="AD314"/>
      <c r="AE314"/>
      <c r="AF314" s="15"/>
      <c r="AG314"/>
      <c r="AH314"/>
      <c r="AI314"/>
    </row>
    <row r="315" spans="1:35" s="10" customFormat="1" x14ac:dyDescent="0.35">
      <c r="A315" s="8"/>
      <c r="B315" s="8"/>
      <c r="D315"/>
      <c r="E315" s="8"/>
      <c r="R315"/>
      <c r="S315"/>
      <c r="T315"/>
      <c r="U315" s="14"/>
      <c r="V315"/>
      <c r="W315"/>
      <c r="X315"/>
      <c r="Y315"/>
      <c r="Z315"/>
      <c r="AA315"/>
      <c r="AB315"/>
      <c r="AC315"/>
      <c r="AD315"/>
      <c r="AE315"/>
      <c r="AF315" s="15"/>
      <c r="AG315"/>
      <c r="AH315"/>
      <c r="AI315"/>
    </row>
    <row r="316" spans="1:35" s="10" customFormat="1" x14ac:dyDescent="0.35">
      <c r="A316" s="8"/>
      <c r="B316" s="8"/>
      <c r="D316"/>
      <c r="E316" s="8"/>
      <c r="R316"/>
      <c r="S316"/>
      <c r="T316"/>
      <c r="U316" s="14"/>
      <c r="V316"/>
      <c r="W316"/>
      <c r="X316"/>
      <c r="Y316"/>
      <c r="Z316"/>
      <c r="AA316"/>
      <c r="AB316"/>
      <c r="AC316"/>
      <c r="AD316"/>
      <c r="AE316"/>
      <c r="AF316" s="15"/>
      <c r="AG316"/>
      <c r="AH316"/>
      <c r="AI316"/>
    </row>
    <row r="317" spans="1:35" s="10" customFormat="1" x14ac:dyDescent="0.35">
      <c r="A317" s="8"/>
      <c r="B317" s="8"/>
      <c r="D317"/>
      <c r="E317" s="8"/>
      <c r="R317"/>
      <c r="S317"/>
      <c r="T317"/>
      <c r="U317" s="14"/>
      <c r="V317"/>
      <c r="W317"/>
      <c r="X317"/>
      <c r="Y317"/>
      <c r="Z317"/>
      <c r="AA317"/>
      <c r="AB317"/>
      <c r="AC317"/>
      <c r="AD317"/>
      <c r="AE317"/>
      <c r="AF317" s="15"/>
      <c r="AG317"/>
      <c r="AH317"/>
      <c r="AI317"/>
    </row>
    <row r="318" spans="1:35" s="10" customFormat="1" x14ac:dyDescent="0.35">
      <c r="A318" s="8"/>
      <c r="B318" s="8"/>
      <c r="D318"/>
      <c r="E318" s="8"/>
      <c r="R318"/>
      <c r="S318"/>
      <c r="T318"/>
      <c r="U318" s="14"/>
      <c r="V318"/>
      <c r="W318"/>
      <c r="X318"/>
      <c r="Y318"/>
      <c r="Z318"/>
      <c r="AA318"/>
      <c r="AB318"/>
      <c r="AC318"/>
      <c r="AD318"/>
      <c r="AE318"/>
      <c r="AF318" s="15"/>
      <c r="AG318"/>
      <c r="AH318"/>
      <c r="AI318"/>
    </row>
    <row r="319" spans="1:35" s="10" customFormat="1" x14ac:dyDescent="0.35">
      <c r="A319" s="8"/>
      <c r="B319" s="8"/>
      <c r="D319"/>
      <c r="E319" s="8"/>
      <c r="R319"/>
      <c r="S319"/>
      <c r="T319"/>
      <c r="U319" s="14"/>
      <c r="V319"/>
      <c r="W319"/>
      <c r="X319"/>
      <c r="Y319"/>
      <c r="Z319"/>
      <c r="AA319"/>
      <c r="AB319"/>
      <c r="AC319"/>
      <c r="AD319"/>
      <c r="AE319"/>
      <c r="AF319" s="15"/>
      <c r="AG319"/>
      <c r="AH319"/>
      <c r="AI319"/>
    </row>
    <row r="320" spans="1:35" s="10" customFormat="1" x14ac:dyDescent="0.35">
      <c r="A320" s="8"/>
      <c r="B320" s="8"/>
      <c r="D320"/>
      <c r="E320" s="8"/>
      <c r="R320"/>
      <c r="S320"/>
      <c r="T320"/>
      <c r="U320" s="14"/>
      <c r="V320"/>
      <c r="W320"/>
      <c r="X320"/>
      <c r="Y320"/>
      <c r="Z320"/>
      <c r="AA320"/>
      <c r="AB320"/>
      <c r="AC320"/>
      <c r="AD320"/>
      <c r="AE320"/>
      <c r="AF320" s="15"/>
      <c r="AG320"/>
      <c r="AH320"/>
      <c r="AI320"/>
    </row>
    <row r="321" spans="1:35" s="10" customFormat="1" x14ac:dyDescent="0.35">
      <c r="A321" s="8"/>
      <c r="B321" s="8"/>
      <c r="D321"/>
      <c r="E321" s="8"/>
      <c r="R321"/>
      <c r="S321"/>
      <c r="T321"/>
      <c r="U321" s="14"/>
      <c r="V321"/>
      <c r="W321"/>
      <c r="X321"/>
      <c r="Y321"/>
      <c r="Z321"/>
      <c r="AA321"/>
      <c r="AB321"/>
      <c r="AC321"/>
      <c r="AD321"/>
      <c r="AE321"/>
      <c r="AF321" s="15"/>
      <c r="AG321"/>
      <c r="AH321"/>
      <c r="AI321"/>
    </row>
    <row r="322" spans="1:35" s="10" customFormat="1" x14ac:dyDescent="0.35">
      <c r="A322" s="8"/>
      <c r="B322" s="8"/>
      <c r="D322"/>
      <c r="E322" s="8"/>
      <c r="R322"/>
      <c r="S322"/>
      <c r="T322"/>
      <c r="U322" s="14"/>
      <c r="V322"/>
      <c r="W322"/>
      <c r="X322"/>
      <c r="Y322"/>
      <c r="Z322"/>
      <c r="AA322"/>
      <c r="AB322"/>
      <c r="AC322"/>
      <c r="AD322"/>
      <c r="AE322"/>
      <c r="AF322" s="15"/>
      <c r="AG322"/>
      <c r="AH322"/>
      <c r="AI322"/>
    </row>
    <row r="323" spans="1:35" s="10" customFormat="1" x14ac:dyDescent="0.35">
      <c r="A323" s="8"/>
      <c r="B323" s="8"/>
      <c r="D323"/>
      <c r="E323" s="8"/>
      <c r="R323"/>
      <c r="S323"/>
      <c r="T323"/>
      <c r="U323" s="14"/>
      <c r="V323"/>
      <c r="W323"/>
      <c r="X323"/>
      <c r="Y323"/>
      <c r="Z323"/>
      <c r="AA323"/>
      <c r="AB323"/>
      <c r="AC323"/>
      <c r="AD323"/>
      <c r="AE323"/>
      <c r="AF323" s="15"/>
      <c r="AG323"/>
      <c r="AH323"/>
      <c r="AI323"/>
    </row>
    <row r="324" spans="1:35" s="10" customFormat="1" x14ac:dyDescent="0.35">
      <c r="A324" s="8"/>
      <c r="B324" s="8"/>
      <c r="D324"/>
      <c r="E324" s="8"/>
      <c r="R324"/>
      <c r="S324"/>
      <c r="T324"/>
      <c r="U324" s="14"/>
      <c r="V324"/>
      <c r="W324"/>
      <c r="X324"/>
      <c r="Y324"/>
      <c r="Z324"/>
      <c r="AA324"/>
      <c r="AB324"/>
      <c r="AC324"/>
      <c r="AD324"/>
      <c r="AE324"/>
      <c r="AF324" s="15"/>
      <c r="AG324"/>
      <c r="AH324"/>
      <c r="AI324"/>
    </row>
    <row r="325" spans="1:35" s="10" customFormat="1" x14ac:dyDescent="0.35">
      <c r="A325" s="8"/>
      <c r="B325" s="8"/>
      <c r="D325"/>
      <c r="E325" s="8"/>
      <c r="R325"/>
      <c r="S325"/>
      <c r="T325"/>
      <c r="U325" s="14"/>
      <c r="V325"/>
      <c r="W325"/>
      <c r="X325"/>
      <c r="Y325"/>
      <c r="Z325"/>
      <c r="AA325"/>
      <c r="AB325"/>
      <c r="AC325"/>
      <c r="AD325"/>
      <c r="AE325"/>
      <c r="AF325" s="15"/>
      <c r="AG325"/>
      <c r="AH325"/>
      <c r="AI325"/>
    </row>
    <row r="326" spans="1:35" s="10" customFormat="1" x14ac:dyDescent="0.35">
      <c r="A326" s="8"/>
      <c r="B326" s="8"/>
      <c r="D326"/>
      <c r="E326" s="8"/>
      <c r="R326"/>
      <c r="S326"/>
      <c r="T326"/>
      <c r="U326" s="14"/>
      <c r="V326"/>
      <c r="W326"/>
      <c r="X326"/>
      <c r="Y326"/>
      <c r="Z326"/>
      <c r="AA326"/>
      <c r="AB326"/>
      <c r="AC326"/>
      <c r="AD326"/>
      <c r="AE326"/>
      <c r="AF326" s="15"/>
      <c r="AG326"/>
      <c r="AH326"/>
      <c r="AI326"/>
    </row>
    <row r="327" spans="1:35" s="10" customFormat="1" x14ac:dyDescent="0.35">
      <c r="A327" s="8"/>
      <c r="B327" s="8"/>
      <c r="D327"/>
      <c r="E327" s="8"/>
      <c r="R327"/>
      <c r="S327"/>
      <c r="T327"/>
      <c r="U327" s="14"/>
      <c r="V327"/>
      <c r="W327"/>
      <c r="X327"/>
      <c r="Y327"/>
      <c r="Z327"/>
      <c r="AA327"/>
      <c r="AB327"/>
      <c r="AC327"/>
      <c r="AD327"/>
      <c r="AE327"/>
      <c r="AF327" s="15"/>
      <c r="AG327"/>
      <c r="AH327"/>
      <c r="AI327"/>
    </row>
    <row r="328" spans="1:35" s="10" customFormat="1" x14ac:dyDescent="0.35">
      <c r="A328" s="8"/>
      <c r="B328" s="8"/>
      <c r="D328"/>
      <c r="E328" s="8"/>
      <c r="R328"/>
      <c r="S328"/>
      <c r="T328"/>
      <c r="U328" s="14"/>
      <c r="V328"/>
      <c r="W328"/>
      <c r="X328"/>
      <c r="Y328"/>
      <c r="Z328"/>
      <c r="AA328"/>
      <c r="AB328"/>
      <c r="AC328"/>
      <c r="AD328"/>
      <c r="AE328"/>
      <c r="AF328" s="15"/>
      <c r="AG328"/>
      <c r="AH328"/>
      <c r="AI328"/>
    </row>
    <row r="329" spans="1:35" s="10" customFormat="1" x14ac:dyDescent="0.35">
      <c r="A329" s="8"/>
      <c r="B329" s="8"/>
      <c r="D329"/>
      <c r="E329" s="8"/>
      <c r="R329"/>
      <c r="S329"/>
      <c r="T329"/>
      <c r="U329" s="14"/>
      <c r="V329"/>
      <c r="W329"/>
      <c r="X329"/>
      <c r="Y329"/>
      <c r="Z329"/>
      <c r="AA329"/>
      <c r="AB329"/>
      <c r="AC329"/>
      <c r="AD329"/>
      <c r="AE329"/>
      <c r="AF329" s="15"/>
      <c r="AG329"/>
      <c r="AH329"/>
      <c r="AI329"/>
    </row>
    <row r="330" spans="1:35" s="10" customFormat="1" x14ac:dyDescent="0.35">
      <c r="A330" s="8"/>
      <c r="B330" s="8"/>
      <c r="D330"/>
      <c r="E330" s="8"/>
      <c r="R330"/>
      <c r="S330"/>
      <c r="T330"/>
      <c r="U330" s="14"/>
      <c r="V330"/>
      <c r="W330"/>
      <c r="X330"/>
      <c r="Y330"/>
      <c r="Z330"/>
      <c r="AA330"/>
      <c r="AB330"/>
      <c r="AC330"/>
      <c r="AD330"/>
      <c r="AE330"/>
      <c r="AF330" s="15"/>
      <c r="AG330"/>
      <c r="AH330"/>
      <c r="AI330"/>
    </row>
    <row r="331" spans="1:35" s="10" customFormat="1" x14ac:dyDescent="0.35">
      <c r="A331" s="8"/>
      <c r="B331" s="8"/>
      <c r="D331"/>
      <c r="E331" s="8"/>
      <c r="R331"/>
      <c r="S331"/>
      <c r="T331"/>
      <c r="U331" s="14"/>
      <c r="V331"/>
      <c r="W331"/>
      <c r="X331"/>
      <c r="Y331"/>
      <c r="Z331"/>
      <c r="AA331"/>
      <c r="AB331"/>
      <c r="AC331"/>
      <c r="AD331"/>
      <c r="AE331"/>
      <c r="AF331" s="15"/>
      <c r="AG331"/>
      <c r="AH331"/>
      <c r="AI331"/>
    </row>
    <row r="332" spans="1:35" s="10" customFormat="1" x14ac:dyDescent="0.35">
      <c r="A332" s="8"/>
      <c r="B332" s="8"/>
      <c r="D332"/>
      <c r="E332" s="8"/>
      <c r="R332"/>
      <c r="S332"/>
      <c r="T332"/>
      <c r="U332" s="14"/>
      <c r="V332"/>
      <c r="W332"/>
      <c r="X332"/>
      <c r="Y332"/>
      <c r="Z332"/>
      <c r="AA332"/>
      <c r="AB332"/>
      <c r="AC332"/>
      <c r="AD332"/>
      <c r="AE332"/>
      <c r="AF332" s="15"/>
      <c r="AG332"/>
      <c r="AH332"/>
      <c r="AI332"/>
    </row>
    <row r="333" spans="1:35" s="10" customFormat="1" x14ac:dyDescent="0.35">
      <c r="A333" s="8"/>
      <c r="B333" s="8"/>
      <c r="D333"/>
      <c r="E333" s="8"/>
      <c r="R333"/>
      <c r="S333"/>
      <c r="T333"/>
      <c r="U333" s="14"/>
      <c r="V333"/>
      <c r="W333"/>
      <c r="X333"/>
      <c r="Y333"/>
      <c r="Z333"/>
      <c r="AA333"/>
      <c r="AB333"/>
      <c r="AC333"/>
      <c r="AD333"/>
      <c r="AE333"/>
      <c r="AF333" s="15"/>
      <c r="AG333"/>
      <c r="AH333"/>
      <c r="AI333"/>
    </row>
    <row r="334" spans="1:35" s="10" customFormat="1" x14ac:dyDescent="0.35">
      <c r="A334" s="8"/>
      <c r="B334" s="8"/>
      <c r="D334"/>
      <c r="E334" s="8"/>
      <c r="R334"/>
      <c r="S334"/>
      <c r="T334"/>
      <c r="U334" s="14"/>
      <c r="V334"/>
      <c r="W334"/>
      <c r="X334"/>
      <c r="Y334"/>
      <c r="Z334"/>
      <c r="AA334"/>
      <c r="AB334"/>
      <c r="AC334"/>
      <c r="AD334"/>
      <c r="AE334"/>
      <c r="AF334" s="15"/>
      <c r="AG334"/>
      <c r="AH334"/>
      <c r="AI334"/>
    </row>
    <row r="335" spans="1:35" s="10" customFormat="1" x14ac:dyDescent="0.35">
      <c r="A335" s="8"/>
      <c r="B335" s="8"/>
      <c r="D335"/>
      <c r="E335" s="8"/>
      <c r="R335"/>
      <c r="S335"/>
      <c r="T335"/>
      <c r="U335" s="14"/>
      <c r="V335"/>
      <c r="W335"/>
      <c r="X335"/>
      <c r="Y335"/>
      <c r="Z335"/>
      <c r="AA335"/>
      <c r="AB335"/>
      <c r="AC335"/>
      <c r="AD335"/>
      <c r="AE335"/>
      <c r="AF335" s="15"/>
      <c r="AG335"/>
      <c r="AH335"/>
      <c r="AI335"/>
    </row>
  </sheetData>
  <mergeCells count="10">
    <mergeCell ref="O2:O7"/>
    <mergeCell ref="P2:P7"/>
    <mergeCell ref="Q2:Q7"/>
    <mergeCell ref="AG7:AI7"/>
    <mergeCell ref="B2:B7"/>
    <mergeCell ref="C2:C7"/>
    <mergeCell ref="H2:H3"/>
    <mergeCell ref="I2:I4"/>
    <mergeCell ref="M2:M7"/>
    <mergeCell ref="N2:N7"/>
  </mergeCells>
  <conditionalFormatting sqref="U54:X335">
    <cfRule type="cellIs" dxfId="13" priority="3" operator="equal">
      <formula>TRUE</formula>
    </cfRule>
    <cfRule type="cellIs" dxfId="12" priority="4" operator="equal">
      <formula>FALSE</formula>
    </cfRule>
  </conditionalFormatting>
  <conditionalFormatting sqref="U12:AI25 AF54:AI335">
    <cfRule type="cellIs" dxfId="11" priority="1" operator="equal">
      <formula>TRUE</formula>
    </cfRule>
    <cfRule type="cellIs" dxfId="10" priority="2" operator="equal">
      <formula>FALSE</formula>
    </cfRule>
  </conditionalFormatting>
  <conditionalFormatting sqref="Y54:AA83">
    <cfRule type="cellIs" dxfId="9" priority="5" operator="equal">
      <formula>TRUE</formula>
    </cfRule>
    <cfRule type="cellIs" dxfId="8" priority="6" operator="equal">
      <formula>FALSE</formula>
    </cfRule>
  </conditionalFormatting>
  <conditionalFormatting sqref="Y84:AD335">
    <cfRule type="cellIs" dxfId="7" priority="347" operator="equal">
      <formula>TRUE</formula>
    </cfRule>
    <cfRule type="cellIs" dxfId="6" priority="348" operator="equal">
      <formula>FALSE</formula>
    </cfRule>
  </conditionalFormatting>
  <conditionalFormatting sqref="AB54:AE60 AB61:AD83 AE61:AE335">
    <cfRule type="cellIs" dxfId="5" priority="1875" operator="equal">
      <formula>TRUE</formula>
    </cfRule>
    <cfRule type="cellIs" dxfId="4" priority="1876" operator="equal">
      <formula>FALSE</formula>
    </cfRule>
  </conditionalFormatting>
  <pageMargins left="0.7" right="0.7" top="0.75" bottom="0.75" header="0.3" footer="0.3"/>
  <pageSetup paperSize="9" orientation="portrait" horizontalDpi="429496729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CB82"/>
  <sheetViews>
    <sheetView workbookViewId="0">
      <pane xSplit="5" ySplit="8" topLeftCell="CM9" activePane="bottomRight" state="frozen"/>
      <selection pane="topRight" activeCell="F1" sqref="F1"/>
      <selection pane="bottomLeft" activeCell="A12" sqref="A12"/>
      <selection pane="bottomRight" activeCell="D15" sqref="D15"/>
    </sheetView>
  </sheetViews>
  <sheetFormatPr defaultColWidth="8.7265625" defaultRowHeight="14.5" x14ac:dyDescent="0.35"/>
  <cols>
    <col min="1" max="1" width="8.08984375" customWidth="1"/>
    <col min="2" max="2" width="20.6328125" style="2" customWidth="1"/>
    <col min="3" max="3" width="22.6328125" style="3" customWidth="1"/>
    <col min="4" max="4" width="32.6328125" style="12" customWidth="1"/>
    <col min="5" max="5" width="3.81640625" style="6" customWidth="1"/>
    <col min="6" max="6" width="13.1796875" style="22" customWidth="1"/>
    <col min="7" max="8" width="29.7265625" style="109" customWidth="1"/>
    <col min="9" max="9" width="24.7265625" style="121" customWidth="1"/>
    <col min="10" max="10" width="20.26953125" style="121" customWidth="1"/>
    <col min="11" max="11" width="9.54296875" style="121" customWidth="1"/>
    <col min="12" max="13" width="11.81640625" style="121" customWidth="1"/>
    <col min="14" max="15" width="10.453125" style="121" customWidth="1"/>
    <col min="16" max="16" width="12.1796875" style="15" customWidth="1"/>
    <col min="17" max="17" width="9.7265625" customWidth="1"/>
    <col min="18" max="18" width="9.453125" customWidth="1"/>
    <col min="19" max="19" width="8.26953125" customWidth="1"/>
    <col min="20" max="20" width="10.7265625" style="15" customWidth="1"/>
    <col min="21" max="21" width="10.54296875" customWidth="1"/>
    <col min="22" max="22" width="7.90625" customWidth="1"/>
    <col min="23" max="23" width="7.54296875" customWidth="1"/>
    <col min="24" max="24" width="6.90625" style="15" customWidth="1"/>
    <col min="25" max="25" width="10.54296875" customWidth="1"/>
    <col min="26" max="26" width="7.90625" customWidth="1"/>
    <col min="27" max="27" width="7.54296875" customWidth="1"/>
    <col min="28" max="28" width="7.36328125" style="15" customWidth="1"/>
    <col min="29" max="29" width="10.54296875" customWidth="1"/>
    <col min="30" max="30" width="7.90625" customWidth="1"/>
    <col min="31" max="31" width="7.54296875" customWidth="1"/>
    <col min="32" max="32" width="6.6328125" style="15" customWidth="1"/>
    <col min="33" max="33" width="8.7265625" customWidth="1"/>
    <col min="34" max="34" width="7.90625" customWidth="1"/>
    <col min="35" max="35" width="7.54296875" customWidth="1"/>
    <col min="36" max="36" width="6.6328125" style="15" customWidth="1"/>
    <col min="37" max="37" width="9.1796875" customWidth="1"/>
    <col min="38" max="38" width="7.90625" customWidth="1"/>
    <col min="39" max="39" width="8.7265625" customWidth="1"/>
    <col min="40" max="40" width="6.6328125" style="15" customWidth="1"/>
    <col min="41" max="41" width="10.54296875" customWidth="1"/>
    <col min="42" max="42" width="7.90625" customWidth="1"/>
    <col min="43" max="43" width="7.54296875" customWidth="1"/>
    <col min="44" max="44" width="6.6328125" style="15" customWidth="1"/>
    <col min="45" max="45" width="10.54296875" customWidth="1"/>
    <col min="46" max="46" width="7.90625" customWidth="1"/>
    <col min="47" max="47" width="7.54296875" customWidth="1"/>
    <col min="48" max="48" width="8.6328125" style="15" customWidth="1"/>
    <col min="49" max="49" width="10.54296875" customWidth="1"/>
    <col min="50" max="50" width="7.90625" customWidth="1"/>
    <col min="51" max="51" width="7.54296875" customWidth="1"/>
    <col min="52" max="52" width="6.6328125" style="15" customWidth="1"/>
    <col min="53" max="53" width="7.54296875" customWidth="1"/>
    <col min="54" max="54" width="7" customWidth="1"/>
    <col min="55" max="55" width="7.54296875" customWidth="1"/>
    <col min="56" max="56" width="7.1796875" style="15" customWidth="1"/>
    <col min="57" max="57" width="8.81640625" customWidth="1"/>
    <col min="58" max="58" width="7.90625" customWidth="1"/>
    <col min="59" max="59" width="7.54296875" customWidth="1"/>
    <col min="60" max="60" width="6.6328125" style="15" customWidth="1"/>
    <col min="61" max="61" width="10.54296875" customWidth="1"/>
    <col min="62" max="62" width="9.1796875" customWidth="1"/>
    <col min="63" max="63" width="8.6328125" customWidth="1"/>
    <col min="64" max="64" width="8.54296875" style="15" customWidth="1"/>
    <col min="65" max="65" width="10.54296875" customWidth="1"/>
    <col min="66" max="66" width="9.26953125" customWidth="1"/>
    <col min="67" max="67" width="7.54296875" customWidth="1"/>
    <col min="68" max="68" width="6.6328125" style="15" customWidth="1"/>
    <col min="69" max="69" width="6.7265625" customWidth="1"/>
    <col min="70" max="70" width="6.453125" customWidth="1"/>
    <col min="71" max="71" width="7.54296875" customWidth="1"/>
    <col min="72" max="72" width="7.54296875" style="15" customWidth="1"/>
    <col min="73" max="73" width="11" style="17" customWidth="1"/>
    <col min="74" max="74" width="11.1796875" style="17" customWidth="1"/>
    <col min="75" max="75" width="8.7265625" style="17"/>
    <col min="76" max="76" width="8.7265625" style="166"/>
  </cols>
  <sheetData>
    <row r="1" spans="1:80" ht="16" customHeight="1" x14ac:dyDescent="0.35">
      <c r="A1" s="418"/>
      <c r="B1" s="418"/>
      <c r="C1" s="418"/>
      <c r="D1" s="4"/>
      <c r="E1" s="8"/>
      <c r="F1" s="98" t="s">
        <v>93</v>
      </c>
      <c r="G1" s="110" t="s">
        <v>367</v>
      </c>
      <c r="H1" s="110" t="s">
        <v>368</v>
      </c>
      <c r="I1" s="122" t="s">
        <v>400</v>
      </c>
      <c r="J1" s="127" t="s">
        <v>2</v>
      </c>
      <c r="K1" s="122" t="s">
        <v>4</v>
      </c>
      <c r="L1" s="122" t="s">
        <v>5</v>
      </c>
      <c r="M1" s="122" t="s">
        <v>270</v>
      </c>
      <c r="N1" s="127" t="s">
        <v>3</v>
      </c>
      <c r="O1" s="127" t="s">
        <v>177</v>
      </c>
      <c r="P1" s="172" t="s">
        <v>6</v>
      </c>
      <c r="Q1" s="411" t="s">
        <v>51</v>
      </c>
      <c r="R1" s="412"/>
      <c r="S1" s="412"/>
      <c r="T1" s="413"/>
      <c r="U1" s="411" t="s">
        <v>52</v>
      </c>
      <c r="V1" s="412"/>
      <c r="W1" s="412"/>
      <c r="X1" s="413"/>
      <c r="Y1" s="411" t="s">
        <v>269</v>
      </c>
      <c r="Z1" s="412"/>
      <c r="AA1" s="412"/>
      <c r="AB1" s="413"/>
      <c r="AC1" s="411" t="s">
        <v>53</v>
      </c>
      <c r="AD1" s="412"/>
      <c r="AE1" s="412"/>
      <c r="AF1" s="413"/>
      <c r="AG1" s="411" t="s">
        <v>54</v>
      </c>
      <c r="AH1" s="412"/>
      <c r="AI1" s="412"/>
      <c r="AJ1" s="413"/>
      <c r="AK1" s="411" t="s">
        <v>55</v>
      </c>
      <c r="AL1" s="412"/>
      <c r="AM1" s="412"/>
      <c r="AN1" s="413"/>
      <c r="AO1" s="411" t="s">
        <v>56</v>
      </c>
      <c r="AP1" s="412"/>
      <c r="AQ1" s="412"/>
      <c r="AR1" s="413"/>
      <c r="AS1" s="411" t="s">
        <v>128</v>
      </c>
      <c r="AT1" s="412"/>
      <c r="AU1" s="412"/>
      <c r="AV1" s="413"/>
      <c r="AW1" s="411" t="s">
        <v>129</v>
      </c>
      <c r="AX1" s="412"/>
      <c r="AY1" s="412"/>
      <c r="AZ1" s="413"/>
      <c r="BA1" s="411" t="s">
        <v>399</v>
      </c>
      <c r="BB1" s="412"/>
      <c r="BC1" s="412"/>
      <c r="BD1" s="413"/>
      <c r="BE1" s="411" t="s">
        <v>130</v>
      </c>
      <c r="BF1" s="412"/>
      <c r="BG1" s="412"/>
      <c r="BH1" s="413"/>
      <c r="BI1" s="411" t="s">
        <v>94</v>
      </c>
      <c r="BJ1" s="412"/>
      <c r="BK1" s="412"/>
      <c r="BL1" s="413"/>
      <c r="BM1" s="411" t="s">
        <v>57</v>
      </c>
      <c r="BN1" s="412"/>
      <c r="BO1" s="412"/>
      <c r="BP1" s="413"/>
      <c r="BQ1" s="411" t="s">
        <v>58</v>
      </c>
      <c r="BR1" s="412"/>
      <c r="BS1" s="412"/>
      <c r="BT1" s="413"/>
      <c r="BU1" s="414" t="s">
        <v>303</v>
      </c>
      <c r="BV1" s="415"/>
      <c r="BW1" s="415"/>
      <c r="BX1" s="416"/>
      <c r="BY1" s="415" t="s">
        <v>304</v>
      </c>
      <c r="BZ1" s="415"/>
      <c r="CA1" s="415"/>
      <c r="CB1" s="415"/>
    </row>
    <row r="2" spans="1:80" s="4" customFormat="1" ht="15" customHeight="1" x14ac:dyDescent="0.35">
      <c r="A2" s="23"/>
      <c r="B2" s="419" t="s">
        <v>7</v>
      </c>
      <c r="C2" s="420" t="s">
        <v>8</v>
      </c>
      <c r="D2" s="419" t="s">
        <v>9</v>
      </c>
      <c r="E2" s="32" t="s">
        <v>1</v>
      </c>
      <c r="F2" s="99" t="s">
        <v>93</v>
      </c>
      <c r="G2" s="111" t="str">
        <f>G1</f>
        <v>Capacity units</v>
      </c>
      <c r="H2" s="111" t="str">
        <f>H1</f>
        <v>Output units</v>
      </c>
      <c r="I2" s="111" t="str">
        <f>I1</f>
        <v>Yearly demand (output)</v>
      </c>
      <c r="J2" s="123" t="s">
        <v>2</v>
      </c>
      <c r="K2" s="123" t="s">
        <v>4</v>
      </c>
      <c r="L2" s="123" t="s">
        <v>5</v>
      </c>
      <c r="M2" s="123" t="s">
        <v>270</v>
      </c>
      <c r="N2" s="123" t="s">
        <v>3</v>
      </c>
      <c r="O2" s="123" t="s">
        <v>177</v>
      </c>
      <c r="P2" s="131" t="s">
        <v>6</v>
      </c>
      <c r="Q2" s="16" t="s">
        <v>51</v>
      </c>
      <c r="R2" s="16" t="s">
        <v>51</v>
      </c>
      <c r="S2" s="16" t="s">
        <v>51</v>
      </c>
      <c r="T2" s="131" t="s">
        <v>51</v>
      </c>
      <c r="U2" s="16" t="s">
        <v>52</v>
      </c>
      <c r="V2" s="16" t="s">
        <v>52</v>
      </c>
      <c r="W2" s="16" t="s">
        <v>52</v>
      </c>
      <c r="X2" s="131" t="s">
        <v>52</v>
      </c>
      <c r="Y2" s="16" t="s">
        <v>269</v>
      </c>
      <c r="Z2" s="16" t="s">
        <v>269</v>
      </c>
      <c r="AA2" s="16" t="s">
        <v>269</v>
      </c>
      <c r="AB2" s="131" t="s">
        <v>269</v>
      </c>
      <c r="AC2" s="16" t="s">
        <v>53</v>
      </c>
      <c r="AD2" s="16" t="s">
        <v>53</v>
      </c>
      <c r="AE2" s="16" t="s">
        <v>53</v>
      </c>
      <c r="AF2" s="131" t="s">
        <v>53</v>
      </c>
      <c r="AG2" s="16" t="s">
        <v>54</v>
      </c>
      <c r="AH2" s="16" t="s">
        <v>54</v>
      </c>
      <c r="AI2" s="16" t="s">
        <v>54</v>
      </c>
      <c r="AJ2" s="131" t="s">
        <v>54</v>
      </c>
      <c r="AK2" s="16" t="s">
        <v>55</v>
      </c>
      <c r="AL2" s="16" t="s">
        <v>55</v>
      </c>
      <c r="AM2" s="16" t="s">
        <v>55</v>
      </c>
      <c r="AN2" s="131" t="s">
        <v>55</v>
      </c>
      <c r="AO2" s="16" t="s">
        <v>56</v>
      </c>
      <c r="AP2" s="16" t="s">
        <v>56</v>
      </c>
      <c r="AQ2" s="16" t="s">
        <v>56</v>
      </c>
      <c r="AR2" s="131" t="s">
        <v>56</v>
      </c>
      <c r="AS2" s="16" t="s">
        <v>128</v>
      </c>
      <c r="AT2" s="16" t="s">
        <v>128</v>
      </c>
      <c r="AU2" s="16" t="s">
        <v>128</v>
      </c>
      <c r="AV2" s="131" t="s">
        <v>128</v>
      </c>
      <c r="AW2" s="16" t="s">
        <v>129</v>
      </c>
      <c r="AX2" s="16" t="s">
        <v>129</v>
      </c>
      <c r="AY2" s="16" t="s">
        <v>129</v>
      </c>
      <c r="AZ2" s="131" t="s">
        <v>129</v>
      </c>
      <c r="BA2" s="16" t="s">
        <v>399</v>
      </c>
      <c r="BB2" s="16" t="s">
        <v>399</v>
      </c>
      <c r="BC2" s="16" t="s">
        <v>399</v>
      </c>
      <c r="BD2" s="16" t="s">
        <v>399</v>
      </c>
      <c r="BE2" s="16" t="s">
        <v>130</v>
      </c>
      <c r="BF2" s="16" t="s">
        <v>130</v>
      </c>
      <c r="BG2" s="16" t="s">
        <v>130</v>
      </c>
      <c r="BH2" s="131" t="s">
        <v>130</v>
      </c>
      <c r="BI2" s="16" t="s">
        <v>94</v>
      </c>
      <c r="BJ2" s="16" t="s">
        <v>94</v>
      </c>
      <c r="BK2" s="16" t="s">
        <v>94</v>
      </c>
      <c r="BL2" s="131" t="s">
        <v>94</v>
      </c>
      <c r="BM2" s="16" t="s">
        <v>57</v>
      </c>
      <c r="BN2" s="16" t="s">
        <v>57</v>
      </c>
      <c r="BO2" s="16" t="s">
        <v>57</v>
      </c>
      <c r="BP2" s="131" t="s">
        <v>57</v>
      </c>
      <c r="BQ2" s="16" t="s">
        <v>58</v>
      </c>
      <c r="BR2" s="16" t="s">
        <v>58</v>
      </c>
      <c r="BS2" s="16" t="s">
        <v>58</v>
      </c>
      <c r="BT2" s="131" t="s">
        <v>58</v>
      </c>
      <c r="BU2" s="160" t="s">
        <v>303</v>
      </c>
      <c r="BV2" s="160" t="s">
        <v>303</v>
      </c>
      <c r="BW2" s="160" t="s">
        <v>303</v>
      </c>
      <c r="BX2" s="161" t="s">
        <v>303</v>
      </c>
      <c r="BY2" s="16" t="s">
        <v>304</v>
      </c>
      <c r="BZ2" s="16" t="s">
        <v>304</v>
      </c>
      <c r="CA2" s="16" t="s">
        <v>304</v>
      </c>
      <c r="CB2" s="16" t="s">
        <v>304</v>
      </c>
    </row>
    <row r="3" spans="1:80" s="4" customFormat="1" ht="14" customHeight="1" x14ac:dyDescent="0.35">
      <c r="A3" s="31"/>
      <c r="B3" s="419"/>
      <c r="C3" s="420"/>
      <c r="D3" s="419"/>
      <c r="E3" s="32" t="s">
        <v>66</v>
      </c>
      <c r="F3" s="100" t="s">
        <v>95</v>
      </c>
      <c r="G3" s="112" t="s">
        <v>95</v>
      </c>
      <c r="H3" s="112" t="s">
        <v>95</v>
      </c>
      <c r="I3" s="112" t="s">
        <v>95</v>
      </c>
      <c r="J3" s="112" t="s">
        <v>95</v>
      </c>
      <c r="K3" s="112" t="s">
        <v>95</v>
      </c>
      <c r="L3" s="112" t="s">
        <v>95</v>
      </c>
      <c r="M3" s="112" t="s">
        <v>95</v>
      </c>
      <c r="N3" s="109" t="s">
        <v>95</v>
      </c>
      <c r="O3" s="109" t="s">
        <v>95</v>
      </c>
      <c r="P3" s="100" t="s">
        <v>95</v>
      </c>
      <c r="Q3" s="97">
        <v>0</v>
      </c>
      <c r="R3" s="97">
        <v>0</v>
      </c>
      <c r="S3" s="97">
        <v>0</v>
      </c>
      <c r="T3" s="132">
        <v>0</v>
      </c>
      <c r="U3" s="97">
        <v>0</v>
      </c>
      <c r="V3" s="97">
        <v>0</v>
      </c>
      <c r="W3" s="97">
        <v>0</v>
      </c>
      <c r="X3" s="132">
        <v>0</v>
      </c>
      <c r="Y3" s="97">
        <v>0</v>
      </c>
      <c r="Z3" s="97">
        <v>0</v>
      </c>
      <c r="AA3" s="97">
        <v>0</v>
      </c>
      <c r="AB3" s="132">
        <v>0</v>
      </c>
      <c r="AC3" s="97">
        <v>0</v>
      </c>
      <c r="AD3" s="97">
        <v>0</v>
      </c>
      <c r="AE3" s="97">
        <v>0</v>
      </c>
      <c r="AF3" s="132">
        <v>0</v>
      </c>
      <c r="AG3" s="97">
        <v>0</v>
      </c>
      <c r="AH3" s="97">
        <v>0</v>
      </c>
      <c r="AI3" s="97">
        <v>0</v>
      </c>
      <c r="AJ3" s="132">
        <v>0</v>
      </c>
      <c r="AK3" s="97">
        <v>0</v>
      </c>
      <c r="AL3" s="97">
        <v>0</v>
      </c>
      <c r="AM3" s="97">
        <v>0</v>
      </c>
      <c r="AN3" s="132">
        <v>0</v>
      </c>
      <c r="AO3" s="97">
        <v>0</v>
      </c>
      <c r="AP3" s="97">
        <v>0</v>
      </c>
      <c r="AQ3" s="97">
        <v>0</v>
      </c>
      <c r="AR3" s="132">
        <v>0</v>
      </c>
      <c r="AS3" s="97">
        <v>0</v>
      </c>
      <c r="AT3" s="97">
        <v>0</v>
      </c>
      <c r="AU3" s="97">
        <v>0</v>
      </c>
      <c r="AV3" s="132">
        <v>0</v>
      </c>
      <c r="AW3" s="97">
        <v>0</v>
      </c>
      <c r="AX3" s="97">
        <v>0</v>
      </c>
      <c r="AY3" s="97">
        <v>0</v>
      </c>
      <c r="AZ3" s="132">
        <v>0</v>
      </c>
      <c r="BA3" s="97">
        <v>0</v>
      </c>
      <c r="BB3" s="97">
        <v>0</v>
      </c>
      <c r="BC3" s="97">
        <v>0</v>
      </c>
      <c r="BD3" s="132">
        <v>0</v>
      </c>
      <c r="BE3" s="97">
        <v>0</v>
      </c>
      <c r="BF3" s="97">
        <v>0</v>
      </c>
      <c r="BG3" s="97">
        <v>0</v>
      </c>
      <c r="BH3" s="132">
        <v>0</v>
      </c>
      <c r="BI3" s="97">
        <v>0</v>
      </c>
      <c r="BJ3" s="97">
        <v>0</v>
      </c>
      <c r="BK3" s="97">
        <v>0</v>
      </c>
      <c r="BL3" s="132">
        <v>0</v>
      </c>
      <c r="BM3" s="97">
        <v>0</v>
      </c>
      <c r="BN3" s="97">
        <v>0</v>
      </c>
      <c r="BO3" s="97">
        <v>0</v>
      </c>
      <c r="BP3" s="132">
        <v>0</v>
      </c>
      <c r="BQ3" s="97">
        <v>0</v>
      </c>
      <c r="BR3" s="97">
        <v>0</v>
      </c>
      <c r="BS3" s="97">
        <v>0</v>
      </c>
      <c r="BT3" s="132">
        <v>0</v>
      </c>
      <c r="BU3" s="97">
        <v>0</v>
      </c>
      <c r="BV3" s="97">
        <v>0</v>
      </c>
      <c r="BW3" s="97">
        <v>0</v>
      </c>
      <c r="BX3" s="132">
        <v>0</v>
      </c>
      <c r="BY3" s="97">
        <v>0</v>
      </c>
      <c r="BZ3" s="97">
        <v>0</v>
      </c>
      <c r="CA3" s="97">
        <v>0</v>
      </c>
      <c r="CB3" s="97">
        <v>0</v>
      </c>
    </row>
    <row r="4" spans="1:80" s="4" customFormat="1" ht="5.5" customHeight="1" x14ac:dyDescent="0.35">
      <c r="A4" s="31"/>
      <c r="B4" s="419"/>
      <c r="C4" s="420"/>
      <c r="D4" s="419"/>
      <c r="E4" s="32"/>
      <c r="F4" s="100" t="str">
        <f>F2&amp;F3</f>
        <v>Used (1 or 0)All</v>
      </c>
      <c r="G4" s="112" t="str">
        <f>G2&amp;G3</f>
        <v>Capacity unitsAll</v>
      </c>
      <c r="H4" s="112" t="str">
        <f>H2&amp;H3</f>
        <v>Output unitsAll</v>
      </c>
      <c r="I4" s="112" t="str">
        <f t="shared" ref="I4:BT4" si="0">I2&amp;I3</f>
        <v>Yearly demand (output)All</v>
      </c>
      <c r="J4" s="112" t="str">
        <f t="shared" si="0"/>
        <v>Produced fromAll</v>
      </c>
      <c r="K4" s="112" t="str">
        <f t="shared" si="0"/>
        <v>El balanceAll</v>
      </c>
      <c r="L4" s="112" t="str">
        <f t="shared" si="0"/>
        <v>Heat balanceAll</v>
      </c>
      <c r="M4" s="112" t="str">
        <f t="shared" si="0"/>
        <v>Process heat balanceAll</v>
      </c>
      <c r="N4" s="112" t="str">
        <f t="shared" si="0"/>
        <v>H2 balanceAll</v>
      </c>
      <c r="O4" s="112" t="str">
        <f t="shared" si="0"/>
        <v>CSP balanceAll</v>
      </c>
      <c r="P4" s="100" t="str">
        <f t="shared" si="0"/>
        <v>Max CapacityAll</v>
      </c>
      <c r="Q4" s="11" t="str">
        <f t="shared" si="0"/>
        <v>Fuel production rate (kg output/kg input)0</v>
      </c>
      <c r="R4" s="11" t="str">
        <f t="shared" si="0"/>
        <v>Fuel production rate (kg output/kg input)0</v>
      </c>
      <c r="S4" s="11" t="str">
        <f t="shared" si="0"/>
        <v>Fuel production rate (kg output/kg input)0</v>
      </c>
      <c r="T4" s="100" t="str">
        <f t="shared" si="0"/>
        <v>Fuel production rate (kg output/kg input)0</v>
      </c>
      <c r="U4" s="11" t="str">
        <f t="shared" si="0"/>
        <v>Heat generated (kWh/output)0</v>
      </c>
      <c r="V4" s="11" t="str">
        <f t="shared" si="0"/>
        <v>Heat generated (kWh/output)0</v>
      </c>
      <c r="W4" s="11" t="str">
        <f t="shared" si="0"/>
        <v>Heat generated (kWh/output)0</v>
      </c>
      <c r="X4" s="100" t="str">
        <f t="shared" si="0"/>
        <v>Heat generated (kWh/output)0</v>
      </c>
      <c r="Y4" s="11" t="str">
        <f t="shared" si="0"/>
        <v>Process heat generated (kWh/output)0</v>
      </c>
      <c r="Z4" s="11" t="str">
        <f t="shared" si="0"/>
        <v>Process heat generated (kWh/output)0</v>
      </c>
      <c r="AA4" s="11" t="str">
        <f t="shared" si="0"/>
        <v>Process heat generated (kWh/output)0</v>
      </c>
      <c r="AB4" s="100" t="str">
        <f t="shared" si="0"/>
        <v>Process heat generated (kWh/output)0</v>
      </c>
      <c r="AC4" s="11" t="str">
        <f t="shared" si="0"/>
        <v>Load min (% of max capacity)0</v>
      </c>
      <c r="AD4" s="11" t="str">
        <f t="shared" si="0"/>
        <v>Load min (% of max capacity)0</v>
      </c>
      <c r="AE4" s="11" t="str">
        <f t="shared" si="0"/>
        <v>Load min (% of max capacity)0</v>
      </c>
      <c r="AF4" s="100" t="str">
        <f t="shared" si="0"/>
        <v>Load min (% of max capacity)0</v>
      </c>
      <c r="AG4" s="11" t="str">
        <f t="shared" si="0"/>
        <v>Ramp up (% of capacity /h)0</v>
      </c>
      <c r="AH4" s="11" t="str">
        <f t="shared" si="0"/>
        <v>Ramp up (% of capacity /h)0</v>
      </c>
      <c r="AI4" s="11" t="str">
        <f t="shared" si="0"/>
        <v>Ramp up (% of capacity /h)0</v>
      </c>
      <c r="AJ4" s="100" t="str">
        <f t="shared" si="0"/>
        <v>Ramp up (% of capacity /h)0</v>
      </c>
      <c r="AK4" s="11" t="str">
        <f t="shared" si="0"/>
        <v>Ramp down (% of capacity /h)0</v>
      </c>
      <c r="AL4" s="11" t="str">
        <f t="shared" si="0"/>
        <v>Ramp down (% of capacity /h)0</v>
      </c>
      <c r="AM4" s="11" t="str">
        <f t="shared" si="0"/>
        <v>Ramp down (% of capacity /h)0</v>
      </c>
      <c r="AN4" s="100" t="str">
        <f t="shared" si="0"/>
        <v>Ramp down (% of capacity /h)0</v>
      </c>
      <c r="AO4" s="11" t="str">
        <f t="shared" si="0"/>
        <v>Electrical consumption (kWh/output)0</v>
      </c>
      <c r="AP4" s="11" t="str">
        <f t="shared" si="0"/>
        <v>Electrical consumption (kWh/output)0</v>
      </c>
      <c r="AQ4" s="11" t="str">
        <f t="shared" si="0"/>
        <v>Electrical consumption (kWh/output)0</v>
      </c>
      <c r="AR4" s="100" t="str">
        <f t="shared" si="0"/>
        <v>Electrical consumption (kWh/output)0</v>
      </c>
      <c r="AS4" s="11" t="str">
        <f t="shared" si="0"/>
        <v>Investment (EUR/Capacity installed)0</v>
      </c>
      <c r="AT4" s="11" t="str">
        <f t="shared" si="0"/>
        <v>Investment (EUR/Capacity installed)0</v>
      </c>
      <c r="AU4" s="11" t="str">
        <f t="shared" si="0"/>
        <v>Investment (EUR/Capacity installed)0</v>
      </c>
      <c r="AV4" s="100" t="str">
        <f t="shared" si="0"/>
        <v>Investment (EUR/Capacity installed)0</v>
      </c>
      <c r="AW4" s="11" t="str">
        <f t="shared" si="0"/>
        <v>Fixed cost (EUR/Capacity installed/y)0</v>
      </c>
      <c r="AX4" s="11" t="str">
        <f t="shared" si="0"/>
        <v>Fixed cost (EUR/Capacity installed/y)0</v>
      </c>
      <c r="AY4" s="11" t="str">
        <f t="shared" si="0"/>
        <v>Fixed cost (EUR/Capacity installed/y)0</v>
      </c>
      <c r="AZ4" s="100" t="str">
        <f t="shared" si="0"/>
        <v>Fixed cost (EUR/Capacity installed/y)0</v>
      </c>
      <c r="BA4" s="11" t="str">
        <f t="shared" si="0"/>
        <v>Variable cost (EUR/output)0</v>
      </c>
      <c r="BB4" s="11" t="str">
        <f t="shared" si="0"/>
        <v>Variable cost (EUR/output)0</v>
      </c>
      <c r="BC4" s="11" t="str">
        <f t="shared" si="0"/>
        <v>Variable cost (EUR/output)0</v>
      </c>
      <c r="BD4" s="100" t="str">
        <f t="shared" si="0"/>
        <v>Variable cost (EUR/output)0</v>
      </c>
      <c r="BE4" s="11" t="str">
        <f t="shared" si="0"/>
        <v>Fuel selling price (EUR/output)0</v>
      </c>
      <c r="BF4" s="11" t="str">
        <f t="shared" si="0"/>
        <v>Fuel selling price (EUR/output)0</v>
      </c>
      <c r="BG4" s="11" t="str">
        <f t="shared" si="0"/>
        <v>Fuel selling price (EUR/output)0</v>
      </c>
      <c r="BH4" s="100" t="str">
        <f t="shared" si="0"/>
        <v>Fuel selling price (EUR/output)0</v>
      </c>
      <c r="BI4" s="11" t="str">
        <f t="shared" si="0"/>
        <v>CO2e infrastructure (kg CO2e/Capacity/y)0</v>
      </c>
      <c r="BJ4" s="11" t="str">
        <f t="shared" si="0"/>
        <v>CO2e infrastructure (kg CO2e/Capacity/y)0</v>
      </c>
      <c r="BK4" s="11" t="str">
        <f t="shared" si="0"/>
        <v>CO2e infrastructure (kg CO2e/Capacity/y)0</v>
      </c>
      <c r="BL4" s="100" t="str">
        <f t="shared" si="0"/>
        <v>CO2e infrastructure (kg CO2e/Capacity/y)0</v>
      </c>
      <c r="BM4" s="11" t="str">
        <f t="shared" si="0"/>
        <v>CO2e process (kg CO2e/output)0</v>
      </c>
      <c r="BN4" s="11" t="str">
        <f t="shared" si="0"/>
        <v>CO2e process (kg CO2e/output)0</v>
      </c>
      <c r="BO4" s="11" t="str">
        <f t="shared" si="0"/>
        <v>CO2e process (kg CO2e/output)0</v>
      </c>
      <c r="BP4" s="100" t="str">
        <f t="shared" si="0"/>
        <v>CO2e process (kg CO2e/output)0</v>
      </c>
      <c r="BQ4" s="11" t="str">
        <f t="shared" si="0"/>
        <v>Annuity factor0</v>
      </c>
      <c r="BR4" s="11" t="str">
        <f t="shared" si="0"/>
        <v>Annuity factor0</v>
      </c>
      <c r="BS4" s="11" t="str">
        <f t="shared" si="0"/>
        <v>Annuity factor0</v>
      </c>
      <c r="BT4" s="100" t="str">
        <f t="shared" si="0"/>
        <v>Annuity factor0</v>
      </c>
      <c r="BU4" s="11" t="str">
        <f t="shared" ref="BU4:CB4" si="1">BU2&amp;BU3</f>
        <v>Lifetime (years)0</v>
      </c>
      <c r="BV4" s="11" t="str">
        <f t="shared" si="1"/>
        <v>Lifetime (years)0</v>
      </c>
      <c r="BW4" s="11" t="str">
        <f t="shared" si="1"/>
        <v>Lifetime (years)0</v>
      </c>
      <c r="BX4" s="100" t="str">
        <f t="shared" si="1"/>
        <v>Lifetime (years)0</v>
      </c>
      <c r="BY4" s="11" t="str">
        <f t="shared" si="1"/>
        <v>Discount rate (%)0</v>
      </c>
      <c r="BZ4" s="11" t="str">
        <f t="shared" si="1"/>
        <v>Discount rate (%)0</v>
      </c>
      <c r="CA4" s="11" t="str">
        <f t="shared" si="1"/>
        <v>Discount rate (%)0</v>
      </c>
      <c r="CB4" s="11" t="str">
        <f t="shared" si="1"/>
        <v>Discount rate (%)0</v>
      </c>
    </row>
    <row r="5" spans="1:80" s="5" customFormat="1" ht="16" customHeight="1" x14ac:dyDescent="0.35">
      <c r="B5" s="419"/>
      <c r="C5" s="420"/>
      <c r="D5" s="419"/>
      <c r="E5" s="38" t="s">
        <v>10</v>
      </c>
      <c r="F5" s="101">
        <v>0</v>
      </c>
      <c r="G5" s="113">
        <v>0</v>
      </c>
      <c r="H5" s="113">
        <v>0</v>
      </c>
      <c r="I5" s="113">
        <v>0</v>
      </c>
      <c r="J5" s="113">
        <v>0</v>
      </c>
      <c r="K5" s="113">
        <v>0</v>
      </c>
      <c r="L5" s="113">
        <v>0</v>
      </c>
      <c r="M5" s="113">
        <v>0</v>
      </c>
      <c r="N5" s="113">
        <v>0</v>
      </c>
      <c r="O5" s="113">
        <v>0</v>
      </c>
      <c r="P5" s="101">
        <v>0</v>
      </c>
      <c r="Q5" s="5">
        <v>0</v>
      </c>
      <c r="R5" s="5">
        <v>0</v>
      </c>
      <c r="S5" s="5">
        <v>0</v>
      </c>
      <c r="T5" s="101">
        <v>0</v>
      </c>
      <c r="U5" s="5">
        <v>0</v>
      </c>
      <c r="V5" s="5">
        <v>0</v>
      </c>
      <c r="W5" s="5">
        <v>0</v>
      </c>
      <c r="X5" s="101">
        <v>0</v>
      </c>
      <c r="Y5" s="5">
        <v>0</v>
      </c>
      <c r="Z5" s="5">
        <v>0</v>
      </c>
      <c r="AA5" s="5">
        <v>0</v>
      </c>
      <c r="AB5" s="101">
        <v>0</v>
      </c>
      <c r="AC5" s="5">
        <v>0</v>
      </c>
      <c r="AD5" s="5">
        <v>0</v>
      </c>
      <c r="AE5" s="5">
        <v>0</v>
      </c>
      <c r="AF5" s="101">
        <v>0</v>
      </c>
      <c r="AG5" s="5">
        <v>0</v>
      </c>
      <c r="AH5" s="5">
        <v>0</v>
      </c>
      <c r="AI5" s="5">
        <v>0</v>
      </c>
      <c r="AJ5" s="101">
        <v>0</v>
      </c>
      <c r="AK5" s="5">
        <v>0</v>
      </c>
      <c r="AL5" s="5">
        <v>0</v>
      </c>
      <c r="AM5" s="5">
        <v>0</v>
      </c>
      <c r="AN5" s="101">
        <v>0</v>
      </c>
      <c r="AO5" s="5">
        <v>0</v>
      </c>
      <c r="AP5" s="5">
        <v>0</v>
      </c>
      <c r="AQ5" s="5">
        <v>0</v>
      </c>
      <c r="AR5" s="101">
        <v>0</v>
      </c>
      <c r="AS5" s="5">
        <v>0</v>
      </c>
      <c r="AT5" s="5">
        <v>0</v>
      </c>
      <c r="AU5" s="5">
        <v>0</v>
      </c>
      <c r="AV5" s="101">
        <v>0</v>
      </c>
      <c r="AW5" s="5">
        <v>0</v>
      </c>
      <c r="AX5" s="5">
        <v>0</v>
      </c>
      <c r="AY5" s="5">
        <v>0</v>
      </c>
      <c r="AZ5" s="101">
        <v>0</v>
      </c>
      <c r="BA5" s="5">
        <v>0</v>
      </c>
      <c r="BB5" s="5">
        <v>0</v>
      </c>
      <c r="BC5" s="5">
        <v>0</v>
      </c>
      <c r="BD5" s="101">
        <v>0</v>
      </c>
      <c r="BE5" s="5">
        <v>0</v>
      </c>
      <c r="BF5" s="5">
        <v>0</v>
      </c>
      <c r="BG5" s="5">
        <v>0</v>
      </c>
      <c r="BH5" s="101">
        <v>0</v>
      </c>
      <c r="BI5" s="5">
        <v>0</v>
      </c>
      <c r="BJ5" s="5">
        <v>0</v>
      </c>
      <c r="BK5" s="5">
        <v>0</v>
      </c>
      <c r="BL5" s="101">
        <v>0</v>
      </c>
      <c r="BM5" s="5">
        <v>0</v>
      </c>
      <c r="BN5" s="5">
        <v>0</v>
      </c>
      <c r="BO5" s="5">
        <v>0</v>
      </c>
      <c r="BP5" s="101">
        <v>0</v>
      </c>
      <c r="BQ5" s="5">
        <v>0</v>
      </c>
      <c r="BR5" s="5">
        <v>0</v>
      </c>
      <c r="BS5" s="5">
        <v>0</v>
      </c>
      <c r="BT5" s="101">
        <v>0</v>
      </c>
      <c r="BU5" s="5">
        <v>0</v>
      </c>
      <c r="BV5" s="5">
        <v>0</v>
      </c>
      <c r="BW5" s="5">
        <v>0</v>
      </c>
      <c r="BX5" s="101">
        <v>0</v>
      </c>
      <c r="BY5" s="5">
        <v>0</v>
      </c>
      <c r="BZ5" s="5">
        <v>0</v>
      </c>
      <c r="CA5" s="5">
        <v>0</v>
      </c>
      <c r="CB5" s="5">
        <v>0</v>
      </c>
    </row>
    <row r="6" spans="1:80" s="25" customFormat="1" ht="18" customHeight="1" x14ac:dyDescent="0.35">
      <c r="A6" s="417" t="s">
        <v>11</v>
      </c>
      <c r="B6" s="285" t="s">
        <v>97</v>
      </c>
      <c r="C6" s="286" t="s">
        <v>180</v>
      </c>
      <c r="D6" s="287" t="s">
        <v>421</v>
      </c>
      <c r="E6" s="6">
        <v>0</v>
      </c>
      <c r="F6" s="299">
        <v>0</v>
      </c>
      <c r="G6" s="301" t="s">
        <v>422</v>
      </c>
      <c r="H6" s="301" t="s">
        <v>423</v>
      </c>
      <c r="I6" s="303">
        <v>0</v>
      </c>
      <c r="J6" s="312" t="str">
        <f>B7</f>
        <v>Product/Reactant1</v>
      </c>
      <c r="K6" s="321">
        <v>0</v>
      </c>
      <c r="L6" s="321">
        <v>0</v>
      </c>
      <c r="M6" s="321">
        <v>0</v>
      </c>
      <c r="N6" s="321">
        <v>0</v>
      </c>
      <c r="O6" s="321">
        <v>0</v>
      </c>
      <c r="P6" s="289">
        <v>0</v>
      </c>
      <c r="Q6" s="288">
        <v>0</v>
      </c>
      <c r="R6" s="288">
        <v>0</v>
      </c>
      <c r="S6" s="288">
        <v>0</v>
      </c>
      <c r="T6" s="289">
        <v>0</v>
      </c>
      <c r="U6" s="288">
        <v>0</v>
      </c>
      <c r="V6" s="288">
        <v>0</v>
      </c>
      <c r="W6" s="288">
        <v>0</v>
      </c>
      <c r="X6" s="289">
        <v>0</v>
      </c>
      <c r="Y6" s="288">
        <v>0</v>
      </c>
      <c r="Z6" s="288">
        <v>0</v>
      </c>
      <c r="AA6" s="288">
        <v>0</v>
      </c>
      <c r="AB6" s="289">
        <v>0</v>
      </c>
      <c r="AC6" s="291">
        <v>0</v>
      </c>
      <c r="AD6" s="327">
        <v>0</v>
      </c>
      <c r="AE6" s="327">
        <v>0</v>
      </c>
      <c r="AF6" s="327">
        <v>0</v>
      </c>
      <c r="AG6" s="291">
        <v>0</v>
      </c>
      <c r="AH6" s="327">
        <v>0</v>
      </c>
      <c r="AI6" s="327">
        <v>0</v>
      </c>
      <c r="AJ6" s="327">
        <v>0</v>
      </c>
      <c r="AK6" s="291">
        <v>0</v>
      </c>
      <c r="AL6" s="327">
        <v>0</v>
      </c>
      <c r="AM6" s="327">
        <v>0</v>
      </c>
      <c r="AN6" s="356">
        <v>0</v>
      </c>
      <c r="AO6" s="329">
        <v>0</v>
      </c>
      <c r="AP6" s="329">
        <v>0</v>
      </c>
      <c r="AQ6" s="329">
        <v>0</v>
      </c>
      <c r="AR6" s="363">
        <v>0</v>
      </c>
      <c r="AS6" s="332">
        <v>0</v>
      </c>
      <c r="AT6" s="332">
        <v>0</v>
      </c>
      <c r="AU6" s="332">
        <v>0</v>
      </c>
      <c r="AV6" s="332">
        <v>0</v>
      </c>
      <c r="AW6" s="290">
        <v>0</v>
      </c>
      <c r="AX6" s="288">
        <v>0</v>
      </c>
      <c r="AY6" s="288">
        <v>0</v>
      </c>
      <c r="AZ6" s="288">
        <v>0</v>
      </c>
      <c r="BA6" s="292">
        <v>0</v>
      </c>
      <c r="BB6" s="330">
        <v>0</v>
      </c>
      <c r="BC6" s="330">
        <v>0</v>
      </c>
      <c r="BD6" s="330">
        <v>0</v>
      </c>
      <c r="BE6" s="290">
        <v>0</v>
      </c>
      <c r="BF6" s="288">
        <v>0</v>
      </c>
      <c r="BG6" s="288">
        <v>0</v>
      </c>
      <c r="BH6" s="289">
        <v>0</v>
      </c>
      <c r="BI6" s="288">
        <v>0</v>
      </c>
      <c r="BJ6" s="288">
        <v>0</v>
      </c>
      <c r="BK6" s="288">
        <v>0</v>
      </c>
      <c r="BL6" s="289">
        <v>0</v>
      </c>
      <c r="BM6" s="288">
        <v>0</v>
      </c>
      <c r="BN6" s="288">
        <v>0</v>
      </c>
      <c r="BO6" s="288">
        <v>0</v>
      </c>
      <c r="BP6" s="289">
        <v>0</v>
      </c>
      <c r="BQ6" s="288">
        <v>0</v>
      </c>
      <c r="BR6" s="288">
        <v>0</v>
      </c>
      <c r="BS6" s="288">
        <v>0</v>
      </c>
      <c r="BT6" s="289">
        <v>0</v>
      </c>
      <c r="BU6" s="288">
        <v>0</v>
      </c>
      <c r="BV6" s="288">
        <v>0</v>
      </c>
      <c r="BW6" s="288">
        <v>0</v>
      </c>
      <c r="BX6" s="289">
        <v>0</v>
      </c>
      <c r="BY6" s="288">
        <v>0</v>
      </c>
      <c r="BZ6" s="288">
        <v>0</v>
      </c>
      <c r="CA6" s="288">
        <v>0</v>
      </c>
      <c r="CB6" s="288">
        <v>0</v>
      </c>
    </row>
    <row r="7" spans="1:80" x14ac:dyDescent="0.35">
      <c r="A7" s="417"/>
      <c r="B7" s="285" t="s">
        <v>96</v>
      </c>
      <c r="C7" s="286" t="s">
        <v>180</v>
      </c>
      <c r="D7" s="287" t="s">
        <v>425</v>
      </c>
      <c r="E7" s="6">
        <v>0</v>
      </c>
      <c r="F7" s="299">
        <v>0</v>
      </c>
      <c r="G7" s="301" t="s">
        <v>369</v>
      </c>
      <c r="H7" s="301" t="s">
        <v>370</v>
      </c>
      <c r="I7" s="304">
        <v>0</v>
      </c>
      <c r="J7" s="312" t="str">
        <f>B8</f>
        <v>Product/Reactant2</v>
      </c>
      <c r="K7" s="321">
        <v>0</v>
      </c>
      <c r="L7" s="321">
        <v>0</v>
      </c>
      <c r="M7" s="321">
        <v>0</v>
      </c>
      <c r="N7" s="321">
        <v>0</v>
      </c>
      <c r="O7" s="321">
        <v>0</v>
      </c>
      <c r="P7" s="289">
        <v>0</v>
      </c>
      <c r="Q7" s="288">
        <v>0</v>
      </c>
      <c r="R7" s="288">
        <v>0</v>
      </c>
      <c r="S7" s="288">
        <v>0</v>
      </c>
      <c r="T7" s="289">
        <v>0</v>
      </c>
      <c r="U7" s="288">
        <v>0</v>
      </c>
      <c r="V7" s="288">
        <v>0</v>
      </c>
      <c r="W7" s="288">
        <v>0</v>
      </c>
      <c r="X7" s="289">
        <v>0</v>
      </c>
      <c r="Y7" s="288">
        <v>0</v>
      </c>
      <c r="Z7" s="288">
        <v>0</v>
      </c>
      <c r="AA7" s="288">
        <v>0</v>
      </c>
      <c r="AB7" s="289">
        <v>0</v>
      </c>
      <c r="AC7" s="291">
        <v>0</v>
      </c>
      <c r="AD7" s="327">
        <v>0</v>
      </c>
      <c r="AE7" s="327">
        <v>0</v>
      </c>
      <c r="AF7" s="327">
        <v>0</v>
      </c>
      <c r="AG7" s="291">
        <v>0</v>
      </c>
      <c r="AH7" s="327">
        <v>0</v>
      </c>
      <c r="AI7" s="327">
        <v>0</v>
      </c>
      <c r="AJ7" s="327">
        <v>0</v>
      </c>
      <c r="AK7" s="291">
        <v>0</v>
      </c>
      <c r="AL7" s="327">
        <v>0</v>
      </c>
      <c r="AM7" s="327">
        <v>0</v>
      </c>
      <c r="AN7" s="356">
        <v>0</v>
      </c>
      <c r="AO7" s="330">
        <v>0</v>
      </c>
      <c r="AP7" s="330">
        <v>0</v>
      </c>
      <c r="AQ7" s="330">
        <v>0</v>
      </c>
      <c r="AR7" s="364">
        <v>0</v>
      </c>
      <c r="AS7" s="333">
        <v>0</v>
      </c>
      <c r="AT7" s="333">
        <v>0</v>
      </c>
      <c r="AU7" s="333">
        <v>0</v>
      </c>
      <c r="AV7" s="333">
        <v>0</v>
      </c>
      <c r="AW7" s="292">
        <v>0</v>
      </c>
      <c r="AX7" s="330">
        <v>0</v>
      </c>
      <c r="AY7" s="330">
        <v>0</v>
      </c>
      <c r="AZ7" s="330">
        <v>0</v>
      </c>
      <c r="BA7" s="292">
        <v>0</v>
      </c>
      <c r="BB7" s="330">
        <v>0</v>
      </c>
      <c r="BC7" s="330">
        <v>0</v>
      </c>
      <c r="BD7" s="330">
        <v>0</v>
      </c>
      <c r="BE7" s="290">
        <v>0</v>
      </c>
      <c r="BF7" s="288">
        <v>0</v>
      </c>
      <c r="BG7" s="288">
        <v>0</v>
      </c>
      <c r="BH7" s="289">
        <v>0</v>
      </c>
      <c r="BI7" s="288">
        <v>0</v>
      </c>
      <c r="BJ7" s="288">
        <v>0</v>
      </c>
      <c r="BK7" s="288">
        <v>0</v>
      </c>
      <c r="BL7" s="289">
        <v>0</v>
      </c>
      <c r="BM7" s="288">
        <v>0</v>
      </c>
      <c r="BN7" s="288">
        <v>0</v>
      </c>
      <c r="BO7" s="288">
        <v>0</v>
      </c>
      <c r="BP7" s="289">
        <v>0</v>
      </c>
      <c r="BQ7" s="288">
        <v>0</v>
      </c>
      <c r="BR7" s="288">
        <v>0</v>
      </c>
      <c r="BS7" s="288">
        <v>0</v>
      </c>
      <c r="BT7" s="289">
        <v>0</v>
      </c>
      <c r="BU7" s="288">
        <v>0</v>
      </c>
      <c r="BV7" s="288">
        <v>0</v>
      </c>
      <c r="BW7" s="288">
        <v>0</v>
      </c>
      <c r="BX7" s="289">
        <v>0</v>
      </c>
      <c r="BY7" s="288">
        <v>0</v>
      </c>
      <c r="BZ7" s="288">
        <v>0</v>
      </c>
      <c r="CA7" s="288">
        <v>0</v>
      </c>
      <c r="CB7" s="288">
        <v>0</v>
      </c>
    </row>
    <row r="8" spans="1:80" x14ac:dyDescent="0.35">
      <c r="A8" s="417"/>
      <c r="B8" s="285" t="s">
        <v>424</v>
      </c>
      <c r="C8" s="293" t="s">
        <v>119</v>
      </c>
      <c r="D8" s="287" t="s">
        <v>443</v>
      </c>
      <c r="E8" s="6">
        <v>0</v>
      </c>
      <c r="F8" s="299">
        <v>0</v>
      </c>
      <c r="G8" s="301" t="s">
        <v>371</v>
      </c>
      <c r="H8" s="301" t="s">
        <v>372</v>
      </c>
      <c r="I8" s="304">
        <v>0</v>
      </c>
      <c r="J8" s="312" t="str">
        <f>B34</f>
        <v>Reactant10</v>
      </c>
      <c r="K8" s="321">
        <v>0</v>
      </c>
      <c r="L8" s="321">
        <v>0</v>
      </c>
      <c r="M8" s="321">
        <v>0</v>
      </c>
      <c r="N8" s="321">
        <v>0</v>
      </c>
      <c r="O8" s="321">
        <v>0</v>
      </c>
      <c r="P8" s="289">
        <v>0</v>
      </c>
      <c r="Q8" s="288">
        <v>0</v>
      </c>
      <c r="R8" s="288">
        <v>0</v>
      </c>
      <c r="S8" s="288">
        <v>0</v>
      </c>
      <c r="T8" s="289">
        <v>0</v>
      </c>
      <c r="U8" s="288">
        <v>0</v>
      </c>
      <c r="V8" s="288" t="s">
        <v>446</v>
      </c>
      <c r="W8" s="288">
        <v>0</v>
      </c>
      <c r="X8" s="289">
        <v>0</v>
      </c>
      <c r="Y8" s="288">
        <v>0</v>
      </c>
      <c r="Z8" s="288">
        <v>0</v>
      </c>
      <c r="AA8" s="288">
        <v>0</v>
      </c>
      <c r="AB8" s="288">
        <v>0</v>
      </c>
      <c r="AC8" s="291">
        <v>0</v>
      </c>
      <c r="AD8" s="327" t="s">
        <v>447</v>
      </c>
      <c r="AE8" s="327">
        <v>0</v>
      </c>
      <c r="AF8" s="327">
        <v>0</v>
      </c>
      <c r="AG8" s="291">
        <v>0</v>
      </c>
      <c r="AH8" s="327" t="s">
        <v>448</v>
      </c>
      <c r="AI8" s="327">
        <v>0</v>
      </c>
      <c r="AJ8" s="327">
        <v>0</v>
      </c>
      <c r="AK8" s="291">
        <v>0</v>
      </c>
      <c r="AL8" s="327" t="s">
        <v>448</v>
      </c>
      <c r="AM8" s="327">
        <v>0</v>
      </c>
      <c r="AN8" s="356">
        <v>0</v>
      </c>
      <c r="AO8" s="329">
        <v>0</v>
      </c>
      <c r="AP8" s="329" t="s">
        <v>448</v>
      </c>
      <c r="AQ8" s="329">
        <v>0</v>
      </c>
      <c r="AR8" s="363">
        <v>0</v>
      </c>
      <c r="AS8" s="332">
        <v>0</v>
      </c>
      <c r="AT8" s="332" t="s">
        <v>449</v>
      </c>
      <c r="AU8" s="332">
        <v>0</v>
      </c>
      <c r="AV8" s="332">
        <v>0</v>
      </c>
      <c r="AW8" s="290">
        <v>0</v>
      </c>
      <c r="AX8" s="288" t="s">
        <v>450</v>
      </c>
      <c r="AY8" s="288">
        <v>0</v>
      </c>
      <c r="AZ8" s="288">
        <v>0</v>
      </c>
      <c r="BA8" s="292">
        <v>0</v>
      </c>
      <c r="BB8" s="330">
        <v>0</v>
      </c>
      <c r="BC8" s="330">
        <v>0</v>
      </c>
      <c r="BD8" s="330">
        <v>0</v>
      </c>
      <c r="BE8" s="290">
        <v>0</v>
      </c>
      <c r="BF8" s="288">
        <v>0</v>
      </c>
      <c r="BG8" s="288">
        <v>0</v>
      </c>
      <c r="BH8" s="289">
        <v>0</v>
      </c>
      <c r="BI8" s="288">
        <v>0</v>
      </c>
      <c r="BJ8" s="288">
        <v>0</v>
      </c>
      <c r="BK8" s="288">
        <v>0</v>
      </c>
      <c r="BL8" s="289">
        <v>0</v>
      </c>
      <c r="BM8" s="288">
        <v>0</v>
      </c>
      <c r="BN8" s="288">
        <v>0</v>
      </c>
      <c r="BO8" s="288">
        <v>0</v>
      </c>
      <c r="BP8" s="289">
        <v>0</v>
      </c>
      <c r="BQ8" s="288">
        <v>0</v>
      </c>
      <c r="BR8" s="288" t="s">
        <v>451</v>
      </c>
      <c r="BS8" s="288">
        <v>0</v>
      </c>
      <c r="BT8" s="289">
        <v>0</v>
      </c>
      <c r="BU8" s="288">
        <v>0</v>
      </c>
      <c r="BV8" s="288">
        <v>0</v>
      </c>
      <c r="BW8" s="288">
        <v>0</v>
      </c>
      <c r="BX8" s="289">
        <v>0</v>
      </c>
      <c r="BY8" s="288">
        <v>0</v>
      </c>
      <c r="BZ8" s="288">
        <v>0</v>
      </c>
      <c r="CA8" s="288">
        <v>0</v>
      </c>
      <c r="CB8" s="288">
        <v>0</v>
      </c>
    </row>
    <row r="9" spans="1:80" s="376" customFormat="1" x14ac:dyDescent="0.35">
      <c r="A9" s="417"/>
      <c r="B9" s="366" t="s">
        <v>97</v>
      </c>
      <c r="C9" s="367" t="s">
        <v>180</v>
      </c>
      <c r="D9" s="368" t="s">
        <v>426</v>
      </c>
      <c r="E9" s="369">
        <v>0</v>
      </c>
      <c r="F9" s="370">
        <v>0</v>
      </c>
      <c r="G9" s="371" t="s">
        <v>422</v>
      </c>
      <c r="H9" s="371" t="s">
        <v>423</v>
      </c>
      <c r="I9" s="372">
        <v>0</v>
      </c>
      <c r="J9" s="373" t="str">
        <f>B10</f>
        <v>Product/Reactant3</v>
      </c>
      <c r="K9" s="374">
        <v>0</v>
      </c>
      <c r="L9" s="374">
        <v>0</v>
      </c>
      <c r="M9" s="374">
        <v>0</v>
      </c>
      <c r="N9" s="374">
        <v>0</v>
      </c>
      <c r="O9" s="374">
        <v>0</v>
      </c>
      <c r="P9" s="375">
        <v>0</v>
      </c>
      <c r="Q9" s="376">
        <v>0</v>
      </c>
      <c r="R9" s="376" t="s">
        <v>452</v>
      </c>
      <c r="S9" s="376">
        <v>0</v>
      </c>
      <c r="T9" s="375">
        <v>0</v>
      </c>
      <c r="U9" s="376">
        <v>0</v>
      </c>
      <c r="V9" s="376">
        <v>0</v>
      </c>
      <c r="W9" s="376">
        <v>0</v>
      </c>
      <c r="X9" s="375">
        <v>0</v>
      </c>
      <c r="Y9" s="376">
        <v>0</v>
      </c>
      <c r="Z9" s="376">
        <v>0</v>
      </c>
      <c r="AA9" s="376">
        <v>0</v>
      </c>
      <c r="AB9" s="375">
        <v>0</v>
      </c>
      <c r="AC9" s="377">
        <v>0</v>
      </c>
      <c r="AD9" s="378">
        <v>0</v>
      </c>
      <c r="AE9" s="378">
        <v>0</v>
      </c>
      <c r="AF9" s="378">
        <v>0</v>
      </c>
      <c r="AG9" s="377">
        <v>0</v>
      </c>
      <c r="AH9" s="378">
        <v>0</v>
      </c>
      <c r="AI9" s="378">
        <v>0</v>
      </c>
      <c r="AJ9" s="378">
        <v>0</v>
      </c>
      <c r="AK9" s="377">
        <v>0</v>
      </c>
      <c r="AL9" s="378">
        <v>0</v>
      </c>
      <c r="AM9" s="378">
        <v>0</v>
      </c>
      <c r="AN9" s="379">
        <v>0</v>
      </c>
      <c r="AO9" s="380">
        <v>0</v>
      </c>
      <c r="AP9" s="380">
        <v>0</v>
      </c>
      <c r="AQ9" s="380">
        <v>0</v>
      </c>
      <c r="AR9" s="381">
        <v>0</v>
      </c>
      <c r="AS9" s="382">
        <v>0</v>
      </c>
      <c r="AT9" s="382">
        <v>0</v>
      </c>
      <c r="AU9" s="382">
        <v>0</v>
      </c>
      <c r="AV9" s="382">
        <v>0</v>
      </c>
      <c r="AW9" s="383">
        <v>0</v>
      </c>
      <c r="AX9" s="376">
        <v>0</v>
      </c>
      <c r="AY9" s="376">
        <v>0</v>
      </c>
      <c r="AZ9" s="376">
        <v>0</v>
      </c>
      <c r="BA9" s="384">
        <v>0</v>
      </c>
      <c r="BB9" s="385">
        <v>0</v>
      </c>
      <c r="BC9" s="385">
        <v>0</v>
      </c>
      <c r="BD9" s="385">
        <v>0</v>
      </c>
      <c r="BE9" s="383">
        <v>0</v>
      </c>
      <c r="BF9" s="376">
        <v>0</v>
      </c>
      <c r="BG9" s="376">
        <v>0</v>
      </c>
      <c r="BH9" s="375">
        <v>0</v>
      </c>
      <c r="BI9" s="376">
        <v>0</v>
      </c>
      <c r="BJ9" s="376">
        <v>0</v>
      </c>
      <c r="BK9" s="376">
        <v>0</v>
      </c>
      <c r="BL9" s="375">
        <v>0</v>
      </c>
      <c r="BM9" s="376">
        <v>0</v>
      </c>
      <c r="BN9" s="376">
        <v>0</v>
      </c>
      <c r="BO9" s="376">
        <v>0</v>
      </c>
      <c r="BP9" s="375">
        <v>0</v>
      </c>
      <c r="BQ9" s="376">
        <v>0</v>
      </c>
      <c r="BR9" s="376">
        <v>0</v>
      </c>
      <c r="BS9" s="376">
        <v>0</v>
      </c>
      <c r="BT9" s="375">
        <v>0</v>
      </c>
      <c r="BU9" s="376">
        <v>0</v>
      </c>
      <c r="BV9" s="376">
        <v>0</v>
      </c>
      <c r="BW9" s="376">
        <v>0</v>
      </c>
      <c r="BX9" s="375">
        <v>0</v>
      </c>
      <c r="BY9" s="376">
        <v>0</v>
      </c>
      <c r="BZ9" s="376">
        <v>0</v>
      </c>
      <c r="CA9" s="376">
        <v>0</v>
      </c>
      <c r="CB9" s="376">
        <v>0</v>
      </c>
    </row>
    <row r="10" spans="1:80" s="376" customFormat="1" x14ac:dyDescent="0.35">
      <c r="A10" s="417"/>
      <c r="B10" s="366" t="s">
        <v>98</v>
      </c>
      <c r="C10" s="386" t="s">
        <v>119</v>
      </c>
      <c r="D10" s="368" t="s">
        <v>444</v>
      </c>
      <c r="E10" s="369">
        <v>0</v>
      </c>
      <c r="F10" s="370">
        <v>0</v>
      </c>
      <c r="G10" s="371" t="s">
        <v>371</v>
      </c>
      <c r="H10" s="371" t="s">
        <v>372</v>
      </c>
      <c r="I10" s="372">
        <v>0</v>
      </c>
      <c r="J10" s="373" t="str">
        <f>B34</f>
        <v>Reactant10</v>
      </c>
      <c r="K10" s="374">
        <v>0</v>
      </c>
      <c r="L10" s="374">
        <v>0</v>
      </c>
      <c r="M10" s="374">
        <v>0</v>
      </c>
      <c r="N10" s="374">
        <v>0</v>
      </c>
      <c r="O10" s="374">
        <v>0</v>
      </c>
      <c r="P10" s="375">
        <v>0</v>
      </c>
      <c r="Q10" s="376">
        <v>0</v>
      </c>
      <c r="R10" s="376" t="s">
        <v>453</v>
      </c>
      <c r="S10" s="376">
        <v>0</v>
      </c>
      <c r="T10" s="375">
        <v>0</v>
      </c>
      <c r="U10" s="376">
        <v>0</v>
      </c>
      <c r="V10" s="376" t="s">
        <v>454</v>
      </c>
      <c r="W10" s="376">
        <v>0</v>
      </c>
      <c r="X10" s="375">
        <v>0</v>
      </c>
      <c r="Y10" s="376">
        <v>0</v>
      </c>
      <c r="Z10" s="376">
        <v>0</v>
      </c>
      <c r="AA10" s="376">
        <v>0</v>
      </c>
      <c r="AB10" s="376">
        <v>0</v>
      </c>
      <c r="AC10" s="377">
        <v>0</v>
      </c>
      <c r="AD10" s="378" t="s">
        <v>447</v>
      </c>
      <c r="AE10" s="378">
        <v>0</v>
      </c>
      <c r="AF10" s="378">
        <v>0</v>
      </c>
      <c r="AG10" s="377">
        <v>0</v>
      </c>
      <c r="AH10" s="378" t="s">
        <v>448</v>
      </c>
      <c r="AI10" s="378">
        <v>0</v>
      </c>
      <c r="AJ10" s="378">
        <v>0</v>
      </c>
      <c r="AK10" s="377">
        <v>0</v>
      </c>
      <c r="AL10" s="378" t="s">
        <v>448</v>
      </c>
      <c r="AM10" s="378">
        <v>0</v>
      </c>
      <c r="AN10" s="379">
        <v>0</v>
      </c>
      <c r="AO10" s="380">
        <v>0</v>
      </c>
      <c r="AP10" s="380">
        <v>0</v>
      </c>
      <c r="AQ10" s="380">
        <v>0</v>
      </c>
      <c r="AR10" s="381">
        <v>0</v>
      </c>
      <c r="AS10" s="382">
        <v>0</v>
      </c>
      <c r="AT10" s="382" t="s">
        <v>455</v>
      </c>
      <c r="AU10" s="382" t="str">
        <f t="shared" ref="AU10:AV10" si="2">AT10</f>
        <v xml:space="preserve">[Threaded comment]Your version of Excel allows you to read this threaded comment; however, any edits to it will get removed if the file is opened in a newer version of Excel. Learn more: https://go.microsoft.com/fwlink/?linkid=870924Comment:    130% of capital investment compared to MeOH plant - CO2. Estimated additional cost of reformer Based on Oni et al. 2022 , and assuming similar costs for electrical vs conventional reformers. Both validated by stakeholders.  /Bornholm report </v>
      </c>
      <c r="AV10" s="382" t="str">
        <f t="shared" si="2"/>
        <v xml:space="preserve">[Threaded comment]Your version of Excel allows you to read this threaded comment; however, any edits to it will get removed if the file is opened in a newer version of Excel. Learn more: https://go.microsoft.com/fwlink/?linkid=870924Comment:    130% of capital investment compared to MeOH plant - CO2. Estimated additional cost of reformer Based on Oni et al. 2022 , and assuming similar costs for electrical vs conventional reformers. Both validated by stakeholders.  /Bornholm report </v>
      </c>
      <c r="AW10" s="387">
        <v>0</v>
      </c>
      <c r="AX10" s="376" t="s">
        <v>456</v>
      </c>
      <c r="AY10" s="376">
        <v>0</v>
      </c>
      <c r="AZ10" s="376">
        <v>0</v>
      </c>
      <c r="BA10" s="384">
        <v>0</v>
      </c>
      <c r="BB10" s="385">
        <v>0</v>
      </c>
      <c r="BC10" s="385">
        <v>0</v>
      </c>
      <c r="BD10" s="385">
        <v>0</v>
      </c>
      <c r="BE10" s="383">
        <v>0</v>
      </c>
      <c r="BF10" s="376">
        <v>0</v>
      </c>
      <c r="BG10" s="376">
        <v>0</v>
      </c>
      <c r="BH10" s="375">
        <v>0</v>
      </c>
      <c r="BI10" s="376">
        <v>0</v>
      </c>
      <c r="BJ10" s="376">
        <v>0</v>
      </c>
      <c r="BK10" s="376">
        <v>0</v>
      </c>
      <c r="BL10" s="375">
        <v>0</v>
      </c>
      <c r="BM10" s="376">
        <v>0</v>
      </c>
      <c r="BN10" s="376">
        <v>0</v>
      </c>
      <c r="BO10" s="376">
        <v>0</v>
      </c>
      <c r="BP10" s="375">
        <v>0</v>
      </c>
      <c r="BQ10" s="376">
        <v>0</v>
      </c>
      <c r="BR10" s="376" t="s">
        <v>451</v>
      </c>
      <c r="BS10" s="376">
        <v>0</v>
      </c>
      <c r="BT10" s="375">
        <v>0</v>
      </c>
      <c r="BU10" s="376">
        <v>0</v>
      </c>
      <c r="BV10" s="376">
        <v>0</v>
      </c>
      <c r="BW10" s="376">
        <v>0</v>
      </c>
      <c r="BX10" s="375">
        <v>0</v>
      </c>
      <c r="BY10" s="376">
        <v>0</v>
      </c>
      <c r="BZ10" s="376">
        <v>0</v>
      </c>
      <c r="CA10" s="376">
        <v>0</v>
      </c>
      <c r="CB10" s="376">
        <v>0</v>
      </c>
    </row>
    <row r="11" spans="1:80" x14ac:dyDescent="0.35">
      <c r="A11" s="417"/>
      <c r="B11" s="75" t="s">
        <v>97</v>
      </c>
      <c r="C11" s="76" t="s">
        <v>180</v>
      </c>
      <c r="D11" s="77" t="s">
        <v>428</v>
      </c>
      <c r="E11" s="6">
        <v>0</v>
      </c>
      <c r="F11" s="300">
        <v>0</v>
      </c>
      <c r="G11" s="302" t="s">
        <v>422</v>
      </c>
      <c r="H11" s="302" t="s">
        <v>423</v>
      </c>
      <c r="I11" s="303">
        <v>0</v>
      </c>
      <c r="J11" s="314" t="str">
        <f>B12</f>
        <v>Product/Reactant4</v>
      </c>
      <c r="K11" s="322">
        <v>0</v>
      </c>
      <c r="L11" s="322">
        <v>0</v>
      </c>
      <c r="M11" s="322">
        <v>0</v>
      </c>
      <c r="N11" s="322">
        <v>0</v>
      </c>
      <c r="O11" s="322">
        <v>0</v>
      </c>
      <c r="P11" s="295">
        <v>0</v>
      </c>
      <c r="Q11" s="294">
        <v>0</v>
      </c>
      <c r="R11" s="294">
        <v>0</v>
      </c>
      <c r="S11" s="294">
        <v>0</v>
      </c>
      <c r="T11" s="295">
        <v>0</v>
      </c>
      <c r="U11" s="294">
        <v>0</v>
      </c>
      <c r="V11" s="294">
        <v>0</v>
      </c>
      <c r="W11" s="294">
        <v>0</v>
      </c>
      <c r="X11" s="295">
        <v>0</v>
      </c>
      <c r="Y11" s="294">
        <v>0</v>
      </c>
      <c r="Z11" s="294">
        <v>0</v>
      </c>
      <c r="AA11" s="294">
        <v>0</v>
      </c>
      <c r="AB11" s="295">
        <v>0</v>
      </c>
      <c r="AC11" s="297">
        <v>0</v>
      </c>
      <c r="AD11" s="328">
        <v>0</v>
      </c>
      <c r="AE11" s="328">
        <v>0</v>
      </c>
      <c r="AF11" s="328">
        <v>0</v>
      </c>
      <c r="AG11" s="297">
        <v>0</v>
      </c>
      <c r="AH11" s="328">
        <v>0</v>
      </c>
      <c r="AI11" s="328">
        <v>0</v>
      </c>
      <c r="AJ11" s="328">
        <v>0</v>
      </c>
      <c r="AK11" s="297">
        <v>0</v>
      </c>
      <c r="AL11" s="328">
        <v>0</v>
      </c>
      <c r="AM11" s="328">
        <v>0</v>
      </c>
      <c r="AN11" s="357">
        <v>0</v>
      </c>
      <c r="AO11" s="331">
        <v>0</v>
      </c>
      <c r="AP11" s="331">
        <v>0</v>
      </c>
      <c r="AQ11" s="331">
        <v>0</v>
      </c>
      <c r="AR11" s="365">
        <v>0</v>
      </c>
      <c r="AS11" s="362">
        <v>0</v>
      </c>
      <c r="AT11" s="294">
        <v>0</v>
      </c>
      <c r="AU11" s="294">
        <v>0</v>
      </c>
      <c r="AV11" s="294">
        <v>0</v>
      </c>
      <c r="AW11" s="296">
        <v>0</v>
      </c>
      <c r="AX11" s="294">
        <v>0</v>
      </c>
      <c r="AY11" s="294">
        <v>0</v>
      </c>
      <c r="AZ11" s="294">
        <v>0</v>
      </c>
      <c r="BA11" s="298">
        <v>0</v>
      </c>
      <c r="BB11" s="331">
        <v>0</v>
      </c>
      <c r="BC11" s="331">
        <v>0</v>
      </c>
      <c r="BD11" s="331">
        <v>0</v>
      </c>
      <c r="BE11" s="296">
        <v>0</v>
      </c>
      <c r="BF11" s="294">
        <v>0</v>
      </c>
      <c r="BG11" s="294">
        <v>0</v>
      </c>
      <c r="BH11" s="295">
        <v>0</v>
      </c>
      <c r="BI11" s="294">
        <v>0</v>
      </c>
      <c r="BJ11" s="294">
        <v>0</v>
      </c>
      <c r="BK11" s="294">
        <v>0</v>
      </c>
      <c r="BL11" s="295">
        <v>0</v>
      </c>
      <c r="BM11" s="294">
        <v>0</v>
      </c>
      <c r="BN11" s="294">
        <v>0</v>
      </c>
      <c r="BO11" s="294">
        <v>0</v>
      </c>
      <c r="BP11" s="295">
        <v>0</v>
      </c>
      <c r="BQ11" s="294">
        <v>0</v>
      </c>
      <c r="BR11" s="294">
        <v>0</v>
      </c>
      <c r="BS11" s="294">
        <v>0</v>
      </c>
      <c r="BT11" s="295">
        <v>0</v>
      </c>
      <c r="BU11" s="294">
        <v>0</v>
      </c>
      <c r="BV11" s="294">
        <v>0</v>
      </c>
      <c r="BW11" s="294">
        <v>0</v>
      </c>
      <c r="BX11" s="295">
        <v>0</v>
      </c>
      <c r="BY11" s="294">
        <v>0</v>
      </c>
      <c r="BZ11" s="294">
        <v>0</v>
      </c>
      <c r="CA11" s="294">
        <v>0</v>
      </c>
      <c r="CB11" s="294">
        <v>0</v>
      </c>
    </row>
    <row r="12" spans="1:80" x14ac:dyDescent="0.35">
      <c r="A12" s="417"/>
      <c r="B12" s="75" t="s">
        <v>427</v>
      </c>
      <c r="C12" s="82" t="s">
        <v>119</v>
      </c>
      <c r="D12" s="77" t="s">
        <v>442</v>
      </c>
      <c r="E12" s="6">
        <v>0</v>
      </c>
      <c r="F12" s="300">
        <v>0</v>
      </c>
      <c r="G12" s="302" t="s">
        <v>430</v>
      </c>
      <c r="H12" s="302" t="s">
        <v>431</v>
      </c>
      <c r="I12" s="306">
        <v>0</v>
      </c>
      <c r="J12" s="314" t="str">
        <f>B34</f>
        <v>Reactant10</v>
      </c>
      <c r="K12" s="322">
        <v>0</v>
      </c>
      <c r="L12" s="322">
        <v>0</v>
      </c>
      <c r="M12" s="322">
        <v>0</v>
      </c>
      <c r="N12" s="322">
        <v>0</v>
      </c>
      <c r="O12" s="322">
        <v>0</v>
      </c>
      <c r="P12" s="295">
        <v>0</v>
      </c>
      <c r="Q12" s="296">
        <v>0</v>
      </c>
      <c r="R12" s="294">
        <v>0</v>
      </c>
      <c r="S12" s="294">
        <v>0</v>
      </c>
      <c r="T12" s="295">
        <v>0</v>
      </c>
      <c r="U12" s="294">
        <v>0</v>
      </c>
      <c r="V12" s="294">
        <v>0</v>
      </c>
      <c r="W12" s="294">
        <v>0</v>
      </c>
      <c r="X12" s="295">
        <v>0</v>
      </c>
      <c r="Y12" s="294">
        <v>0</v>
      </c>
      <c r="Z12" s="294">
        <v>0</v>
      </c>
      <c r="AA12" s="294">
        <v>0</v>
      </c>
      <c r="AB12" s="295">
        <v>0</v>
      </c>
      <c r="AC12" s="297">
        <v>0</v>
      </c>
      <c r="AD12" s="328">
        <v>0</v>
      </c>
      <c r="AE12" s="328">
        <v>0</v>
      </c>
      <c r="AF12" s="328">
        <v>0</v>
      </c>
      <c r="AG12" s="297">
        <v>0</v>
      </c>
      <c r="AH12" s="328">
        <v>0</v>
      </c>
      <c r="AI12" s="328">
        <v>0</v>
      </c>
      <c r="AJ12" s="328">
        <v>0</v>
      </c>
      <c r="AK12" s="297">
        <v>0</v>
      </c>
      <c r="AL12" s="328">
        <v>0</v>
      </c>
      <c r="AM12" s="328">
        <v>0</v>
      </c>
      <c r="AN12" s="357">
        <v>0</v>
      </c>
      <c r="AO12" s="331">
        <v>0</v>
      </c>
      <c r="AP12" s="331">
        <v>0</v>
      </c>
      <c r="AQ12" s="331">
        <v>0</v>
      </c>
      <c r="AR12" s="365">
        <v>0</v>
      </c>
      <c r="AS12" s="334">
        <v>0</v>
      </c>
      <c r="AT12" s="334">
        <v>0</v>
      </c>
      <c r="AU12" s="334">
        <v>0</v>
      </c>
      <c r="AV12" s="334">
        <v>0</v>
      </c>
      <c r="AW12" s="296">
        <v>0</v>
      </c>
      <c r="AX12" s="294">
        <v>0</v>
      </c>
      <c r="AY12" s="294">
        <v>0</v>
      </c>
      <c r="AZ12" s="294">
        <v>0</v>
      </c>
      <c r="BA12" s="298">
        <v>0</v>
      </c>
      <c r="BB12" s="331">
        <v>0</v>
      </c>
      <c r="BC12" s="331">
        <v>0</v>
      </c>
      <c r="BD12" s="331">
        <v>0</v>
      </c>
      <c r="BE12" s="296">
        <v>0</v>
      </c>
      <c r="BF12" s="294">
        <v>0</v>
      </c>
      <c r="BG12" s="294">
        <v>0</v>
      </c>
      <c r="BH12" s="295">
        <v>0</v>
      </c>
      <c r="BI12" s="294">
        <v>0</v>
      </c>
      <c r="BJ12" s="294">
        <v>0</v>
      </c>
      <c r="BK12" s="294">
        <v>0</v>
      </c>
      <c r="BL12" s="295">
        <v>0</v>
      </c>
      <c r="BM12" s="294">
        <v>0</v>
      </c>
      <c r="BN12" s="294">
        <v>0</v>
      </c>
      <c r="BO12" s="294">
        <v>0</v>
      </c>
      <c r="BP12" s="295">
        <v>0</v>
      </c>
      <c r="BQ12" s="294">
        <v>0</v>
      </c>
      <c r="BR12" s="294" t="str">
        <f>BR10</f>
        <v>[Threaded comment]Your version of Excel allows you to read this threaded comment; however, any edits to it will get removed if the file is opened in a newer version of Excel. Learn more: https://go.microsoft.com/fwlink/?linkid=870924Comment:    20 years lifetime assumed based on Technology Data-Energy Plants for Electricity and District heating generation, Tech rep. (2020)/ Bornholm report</v>
      </c>
      <c r="BS12" s="294">
        <v>0</v>
      </c>
      <c r="BT12" s="295">
        <v>0</v>
      </c>
      <c r="BU12" s="294">
        <v>0</v>
      </c>
      <c r="BV12" s="294">
        <v>0</v>
      </c>
      <c r="BW12" s="294">
        <v>0</v>
      </c>
      <c r="BX12" s="295">
        <v>0</v>
      </c>
      <c r="BY12" s="294">
        <v>0</v>
      </c>
      <c r="BZ12" s="294">
        <v>0</v>
      </c>
      <c r="CA12" s="294">
        <v>0</v>
      </c>
      <c r="CB12" s="294">
        <v>0</v>
      </c>
    </row>
    <row r="13" spans="1:80" s="69" customFormat="1" ht="14.5" customHeight="1" x14ac:dyDescent="0.35">
      <c r="A13" s="417"/>
      <c r="B13" s="66" t="s">
        <v>97</v>
      </c>
      <c r="C13" s="67" t="s">
        <v>180</v>
      </c>
      <c r="D13" s="68" t="s">
        <v>50</v>
      </c>
      <c r="E13" s="6">
        <v>0</v>
      </c>
      <c r="F13" s="102">
        <v>0</v>
      </c>
      <c r="G13" s="114" t="s">
        <v>369</v>
      </c>
      <c r="H13" s="114" t="s">
        <v>370</v>
      </c>
      <c r="I13" s="124">
        <v>0</v>
      </c>
      <c r="J13" s="315" t="str">
        <f>B15</f>
        <v>Product/Reactant5</v>
      </c>
      <c r="K13" s="124">
        <v>0</v>
      </c>
      <c r="L13" s="124">
        <v>0</v>
      </c>
      <c r="M13" s="124">
        <v>0</v>
      </c>
      <c r="N13" s="124">
        <v>0</v>
      </c>
      <c r="O13" s="124">
        <v>0</v>
      </c>
      <c r="P13" s="133">
        <v>0</v>
      </c>
      <c r="Q13" s="69" t="s">
        <v>186</v>
      </c>
      <c r="R13" s="69" t="s">
        <v>186</v>
      </c>
      <c r="S13" s="69" t="s">
        <v>186</v>
      </c>
      <c r="T13" s="133" t="s">
        <v>186</v>
      </c>
      <c r="U13" s="69">
        <v>0</v>
      </c>
      <c r="V13" s="69">
        <v>0</v>
      </c>
      <c r="W13" s="69">
        <v>0</v>
      </c>
      <c r="X13" s="133">
        <v>0</v>
      </c>
      <c r="Y13" s="69">
        <v>0</v>
      </c>
      <c r="Z13" s="69">
        <v>0</v>
      </c>
      <c r="AA13" s="69">
        <v>0</v>
      </c>
      <c r="AB13" s="133">
        <v>0</v>
      </c>
      <c r="AC13" s="71">
        <v>0</v>
      </c>
      <c r="AD13" s="71">
        <v>0</v>
      </c>
      <c r="AE13" s="71">
        <v>0</v>
      </c>
      <c r="AF13" s="142">
        <v>0</v>
      </c>
      <c r="AG13" s="71">
        <v>0</v>
      </c>
      <c r="AH13" s="71">
        <v>0</v>
      </c>
      <c r="AI13" s="71">
        <v>0</v>
      </c>
      <c r="AJ13" s="142">
        <v>0</v>
      </c>
      <c r="AK13" s="71">
        <v>0</v>
      </c>
      <c r="AL13" s="71">
        <v>0</v>
      </c>
      <c r="AM13" s="71">
        <v>0</v>
      </c>
      <c r="AN13" s="142">
        <v>0</v>
      </c>
      <c r="AO13" s="72">
        <v>0</v>
      </c>
      <c r="AP13" s="72">
        <v>0</v>
      </c>
      <c r="AQ13" s="72">
        <v>0</v>
      </c>
      <c r="AR13" s="148">
        <v>0</v>
      </c>
      <c r="AS13" s="69">
        <v>0</v>
      </c>
      <c r="AT13" s="69">
        <v>0</v>
      </c>
      <c r="AU13" s="69">
        <v>0</v>
      </c>
      <c r="AV13" s="133">
        <v>0</v>
      </c>
      <c r="AW13" s="69">
        <v>0</v>
      </c>
      <c r="AX13" s="69">
        <v>0</v>
      </c>
      <c r="AY13" s="69">
        <v>0</v>
      </c>
      <c r="AZ13" s="133">
        <v>0</v>
      </c>
      <c r="BA13" s="69">
        <v>0</v>
      </c>
      <c r="BB13" s="69">
        <v>0</v>
      </c>
      <c r="BC13" s="69">
        <v>0</v>
      </c>
      <c r="BD13" s="133">
        <v>0</v>
      </c>
      <c r="BE13" s="69">
        <v>0</v>
      </c>
      <c r="BF13" s="69">
        <v>0</v>
      </c>
      <c r="BG13" s="69">
        <v>0</v>
      </c>
      <c r="BH13" s="133">
        <v>0</v>
      </c>
      <c r="BI13" s="69">
        <v>0</v>
      </c>
      <c r="BJ13" s="69">
        <v>0</v>
      </c>
      <c r="BK13" s="69">
        <v>0</v>
      </c>
      <c r="BL13" s="133">
        <v>0</v>
      </c>
      <c r="BM13" s="69">
        <v>0</v>
      </c>
      <c r="BN13" s="69">
        <v>0</v>
      </c>
      <c r="BO13" s="69">
        <v>0</v>
      </c>
      <c r="BP13" s="133">
        <v>0</v>
      </c>
      <c r="BQ13" s="69">
        <v>0</v>
      </c>
      <c r="BR13" s="69">
        <v>0</v>
      </c>
      <c r="BS13" s="69">
        <v>0</v>
      </c>
      <c r="BT13" s="133">
        <v>0</v>
      </c>
      <c r="BU13" s="70">
        <v>0</v>
      </c>
      <c r="BV13" s="70">
        <v>0</v>
      </c>
      <c r="BW13" s="70">
        <v>0</v>
      </c>
      <c r="BX13" s="70">
        <v>0</v>
      </c>
      <c r="BY13" s="158">
        <v>0</v>
      </c>
      <c r="BZ13" s="158">
        <v>0</v>
      </c>
      <c r="CA13" s="158">
        <v>0</v>
      </c>
      <c r="CB13" s="158">
        <v>0</v>
      </c>
    </row>
    <row r="14" spans="1:80" s="69" customFormat="1" x14ac:dyDescent="0.35">
      <c r="A14" s="417"/>
      <c r="B14" s="66" t="s">
        <v>97</v>
      </c>
      <c r="C14" s="67" t="s">
        <v>180</v>
      </c>
      <c r="D14" s="68" t="s">
        <v>61</v>
      </c>
      <c r="E14" s="6">
        <v>0</v>
      </c>
      <c r="F14" s="102">
        <v>0</v>
      </c>
      <c r="G14" s="114" t="s">
        <v>369</v>
      </c>
      <c r="H14" s="114" t="s">
        <v>370</v>
      </c>
      <c r="I14" s="124">
        <v>0</v>
      </c>
      <c r="J14" s="315" t="str">
        <f>B15</f>
        <v>Product/Reactant5</v>
      </c>
      <c r="K14" s="124">
        <v>0</v>
      </c>
      <c r="L14" s="124">
        <v>0</v>
      </c>
      <c r="M14" s="124">
        <v>0</v>
      </c>
      <c r="N14" s="124">
        <v>0</v>
      </c>
      <c r="O14" s="124">
        <v>0</v>
      </c>
      <c r="P14" s="133">
        <v>0</v>
      </c>
      <c r="Q14" s="69" t="s">
        <v>186</v>
      </c>
      <c r="R14" s="69" t="s">
        <v>186</v>
      </c>
      <c r="S14" s="69" t="s">
        <v>186</v>
      </c>
      <c r="T14" s="133" t="s">
        <v>186</v>
      </c>
      <c r="U14" s="69">
        <v>0</v>
      </c>
      <c r="V14" s="69">
        <v>0</v>
      </c>
      <c r="W14" s="69">
        <v>0</v>
      </c>
      <c r="X14" s="133">
        <v>0</v>
      </c>
      <c r="Y14" s="69">
        <v>0</v>
      </c>
      <c r="Z14" s="69">
        <v>0</v>
      </c>
      <c r="AA14" s="69">
        <v>0</v>
      </c>
      <c r="AB14" s="133">
        <v>0</v>
      </c>
      <c r="AC14" s="71">
        <v>0</v>
      </c>
      <c r="AD14" s="71">
        <v>0</v>
      </c>
      <c r="AE14" s="71">
        <v>0</v>
      </c>
      <c r="AF14" s="142">
        <v>0</v>
      </c>
      <c r="AG14" s="71">
        <v>0</v>
      </c>
      <c r="AH14" s="71">
        <v>0</v>
      </c>
      <c r="AI14" s="71">
        <v>0</v>
      </c>
      <c r="AJ14" s="142">
        <v>0</v>
      </c>
      <c r="AK14" s="71">
        <v>0</v>
      </c>
      <c r="AL14" s="71">
        <v>0</v>
      </c>
      <c r="AM14" s="71">
        <v>0</v>
      </c>
      <c r="AN14" s="142">
        <v>0</v>
      </c>
      <c r="AO14" s="73">
        <v>0</v>
      </c>
      <c r="AP14" s="73">
        <v>0</v>
      </c>
      <c r="AQ14" s="73">
        <v>0</v>
      </c>
      <c r="AR14" s="149">
        <v>0</v>
      </c>
      <c r="AS14" s="73">
        <v>0</v>
      </c>
      <c r="AT14" s="73">
        <v>0</v>
      </c>
      <c r="AU14" s="73">
        <v>0</v>
      </c>
      <c r="AV14" s="149">
        <v>0</v>
      </c>
      <c r="AW14" s="73">
        <v>0</v>
      </c>
      <c r="AX14" s="73">
        <v>0</v>
      </c>
      <c r="AY14" s="73">
        <v>0</v>
      </c>
      <c r="AZ14" s="149">
        <v>0</v>
      </c>
      <c r="BA14" s="73">
        <v>0</v>
      </c>
      <c r="BB14" s="73">
        <v>0</v>
      </c>
      <c r="BC14" s="73">
        <v>0</v>
      </c>
      <c r="BD14" s="149">
        <v>0</v>
      </c>
      <c r="BE14" s="69">
        <v>0</v>
      </c>
      <c r="BF14" s="69">
        <v>0</v>
      </c>
      <c r="BG14" s="69">
        <v>0</v>
      </c>
      <c r="BH14" s="133">
        <v>0</v>
      </c>
      <c r="BI14" s="69">
        <v>0</v>
      </c>
      <c r="BJ14" s="69">
        <v>0</v>
      </c>
      <c r="BK14" s="69">
        <v>0</v>
      </c>
      <c r="BL14" s="133">
        <v>0</v>
      </c>
      <c r="BM14" s="69">
        <v>0</v>
      </c>
      <c r="BN14" s="69">
        <v>0</v>
      </c>
      <c r="BO14" s="69">
        <v>0</v>
      </c>
      <c r="BP14" s="133">
        <v>0</v>
      </c>
      <c r="BQ14" s="69">
        <v>0</v>
      </c>
      <c r="BR14" s="69">
        <v>0</v>
      </c>
      <c r="BS14" s="69">
        <v>0</v>
      </c>
      <c r="BT14" s="133">
        <v>0</v>
      </c>
      <c r="BU14" s="70">
        <v>0</v>
      </c>
      <c r="BV14" s="70">
        <v>0</v>
      </c>
      <c r="BW14" s="70">
        <v>0</v>
      </c>
      <c r="BX14" s="167">
        <v>0</v>
      </c>
      <c r="BY14" s="158">
        <v>0</v>
      </c>
      <c r="BZ14" s="158">
        <v>0</v>
      </c>
      <c r="CA14" s="158">
        <v>0</v>
      </c>
      <c r="CB14" s="158">
        <v>0</v>
      </c>
    </row>
    <row r="15" spans="1:80" s="69" customFormat="1" x14ac:dyDescent="0.35">
      <c r="A15" s="417"/>
      <c r="B15" s="66" t="s">
        <v>429</v>
      </c>
      <c r="C15" s="74" t="s">
        <v>119</v>
      </c>
      <c r="D15" s="68" t="s">
        <v>445</v>
      </c>
      <c r="E15" s="6">
        <v>0</v>
      </c>
      <c r="F15" s="102">
        <v>0</v>
      </c>
      <c r="G15" s="114" t="s">
        <v>371</v>
      </c>
      <c r="H15" s="114" t="s">
        <v>372</v>
      </c>
      <c r="I15" s="307">
        <v>0</v>
      </c>
      <c r="J15" s="315" t="str">
        <f>B34</f>
        <v>Reactant10</v>
      </c>
      <c r="K15" s="124">
        <v>0</v>
      </c>
      <c r="L15" s="124">
        <v>0</v>
      </c>
      <c r="M15" s="124">
        <v>0</v>
      </c>
      <c r="N15" s="124">
        <v>0</v>
      </c>
      <c r="O15" s="124">
        <v>0</v>
      </c>
      <c r="P15" s="133">
        <v>0</v>
      </c>
      <c r="Q15" s="69" t="s">
        <v>186</v>
      </c>
      <c r="R15" s="69" t="s">
        <v>186</v>
      </c>
      <c r="S15" s="69" t="s">
        <v>186</v>
      </c>
      <c r="T15" s="133" t="s">
        <v>186</v>
      </c>
      <c r="U15" s="69">
        <v>0</v>
      </c>
      <c r="V15" s="69">
        <v>0</v>
      </c>
      <c r="W15" s="69">
        <v>0</v>
      </c>
      <c r="X15" s="133">
        <v>0</v>
      </c>
      <c r="Y15" s="69">
        <v>0</v>
      </c>
      <c r="Z15" s="69">
        <v>0</v>
      </c>
      <c r="AA15" s="69">
        <v>0</v>
      </c>
      <c r="AB15" s="133">
        <v>0</v>
      </c>
      <c r="AC15" s="71" t="s">
        <v>186</v>
      </c>
      <c r="AD15" s="71" t="s">
        <v>186</v>
      </c>
      <c r="AE15" s="71" t="s">
        <v>186</v>
      </c>
      <c r="AF15" s="142" t="s">
        <v>186</v>
      </c>
      <c r="AG15" s="71" t="s">
        <v>207</v>
      </c>
      <c r="AH15" s="71" t="s">
        <v>186</v>
      </c>
      <c r="AI15" s="71" t="s">
        <v>186</v>
      </c>
      <c r="AJ15" s="142" t="s">
        <v>186</v>
      </c>
      <c r="AK15" s="71" t="s">
        <v>207</v>
      </c>
      <c r="AL15" s="71" t="s">
        <v>186</v>
      </c>
      <c r="AM15" s="71" t="s">
        <v>186</v>
      </c>
      <c r="AN15" s="142" t="s">
        <v>186</v>
      </c>
      <c r="AO15" s="72" t="s">
        <v>186</v>
      </c>
      <c r="AP15" s="72" t="s">
        <v>186</v>
      </c>
      <c r="AQ15" s="72" t="s">
        <v>186</v>
      </c>
      <c r="AR15" s="148" t="s">
        <v>186</v>
      </c>
      <c r="AS15" s="69" t="s">
        <v>345</v>
      </c>
      <c r="AT15" s="69" t="s">
        <v>345</v>
      </c>
      <c r="AU15" s="69" t="s">
        <v>345</v>
      </c>
      <c r="AV15" s="133" t="s">
        <v>345</v>
      </c>
      <c r="AW15" s="69" t="s">
        <v>250</v>
      </c>
      <c r="AX15" s="69" t="s">
        <v>250</v>
      </c>
      <c r="AY15" s="69" t="s">
        <v>250</v>
      </c>
      <c r="AZ15" s="133" t="s">
        <v>250</v>
      </c>
      <c r="BA15" s="73">
        <v>0</v>
      </c>
      <c r="BB15" s="73">
        <v>0</v>
      </c>
      <c r="BC15" s="73">
        <v>0</v>
      </c>
      <c r="BD15" s="149">
        <v>0</v>
      </c>
      <c r="BE15" s="69">
        <v>0</v>
      </c>
      <c r="BF15" s="69">
        <v>0</v>
      </c>
      <c r="BG15" s="69">
        <v>0</v>
      </c>
      <c r="BH15" s="133">
        <v>0</v>
      </c>
      <c r="BI15" s="69">
        <v>0</v>
      </c>
      <c r="BJ15" s="69">
        <v>0</v>
      </c>
      <c r="BK15" s="69">
        <v>0</v>
      </c>
      <c r="BL15" s="133">
        <v>0</v>
      </c>
      <c r="BM15" s="69">
        <v>0</v>
      </c>
      <c r="BN15" s="69">
        <v>0</v>
      </c>
      <c r="BO15" s="69">
        <v>0</v>
      </c>
      <c r="BP15" s="133">
        <v>0</v>
      </c>
      <c r="BQ15" s="69" t="s">
        <v>257</v>
      </c>
      <c r="BR15" s="69" t="s">
        <v>257</v>
      </c>
      <c r="BS15" s="69" t="s">
        <v>257</v>
      </c>
      <c r="BT15" s="133" t="s">
        <v>257</v>
      </c>
      <c r="BU15" s="70">
        <v>0</v>
      </c>
      <c r="BV15" s="70">
        <v>0</v>
      </c>
      <c r="BW15" s="70">
        <v>0</v>
      </c>
      <c r="BX15" s="167">
        <v>0</v>
      </c>
      <c r="BY15" s="158">
        <v>0</v>
      </c>
      <c r="BZ15" s="158">
        <v>0</v>
      </c>
      <c r="CA15" s="158">
        <v>0</v>
      </c>
      <c r="CB15" s="158">
        <v>0</v>
      </c>
    </row>
    <row r="16" spans="1:80" s="47" customFormat="1" x14ac:dyDescent="0.35">
      <c r="A16" s="417"/>
      <c r="B16" s="43" t="s">
        <v>97</v>
      </c>
      <c r="C16" s="44" t="s">
        <v>180</v>
      </c>
      <c r="D16" s="45" t="s">
        <v>292</v>
      </c>
      <c r="E16" s="6">
        <v>0</v>
      </c>
      <c r="F16" s="103">
        <v>0</v>
      </c>
      <c r="G16" s="115" t="s">
        <v>393</v>
      </c>
      <c r="H16" s="115" t="s">
        <v>394</v>
      </c>
      <c r="I16" s="308">
        <v>0</v>
      </c>
      <c r="J16" s="316" t="str">
        <f>B17</f>
        <v>Product/Reactant6</v>
      </c>
      <c r="K16" s="128">
        <v>0</v>
      </c>
      <c r="L16" s="128">
        <v>0</v>
      </c>
      <c r="M16" s="128">
        <v>0</v>
      </c>
      <c r="N16" s="128">
        <v>0</v>
      </c>
      <c r="O16" s="128">
        <v>0</v>
      </c>
      <c r="P16" s="157">
        <v>0</v>
      </c>
      <c r="Q16" s="48" t="s">
        <v>346</v>
      </c>
      <c r="R16" s="48" t="s">
        <v>346</v>
      </c>
      <c r="S16" s="48" t="s">
        <v>346</v>
      </c>
      <c r="T16" s="134" t="s">
        <v>346</v>
      </c>
      <c r="U16" s="49">
        <v>0</v>
      </c>
      <c r="V16" s="49">
        <v>0</v>
      </c>
      <c r="W16" s="49">
        <v>0</v>
      </c>
      <c r="X16" s="139">
        <v>0</v>
      </c>
      <c r="Y16" s="49">
        <v>0</v>
      </c>
      <c r="Z16" s="49">
        <v>0</v>
      </c>
      <c r="AA16" s="49">
        <v>0</v>
      </c>
      <c r="AB16" s="139">
        <v>0</v>
      </c>
      <c r="AC16" s="50">
        <v>0</v>
      </c>
      <c r="AD16" s="50">
        <v>0</v>
      </c>
      <c r="AE16" s="50">
        <v>0</v>
      </c>
      <c r="AF16" s="143">
        <v>0</v>
      </c>
      <c r="AG16" s="50">
        <v>0</v>
      </c>
      <c r="AH16" s="50">
        <v>0</v>
      </c>
      <c r="AI16" s="50">
        <v>0</v>
      </c>
      <c r="AJ16" s="143">
        <v>0</v>
      </c>
      <c r="AK16" s="50">
        <v>0</v>
      </c>
      <c r="AL16" s="50">
        <v>0</v>
      </c>
      <c r="AM16" s="50">
        <v>0</v>
      </c>
      <c r="AN16" s="143">
        <v>0</v>
      </c>
      <c r="AO16" s="53">
        <v>0</v>
      </c>
      <c r="AP16" s="53">
        <v>0</v>
      </c>
      <c r="AQ16" s="53">
        <v>0</v>
      </c>
      <c r="AR16" s="150">
        <v>0</v>
      </c>
      <c r="AS16" s="53">
        <v>0</v>
      </c>
      <c r="AT16" s="53">
        <v>0</v>
      </c>
      <c r="AU16" s="53">
        <v>0</v>
      </c>
      <c r="AV16" s="150">
        <v>0</v>
      </c>
      <c r="AW16" s="53">
        <v>0</v>
      </c>
      <c r="AX16" s="53">
        <v>0</v>
      </c>
      <c r="AY16" s="53">
        <v>0</v>
      </c>
      <c r="AZ16" s="150">
        <v>0</v>
      </c>
      <c r="BA16" s="54">
        <v>0</v>
      </c>
      <c r="BB16" s="54">
        <v>0</v>
      </c>
      <c r="BC16" s="54">
        <v>0</v>
      </c>
      <c r="BD16" s="156">
        <v>0</v>
      </c>
      <c r="BE16" s="47">
        <v>0</v>
      </c>
      <c r="BF16" s="47">
        <v>0</v>
      </c>
      <c r="BG16" s="47">
        <v>0</v>
      </c>
      <c r="BH16" s="157">
        <v>0</v>
      </c>
      <c r="BI16" s="47">
        <v>0</v>
      </c>
      <c r="BJ16" s="47">
        <v>0</v>
      </c>
      <c r="BK16" s="47">
        <v>0</v>
      </c>
      <c r="BL16" s="157">
        <v>0</v>
      </c>
      <c r="BM16" s="47">
        <v>0</v>
      </c>
      <c r="BN16" s="47">
        <v>0</v>
      </c>
      <c r="BO16" s="47">
        <v>0</v>
      </c>
      <c r="BP16" s="157">
        <v>0</v>
      </c>
      <c r="BQ16" s="47">
        <v>0</v>
      </c>
      <c r="BR16" s="47">
        <v>0</v>
      </c>
      <c r="BS16" s="47">
        <v>0</v>
      </c>
      <c r="BT16" s="157">
        <v>0</v>
      </c>
      <c r="BU16" s="46">
        <v>0</v>
      </c>
      <c r="BV16" s="46">
        <v>0</v>
      </c>
      <c r="BW16" s="46">
        <v>0</v>
      </c>
      <c r="BX16" s="168">
        <v>0</v>
      </c>
      <c r="BY16" s="50">
        <v>0</v>
      </c>
      <c r="BZ16" s="50">
        <v>0</v>
      </c>
      <c r="CA16" s="50">
        <v>0</v>
      </c>
      <c r="CB16" s="50">
        <v>0</v>
      </c>
    </row>
    <row r="17" spans="1:80" s="47" customFormat="1" x14ac:dyDescent="0.35">
      <c r="A17" s="417"/>
      <c r="B17" s="43" t="s">
        <v>432</v>
      </c>
      <c r="C17" s="44" t="s">
        <v>119</v>
      </c>
      <c r="D17" s="45" t="s">
        <v>291</v>
      </c>
      <c r="E17" s="6">
        <v>0</v>
      </c>
      <c r="F17" s="103">
        <v>0</v>
      </c>
      <c r="G17" s="115" t="s">
        <v>371</v>
      </c>
      <c r="H17" s="115" t="s">
        <v>372</v>
      </c>
      <c r="I17" s="308">
        <v>0</v>
      </c>
      <c r="J17" s="316" t="str">
        <f>B34</f>
        <v>Reactant10</v>
      </c>
      <c r="K17" s="128">
        <v>0</v>
      </c>
      <c r="L17" s="128">
        <v>0</v>
      </c>
      <c r="M17" s="128">
        <v>0</v>
      </c>
      <c r="N17" s="128">
        <v>0</v>
      </c>
      <c r="O17" s="128">
        <v>0</v>
      </c>
      <c r="P17" s="157">
        <v>0</v>
      </c>
      <c r="Q17" s="48" t="s">
        <v>346</v>
      </c>
      <c r="R17" s="48" t="s">
        <v>346</v>
      </c>
      <c r="S17" s="48" t="s">
        <v>346</v>
      </c>
      <c r="T17" s="134" t="s">
        <v>346</v>
      </c>
      <c r="U17" s="49">
        <v>0</v>
      </c>
      <c r="V17" s="49">
        <v>0</v>
      </c>
      <c r="W17" s="49">
        <v>0</v>
      </c>
      <c r="X17" s="139">
        <v>0</v>
      </c>
      <c r="Y17" s="49">
        <v>0</v>
      </c>
      <c r="Z17" s="49">
        <v>0</v>
      </c>
      <c r="AA17" s="49">
        <v>0</v>
      </c>
      <c r="AB17" s="139">
        <v>0</v>
      </c>
      <c r="AC17" s="50" t="s">
        <v>186</v>
      </c>
      <c r="AD17" s="50" t="s">
        <v>186</v>
      </c>
      <c r="AE17" s="50" t="s">
        <v>186</v>
      </c>
      <c r="AF17" s="143" t="s">
        <v>186</v>
      </c>
      <c r="AG17" s="50" t="s">
        <v>207</v>
      </c>
      <c r="AH17" s="50" t="s">
        <v>186</v>
      </c>
      <c r="AI17" s="50" t="s">
        <v>186</v>
      </c>
      <c r="AJ17" s="143" t="s">
        <v>186</v>
      </c>
      <c r="AK17" s="50" t="s">
        <v>207</v>
      </c>
      <c r="AL17" s="50" t="s">
        <v>186</v>
      </c>
      <c r="AM17" s="50" t="s">
        <v>186</v>
      </c>
      <c r="AN17" s="143" t="s">
        <v>186</v>
      </c>
      <c r="AO17" s="51" t="s">
        <v>346</v>
      </c>
      <c r="AP17" s="51" t="s">
        <v>346</v>
      </c>
      <c r="AQ17" s="51" t="s">
        <v>346</v>
      </c>
      <c r="AR17" s="151" t="s">
        <v>346</v>
      </c>
      <c r="AS17" s="52" t="s">
        <v>346</v>
      </c>
      <c r="AT17" s="52" t="s">
        <v>346</v>
      </c>
      <c r="AU17" s="52" t="s">
        <v>346</v>
      </c>
      <c r="AV17" s="155" t="s">
        <v>346</v>
      </c>
      <c r="AW17" s="53" t="s">
        <v>347</v>
      </c>
      <c r="AX17" s="53" t="s">
        <v>347</v>
      </c>
      <c r="AY17" s="53" t="s">
        <v>347</v>
      </c>
      <c r="AZ17" s="150" t="s">
        <v>347</v>
      </c>
      <c r="BA17" s="54">
        <v>0</v>
      </c>
      <c r="BB17" s="54">
        <v>0</v>
      </c>
      <c r="BC17" s="54">
        <v>0</v>
      </c>
      <c r="BD17" s="156">
        <v>0</v>
      </c>
      <c r="BE17" s="47">
        <v>0</v>
      </c>
      <c r="BF17" s="47">
        <v>0</v>
      </c>
      <c r="BG17" s="47">
        <v>0</v>
      </c>
      <c r="BH17" s="157">
        <v>0</v>
      </c>
      <c r="BI17" s="47">
        <v>0</v>
      </c>
      <c r="BJ17" s="47">
        <v>0</v>
      </c>
      <c r="BK17" s="47">
        <v>0</v>
      </c>
      <c r="BL17" s="157">
        <v>0</v>
      </c>
      <c r="BM17" s="47">
        <v>0</v>
      </c>
      <c r="BN17" s="47">
        <v>0</v>
      </c>
      <c r="BO17" s="47">
        <v>0</v>
      </c>
      <c r="BP17" s="157">
        <v>0</v>
      </c>
      <c r="BQ17" s="47" t="s">
        <v>257</v>
      </c>
      <c r="BR17" s="47" t="s">
        <v>257</v>
      </c>
      <c r="BS17" s="47" t="s">
        <v>257</v>
      </c>
      <c r="BT17" s="157" t="s">
        <v>257</v>
      </c>
      <c r="BU17" s="46">
        <v>0</v>
      </c>
      <c r="BV17" s="46">
        <v>0</v>
      </c>
      <c r="BW17" s="46">
        <v>0</v>
      </c>
      <c r="BX17" s="168">
        <v>0</v>
      </c>
      <c r="BY17" s="50">
        <v>0</v>
      </c>
      <c r="BZ17" s="50">
        <v>0</v>
      </c>
      <c r="CA17" s="50">
        <v>0</v>
      </c>
      <c r="CB17" s="50">
        <v>0</v>
      </c>
    </row>
    <row r="18" spans="1:80" s="59" customFormat="1" x14ac:dyDescent="0.35">
      <c r="A18" s="417"/>
      <c r="B18" s="55" t="s">
        <v>97</v>
      </c>
      <c r="C18" s="56" t="s">
        <v>281</v>
      </c>
      <c r="D18" s="57" t="s">
        <v>293</v>
      </c>
      <c r="E18" s="6">
        <v>0</v>
      </c>
      <c r="F18" s="104">
        <v>0</v>
      </c>
      <c r="G18" s="116" t="s">
        <v>377</v>
      </c>
      <c r="H18" s="116" t="s">
        <v>378</v>
      </c>
      <c r="I18" s="125">
        <v>0</v>
      </c>
      <c r="J18" s="317" t="str">
        <f>B20</f>
        <v>Product/Reactant7</v>
      </c>
      <c r="K18" s="125">
        <v>0</v>
      </c>
      <c r="L18" s="125">
        <v>0</v>
      </c>
      <c r="M18" s="125">
        <v>0</v>
      </c>
      <c r="N18" s="125">
        <v>0</v>
      </c>
      <c r="O18" s="125">
        <v>0</v>
      </c>
      <c r="P18" s="135">
        <v>0</v>
      </c>
      <c r="Q18" s="59" t="s">
        <v>275</v>
      </c>
      <c r="R18" s="59" t="s">
        <v>275</v>
      </c>
      <c r="S18" s="59" t="s">
        <v>275</v>
      </c>
      <c r="T18" s="135" t="s">
        <v>275</v>
      </c>
      <c r="U18" s="59">
        <v>0</v>
      </c>
      <c r="V18" s="59">
        <v>0</v>
      </c>
      <c r="W18" s="59">
        <v>0</v>
      </c>
      <c r="X18" s="135">
        <v>0</v>
      </c>
      <c r="Y18" s="59">
        <v>0</v>
      </c>
      <c r="Z18" s="59">
        <v>0</v>
      </c>
      <c r="AA18" s="59">
        <v>0</v>
      </c>
      <c r="AB18" s="135">
        <v>0</v>
      </c>
      <c r="AC18" s="60">
        <v>0</v>
      </c>
      <c r="AD18" s="60">
        <v>0</v>
      </c>
      <c r="AE18" s="60">
        <v>0</v>
      </c>
      <c r="AF18" s="144">
        <v>0</v>
      </c>
      <c r="AG18" s="60">
        <v>0</v>
      </c>
      <c r="AH18" s="60">
        <v>0</v>
      </c>
      <c r="AI18" s="60">
        <v>0</v>
      </c>
      <c r="AJ18" s="144">
        <v>0</v>
      </c>
      <c r="AK18" s="60">
        <v>0</v>
      </c>
      <c r="AL18" s="60">
        <v>0</v>
      </c>
      <c r="AM18" s="60">
        <v>0</v>
      </c>
      <c r="AN18" s="144">
        <v>0</v>
      </c>
      <c r="AO18" s="61">
        <v>0</v>
      </c>
      <c r="AP18" s="61">
        <v>0</v>
      </c>
      <c r="AQ18" s="61">
        <v>0</v>
      </c>
      <c r="AR18" s="152">
        <v>0</v>
      </c>
      <c r="AS18" s="59">
        <v>0</v>
      </c>
      <c r="AT18" s="59">
        <v>0</v>
      </c>
      <c r="AU18" s="59">
        <v>0</v>
      </c>
      <c r="AV18" s="135">
        <v>0</v>
      </c>
      <c r="AW18" s="59">
        <v>0</v>
      </c>
      <c r="AX18" s="59">
        <v>0</v>
      </c>
      <c r="AY18" s="59">
        <v>0</v>
      </c>
      <c r="AZ18" s="135">
        <v>0</v>
      </c>
      <c r="BA18" s="59">
        <v>0</v>
      </c>
      <c r="BB18" s="59">
        <v>0</v>
      </c>
      <c r="BC18" s="59">
        <v>0</v>
      </c>
      <c r="BD18" s="135">
        <v>0</v>
      </c>
      <c r="BE18" s="59">
        <v>0</v>
      </c>
      <c r="BF18" s="59">
        <v>0</v>
      </c>
      <c r="BG18" s="59">
        <v>0</v>
      </c>
      <c r="BH18" s="135">
        <v>0</v>
      </c>
      <c r="BI18" s="59">
        <v>0</v>
      </c>
      <c r="BJ18" s="59">
        <v>0</v>
      </c>
      <c r="BK18" s="59">
        <v>0</v>
      </c>
      <c r="BL18" s="135">
        <v>0</v>
      </c>
      <c r="BM18" s="59" t="s">
        <v>348</v>
      </c>
      <c r="BN18" s="59" t="s">
        <v>348</v>
      </c>
      <c r="BO18" s="59" t="s">
        <v>348</v>
      </c>
      <c r="BP18" s="135" t="s">
        <v>348</v>
      </c>
      <c r="BQ18" s="59">
        <v>0</v>
      </c>
      <c r="BR18" s="59">
        <v>0</v>
      </c>
      <c r="BS18" s="59">
        <v>0</v>
      </c>
      <c r="BT18" s="135">
        <v>0</v>
      </c>
      <c r="BU18" s="58">
        <v>0</v>
      </c>
      <c r="BV18" s="58">
        <v>0</v>
      </c>
      <c r="BW18" s="58">
        <v>0</v>
      </c>
      <c r="BX18" s="162">
        <v>0</v>
      </c>
      <c r="BY18" s="60">
        <v>0</v>
      </c>
      <c r="BZ18" s="60">
        <v>0</v>
      </c>
      <c r="CA18" s="60">
        <v>0</v>
      </c>
      <c r="CB18" s="60">
        <v>0</v>
      </c>
    </row>
    <row r="19" spans="1:80" s="59" customFormat="1" x14ac:dyDescent="0.35">
      <c r="A19" s="417"/>
      <c r="B19" s="55" t="s">
        <v>97</v>
      </c>
      <c r="C19" s="62" t="s">
        <v>180</v>
      </c>
      <c r="D19" s="57" t="s">
        <v>298</v>
      </c>
      <c r="E19" s="6">
        <v>0</v>
      </c>
      <c r="F19" s="104">
        <v>0</v>
      </c>
      <c r="G19" s="116" t="s">
        <v>395</v>
      </c>
      <c r="H19" s="116" t="s">
        <v>398</v>
      </c>
      <c r="I19" s="125">
        <v>0</v>
      </c>
      <c r="J19" s="317" t="str">
        <f>B20</f>
        <v>Product/Reactant7</v>
      </c>
      <c r="K19" s="125">
        <v>0</v>
      </c>
      <c r="L19" s="125">
        <v>0</v>
      </c>
      <c r="M19" s="125">
        <v>0</v>
      </c>
      <c r="N19" s="125">
        <v>0</v>
      </c>
      <c r="O19" s="125">
        <v>0</v>
      </c>
      <c r="P19" s="135">
        <v>0</v>
      </c>
      <c r="Q19" s="59" t="s">
        <v>349</v>
      </c>
      <c r="R19" s="59" t="s">
        <v>349</v>
      </c>
      <c r="S19" s="59" t="s">
        <v>349</v>
      </c>
      <c r="T19" s="135" t="s">
        <v>349</v>
      </c>
      <c r="U19" s="59">
        <v>0</v>
      </c>
      <c r="V19" s="59">
        <v>0</v>
      </c>
      <c r="W19" s="59">
        <v>0</v>
      </c>
      <c r="X19" s="135">
        <v>0</v>
      </c>
      <c r="Y19" s="59">
        <v>0</v>
      </c>
      <c r="Z19" s="59">
        <v>0</v>
      </c>
      <c r="AA19" s="59">
        <v>0</v>
      </c>
      <c r="AB19" s="135">
        <v>0</v>
      </c>
      <c r="AC19" s="60">
        <v>0</v>
      </c>
      <c r="AD19" s="60">
        <v>0</v>
      </c>
      <c r="AE19" s="60">
        <v>0</v>
      </c>
      <c r="AF19" s="144">
        <v>0</v>
      </c>
      <c r="AG19" s="60">
        <v>0</v>
      </c>
      <c r="AH19" s="60">
        <v>0</v>
      </c>
      <c r="AI19" s="60">
        <v>0</v>
      </c>
      <c r="AJ19" s="144">
        <v>0</v>
      </c>
      <c r="AK19" s="60">
        <v>0</v>
      </c>
      <c r="AL19" s="60">
        <v>0</v>
      </c>
      <c r="AM19" s="60">
        <v>0</v>
      </c>
      <c r="AN19" s="144">
        <v>0</v>
      </c>
      <c r="AO19" s="61">
        <v>0</v>
      </c>
      <c r="AP19" s="61">
        <v>0</v>
      </c>
      <c r="AQ19" s="61">
        <v>0</v>
      </c>
      <c r="AR19" s="152">
        <v>0</v>
      </c>
      <c r="AS19" s="59">
        <v>0</v>
      </c>
      <c r="AT19" s="59">
        <v>0</v>
      </c>
      <c r="AU19" s="59">
        <v>0</v>
      </c>
      <c r="AV19" s="135">
        <v>0</v>
      </c>
      <c r="AW19" s="59">
        <v>0</v>
      </c>
      <c r="AX19" s="59">
        <v>0</v>
      </c>
      <c r="AY19" s="59">
        <v>0</v>
      </c>
      <c r="AZ19" s="135">
        <v>0</v>
      </c>
      <c r="BA19" s="59">
        <v>0</v>
      </c>
      <c r="BB19" s="59">
        <v>0</v>
      </c>
      <c r="BC19" s="59">
        <v>0</v>
      </c>
      <c r="BD19" s="135">
        <v>0</v>
      </c>
      <c r="BE19" s="59">
        <v>0</v>
      </c>
      <c r="BF19" s="59">
        <v>0</v>
      </c>
      <c r="BG19" s="59">
        <v>0</v>
      </c>
      <c r="BH19" s="135">
        <v>0</v>
      </c>
      <c r="BI19" s="59">
        <v>0</v>
      </c>
      <c r="BJ19" s="59">
        <v>0</v>
      </c>
      <c r="BK19" s="59">
        <v>0</v>
      </c>
      <c r="BL19" s="135">
        <v>0</v>
      </c>
      <c r="BM19" s="59">
        <v>0</v>
      </c>
      <c r="BN19" s="59">
        <v>0</v>
      </c>
      <c r="BO19" s="59">
        <v>0</v>
      </c>
      <c r="BP19" s="135">
        <v>0</v>
      </c>
      <c r="BQ19" s="59">
        <v>0</v>
      </c>
      <c r="BR19" s="59">
        <v>0</v>
      </c>
      <c r="BS19" s="59">
        <v>0</v>
      </c>
      <c r="BT19" s="135">
        <v>0</v>
      </c>
      <c r="BU19" s="58">
        <v>0</v>
      </c>
      <c r="BV19" s="58">
        <v>0</v>
      </c>
      <c r="BW19" s="58">
        <v>0</v>
      </c>
      <c r="BX19" s="162">
        <v>0</v>
      </c>
      <c r="BY19" s="60">
        <v>0</v>
      </c>
      <c r="BZ19" s="60">
        <v>0</v>
      </c>
      <c r="CA19" s="60">
        <v>0</v>
      </c>
      <c r="CB19" s="60">
        <v>0</v>
      </c>
    </row>
    <row r="20" spans="1:80" s="59" customFormat="1" x14ac:dyDescent="0.35">
      <c r="A20" s="417"/>
      <c r="B20" s="55" t="s">
        <v>433</v>
      </c>
      <c r="C20" s="62" t="s">
        <v>180</v>
      </c>
      <c r="D20" s="57" t="s">
        <v>294</v>
      </c>
      <c r="E20" s="6">
        <v>0</v>
      </c>
      <c r="F20" s="104">
        <v>0</v>
      </c>
      <c r="G20" s="116" t="s">
        <v>393</v>
      </c>
      <c r="H20" s="116" t="s">
        <v>394</v>
      </c>
      <c r="I20" s="309">
        <v>0</v>
      </c>
      <c r="J20" s="317" t="str">
        <f>B21</f>
        <v>Product/Reactant8</v>
      </c>
      <c r="K20" s="125">
        <v>0</v>
      </c>
      <c r="L20" s="125">
        <v>0</v>
      </c>
      <c r="M20" s="125">
        <v>0</v>
      </c>
      <c r="N20" s="125">
        <v>0</v>
      </c>
      <c r="O20" s="125">
        <v>0</v>
      </c>
      <c r="P20" s="135">
        <v>0</v>
      </c>
      <c r="Q20" s="59" t="s">
        <v>349</v>
      </c>
      <c r="R20" s="59" t="s">
        <v>349</v>
      </c>
      <c r="S20" s="59" t="s">
        <v>349</v>
      </c>
      <c r="T20" s="135" t="s">
        <v>349</v>
      </c>
      <c r="U20" s="63" t="s">
        <v>349</v>
      </c>
      <c r="V20" s="63" t="s">
        <v>349</v>
      </c>
      <c r="W20" s="63" t="s">
        <v>349</v>
      </c>
      <c r="X20" s="140" t="s">
        <v>349</v>
      </c>
      <c r="Y20" s="59">
        <v>0</v>
      </c>
      <c r="Z20" s="59">
        <v>0</v>
      </c>
      <c r="AA20" s="59">
        <v>0</v>
      </c>
      <c r="AB20" s="135">
        <v>0</v>
      </c>
      <c r="AC20" s="60">
        <v>0</v>
      </c>
      <c r="AD20" s="60">
        <v>0</v>
      </c>
      <c r="AE20" s="60">
        <v>0</v>
      </c>
      <c r="AF20" s="144">
        <v>0</v>
      </c>
      <c r="AG20" s="60">
        <v>0</v>
      </c>
      <c r="AH20" s="60">
        <v>0</v>
      </c>
      <c r="AI20" s="60">
        <v>0</v>
      </c>
      <c r="AJ20" s="144">
        <v>0</v>
      </c>
      <c r="AK20" s="60">
        <v>0</v>
      </c>
      <c r="AL20" s="60">
        <v>0</v>
      </c>
      <c r="AM20" s="60">
        <v>0</v>
      </c>
      <c r="AN20" s="144">
        <v>0</v>
      </c>
      <c r="AO20" s="64" t="s">
        <v>349</v>
      </c>
      <c r="AP20" s="64" t="s">
        <v>349</v>
      </c>
      <c r="AQ20" s="64" t="s">
        <v>349</v>
      </c>
      <c r="AR20" s="153" t="s">
        <v>349</v>
      </c>
      <c r="AS20" s="59" t="s">
        <v>349</v>
      </c>
      <c r="AT20" s="59" t="s">
        <v>349</v>
      </c>
      <c r="AU20" s="59" t="s">
        <v>349</v>
      </c>
      <c r="AV20" s="135" t="s">
        <v>349</v>
      </c>
      <c r="AW20" s="59" t="s">
        <v>349</v>
      </c>
      <c r="AX20" s="59" t="s">
        <v>349</v>
      </c>
      <c r="AY20" s="59" t="s">
        <v>349</v>
      </c>
      <c r="AZ20" s="135" t="s">
        <v>349</v>
      </c>
      <c r="BA20" s="59">
        <v>0</v>
      </c>
      <c r="BB20" s="59">
        <v>0</v>
      </c>
      <c r="BC20" s="59">
        <v>0</v>
      </c>
      <c r="BD20" s="135">
        <v>0</v>
      </c>
      <c r="BE20" s="59">
        <v>0</v>
      </c>
      <c r="BF20" s="59">
        <v>0</v>
      </c>
      <c r="BG20" s="59">
        <v>0</v>
      </c>
      <c r="BH20" s="135">
        <v>0</v>
      </c>
      <c r="BI20" s="59">
        <v>0</v>
      </c>
      <c r="BJ20" s="59">
        <v>0</v>
      </c>
      <c r="BK20" s="59">
        <v>0</v>
      </c>
      <c r="BL20" s="135">
        <v>0</v>
      </c>
      <c r="BM20" s="59">
        <v>0</v>
      </c>
      <c r="BN20" s="59">
        <v>0</v>
      </c>
      <c r="BO20" s="59">
        <v>0</v>
      </c>
      <c r="BP20" s="135">
        <v>0</v>
      </c>
      <c r="BQ20" s="59">
        <v>0</v>
      </c>
      <c r="BR20" s="59">
        <v>0</v>
      </c>
      <c r="BS20" s="59">
        <v>0</v>
      </c>
      <c r="BT20" s="135">
        <v>0</v>
      </c>
      <c r="BU20" s="58" t="s">
        <v>350</v>
      </c>
      <c r="BV20" s="58" t="s">
        <v>350</v>
      </c>
      <c r="BW20" s="58" t="s">
        <v>350</v>
      </c>
      <c r="BX20" s="162" t="s">
        <v>350</v>
      </c>
      <c r="BY20" s="60">
        <v>0</v>
      </c>
      <c r="BZ20" s="60">
        <v>0</v>
      </c>
      <c r="CA20" s="60">
        <v>0</v>
      </c>
      <c r="CB20" s="60">
        <v>0</v>
      </c>
    </row>
    <row r="21" spans="1:80" s="59" customFormat="1" x14ac:dyDescent="0.35">
      <c r="A21" s="417"/>
      <c r="B21" s="55" t="s">
        <v>434</v>
      </c>
      <c r="C21" s="56" t="s">
        <v>119</v>
      </c>
      <c r="D21" s="57" t="s">
        <v>297</v>
      </c>
      <c r="E21" s="6">
        <v>0</v>
      </c>
      <c r="F21" s="104">
        <v>0</v>
      </c>
      <c r="G21" s="116" t="s">
        <v>396</v>
      </c>
      <c r="H21" s="116" t="s">
        <v>397</v>
      </c>
      <c r="I21" s="309">
        <v>0</v>
      </c>
      <c r="J21" s="317" t="str">
        <f>B34</f>
        <v>Reactant10</v>
      </c>
      <c r="K21" s="125">
        <v>0</v>
      </c>
      <c r="L21" s="125">
        <v>0</v>
      </c>
      <c r="M21" s="125">
        <v>0</v>
      </c>
      <c r="N21" s="125">
        <v>0</v>
      </c>
      <c r="O21" s="125">
        <v>0</v>
      </c>
      <c r="P21" s="135">
        <v>0</v>
      </c>
      <c r="Q21" s="59" t="s">
        <v>349</v>
      </c>
      <c r="R21" s="59" t="s">
        <v>349</v>
      </c>
      <c r="S21" s="59" t="s">
        <v>349</v>
      </c>
      <c r="T21" s="135" t="s">
        <v>349</v>
      </c>
      <c r="U21" s="59">
        <v>0</v>
      </c>
      <c r="V21" s="59">
        <v>0</v>
      </c>
      <c r="W21" s="59">
        <v>0</v>
      </c>
      <c r="X21" s="135">
        <v>0</v>
      </c>
      <c r="Y21" s="59">
        <v>0</v>
      </c>
      <c r="Z21" s="59">
        <v>0</v>
      </c>
      <c r="AA21" s="59">
        <v>0</v>
      </c>
      <c r="AB21" s="135">
        <v>0</v>
      </c>
      <c r="AC21" s="60">
        <v>0</v>
      </c>
      <c r="AD21" s="60">
        <v>0</v>
      </c>
      <c r="AE21" s="60">
        <v>0</v>
      </c>
      <c r="AF21" s="144">
        <v>0</v>
      </c>
      <c r="AG21" s="60">
        <v>0</v>
      </c>
      <c r="AH21" s="60">
        <v>0</v>
      </c>
      <c r="AI21" s="60">
        <v>0</v>
      </c>
      <c r="AJ21" s="144">
        <v>0</v>
      </c>
      <c r="AK21" s="60">
        <v>0</v>
      </c>
      <c r="AL21" s="60">
        <v>0</v>
      </c>
      <c r="AM21" s="60">
        <v>0</v>
      </c>
      <c r="AN21" s="144">
        <v>0</v>
      </c>
      <c r="AO21" s="61" t="s">
        <v>349</v>
      </c>
      <c r="AP21" s="61" t="s">
        <v>349</v>
      </c>
      <c r="AQ21" s="61" t="s">
        <v>349</v>
      </c>
      <c r="AR21" s="152" t="s">
        <v>349</v>
      </c>
      <c r="AS21" s="59" t="s">
        <v>349</v>
      </c>
      <c r="AT21" s="59" t="s">
        <v>349</v>
      </c>
      <c r="AU21" s="59" t="s">
        <v>349</v>
      </c>
      <c r="AV21" s="135" t="s">
        <v>349</v>
      </c>
      <c r="AW21" s="59" t="s">
        <v>349</v>
      </c>
      <c r="AX21" s="59" t="s">
        <v>349</v>
      </c>
      <c r="AY21" s="59" t="s">
        <v>349</v>
      </c>
      <c r="AZ21" s="135" t="s">
        <v>349</v>
      </c>
      <c r="BA21" s="59">
        <v>0</v>
      </c>
      <c r="BB21" s="59">
        <v>0</v>
      </c>
      <c r="BC21" s="59">
        <v>0</v>
      </c>
      <c r="BD21" s="135">
        <v>0</v>
      </c>
      <c r="BE21" s="59">
        <v>0</v>
      </c>
      <c r="BF21" s="59">
        <v>0</v>
      </c>
      <c r="BG21" s="59">
        <v>0</v>
      </c>
      <c r="BH21" s="135">
        <v>0</v>
      </c>
      <c r="BI21" s="59">
        <v>0</v>
      </c>
      <c r="BJ21" s="59">
        <v>0</v>
      </c>
      <c r="BK21" s="59">
        <v>0</v>
      </c>
      <c r="BL21" s="135">
        <v>0</v>
      </c>
      <c r="BM21" s="59">
        <v>0</v>
      </c>
      <c r="BN21" s="59">
        <v>0</v>
      </c>
      <c r="BO21" s="59">
        <v>0</v>
      </c>
      <c r="BP21" s="135">
        <v>0</v>
      </c>
      <c r="BQ21" s="59">
        <v>0</v>
      </c>
      <c r="BR21" s="59">
        <v>0</v>
      </c>
      <c r="BS21" s="59">
        <v>0</v>
      </c>
      <c r="BT21" s="135">
        <v>0</v>
      </c>
      <c r="BU21" s="58" t="s">
        <v>350</v>
      </c>
      <c r="BV21" s="58" t="s">
        <v>350</v>
      </c>
      <c r="BW21" s="58" t="s">
        <v>350</v>
      </c>
      <c r="BX21" s="162" t="s">
        <v>350</v>
      </c>
      <c r="BY21" s="60">
        <v>0</v>
      </c>
      <c r="BZ21" s="60">
        <v>0</v>
      </c>
      <c r="CA21" s="60">
        <v>0</v>
      </c>
      <c r="CB21" s="60">
        <v>0</v>
      </c>
    </row>
    <row r="22" spans="1:80" s="78" customFormat="1" x14ac:dyDescent="0.35">
      <c r="A22" s="417"/>
      <c r="B22" s="75" t="s">
        <v>97</v>
      </c>
      <c r="C22" s="82" t="s">
        <v>281</v>
      </c>
      <c r="D22" s="77" t="s">
        <v>356</v>
      </c>
      <c r="E22" s="6">
        <v>0</v>
      </c>
      <c r="F22" s="105">
        <v>0</v>
      </c>
      <c r="G22" s="117" t="s">
        <v>377</v>
      </c>
      <c r="H22" s="117" t="s">
        <v>378</v>
      </c>
      <c r="I22" s="126">
        <v>0</v>
      </c>
      <c r="J22" s="318" t="str">
        <f>B28</f>
        <v>Product/Reactant9</v>
      </c>
      <c r="K22" s="126">
        <v>0</v>
      </c>
      <c r="L22" s="126">
        <v>0</v>
      </c>
      <c r="M22" s="126">
        <v>0</v>
      </c>
      <c r="N22" s="126">
        <v>0</v>
      </c>
      <c r="O22" s="126">
        <v>0</v>
      </c>
      <c r="P22" s="136">
        <v>0</v>
      </c>
      <c r="Q22" s="78" t="s">
        <v>351</v>
      </c>
      <c r="R22" s="78" t="s">
        <v>351</v>
      </c>
      <c r="S22" s="78" t="s">
        <v>351</v>
      </c>
      <c r="T22" s="136" t="s">
        <v>351</v>
      </c>
      <c r="U22" s="78">
        <v>0</v>
      </c>
      <c r="V22" s="78">
        <v>0</v>
      </c>
      <c r="W22" s="78">
        <v>0</v>
      </c>
      <c r="X22" s="136">
        <v>0</v>
      </c>
      <c r="Y22" s="78">
        <v>0</v>
      </c>
      <c r="Z22" s="78">
        <v>0</v>
      </c>
      <c r="AA22" s="78">
        <v>0</v>
      </c>
      <c r="AB22" s="136">
        <v>0</v>
      </c>
      <c r="AC22" s="80">
        <v>0</v>
      </c>
      <c r="AD22" s="80">
        <v>0</v>
      </c>
      <c r="AE22" s="80">
        <v>0</v>
      </c>
      <c r="AF22" s="145">
        <v>0</v>
      </c>
      <c r="AG22" s="80">
        <v>0</v>
      </c>
      <c r="AH22" s="80">
        <v>0</v>
      </c>
      <c r="AI22" s="80">
        <v>0</v>
      </c>
      <c r="AJ22" s="145">
        <v>0</v>
      </c>
      <c r="AK22" s="80">
        <v>0</v>
      </c>
      <c r="AL22" s="80">
        <v>0</v>
      </c>
      <c r="AM22" s="80">
        <v>0</v>
      </c>
      <c r="AN22" s="145">
        <v>0</v>
      </c>
      <c r="AO22" s="81">
        <v>0</v>
      </c>
      <c r="AP22" s="81">
        <v>0</v>
      </c>
      <c r="AQ22" s="81">
        <v>0</v>
      </c>
      <c r="AR22" s="154">
        <v>0</v>
      </c>
      <c r="AS22" s="78">
        <v>0</v>
      </c>
      <c r="AT22" s="78">
        <v>0</v>
      </c>
      <c r="AU22" s="78">
        <v>0</v>
      </c>
      <c r="AV22" s="136">
        <v>0</v>
      </c>
      <c r="AW22" s="78">
        <v>0</v>
      </c>
      <c r="AX22" s="78">
        <v>0</v>
      </c>
      <c r="AY22" s="78">
        <v>0</v>
      </c>
      <c r="AZ22" s="136">
        <v>0</v>
      </c>
      <c r="BA22" s="78">
        <v>0</v>
      </c>
      <c r="BB22" s="78">
        <v>0</v>
      </c>
      <c r="BC22" s="78">
        <v>0</v>
      </c>
      <c r="BD22" s="136">
        <v>0</v>
      </c>
      <c r="BE22" s="78">
        <v>0</v>
      </c>
      <c r="BF22" s="78">
        <v>0</v>
      </c>
      <c r="BG22" s="78">
        <v>0</v>
      </c>
      <c r="BH22" s="136">
        <v>0</v>
      </c>
      <c r="BI22" s="78">
        <v>0</v>
      </c>
      <c r="BJ22" s="78">
        <v>0</v>
      </c>
      <c r="BK22" s="78">
        <v>0</v>
      </c>
      <c r="BL22" s="136">
        <v>0</v>
      </c>
      <c r="BM22" s="78" t="s">
        <v>348</v>
      </c>
      <c r="BN22" s="78" t="s">
        <v>348</v>
      </c>
      <c r="BO22" s="78" t="s">
        <v>348</v>
      </c>
      <c r="BP22" s="136" t="s">
        <v>348</v>
      </c>
      <c r="BQ22" s="78">
        <v>0</v>
      </c>
      <c r="BR22" s="78">
        <v>0</v>
      </c>
      <c r="BS22" s="78">
        <v>0</v>
      </c>
      <c r="BT22" s="136">
        <v>0</v>
      </c>
      <c r="BU22" s="79">
        <v>0</v>
      </c>
      <c r="BV22" s="79">
        <v>0</v>
      </c>
      <c r="BW22" s="79">
        <v>0</v>
      </c>
      <c r="BX22" s="163">
        <v>0</v>
      </c>
      <c r="BY22" s="79">
        <v>0</v>
      </c>
      <c r="BZ22" s="79">
        <v>0</v>
      </c>
      <c r="CA22" s="79">
        <v>0</v>
      </c>
      <c r="CB22" s="79">
        <v>0</v>
      </c>
    </row>
    <row r="23" spans="1:80" s="78" customFormat="1" x14ac:dyDescent="0.35">
      <c r="A23" s="417"/>
      <c r="B23" s="75" t="s">
        <v>97</v>
      </c>
      <c r="C23" s="76" t="s">
        <v>180</v>
      </c>
      <c r="D23" s="77" t="s">
        <v>284</v>
      </c>
      <c r="E23" s="6">
        <v>0</v>
      </c>
      <c r="F23" s="105">
        <v>0</v>
      </c>
      <c r="G23" s="117" t="s">
        <v>373</v>
      </c>
      <c r="H23" s="117" t="s">
        <v>374</v>
      </c>
      <c r="I23" s="126">
        <v>0</v>
      </c>
      <c r="J23" s="318" t="str">
        <f>B27</f>
        <v>Product/Reactant9</v>
      </c>
      <c r="K23" s="126">
        <v>0</v>
      </c>
      <c r="L23" s="126">
        <v>0</v>
      </c>
      <c r="M23" s="126">
        <v>0</v>
      </c>
      <c r="N23" s="126">
        <v>0</v>
      </c>
      <c r="O23" s="126">
        <v>0</v>
      </c>
      <c r="P23" s="136">
        <v>0</v>
      </c>
      <c r="Q23" s="78" t="s">
        <v>351</v>
      </c>
      <c r="R23" s="78" t="s">
        <v>351</v>
      </c>
      <c r="S23" s="78" t="s">
        <v>351</v>
      </c>
      <c r="T23" s="136" t="s">
        <v>351</v>
      </c>
      <c r="U23" s="78">
        <v>0</v>
      </c>
      <c r="V23" s="78">
        <v>0</v>
      </c>
      <c r="W23" s="78">
        <v>0</v>
      </c>
      <c r="X23" s="136">
        <v>0</v>
      </c>
      <c r="Y23" s="78">
        <v>0</v>
      </c>
      <c r="Z23" s="78">
        <v>0</v>
      </c>
      <c r="AA23" s="78">
        <v>0</v>
      </c>
      <c r="AB23" s="136">
        <v>0</v>
      </c>
      <c r="AC23" s="80">
        <v>0</v>
      </c>
      <c r="AD23" s="80">
        <v>0</v>
      </c>
      <c r="AE23" s="80">
        <v>0</v>
      </c>
      <c r="AF23" s="145">
        <v>0</v>
      </c>
      <c r="AG23" s="80">
        <v>0</v>
      </c>
      <c r="AH23" s="80">
        <v>0</v>
      </c>
      <c r="AI23" s="80">
        <v>0</v>
      </c>
      <c r="AJ23" s="145">
        <v>0</v>
      </c>
      <c r="AK23" s="80">
        <v>0</v>
      </c>
      <c r="AL23" s="80">
        <v>0</v>
      </c>
      <c r="AM23" s="80">
        <v>0</v>
      </c>
      <c r="AN23" s="145">
        <v>0</v>
      </c>
      <c r="AO23" s="81">
        <v>0</v>
      </c>
      <c r="AP23" s="81">
        <v>0</v>
      </c>
      <c r="AQ23" s="81">
        <v>0</v>
      </c>
      <c r="AR23" s="154">
        <v>0</v>
      </c>
      <c r="AS23" s="78">
        <v>0</v>
      </c>
      <c r="AT23" s="78">
        <v>0</v>
      </c>
      <c r="AU23" s="78">
        <v>0</v>
      </c>
      <c r="AV23" s="136">
        <v>0</v>
      </c>
      <c r="AW23" s="78">
        <v>0</v>
      </c>
      <c r="AX23" s="78">
        <v>0</v>
      </c>
      <c r="AY23" s="78">
        <v>0</v>
      </c>
      <c r="AZ23" s="136">
        <v>0</v>
      </c>
      <c r="BA23" s="78" t="s">
        <v>352</v>
      </c>
      <c r="BB23" s="78" t="s">
        <v>352</v>
      </c>
      <c r="BC23" s="78" t="s">
        <v>352</v>
      </c>
      <c r="BD23" s="136" t="s">
        <v>352</v>
      </c>
      <c r="BE23" s="78">
        <v>0</v>
      </c>
      <c r="BF23" s="78">
        <v>0</v>
      </c>
      <c r="BG23" s="78">
        <v>0</v>
      </c>
      <c r="BH23" s="136">
        <v>0</v>
      </c>
      <c r="BI23" s="78">
        <v>0</v>
      </c>
      <c r="BJ23" s="78">
        <v>0</v>
      </c>
      <c r="BK23" s="78">
        <v>0</v>
      </c>
      <c r="BL23" s="136">
        <v>0</v>
      </c>
      <c r="BM23" s="78">
        <v>0</v>
      </c>
      <c r="BN23" s="78">
        <v>0</v>
      </c>
      <c r="BO23" s="78">
        <v>0</v>
      </c>
      <c r="BP23" s="136">
        <v>0</v>
      </c>
      <c r="BQ23" s="78">
        <v>0</v>
      </c>
      <c r="BR23" s="78">
        <v>0</v>
      </c>
      <c r="BS23" s="78">
        <v>0</v>
      </c>
      <c r="BT23" s="136">
        <v>0</v>
      </c>
      <c r="BU23" s="79">
        <v>0</v>
      </c>
      <c r="BV23" s="79">
        <v>0</v>
      </c>
      <c r="BW23" s="79">
        <v>0</v>
      </c>
      <c r="BX23" s="163">
        <v>0</v>
      </c>
      <c r="BY23" s="79">
        <v>0</v>
      </c>
      <c r="BZ23" s="79">
        <v>0</v>
      </c>
      <c r="CA23" s="79">
        <v>0</v>
      </c>
      <c r="CB23" s="79">
        <v>0</v>
      </c>
    </row>
    <row r="24" spans="1:80" s="78" customFormat="1" x14ac:dyDescent="0.35">
      <c r="A24" s="417"/>
      <c r="B24" s="75" t="s">
        <v>97</v>
      </c>
      <c r="C24" s="76" t="s">
        <v>180</v>
      </c>
      <c r="D24" s="77" t="s">
        <v>283</v>
      </c>
      <c r="E24" s="6">
        <v>0</v>
      </c>
      <c r="F24" s="105">
        <v>0</v>
      </c>
      <c r="G24" s="117" t="s">
        <v>373</v>
      </c>
      <c r="H24" s="117" t="s">
        <v>374</v>
      </c>
      <c r="I24" s="126">
        <v>0</v>
      </c>
      <c r="J24" s="318" t="str">
        <f>B28</f>
        <v>Product/Reactant9</v>
      </c>
      <c r="K24" s="126">
        <v>0</v>
      </c>
      <c r="L24" s="126">
        <v>0</v>
      </c>
      <c r="M24" s="126">
        <v>0</v>
      </c>
      <c r="N24" s="126">
        <v>0</v>
      </c>
      <c r="O24" s="126">
        <v>0</v>
      </c>
      <c r="P24" s="136">
        <v>0</v>
      </c>
      <c r="Q24" s="78" t="s">
        <v>351</v>
      </c>
      <c r="R24" s="78" t="s">
        <v>351</v>
      </c>
      <c r="S24" s="78" t="s">
        <v>351</v>
      </c>
      <c r="T24" s="136" t="s">
        <v>351</v>
      </c>
      <c r="U24" s="78">
        <v>0</v>
      </c>
      <c r="V24" s="78">
        <v>0</v>
      </c>
      <c r="W24" s="78">
        <v>0</v>
      </c>
      <c r="X24" s="136">
        <v>0</v>
      </c>
      <c r="Y24" s="78">
        <v>0</v>
      </c>
      <c r="Z24" s="78">
        <v>0</v>
      </c>
      <c r="AA24" s="78">
        <v>0</v>
      </c>
      <c r="AB24" s="136">
        <v>0</v>
      </c>
      <c r="AC24" s="80">
        <v>0</v>
      </c>
      <c r="AD24" s="80">
        <v>0</v>
      </c>
      <c r="AE24" s="80">
        <v>0</v>
      </c>
      <c r="AF24" s="145">
        <v>0</v>
      </c>
      <c r="AG24" s="80">
        <v>0</v>
      </c>
      <c r="AH24" s="80">
        <v>0</v>
      </c>
      <c r="AI24" s="80">
        <v>0</v>
      </c>
      <c r="AJ24" s="145">
        <v>0</v>
      </c>
      <c r="AK24" s="80">
        <v>0</v>
      </c>
      <c r="AL24" s="80">
        <v>0</v>
      </c>
      <c r="AM24" s="80">
        <v>0</v>
      </c>
      <c r="AN24" s="145">
        <v>0</v>
      </c>
      <c r="AO24" s="81">
        <v>0</v>
      </c>
      <c r="AP24" s="81">
        <v>0</v>
      </c>
      <c r="AQ24" s="81">
        <v>0</v>
      </c>
      <c r="AR24" s="154">
        <v>0</v>
      </c>
      <c r="AS24" s="78">
        <v>0</v>
      </c>
      <c r="AT24" s="78">
        <v>0</v>
      </c>
      <c r="AU24" s="78">
        <v>0</v>
      </c>
      <c r="AV24" s="136">
        <v>0</v>
      </c>
      <c r="AW24" s="78">
        <v>0</v>
      </c>
      <c r="AX24" s="78">
        <v>0</v>
      </c>
      <c r="AY24" s="78">
        <v>0</v>
      </c>
      <c r="AZ24" s="136">
        <v>0</v>
      </c>
      <c r="BA24" s="78" t="s">
        <v>352</v>
      </c>
      <c r="BB24" s="78" t="s">
        <v>352</v>
      </c>
      <c r="BC24" s="78" t="s">
        <v>352</v>
      </c>
      <c r="BD24" s="136" t="s">
        <v>352</v>
      </c>
      <c r="BE24" s="78">
        <v>0</v>
      </c>
      <c r="BF24" s="78">
        <v>0</v>
      </c>
      <c r="BG24" s="78">
        <v>0</v>
      </c>
      <c r="BH24" s="136">
        <v>0</v>
      </c>
      <c r="BI24" s="78">
        <v>0</v>
      </c>
      <c r="BJ24" s="78">
        <v>0</v>
      </c>
      <c r="BK24" s="78">
        <v>0</v>
      </c>
      <c r="BL24" s="136">
        <v>0</v>
      </c>
      <c r="BM24" s="78">
        <v>0</v>
      </c>
      <c r="BN24" s="78">
        <v>0</v>
      </c>
      <c r="BO24" s="78">
        <v>0</v>
      </c>
      <c r="BP24" s="136">
        <v>0</v>
      </c>
      <c r="BQ24" s="78">
        <v>0</v>
      </c>
      <c r="BR24" s="78">
        <v>0</v>
      </c>
      <c r="BS24" s="78">
        <v>0</v>
      </c>
      <c r="BT24" s="136">
        <v>0</v>
      </c>
      <c r="BU24" s="79">
        <v>0</v>
      </c>
      <c r="BV24" s="79">
        <v>0</v>
      </c>
      <c r="BW24" s="79">
        <v>0</v>
      </c>
      <c r="BX24" s="163">
        <v>0</v>
      </c>
      <c r="BY24" s="79">
        <v>0</v>
      </c>
      <c r="BZ24" s="79">
        <v>0</v>
      </c>
      <c r="CA24" s="79">
        <v>0</v>
      </c>
      <c r="CB24" s="79">
        <v>0</v>
      </c>
    </row>
    <row r="25" spans="1:80" s="78" customFormat="1" x14ac:dyDescent="0.35">
      <c r="A25" s="417"/>
      <c r="B25" s="75" t="s">
        <v>97</v>
      </c>
      <c r="C25" s="76" t="s">
        <v>180</v>
      </c>
      <c r="D25" s="77" t="s">
        <v>286</v>
      </c>
      <c r="E25" s="6">
        <v>0</v>
      </c>
      <c r="F25" s="105">
        <v>0</v>
      </c>
      <c r="G25" s="117" t="s">
        <v>375</v>
      </c>
      <c r="H25" s="117" t="s">
        <v>376</v>
      </c>
      <c r="I25" s="126">
        <v>0</v>
      </c>
      <c r="J25" s="318" t="str">
        <f>B29</f>
        <v>Product/Reactant9</v>
      </c>
      <c r="K25" s="126">
        <v>0</v>
      </c>
      <c r="L25" s="126">
        <v>0</v>
      </c>
      <c r="M25" s="126">
        <v>0</v>
      </c>
      <c r="N25" s="126">
        <v>0</v>
      </c>
      <c r="O25" s="126">
        <v>0</v>
      </c>
      <c r="P25" s="136">
        <v>0</v>
      </c>
      <c r="Q25" s="78" t="s">
        <v>351</v>
      </c>
      <c r="R25" s="78" t="s">
        <v>351</v>
      </c>
      <c r="S25" s="78" t="s">
        <v>351</v>
      </c>
      <c r="T25" s="136" t="s">
        <v>351</v>
      </c>
      <c r="U25" s="78">
        <v>0</v>
      </c>
      <c r="V25" s="78">
        <v>0</v>
      </c>
      <c r="W25" s="78">
        <v>0</v>
      </c>
      <c r="X25" s="136">
        <v>0</v>
      </c>
      <c r="Y25" s="78">
        <v>0</v>
      </c>
      <c r="Z25" s="78">
        <v>0</v>
      </c>
      <c r="AA25" s="78">
        <v>0</v>
      </c>
      <c r="AB25" s="136">
        <v>0</v>
      </c>
      <c r="AC25" s="80">
        <v>0</v>
      </c>
      <c r="AD25" s="80">
        <v>0</v>
      </c>
      <c r="AE25" s="80">
        <v>0</v>
      </c>
      <c r="AF25" s="145">
        <v>0</v>
      </c>
      <c r="AG25" s="80">
        <v>0</v>
      </c>
      <c r="AH25" s="80">
        <v>0</v>
      </c>
      <c r="AI25" s="80">
        <v>0</v>
      </c>
      <c r="AJ25" s="145">
        <v>0</v>
      </c>
      <c r="AK25" s="80">
        <v>0</v>
      </c>
      <c r="AL25" s="80">
        <v>0</v>
      </c>
      <c r="AM25" s="80">
        <v>0</v>
      </c>
      <c r="AN25" s="145">
        <v>0</v>
      </c>
      <c r="AO25" s="81">
        <v>0</v>
      </c>
      <c r="AP25" s="81">
        <v>0</v>
      </c>
      <c r="AQ25" s="81">
        <v>0</v>
      </c>
      <c r="AR25" s="154">
        <v>0</v>
      </c>
      <c r="AS25" s="78">
        <v>0</v>
      </c>
      <c r="AT25" s="78">
        <v>0</v>
      </c>
      <c r="AU25" s="78">
        <v>0</v>
      </c>
      <c r="AV25" s="136">
        <v>0</v>
      </c>
      <c r="AW25" s="78">
        <v>0</v>
      </c>
      <c r="AX25" s="78">
        <v>0</v>
      </c>
      <c r="AY25" s="78">
        <v>0</v>
      </c>
      <c r="AZ25" s="136">
        <v>0</v>
      </c>
      <c r="BA25" s="78" t="s">
        <v>352</v>
      </c>
      <c r="BB25" s="78" t="s">
        <v>352</v>
      </c>
      <c r="BC25" s="78" t="s">
        <v>352</v>
      </c>
      <c r="BD25" s="136" t="s">
        <v>352</v>
      </c>
      <c r="BE25" s="78">
        <v>0</v>
      </c>
      <c r="BF25" s="78">
        <v>0</v>
      </c>
      <c r="BG25" s="78">
        <v>0</v>
      </c>
      <c r="BH25" s="136">
        <v>0</v>
      </c>
      <c r="BI25" s="78">
        <v>0</v>
      </c>
      <c r="BJ25" s="78">
        <v>0</v>
      </c>
      <c r="BK25" s="78">
        <v>0</v>
      </c>
      <c r="BL25" s="136">
        <v>0</v>
      </c>
      <c r="BM25" s="78">
        <v>0</v>
      </c>
      <c r="BN25" s="78">
        <v>0</v>
      </c>
      <c r="BO25" s="78">
        <v>0</v>
      </c>
      <c r="BP25" s="136">
        <v>0</v>
      </c>
      <c r="BQ25" s="78">
        <v>0</v>
      </c>
      <c r="BR25" s="78">
        <v>0</v>
      </c>
      <c r="BS25" s="78">
        <v>0</v>
      </c>
      <c r="BT25" s="136">
        <v>0</v>
      </c>
      <c r="BU25" s="79">
        <v>0</v>
      </c>
      <c r="BV25" s="79">
        <v>0</v>
      </c>
      <c r="BW25" s="79">
        <v>0</v>
      </c>
      <c r="BX25" s="163">
        <v>0</v>
      </c>
      <c r="BY25" s="79">
        <v>0</v>
      </c>
      <c r="BZ25" s="79">
        <v>0</v>
      </c>
      <c r="CA25" s="79">
        <v>0</v>
      </c>
      <c r="CB25" s="79">
        <v>0</v>
      </c>
    </row>
    <row r="26" spans="1:80" s="78" customFormat="1" x14ac:dyDescent="0.35">
      <c r="A26" s="417"/>
      <c r="B26" s="75" t="s">
        <v>97</v>
      </c>
      <c r="C26" s="76" t="s">
        <v>180</v>
      </c>
      <c r="D26" s="77" t="s">
        <v>285</v>
      </c>
      <c r="E26" s="6">
        <v>0</v>
      </c>
      <c r="F26" s="105">
        <v>0</v>
      </c>
      <c r="G26" s="117" t="s">
        <v>375</v>
      </c>
      <c r="H26" s="117" t="s">
        <v>376</v>
      </c>
      <c r="I26" s="126">
        <v>0</v>
      </c>
      <c r="J26" s="318" t="str">
        <f t="shared" ref="J26" si="3">B30</f>
        <v>Product/Reactant9</v>
      </c>
      <c r="K26" s="126">
        <v>0</v>
      </c>
      <c r="L26" s="126">
        <v>0</v>
      </c>
      <c r="M26" s="126">
        <v>0</v>
      </c>
      <c r="N26" s="126">
        <v>0</v>
      </c>
      <c r="O26" s="126">
        <v>0</v>
      </c>
      <c r="P26" s="136">
        <v>0</v>
      </c>
      <c r="Q26" s="78" t="s">
        <v>351</v>
      </c>
      <c r="R26" s="78" t="s">
        <v>351</v>
      </c>
      <c r="S26" s="78" t="s">
        <v>351</v>
      </c>
      <c r="T26" s="136" t="s">
        <v>351</v>
      </c>
      <c r="U26" s="78">
        <v>0</v>
      </c>
      <c r="V26" s="78">
        <v>0</v>
      </c>
      <c r="W26" s="78">
        <v>0</v>
      </c>
      <c r="X26" s="136">
        <v>0</v>
      </c>
      <c r="Y26" s="78">
        <v>0</v>
      </c>
      <c r="Z26" s="78">
        <v>0</v>
      </c>
      <c r="AA26" s="78">
        <v>0</v>
      </c>
      <c r="AB26" s="136">
        <v>0</v>
      </c>
      <c r="AC26" s="80">
        <v>0</v>
      </c>
      <c r="AD26" s="80">
        <v>0</v>
      </c>
      <c r="AE26" s="80">
        <v>0</v>
      </c>
      <c r="AF26" s="145">
        <v>0</v>
      </c>
      <c r="AG26" s="80">
        <v>0</v>
      </c>
      <c r="AH26" s="80">
        <v>0</v>
      </c>
      <c r="AI26" s="80">
        <v>0</v>
      </c>
      <c r="AJ26" s="145">
        <v>0</v>
      </c>
      <c r="AK26" s="80">
        <v>0</v>
      </c>
      <c r="AL26" s="80">
        <v>0</v>
      </c>
      <c r="AM26" s="80">
        <v>0</v>
      </c>
      <c r="AN26" s="145">
        <v>0</v>
      </c>
      <c r="AO26" s="81">
        <v>0</v>
      </c>
      <c r="AP26" s="81">
        <v>0</v>
      </c>
      <c r="AQ26" s="81">
        <v>0</v>
      </c>
      <c r="AR26" s="154">
        <v>0</v>
      </c>
      <c r="AS26" s="78">
        <v>0</v>
      </c>
      <c r="AT26" s="78">
        <v>0</v>
      </c>
      <c r="AU26" s="78">
        <v>0</v>
      </c>
      <c r="AV26" s="136">
        <v>0</v>
      </c>
      <c r="AW26" s="78">
        <v>0</v>
      </c>
      <c r="AX26" s="78">
        <v>0</v>
      </c>
      <c r="AY26" s="78">
        <v>0</v>
      </c>
      <c r="AZ26" s="136">
        <v>0</v>
      </c>
      <c r="BA26" s="78" t="s">
        <v>352</v>
      </c>
      <c r="BB26" s="78" t="s">
        <v>352</v>
      </c>
      <c r="BC26" s="78" t="s">
        <v>352</v>
      </c>
      <c r="BD26" s="136" t="s">
        <v>352</v>
      </c>
      <c r="BE26" s="78">
        <v>0</v>
      </c>
      <c r="BF26" s="78">
        <v>0</v>
      </c>
      <c r="BG26" s="78">
        <v>0</v>
      </c>
      <c r="BH26" s="136">
        <v>0</v>
      </c>
      <c r="BI26" s="78">
        <v>0</v>
      </c>
      <c r="BJ26" s="78">
        <v>0</v>
      </c>
      <c r="BK26" s="78">
        <v>0</v>
      </c>
      <c r="BL26" s="136">
        <v>0</v>
      </c>
      <c r="BM26" s="78">
        <v>0</v>
      </c>
      <c r="BN26" s="78">
        <v>0</v>
      </c>
      <c r="BO26" s="78">
        <v>0</v>
      </c>
      <c r="BP26" s="136">
        <v>0</v>
      </c>
      <c r="BQ26" s="78">
        <v>0</v>
      </c>
      <c r="BR26" s="78">
        <v>0</v>
      </c>
      <c r="BS26" s="78">
        <v>0</v>
      </c>
      <c r="BT26" s="136">
        <v>0</v>
      </c>
      <c r="BU26" s="79">
        <v>0</v>
      </c>
      <c r="BV26" s="79">
        <v>0</v>
      </c>
      <c r="BW26" s="79">
        <v>0</v>
      </c>
      <c r="BX26" s="163">
        <v>0</v>
      </c>
      <c r="BY26" s="79">
        <v>0</v>
      </c>
      <c r="BZ26" s="79">
        <v>0</v>
      </c>
      <c r="CA26" s="79">
        <v>0</v>
      </c>
      <c r="CB26" s="79">
        <v>0</v>
      </c>
    </row>
    <row r="27" spans="1:80" s="78" customFormat="1" x14ac:dyDescent="0.35">
      <c r="A27" s="417"/>
      <c r="B27" s="75" t="s">
        <v>435</v>
      </c>
      <c r="C27" s="82" t="s">
        <v>119</v>
      </c>
      <c r="D27" s="77" t="s">
        <v>357</v>
      </c>
      <c r="E27" s="6">
        <v>0</v>
      </c>
      <c r="F27" s="105">
        <v>0</v>
      </c>
      <c r="G27" s="117" t="s">
        <v>379</v>
      </c>
      <c r="H27" s="117" t="s">
        <v>380</v>
      </c>
      <c r="I27" s="126">
        <v>0</v>
      </c>
      <c r="J27" s="318" t="str">
        <f>B34</f>
        <v>Reactant10</v>
      </c>
      <c r="K27" s="126">
        <v>0</v>
      </c>
      <c r="L27" s="126">
        <v>0</v>
      </c>
      <c r="M27" s="126">
        <v>0</v>
      </c>
      <c r="N27" s="126">
        <v>0</v>
      </c>
      <c r="O27" s="126">
        <v>0</v>
      </c>
      <c r="P27" s="136">
        <v>0</v>
      </c>
      <c r="Q27" s="78" t="s">
        <v>351</v>
      </c>
      <c r="R27" s="78" t="s">
        <v>351</v>
      </c>
      <c r="S27" s="78" t="s">
        <v>351</v>
      </c>
      <c r="T27" s="136" t="s">
        <v>351</v>
      </c>
      <c r="U27" s="78" t="s">
        <v>351</v>
      </c>
      <c r="V27" s="78" t="s">
        <v>351</v>
      </c>
      <c r="W27" s="78" t="s">
        <v>351</v>
      </c>
      <c r="X27" s="136" t="s">
        <v>351</v>
      </c>
      <c r="Y27" s="78" t="s">
        <v>351</v>
      </c>
      <c r="Z27" s="78" t="s">
        <v>351</v>
      </c>
      <c r="AA27" s="78" t="s">
        <v>351</v>
      </c>
      <c r="AB27" s="136" t="s">
        <v>351</v>
      </c>
      <c r="AC27" s="80" t="s">
        <v>351</v>
      </c>
      <c r="AD27" s="80" t="s">
        <v>351</v>
      </c>
      <c r="AE27" s="80" t="s">
        <v>351</v>
      </c>
      <c r="AF27" s="145" t="s">
        <v>351</v>
      </c>
      <c r="AG27" s="80" t="s">
        <v>351</v>
      </c>
      <c r="AH27" s="80" t="s">
        <v>351</v>
      </c>
      <c r="AI27" s="80" t="s">
        <v>351</v>
      </c>
      <c r="AJ27" s="145" t="s">
        <v>351</v>
      </c>
      <c r="AK27" s="80" t="s">
        <v>351</v>
      </c>
      <c r="AL27" s="80" t="s">
        <v>351</v>
      </c>
      <c r="AM27" s="80" t="s">
        <v>351</v>
      </c>
      <c r="AN27" s="145" t="s">
        <v>351</v>
      </c>
      <c r="AO27" s="81" t="s">
        <v>351</v>
      </c>
      <c r="AP27" s="81" t="s">
        <v>351</v>
      </c>
      <c r="AQ27" s="81" t="s">
        <v>351</v>
      </c>
      <c r="AR27" s="154" t="s">
        <v>351</v>
      </c>
      <c r="AS27" s="78" t="s">
        <v>351</v>
      </c>
      <c r="AT27" s="78" t="s">
        <v>351</v>
      </c>
      <c r="AU27" s="78" t="s">
        <v>351</v>
      </c>
      <c r="AV27" s="136" t="s">
        <v>351</v>
      </c>
      <c r="AW27" s="78" t="s">
        <v>351</v>
      </c>
      <c r="AX27" s="78" t="s">
        <v>351</v>
      </c>
      <c r="AY27" s="78" t="s">
        <v>351</v>
      </c>
      <c r="AZ27" s="136" t="s">
        <v>351</v>
      </c>
      <c r="BA27" s="78" t="s">
        <v>351</v>
      </c>
      <c r="BB27" s="78" t="s">
        <v>351</v>
      </c>
      <c r="BC27" s="78" t="s">
        <v>351</v>
      </c>
      <c r="BD27" s="136" t="s">
        <v>351</v>
      </c>
      <c r="BE27" s="78" t="s">
        <v>351</v>
      </c>
      <c r="BF27" s="78" t="s">
        <v>351</v>
      </c>
      <c r="BG27" s="78" t="s">
        <v>351</v>
      </c>
      <c r="BH27" s="136" t="s">
        <v>351</v>
      </c>
      <c r="BI27" s="78" t="s">
        <v>275</v>
      </c>
      <c r="BJ27" s="78" t="s">
        <v>275</v>
      </c>
      <c r="BK27" s="78" t="s">
        <v>275</v>
      </c>
      <c r="BL27" s="136" t="s">
        <v>275</v>
      </c>
      <c r="BM27" s="78" t="s">
        <v>275</v>
      </c>
      <c r="BN27" s="78" t="s">
        <v>275</v>
      </c>
      <c r="BO27" s="78" t="s">
        <v>275</v>
      </c>
      <c r="BP27" s="136" t="s">
        <v>275</v>
      </c>
      <c r="BQ27" s="78" t="s">
        <v>351</v>
      </c>
      <c r="BR27" s="78" t="s">
        <v>351</v>
      </c>
      <c r="BS27" s="78" t="s">
        <v>351</v>
      </c>
      <c r="BT27" s="136" t="s">
        <v>351</v>
      </c>
      <c r="BU27" s="79">
        <v>0</v>
      </c>
      <c r="BV27" s="79">
        <v>0</v>
      </c>
      <c r="BW27" s="79">
        <v>0</v>
      </c>
      <c r="BX27" s="163">
        <v>0</v>
      </c>
      <c r="BY27" s="80">
        <v>0</v>
      </c>
      <c r="BZ27" s="80">
        <v>0</v>
      </c>
      <c r="CA27" s="80">
        <v>0</v>
      </c>
      <c r="CB27" s="80">
        <v>0</v>
      </c>
    </row>
    <row r="28" spans="1:80" s="78" customFormat="1" x14ac:dyDescent="0.35">
      <c r="A28" s="417"/>
      <c r="B28" s="75" t="s">
        <v>435</v>
      </c>
      <c r="C28" s="82" t="s">
        <v>119</v>
      </c>
      <c r="D28" s="77" t="s">
        <v>358</v>
      </c>
      <c r="E28" s="6">
        <v>0</v>
      </c>
      <c r="F28" s="105">
        <v>0</v>
      </c>
      <c r="G28" s="117" t="s">
        <v>379</v>
      </c>
      <c r="H28" s="117" t="s">
        <v>380</v>
      </c>
      <c r="I28" s="126">
        <v>0</v>
      </c>
      <c r="J28" s="318" t="str">
        <f>B34</f>
        <v>Reactant10</v>
      </c>
      <c r="K28" s="126">
        <v>0</v>
      </c>
      <c r="L28" s="126">
        <v>0</v>
      </c>
      <c r="M28" s="126">
        <v>0</v>
      </c>
      <c r="N28" s="126">
        <v>0</v>
      </c>
      <c r="O28" s="126">
        <v>0</v>
      </c>
      <c r="P28" s="136">
        <v>0</v>
      </c>
      <c r="Q28" s="78" t="s">
        <v>351</v>
      </c>
      <c r="R28" s="78" t="s">
        <v>351</v>
      </c>
      <c r="S28" s="78" t="s">
        <v>351</v>
      </c>
      <c r="T28" s="136" t="s">
        <v>351</v>
      </c>
      <c r="U28" s="78" t="s">
        <v>351</v>
      </c>
      <c r="V28" s="78" t="s">
        <v>351</v>
      </c>
      <c r="W28" s="78" t="s">
        <v>351</v>
      </c>
      <c r="X28" s="136" t="s">
        <v>351</v>
      </c>
      <c r="Y28" s="78" t="s">
        <v>351</v>
      </c>
      <c r="Z28" s="78" t="s">
        <v>351</v>
      </c>
      <c r="AA28" s="78" t="s">
        <v>351</v>
      </c>
      <c r="AB28" s="136" t="s">
        <v>351</v>
      </c>
      <c r="AC28" s="80" t="s">
        <v>351</v>
      </c>
      <c r="AD28" s="80" t="s">
        <v>351</v>
      </c>
      <c r="AE28" s="80" t="s">
        <v>351</v>
      </c>
      <c r="AF28" s="145" t="s">
        <v>351</v>
      </c>
      <c r="AG28" s="80" t="s">
        <v>351</v>
      </c>
      <c r="AH28" s="80" t="s">
        <v>351</v>
      </c>
      <c r="AI28" s="80" t="s">
        <v>351</v>
      </c>
      <c r="AJ28" s="145" t="s">
        <v>351</v>
      </c>
      <c r="AK28" s="80" t="s">
        <v>351</v>
      </c>
      <c r="AL28" s="80" t="s">
        <v>351</v>
      </c>
      <c r="AM28" s="80" t="s">
        <v>351</v>
      </c>
      <c r="AN28" s="145" t="s">
        <v>351</v>
      </c>
      <c r="AO28" s="81" t="s">
        <v>351</v>
      </c>
      <c r="AP28" s="81" t="s">
        <v>351</v>
      </c>
      <c r="AQ28" s="81" t="s">
        <v>351</v>
      </c>
      <c r="AR28" s="154" t="s">
        <v>351</v>
      </c>
      <c r="AS28" s="78" t="s">
        <v>351</v>
      </c>
      <c r="AT28" s="78" t="s">
        <v>351</v>
      </c>
      <c r="AU28" s="78" t="s">
        <v>351</v>
      </c>
      <c r="AV28" s="136" t="s">
        <v>351</v>
      </c>
      <c r="AW28" s="78" t="s">
        <v>351</v>
      </c>
      <c r="AX28" s="78" t="s">
        <v>351</v>
      </c>
      <c r="AY28" s="78" t="s">
        <v>351</v>
      </c>
      <c r="AZ28" s="136" t="s">
        <v>351</v>
      </c>
      <c r="BA28" s="78" t="s">
        <v>351</v>
      </c>
      <c r="BB28" s="78" t="s">
        <v>351</v>
      </c>
      <c r="BC28" s="78" t="s">
        <v>351</v>
      </c>
      <c r="BD28" s="136" t="s">
        <v>351</v>
      </c>
      <c r="BE28" s="78" t="s">
        <v>351</v>
      </c>
      <c r="BF28" s="78" t="s">
        <v>351</v>
      </c>
      <c r="BG28" s="78" t="s">
        <v>351</v>
      </c>
      <c r="BH28" s="136" t="s">
        <v>351</v>
      </c>
      <c r="BI28" s="78" t="s">
        <v>275</v>
      </c>
      <c r="BJ28" s="78" t="s">
        <v>275</v>
      </c>
      <c r="BK28" s="78" t="s">
        <v>275</v>
      </c>
      <c r="BL28" s="136" t="s">
        <v>275</v>
      </c>
      <c r="BM28" s="78" t="s">
        <v>275</v>
      </c>
      <c r="BN28" s="78" t="s">
        <v>275</v>
      </c>
      <c r="BO28" s="78" t="s">
        <v>275</v>
      </c>
      <c r="BP28" s="136" t="s">
        <v>275</v>
      </c>
      <c r="BQ28" s="78" t="s">
        <v>351</v>
      </c>
      <c r="BR28" s="78" t="s">
        <v>351</v>
      </c>
      <c r="BS28" s="78" t="s">
        <v>351</v>
      </c>
      <c r="BT28" s="136" t="s">
        <v>351</v>
      </c>
      <c r="BU28" s="79">
        <v>0</v>
      </c>
      <c r="BV28" s="79">
        <v>0</v>
      </c>
      <c r="BW28" s="79">
        <v>0</v>
      </c>
      <c r="BX28" s="163">
        <v>0</v>
      </c>
      <c r="BY28" s="80">
        <v>0</v>
      </c>
      <c r="BZ28" s="80">
        <v>0</v>
      </c>
      <c r="CA28" s="80">
        <v>0</v>
      </c>
      <c r="CB28" s="80">
        <v>0</v>
      </c>
    </row>
    <row r="29" spans="1:80" s="78" customFormat="1" x14ac:dyDescent="0.35">
      <c r="A29" s="417"/>
      <c r="B29" s="75" t="s">
        <v>435</v>
      </c>
      <c r="C29" s="82" t="s">
        <v>119</v>
      </c>
      <c r="D29" s="77" t="s">
        <v>359</v>
      </c>
      <c r="E29" s="6">
        <v>0</v>
      </c>
      <c r="F29" s="105">
        <v>0</v>
      </c>
      <c r="G29" s="117" t="s">
        <v>379</v>
      </c>
      <c r="H29" s="117" t="s">
        <v>380</v>
      </c>
      <c r="I29" s="126">
        <v>0</v>
      </c>
      <c r="J29" s="318" t="str">
        <f>B34</f>
        <v>Reactant10</v>
      </c>
      <c r="K29" s="126">
        <v>0</v>
      </c>
      <c r="L29" s="126">
        <v>0</v>
      </c>
      <c r="M29" s="126">
        <v>0</v>
      </c>
      <c r="N29" s="126">
        <v>0</v>
      </c>
      <c r="O29" s="126">
        <v>0</v>
      </c>
      <c r="P29" s="136">
        <v>0</v>
      </c>
      <c r="Q29" s="78" t="s">
        <v>351</v>
      </c>
      <c r="R29" s="78" t="s">
        <v>351</v>
      </c>
      <c r="S29" s="78" t="s">
        <v>351</v>
      </c>
      <c r="T29" s="136" t="s">
        <v>351</v>
      </c>
      <c r="U29" s="78" t="s">
        <v>351</v>
      </c>
      <c r="V29" s="78" t="s">
        <v>351</v>
      </c>
      <c r="W29" s="78" t="s">
        <v>351</v>
      </c>
      <c r="X29" s="136" t="s">
        <v>351</v>
      </c>
      <c r="Y29" s="78" t="s">
        <v>351</v>
      </c>
      <c r="Z29" s="78" t="s">
        <v>351</v>
      </c>
      <c r="AA29" s="78" t="s">
        <v>351</v>
      </c>
      <c r="AB29" s="136" t="s">
        <v>351</v>
      </c>
      <c r="AC29" s="80" t="s">
        <v>351</v>
      </c>
      <c r="AD29" s="80" t="s">
        <v>351</v>
      </c>
      <c r="AE29" s="80" t="s">
        <v>351</v>
      </c>
      <c r="AF29" s="145" t="s">
        <v>351</v>
      </c>
      <c r="AG29" s="80" t="s">
        <v>351</v>
      </c>
      <c r="AH29" s="80" t="s">
        <v>351</v>
      </c>
      <c r="AI29" s="80" t="s">
        <v>351</v>
      </c>
      <c r="AJ29" s="145" t="s">
        <v>351</v>
      </c>
      <c r="AK29" s="80" t="s">
        <v>351</v>
      </c>
      <c r="AL29" s="80" t="s">
        <v>351</v>
      </c>
      <c r="AM29" s="80" t="s">
        <v>351</v>
      </c>
      <c r="AN29" s="145" t="s">
        <v>351</v>
      </c>
      <c r="AO29" s="81" t="s">
        <v>351</v>
      </c>
      <c r="AP29" s="81" t="s">
        <v>351</v>
      </c>
      <c r="AQ29" s="81" t="s">
        <v>351</v>
      </c>
      <c r="AR29" s="154" t="s">
        <v>351</v>
      </c>
      <c r="AS29" s="78" t="s">
        <v>351</v>
      </c>
      <c r="AT29" s="78" t="s">
        <v>351</v>
      </c>
      <c r="AU29" s="78" t="s">
        <v>351</v>
      </c>
      <c r="AV29" s="136" t="s">
        <v>351</v>
      </c>
      <c r="AW29" s="78" t="s">
        <v>351</v>
      </c>
      <c r="AX29" s="78" t="s">
        <v>351</v>
      </c>
      <c r="AY29" s="78" t="s">
        <v>351</v>
      </c>
      <c r="AZ29" s="136" t="s">
        <v>351</v>
      </c>
      <c r="BA29" s="78" t="s">
        <v>351</v>
      </c>
      <c r="BB29" s="78" t="s">
        <v>351</v>
      </c>
      <c r="BC29" s="78" t="s">
        <v>351</v>
      </c>
      <c r="BD29" s="136" t="s">
        <v>351</v>
      </c>
      <c r="BE29" s="78" t="s">
        <v>351</v>
      </c>
      <c r="BF29" s="78" t="s">
        <v>351</v>
      </c>
      <c r="BG29" s="78" t="s">
        <v>351</v>
      </c>
      <c r="BH29" s="136" t="s">
        <v>351</v>
      </c>
      <c r="BI29" s="78" t="s">
        <v>275</v>
      </c>
      <c r="BJ29" s="78" t="s">
        <v>275</v>
      </c>
      <c r="BK29" s="78" t="s">
        <v>275</v>
      </c>
      <c r="BL29" s="136" t="s">
        <v>275</v>
      </c>
      <c r="BM29" s="78" t="s">
        <v>275</v>
      </c>
      <c r="BN29" s="78" t="s">
        <v>275</v>
      </c>
      <c r="BO29" s="78" t="s">
        <v>275</v>
      </c>
      <c r="BP29" s="136" t="s">
        <v>275</v>
      </c>
      <c r="BQ29" s="78" t="s">
        <v>351</v>
      </c>
      <c r="BR29" s="78" t="s">
        <v>351</v>
      </c>
      <c r="BS29" s="78" t="s">
        <v>351</v>
      </c>
      <c r="BT29" s="136" t="s">
        <v>351</v>
      </c>
      <c r="BU29" s="79">
        <v>0</v>
      </c>
      <c r="BV29" s="79">
        <v>0</v>
      </c>
      <c r="BW29" s="79">
        <v>0</v>
      </c>
      <c r="BX29" s="163">
        <v>0</v>
      </c>
      <c r="BY29" s="80">
        <v>0</v>
      </c>
      <c r="BZ29" s="80">
        <v>0</v>
      </c>
      <c r="CA29" s="80">
        <v>0</v>
      </c>
      <c r="CB29" s="80">
        <v>0</v>
      </c>
    </row>
    <row r="30" spans="1:80" s="78" customFormat="1" x14ac:dyDescent="0.35">
      <c r="A30" s="417"/>
      <c r="B30" s="75" t="s">
        <v>435</v>
      </c>
      <c r="C30" s="82" t="s">
        <v>119</v>
      </c>
      <c r="D30" s="77" t="s">
        <v>360</v>
      </c>
      <c r="E30" s="6">
        <v>0</v>
      </c>
      <c r="F30" s="105">
        <v>0</v>
      </c>
      <c r="G30" s="117" t="s">
        <v>379</v>
      </c>
      <c r="H30" s="117" t="s">
        <v>380</v>
      </c>
      <c r="I30" s="126">
        <v>0</v>
      </c>
      <c r="J30" s="318" t="str">
        <f>B34</f>
        <v>Reactant10</v>
      </c>
      <c r="K30" s="126">
        <v>0</v>
      </c>
      <c r="L30" s="126">
        <v>0</v>
      </c>
      <c r="M30" s="126">
        <v>0</v>
      </c>
      <c r="N30" s="126">
        <v>0</v>
      </c>
      <c r="O30" s="126">
        <v>0</v>
      </c>
      <c r="P30" s="136">
        <v>0</v>
      </c>
      <c r="Q30" s="78" t="s">
        <v>351</v>
      </c>
      <c r="R30" s="78" t="s">
        <v>351</v>
      </c>
      <c r="S30" s="78" t="s">
        <v>351</v>
      </c>
      <c r="T30" s="136" t="s">
        <v>351</v>
      </c>
      <c r="U30" s="78" t="s">
        <v>351</v>
      </c>
      <c r="V30" s="78" t="s">
        <v>351</v>
      </c>
      <c r="W30" s="78" t="s">
        <v>351</v>
      </c>
      <c r="X30" s="136" t="s">
        <v>351</v>
      </c>
      <c r="Y30" s="78" t="s">
        <v>351</v>
      </c>
      <c r="Z30" s="78" t="s">
        <v>351</v>
      </c>
      <c r="AA30" s="78" t="s">
        <v>351</v>
      </c>
      <c r="AB30" s="136" t="s">
        <v>351</v>
      </c>
      <c r="AC30" s="80" t="s">
        <v>351</v>
      </c>
      <c r="AD30" s="80" t="s">
        <v>351</v>
      </c>
      <c r="AE30" s="80" t="s">
        <v>351</v>
      </c>
      <c r="AF30" s="145" t="s">
        <v>351</v>
      </c>
      <c r="AG30" s="80" t="s">
        <v>351</v>
      </c>
      <c r="AH30" s="80" t="s">
        <v>351</v>
      </c>
      <c r="AI30" s="80" t="s">
        <v>351</v>
      </c>
      <c r="AJ30" s="145" t="s">
        <v>351</v>
      </c>
      <c r="AK30" s="80" t="s">
        <v>351</v>
      </c>
      <c r="AL30" s="80" t="s">
        <v>351</v>
      </c>
      <c r="AM30" s="80" t="s">
        <v>351</v>
      </c>
      <c r="AN30" s="145" t="s">
        <v>351</v>
      </c>
      <c r="AO30" s="81" t="s">
        <v>351</v>
      </c>
      <c r="AP30" s="81" t="s">
        <v>351</v>
      </c>
      <c r="AQ30" s="81" t="s">
        <v>351</v>
      </c>
      <c r="AR30" s="154" t="s">
        <v>351</v>
      </c>
      <c r="AS30" s="78" t="s">
        <v>351</v>
      </c>
      <c r="AT30" s="78" t="s">
        <v>351</v>
      </c>
      <c r="AU30" s="78" t="s">
        <v>351</v>
      </c>
      <c r="AV30" s="136" t="s">
        <v>351</v>
      </c>
      <c r="AW30" s="78" t="s">
        <v>351</v>
      </c>
      <c r="AX30" s="78" t="s">
        <v>351</v>
      </c>
      <c r="AY30" s="78" t="s">
        <v>351</v>
      </c>
      <c r="AZ30" s="136" t="s">
        <v>351</v>
      </c>
      <c r="BA30" s="78" t="s">
        <v>351</v>
      </c>
      <c r="BB30" s="78" t="s">
        <v>351</v>
      </c>
      <c r="BC30" s="78" t="s">
        <v>351</v>
      </c>
      <c r="BD30" s="136" t="s">
        <v>351</v>
      </c>
      <c r="BE30" s="78" t="s">
        <v>351</v>
      </c>
      <c r="BF30" s="78" t="s">
        <v>351</v>
      </c>
      <c r="BG30" s="78" t="s">
        <v>351</v>
      </c>
      <c r="BH30" s="136" t="s">
        <v>351</v>
      </c>
      <c r="BI30" s="78" t="s">
        <v>275</v>
      </c>
      <c r="BJ30" s="78" t="s">
        <v>275</v>
      </c>
      <c r="BK30" s="78" t="s">
        <v>275</v>
      </c>
      <c r="BL30" s="136" t="s">
        <v>275</v>
      </c>
      <c r="BM30" s="78" t="s">
        <v>275</v>
      </c>
      <c r="BN30" s="78" t="s">
        <v>275</v>
      </c>
      <c r="BO30" s="78" t="s">
        <v>275</v>
      </c>
      <c r="BP30" s="136" t="s">
        <v>275</v>
      </c>
      <c r="BQ30" s="78" t="s">
        <v>351</v>
      </c>
      <c r="BR30" s="78" t="s">
        <v>351</v>
      </c>
      <c r="BS30" s="78" t="s">
        <v>351</v>
      </c>
      <c r="BT30" s="136" t="s">
        <v>351</v>
      </c>
      <c r="BU30" s="79">
        <v>0</v>
      </c>
      <c r="BV30" s="79">
        <v>0</v>
      </c>
      <c r="BW30" s="79">
        <v>0</v>
      </c>
      <c r="BX30" s="163">
        <v>0</v>
      </c>
      <c r="BY30" s="80">
        <v>0</v>
      </c>
      <c r="BZ30" s="80">
        <v>0</v>
      </c>
      <c r="CA30" s="80">
        <v>0</v>
      </c>
      <c r="CB30" s="80">
        <v>0</v>
      </c>
    </row>
    <row r="31" spans="1:80" s="87" customFormat="1" x14ac:dyDescent="0.35">
      <c r="A31" s="417"/>
      <c r="B31" s="83" t="s">
        <v>97</v>
      </c>
      <c r="C31" s="84" t="s">
        <v>119</v>
      </c>
      <c r="D31" s="85" t="s">
        <v>361</v>
      </c>
      <c r="E31" s="6">
        <v>0</v>
      </c>
      <c r="F31" s="106">
        <v>0</v>
      </c>
      <c r="G31" s="118" t="s">
        <v>381</v>
      </c>
      <c r="H31" s="118" t="s">
        <v>382</v>
      </c>
      <c r="I31" s="305">
        <v>0</v>
      </c>
      <c r="J31" s="313" t="str">
        <f>B34</f>
        <v>Reactant10</v>
      </c>
      <c r="K31" s="129">
        <v>0</v>
      </c>
      <c r="L31" s="129">
        <v>0</v>
      </c>
      <c r="M31" s="129">
        <v>0</v>
      </c>
      <c r="N31" s="129">
        <v>0</v>
      </c>
      <c r="O31" s="129">
        <v>0</v>
      </c>
      <c r="P31" s="141">
        <v>0</v>
      </c>
      <c r="Q31" s="88" t="s">
        <v>190</v>
      </c>
      <c r="R31" s="88" t="s">
        <v>186</v>
      </c>
      <c r="S31" s="88" t="s">
        <v>186</v>
      </c>
      <c r="T31" s="137" t="s">
        <v>186</v>
      </c>
      <c r="U31" s="87">
        <v>0</v>
      </c>
      <c r="V31" s="87">
        <v>0</v>
      </c>
      <c r="W31" s="87">
        <v>0</v>
      </c>
      <c r="X31" s="141">
        <v>0</v>
      </c>
      <c r="Y31" s="87">
        <v>0</v>
      </c>
      <c r="Z31" s="87">
        <v>0</v>
      </c>
      <c r="AA31" s="87">
        <v>0</v>
      </c>
      <c r="AB31" s="141">
        <v>0</v>
      </c>
      <c r="AC31" s="89" t="s">
        <v>186</v>
      </c>
      <c r="AD31" s="89" t="s">
        <v>186</v>
      </c>
      <c r="AE31" s="89" t="s">
        <v>186</v>
      </c>
      <c r="AF31" s="146" t="s">
        <v>186</v>
      </c>
      <c r="AG31" s="89" t="s">
        <v>208</v>
      </c>
      <c r="AH31" s="89" t="s">
        <v>186</v>
      </c>
      <c r="AI31" s="89" t="s">
        <v>209</v>
      </c>
      <c r="AJ31" s="146" t="s">
        <v>209</v>
      </c>
      <c r="AK31" s="89" t="s">
        <v>208</v>
      </c>
      <c r="AL31" s="89" t="s">
        <v>186</v>
      </c>
      <c r="AM31" s="89" t="s">
        <v>209</v>
      </c>
      <c r="AN31" s="146" t="s">
        <v>209</v>
      </c>
      <c r="AO31" s="87" t="s">
        <v>186</v>
      </c>
      <c r="AP31" s="87" t="s">
        <v>186</v>
      </c>
      <c r="AQ31" s="87" t="s">
        <v>186</v>
      </c>
      <c r="AR31" s="141" t="s">
        <v>186</v>
      </c>
      <c r="AS31" s="87" t="s">
        <v>345</v>
      </c>
      <c r="AT31" s="87" t="s">
        <v>345</v>
      </c>
      <c r="AU31" s="87" t="s">
        <v>345</v>
      </c>
      <c r="AV31" s="141" t="s">
        <v>345</v>
      </c>
      <c r="AW31" s="87" t="s">
        <v>250</v>
      </c>
      <c r="AX31" s="87" t="s">
        <v>250</v>
      </c>
      <c r="AY31" s="87" t="s">
        <v>250</v>
      </c>
      <c r="AZ31" s="141" t="s">
        <v>250</v>
      </c>
      <c r="BA31" s="87">
        <v>0</v>
      </c>
      <c r="BB31" s="87">
        <v>0</v>
      </c>
      <c r="BC31" s="87">
        <v>0</v>
      </c>
      <c r="BD31" s="141">
        <v>0</v>
      </c>
      <c r="BE31" s="87">
        <v>0</v>
      </c>
      <c r="BF31" s="87">
        <v>0</v>
      </c>
      <c r="BG31" s="87">
        <v>0</v>
      </c>
      <c r="BH31" s="141">
        <v>0</v>
      </c>
      <c r="BI31" s="87">
        <v>0</v>
      </c>
      <c r="BJ31" s="87">
        <v>0</v>
      </c>
      <c r="BK31" s="87">
        <v>0</v>
      </c>
      <c r="BL31" s="141">
        <v>0</v>
      </c>
      <c r="BM31" s="87">
        <v>0</v>
      </c>
      <c r="BN31" s="87">
        <v>0</v>
      </c>
      <c r="BO31" s="87">
        <v>0</v>
      </c>
      <c r="BP31" s="141">
        <v>0</v>
      </c>
      <c r="BQ31" s="90" t="s">
        <v>257</v>
      </c>
      <c r="BR31" s="90" t="s">
        <v>257</v>
      </c>
      <c r="BS31" s="90" t="s">
        <v>257</v>
      </c>
      <c r="BT31" s="159" t="s">
        <v>257</v>
      </c>
      <c r="BU31" s="86">
        <v>0</v>
      </c>
      <c r="BV31" s="86">
        <v>0</v>
      </c>
      <c r="BW31" s="86">
        <v>0</v>
      </c>
      <c r="BX31" s="164">
        <v>0</v>
      </c>
      <c r="BY31" s="89">
        <v>0</v>
      </c>
      <c r="BZ31" s="89">
        <v>0</v>
      </c>
      <c r="CA31" s="89">
        <v>0</v>
      </c>
      <c r="CB31" s="89">
        <v>0</v>
      </c>
    </row>
    <row r="32" spans="1:80" s="87" customFormat="1" x14ac:dyDescent="0.35">
      <c r="A32" s="417"/>
      <c r="B32" s="83" t="s">
        <v>97</v>
      </c>
      <c r="C32" s="84" t="s">
        <v>119</v>
      </c>
      <c r="D32" s="85" t="s">
        <v>362</v>
      </c>
      <c r="E32" s="6">
        <v>0</v>
      </c>
      <c r="F32" s="106">
        <v>0</v>
      </c>
      <c r="G32" s="118" t="s">
        <v>381</v>
      </c>
      <c r="H32" s="118" t="s">
        <v>382</v>
      </c>
      <c r="I32" s="305">
        <v>0</v>
      </c>
      <c r="J32" s="313" t="str">
        <f>B34</f>
        <v>Reactant10</v>
      </c>
      <c r="K32" s="129">
        <v>0</v>
      </c>
      <c r="L32" s="129">
        <v>0</v>
      </c>
      <c r="M32" s="129">
        <v>0</v>
      </c>
      <c r="N32" s="129">
        <v>0</v>
      </c>
      <c r="O32" s="129">
        <v>0</v>
      </c>
      <c r="P32" s="141">
        <v>0</v>
      </c>
      <c r="Q32" s="88" t="s">
        <v>187</v>
      </c>
      <c r="R32" s="88" t="s">
        <v>186</v>
      </c>
      <c r="S32" s="88" t="s">
        <v>186</v>
      </c>
      <c r="T32" s="137" t="s">
        <v>186</v>
      </c>
      <c r="U32" s="87">
        <v>0</v>
      </c>
      <c r="V32" s="87">
        <v>0</v>
      </c>
      <c r="W32" s="87">
        <v>0</v>
      </c>
      <c r="X32" s="141">
        <v>0</v>
      </c>
      <c r="Y32" s="87">
        <v>0</v>
      </c>
      <c r="Z32" s="87">
        <v>0</v>
      </c>
      <c r="AA32" s="87">
        <v>0</v>
      </c>
      <c r="AB32" s="141">
        <v>0</v>
      </c>
      <c r="AC32" s="89" t="s">
        <v>186</v>
      </c>
      <c r="AD32" s="89" t="s">
        <v>186</v>
      </c>
      <c r="AE32" s="89" t="s">
        <v>186</v>
      </c>
      <c r="AF32" s="146" t="s">
        <v>186</v>
      </c>
      <c r="AG32" s="89" t="s">
        <v>208</v>
      </c>
      <c r="AH32" s="89" t="s">
        <v>186</v>
      </c>
      <c r="AI32" s="89" t="s">
        <v>209</v>
      </c>
      <c r="AJ32" s="146" t="s">
        <v>209</v>
      </c>
      <c r="AK32" s="89" t="s">
        <v>208</v>
      </c>
      <c r="AL32" s="89" t="s">
        <v>186</v>
      </c>
      <c r="AM32" s="89" t="s">
        <v>209</v>
      </c>
      <c r="AN32" s="146" t="s">
        <v>209</v>
      </c>
      <c r="AO32" s="87" t="s">
        <v>186</v>
      </c>
      <c r="AP32" s="87" t="s">
        <v>186</v>
      </c>
      <c r="AQ32" s="87" t="s">
        <v>186</v>
      </c>
      <c r="AR32" s="141" t="s">
        <v>186</v>
      </c>
      <c r="AS32" s="87" t="s">
        <v>345</v>
      </c>
      <c r="AT32" s="87" t="s">
        <v>345</v>
      </c>
      <c r="AU32" s="87" t="s">
        <v>345</v>
      </c>
      <c r="AV32" s="141" t="s">
        <v>345</v>
      </c>
      <c r="AW32" s="87" t="s">
        <v>250</v>
      </c>
      <c r="AX32" s="87" t="s">
        <v>250</v>
      </c>
      <c r="AY32" s="87" t="s">
        <v>250</v>
      </c>
      <c r="AZ32" s="141" t="s">
        <v>250</v>
      </c>
      <c r="BA32" s="87">
        <v>0</v>
      </c>
      <c r="BB32" s="87">
        <v>0</v>
      </c>
      <c r="BC32" s="87">
        <v>0</v>
      </c>
      <c r="BD32" s="141">
        <v>0</v>
      </c>
      <c r="BE32" s="87">
        <v>0</v>
      </c>
      <c r="BF32" s="87">
        <v>0</v>
      </c>
      <c r="BG32" s="87">
        <v>0</v>
      </c>
      <c r="BH32" s="141">
        <v>0</v>
      </c>
      <c r="BI32" s="87">
        <v>0</v>
      </c>
      <c r="BJ32" s="87">
        <v>0</v>
      </c>
      <c r="BK32" s="87">
        <v>0</v>
      </c>
      <c r="BL32" s="141">
        <v>0</v>
      </c>
      <c r="BM32" s="87">
        <v>0</v>
      </c>
      <c r="BN32" s="87">
        <v>0</v>
      </c>
      <c r="BO32" s="87">
        <v>0</v>
      </c>
      <c r="BP32" s="141">
        <v>0</v>
      </c>
      <c r="BQ32" s="90" t="s">
        <v>257</v>
      </c>
      <c r="BR32" s="90" t="s">
        <v>257</v>
      </c>
      <c r="BS32" s="90" t="s">
        <v>257</v>
      </c>
      <c r="BT32" s="159" t="s">
        <v>257</v>
      </c>
      <c r="BU32" s="86">
        <v>0</v>
      </c>
      <c r="BV32" s="86">
        <v>0</v>
      </c>
      <c r="BW32" s="86">
        <v>0</v>
      </c>
      <c r="BX32" s="164">
        <v>0</v>
      </c>
      <c r="BY32" s="89">
        <v>0</v>
      </c>
      <c r="BZ32" s="89">
        <v>0</v>
      </c>
      <c r="CA32" s="89">
        <v>0</v>
      </c>
      <c r="CB32" s="89">
        <v>0</v>
      </c>
    </row>
    <row r="33" spans="1:80" s="91" customFormat="1" x14ac:dyDescent="0.35">
      <c r="A33" s="417"/>
      <c r="B33" s="91" t="s">
        <v>97</v>
      </c>
      <c r="C33" s="65" t="s">
        <v>119</v>
      </c>
      <c r="D33" s="92" t="s">
        <v>172</v>
      </c>
      <c r="E33" s="6">
        <v>0</v>
      </c>
      <c r="F33" s="107">
        <v>0</v>
      </c>
      <c r="G33" s="119" t="s">
        <v>383</v>
      </c>
      <c r="H33" s="119" t="s">
        <v>384</v>
      </c>
      <c r="I33" s="310">
        <v>0</v>
      </c>
      <c r="J33" s="319" t="str">
        <f>B34</f>
        <v>Reactant10</v>
      </c>
      <c r="K33" s="130">
        <v>0</v>
      </c>
      <c r="L33" s="130">
        <v>0</v>
      </c>
      <c r="M33" s="130">
        <v>0</v>
      </c>
      <c r="N33" s="130">
        <v>0</v>
      </c>
      <c r="O33" s="130">
        <v>0</v>
      </c>
      <c r="P33" s="138">
        <v>0</v>
      </c>
      <c r="Q33" s="91">
        <v>0</v>
      </c>
      <c r="R33" s="91">
        <v>0</v>
      </c>
      <c r="S33" s="91">
        <v>0</v>
      </c>
      <c r="T33" s="138">
        <v>0</v>
      </c>
      <c r="U33" s="91">
        <v>0</v>
      </c>
      <c r="V33" s="91">
        <v>0</v>
      </c>
      <c r="W33" s="91">
        <v>0</v>
      </c>
      <c r="X33" s="138">
        <v>0</v>
      </c>
      <c r="Y33" s="91">
        <v>0</v>
      </c>
      <c r="Z33" s="91">
        <v>0</v>
      </c>
      <c r="AA33" s="91">
        <v>0</v>
      </c>
      <c r="AB33" s="138">
        <v>0</v>
      </c>
      <c r="AC33" s="94" t="s">
        <v>268</v>
      </c>
      <c r="AD33" s="94" t="s">
        <v>268</v>
      </c>
      <c r="AE33" s="94" t="s">
        <v>268</v>
      </c>
      <c r="AF33" s="147" t="s">
        <v>268</v>
      </c>
      <c r="AG33" s="94" t="s">
        <v>268</v>
      </c>
      <c r="AH33" s="94" t="s">
        <v>268</v>
      </c>
      <c r="AI33" s="94" t="s">
        <v>268</v>
      </c>
      <c r="AJ33" s="147" t="s">
        <v>268</v>
      </c>
      <c r="AK33" s="94" t="s">
        <v>268</v>
      </c>
      <c r="AL33" s="94" t="s">
        <v>268</v>
      </c>
      <c r="AM33" s="94" t="s">
        <v>268</v>
      </c>
      <c r="AN33" s="147" t="s">
        <v>268</v>
      </c>
      <c r="AO33" s="91">
        <v>0</v>
      </c>
      <c r="AP33" s="91">
        <v>0</v>
      </c>
      <c r="AQ33" s="91">
        <v>0</v>
      </c>
      <c r="AR33" s="138">
        <v>0</v>
      </c>
      <c r="AS33" s="91">
        <v>0</v>
      </c>
      <c r="AT33" s="91">
        <v>0</v>
      </c>
      <c r="AU33" s="91">
        <v>0</v>
      </c>
      <c r="AV33" s="138">
        <v>0</v>
      </c>
      <c r="AW33" s="91">
        <v>0</v>
      </c>
      <c r="AX33" s="91">
        <v>0</v>
      </c>
      <c r="AY33" s="91">
        <v>0</v>
      </c>
      <c r="AZ33" s="138">
        <v>0</v>
      </c>
      <c r="BA33" s="91">
        <v>0</v>
      </c>
      <c r="BB33" s="91">
        <v>0</v>
      </c>
      <c r="BC33" s="91">
        <v>0</v>
      </c>
      <c r="BD33" s="138">
        <v>0</v>
      </c>
      <c r="BE33" s="91">
        <v>0</v>
      </c>
      <c r="BF33" s="91">
        <v>0</v>
      </c>
      <c r="BG33" s="91">
        <v>0</v>
      </c>
      <c r="BH33" s="138">
        <v>0</v>
      </c>
      <c r="BI33" s="91">
        <v>0</v>
      </c>
      <c r="BJ33" s="91">
        <v>0</v>
      </c>
      <c r="BK33" s="91">
        <v>0</v>
      </c>
      <c r="BL33" s="138">
        <v>0</v>
      </c>
      <c r="BM33" s="91">
        <v>0</v>
      </c>
      <c r="BN33" s="91">
        <v>0</v>
      </c>
      <c r="BO33" s="91">
        <v>0</v>
      </c>
      <c r="BP33" s="138">
        <v>0</v>
      </c>
      <c r="BQ33" s="91">
        <v>0</v>
      </c>
      <c r="BR33" s="91">
        <v>0</v>
      </c>
      <c r="BS33" s="91">
        <v>0</v>
      </c>
      <c r="BT33" s="138">
        <v>0</v>
      </c>
      <c r="BU33" s="93">
        <v>0</v>
      </c>
      <c r="BV33" s="93">
        <v>0</v>
      </c>
      <c r="BW33" s="93">
        <v>0</v>
      </c>
      <c r="BX33" s="165">
        <v>0</v>
      </c>
      <c r="BY33" s="94">
        <v>0</v>
      </c>
      <c r="BZ33" s="94">
        <v>0</v>
      </c>
      <c r="CA33" s="94">
        <v>0</v>
      </c>
      <c r="CB33" s="94">
        <v>0</v>
      </c>
    </row>
    <row r="34" spans="1:80" s="179" customFormat="1" x14ac:dyDescent="0.35">
      <c r="A34" s="417"/>
      <c r="B34" s="173" t="s">
        <v>436</v>
      </c>
      <c r="C34" s="65" t="s">
        <v>180</v>
      </c>
      <c r="D34" s="174" t="s">
        <v>296</v>
      </c>
      <c r="E34" s="6">
        <v>0</v>
      </c>
      <c r="F34" s="175">
        <v>0</v>
      </c>
      <c r="G34" s="176" t="s">
        <v>383</v>
      </c>
      <c r="H34" s="176" t="s">
        <v>384</v>
      </c>
      <c r="I34" s="311">
        <v>0</v>
      </c>
      <c r="J34" s="176" t="s">
        <v>12</v>
      </c>
      <c r="K34" s="178">
        <v>0</v>
      </c>
      <c r="L34" s="178">
        <v>0</v>
      </c>
      <c r="M34" s="178">
        <v>0</v>
      </c>
      <c r="N34" s="178">
        <v>0</v>
      </c>
      <c r="O34" s="178">
        <v>0</v>
      </c>
      <c r="P34" s="177">
        <v>0</v>
      </c>
      <c r="Q34" s="183">
        <v>0</v>
      </c>
      <c r="R34" s="183">
        <v>0</v>
      </c>
      <c r="S34" s="183">
        <v>0</v>
      </c>
      <c r="T34" s="237">
        <v>0</v>
      </c>
      <c r="U34" s="179">
        <v>0</v>
      </c>
      <c r="V34" s="179">
        <v>0</v>
      </c>
      <c r="W34" s="179">
        <v>0</v>
      </c>
      <c r="X34" s="177">
        <v>0</v>
      </c>
      <c r="Y34" s="179">
        <v>0</v>
      </c>
      <c r="Z34" s="179">
        <v>0</v>
      </c>
      <c r="AA34" s="179">
        <v>0</v>
      </c>
      <c r="AB34" s="177">
        <v>0</v>
      </c>
      <c r="AC34" s="180">
        <v>0</v>
      </c>
      <c r="AD34" s="180">
        <v>0</v>
      </c>
      <c r="AE34" s="180">
        <v>0</v>
      </c>
      <c r="AF34" s="181">
        <v>0</v>
      </c>
      <c r="AG34" s="180">
        <v>0</v>
      </c>
      <c r="AH34" s="180">
        <v>0</v>
      </c>
      <c r="AI34" s="180">
        <v>0</v>
      </c>
      <c r="AJ34" s="181">
        <v>0</v>
      </c>
      <c r="AK34" s="180">
        <v>0</v>
      </c>
      <c r="AL34" s="180">
        <v>0</v>
      </c>
      <c r="AM34" s="180">
        <v>0</v>
      </c>
      <c r="AN34" s="181">
        <v>0</v>
      </c>
      <c r="AO34" s="183">
        <v>0</v>
      </c>
      <c r="AP34" s="183">
        <v>0</v>
      </c>
      <c r="AQ34" s="183">
        <v>0</v>
      </c>
      <c r="AR34" s="237">
        <v>0</v>
      </c>
      <c r="AS34" s="183">
        <v>0</v>
      </c>
      <c r="AT34" s="183">
        <v>0</v>
      </c>
      <c r="AU34" s="183">
        <v>0</v>
      </c>
      <c r="AV34" s="237">
        <v>0</v>
      </c>
      <c r="AW34" s="183">
        <v>0</v>
      </c>
      <c r="AX34" s="183">
        <v>0</v>
      </c>
      <c r="AY34" s="183">
        <v>0</v>
      </c>
      <c r="AZ34" s="237">
        <v>0</v>
      </c>
      <c r="BA34" s="183">
        <v>0</v>
      </c>
      <c r="BB34" s="183">
        <v>0</v>
      </c>
      <c r="BC34" s="183">
        <v>0</v>
      </c>
      <c r="BD34" s="237">
        <v>0</v>
      </c>
      <c r="BE34" s="183">
        <v>0</v>
      </c>
      <c r="BF34" s="183">
        <v>0</v>
      </c>
      <c r="BG34" s="183">
        <v>0</v>
      </c>
      <c r="BH34" s="237">
        <v>0</v>
      </c>
      <c r="BI34" s="91">
        <v>0</v>
      </c>
      <c r="BJ34" s="91">
        <v>0</v>
      </c>
      <c r="BK34" s="91">
        <v>0</v>
      </c>
      <c r="BL34" s="138">
        <v>0</v>
      </c>
      <c r="BM34" s="183">
        <v>0</v>
      </c>
      <c r="BN34" s="183">
        <v>0</v>
      </c>
      <c r="BO34" s="183">
        <v>0</v>
      </c>
      <c r="BP34" s="237">
        <v>0</v>
      </c>
      <c r="BQ34" s="183">
        <v>0</v>
      </c>
      <c r="BR34" s="183">
        <v>0</v>
      </c>
      <c r="BS34" s="183">
        <v>0</v>
      </c>
      <c r="BT34" s="237">
        <v>0</v>
      </c>
      <c r="BU34" s="182">
        <v>0</v>
      </c>
      <c r="BV34" s="182">
        <v>0</v>
      </c>
      <c r="BW34" s="182">
        <v>0</v>
      </c>
      <c r="BX34" s="251">
        <v>0</v>
      </c>
      <c r="BY34" s="180">
        <v>0</v>
      </c>
      <c r="BZ34" s="180">
        <v>0</v>
      </c>
      <c r="CA34" s="180">
        <v>0</v>
      </c>
      <c r="CB34" s="180">
        <v>0</v>
      </c>
    </row>
    <row r="35" spans="1:80" s="201" customFormat="1" x14ac:dyDescent="0.35">
      <c r="A35" s="417"/>
      <c r="B35" s="194" t="s">
        <v>276</v>
      </c>
      <c r="C35" s="195" t="s">
        <v>180</v>
      </c>
      <c r="D35" s="196" t="s">
        <v>25</v>
      </c>
      <c r="E35" s="6">
        <v>0</v>
      </c>
      <c r="F35" s="197">
        <v>0</v>
      </c>
      <c r="G35" s="198" t="s">
        <v>385</v>
      </c>
      <c r="H35" s="198" t="s">
        <v>386</v>
      </c>
      <c r="I35" s="200">
        <v>0</v>
      </c>
      <c r="J35" s="198" t="s">
        <v>12</v>
      </c>
      <c r="K35" s="200">
        <v>0</v>
      </c>
      <c r="L35" s="200">
        <v>0</v>
      </c>
      <c r="M35" s="200">
        <v>0</v>
      </c>
      <c r="N35" s="200">
        <v>0</v>
      </c>
      <c r="O35" s="200">
        <v>0</v>
      </c>
      <c r="P35" s="199">
        <v>0</v>
      </c>
      <c r="Q35" s="201">
        <v>0</v>
      </c>
      <c r="R35" s="201">
        <v>0</v>
      </c>
      <c r="S35" s="201">
        <v>0</v>
      </c>
      <c r="T35" s="199">
        <v>0</v>
      </c>
      <c r="U35" s="201">
        <v>0</v>
      </c>
      <c r="V35" s="201">
        <v>0</v>
      </c>
      <c r="W35" s="201">
        <v>0</v>
      </c>
      <c r="X35" s="199">
        <v>0</v>
      </c>
      <c r="Y35" s="201">
        <v>0</v>
      </c>
      <c r="Z35" s="201">
        <v>0</v>
      </c>
      <c r="AA35" s="201">
        <v>0</v>
      </c>
      <c r="AB35" s="199">
        <v>0</v>
      </c>
      <c r="AC35" s="202">
        <v>0</v>
      </c>
      <c r="AD35" s="202">
        <v>0</v>
      </c>
      <c r="AE35" s="202">
        <v>0</v>
      </c>
      <c r="AF35" s="203">
        <v>0</v>
      </c>
      <c r="AG35" s="202">
        <v>0</v>
      </c>
      <c r="AH35" s="202">
        <v>0</v>
      </c>
      <c r="AI35" s="202">
        <v>0</v>
      </c>
      <c r="AJ35" s="203">
        <v>0</v>
      </c>
      <c r="AK35" s="202">
        <v>0</v>
      </c>
      <c r="AL35" s="202">
        <v>0</v>
      </c>
      <c r="AM35" s="202">
        <v>0</v>
      </c>
      <c r="AN35" s="203">
        <v>0</v>
      </c>
      <c r="AO35" s="201" t="s">
        <v>226</v>
      </c>
      <c r="AP35" s="201" t="s">
        <v>226</v>
      </c>
      <c r="AQ35" s="201" t="s">
        <v>227</v>
      </c>
      <c r="AR35" s="199" t="s">
        <v>227</v>
      </c>
      <c r="AS35" s="201" t="s">
        <v>251</v>
      </c>
      <c r="AT35" s="201" t="s">
        <v>253</v>
      </c>
      <c r="AU35" s="201">
        <v>0</v>
      </c>
      <c r="AV35" s="199" t="s">
        <v>254</v>
      </c>
      <c r="AW35" s="201" t="s">
        <v>255</v>
      </c>
      <c r="AX35" s="201" t="s">
        <v>255</v>
      </c>
      <c r="AY35" s="201" t="s">
        <v>255</v>
      </c>
      <c r="AZ35" s="199" t="s">
        <v>255</v>
      </c>
      <c r="BA35" s="201">
        <v>0</v>
      </c>
      <c r="BB35" s="201">
        <v>0</v>
      </c>
      <c r="BC35" s="201">
        <v>0</v>
      </c>
      <c r="BD35" s="199">
        <v>0</v>
      </c>
      <c r="BE35" s="201">
        <v>0</v>
      </c>
      <c r="BF35" s="201">
        <v>0</v>
      </c>
      <c r="BG35" s="201">
        <v>0</v>
      </c>
      <c r="BH35" s="199">
        <v>0</v>
      </c>
      <c r="BI35" s="204">
        <v>0</v>
      </c>
      <c r="BJ35" s="204">
        <v>0</v>
      </c>
      <c r="BK35" s="204">
        <v>0</v>
      </c>
      <c r="BL35" s="350">
        <v>0</v>
      </c>
      <c r="BM35" s="204">
        <v>0</v>
      </c>
      <c r="BN35" s="204">
        <v>0</v>
      </c>
      <c r="BO35" s="204">
        <v>0</v>
      </c>
      <c r="BP35" s="350">
        <v>0</v>
      </c>
      <c r="BQ35" s="201" t="s">
        <v>353</v>
      </c>
      <c r="BR35" s="201" t="s">
        <v>353</v>
      </c>
      <c r="BS35" s="201" t="s">
        <v>353</v>
      </c>
      <c r="BT35" s="199" t="s">
        <v>353</v>
      </c>
      <c r="BU35" s="205">
        <v>0</v>
      </c>
      <c r="BV35" s="205">
        <v>0</v>
      </c>
      <c r="BW35" s="205">
        <v>0</v>
      </c>
      <c r="BX35" s="353">
        <v>0</v>
      </c>
      <c r="BY35" s="202">
        <v>0</v>
      </c>
      <c r="BZ35" s="202">
        <v>0</v>
      </c>
      <c r="CA35" s="202">
        <v>0</v>
      </c>
      <c r="CB35" s="202">
        <v>0</v>
      </c>
    </row>
    <row r="36" spans="1:80" s="201" customFormat="1" x14ac:dyDescent="0.35">
      <c r="A36" s="417"/>
      <c r="B36" s="194" t="str">
        <f>B35</f>
        <v>Reactant11</v>
      </c>
      <c r="C36" s="195" t="s">
        <v>180</v>
      </c>
      <c r="D36" s="196" t="s">
        <v>164</v>
      </c>
      <c r="E36" s="6">
        <v>0</v>
      </c>
      <c r="F36" s="197">
        <v>0</v>
      </c>
      <c r="G36" s="198" t="s">
        <v>385</v>
      </c>
      <c r="H36" s="198" t="s">
        <v>386</v>
      </c>
      <c r="I36" s="200">
        <v>0</v>
      </c>
      <c r="J36" s="198" t="s">
        <v>12</v>
      </c>
      <c r="K36" s="200">
        <v>0</v>
      </c>
      <c r="L36" s="200">
        <v>0</v>
      </c>
      <c r="M36" s="200">
        <v>0</v>
      </c>
      <c r="N36" s="200">
        <v>0</v>
      </c>
      <c r="O36" s="200">
        <v>0</v>
      </c>
      <c r="P36" s="199">
        <v>0</v>
      </c>
      <c r="Q36" s="201">
        <v>0</v>
      </c>
      <c r="R36" s="201">
        <v>0</v>
      </c>
      <c r="S36" s="201">
        <v>0</v>
      </c>
      <c r="T36" s="199">
        <v>0</v>
      </c>
      <c r="U36" s="201">
        <v>0</v>
      </c>
      <c r="V36" s="201">
        <v>0</v>
      </c>
      <c r="W36" s="201">
        <v>0</v>
      </c>
      <c r="X36" s="199">
        <v>0</v>
      </c>
      <c r="Y36" s="201">
        <v>0</v>
      </c>
      <c r="Z36" s="201">
        <v>0</v>
      </c>
      <c r="AA36" s="201">
        <v>0</v>
      </c>
      <c r="AB36" s="199">
        <v>0</v>
      </c>
      <c r="AC36" s="202">
        <v>0</v>
      </c>
      <c r="AD36" s="202">
        <v>0</v>
      </c>
      <c r="AE36" s="202">
        <v>0</v>
      </c>
      <c r="AF36" s="203">
        <v>0</v>
      </c>
      <c r="AG36" s="202">
        <v>0</v>
      </c>
      <c r="AH36" s="202">
        <v>0</v>
      </c>
      <c r="AI36" s="202">
        <v>0</v>
      </c>
      <c r="AJ36" s="203">
        <v>0</v>
      </c>
      <c r="AK36" s="202">
        <v>0</v>
      </c>
      <c r="AL36" s="202">
        <v>0</v>
      </c>
      <c r="AM36" s="202">
        <v>0</v>
      </c>
      <c r="AN36" s="203">
        <v>0</v>
      </c>
      <c r="AO36" s="206" t="s">
        <v>226</v>
      </c>
      <c r="AP36" s="201" t="s">
        <v>226</v>
      </c>
      <c r="AQ36" s="201" t="s">
        <v>227</v>
      </c>
      <c r="AR36" s="199" t="s">
        <v>227</v>
      </c>
      <c r="AS36" s="201" t="s">
        <v>251</v>
      </c>
      <c r="AT36" s="201" t="s">
        <v>252</v>
      </c>
      <c r="AU36" s="201">
        <v>0</v>
      </c>
      <c r="AV36" s="199" t="s">
        <v>254</v>
      </c>
      <c r="AW36" s="201" t="s">
        <v>255</v>
      </c>
      <c r="AX36" s="201" t="s">
        <v>255</v>
      </c>
      <c r="AY36" s="201" t="s">
        <v>255</v>
      </c>
      <c r="AZ36" s="199" t="s">
        <v>255</v>
      </c>
      <c r="BA36" s="201" t="s">
        <v>256</v>
      </c>
      <c r="BB36" s="201" t="s">
        <v>256</v>
      </c>
      <c r="BC36" s="201">
        <v>0</v>
      </c>
      <c r="BD36" s="199" t="s">
        <v>256</v>
      </c>
      <c r="BE36" s="201">
        <v>0</v>
      </c>
      <c r="BF36" s="201">
        <v>0</v>
      </c>
      <c r="BG36" s="201">
        <v>0</v>
      </c>
      <c r="BH36" s="199">
        <v>0</v>
      </c>
      <c r="BI36" s="204">
        <v>0</v>
      </c>
      <c r="BJ36" s="204">
        <v>0</v>
      </c>
      <c r="BK36" s="204">
        <v>0</v>
      </c>
      <c r="BL36" s="350">
        <v>0</v>
      </c>
      <c r="BM36" s="204">
        <v>0</v>
      </c>
      <c r="BN36" s="204">
        <v>0</v>
      </c>
      <c r="BO36" s="204">
        <v>0</v>
      </c>
      <c r="BP36" s="350">
        <v>0</v>
      </c>
      <c r="BQ36" s="201" t="s">
        <v>353</v>
      </c>
      <c r="BR36" s="201" t="s">
        <v>353</v>
      </c>
      <c r="BS36" s="201" t="s">
        <v>353</v>
      </c>
      <c r="BT36" s="199" t="s">
        <v>353</v>
      </c>
      <c r="BU36" s="205">
        <v>0</v>
      </c>
      <c r="BV36" s="205">
        <v>0</v>
      </c>
      <c r="BW36" s="205">
        <v>0</v>
      </c>
      <c r="BX36" s="353">
        <v>0</v>
      </c>
      <c r="BY36" s="202">
        <v>0</v>
      </c>
      <c r="BZ36" s="202">
        <v>0</v>
      </c>
      <c r="CA36" s="202">
        <v>0</v>
      </c>
      <c r="CB36" s="202">
        <v>0</v>
      </c>
    </row>
    <row r="37" spans="1:80" s="201" customFormat="1" x14ac:dyDescent="0.35">
      <c r="A37" s="417"/>
      <c r="B37" s="194" t="str">
        <f>B35</f>
        <v>Reactant11</v>
      </c>
      <c r="C37" s="195" t="s">
        <v>180</v>
      </c>
      <c r="D37" s="196" t="s">
        <v>165</v>
      </c>
      <c r="E37" s="6">
        <v>0</v>
      </c>
      <c r="F37" s="197">
        <v>0</v>
      </c>
      <c r="G37" s="198" t="s">
        <v>385</v>
      </c>
      <c r="H37" s="198" t="s">
        <v>386</v>
      </c>
      <c r="I37" s="200">
        <v>0</v>
      </c>
      <c r="J37" s="198" t="s">
        <v>12</v>
      </c>
      <c r="K37" s="200">
        <v>0</v>
      </c>
      <c r="L37" s="200">
        <v>0</v>
      </c>
      <c r="M37" s="200">
        <v>0</v>
      </c>
      <c r="N37" s="200">
        <v>0</v>
      </c>
      <c r="O37" s="200">
        <v>0</v>
      </c>
      <c r="P37" s="199">
        <v>0</v>
      </c>
      <c r="Q37" s="201">
        <v>0</v>
      </c>
      <c r="R37" s="201">
        <v>0</v>
      </c>
      <c r="S37" s="201">
        <v>0</v>
      </c>
      <c r="T37" s="199">
        <v>0</v>
      </c>
      <c r="U37" s="201">
        <v>0</v>
      </c>
      <c r="V37" s="201">
        <v>0</v>
      </c>
      <c r="W37" s="201">
        <v>0</v>
      </c>
      <c r="X37" s="199">
        <v>0</v>
      </c>
      <c r="Y37" s="201">
        <v>0</v>
      </c>
      <c r="Z37" s="201">
        <v>0</v>
      </c>
      <c r="AA37" s="201">
        <v>0</v>
      </c>
      <c r="AB37" s="199">
        <v>0</v>
      </c>
      <c r="AC37" s="202">
        <v>0</v>
      </c>
      <c r="AD37" s="202">
        <v>0</v>
      </c>
      <c r="AE37" s="202">
        <v>0</v>
      </c>
      <c r="AF37" s="203">
        <v>0</v>
      </c>
      <c r="AG37" s="202">
        <v>0</v>
      </c>
      <c r="AH37" s="202">
        <v>0</v>
      </c>
      <c r="AI37" s="202">
        <v>0</v>
      </c>
      <c r="AJ37" s="203">
        <v>0</v>
      </c>
      <c r="AK37" s="202">
        <v>0</v>
      </c>
      <c r="AL37" s="202">
        <v>0</v>
      </c>
      <c r="AM37" s="202">
        <v>0</v>
      </c>
      <c r="AN37" s="203">
        <v>0</v>
      </c>
      <c r="AO37" s="201" t="s">
        <v>226</v>
      </c>
      <c r="AP37" s="201" t="s">
        <v>226</v>
      </c>
      <c r="AQ37" s="201" t="s">
        <v>227</v>
      </c>
      <c r="AR37" s="199" t="s">
        <v>227</v>
      </c>
      <c r="AS37" s="201" t="s">
        <v>251</v>
      </c>
      <c r="AT37" s="201" t="s">
        <v>252</v>
      </c>
      <c r="AU37" s="201">
        <v>0</v>
      </c>
      <c r="AV37" s="199" t="s">
        <v>254</v>
      </c>
      <c r="AW37" s="201" t="s">
        <v>255</v>
      </c>
      <c r="AX37" s="201" t="s">
        <v>255</v>
      </c>
      <c r="AY37" s="201" t="s">
        <v>255</v>
      </c>
      <c r="AZ37" s="199" t="s">
        <v>255</v>
      </c>
      <c r="BA37" s="201" t="s">
        <v>256</v>
      </c>
      <c r="BB37" s="201" t="s">
        <v>256</v>
      </c>
      <c r="BC37" s="201">
        <v>0</v>
      </c>
      <c r="BD37" s="199" t="s">
        <v>256</v>
      </c>
      <c r="BE37" s="201">
        <v>0</v>
      </c>
      <c r="BF37" s="201">
        <v>0</v>
      </c>
      <c r="BG37" s="201">
        <v>0</v>
      </c>
      <c r="BH37" s="199">
        <v>0</v>
      </c>
      <c r="BI37" s="204">
        <v>0</v>
      </c>
      <c r="BJ37" s="204">
        <v>0</v>
      </c>
      <c r="BK37" s="204">
        <v>0</v>
      </c>
      <c r="BL37" s="350">
        <v>0</v>
      </c>
      <c r="BM37" s="204">
        <v>0</v>
      </c>
      <c r="BN37" s="204">
        <v>0</v>
      </c>
      <c r="BO37" s="204">
        <v>0</v>
      </c>
      <c r="BP37" s="350">
        <v>0</v>
      </c>
      <c r="BQ37" s="201" t="s">
        <v>353</v>
      </c>
      <c r="BR37" s="201" t="s">
        <v>353</v>
      </c>
      <c r="BS37" s="201" t="s">
        <v>353</v>
      </c>
      <c r="BT37" s="199" t="s">
        <v>353</v>
      </c>
      <c r="BU37" s="205">
        <v>0</v>
      </c>
      <c r="BV37" s="205">
        <v>0</v>
      </c>
      <c r="BW37" s="205">
        <v>0</v>
      </c>
      <c r="BX37" s="353">
        <v>0</v>
      </c>
      <c r="BY37" s="202">
        <v>0</v>
      </c>
      <c r="BZ37" s="202">
        <v>0</v>
      </c>
      <c r="CA37" s="202">
        <v>0</v>
      </c>
      <c r="CB37" s="202">
        <v>0</v>
      </c>
    </row>
    <row r="38" spans="1:80" s="37" customFormat="1" x14ac:dyDescent="0.35">
      <c r="A38" s="417"/>
      <c r="B38" s="217" t="s">
        <v>278</v>
      </c>
      <c r="C38" s="218" t="s">
        <v>13</v>
      </c>
      <c r="D38" s="219" t="s">
        <v>166</v>
      </c>
      <c r="E38" s="6">
        <v>0</v>
      </c>
      <c r="F38" s="220">
        <v>0</v>
      </c>
      <c r="G38" s="221" t="s">
        <v>383</v>
      </c>
      <c r="H38" s="221" t="s">
        <v>384</v>
      </c>
      <c r="I38" s="224">
        <v>0</v>
      </c>
      <c r="J38" s="320" t="str">
        <f>B35</f>
        <v>Reactant11</v>
      </c>
      <c r="K38" s="224">
        <v>0</v>
      </c>
      <c r="L38" s="224">
        <v>0</v>
      </c>
      <c r="M38" s="224">
        <v>0</v>
      </c>
      <c r="N38" s="224">
        <v>0</v>
      </c>
      <c r="O38" s="224">
        <v>0</v>
      </c>
      <c r="P38" s="222">
        <v>0</v>
      </c>
      <c r="Q38" s="37" t="s">
        <v>210</v>
      </c>
      <c r="R38" s="37" t="s">
        <v>210</v>
      </c>
      <c r="S38" s="37" t="s">
        <v>210</v>
      </c>
      <c r="T38" s="222" t="s">
        <v>210</v>
      </c>
      <c r="U38" s="37">
        <v>0</v>
      </c>
      <c r="V38" s="37">
        <v>0</v>
      </c>
      <c r="W38" s="37">
        <v>0</v>
      </c>
      <c r="X38" s="222">
        <v>0</v>
      </c>
      <c r="Y38" s="37">
        <v>0</v>
      </c>
      <c r="Z38" s="37">
        <v>0</v>
      </c>
      <c r="AA38" s="37">
        <v>0</v>
      </c>
      <c r="AB38" s="222">
        <v>0</v>
      </c>
      <c r="AC38" s="225">
        <v>0</v>
      </c>
      <c r="AD38" s="225">
        <v>0</v>
      </c>
      <c r="AE38" s="225">
        <v>0</v>
      </c>
      <c r="AF38" s="226">
        <v>0</v>
      </c>
      <c r="AG38" s="225">
        <v>0</v>
      </c>
      <c r="AH38" s="225">
        <v>0</v>
      </c>
      <c r="AI38" s="225">
        <v>0</v>
      </c>
      <c r="AJ38" s="226">
        <v>0</v>
      </c>
      <c r="AK38" s="225">
        <v>0</v>
      </c>
      <c r="AL38" s="225">
        <v>0</v>
      </c>
      <c r="AM38" s="225">
        <v>0</v>
      </c>
      <c r="AN38" s="226">
        <v>0</v>
      </c>
      <c r="AO38" s="37" t="s">
        <v>228</v>
      </c>
      <c r="AP38" s="37" t="s">
        <v>186</v>
      </c>
      <c r="AQ38" s="37" t="s">
        <v>186</v>
      </c>
      <c r="AR38" s="222" t="s">
        <v>186</v>
      </c>
      <c r="AS38" s="37" t="s">
        <v>257</v>
      </c>
      <c r="AT38" s="37" t="s">
        <v>257</v>
      </c>
      <c r="AU38" s="37">
        <v>0</v>
      </c>
      <c r="AV38" s="222" t="s">
        <v>257</v>
      </c>
      <c r="AW38" s="37" t="s">
        <v>258</v>
      </c>
      <c r="AX38" s="37" t="s">
        <v>258</v>
      </c>
      <c r="AY38" s="37" t="s">
        <v>258</v>
      </c>
      <c r="AZ38" s="222" t="s">
        <v>258</v>
      </c>
      <c r="BA38" s="37">
        <v>0</v>
      </c>
      <c r="BB38" s="37">
        <v>0</v>
      </c>
      <c r="BC38" s="37">
        <v>0</v>
      </c>
      <c r="BD38" s="222">
        <v>0</v>
      </c>
      <c r="BE38" s="37">
        <v>0</v>
      </c>
      <c r="BF38" s="37">
        <v>0</v>
      </c>
      <c r="BG38" s="37">
        <v>0</v>
      </c>
      <c r="BH38" s="222">
        <v>0</v>
      </c>
      <c r="BI38" s="37">
        <v>0</v>
      </c>
      <c r="BJ38" s="37">
        <v>0</v>
      </c>
      <c r="BK38" s="37">
        <v>0</v>
      </c>
      <c r="BL38" s="222">
        <v>0</v>
      </c>
      <c r="BM38" s="37">
        <v>0</v>
      </c>
      <c r="BN38" s="37">
        <v>0</v>
      </c>
      <c r="BO38" s="37">
        <v>0</v>
      </c>
      <c r="BP38" s="222">
        <v>0</v>
      </c>
      <c r="BQ38" s="227" t="s">
        <v>257</v>
      </c>
      <c r="BR38" s="227" t="s">
        <v>257</v>
      </c>
      <c r="BS38" s="227" t="s">
        <v>257</v>
      </c>
      <c r="BT38" s="228" t="s">
        <v>257</v>
      </c>
      <c r="BU38" s="229">
        <v>0</v>
      </c>
      <c r="BV38" s="229">
        <v>0</v>
      </c>
      <c r="BW38" s="229">
        <v>0</v>
      </c>
      <c r="BX38" s="223">
        <v>0</v>
      </c>
      <c r="BY38" s="225">
        <v>0</v>
      </c>
      <c r="BZ38" s="225">
        <v>0</v>
      </c>
      <c r="CA38" s="225">
        <v>0</v>
      </c>
      <c r="CB38" s="225">
        <v>0</v>
      </c>
    </row>
    <row r="39" spans="1:80" s="37" customFormat="1" x14ac:dyDescent="0.35">
      <c r="A39" s="417"/>
      <c r="B39" s="217" t="s">
        <v>278</v>
      </c>
      <c r="C39" s="218" t="s">
        <v>13</v>
      </c>
      <c r="D39" s="219" t="s">
        <v>363</v>
      </c>
      <c r="E39" s="6">
        <v>0</v>
      </c>
      <c r="F39" s="220">
        <v>0</v>
      </c>
      <c r="G39" s="221" t="s">
        <v>383</v>
      </c>
      <c r="H39" s="221" t="s">
        <v>384</v>
      </c>
      <c r="I39" s="224">
        <v>0</v>
      </c>
      <c r="J39" s="320" t="str">
        <f>B35</f>
        <v>Reactant11</v>
      </c>
      <c r="K39" s="224">
        <v>0</v>
      </c>
      <c r="L39" s="224">
        <v>0</v>
      </c>
      <c r="M39" s="224">
        <v>0</v>
      </c>
      <c r="N39" s="224">
        <v>0</v>
      </c>
      <c r="O39" s="224">
        <v>0</v>
      </c>
      <c r="P39" s="222">
        <v>0</v>
      </c>
      <c r="Q39" s="37" t="s">
        <v>210</v>
      </c>
      <c r="R39" s="37" t="s">
        <v>210</v>
      </c>
      <c r="S39" s="37" t="s">
        <v>210</v>
      </c>
      <c r="T39" s="222" t="s">
        <v>210</v>
      </c>
      <c r="U39" s="37">
        <v>0</v>
      </c>
      <c r="V39" s="37">
        <v>0</v>
      </c>
      <c r="W39" s="37">
        <v>0</v>
      </c>
      <c r="X39" s="222">
        <v>0</v>
      </c>
      <c r="Y39" s="37">
        <v>0</v>
      </c>
      <c r="Z39" s="37">
        <v>0</v>
      </c>
      <c r="AA39" s="37">
        <v>0</v>
      </c>
      <c r="AB39" s="222">
        <v>0</v>
      </c>
      <c r="AC39" s="225">
        <v>0</v>
      </c>
      <c r="AD39" s="225">
        <v>0</v>
      </c>
      <c r="AE39" s="225">
        <v>0</v>
      </c>
      <c r="AF39" s="226">
        <v>0</v>
      </c>
      <c r="AG39" s="225">
        <v>0</v>
      </c>
      <c r="AH39" s="225">
        <v>0</v>
      </c>
      <c r="AI39" s="225">
        <v>0</v>
      </c>
      <c r="AJ39" s="226">
        <v>0</v>
      </c>
      <c r="AK39" s="225">
        <v>0</v>
      </c>
      <c r="AL39" s="225">
        <v>0</v>
      </c>
      <c r="AM39" s="225">
        <v>0</v>
      </c>
      <c r="AN39" s="226">
        <v>0</v>
      </c>
      <c r="AO39" s="230" t="s">
        <v>266</v>
      </c>
      <c r="AP39" s="230" t="s">
        <v>186</v>
      </c>
      <c r="AQ39" s="230" t="s">
        <v>186</v>
      </c>
      <c r="AR39" s="231" t="s">
        <v>186</v>
      </c>
      <c r="AS39" s="230" t="s">
        <v>257</v>
      </c>
      <c r="AT39" s="37" t="s">
        <v>259</v>
      </c>
      <c r="AU39" s="37">
        <v>0</v>
      </c>
      <c r="AV39" s="222" t="s">
        <v>257</v>
      </c>
      <c r="AW39" s="230" t="s">
        <v>260</v>
      </c>
      <c r="AX39" s="230" t="s">
        <v>260</v>
      </c>
      <c r="AY39" s="230" t="s">
        <v>260</v>
      </c>
      <c r="AZ39" s="231" t="s">
        <v>260</v>
      </c>
      <c r="BA39" s="37">
        <v>0</v>
      </c>
      <c r="BB39" s="37">
        <v>0</v>
      </c>
      <c r="BC39" s="37">
        <v>0</v>
      </c>
      <c r="BD39" s="222">
        <v>0</v>
      </c>
      <c r="BE39" s="37">
        <v>0</v>
      </c>
      <c r="BF39" s="37">
        <v>0</v>
      </c>
      <c r="BG39" s="37">
        <v>0</v>
      </c>
      <c r="BH39" s="222">
        <v>0</v>
      </c>
      <c r="BI39" s="37">
        <v>0</v>
      </c>
      <c r="BJ39" s="37">
        <v>0</v>
      </c>
      <c r="BK39" s="37">
        <v>0</v>
      </c>
      <c r="BL39" s="222">
        <v>0</v>
      </c>
      <c r="BM39" s="37">
        <v>0</v>
      </c>
      <c r="BN39" s="37">
        <v>0</v>
      </c>
      <c r="BO39" s="37">
        <v>0</v>
      </c>
      <c r="BP39" s="222">
        <v>0</v>
      </c>
      <c r="BQ39" s="227" t="s">
        <v>257</v>
      </c>
      <c r="BR39" s="227" t="s">
        <v>257</v>
      </c>
      <c r="BS39" s="227" t="s">
        <v>257</v>
      </c>
      <c r="BT39" s="228" t="s">
        <v>257</v>
      </c>
      <c r="BU39" s="229">
        <v>0</v>
      </c>
      <c r="BV39" s="229">
        <v>0</v>
      </c>
      <c r="BW39" s="229">
        <v>0</v>
      </c>
      <c r="BX39" s="223">
        <v>0</v>
      </c>
      <c r="BY39" s="225">
        <v>0</v>
      </c>
      <c r="BZ39" s="225">
        <v>0</v>
      </c>
      <c r="CA39" s="225">
        <v>0</v>
      </c>
      <c r="CB39" s="225">
        <v>0</v>
      </c>
    </row>
    <row r="40" spans="1:80" s="37" customFormat="1" x14ac:dyDescent="0.35">
      <c r="A40" s="417"/>
      <c r="B40" s="217" t="s">
        <v>278</v>
      </c>
      <c r="C40" s="218" t="s">
        <v>13</v>
      </c>
      <c r="D40" s="219" t="s">
        <v>364</v>
      </c>
      <c r="E40" s="6">
        <v>0</v>
      </c>
      <c r="F40" s="220">
        <v>0</v>
      </c>
      <c r="G40" s="221" t="s">
        <v>383</v>
      </c>
      <c r="H40" s="221" t="s">
        <v>384</v>
      </c>
      <c r="I40" s="224">
        <v>0</v>
      </c>
      <c r="J40" s="320" t="str">
        <f>B35</f>
        <v>Reactant11</v>
      </c>
      <c r="K40" s="224">
        <v>0</v>
      </c>
      <c r="L40" s="224">
        <v>0</v>
      </c>
      <c r="M40" s="224">
        <v>0</v>
      </c>
      <c r="N40" s="224">
        <v>0</v>
      </c>
      <c r="O40" s="224">
        <v>0</v>
      </c>
      <c r="P40" s="222">
        <v>0</v>
      </c>
      <c r="Q40" s="37" t="s">
        <v>210</v>
      </c>
      <c r="R40" s="37" t="s">
        <v>210</v>
      </c>
      <c r="S40" s="37" t="s">
        <v>210</v>
      </c>
      <c r="T40" s="222" t="s">
        <v>210</v>
      </c>
      <c r="U40" s="37">
        <v>0</v>
      </c>
      <c r="V40" s="37">
        <v>0</v>
      </c>
      <c r="W40" s="37">
        <v>0</v>
      </c>
      <c r="X40" s="222">
        <v>0</v>
      </c>
      <c r="Y40" s="37">
        <v>0</v>
      </c>
      <c r="Z40" s="37">
        <v>0</v>
      </c>
      <c r="AA40" s="37">
        <v>0</v>
      </c>
      <c r="AB40" s="222">
        <v>0</v>
      </c>
      <c r="AC40" s="225">
        <v>0</v>
      </c>
      <c r="AD40" s="225">
        <v>0</v>
      </c>
      <c r="AE40" s="225">
        <v>0</v>
      </c>
      <c r="AF40" s="226">
        <v>0</v>
      </c>
      <c r="AG40" s="225">
        <v>0</v>
      </c>
      <c r="AH40" s="225">
        <v>0</v>
      </c>
      <c r="AI40" s="225">
        <v>0</v>
      </c>
      <c r="AJ40" s="226">
        <v>0</v>
      </c>
      <c r="AK40" s="225">
        <v>0</v>
      </c>
      <c r="AL40" s="225">
        <v>0</v>
      </c>
      <c r="AM40" s="225">
        <v>0</v>
      </c>
      <c r="AN40" s="226">
        <v>0</v>
      </c>
      <c r="AO40" s="230" t="s">
        <v>186</v>
      </c>
      <c r="AP40" s="229" t="s">
        <v>186</v>
      </c>
      <c r="AQ40" s="230" t="s">
        <v>186</v>
      </c>
      <c r="AR40" s="222" t="s">
        <v>186</v>
      </c>
      <c r="AS40" s="230" t="s">
        <v>257</v>
      </c>
      <c r="AT40" s="37" t="s">
        <v>259</v>
      </c>
      <c r="AU40" s="37">
        <v>0</v>
      </c>
      <c r="AV40" s="222" t="s">
        <v>257</v>
      </c>
      <c r="AW40" s="230" t="s">
        <v>260</v>
      </c>
      <c r="AX40" s="230" t="s">
        <v>260</v>
      </c>
      <c r="AY40" s="230" t="s">
        <v>260</v>
      </c>
      <c r="AZ40" s="231" t="s">
        <v>260</v>
      </c>
      <c r="BA40" s="37">
        <v>0</v>
      </c>
      <c r="BB40" s="37">
        <v>0</v>
      </c>
      <c r="BC40" s="37">
        <v>0</v>
      </c>
      <c r="BD40" s="222">
        <v>0</v>
      </c>
      <c r="BE40" s="37">
        <v>0</v>
      </c>
      <c r="BF40" s="37">
        <v>0</v>
      </c>
      <c r="BG40" s="37">
        <v>0</v>
      </c>
      <c r="BH40" s="222">
        <v>0</v>
      </c>
      <c r="BI40" s="37">
        <v>0</v>
      </c>
      <c r="BJ40" s="37">
        <v>0</v>
      </c>
      <c r="BK40" s="37">
        <v>0</v>
      </c>
      <c r="BL40" s="222">
        <v>0</v>
      </c>
      <c r="BM40" s="37">
        <v>0</v>
      </c>
      <c r="BN40" s="37">
        <v>0</v>
      </c>
      <c r="BO40" s="37">
        <v>0</v>
      </c>
      <c r="BP40" s="222">
        <v>0</v>
      </c>
      <c r="BQ40" s="227" t="s">
        <v>257</v>
      </c>
      <c r="BR40" s="227" t="s">
        <v>257</v>
      </c>
      <c r="BS40" s="227" t="s">
        <v>257</v>
      </c>
      <c r="BT40" s="228" t="s">
        <v>257</v>
      </c>
      <c r="BU40" s="229">
        <v>0</v>
      </c>
      <c r="BV40" s="229">
        <v>0</v>
      </c>
      <c r="BW40" s="229">
        <v>0</v>
      </c>
      <c r="BX40" s="223">
        <v>0</v>
      </c>
      <c r="BY40" s="225">
        <v>0</v>
      </c>
      <c r="BZ40" s="225">
        <v>0</v>
      </c>
      <c r="CA40" s="225">
        <v>0</v>
      </c>
      <c r="CB40" s="225">
        <v>0</v>
      </c>
    </row>
    <row r="41" spans="1:80" s="37" customFormat="1" x14ac:dyDescent="0.35">
      <c r="A41" s="417"/>
      <c r="B41" s="217" t="s">
        <v>278</v>
      </c>
      <c r="C41" s="218" t="s">
        <v>13</v>
      </c>
      <c r="D41" s="219" t="s">
        <v>365</v>
      </c>
      <c r="E41" s="6">
        <v>0</v>
      </c>
      <c r="F41" s="220">
        <v>0</v>
      </c>
      <c r="G41" s="221" t="s">
        <v>383</v>
      </c>
      <c r="H41" s="221" t="s">
        <v>384</v>
      </c>
      <c r="I41" s="224">
        <v>0</v>
      </c>
      <c r="J41" s="320" t="str">
        <f>B35</f>
        <v>Reactant11</v>
      </c>
      <c r="K41" s="224">
        <v>0</v>
      </c>
      <c r="L41" s="224">
        <v>0</v>
      </c>
      <c r="M41" s="224">
        <v>0</v>
      </c>
      <c r="N41" s="224">
        <v>0</v>
      </c>
      <c r="O41" s="224">
        <v>0</v>
      </c>
      <c r="P41" s="222">
        <v>0</v>
      </c>
      <c r="Q41" s="37" t="s">
        <v>210</v>
      </c>
      <c r="R41" s="37" t="s">
        <v>210</v>
      </c>
      <c r="S41" s="37" t="s">
        <v>210</v>
      </c>
      <c r="T41" s="222" t="s">
        <v>210</v>
      </c>
      <c r="U41" s="37">
        <v>0</v>
      </c>
      <c r="V41" s="37">
        <v>0</v>
      </c>
      <c r="W41" s="37">
        <v>0</v>
      </c>
      <c r="X41" s="222">
        <v>0</v>
      </c>
      <c r="Y41" s="37">
        <v>0</v>
      </c>
      <c r="Z41" s="37">
        <v>0</v>
      </c>
      <c r="AA41" s="37">
        <v>0</v>
      </c>
      <c r="AB41" s="222">
        <v>0</v>
      </c>
      <c r="AC41" s="225">
        <v>0</v>
      </c>
      <c r="AD41" s="225">
        <v>0</v>
      </c>
      <c r="AE41" s="225">
        <v>0</v>
      </c>
      <c r="AF41" s="226">
        <v>0</v>
      </c>
      <c r="AG41" s="225">
        <v>0</v>
      </c>
      <c r="AH41" s="225">
        <v>0</v>
      </c>
      <c r="AI41" s="225">
        <v>0</v>
      </c>
      <c r="AJ41" s="226">
        <v>0</v>
      </c>
      <c r="AK41" s="225">
        <v>0</v>
      </c>
      <c r="AL41" s="225">
        <v>0</v>
      </c>
      <c r="AM41" s="225">
        <v>0</v>
      </c>
      <c r="AN41" s="226">
        <v>0</v>
      </c>
      <c r="AO41" s="230">
        <v>0</v>
      </c>
      <c r="AP41" s="230">
        <v>0</v>
      </c>
      <c r="AQ41" s="230">
        <v>0</v>
      </c>
      <c r="AR41" s="231">
        <v>0</v>
      </c>
      <c r="AS41" s="230">
        <v>0</v>
      </c>
      <c r="AT41" s="230">
        <v>0</v>
      </c>
      <c r="AU41" s="230">
        <v>0</v>
      </c>
      <c r="AV41" s="231">
        <v>0</v>
      </c>
      <c r="AW41" s="230">
        <v>0</v>
      </c>
      <c r="AX41" s="230">
        <v>0</v>
      </c>
      <c r="AY41" s="230">
        <v>0</v>
      </c>
      <c r="AZ41" s="231">
        <v>0</v>
      </c>
      <c r="BA41" s="230">
        <v>0</v>
      </c>
      <c r="BB41" s="230">
        <v>0</v>
      </c>
      <c r="BC41" s="230">
        <v>0</v>
      </c>
      <c r="BD41" s="231">
        <v>0</v>
      </c>
      <c r="BE41" s="230">
        <v>0</v>
      </c>
      <c r="BF41" s="230">
        <v>0</v>
      </c>
      <c r="BG41" s="230">
        <v>0</v>
      </c>
      <c r="BH41" s="231">
        <v>0</v>
      </c>
      <c r="BI41" s="37">
        <v>0</v>
      </c>
      <c r="BJ41" s="37">
        <v>0</v>
      </c>
      <c r="BK41" s="37">
        <v>0</v>
      </c>
      <c r="BL41" s="222">
        <v>0</v>
      </c>
      <c r="BM41" s="230">
        <v>0</v>
      </c>
      <c r="BN41" s="230">
        <v>0</v>
      </c>
      <c r="BO41" s="230">
        <v>0</v>
      </c>
      <c r="BP41" s="231">
        <v>0</v>
      </c>
      <c r="BQ41" s="230" t="s">
        <v>257</v>
      </c>
      <c r="BR41" s="230" t="s">
        <v>257</v>
      </c>
      <c r="BS41" s="230" t="s">
        <v>257</v>
      </c>
      <c r="BT41" s="231" t="s">
        <v>257</v>
      </c>
      <c r="BU41" s="229">
        <v>0</v>
      </c>
      <c r="BV41" s="229">
        <v>0</v>
      </c>
      <c r="BW41" s="229">
        <v>0</v>
      </c>
      <c r="BX41" s="223">
        <v>0</v>
      </c>
      <c r="BY41" s="225">
        <v>0</v>
      </c>
      <c r="BZ41" s="225">
        <v>0</v>
      </c>
      <c r="CA41" s="225">
        <v>0</v>
      </c>
      <c r="CB41" s="225">
        <v>0</v>
      </c>
    </row>
    <row r="42" spans="1:80" s="37" customFormat="1" x14ac:dyDescent="0.35">
      <c r="A42" s="417"/>
      <c r="B42" s="217" t="s">
        <v>278</v>
      </c>
      <c r="C42" s="218" t="s">
        <v>13</v>
      </c>
      <c r="D42" s="219" t="s">
        <v>366</v>
      </c>
      <c r="E42" s="6">
        <v>0</v>
      </c>
      <c r="F42" s="220">
        <v>0</v>
      </c>
      <c r="G42" s="221" t="s">
        <v>383</v>
      </c>
      <c r="H42" s="221" t="s">
        <v>384</v>
      </c>
      <c r="I42" s="224">
        <v>0</v>
      </c>
      <c r="J42" s="320" t="str">
        <f>B35</f>
        <v>Reactant11</v>
      </c>
      <c r="K42" s="224">
        <v>0</v>
      </c>
      <c r="L42" s="224">
        <v>0</v>
      </c>
      <c r="M42" s="224">
        <v>0</v>
      </c>
      <c r="N42" s="224">
        <v>0</v>
      </c>
      <c r="O42" s="224">
        <v>0</v>
      </c>
      <c r="P42" s="222">
        <v>0</v>
      </c>
      <c r="Q42" s="37" t="s">
        <v>210</v>
      </c>
      <c r="R42" s="37" t="s">
        <v>210</v>
      </c>
      <c r="S42" s="37" t="s">
        <v>210</v>
      </c>
      <c r="T42" s="222" t="s">
        <v>210</v>
      </c>
      <c r="U42" s="37">
        <v>0</v>
      </c>
      <c r="V42" s="37">
        <v>0</v>
      </c>
      <c r="W42" s="37">
        <v>0</v>
      </c>
      <c r="X42" s="222">
        <v>0</v>
      </c>
      <c r="Y42" s="37">
        <v>0</v>
      </c>
      <c r="Z42" s="37">
        <v>0</v>
      </c>
      <c r="AA42" s="37">
        <v>0</v>
      </c>
      <c r="AB42" s="222">
        <v>0</v>
      </c>
      <c r="AC42" s="225">
        <v>0</v>
      </c>
      <c r="AD42" s="225">
        <v>0</v>
      </c>
      <c r="AE42" s="225">
        <v>0</v>
      </c>
      <c r="AF42" s="226">
        <v>0</v>
      </c>
      <c r="AG42" s="225">
        <v>0</v>
      </c>
      <c r="AH42" s="225">
        <v>0</v>
      </c>
      <c r="AI42" s="225">
        <v>0</v>
      </c>
      <c r="AJ42" s="226">
        <v>0</v>
      </c>
      <c r="AK42" s="225">
        <v>0</v>
      </c>
      <c r="AL42" s="225">
        <v>0</v>
      </c>
      <c r="AM42" s="225">
        <v>0</v>
      </c>
      <c r="AN42" s="226">
        <v>0</v>
      </c>
      <c r="AO42" s="230">
        <v>0</v>
      </c>
      <c r="AP42" s="230">
        <v>0</v>
      </c>
      <c r="AQ42" s="230">
        <v>0</v>
      </c>
      <c r="AR42" s="231">
        <v>0</v>
      </c>
      <c r="AS42" s="230">
        <v>0</v>
      </c>
      <c r="AT42" s="230">
        <v>0</v>
      </c>
      <c r="AU42" s="230">
        <v>0</v>
      </c>
      <c r="AV42" s="231">
        <v>0</v>
      </c>
      <c r="AW42" s="230">
        <v>0</v>
      </c>
      <c r="AX42" s="230">
        <v>0</v>
      </c>
      <c r="AY42" s="230">
        <v>0</v>
      </c>
      <c r="AZ42" s="231">
        <v>0</v>
      </c>
      <c r="BA42" s="230">
        <v>0</v>
      </c>
      <c r="BB42" s="230">
        <v>0</v>
      </c>
      <c r="BC42" s="230">
        <v>0</v>
      </c>
      <c r="BD42" s="231">
        <v>0</v>
      </c>
      <c r="BE42" s="230">
        <v>0</v>
      </c>
      <c r="BF42" s="230">
        <v>0</v>
      </c>
      <c r="BG42" s="230">
        <v>0</v>
      </c>
      <c r="BH42" s="231">
        <v>0</v>
      </c>
      <c r="BI42" s="37">
        <v>0</v>
      </c>
      <c r="BJ42" s="37">
        <v>0</v>
      </c>
      <c r="BK42" s="37">
        <v>0</v>
      </c>
      <c r="BL42" s="222">
        <v>0</v>
      </c>
      <c r="BM42" s="230">
        <v>0</v>
      </c>
      <c r="BN42" s="230">
        <v>0</v>
      </c>
      <c r="BO42" s="230">
        <v>0</v>
      </c>
      <c r="BP42" s="231">
        <v>0</v>
      </c>
      <c r="BQ42" s="230" t="s">
        <v>257</v>
      </c>
      <c r="BR42" s="230" t="s">
        <v>257</v>
      </c>
      <c r="BS42" s="230" t="s">
        <v>257</v>
      </c>
      <c r="BT42" s="231" t="s">
        <v>257</v>
      </c>
      <c r="BU42" s="229">
        <v>0</v>
      </c>
      <c r="BV42" s="229">
        <v>0</v>
      </c>
      <c r="BW42" s="229">
        <v>0</v>
      </c>
      <c r="BX42" s="223">
        <v>0</v>
      </c>
      <c r="BY42" s="225">
        <v>0</v>
      </c>
      <c r="BZ42" s="225">
        <v>0</v>
      </c>
      <c r="CA42" s="225">
        <v>0</v>
      </c>
      <c r="CB42" s="225">
        <v>0</v>
      </c>
    </row>
    <row r="43" spans="1:80" s="37" customFormat="1" x14ac:dyDescent="0.35">
      <c r="A43" s="417"/>
      <c r="B43" s="217" t="s">
        <v>97</v>
      </c>
      <c r="C43" s="218" t="s">
        <v>92</v>
      </c>
      <c r="D43" s="219" t="s">
        <v>28</v>
      </c>
      <c r="E43" s="6">
        <v>0</v>
      </c>
      <c r="F43" s="220">
        <v>0</v>
      </c>
      <c r="G43" s="221" t="s">
        <v>389</v>
      </c>
      <c r="H43" s="221" t="s">
        <v>390</v>
      </c>
      <c r="I43" s="224">
        <v>0</v>
      </c>
      <c r="J43" s="320" t="str">
        <f>B38</f>
        <v>Product/Reactant12</v>
      </c>
      <c r="K43" s="224">
        <v>0</v>
      </c>
      <c r="L43" s="224">
        <v>0</v>
      </c>
      <c r="M43" s="323">
        <v>0</v>
      </c>
      <c r="N43" s="224">
        <v>0</v>
      </c>
      <c r="O43" s="224">
        <v>0</v>
      </c>
      <c r="P43" s="222">
        <v>0</v>
      </c>
      <c r="Q43" s="37" t="s">
        <v>211</v>
      </c>
      <c r="R43" s="37" t="s">
        <v>211</v>
      </c>
      <c r="S43" s="37" t="s">
        <v>211</v>
      </c>
      <c r="T43" s="222" t="s">
        <v>211</v>
      </c>
      <c r="U43" s="37">
        <v>0</v>
      </c>
      <c r="V43" s="37">
        <v>0</v>
      </c>
      <c r="W43" s="37">
        <v>0</v>
      </c>
      <c r="X43" s="222">
        <v>0</v>
      </c>
      <c r="Y43" s="37">
        <v>0</v>
      </c>
      <c r="Z43" s="37">
        <v>0</v>
      </c>
      <c r="AA43" s="37">
        <v>0</v>
      </c>
      <c r="AB43" s="222">
        <v>0</v>
      </c>
      <c r="AC43" s="225">
        <v>0</v>
      </c>
      <c r="AD43" s="225">
        <v>0</v>
      </c>
      <c r="AE43" s="225">
        <v>0</v>
      </c>
      <c r="AF43" s="226">
        <v>0</v>
      </c>
      <c r="AG43" s="225">
        <v>0</v>
      </c>
      <c r="AH43" s="225">
        <v>0</v>
      </c>
      <c r="AI43" s="225">
        <v>0</v>
      </c>
      <c r="AJ43" s="226">
        <v>0</v>
      </c>
      <c r="AK43" s="225">
        <v>0</v>
      </c>
      <c r="AL43" s="225">
        <v>0</v>
      </c>
      <c r="AM43" s="225">
        <v>0</v>
      </c>
      <c r="AN43" s="226">
        <v>0</v>
      </c>
      <c r="AO43" s="37">
        <v>0</v>
      </c>
      <c r="AP43" s="37">
        <v>0</v>
      </c>
      <c r="AQ43" s="37">
        <v>0</v>
      </c>
      <c r="AR43" s="222">
        <v>0</v>
      </c>
      <c r="AS43" s="37">
        <v>0</v>
      </c>
      <c r="AT43" s="37">
        <v>0</v>
      </c>
      <c r="AU43" s="37">
        <v>0</v>
      </c>
      <c r="AV43" s="222">
        <v>0</v>
      </c>
      <c r="AW43" s="37">
        <v>0</v>
      </c>
      <c r="AX43" s="37">
        <v>0</v>
      </c>
      <c r="AY43" s="37">
        <v>0</v>
      </c>
      <c r="AZ43" s="222">
        <v>0</v>
      </c>
      <c r="BA43" s="37">
        <v>0</v>
      </c>
      <c r="BB43" s="37">
        <v>0</v>
      </c>
      <c r="BC43" s="37">
        <v>0</v>
      </c>
      <c r="BD43" s="222">
        <v>0</v>
      </c>
      <c r="BE43" s="37">
        <v>0</v>
      </c>
      <c r="BF43" s="37">
        <v>0</v>
      </c>
      <c r="BG43" s="37">
        <v>0</v>
      </c>
      <c r="BH43" s="222">
        <v>0</v>
      </c>
      <c r="BI43" s="37">
        <v>0</v>
      </c>
      <c r="BJ43" s="37">
        <v>0</v>
      </c>
      <c r="BK43" s="37">
        <v>0</v>
      </c>
      <c r="BL43" s="222">
        <v>0</v>
      </c>
      <c r="BM43" s="236">
        <v>0</v>
      </c>
      <c r="BN43" s="230">
        <v>0</v>
      </c>
      <c r="BO43" s="230">
        <v>0</v>
      </c>
      <c r="BP43" s="231">
        <v>0</v>
      </c>
      <c r="BQ43" s="37">
        <v>0</v>
      </c>
      <c r="BR43" s="37">
        <v>0</v>
      </c>
      <c r="BS43" s="37">
        <v>0</v>
      </c>
      <c r="BT43" s="222">
        <v>0</v>
      </c>
      <c r="BU43" s="229">
        <v>0</v>
      </c>
      <c r="BV43" s="229">
        <v>0</v>
      </c>
      <c r="BW43" s="229">
        <v>0</v>
      </c>
      <c r="BX43" s="223">
        <v>0</v>
      </c>
      <c r="BY43" s="225">
        <v>0</v>
      </c>
      <c r="BZ43" s="225">
        <v>0</v>
      </c>
      <c r="CA43" s="225">
        <v>0</v>
      </c>
      <c r="CB43" s="225">
        <v>0</v>
      </c>
    </row>
    <row r="44" spans="1:80" s="78" customFormat="1" x14ac:dyDescent="0.35">
      <c r="A44" s="417"/>
      <c r="B44" s="75" t="s">
        <v>19</v>
      </c>
      <c r="C44" s="82" t="s">
        <v>21</v>
      </c>
      <c r="D44" s="77" t="s">
        <v>26</v>
      </c>
      <c r="E44" s="6">
        <v>0</v>
      </c>
      <c r="F44" s="105">
        <v>0</v>
      </c>
      <c r="G44" s="117" t="s">
        <v>387</v>
      </c>
      <c r="H44" s="117" t="s">
        <v>388</v>
      </c>
      <c r="I44" s="238">
        <v>0</v>
      </c>
      <c r="J44" s="126" t="s">
        <v>12</v>
      </c>
      <c r="K44" s="126">
        <v>0</v>
      </c>
      <c r="L44" s="126">
        <v>0</v>
      </c>
      <c r="M44" s="126">
        <v>0</v>
      </c>
      <c r="N44" s="126">
        <v>0</v>
      </c>
      <c r="O44" s="126">
        <v>0</v>
      </c>
      <c r="P44" s="136">
        <v>0</v>
      </c>
      <c r="Q44" s="81">
        <v>0</v>
      </c>
      <c r="R44" s="81">
        <v>0</v>
      </c>
      <c r="S44" s="81">
        <v>0</v>
      </c>
      <c r="T44" s="154">
        <v>0</v>
      </c>
      <c r="U44" s="78">
        <v>0</v>
      </c>
      <c r="V44" s="78">
        <v>0</v>
      </c>
      <c r="W44" s="78">
        <v>0</v>
      </c>
      <c r="X44" s="136">
        <v>0</v>
      </c>
      <c r="Y44" s="78">
        <v>0</v>
      </c>
      <c r="Z44" s="78">
        <v>0</v>
      </c>
      <c r="AA44" s="78">
        <v>0</v>
      </c>
      <c r="AB44" s="136">
        <v>0</v>
      </c>
      <c r="AC44" s="80">
        <v>0</v>
      </c>
      <c r="AD44" s="80">
        <v>0</v>
      </c>
      <c r="AE44" s="80">
        <v>0</v>
      </c>
      <c r="AF44" s="145">
        <v>0</v>
      </c>
      <c r="AG44" s="80">
        <v>0</v>
      </c>
      <c r="AH44" s="80">
        <v>0</v>
      </c>
      <c r="AI44" s="80">
        <v>0</v>
      </c>
      <c r="AJ44" s="145">
        <v>0</v>
      </c>
      <c r="AK44" s="80">
        <v>0</v>
      </c>
      <c r="AL44" s="80">
        <v>0</v>
      </c>
      <c r="AM44" s="80">
        <v>0</v>
      </c>
      <c r="AN44" s="145">
        <v>0</v>
      </c>
      <c r="AO44" s="81">
        <v>0</v>
      </c>
      <c r="AP44" s="81">
        <v>0</v>
      </c>
      <c r="AQ44" s="81">
        <v>0</v>
      </c>
      <c r="AR44" s="154">
        <v>0</v>
      </c>
      <c r="AS44" s="81">
        <v>0</v>
      </c>
      <c r="AT44" s="81">
        <v>0</v>
      </c>
      <c r="AU44" s="81">
        <v>0</v>
      </c>
      <c r="AV44" s="154">
        <v>0</v>
      </c>
      <c r="AW44" s="81">
        <v>0</v>
      </c>
      <c r="AX44" s="81">
        <v>0</v>
      </c>
      <c r="AY44" s="81">
        <v>0</v>
      </c>
      <c r="AZ44" s="154">
        <v>0</v>
      </c>
      <c r="BA44" s="81">
        <v>0</v>
      </c>
      <c r="BB44" s="81">
        <v>0</v>
      </c>
      <c r="BC44" s="81">
        <v>0</v>
      </c>
      <c r="BD44" s="154">
        <v>0</v>
      </c>
      <c r="BE44" s="81">
        <v>0</v>
      </c>
      <c r="BF44" s="81">
        <v>0</v>
      </c>
      <c r="BG44" s="81">
        <v>0</v>
      </c>
      <c r="BH44" s="154">
        <v>0</v>
      </c>
      <c r="BI44" s="81">
        <v>0</v>
      </c>
      <c r="BJ44" s="81">
        <v>0</v>
      </c>
      <c r="BK44" s="81">
        <v>0</v>
      </c>
      <c r="BL44" s="154">
        <v>0</v>
      </c>
      <c r="BM44" s="81">
        <v>0</v>
      </c>
      <c r="BN44" s="81">
        <v>0</v>
      </c>
      <c r="BO44" s="81">
        <v>0</v>
      </c>
      <c r="BP44" s="154">
        <v>0</v>
      </c>
      <c r="BQ44" s="81">
        <v>0</v>
      </c>
      <c r="BR44" s="81">
        <v>0</v>
      </c>
      <c r="BS44" s="81">
        <v>0</v>
      </c>
      <c r="BT44" s="154">
        <v>0</v>
      </c>
      <c r="BU44" s="79">
        <v>0</v>
      </c>
      <c r="BV44" s="79">
        <v>0</v>
      </c>
      <c r="BW44" s="79">
        <v>0</v>
      </c>
      <c r="BX44" s="163">
        <v>0</v>
      </c>
      <c r="BY44" s="80">
        <v>0</v>
      </c>
      <c r="BZ44" s="80">
        <v>0</v>
      </c>
      <c r="CA44" s="80">
        <v>0</v>
      </c>
      <c r="CB44" s="80">
        <v>0</v>
      </c>
    </row>
    <row r="45" spans="1:80" s="78" customFormat="1" x14ac:dyDescent="0.35">
      <c r="A45" s="417"/>
      <c r="B45" s="75" t="s">
        <v>20</v>
      </c>
      <c r="C45" s="82" t="s">
        <v>22</v>
      </c>
      <c r="D45" s="77" t="s">
        <v>27</v>
      </c>
      <c r="E45" s="6">
        <v>0</v>
      </c>
      <c r="F45" s="105">
        <v>0</v>
      </c>
      <c r="G45" s="117" t="s">
        <v>387</v>
      </c>
      <c r="H45" s="117" t="s">
        <v>388</v>
      </c>
      <c r="I45" s="238">
        <v>0</v>
      </c>
      <c r="J45" s="126" t="s">
        <v>12</v>
      </c>
      <c r="K45" s="238">
        <v>0</v>
      </c>
      <c r="L45" s="126">
        <v>0</v>
      </c>
      <c r="M45" s="126">
        <v>0</v>
      </c>
      <c r="N45" s="238">
        <v>0</v>
      </c>
      <c r="O45" s="126">
        <v>0</v>
      </c>
      <c r="P45" s="136">
        <v>0</v>
      </c>
      <c r="Q45" s="81">
        <v>0</v>
      </c>
      <c r="R45" s="81">
        <v>0</v>
      </c>
      <c r="S45" s="81">
        <v>0</v>
      </c>
      <c r="T45" s="154">
        <v>0</v>
      </c>
      <c r="U45" s="78">
        <v>0</v>
      </c>
      <c r="V45" s="78">
        <v>0</v>
      </c>
      <c r="W45" s="78">
        <v>0</v>
      </c>
      <c r="X45" s="136">
        <v>0</v>
      </c>
      <c r="Y45" s="78">
        <v>0</v>
      </c>
      <c r="Z45" s="78">
        <v>0</v>
      </c>
      <c r="AA45" s="78">
        <v>0</v>
      </c>
      <c r="AB45" s="136">
        <v>0</v>
      </c>
      <c r="AC45" s="80">
        <v>0</v>
      </c>
      <c r="AD45" s="80">
        <v>0</v>
      </c>
      <c r="AE45" s="80">
        <v>0</v>
      </c>
      <c r="AF45" s="145">
        <v>0</v>
      </c>
      <c r="AG45" s="80">
        <v>0</v>
      </c>
      <c r="AH45" s="80">
        <v>0</v>
      </c>
      <c r="AI45" s="80">
        <v>0</v>
      </c>
      <c r="AJ45" s="145">
        <v>0</v>
      </c>
      <c r="AK45" s="80">
        <v>0</v>
      </c>
      <c r="AL45" s="80">
        <v>0</v>
      </c>
      <c r="AM45" s="80">
        <v>0</v>
      </c>
      <c r="AN45" s="145">
        <v>0</v>
      </c>
      <c r="AO45" s="81">
        <v>0</v>
      </c>
      <c r="AP45" s="81">
        <v>0</v>
      </c>
      <c r="AQ45" s="81">
        <v>0</v>
      </c>
      <c r="AR45" s="154">
        <v>0</v>
      </c>
      <c r="AS45" s="81">
        <v>0</v>
      </c>
      <c r="AT45" s="81">
        <v>0</v>
      </c>
      <c r="AU45" s="81">
        <v>0</v>
      </c>
      <c r="AV45" s="154">
        <v>0</v>
      </c>
      <c r="AW45" s="81">
        <v>0</v>
      </c>
      <c r="AX45" s="81">
        <v>0</v>
      </c>
      <c r="AY45" s="81">
        <v>0</v>
      </c>
      <c r="AZ45" s="154">
        <v>0</v>
      </c>
      <c r="BA45" s="81">
        <v>0</v>
      </c>
      <c r="BB45" s="81">
        <v>0</v>
      </c>
      <c r="BC45" s="81">
        <v>0</v>
      </c>
      <c r="BD45" s="154">
        <v>0</v>
      </c>
      <c r="BE45" s="239">
        <v>0</v>
      </c>
      <c r="BF45" s="239">
        <v>0</v>
      </c>
      <c r="BG45" s="81">
        <v>0</v>
      </c>
      <c r="BH45" s="240">
        <v>0</v>
      </c>
      <c r="BI45" s="81">
        <v>0</v>
      </c>
      <c r="BJ45" s="81">
        <v>0</v>
      </c>
      <c r="BK45" s="81">
        <v>0</v>
      </c>
      <c r="BL45" s="154">
        <v>0</v>
      </c>
      <c r="BM45" s="81">
        <v>0</v>
      </c>
      <c r="BN45" s="81">
        <v>0</v>
      </c>
      <c r="BO45" s="81">
        <v>0</v>
      </c>
      <c r="BP45" s="154">
        <v>0</v>
      </c>
      <c r="BQ45" s="81">
        <v>0</v>
      </c>
      <c r="BR45" s="81">
        <v>0</v>
      </c>
      <c r="BS45" s="81">
        <v>0</v>
      </c>
      <c r="BT45" s="154">
        <v>0</v>
      </c>
      <c r="BU45" s="79">
        <v>0</v>
      </c>
      <c r="BV45" s="79">
        <v>0</v>
      </c>
      <c r="BW45" s="79">
        <v>0</v>
      </c>
      <c r="BX45" s="163">
        <v>0</v>
      </c>
      <c r="BY45" s="80">
        <v>0</v>
      </c>
      <c r="BZ45" s="80">
        <v>0</v>
      </c>
      <c r="CA45" s="80">
        <v>0</v>
      </c>
      <c r="CB45" s="80">
        <v>0</v>
      </c>
    </row>
    <row r="46" spans="1:80" s="78" customFormat="1" x14ac:dyDescent="0.35">
      <c r="A46" s="417"/>
      <c r="B46" s="78" t="s">
        <v>180</v>
      </c>
      <c r="C46" s="82" t="s">
        <v>282</v>
      </c>
      <c r="D46" s="77" t="s">
        <v>277</v>
      </c>
      <c r="E46" s="6">
        <v>0</v>
      </c>
      <c r="F46" s="105">
        <v>0</v>
      </c>
      <c r="G46" s="117" t="s">
        <v>387</v>
      </c>
      <c r="H46" s="117" t="s">
        <v>388</v>
      </c>
      <c r="I46" s="238">
        <v>0</v>
      </c>
      <c r="J46" s="126" t="s">
        <v>12</v>
      </c>
      <c r="K46" s="238">
        <v>0</v>
      </c>
      <c r="L46" s="238">
        <v>0</v>
      </c>
      <c r="M46" s="238">
        <v>0</v>
      </c>
      <c r="N46" s="238">
        <v>0</v>
      </c>
      <c r="O46" s="238">
        <v>0</v>
      </c>
      <c r="P46" s="136">
        <v>0</v>
      </c>
      <c r="Q46" s="81">
        <v>0</v>
      </c>
      <c r="R46" s="81">
        <v>0</v>
      </c>
      <c r="S46" s="81">
        <v>0</v>
      </c>
      <c r="T46" s="154">
        <v>0</v>
      </c>
      <c r="U46" s="81">
        <v>0</v>
      </c>
      <c r="V46" s="81">
        <v>0</v>
      </c>
      <c r="W46" s="81">
        <v>0</v>
      </c>
      <c r="X46" s="154">
        <v>0</v>
      </c>
      <c r="Y46" s="81">
        <v>0</v>
      </c>
      <c r="Z46" s="81">
        <v>0</v>
      </c>
      <c r="AA46" s="81">
        <v>0</v>
      </c>
      <c r="AB46" s="154">
        <v>0</v>
      </c>
      <c r="AC46" s="80">
        <v>0</v>
      </c>
      <c r="AD46" s="80">
        <v>0</v>
      </c>
      <c r="AE46" s="80">
        <v>0</v>
      </c>
      <c r="AF46" s="145">
        <v>0</v>
      </c>
      <c r="AG46" s="80">
        <v>0</v>
      </c>
      <c r="AH46" s="80">
        <v>0</v>
      </c>
      <c r="AI46" s="80">
        <v>0</v>
      </c>
      <c r="AJ46" s="145">
        <v>0</v>
      </c>
      <c r="AK46" s="80">
        <v>0</v>
      </c>
      <c r="AL46" s="80">
        <v>0</v>
      </c>
      <c r="AM46" s="80">
        <v>0</v>
      </c>
      <c r="AN46" s="145">
        <v>0</v>
      </c>
      <c r="AO46" s="81">
        <v>0</v>
      </c>
      <c r="AP46" s="81">
        <v>0</v>
      </c>
      <c r="AQ46" s="81">
        <v>0</v>
      </c>
      <c r="AR46" s="154">
        <v>0</v>
      </c>
      <c r="AS46" s="81">
        <v>0</v>
      </c>
      <c r="AT46" s="81">
        <v>0</v>
      </c>
      <c r="AU46" s="81">
        <v>0</v>
      </c>
      <c r="AV46" s="154">
        <v>0</v>
      </c>
      <c r="AW46" s="81">
        <v>0</v>
      </c>
      <c r="AX46" s="81">
        <v>0</v>
      </c>
      <c r="AY46" s="81">
        <v>0</v>
      </c>
      <c r="AZ46" s="154">
        <v>0</v>
      </c>
      <c r="BA46" s="81">
        <v>0</v>
      </c>
      <c r="BB46" s="81">
        <v>0</v>
      </c>
      <c r="BC46" s="81">
        <v>0</v>
      </c>
      <c r="BD46" s="154">
        <v>0</v>
      </c>
      <c r="BE46" s="239">
        <v>0</v>
      </c>
      <c r="BF46" s="239">
        <v>0</v>
      </c>
      <c r="BG46" s="239">
        <v>0</v>
      </c>
      <c r="BH46" s="240">
        <v>0</v>
      </c>
      <c r="BI46" s="81">
        <v>0</v>
      </c>
      <c r="BJ46" s="81">
        <v>0</v>
      </c>
      <c r="BK46" s="81">
        <v>0</v>
      </c>
      <c r="BL46" s="154">
        <v>0</v>
      </c>
      <c r="BM46" s="81">
        <v>0</v>
      </c>
      <c r="BN46" s="81">
        <v>0</v>
      </c>
      <c r="BO46" s="81">
        <v>0</v>
      </c>
      <c r="BP46" s="154">
        <v>0</v>
      </c>
      <c r="BQ46" s="81">
        <v>0</v>
      </c>
      <c r="BR46" s="81">
        <v>0</v>
      </c>
      <c r="BS46" s="81">
        <v>0</v>
      </c>
      <c r="BT46" s="154">
        <v>0</v>
      </c>
      <c r="BU46" s="79">
        <v>0</v>
      </c>
      <c r="BV46" s="79">
        <v>0</v>
      </c>
      <c r="BW46" s="79">
        <v>0</v>
      </c>
      <c r="BX46" s="163">
        <v>0</v>
      </c>
      <c r="BY46" s="80">
        <v>0</v>
      </c>
      <c r="BZ46" s="80">
        <v>0</v>
      </c>
      <c r="CA46" s="80">
        <v>0</v>
      </c>
      <c r="CB46" s="80">
        <v>0</v>
      </c>
    </row>
    <row r="47" spans="1:80" s="87" customFormat="1" x14ac:dyDescent="0.35">
      <c r="A47" s="417"/>
      <c r="B47" s="83" t="s">
        <v>14</v>
      </c>
      <c r="C47" s="241" t="s">
        <v>180</v>
      </c>
      <c r="D47" s="85" t="s">
        <v>29</v>
      </c>
      <c r="E47" s="6">
        <v>0</v>
      </c>
      <c r="F47" s="106">
        <v>0</v>
      </c>
      <c r="G47" s="118" t="s">
        <v>383</v>
      </c>
      <c r="H47" s="118" t="s">
        <v>384</v>
      </c>
      <c r="I47" s="129">
        <v>0</v>
      </c>
      <c r="J47" s="129" t="s">
        <v>12</v>
      </c>
      <c r="K47" s="129">
        <v>0</v>
      </c>
      <c r="L47" s="129">
        <v>0</v>
      </c>
      <c r="M47" s="243">
        <v>0</v>
      </c>
      <c r="N47" s="243">
        <v>0</v>
      </c>
      <c r="O47" s="129">
        <v>0</v>
      </c>
      <c r="P47" s="141">
        <v>0</v>
      </c>
      <c r="Q47" s="87">
        <v>0</v>
      </c>
      <c r="R47" s="87">
        <v>0</v>
      </c>
      <c r="S47" s="87">
        <v>0</v>
      </c>
      <c r="T47" s="141">
        <v>0</v>
      </c>
      <c r="U47" s="87">
        <v>0</v>
      </c>
      <c r="V47" s="87">
        <v>0</v>
      </c>
      <c r="W47" s="87">
        <v>0</v>
      </c>
      <c r="X47" s="141">
        <v>0</v>
      </c>
      <c r="Y47" s="87">
        <v>0</v>
      </c>
      <c r="Z47" s="87">
        <v>0</v>
      </c>
      <c r="AA47" s="87">
        <v>0</v>
      </c>
      <c r="AB47" s="141">
        <v>0</v>
      </c>
      <c r="AC47" s="89">
        <v>0</v>
      </c>
      <c r="AD47" s="89">
        <v>0</v>
      </c>
      <c r="AE47" s="89">
        <v>0</v>
      </c>
      <c r="AF47" s="146">
        <v>0</v>
      </c>
      <c r="AG47" s="89">
        <v>0</v>
      </c>
      <c r="AH47" s="89">
        <v>0</v>
      </c>
      <c r="AI47" s="89">
        <v>0</v>
      </c>
      <c r="AJ47" s="146">
        <v>0</v>
      </c>
      <c r="AK47" s="89">
        <v>0</v>
      </c>
      <c r="AL47" s="89">
        <v>0</v>
      </c>
      <c r="AM47" s="89">
        <v>0</v>
      </c>
      <c r="AN47" s="146">
        <v>0</v>
      </c>
      <c r="AO47" s="87" t="s">
        <v>354</v>
      </c>
      <c r="AP47" s="87" t="s">
        <v>354</v>
      </c>
      <c r="AQ47" s="87" t="s">
        <v>354</v>
      </c>
      <c r="AR47" s="141" t="s">
        <v>354</v>
      </c>
      <c r="AS47" s="87">
        <v>0</v>
      </c>
      <c r="AT47" s="87">
        <v>0</v>
      </c>
      <c r="AU47" s="87">
        <v>0</v>
      </c>
      <c r="AV47" s="141">
        <v>0</v>
      </c>
      <c r="AW47" s="87">
        <v>0</v>
      </c>
      <c r="AX47" s="87">
        <v>0</v>
      </c>
      <c r="AY47" s="87">
        <v>0</v>
      </c>
      <c r="AZ47" s="141">
        <v>0</v>
      </c>
      <c r="BA47" s="87">
        <v>0</v>
      </c>
      <c r="BB47" s="87">
        <v>0</v>
      </c>
      <c r="BC47" s="87">
        <v>0</v>
      </c>
      <c r="BD47" s="141">
        <v>0</v>
      </c>
      <c r="BE47" s="87">
        <v>0</v>
      </c>
      <c r="BF47" s="87">
        <v>0</v>
      </c>
      <c r="BG47" s="87">
        <v>0</v>
      </c>
      <c r="BH47" s="141">
        <v>0</v>
      </c>
      <c r="BI47" s="87">
        <v>0</v>
      </c>
      <c r="BJ47" s="87">
        <v>0</v>
      </c>
      <c r="BK47" s="87">
        <v>0</v>
      </c>
      <c r="BL47" s="141">
        <v>0</v>
      </c>
      <c r="BM47" s="87">
        <v>0</v>
      </c>
      <c r="BN47" s="87">
        <v>0</v>
      </c>
      <c r="BO47" s="87">
        <v>0</v>
      </c>
      <c r="BP47" s="141">
        <v>0</v>
      </c>
      <c r="BQ47" s="87">
        <v>0</v>
      </c>
      <c r="BR47" s="87">
        <v>0</v>
      </c>
      <c r="BS47" s="87">
        <v>0</v>
      </c>
      <c r="BT47" s="141">
        <v>0</v>
      </c>
      <c r="BU47" s="86">
        <v>0</v>
      </c>
      <c r="BV47" s="86">
        <v>0</v>
      </c>
      <c r="BW47" s="86">
        <v>0</v>
      </c>
      <c r="BX47" s="164">
        <v>0</v>
      </c>
      <c r="BY47" s="89">
        <v>0</v>
      </c>
      <c r="BZ47" s="89">
        <v>0</v>
      </c>
      <c r="CA47" s="89">
        <v>0</v>
      </c>
      <c r="CB47" s="89">
        <v>0</v>
      </c>
    </row>
    <row r="48" spans="1:80" s="87" customFormat="1" x14ac:dyDescent="0.35">
      <c r="A48" s="417"/>
      <c r="B48" s="83" t="s">
        <v>15</v>
      </c>
      <c r="C48" s="241" t="s">
        <v>180</v>
      </c>
      <c r="D48" s="85" t="s">
        <v>30</v>
      </c>
      <c r="E48" s="6">
        <v>0</v>
      </c>
      <c r="F48" s="106">
        <v>0</v>
      </c>
      <c r="G48" s="118" t="s">
        <v>383</v>
      </c>
      <c r="H48" s="118" t="s">
        <v>384</v>
      </c>
      <c r="I48" s="129">
        <v>0</v>
      </c>
      <c r="J48" s="129" t="s">
        <v>12</v>
      </c>
      <c r="K48" s="129">
        <v>0</v>
      </c>
      <c r="L48" s="129">
        <v>0</v>
      </c>
      <c r="M48" s="243">
        <v>0</v>
      </c>
      <c r="N48" s="129">
        <v>0</v>
      </c>
      <c r="O48" s="129">
        <v>0</v>
      </c>
      <c r="P48" s="141">
        <v>0</v>
      </c>
      <c r="Q48" s="244">
        <v>0</v>
      </c>
      <c r="R48" s="244">
        <v>0</v>
      </c>
      <c r="S48" s="244">
        <v>0</v>
      </c>
      <c r="T48" s="242">
        <v>0</v>
      </c>
      <c r="U48" s="87">
        <v>0</v>
      </c>
      <c r="V48" s="87">
        <v>0</v>
      </c>
      <c r="W48" s="87">
        <v>0</v>
      </c>
      <c r="X48" s="141">
        <v>0</v>
      </c>
      <c r="Y48" s="87">
        <v>0</v>
      </c>
      <c r="Z48" s="87">
        <v>0</v>
      </c>
      <c r="AA48" s="87">
        <v>0</v>
      </c>
      <c r="AB48" s="141">
        <v>0</v>
      </c>
      <c r="AC48" s="89">
        <v>0</v>
      </c>
      <c r="AD48" s="89">
        <v>0</v>
      </c>
      <c r="AE48" s="89">
        <v>0</v>
      </c>
      <c r="AF48" s="146">
        <v>0</v>
      </c>
      <c r="AG48" s="89">
        <v>0</v>
      </c>
      <c r="AH48" s="89">
        <v>0</v>
      </c>
      <c r="AI48" s="89">
        <v>0</v>
      </c>
      <c r="AJ48" s="146">
        <v>0</v>
      </c>
      <c r="AK48" s="89">
        <v>0</v>
      </c>
      <c r="AL48" s="89">
        <v>0</v>
      </c>
      <c r="AM48" s="89">
        <v>0</v>
      </c>
      <c r="AN48" s="146">
        <v>0</v>
      </c>
      <c r="AO48" s="87">
        <v>0</v>
      </c>
      <c r="AP48" s="87">
        <v>0</v>
      </c>
      <c r="AQ48" s="87">
        <v>0</v>
      </c>
      <c r="AR48" s="141">
        <v>0</v>
      </c>
      <c r="AS48" s="87">
        <v>0</v>
      </c>
      <c r="AT48" s="87">
        <v>0</v>
      </c>
      <c r="AU48" s="87">
        <v>0</v>
      </c>
      <c r="AV48" s="141">
        <v>0</v>
      </c>
      <c r="AW48" s="87">
        <v>0</v>
      </c>
      <c r="AX48" s="87">
        <v>0</v>
      </c>
      <c r="AY48" s="87">
        <v>0</v>
      </c>
      <c r="AZ48" s="141">
        <v>0</v>
      </c>
      <c r="BA48" s="87">
        <v>0</v>
      </c>
      <c r="BB48" s="87">
        <v>0</v>
      </c>
      <c r="BC48" s="87">
        <v>0</v>
      </c>
      <c r="BD48" s="141">
        <v>0</v>
      </c>
      <c r="BE48" s="87">
        <v>0</v>
      </c>
      <c r="BF48" s="87">
        <v>0</v>
      </c>
      <c r="BG48" s="87">
        <v>0</v>
      </c>
      <c r="BH48" s="141">
        <v>0</v>
      </c>
      <c r="BI48" s="87">
        <v>0</v>
      </c>
      <c r="BJ48" s="87">
        <v>0</v>
      </c>
      <c r="BK48" s="87">
        <v>0</v>
      </c>
      <c r="BL48" s="141">
        <v>0</v>
      </c>
      <c r="BM48" s="87">
        <v>0</v>
      </c>
      <c r="BN48" s="87">
        <v>0</v>
      </c>
      <c r="BO48" s="87">
        <v>0</v>
      </c>
      <c r="BP48" s="141">
        <v>0</v>
      </c>
      <c r="BQ48" s="87">
        <v>0</v>
      </c>
      <c r="BR48" s="87">
        <v>0</v>
      </c>
      <c r="BS48" s="87">
        <v>0</v>
      </c>
      <c r="BT48" s="141">
        <v>0</v>
      </c>
      <c r="BU48" s="86">
        <v>0</v>
      </c>
      <c r="BV48" s="86">
        <v>0</v>
      </c>
      <c r="BW48" s="86">
        <v>0</v>
      </c>
      <c r="BX48" s="164">
        <v>0</v>
      </c>
      <c r="BY48" s="89">
        <v>0</v>
      </c>
      <c r="BZ48" s="89">
        <v>0</v>
      </c>
      <c r="CA48" s="89">
        <v>0</v>
      </c>
      <c r="CB48" s="89">
        <v>0</v>
      </c>
    </row>
    <row r="49" spans="1:80" s="87" customFormat="1" x14ac:dyDescent="0.35">
      <c r="A49" s="417"/>
      <c r="B49" s="83" t="s">
        <v>16</v>
      </c>
      <c r="C49" s="241" t="s">
        <v>180</v>
      </c>
      <c r="D49" s="245" t="s">
        <v>31</v>
      </c>
      <c r="E49" s="6">
        <v>0</v>
      </c>
      <c r="F49" s="106">
        <v>0</v>
      </c>
      <c r="G49" s="118" t="s">
        <v>384</v>
      </c>
      <c r="H49" s="118" t="s">
        <v>384</v>
      </c>
      <c r="I49" s="129">
        <v>0</v>
      </c>
      <c r="J49" s="129" t="s">
        <v>12</v>
      </c>
      <c r="K49" s="129">
        <v>0</v>
      </c>
      <c r="L49" s="129">
        <v>0</v>
      </c>
      <c r="M49" s="243">
        <v>0</v>
      </c>
      <c r="N49" s="129">
        <v>0</v>
      </c>
      <c r="O49" s="129">
        <v>0</v>
      </c>
      <c r="P49" s="141">
        <v>0</v>
      </c>
      <c r="Q49" s="244">
        <v>0</v>
      </c>
      <c r="R49" s="244">
        <v>0</v>
      </c>
      <c r="S49" s="244">
        <v>0</v>
      </c>
      <c r="T49" s="242">
        <v>0</v>
      </c>
      <c r="U49" s="87">
        <v>0</v>
      </c>
      <c r="V49" s="87">
        <v>0</v>
      </c>
      <c r="W49" s="87">
        <v>0</v>
      </c>
      <c r="X49" s="141">
        <v>0</v>
      </c>
      <c r="Y49" s="87">
        <v>0</v>
      </c>
      <c r="Z49" s="87">
        <v>0</v>
      </c>
      <c r="AA49" s="87">
        <v>0</v>
      </c>
      <c r="AB49" s="141">
        <v>0</v>
      </c>
      <c r="AC49" s="89" t="s">
        <v>212</v>
      </c>
      <c r="AD49" s="89" t="s">
        <v>212</v>
      </c>
      <c r="AE49" s="89" t="s">
        <v>212</v>
      </c>
      <c r="AF49" s="146" t="s">
        <v>212</v>
      </c>
      <c r="AG49" s="89">
        <v>0</v>
      </c>
      <c r="AH49" s="89">
        <v>0</v>
      </c>
      <c r="AI49" s="89">
        <v>0</v>
      </c>
      <c r="AJ49" s="146">
        <v>0</v>
      </c>
      <c r="AK49" s="89">
        <v>0</v>
      </c>
      <c r="AL49" s="89">
        <v>0</v>
      </c>
      <c r="AM49" s="89">
        <v>0</v>
      </c>
      <c r="AN49" s="146">
        <v>0</v>
      </c>
      <c r="AO49" s="87">
        <v>0</v>
      </c>
      <c r="AP49" s="87">
        <v>0</v>
      </c>
      <c r="AQ49" s="87">
        <v>0</v>
      </c>
      <c r="AR49" s="141">
        <v>0</v>
      </c>
      <c r="AS49" s="87" t="s">
        <v>261</v>
      </c>
      <c r="AT49" s="87" t="s">
        <v>261</v>
      </c>
      <c r="AU49" s="87">
        <v>0</v>
      </c>
      <c r="AV49" s="141" t="s">
        <v>262</v>
      </c>
      <c r="AW49" s="87" t="s">
        <v>263</v>
      </c>
      <c r="AX49" s="87" t="s">
        <v>263</v>
      </c>
      <c r="AY49" s="87" t="s">
        <v>263</v>
      </c>
      <c r="AZ49" s="141" t="s">
        <v>263</v>
      </c>
      <c r="BA49" s="87">
        <v>0</v>
      </c>
      <c r="BB49" s="87">
        <v>0</v>
      </c>
      <c r="BC49" s="87">
        <v>0</v>
      </c>
      <c r="BD49" s="141">
        <v>0</v>
      </c>
      <c r="BE49" s="87">
        <v>0</v>
      </c>
      <c r="BF49" s="87">
        <v>0</v>
      </c>
      <c r="BG49" s="87">
        <v>0</v>
      </c>
      <c r="BH49" s="141">
        <v>0</v>
      </c>
      <c r="BI49" s="87">
        <v>0</v>
      </c>
      <c r="BJ49" s="87">
        <v>0</v>
      </c>
      <c r="BK49" s="87">
        <v>0</v>
      </c>
      <c r="BL49" s="141">
        <v>0</v>
      </c>
      <c r="BM49" s="87">
        <v>0</v>
      </c>
      <c r="BN49" s="87">
        <v>0</v>
      </c>
      <c r="BO49" s="87">
        <v>0</v>
      </c>
      <c r="BP49" s="141">
        <v>0</v>
      </c>
      <c r="BQ49" s="87">
        <v>0</v>
      </c>
      <c r="BR49" s="87">
        <v>0</v>
      </c>
      <c r="BS49" s="87">
        <v>0</v>
      </c>
      <c r="BT49" s="141">
        <v>0</v>
      </c>
      <c r="BU49" s="86" t="s">
        <v>353</v>
      </c>
      <c r="BV49" s="86" t="s">
        <v>353</v>
      </c>
      <c r="BW49" s="86" t="s">
        <v>353</v>
      </c>
      <c r="BX49" s="164" t="s">
        <v>353</v>
      </c>
      <c r="BY49" s="89">
        <v>0</v>
      </c>
      <c r="BZ49" s="89">
        <v>0</v>
      </c>
      <c r="CA49" s="89">
        <v>0</v>
      </c>
      <c r="CB49" s="89">
        <v>0</v>
      </c>
    </row>
    <row r="50" spans="1:80" s="47" customFormat="1" x14ac:dyDescent="0.35">
      <c r="A50" s="417"/>
      <c r="B50" s="43" t="s">
        <v>14</v>
      </c>
      <c r="C50" s="246" t="s">
        <v>180</v>
      </c>
      <c r="D50" s="247" t="s">
        <v>111</v>
      </c>
      <c r="E50" s="6">
        <v>0</v>
      </c>
      <c r="F50" s="103">
        <v>0</v>
      </c>
      <c r="G50" s="115" t="s">
        <v>383</v>
      </c>
      <c r="H50" s="115" t="s">
        <v>384</v>
      </c>
      <c r="I50" s="128">
        <v>0</v>
      </c>
      <c r="J50" s="128" t="s">
        <v>12</v>
      </c>
      <c r="K50" s="128">
        <v>0</v>
      </c>
      <c r="L50" s="128">
        <v>0</v>
      </c>
      <c r="M50" s="324">
        <v>0</v>
      </c>
      <c r="N50" s="128">
        <v>0</v>
      </c>
      <c r="O50" s="128">
        <v>0</v>
      </c>
      <c r="P50" s="157">
        <v>0</v>
      </c>
      <c r="Q50" s="53">
        <v>0</v>
      </c>
      <c r="R50" s="53">
        <v>0</v>
      </c>
      <c r="S50" s="53">
        <v>0</v>
      </c>
      <c r="T50" s="150">
        <v>0</v>
      </c>
      <c r="U50" s="47">
        <v>0</v>
      </c>
      <c r="V50" s="47">
        <v>0</v>
      </c>
      <c r="W50" s="47">
        <v>0</v>
      </c>
      <c r="X50" s="157">
        <v>0</v>
      </c>
      <c r="Y50" s="47">
        <v>0</v>
      </c>
      <c r="Z50" s="47">
        <v>0</v>
      </c>
      <c r="AA50" s="47">
        <v>0</v>
      </c>
      <c r="AB50" s="157">
        <v>0</v>
      </c>
      <c r="AC50" s="50">
        <v>0</v>
      </c>
      <c r="AD50" s="50">
        <v>0</v>
      </c>
      <c r="AE50" s="50">
        <v>0</v>
      </c>
      <c r="AF50" s="143">
        <v>0</v>
      </c>
      <c r="AG50" s="50">
        <v>0</v>
      </c>
      <c r="AH50" s="50">
        <v>0</v>
      </c>
      <c r="AI50" s="50">
        <v>0</v>
      </c>
      <c r="AJ50" s="143">
        <v>0</v>
      </c>
      <c r="AK50" s="50">
        <v>0</v>
      </c>
      <c r="AL50" s="50">
        <v>0</v>
      </c>
      <c r="AM50" s="50">
        <v>0</v>
      </c>
      <c r="AN50" s="143">
        <v>0</v>
      </c>
      <c r="AO50" s="47" t="s">
        <v>264</v>
      </c>
      <c r="AP50" s="47" t="s">
        <v>264</v>
      </c>
      <c r="AQ50" s="47" t="s">
        <v>264</v>
      </c>
      <c r="AR50" s="157" t="s">
        <v>264</v>
      </c>
      <c r="AS50" s="47">
        <v>0</v>
      </c>
      <c r="AT50" s="47">
        <v>0</v>
      </c>
      <c r="AU50" s="47">
        <v>0</v>
      </c>
      <c r="AV50" s="157">
        <v>0</v>
      </c>
      <c r="AW50" s="47">
        <v>0</v>
      </c>
      <c r="AX50" s="47">
        <v>0</v>
      </c>
      <c r="AY50" s="47">
        <v>0</v>
      </c>
      <c r="AZ50" s="157">
        <v>0</v>
      </c>
      <c r="BA50" s="47">
        <v>0</v>
      </c>
      <c r="BB50" s="47">
        <v>0</v>
      </c>
      <c r="BC50" s="47">
        <v>0</v>
      </c>
      <c r="BD50" s="157">
        <v>0</v>
      </c>
      <c r="BE50" s="47">
        <v>0</v>
      </c>
      <c r="BF50" s="47">
        <v>0</v>
      </c>
      <c r="BG50" s="47">
        <v>0</v>
      </c>
      <c r="BH50" s="157">
        <v>0</v>
      </c>
      <c r="BI50" s="47">
        <v>0</v>
      </c>
      <c r="BJ50" s="47">
        <v>0</v>
      </c>
      <c r="BK50" s="47">
        <v>0</v>
      </c>
      <c r="BL50" s="157">
        <v>0</v>
      </c>
      <c r="BM50" s="47">
        <v>0</v>
      </c>
      <c r="BN50" s="47">
        <v>0</v>
      </c>
      <c r="BO50" s="47">
        <v>0</v>
      </c>
      <c r="BP50" s="157">
        <v>0</v>
      </c>
      <c r="BQ50" s="47">
        <v>0</v>
      </c>
      <c r="BR50" s="47">
        <v>0</v>
      </c>
      <c r="BS50" s="47">
        <v>0</v>
      </c>
      <c r="BT50" s="157">
        <v>0</v>
      </c>
      <c r="BU50" s="46">
        <v>0</v>
      </c>
      <c r="BV50" s="46">
        <v>0</v>
      </c>
      <c r="BW50" s="46">
        <v>0</v>
      </c>
      <c r="BX50" s="168">
        <v>0</v>
      </c>
      <c r="BY50" s="50">
        <v>0</v>
      </c>
      <c r="BZ50" s="50">
        <v>0</v>
      </c>
      <c r="CA50" s="50">
        <v>0</v>
      </c>
      <c r="CB50" s="50">
        <v>0</v>
      </c>
    </row>
    <row r="51" spans="1:80" s="47" customFormat="1" x14ac:dyDescent="0.35">
      <c r="A51" s="417"/>
      <c r="B51" s="43" t="s">
        <v>15</v>
      </c>
      <c r="C51" s="246" t="s">
        <v>180</v>
      </c>
      <c r="D51" s="247" t="s">
        <v>112</v>
      </c>
      <c r="E51" s="6">
        <v>0</v>
      </c>
      <c r="F51" s="103">
        <v>0</v>
      </c>
      <c r="G51" s="115" t="s">
        <v>383</v>
      </c>
      <c r="H51" s="115" t="s">
        <v>384</v>
      </c>
      <c r="I51" s="128">
        <v>0</v>
      </c>
      <c r="J51" s="128" t="s">
        <v>12</v>
      </c>
      <c r="K51" s="128">
        <v>0</v>
      </c>
      <c r="L51" s="128">
        <v>0</v>
      </c>
      <c r="M51" s="324">
        <v>0</v>
      </c>
      <c r="N51" s="128">
        <v>0</v>
      </c>
      <c r="O51" s="128">
        <v>0</v>
      </c>
      <c r="P51" s="157">
        <v>0</v>
      </c>
      <c r="Q51" s="53">
        <v>0</v>
      </c>
      <c r="R51" s="53">
        <v>0</v>
      </c>
      <c r="S51" s="53">
        <v>0</v>
      </c>
      <c r="T51" s="150">
        <v>0</v>
      </c>
      <c r="U51" s="47">
        <v>0</v>
      </c>
      <c r="V51" s="47">
        <v>0</v>
      </c>
      <c r="W51" s="47">
        <v>0</v>
      </c>
      <c r="X51" s="157">
        <v>0</v>
      </c>
      <c r="Y51" s="47">
        <v>0</v>
      </c>
      <c r="Z51" s="47">
        <v>0</v>
      </c>
      <c r="AA51" s="47">
        <v>0</v>
      </c>
      <c r="AB51" s="157">
        <v>0</v>
      </c>
      <c r="AC51" s="50">
        <v>0</v>
      </c>
      <c r="AD51" s="50">
        <v>0</v>
      </c>
      <c r="AE51" s="50">
        <v>0</v>
      </c>
      <c r="AF51" s="143">
        <v>0</v>
      </c>
      <c r="AG51" s="50">
        <v>0</v>
      </c>
      <c r="AH51" s="50">
        <v>0</v>
      </c>
      <c r="AI51" s="50">
        <v>0</v>
      </c>
      <c r="AJ51" s="143">
        <v>0</v>
      </c>
      <c r="AK51" s="50">
        <v>0</v>
      </c>
      <c r="AL51" s="50">
        <v>0</v>
      </c>
      <c r="AM51" s="50">
        <v>0</v>
      </c>
      <c r="AN51" s="143">
        <v>0</v>
      </c>
      <c r="AO51" s="47">
        <v>0</v>
      </c>
      <c r="AP51" s="47">
        <v>0</v>
      </c>
      <c r="AQ51" s="47">
        <v>0</v>
      </c>
      <c r="AR51" s="157">
        <v>0</v>
      </c>
      <c r="AS51" s="47">
        <v>0</v>
      </c>
      <c r="AT51" s="47">
        <v>0</v>
      </c>
      <c r="AU51" s="47">
        <v>0</v>
      </c>
      <c r="AV51" s="157">
        <v>0</v>
      </c>
      <c r="AW51" s="47">
        <v>0</v>
      </c>
      <c r="AX51" s="47">
        <v>0</v>
      </c>
      <c r="AY51" s="47">
        <v>0</v>
      </c>
      <c r="AZ51" s="157">
        <v>0</v>
      </c>
      <c r="BA51" s="47">
        <v>0</v>
      </c>
      <c r="BB51" s="47">
        <v>0</v>
      </c>
      <c r="BC51" s="47">
        <v>0</v>
      </c>
      <c r="BD51" s="157">
        <v>0</v>
      </c>
      <c r="BE51" s="47">
        <v>0</v>
      </c>
      <c r="BF51" s="47">
        <v>0</v>
      </c>
      <c r="BG51" s="47">
        <v>0</v>
      </c>
      <c r="BH51" s="157">
        <v>0</v>
      </c>
      <c r="BI51" s="47">
        <v>0</v>
      </c>
      <c r="BJ51" s="47">
        <v>0</v>
      </c>
      <c r="BK51" s="47">
        <v>0</v>
      </c>
      <c r="BL51" s="157">
        <v>0</v>
      </c>
      <c r="BM51" s="47">
        <v>0</v>
      </c>
      <c r="BN51" s="47">
        <v>0</v>
      </c>
      <c r="BO51" s="47">
        <v>0</v>
      </c>
      <c r="BP51" s="157">
        <v>0</v>
      </c>
      <c r="BQ51" s="47">
        <v>0</v>
      </c>
      <c r="BR51" s="47">
        <v>0</v>
      </c>
      <c r="BS51" s="47">
        <v>0</v>
      </c>
      <c r="BT51" s="157">
        <v>0</v>
      </c>
      <c r="BU51" s="46">
        <v>0</v>
      </c>
      <c r="BV51" s="46">
        <v>0</v>
      </c>
      <c r="BW51" s="46">
        <v>0</v>
      </c>
      <c r="BX51" s="168">
        <v>0</v>
      </c>
      <c r="BY51" s="50">
        <v>0</v>
      </c>
      <c r="BZ51" s="50">
        <v>0</v>
      </c>
      <c r="CA51" s="50">
        <v>0</v>
      </c>
      <c r="CB51" s="50">
        <v>0</v>
      </c>
    </row>
    <row r="52" spans="1:80" s="47" customFormat="1" x14ac:dyDescent="0.35">
      <c r="A52" s="417"/>
      <c r="B52" s="43" t="s">
        <v>16</v>
      </c>
      <c r="C52" s="246" t="s">
        <v>180</v>
      </c>
      <c r="D52" s="247" t="s">
        <v>113</v>
      </c>
      <c r="E52" s="6">
        <v>0</v>
      </c>
      <c r="F52" s="103">
        <v>0</v>
      </c>
      <c r="G52" s="115" t="s">
        <v>384</v>
      </c>
      <c r="H52" s="115" t="s">
        <v>384</v>
      </c>
      <c r="I52" s="128">
        <v>0</v>
      </c>
      <c r="J52" s="128" t="s">
        <v>12</v>
      </c>
      <c r="K52" s="128">
        <v>0</v>
      </c>
      <c r="L52" s="128">
        <v>0</v>
      </c>
      <c r="M52" s="324">
        <v>0</v>
      </c>
      <c r="N52" s="128">
        <v>0</v>
      </c>
      <c r="O52" s="128">
        <v>0</v>
      </c>
      <c r="P52" s="157">
        <v>0</v>
      </c>
      <c r="Q52" s="47">
        <v>0</v>
      </c>
      <c r="R52" s="47">
        <v>0</v>
      </c>
      <c r="S52" s="47">
        <v>0</v>
      </c>
      <c r="T52" s="157">
        <v>0</v>
      </c>
      <c r="U52" s="47">
        <v>0</v>
      </c>
      <c r="V52" s="47">
        <v>0</v>
      </c>
      <c r="W52" s="47">
        <v>0</v>
      </c>
      <c r="X52" s="157">
        <v>0</v>
      </c>
      <c r="Y52" s="47">
        <v>0</v>
      </c>
      <c r="Z52" s="47">
        <v>0</v>
      </c>
      <c r="AA52" s="47">
        <v>0</v>
      </c>
      <c r="AB52" s="157">
        <v>0</v>
      </c>
      <c r="AC52" s="50" t="s">
        <v>213</v>
      </c>
      <c r="AD52" s="50" t="s">
        <v>214</v>
      </c>
      <c r="AE52" s="50" t="s">
        <v>214</v>
      </c>
      <c r="AF52" s="143" t="s">
        <v>214</v>
      </c>
      <c r="AG52" s="50">
        <v>0</v>
      </c>
      <c r="AH52" s="50">
        <v>0</v>
      </c>
      <c r="AI52" s="50">
        <v>0</v>
      </c>
      <c r="AJ52" s="143">
        <v>0</v>
      </c>
      <c r="AK52" s="50">
        <v>0</v>
      </c>
      <c r="AL52" s="50">
        <v>0</v>
      </c>
      <c r="AM52" s="50">
        <v>0</v>
      </c>
      <c r="AN52" s="143">
        <v>0</v>
      </c>
      <c r="AO52" s="47">
        <v>0</v>
      </c>
      <c r="AP52" s="47">
        <v>0</v>
      </c>
      <c r="AQ52" s="47">
        <v>0</v>
      </c>
      <c r="AR52" s="157">
        <v>0</v>
      </c>
      <c r="AS52" s="47" t="s">
        <v>265</v>
      </c>
      <c r="AT52" s="47" t="s">
        <v>265</v>
      </c>
      <c r="AU52" s="47" t="s">
        <v>265</v>
      </c>
      <c r="AV52" s="157" t="s">
        <v>265</v>
      </c>
      <c r="AW52" s="47" t="s">
        <v>263</v>
      </c>
      <c r="AX52" s="47" t="s">
        <v>263</v>
      </c>
      <c r="AY52" s="47" t="s">
        <v>263</v>
      </c>
      <c r="AZ52" s="157" t="s">
        <v>263</v>
      </c>
      <c r="BA52" s="47">
        <v>0</v>
      </c>
      <c r="BB52" s="47">
        <v>0</v>
      </c>
      <c r="BC52" s="47">
        <v>0</v>
      </c>
      <c r="BD52" s="157">
        <v>0</v>
      </c>
      <c r="BE52" s="47">
        <v>0</v>
      </c>
      <c r="BF52" s="47">
        <v>0</v>
      </c>
      <c r="BG52" s="47">
        <v>0</v>
      </c>
      <c r="BH52" s="157">
        <v>0</v>
      </c>
      <c r="BI52" s="47">
        <v>0</v>
      </c>
      <c r="BJ52" s="47">
        <v>0</v>
      </c>
      <c r="BK52" s="47">
        <v>0</v>
      </c>
      <c r="BL52" s="157">
        <v>0</v>
      </c>
      <c r="BM52" s="47">
        <v>0</v>
      </c>
      <c r="BN52" s="47">
        <v>0</v>
      </c>
      <c r="BO52" s="47">
        <v>0</v>
      </c>
      <c r="BP52" s="157">
        <v>0</v>
      </c>
      <c r="BQ52" s="47">
        <v>0</v>
      </c>
      <c r="BR52" s="47">
        <v>0</v>
      </c>
      <c r="BS52" s="47">
        <v>0</v>
      </c>
      <c r="BT52" s="157">
        <v>0</v>
      </c>
      <c r="BU52" s="46" t="s">
        <v>353</v>
      </c>
      <c r="BV52" s="46" t="s">
        <v>353</v>
      </c>
      <c r="BW52" s="46" t="s">
        <v>353</v>
      </c>
      <c r="BX52" s="168" t="s">
        <v>353</v>
      </c>
      <c r="BY52" s="50">
        <v>0</v>
      </c>
      <c r="BZ52" s="50">
        <v>0</v>
      </c>
      <c r="CA52" s="50">
        <v>0</v>
      </c>
      <c r="CB52" s="50">
        <v>0</v>
      </c>
    </row>
    <row r="53" spans="1:80" s="345" customFormat="1" ht="14.5" customHeight="1" x14ac:dyDescent="0.35">
      <c r="A53" s="417" t="s">
        <v>17</v>
      </c>
      <c r="B53" s="335" t="s">
        <v>39</v>
      </c>
      <c r="C53" s="336" t="s">
        <v>180</v>
      </c>
      <c r="D53" s="337" t="s">
        <v>36</v>
      </c>
      <c r="E53" s="6">
        <v>0</v>
      </c>
      <c r="F53" s="338">
        <v>0</v>
      </c>
      <c r="G53" s="339" t="s">
        <v>391</v>
      </c>
      <c r="H53" s="339" t="s">
        <v>392</v>
      </c>
      <c r="I53" s="340">
        <v>0</v>
      </c>
      <c r="J53" s="340" t="s">
        <v>12</v>
      </c>
      <c r="K53" s="340">
        <v>0</v>
      </c>
      <c r="L53" s="340">
        <v>0</v>
      </c>
      <c r="M53" s="341">
        <v>0</v>
      </c>
      <c r="N53" s="340">
        <v>0</v>
      </c>
      <c r="O53" s="340">
        <v>0</v>
      </c>
      <c r="P53" s="342">
        <v>0</v>
      </c>
      <c r="Q53" s="343">
        <v>0</v>
      </c>
      <c r="R53" s="343">
        <v>0</v>
      </c>
      <c r="S53" s="343">
        <v>0</v>
      </c>
      <c r="T53" s="344">
        <v>0</v>
      </c>
      <c r="U53" s="345">
        <v>0</v>
      </c>
      <c r="V53" s="345">
        <v>0</v>
      </c>
      <c r="W53" s="345">
        <v>0</v>
      </c>
      <c r="X53" s="342">
        <v>0</v>
      </c>
      <c r="Y53" s="345">
        <v>0</v>
      </c>
      <c r="Z53" s="345">
        <v>0</v>
      </c>
      <c r="AA53" s="345">
        <v>0</v>
      </c>
      <c r="AB53" s="342">
        <v>0</v>
      </c>
      <c r="AC53" s="346">
        <v>0</v>
      </c>
      <c r="AD53" s="346">
        <v>0</v>
      </c>
      <c r="AE53" s="346">
        <v>0</v>
      </c>
      <c r="AF53" s="347">
        <v>0</v>
      </c>
      <c r="AG53" s="346">
        <v>0</v>
      </c>
      <c r="AH53" s="346">
        <v>0</v>
      </c>
      <c r="AI53" s="346">
        <v>0</v>
      </c>
      <c r="AJ53" s="347">
        <v>0</v>
      </c>
      <c r="AK53" s="346">
        <v>0</v>
      </c>
      <c r="AL53" s="346">
        <v>0</v>
      </c>
      <c r="AM53" s="346">
        <v>0</v>
      </c>
      <c r="AN53" s="347">
        <v>0</v>
      </c>
      <c r="AO53" s="345">
        <v>0</v>
      </c>
      <c r="AP53" s="345">
        <v>0</v>
      </c>
      <c r="AQ53" s="345">
        <v>0</v>
      </c>
      <c r="AR53" s="342">
        <v>0</v>
      </c>
      <c r="AS53" s="345" t="s">
        <v>266</v>
      </c>
      <c r="AT53" s="345" t="s">
        <v>267</v>
      </c>
      <c r="AU53" s="345" t="s">
        <v>267</v>
      </c>
      <c r="AV53" s="342" t="s">
        <v>267</v>
      </c>
      <c r="AW53" s="345" t="s">
        <v>266</v>
      </c>
      <c r="AX53" s="345" t="s">
        <v>267</v>
      </c>
      <c r="AY53" s="345" t="s">
        <v>267</v>
      </c>
      <c r="AZ53" s="342" t="s">
        <v>267</v>
      </c>
      <c r="BA53" s="345" t="s">
        <v>266</v>
      </c>
      <c r="BB53" s="345" t="s">
        <v>267</v>
      </c>
      <c r="BC53" s="345" t="s">
        <v>267</v>
      </c>
      <c r="BD53" s="342" t="s">
        <v>267</v>
      </c>
      <c r="BE53" s="345">
        <v>0</v>
      </c>
      <c r="BF53" s="345">
        <v>0</v>
      </c>
      <c r="BG53" s="345">
        <v>0</v>
      </c>
      <c r="BH53" s="342">
        <v>0</v>
      </c>
      <c r="BI53" s="345">
        <v>0</v>
      </c>
      <c r="BJ53" s="345">
        <v>0</v>
      </c>
      <c r="BK53" s="345">
        <v>0</v>
      </c>
      <c r="BL53" s="342">
        <v>0</v>
      </c>
      <c r="BM53" s="345">
        <v>0</v>
      </c>
      <c r="BN53" s="345">
        <v>0</v>
      </c>
      <c r="BO53" s="345">
        <v>0</v>
      </c>
      <c r="BP53" s="342">
        <v>0</v>
      </c>
      <c r="BQ53" s="345">
        <v>0</v>
      </c>
      <c r="BR53" s="345">
        <v>0</v>
      </c>
      <c r="BS53" s="345">
        <v>0</v>
      </c>
      <c r="BT53" s="342">
        <v>0</v>
      </c>
      <c r="BU53" s="348">
        <v>0</v>
      </c>
      <c r="BV53" s="348">
        <v>0</v>
      </c>
      <c r="BW53" s="348">
        <v>0</v>
      </c>
      <c r="BX53" s="349">
        <v>0</v>
      </c>
      <c r="BY53" s="346">
        <v>0</v>
      </c>
      <c r="BZ53" s="346">
        <v>0</v>
      </c>
      <c r="CA53" s="346">
        <v>0</v>
      </c>
      <c r="CB53" s="346">
        <v>0</v>
      </c>
    </row>
    <row r="54" spans="1:80" s="37" customFormat="1" ht="14.5" customHeight="1" x14ac:dyDescent="0.35">
      <c r="A54" s="417"/>
      <c r="B54" s="248" t="s">
        <v>38</v>
      </c>
      <c r="C54" s="234" t="s">
        <v>180</v>
      </c>
      <c r="D54" s="249" t="s">
        <v>37</v>
      </c>
      <c r="E54" s="6">
        <v>0</v>
      </c>
      <c r="F54" s="220">
        <v>0</v>
      </c>
      <c r="G54" s="221" t="s">
        <v>391</v>
      </c>
      <c r="H54" s="221" t="s">
        <v>392</v>
      </c>
      <c r="I54" s="224">
        <v>0</v>
      </c>
      <c r="J54" s="224" t="s">
        <v>12</v>
      </c>
      <c r="K54" s="224">
        <v>0</v>
      </c>
      <c r="L54" s="224">
        <v>0</v>
      </c>
      <c r="M54" s="323">
        <v>0</v>
      </c>
      <c r="N54" s="224">
        <v>0</v>
      </c>
      <c r="O54" s="224">
        <v>0</v>
      </c>
      <c r="P54" s="222">
        <v>0</v>
      </c>
      <c r="Q54" s="236">
        <v>0</v>
      </c>
      <c r="R54" s="236">
        <v>0</v>
      </c>
      <c r="S54" s="236">
        <v>0</v>
      </c>
      <c r="T54" s="235">
        <v>0</v>
      </c>
      <c r="U54" s="37">
        <v>0</v>
      </c>
      <c r="V54" s="37">
        <v>0</v>
      </c>
      <c r="W54" s="37">
        <v>0</v>
      </c>
      <c r="X54" s="222">
        <v>0</v>
      </c>
      <c r="Y54" s="37">
        <v>0</v>
      </c>
      <c r="Z54" s="37">
        <v>0</v>
      </c>
      <c r="AA54" s="37">
        <v>0</v>
      </c>
      <c r="AB54" s="222">
        <v>0</v>
      </c>
      <c r="AC54" s="225">
        <v>0</v>
      </c>
      <c r="AD54" s="225">
        <v>0</v>
      </c>
      <c r="AE54" s="225">
        <v>0</v>
      </c>
      <c r="AF54" s="226">
        <v>0</v>
      </c>
      <c r="AG54" s="225">
        <v>0</v>
      </c>
      <c r="AH54" s="225">
        <v>0</v>
      </c>
      <c r="AI54" s="225">
        <v>0</v>
      </c>
      <c r="AJ54" s="226">
        <v>0</v>
      </c>
      <c r="AK54" s="225">
        <v>0</v>
      </c>
      <c r="AL54" s="225">
        <v>0</v>
      </c>
      <c r="AM54" s="225">
        <v>0</v>
      </c>
      <c r="AN54" s="226">
        <v>0</v>
      </c>
      <c r="AO54" s="37">
        <v>0</v>
      </c>
      <c r="AP54" s="37">
        <v>0</v>
      </c>
      <c r="AQ54" s="37">
        <v>0</v>
      </c>
      <c r="AR54" s="222">
        <v>0</v>
      </c>
      <c r="AS54" s="37" t="s">
        <v>266</v>
      </c>
      <c r="AT54" s="37" t="s">
        <v>267</v>
      </c>
      <c r="AU54" s="37" t="s">
        <v>267</v>
      </c>
      <c r="AV54" s="222" t="s">
        <v>267</v>
      </c>
      <c r="AW54" s="37" t="s">
        <v>266</v>
      </c>
      <c r="AX54" s="37" t="s">
        <v>267</v>
      </c>
      <c r="AY54" s="37" t="s">
        <v>267</v>
      </c>
      <c r="AZ54" s="222" t="s">
        <v>267</v>
      </c>
      <c r="BA54" s="37" t="s">
        <v>266</v>
      </c>
      <c r="BB54" s="37" t="s">
        <v>267</v>
      </c>
      <c r="BC54" s="37" t="s">
        <v>267</v>
      </c>
      <c r="BD54" s="222" t="s">
        <v>267</v>
      </c>
      <c r="BE54" s="37">
        <v>0</v>
      </c>
      <c r="BF54" s="37">
        <v>0</v>
      </c>
      <c r="BG54" s="37">
        <v>0</v>
      </c>
      <c r="BH54" s="222">
        <v>0</v>
      </c>
      <c r="BI54" s="37">
        <v>0</v>
      </c>
      <c r="BJ54" s="37">
        <v>0</v>
      </c>
      <c r="BK54" s="37">
        <v>0</v>
      </c>
      <c r="BL54" s="222">
        <v>0</v>
      </c>
      <c r="BM54" s="37">
        <v>0</v>
      </c>
      <c r="BN54" s="37">
        <v>0</v>
      </c>
      <c r="BO54" s="37">
        <v>0</v>
      </c>
      <c r="BP54" s="222">
        <v>0</v>
      </c>
      <c r="BQ54" s="37">
        <v>0</v>
      </c>
      <c r="BR54" s="37">
        <v>0</v>
      </c>
      <c r="BS54" s="37">
        <v>0</v>
      </c>
      <c r="BT54" s="222">
        <v>0</v>
      </c>
      <c r="BU54" s="229">
        <v>0</v>
      </c>
      <c r="BV54" s="229">
        <v>0</v>
      </c>
      <c r="BW54" s="229">
        <v>0</v>
      </c>
      <c r="BX54" s="223">
        <v>0</v>
      </c>
      <c r="BY54" s="225">
        <v>0</v>
      </c>
      <c r="BZ54" s="225">
        <v>0</v>
      </c>
      <c r="CA54" s="225">
        <v>0</v>
      </c>
      <c r="CB54" s="225">
        <v>0</v>
      </c>
    </row>
    <row r="55" spans="1:80" s="179" customFormat="1" x14ac:dyDescent="0.35">
      <c r="A55" s="417"/>
      <c r="B55" s="250" t="str">
        <f>CONCATENATE("RPU_"&amp;D55)</f>
        <v>RPU_ON_SP198-HH100</v>
      </c>
      <c r="C55" s="65" t="s">
        <v>180</v>
      </c>
      <c r="D55" s="174" t="s">
        <v>114</v>
      </c>
      <c r="E55" s="6">
        <v>0</v>
      </c>
      <c r="F55" s="175">
        <v>0</v>
      </c>
      <c r="G55" s="176" t="s">
        <v>391</v>
      </c>
      <c r="H55" s="176" t="s">
        <v>392</v>
      </c>
      <c r="I55" s="178">
        <v>0</v>
      </c>
      <c r="J55" s="178" t="s">
        <v>12</v>
      </c>
      <c r="K55" s="178">
        <v>0</v>
      </c>
      <c r="L55" s="178">
        <v>0</v>
      </c>
      <c r="M55" s="311">
        <v>0</v>
      </c>
      <c r="N55" s="178">
        <v>0</v>
      </c>
      <c r="O55" s="178">
        <v>0</v>
      </c>
      <c r="P55" s="177">
        <v>0</v>
      </c>
      <c r="Q55" s="183">
        <v>0</v>
      </c>
      <c r="R55" s="183">
        <v>0</v>
      </c>
      <c r="S55" s="183">
        <v>0</v>
      </c>
      <c r="T55" s="237">
        <v>0</v>
      </c>
      <c r="U55" s="179">
        <v>0</v>
      </c>
      <c r="V55" s="179">
        <v>0</v>
      </c>
      <c r="W55" s="179">
        <v>0</v>
      </c>
      <c r="X55" s="177">
        <v>0</v>
      </c>
      <c r="Y55" s="179">
        <v>0</v>
      </c>
      <c r="Z55" s="179">
        <v>0</v>
      </c>
      <c r="AA55" s="179">
        <v>0</v>
      </c>
      <c r="AB55" s="177">
        <v>0</v>
      </c>
      <c r="AC55" s="180">
        <v>0</v>
      </c>
      <c r="AD55" s="180">
        <v>0</v>
      </c>
      <c r="AE55" s="180">
        <v>0</v>
      </c>
      <c r="AF55" s="181">
        <v>0</v>
      </c>
      <c r="AG55" s="180">
        <v>0</v>
      </c>
      <c r="AH55" s="180">
        <v>0</v>
      </c>
      <c r="AI55" s="180">
        <v>0</v>
      </c>
      <c r="AJ55" s="181">
        <v>0</v>
      </c>
      <c r="AK55" s="180">
        <v>0</v>
      </c>
      <c r="AL55" s="180">
        <v>0</v>
      </c>
      <c r="AM55" s="180">
        <v>0</v>
      </c>
      <c r="AN55" s="181">
        <v>0</v>
      </c>
      <c r="AO55" s="179">
        <v>0</v>
      </c>
      <c r="AP55" s="179">
        <v>0</v>
      </c>
      <c r="AQ55" s="179">
        <v>0</v>
      </c>
      <c r="AR55" s="177">
        <v>0</v>
      </c>
      <c r="AS55" s="179" t="s">
        <v>266</v>
      </c>
      <c r="AT55" s="179" t="s">
        <v>267</v>
      </c>
      <c r="AU55" s="179" t="s">
        <v>267</v>
      </c>
      <c r="AV55" s="177" t="s">
        <v>267</v>
      </c>
      <c r="AW55" s="179" t="s">
        <v>266</v>
      </c>
      <c r="AX55" s="179" t="s">
        <v>267</v>
      </c>
      <c r="AY55" s="179" t="s">
        <v>267</v>
      </c>
      <c r="AZ55" s="177" t="s">
        <v>267</v>
      </c>
      <c r="BA55" s="179" t="s">
        <v>266</v>
      </c>
      <c r="BB55" s="179" t="s">
        <v>267</v>
      </c>
      <c r="BC55" s="179" t="s">
        <v>267</v>
      </c>
      <c r="BD55" s="177" t="s">
        <v>267</v>
      </c>
      <c r="BE55" s="179">
        <v>0</v>
      </c>
      <c r="BF55" s="179">
        <v>0</v>
      </c>
      <c r="BG55" s="179">
        <v>0</v>
      </c>
      <c r="BH55" s="177">
        <v>0</v>
      </c>
      <c r="BI55" s="351">
        <v>0</v>
      </c>
      <c r="BJ55" s="351">
        <v>0</v>
      </c>
      <c r="BK55" s="351">
        <v>0</v>
      </c>
      <c r="BL55" s="352">
        <v>0</v>
      </c>
      <c r="BM55" s="179">
        <v>0</v>
      </c>
      <c r="BN55" s="179">
        <v>0</v>
      </c>
      <c r="BO55" s="179">
        <v>0</v>
      </c>
      <c r="BP55" s="177">
        <v>0</v>
      </c>
      <c r="BQ55" s="179">
        <v>0</v>
      </c>
      <c r="BR55" s="179">
        <v>0</v>
      </c>
      <c r="BS55" s="179">
        <v>0</v>
      </c>
      <c r="BT55" s="177">
        <v>0</v>
      </c>
      <c r="BU55" s="182">
        <v>0</v>
      </c>
      <c r="BV55" s="182">
        <v>0</v>
      </c>
      <c r="BW55" s="182">
        <v>0</v>
      </c>
      <c r="BX55" s="251">
        <v>0</v>
      </c>
      <c r="BY55" s="180">
        <v>0</v>
      </c>
      <c r="BZ55" s="180">
        <v>0</v>
      </c>
      <c r="CA55" s="180">
        <v>0</v>
      </c>
      <c r="CB55" s="180">
        <v>0</v>
      </c>
    </row>
    <row r="56" spans="1:80" s="179" customFormat="1" x14ac:dyDescent="0.35">
      <c r="A56" s="417"/>
      <c r="B56" s="250" t="str">
        <f t="shared" ref="B56:B66" si="4">CONCATENATE("RPU_"&amp;D56)</f>
        <v>RPU_ON_SP198-HH150</v>
      </c>
      <c r="C56" s="65" t="s">
        <v>180</v>
      </c>
      <c r="D56" s="174" t="s">
        <v>40</v>
      </c>
      <c r="E56" s="6">
        <v>0</v>
      </c>
      <c r="F56" s="175">
        <v>0</v>
      </c>
      <c r="G56" s="176" t="s">
        <v>391</v>
      </c>
      <c r="H56" s="176" t="s">
        <v>392</v>
      </c>
      <c r="I56" s="178">
        <v>0</v>
      </c>
      <c r="J56" s="178" t="s">
        <v>12</v>
      </c>
      <c r="K56" s="178">
        <v>0</v>
      </c>
      <c r="L56" s="178">
        <v>0</v>
      </c>
      <c r="M56" s="311">
        <v>0</v>
      </c>
      <c r="N56" s="178">
        <v>0</v>
      </c>
      <c r="O56" s="178">
        <v>0</v>
      </c>
      <c r="P56" s="177">
        <v>0</v>
      </c>
      <c r="Q56" s="183">
        <v>0</v>
      </c>
      <c r="R56" s="183">
        <v>0</v>
      </c>
      <c r="S56" s="183">
        <v>0</v>
      </c>
      <c r="T56" s="237">
        <v>0</v>
      </c>
      <c r="U56" s="179">
        <v>0</v>
      </c>
      <c r="V56" s="179">
        <v>0</v>
      </c>
      <c r="W56" s="179">
        <v>0</v>
      </c>
      <c r="X56" s="177">
        <v>0</v>
      </c>
      <c r="Y56" s="179">
        <v>0</v>
      </c>
      <c r="Z56" s="179">
        <v>0</v>
      </c>
      <c r="AA56" s="179">
        <v>0</v>
      </c>
      <c r="AB56" s="177">
        <v>0</v>
      </c>
      <c r="AC56" s="180">
        <v>0</v>
      </c>
      <c r="AD56" s="180">
        <v>0</v>
      </c>
      <c r="AE56" s="180">
        <v>0</v>
      </c>
      <c r="AF56" s="181">
        <v>0</v>
      </c>
      <c r="AG56" s="180">
        <v>0</v>
      </c>
      <c r="AH56" s="180">
        <v>0</v>
      </c>
      <c r="AI56" s="180">
        <v>0</v>
      </c>
      <c r="AJ56" s="181">
        <v>0</v>
      </c>
      <c r="AK56" s="180">
        <v>0</v>
      </c>
      <c r="AL56" s="180">
        <v>0</v>
      </c>
      <c r="AM56" s="180">
        <v>0</v>
      </c>
      <c r="AN56" s="181">
        <v>0</v>
      </c>
      <c r="AO56" s="179">
        <v>0</v>
      </c>
      <c r="AP56" s="179">
        <v>0</v>
      </c>
      <c r="AQ56" s="179">
        <v>0</v>
      </c>
      <c r="AR56" s="177">
        <v>0</v>
      </c>
      <c r="AS56" s="179" t="s">
        <v>266</v>
      </c>
      <c r="AT56" s="179" t="s">
        <v>267</v>
      </c>
      <c r="AU56" s="179" t="s">
        <v>267</v>
      </c>
      <c r="AV56" s="177" t="s">
        <v>267</v>
      </c>
      <c r="AW56" s="179" t="s">
        <v>266</v>
      </c>
      <c r="AX56" s="179" t="s">
        <v>267</v>
      </c>
      <c r="AY56" s="179" t="s">
        <v>267</v>
      </c>
      <c r="AZ56" s="177" t="s">
        <v>267</v>
      </c>
      <c r="BA56" s="179" t="s">
        <v>266</v>
      </c>
      <c r="BB56" s="179" t="s">
        <v>267</v>
      </c>
      <c r="BC56" s="179" t="s">
        <v>267</v>
      </c>
      <c r="BD56" s="177" t="s">
        <v>267</v>
      </c>
      <c r="BE56" s="179">
        <v>0</v>
      </c>
      <c r="BF56" s="179">
        <v>0</v>
      </c>
      <c r="BG56" s="179">
        <v>0</v>
      </c>
      <c r="BH56" s="177">
        <v>0</v>
      </c>
      <c r="BI56" s="351">
        <v>0</v>
      </c>
      <c r="BJ56" s="351">
        <v>0</v>
      </c>
      <c r="BK56" s="351">
        <v>0</v>
      </c>
      <c r="BL56" s="352">
        <v>0</v>
      </c>
      <c r="BM56" s="179">
        <v>0</v>
      </c>
      <c r="BN56" s="179">
        <v>0</v>
      </c>
      <c r="BO56" s="179">
        <v>0</v>
      </c>
      <c r="BP56" s="177">
        <v>0</v>
      </c>
      <c r="BQ56" s="179">
        <v>0</v>
      </c>
      <c r="BR56" s="179">
        <v>0</v>
      </c>
      <c r="BS56" s="179">
        <v>0</v>
      </c>
      <c r="BT56" s="177">
        <v>0</v>
      </c>
      <c r="BU56" s="182">
        <v>0</v>
      </c>
      <c r="BV56" s="182">
        <v>0</v>
      </c>
      <c r="BW56" s="182">
        <v>0</v>
      </c>
      <c r="BX56" s="251">
        <v>0</v>
      </c>
      <c r="BY56" s="180">
        <v>0</v>
      </c>
      <c r="BZ56" s="180">
        <v>0</v>
      </c>
      <c r="CA56" s="180">
        <v>0</v>
      </c>
      <c r="CB56" s="180">
        <v>0</v>
      </c>
    </row>
    <row r="57" spans="1:80" s="179" customFormat="1" x14ac:dyDescent="0.35">
      <c r="A57" s="417"/>
      <c r="B57" s="250" t="str">
        <f t="shared" si="4"/>
        <v>RPU_ON_SP237-HH100</v>
      </c>
      <c r="C57" s="65" t="s">
        <v>180</v>
      </c>
      <c r="D57" s="174" t="s">
        <v>41</v>
      </c>
      <c r="E57" s="6">
        <v>0</v>
      </c>
      <c r="F57" s="175">
        <v>0</v>
      </c>
      <c r="G57" s="176" t="s">
        <v>391</v>
      </c>
      <c r="H57" s="176" t="s">
        <v>392</v>
      </c>
      <c r="I57" s="178">
        <v>0</v>
      </c>
      <c r="J57" s="178" t="s">
        <v>12</v>
      </c>
      <c r="K57" s="178">
        <v>0</v>
      </c>
      <c r="L57" s="178">
        <v>0</v>
      </c>
      <c r="M57" s="311">
        <v>0</v>
      </c>
      <c r="N57" s="178">
        <v>0</v>
      </c>
      <c r="O57" s="178">
        <v>0</v>
      </c>
      <c r="P57" s="177">
        <v>0</v>
      </c>
      <c r="Q57" s="183">
        <v>0</v>
      </c>
      <c r="R57" s="183">
        <v>0</v>
      </c>
      <c r="S57" s="183">
        <v>0</v>
      </c>
      <c r="T57" s="237">
        <v>0</v>
      </c>
      <c r="U57" s="179">
        <v>0</v>
      </c>
      <c r="V57" s="179">
        <v>0</v>
      </c>
      <c r="W57" s="179">
        <v>0</v>
      </c>
      <c r="X57" s="177">
        <v>0</v>
      </c>
      <c r="Y57" s="179">
        <v>0</v>
      </c>
      <c r="Z57" s="179">
        <v>0</v>
      </c>
      <c r="AA57" s="179">
        <v>0</v>
      </c>
      <c r="AB57" s="177">
        <v>0</v>
      </c>
      <c r="AC57" s="180">
        <v>0</v>
      </c>
      <c r="AD57" s="180">
        <v>0</v>
      </c>
      <c r="AE57" s="180">
        <v>0</v>
      </c>
      <c r="AF57" s="181">
        <v>0</v>
      </c>
      <c r="AG57" s="180">
        <v>0</v>
      </c>
      <c r="AH57" s="180">
        <v>0</v>
      </c>
      <c r="AI57" s="180">
        <v>0</v>
      </c>
      <c r="AJ57" s="181">
        <v>0</v>
      </c>
      <c r="AK57" s="180">
        <v>0</v>
      </c>
      <c r="AL57" s="180">
        <v>0</v>
      </c>
      <c r="AM57" s="180">
        <v>0</v>
      </c>
      <c r="AN57" s="181">
        <v>0</v>
      </c>
      <c r="AO57" s="179">
        <v>0</v>
      </c>
      <c r="AP57" s="179">
        <v>0</v>
      </c>
      <c r="AQ57" s="179">
        <v>0</v>
      </c>
      <c r="AR57" s="177">
        <v>0</v>
      </c>
      <c r="AS57" s="179" t="s">
        <v>266</v>
      </c>
      <c r="AT57" s="179" t="s">
        <v>267</v>
      </c>
      <c r="AU57" s="179" t="s">
        <v>267</v>
      </c>
      <c r="AV57" s="177" t="s">
        <v>267</v>
      </c>
      <c r="AW57" s="179" t="s">
        <v>266</v>
      </c>
      <c r="AX57" s="179" t="s">
        <v>267</v>
      </c>
      <c r="AY57" s="179" t="s">
        <v>267</v>
      </c>
      <c r="AZ57" s="177" t="s">
        <v>267</v>
      </c>
      <c r="BA57" s="179" t="s">
        <v>266</v>
      </c>
      <c r="BB57" s="179" t="s">
        <v>267</v>
      </c>
      <c r="BC57" s="179" t="s">
        <v>267</v>
      </c>
      <c r="BD57" s="177" t="s">
        <v>267</v>
      </c>
      <c r="BE57" s="179">
        <v>0</v>
      </c>
      <c r="BF57" s="179">
        <v>0</v>
      </c>
      <c r="BG57" s="179">
        <v>0</v>
      </c>
      <c r="BH57" s="177">
        <v>0</v>
      </c>
      <c r="BI57" s="351">
        <v>0</v>
      </c>
      <c r="BJ57" s="351">
        <v>0</v>
      </c>
      <c r="BK57" s="351">
        <v>0</v>
      </c>
      <c r="BL57" s="352">
        <v>0</v>
      </c>
      <c r="BM57" s="179">
        <v>0</v>
      </c>
      <c r="BN57" s="179">
        <v>0</v>
      </c>
      <c r="BO57" s="179">
        <v>0</v>
      </c>
      <c r="BP57" s="177">
        <v>0</v>
      </c>
      <c r="BQ57" s="179">
        <v>0</v>
      </c>
      <c r="BR57" s="179">
        <v>0</v>
      </c>
      <c r="BS57" s="179">
        <v>0</v>
      </c>
      <c r="BT57" s="177">
        <v>0</v>
      </c>
      <c r="BU57" s="182">
        <v>0</v>
      </c>
      <c r="BV57" s="182">
        <v>0</v>
      </c>
      <c r="BW57" s="182">
        <v>0</v>
      </c>
      <c r="BX57" s="251">
        <v>0</v>
      </c>
      <c r="BY57" s="180">
        <v>0</v>
      </c>
      <c r="BZ57" s="180">
        <v>0</v>
      </c>
      <c r="CA57" s="180">
        <v>0</v>
      </c>
      <c r="CB57" s="180">
        <v>0</v>
      </c>
    </row>
    <row r="58" spans="1:80" s="179" customFormat="1" x14ac:dyDescent="0.35">
      <c r="A58" s="417"/>
      <c r="B58" s="250" t="str">
        <f t="shared" si="4"/>
        <v>RPU_ON_SP237-HH150</v>
      </c>
      <c r="C58" s="65" t="s">
        <v>180</v>
      </c>
      <c r="D58" s="174" t="s">
        <v>42</v>
      </c>
      <c r="E58" s="6">
        <v>0</v>
      </c>
      <c r="F58" s="175">
        <v>0</v>
      </c>
      <c r="G58" s="176" t="s">
        <v>391</v>
      </c>
      <c r="H58" s="176" t="s">
        <v>392</v>
      </c>
      <c r="I58" s="178">
        <v>0</v>
      </c>
      <c r="J58" s="178" t="s">
        <v>12</v>
      </c>
      <c r="K58" s="178">
        <v>0</v>
      </c>
      <c r="L58" s="178">
        <v>0</v>
      </c>
      <c r="M58" s="311">
        <v>0</v>
      </c>
      <c r="N58" s="178">
        <v>0</v>
      </c>
      <c r="O58" s="178">
        <v>0</v>
      </c>
      <c r="P58" s="177">
        <v>0</v>
      </c>
      <c r="Q58" s="183">
        <v>0</v>
      </c>
      <c r="R58" s="183">
        <v>0</v>
      </c>
      <c r="S58" s="183">
        <v>0</v>
      </c>
      <c r="T58" s="237">
        <v>0</v>
      </c>
      <c r="U58" s="179">
        <v>0</v>
      </c>
      <c r="V58" s="179">
        <v>0</v>
      </c>
      <c r="W58" s="179">
        <v>0</v>
      </c>
      <c r="X58" s="177">
        <v>0</v>
      </c>
      <c r="Y58" s="179">
        <v>0</v>
      </c>
      <c r="Z58" s="179">
        <v>0</v>
      </c>
      <c r="AA58" s="179">
        <v>0</v>
      </c>
      <c r="AB58" s="177">
        <v>0</v>
      </c>
      <c r="AC58" s="180">
        <v>0</v>
      </c>
      <c r="AD58" s="180">
        <v>0</v>
      </c>
      <c r="AE58" s="180">
        <v>0</v>
      </c>
      <c r="AF58" s="181">
        <v>0</v>
      </c>
      <c r="AG58" s="180">
        <v>0</v>
      </c>
      <c r="AH58" s="180">
        <v>0</v>
      </c>
      <c r="AI58" s="180">
        <v>0</v>
      </c>
      <c r="AJ58" s="181">
        <v>0</v>
      </c>
      <c r="AK58" s="180">
        <v>0</v>
      </c>
      <c r="AL58" s="180">
        <v>0</v>
      </c>
      <c r="AM58" s="180">
        <v>0</v>
      </c>
      <c r="AN58" s="181">
        <v>0</v>
      </c>
      <c r="AO58" s="179">
        <v>0</v>
      </c>
      <c r="AP58" s="179">
        <v>0</v>
      </c>
      <c r="AQ58" s="179">
        <v>0</v>
      </c>
      <c r="AR58" s="177">
        <v>0</v>
      </c>
      <c r="AS58" s="179" t="s">
        <v>266</v>
      </c>
      <c r="AT58" s="179" t="s">
        <v>267</v>
      </c>
      <c r="AU58" s="179" t="s">
        <v>267</v>
      </c>
      <c r="AV58" s="177" t="s">
        <v>267</v>
      </c>
      <c r="AW58" s="179" t="s">
        <v>266</v>
      </c>
      <c r="AX58" s="179" t="s">
        <v>267</v>
      </c>
      <c r="AY58" s="179" t="s">
        <v>267</v>
      </c>
      <c r="AZ58" s="177" t="s">
        <v>267</v>
      </c>
      <c r="BA58" s="179" t="s">
        <v>266</v>
      </c>
      <c r="BB58" s="179" t="s">
        <v>267</v>
      </c>
      <c r="BC58" s="179" t="s">
        <v>267</v>
      </c>
      <c r="BD58" s="177" t="s">
        <v>267</v>
      </c>
      <c r="BE58" s="179">
        <v>0</v>
      </c>
      <c r="BF58" s="179">
        <v>0</v>
      </c>
      <c r="BG58" s="179">
        <v>0</v>
      </c>
      <c r="BH58" s="177">
        <v>0</v>
      </c>
      <c r="BI58" s="351">
        <v>0</v>
      </c>
      <c r="BJ58" s="351">
        <v>0</v>
      </c>
      <c r="BK58" s="351">
        <v>0</v>
      </c>
      <c r="BL58" s="352">
        <v>0</v>
      </c>
      <c r="BM58" s="179">
        <v>0</v>
      </c>
      <c r="BN58" s="179">
        <v>0</v>
      </c>
      <c r="BO58" s="179">
        <v>0</v>
      </c>
      <c r="BP58" s="177">
        <v>0</v>
      </c>
      <c r="BQ58" s="179">
        <v>0</v>
      </c>
      <c r="BR58" s="179">
        <v>0</v>
      </c>
      <c r="BS58" s="179">
        <v>0</v>
      </c>
      <c r="BT58" s="177">
        <v>0</v>
      </c>
      <c r="BU58" s="182">
        <v>0</v>
      </c>
      <c r="BV58" s="182">
        <v>0</v>
      </c>
      <c r="BW58" s="182">
        <v>0</v>
      </c>
      <c r="BX58" s="251">
        <v>0</v>
      </c>
      <c r="BY58" s="180">
        <v>0</v>
      </c>
      <c r="BZ58" s="180">
        <v>0</v>
      </c>
      <c r="CA58" s="180">
        <v>0</v>
      </c>
      <c r="CB58" s="180">
        <v>0</v>
      </c>
    </row>
    <row r="59" spans="1:80" s="179" customFormat="1" x14ac:dyDescent="0.35">
      <c r="A59" s="417"/>
      <c r="B59" s="250" t="str">
        <f t="shared" si="4"/>
        <v>RPU_ON_SP277-HH100</v>
      </c>
      <c r="C59" s="65" t="s">
        <v>180</v>
      </c>
      <c r="D59" s="174" t="s">
        <v>43</v>
      </c>
      <c r="E59" s="6">
        <v>0</v>
      </c>
      <c r="F59" s="175">
        <v>0</v>
      </c>
      <c r="G59" s="176" t="s">
        <v>391</v>
      </c>
      <c r="H59" s="176" t="s">
        <v>392</v>
      </c>
      <c r="I59" s="178">
        <v>0</v>
      </c>
      <c r="J59" s="178" t="s">
        <v>12</v>
      </c>
      <c r="K59" s="178">
        <v>0</v>
      </c>
      <c r="L59" s="178">
        <v>0</v>
      </c>
      <c r="M59" s="311">
        <v>0</v>
      </c>
      <c r="N59" s="178">
        <v>0</v>
      </c>
      <c r="O59" s="178">
        <v>0</v>
      </c>
      <c r="P59" s="177">
        <v>0</v>
      </c>
      <c r="Q59" s="183">
        <v>0</v>
      </c>
      <c r="R59" s="183">
        <v>0</v>
      </c>
      <c r="S59" s="183">
        <v>0</v>
      </c>
      <c r="T59" s="237">
        <v>0</v>
      </c>
      <c r="U59" s="179">
        <v>0</v>
      </c>
      <c r="V59" s="179">
        <v>0</v>
      </c>
      <c r="W59" s="179">
        <v>0</v>
      </c>
      <c r="X59" s="177">
        <v>0</v>
      </c>
      <c r="Y59" s="179">
        <v>0</v>
      </c>
      <c r="Z59" s="179">
        <v>0</v>
      </c>
      <c r="AA59" s="179">
        <v>0</v>
      </c>
      <c r="AB59" s="177">
        <v>0</v>
      </c>
      <c r="AC59" s="180">
        <v>0</v>
      </c>
      <c r="AD59" s="180">
        <v>0</v>
      </c>
      <c r="AE59" s="180">
        <v>0</v>
      </c>
      <c r="AF59" s="181">
        <v>0</v>
      </c>
      <c r="AG59" s="180">
        <v>0</v>
      </c>
      <c r="AH59" s="180">
        <v>0</v>
      </c>
      <c r="AI59" s="180">
        <v>0</v>
      </c>
      <c r="AJ59" s="181">
        <v>0</v>
      </c>
      <c r="AK59" s="180">
        <v>0</v>
      </c>
      <c r="AL59" s="180">
        <v>0</v>
      </c>
      <c r="AM59" s="180">
        <v>0</v>
      </c>
      <c r="AN59" s="181">
        <v>0</v>
      </c>
      <c r="AO59" s="179">
        <v>0</v>
      </c>
      <c r="AP59" s="179">
        <v>0</v>
      </c>
      <c r="AQ59" s="179">
        <v>0</v>
      </c>
      <c r="AR59" s="177">
        <v>0</v>
      </c>
      <c r="AS59" s="179" t="s">
        <v>266</v>
      </c>
      <c r="AT59" s="179" t="s">
        <v>267</v>
      </c>
      <c r="AU59" s="179" t="s">
        <v>267</v>
      </c>
      <c r="AV59" s="177" t="s">
        <v>267</v>
      </c>
      <c r="AW59" s="179" t="s">
        <v>266</v>
      </c>
      <c r="AX59" s="179" t="s">
        <v>267</v>
      </c>
      <c r="AY59" s="179" t="s">
        <v>267</v>
      </c>
      <c r="AZ59" s="177" t="s">
        <v>267</v>
      </c>
      <c r="BA59" s="179" t="s">
        <v>266</v>
      </c>
      <c r="BB59" s="179" t="s">
        <v>267</v>
      </c>
      <c r="BC59" s="179" t="s">
        <v>267</v>
      </c>
      <c r="BD59" s="177" t="s">
        <v>267</v>
      </c>
      <c r="BE59" s="179">
        <v>0</v>
      </c>
      <c r="BF59" s="179">
        <v>0</v>
      </c>
      <c r="BG59" s="179">
        <v>0</v>
      </c>
      <c r="BH59" s="177">
        <v>0</v>
      </c>
      <c r="BI59" s="351">
        <v>0</v>
      </c>
      <c r="BJ59" s="351">
        <v>0</v>
      </c>
      <c r="BK59" s="351">
        <v>0</v>
      </c>
      <c r="BL59" s="352">
        <v>0</v>
      </c>
      <c r="BM59" s="179">
        <v>0</v>
      </c>
      <c r="BN59" s="179">
        <v>0</v>
      </c>
      <c r="BO59" s="179">
        <v>0</v>
      </c>
      <c r="BP59" s="177">
        <v>0</v>
      </c>
      <c r="BQ59" s="179">
        <v>0</v>
      </c>
      <c r="BR59" s="179">
        <v>0</v>
      </c>
      <c r="BS59" s="179">
        <v>0</v>
      </c>
      <c r="BT59" s="177">
        <v>0</v>
      </c>
      <c r="BU59" s="182">
        <v>0</v>
      </c>
      <c r="BV59" s="182">
        <v>0</v>
      </c>
      <c r="BW59" s="182">
        <v>0</v>
      </c>
      <c r="BX59" s="251">
        <v>0</v>
      </c>
      <c r="BY59" s="180">
        <v>0</v>
      </c>
      <c r="BZ59" s="180">
        <v>0</v>
      </c>
      <c r="CA59" s="180">
        <v>0</v>
      </c>
      <c r="CB59" s="180">
        <v>0</v>
      </c>
    </row>
    <row r="60" spans="1:80" s="179" customFormat="1" x14ac:dyDescent="0.35">
      <c r="A60" s="417"/>
      <c r="B60" s="250" t="str">
        <f t="shared" si="4"/>
        <v>RPU_ON_SP277-HH150</v>
      </c>
      <c r="C60" s="65" t="s">
        <v>180</v>
      </c>
      <c r="D60" s="174" t="s">
        <v>44</v>
      </c>
      <c r="E60" s="6">
        <v>0</v>
      </c>
      <c r="F60" s="175">
        <v>0</v>
      </c>
      <c r="G60" s="176" t="s">
        <v>391</v>
      </c>
      <c r="H60" s="176" t="s">
        <v>392</v>
      </c>
      <c r="I60" s="178">
        <v>0</v>
      </c>
      <c r="J60" s="178" t="s">
        <v>12</v>
      </c>
      <c r="K60" s="178">
        <v>0</v>
      </c>
      <c r="L60" s="178">
        <v>0</v>
      </c>
      <c r="M60" s="311">
        <v>0</v>
      </c>
      <c r="N60" s="178">
        <v>0</v>
      </c>
      <c r="O60" s="178">
        <v>0</v>
      </c>
      <c r="P60" s="177">
        <v>0</v>
      </c>
      <c r="Q60" s="183">
        <v>0</v>
      </c>
      <c r="R60" s="183">
        <v>0</v>
      </c>
      <c r="S60" s="183">
        <v>0</v>
      </c>
      <c r="T60" s="237">
        <v>0</v>
      </c>
      <c r="U60" s="179">
        <v>0</v>
      </c>
      <c r="V60" s="179">
        <v>0</v>
      </c>
      <c r="W60" s="179">
        <v>0</v>
      </c>
      <c r="X60" s="177">
        <v>0</v>
      </c>
      <c r="Y60" s="179">
        <v>0</v>
      </c>
      <c r="Z60" s="179">
        <v>0</v>
      </c>
      <c r="AA60" s="179">
        <v>0</v>
      </c>
      <c r="AB60" s="177">
        <v>0</v>
      </c>
      <c r="AC60" s="180">
        <v>0</v>
      </c>
      <c r="AD60" s="180">
        <v>0</v>
      </c>
      <c r="AE60" s="180">
        <v>0</v>
      </c>
      <c r="AF60" s="181">
        <v>0</v>
      </c>
      <c r="AG60" s="180">
        <v>0</v>
      </c>
      <c r="AH60" s="180">
        <v>0</v>
      </c>
      <c r="AI60" s="180">
        <v>0</v>
      </c>
      <c r="AJ60" s="181">
        <v>0</v>
      </c>
      <c r="AK60" s="180">
        <v>0</v>
      </c>
      <c r="AL60" s="180">
        <v>0</v>
      </c>
      <c r="AM60" s="180">
        <v>0</v>
      </c>
      <c r="AN60" s="181">
        <v>0</v>
      </c>
      <c r="AO60" s="179">
        <v>0</v>
      </c>
      <c r="AP60" s="179">
        <v>0</v>
      </c>
      <c r="AQ60" s="179">
        <v>0</v>
      </c>
      <c r="AR60" s="177">
        <v>0</v>
      </c>
      <c r="AS60" s="179" t="s">
        <v>266</v>
      </c>
      <c r="AT60" s="179" t="s">
        <v>267</v>
      </c>
      <c r="AU60" s="179" t="s">
        <v>267</v>
      </c>
      <c r="AV60" s="177" t="s">
        <v>267</v>
      </c>
      <c r="AW60" s="179" t="s">
        <v>266</v>
      </c>
      <c r="AX60" s="179" t="s">
        <v>267</v>
      </c>
      <c r="AY60" s="179" t="s">
        <v>267</v>
      </c>
      <c r="AZ60" s="177" t="s">
        <v>267</v>
      </c>
      <c r="BA60" s="179" t="s">
        <v>266</v>
      </c>
      <c r="BB60" s="179" t="s">
        <v>267</v>
      </c>
      <c r="BC60" s="179" t="s">
        <v>267</v>
      </c>
      <c r="BD60" s="177" t="s">
        <v>267</v>
      </c>
      <c r="BE60" s="179">
        <v>0</v>
      </c>
      <c r="BF60" s="179">
        <v>0</v>
      </c>
      <c r="BG60" s="179">
        <v>0</v>
      </c>
      <c r="BH60" s="177">
        <v>0</v>
      </c>
      <c r="BI60" s="351">
        <v>0</v>
      </c>
      <c r="BJ60" s="351">
        <v>0</v>
      </c>
      <c r="BK60" s="351">
        <v>0</v>
      </c>
      <c r="BL60" s="352">
        <v>0</v>
      </c>
      <c r="BM60" s="179">
        <v>0</v>
      </c>
      <c r="BN60" s="179">
        <v>0</v>
      </c>
      <c r="BO60" s="179">
        <v>0</v>
      </c>
      <c r="BP60" s="177">
        <v>0</v>
      </c>
      <c r="BQ60" s="179">
        <v>0</v>
      </c>
      <c r="BR60" s="179">
        <v>0</v>
      </c>
      <c r="BS60" s="179">
        <v>0</v>
      </c>
      <c r="BT60" s="177">
        <v>0</v>
      </c>
      <c r="BU60" s="182">
        <v>0</v>
      </c>
      <c r="BV60" s="182">
        <v>0</v>
      </c>
      <c r="BW60" s="182">
        <v>0</v>
      </c>
      <c r="BX60" s="251">
        <v>0</v>
      </c>
      <c r="BY60" s="180">
        <v>0</v>
      </c>
      <c r="BZ60" s="180">
        <v>0</v>
      </c>
      <c r="CA60" s="180">
        <v>0</v>
      </c>
      <c r="CB60" s="180">
        <v>0</v>
      </c>
    </row>
    <row r="61" spans="1:80" s="179" customFormat="1" x14ac:dyDescent="0.35">
      <c r="A61" s="417"/>
      <c r="B61" s="250" t="str">
        <f t="shared" si="4"/>
        <v>RPU_ON_SP321-HH100</v>
      </c>
      <c r="C61" s="65" t="s">
        <v>180</v>
      </c>
      <c r="D61" s="174" t="s">
        <v>45</v>
      </c>
      <c r="E61" s="6">
        <v>0</v>
      </c>
      <c r="F61" s="175">
        <v>0</v>
      </c>
      <c r="G61" s="176" t="s">
        <v>391</v>
      </c>
      <c r="H61" s="176" t="s">
        <v>392</v>
      </c>
      <c r="I61" s="178">
        <v>0</v>
      </c>
      <c r="J61" s="178" t="s">
        <v>12</v>
      </c>
      <c r="K61" s="178">
        <v>0</v>
      </c>
      <c r="L61" s="178">
        <v>0</v>
      </c>
      <c r="M61" s="311">
        <v>0</v>
      </c>
      <c r="N61" s="178">
        <v>0</v>
      </c>
      <c r="O61" s="178">
        <v>0</v>
      </c>
      <c r="P61" s="177">
        <v>0</v>
      </c>
      <c r="Q61" s="183">
        <v>0</v>
      </c>
      <c r="R61" s="183">
        <v>0</v>
      </c>
      <c r="S61" s="183">
        <v>0</v>
      </c>
      <c r="T61" s="237">
        <v>0</v>
      </c>
      <c r="U61" s="179">
        <v>0</v>
      </c>
      <c r="V61" s="179">
        <v>0</v>
      </c>
      <c r="W61" s="179">
        <v>0</v>
      </c>
      <c r="X61" s="177">
        <v>0</v>
      </c>
      <c r="Y61" s="179">
        <v>0</v>
      </c>
      <c r="Z61" s="179">
        <v>0</v>
      </c>
      <c r="AA61" s="179">
        <v>0</v>
      </c>
      <c r="AB61" s="177">
        <v>0</v>
      </c>
      <c r="AC61" s="180">
        <v>0</v>
      </c>
      <c r="AD61" s="180">
        <v>0</v>
      </c>
      <c r="AE61" s="180">
        <v>0</v>
      </c>
      <c r="AF61" s="181">
        <v>0</v>
      </c>
      <c r="AG61" s="180">
        <v>0</v>
      </c>
      <c r="AH61" s="180">
        <v>0</v>
      </c>
      <c r="AI61" s="180">
        <v>0</v>
      </c>
      <c r="AJ61" s="181">
        <v>0</v>
      </c>
      <c r="AK61" s="180">
        <v>0</v>
      </c>
      <c r="AL61" s="180">
        <v>0</v>
      </c>
      <c r="AM61" s="180">
        <v>0</v>
      </c>
      <c r="AN61" s="181">
        <v>0</v>
      </c>
      <c r="AO61" s="179">
        <v>0</v>
      </c>
      <c r="AP61" s="179">
        <v>0</v>
      </c>
      <c r="AQ61" s="179">
        <v>0</v>
      </c>
      <c r="AR61" s="177">
        <v>0</v>
      </c>
      <c r="AS61" s="179" t="s">
        <v>266</v>
      </c>
      <c r="AT61" s="179" t="s">
        <v>267</v>
      </c>
      <c r="AU61" s="179" t="s">
        <v>267</v>
      </c>
      <c r="AV61" s="177" t="s">
        <v>267</v>
      </c>
      <c r="AW61" s="179" t="s">
        <v>266</v>
      </c>
      <c r="AX61" s="179" t="s">
        <v>267</v>
      </c>
      <c r="AY61" s="179" t="s">
        <v>267</v>
      </c>
      <c r="AZ61" s="177" t="s">
        <v>267</v>
      </c>
      <c r="BA61" s="179" t="s">
        <v>266</v>
      </c>
      <c r="BB61" s="179" t="s">
        <v>267</v>
      </c>
      <c r="BC61" s="179" t="s">
        <v>267</v>
      </c>
      <c r="BD61" s="177" t="s">
        <v>267</v>
      </c>
      <c r="BE61" s="179">
        <v>0</v>
      </c>
      <c r="BF61" s="179">
        <v>0</v>
      </c>
      <c r="BG61" s="179">
        <v>0</v>
      </c>
      <c r="BH61" s="177">
        <v>0</v>
      </c>
      <c r="BI61" s="351">
        <v>0</v>
      </c>
      <c r="BJ61" s="351">
        <v>0</v>
      </c>
      <c r="BK61" s="351">
        <v>0</v>
      </c>
      <c r="BL61" s="352">
        <v>0</v>
      </c>
      <c r="BM61" s="179">
        <v>0</v>
      </c>
      <c r="BN61" s="179">
        <v>0</v>
      </c>
      <c r="BO61" s="179">
        <v>0</v>
      </c>
      <c r="BP61" s="177">
        <v>0</v>
      </c>
      <c r="BQ61" s="179">
        <v>0</v>
      </c>
      <c r="BR61" s="179">
        <v>0</v>
      </c>
      <c r="BS61" s="179">
        <v>0</v>
      </c>
      <c r="BT61" s="177">
        <v>0</v>
      </c>
      <c r="BU61" s="182">
        <v>0</v>
      </c>
      <c r="BV61" s="182">
        <v>0</v>
      </c>
      <c r="BW61" s="182">
        <v>0</v>
      </c>
      <c r="BX61" s="251">
        <v>0</v>
      </c>
      <c r="BY61" s="180">
        <v>0</v>
      </c>
      <c r="BZ61" s="180">
        <v>0</v>
      </c>
      <c r="CA61" s="180">
        <v>0</v>
      </c>
      <c r="CB61" s="180">
        <v>0</v>
      </c>
    </row>
    <row r="62" spans="1:80" s="179" customFormat="1" x14ac:dyDescent="0.35">
      <c r="A62" s="417"/>
      <c r="B62" s="250" t="str">
        <f t="shared" si="4"/>
        <v>RPU_ON_SP321-HH150</v>
      </c>
      <c r="C62" s="65" t="s">
        <v>180</v>
      </c>
      <c r="D62" s="174" t="s">
        <v>46</v>
      </c>
      <c r="E62" s="6">
        <v>0</v>
      </c>
      <c r="F62" s="175">
        <v>0</v>
      </c>
      <c r="G62" s="176" t="s">
        <v>391</v>
      </c>
      <c r="H62" s="176" t="s">
        <v>392</v>
      </c>
      <c r="I62" s="178">
        <v>0</v>
      </c>
      <c r="J62" s="178" t="s">
        <v>12</v>
      </c>
      <c r="K62" s="178">
        <v>0</v>
      </c>
      <c r="L62" s="178">
        <v>0</v>
      </c>
      <c r="M62" s="311">
        <v>0</v>
      </c>
      <c r="N62" s="178">
        <v>0</v>
      </c>
      <c r="O62" s="178">
        <v>0</v>
      </c>
      <c r="P62" s="177">
        <v>0</v>
      </c>
      <c r="Q62" s="183">
        <v>0</v>
      </c>
      <c r="R62" s="183">
        <v>0</v>
      </c>
      <c r="S62" s="183">
        <v>0</v>
      </c>
      <c r="T62" s="237">
        <v>0</v>
      </c>
      <c r="U62" s="179">
        <v>0</v>
      </c>
      <c r="V62" s="179">
        <v>0</v>
      </c>
      <c r="W62" s="179">
        <v>0</v>
      </c>
      <c r="X62" s="177">
        <v>0</v>
      </c>
      <c r="Y62" s="179">
        <v>0</v>
      </c>
      <c r="Z62" s="179">
        <v>0</v>
      </c>
      <c r="AA62" s="179">
        <v>0</v>
      </c>
      <c r="AB62" s="177">
        <v>0</v>
      </c>
      <c r="AC62" s="180">
        <v>0</v>
      </c>
      <c r="AD62" s="180">
        <v>0</v>
      </c>
      <c r="AE62" s="180">
        <v>0</v>
      </c>
      <c r="AF62" s="181">
        <v>0</v>
      </c>
      <c r="AG62" s="180">
        <v>0</v>
      </c>
      <c r="AH62" s="180">
        <v>0</v>
      </c>
      <c r="AI62" s="180">
        <v>0</v>
      </c>
      <c r="AJ62" s="181">
        <v>0</v>
      </c>
      <c r="AK62" s="180">
        <v>0</v>
      </c>
      <c r="AL62" s="180">
        <v>0</v>
      </c>
      <c r="AM62" s="180">
        <v>0</v>
      </c>
      <c r="AN62" s="181">
        <v>0</v>
      </c>
      <c r="AO62" s="179">
        <v>0</v>
      </c>
      <c r="AP62" s="179">
        <v>0</v>
      </c>
      <c r="AQ62" s="179">
        <v>0</v>
      </c>
      <c r="AR62" s="177">
        <v>0</v>
      </c>
      <c r="AS62" s="179" t="s">
        <v>266</v>
      </c>
      <c r="AT62" s="179" t="s">
        <v>267</v>
      </c>
      <c r="AU62" s="179" t="s">
        <v>267</v>
      </c>
      <c r="AV62" s="177" t="s">
        <v>267</v>
      </c>
      <c r="AW62" s="179" t="s">
        <v>266</v>
      </c>
      <c r="AX62" s="179" t="s">
        <v>267</v>
      </c>
      <c r="AY62" s="179" t="s">
        <v>267</v>
      </c>
      <c r="AZ62" s="177" t="s">
        <v>267</v>
      </c>
      <c r="BA62" s="179" t="s">
        <v>266</v>
      </c>
      <c r="BB62" s="179" t="s">
        <v>267</v>
      </c>
      <c r="BC62" s="179" t="s">
        <v>267</v>
      </c>
      <c r="BD62" s="177" t="s">
        <v>267</v>
      </c>
      <c r="BE62" s="179">
        <v>0</v>
      </c>
      <c r="BF62" s="179">
        <v>0</v>
      </c>
      <c r="BG62" s="179">
        <v>0</v>
      </c>
      <c r="BH62" s="177">
        <v>0</v>
      </c>
      <c r="BI62" s="351">
        <v>0</v>
      </c>
      <c r="BJ62" s="351">
        <v>0</v>
      </c>
      <c r="BK62" s="351">
        <v>0</v>
      </c>
      <c r="BL62" s="352">
        <v>0</v>
      </c>
      <c r="BM62" s="179">
        <v>0</v>
      </c>
      <c r="BN62" s="179">
        <v>0</v>
      </c>
      <c r="BO62" s="179">
        <v>0</v>
      </c>
      <c r="BP62" s="177">
        <v>0</v>
      </c>
      <c r="BQ62" s="179">
        <v>0</v>
      </c>
      <c r="BR62" s="179">
        <v>0</v>
      </c>
      <c r="BS62" s="179">
        <v>0</v>
      </c>
      <c r="BT62" s="177">
        <v>0</v>
      </c>
      <c r="BU62" s="182">
        <v>0</v>
      </c>
      <c r="BV62" s="182">
        <v>0</v>
      </c>
      <c r="BW62" s="182">
        <v>0</v>
      </c>
      <c r="BX62" s="251">
        <v>0</v>
      </c>
      <c r="BY62" s="180">
        <v>0</v>
      </c>
      <c r="BZ62" s="180">
        <v>0</v>
      </c>
      <c r="CA62" s="180">
        <v>0</v>
      </c>
      <c r="CB62" s="180">
        <v>0</v>
      </c>
    </row>
    <row r="63" spans="1:80" s="189" customFormat="1" x14ac:dyDescent="0.35">
      <c r="A63" s="417"/>
      <c r="B63" s="252" t="str">
        <f t="shared" si="4"/>
        <v>RPU_OFF_SP379-HH100</v>
      </c>
      <c r="C63" s="184" t="s">
        <v>180</v>
      </c>
      <c r="D63" s="185" t="s">
        <v>47</v>
      </c>
      <c r="E63" s="6">
        <v>0</v>
      </c>
      <c r="F63" s="186">
        <v>0</v>
      </c>
      <c r="G63" s="253" t="s">
        <v>391</v>
      </c>
      <c r="H63" s="253" t="s">
        <v>392</v>
      </c>
      <c r="I63" s="188">
        <v>0</v>
      </c>
      <c r="J63" s="188" t="s">
        <v>12</v>
      </c>
      <c r="K63" s="188">
        <v>0</v>
      </c>
      <c r="L63" s="188">
        <v>0</v>
      </c>
      <c r="M63" s="325">
        <v>0</v>
      </c>
      <c r="N63" s="188">
        <v>0</v>
      </c>
      <c r="O63" s="188">
        <v>0</v>
      </c>
      <c r="P63" s="187">
        <v>0</v>
      </c>
      <c r="Q63" s="193">
        <v>0</v>
      </c>
      <c r="R63" s="193">
        <v>0</v>
      </c>
      <c r="S63" s="193">
        <v>0</v>
      </c>
      <c r="T63" s="254">
        <v>0</v>
      </c>
      <c r="U63" s="189">
        <v>0</v>
      </c>
      <c r="V63" s="189">
        <v>0</v>
      </c>
      <c r="W63" s="189">
        <v>0</v>
      </c>
      <c r="X63" s="187">
        <v>0</v>
      </c>
      <c r="Y63" s="189">
        <v>0</v>
      </c>
      <c r="Z63" s="189">
        <v>0</v>
      </c>
      <c r="AA63" s="189">
        <v>0</v>
      </c>
      <c r="AB63" s="187">
        <v>0</v>
      </c>
      <c r="AC63" s="190">
        <v>0</v>
      </c>
      <c r="AD63" s="190">
        <v>0</v>
      </c>
      <c r="AE63" s="190">
        <v>0</v>
      </c>
      <c r="AF63" s="191">
        <v>0</v>
      </c>
      <c r="AG63" s="190">
        <v>0</v>
      </c>
      <c r="AH63" s="190">
        <v>0</v>
      </c>
      <c r="AI63" s="190">
        <v>0</v>
      </c>
      <c r="AJ63" s="191">
        <v>0</v>
      </c>
      <c r="AK63" s="190">
        <v>0</v>
      </c>
      <c r="AL63" s="190">
        <v>0</v>
      </c>
      <c r="AM63" s="190">
        <v>0</v>
      </c>
      <c r="AN63" s="191">
        <v>0</v>
      </c>
      <c r="AO63" s="189">
        <v>0</v>
      </c>
      <c r="AP63" s="189">
        <v>0</v>
      </c>
      <c r="AQ63" s="189">
        <v>0</v>
      </c>
      <c r="AR63" s="187">
        <v>0</v>
      </c>
      <c r="AS63" s="189" t="s">
        <v>266</v>
      </c>
      <c r="AT63" s="189" t="s">
        <v>267</v>
      </c>
      <c r="AU63" s="189" t="s">
        <v>267</v>
      </c>
      <c r="AV63" s="187" t="s">
        <v>267</v>
      </c>
      <c r="AW63" s="189" t="s">
        <v>266</v>
      </c>
      <c r="AX63" s="189" t="s">
        <v>267</v>
      </c>
      <c r="AY63" s="189" t="s">
        <v>267</v>
      </c>
      <c r="AZ63" s="187" t="s">
        <v>267</v>
      </c>
      <c r="BA63" s="189" t="s">
        <v>266</v>
      </c>
      <c r="BB63" s="189" t="s">
        <v>267</v>
      </c>
      <c r="BC63" s="189" t="s">
        <v>267</v>
      </c>
      <c r="BD63" s="187" t="s">
        <v>267</v>
      </c>
      <c r="BE63" s="189">
        <v>0</v>
      </c>
      <c r="BF63" s="189">
        <v>0</v>
      </c>
      <c r="BG63" s="189">
        <v>0</v>
      </c>
      <c r="BH63" s="187">
        <v>0</v>
      </c>
      <c r="BI63" s="189">
        <v>0</v>
      </c>
      <c r="BJ63" s="189">
        <v>0</v>
      </c>
      <c r="BK63" s="189">
        <v>0</v>
      </c>
      <c r="BL63" s="187">
        <v>0</v>
      </c>
      <c r="BM63" s="189">
        <v>0</v>
      </c>
      <c r="BN63" s="189">
        <v>0</v>
      </c>
      <c r="BO63" s="189">
        <v>0</v>
      </c>
      <c r="BP63" s="187">
        <v>0</v>
      </c>
      <c r="BQ63" s="189">
        <v>0</v>
      </c>
      <c r="BR63" s="189">
        <v>0</v>
      </c>
      <c r="BS63" s="189">
        <v>0</v>
      </c>
      <c r="BT63" s="187">
        <v>0</v>
      </c>
      <c r="BU63" s="192">
        <v>0</v>
      </c>
      <c r="BV63" s="192">
        <v>0</v>
      </c>
      <c r="BW63" s="192">
        <v>0</v>
      </c>
      <c r="BX63" s="255">
        <v>0</v>
      </c>
      <c r="BY63" s="190">
        <v>0</v>
      </c>
      <c r="BZ63" s="190">
        <v>0</v>
      </c>
      <c r="CA63" s="190">
        <v>0</v>
      </c>
      <c r="CB63" s="190">
        <v>0</v>
      </c>
    </row>
    <row r="64" spans="1:80" s="189" customFormat="1" x14ac:dyDescent="0.35">
      <c r="A64" s="417"/>
      <c r="B64" s="252" t="str">
        <f t="shared" si="4"/>
        <v>RPU_OFF_SP379-HH150</v>
      </c>
      <c r="C64" s="184" t="s">
        <v>180</v>
      </c>
      <c r="D64" s="185" t="s">
        <v>48</v>
      </c>
      <c r="E64" s="6">
        <v>0</v>
      </c>
      <c r="F64" s="186">
        <v>0</v>
      </c>
      <c r="G64" s="253" t="s">
        <v>391</v>
      </c>
      <c r="H64" s="253" t="s">
        <v>392</v>
      </c>
      <c r="I64" s="188">
        <v>0</v>
      </c>
      <c r="J64" s="188" t="s">
        <v>12</v>
      </c>
      <c r="K64" s="188">
        <v>0</v>
      </c>
      <c r="L64" s="188">
        <v>0</v>
      </c>
      <c r="M64" s="325">
        <v>0</v>
      </c>
      <c r="N64" s="188">
        <v>0</v>
      </c>
      <c r="O64" s="188">
        <v>0</v>
      </c>
      <c r="P64" s="187">
        <v>0</v>
      </c>
      <c r="Q64" s="193">
        <v>0</v>
      </c>
      <c r="R64" s="193">
        <v>0</v>
      </c>
      <c r="S64" s="193">
        <v>0</v>
      </c>
      <c r="T64" s="254">
        <v>0</v>
      </c>
      <c r="U64" s="189">
        <v>0</v>
      </c>
      <c r="V64" s="189">
        <v>0</v>
      </c>
      <c r="W64" s="189">
        <v>0</v>
      </c>
      <c r="X64" s="187">
        <v>0</v>
      </c>
      <c r="Y64" s="189">
        <v>0</v>
      </c>
      <c r="Z64" s="189">
        <v>0</v>
      </c>
      <c r="AA64" s="189">
        <v>0</v>
      </c>
      <c r="AB64" s="187">
        <v>0</v>
      </c>
      <c r="AC64" s="190">
        <v>0</v>
      </c>
      <c r="AD64" s="190">
        <v>0</v>
      </c>
      <c r="AE64" s="190">
        <v>0</v>
      </c>
      <c r="AF64" s="191">
        <v>0</v>
      </c>
      <c r="AG64" s="190">
        <v>0</v>
      </c>
      <c r="AH64" s="190">
        <v>0</v>
      </c>
      <c r="AI64" s="190">
        <v>0</v>
      </c>
      <c r="AJ64" s="191">
        <v>0</v>
      </c>
      <c r="AK64" s="190">
        <v>0</v>
      </c>
      <c r="AL64" s="190">
        <v>0</v>
      </c>
      <c r="AM64" s="190">
        <v>0</v>
      </c>
      <c r="AN64" s="191">
        <v>0</v>
      </c>
      <c r="AO64" s="189">
        <v>0</v>
      </c>
      <c r="AP64" s="189">
        <v>0</v>
      </c>
      <c r="AQ64" s="189">
        <v>0</v>
      </c>
      <c r="AR64" s="187">
        <v>0</v>
      </c>
      <c r="AS64" s="189" t="s">
        <v>266</v>
      </c>
      <c r="AT64" s="189" t="s">
        <v>267</v>
      </c>
      <c r="AU64" s="189" t="s">
        <v>267</v>
      </c>
      <c r="AV64" s="187" t="s">
        <v>267</v>
      </c>
      <c r="AW64" s="189" t="s">
        <v>266</v>
      </c>
      <c r="AX64" s="189" t="s">
        <v>267</v>
      </c>
      <c r="AY64" s="189" t="s">
        <v>267</v>
      </c>
      <c r="AZ64" s="187" t="s">
        <v>267</v>
      </c>
      <c r="BA64" s="189" t="s">
        <v>266</v>
      </c>
      <c r="BB64" s="189" t="s">
        <v>267</v>
      </c>
      <c r="BC64" s="189" t="s">
        <v>267</v>
      </c>
      <c r="BD64" s="187" t="s">
        <v>267</v>
      </c>
      <c r="BE64" s="189">
        <v>0</v>
      </c>
      <c r="BF64" s="189">
        <v>0</v>
      </c>
      <c r="BG64" s="189">
        <v>0</v>
      </c>
      <c r="BH64" s="187">
        <v>0</v>
      </c>
      <c r="BI64" s="189">
        <v>0</v>
      </c>
      <c r="BJ64" s="189">
        <v>0</v>
      </c>
      <c r="BK64" s="189">
        <v>0</v>
      </c>
      <c r="BL64" s="187">
        <v>0</v>
      </c>
      <c r="BM64" s="189">
        <v>0</v>
      </c>
      <c r="BN64" s="189">
        <v>0</v>
      </c>
      <c r="BO64" s="189">
        <v>0</v>
      </c>
      <c r="BP64" s="187">
        <v>0</v>
      </c>
      <c r="BQ64" s="189">
        <v>0</v>
      </c>
      <c r="BR64" s="189">
        <v>0</v>
      </c>
      <c r="BS64" s="189">
        <v>0</v>
      </c>
      <c r="BT64" s="187">
        <v>0</v>
      </c>
      <c r="BU64" s="192">
        <v>0</v>
      </c>
      <c r="BV64" s="192">
        <v>0</v>
      </c>
      <c r="BW64" s="192">
        <v>0</v>
      </c>
      <c r="BX64" s="255">
        <v>0</v>
      </c>
      <c r="BY64" s="190">
        <v>0</v>
      </c>
      <c r="BZ64" s="190">
        <v>0</v>
      </c>
      <c r="CA64" s="190">
        <v>0</v>
      </c>
      <c r="CB64" s="190">
        <v>0</v>
      </c>
    </row>
    <row r="65" spans="1:80" s="189" customFormat="1" x14ac:dyDescent="0.35">
      <c r="A65" s="417"/>
      <c r="B65" s="252" t="str">
        <f t="shared" si="4"/>
        <v>RPU_OFF_SP450-HH100</v>
      </c>
      <c r="C65" s="184" t="s">
        <v>180</v>
      </c>
      <c r="D65" s="185" t="s">
        <v>49</v>
      </c>
      <c r="E65" s="6">
        <v>0</v>
      </c>
      <c r="F65" s="186">
        <v>0</v>
      </c>
      <c r="G65" s="253" t="s">
        <v>391</v>
      </c>
      <c r="H65" s="253" t="s">
        <v>392</v>
      </c>
      <c r="I65" s="188">
        <v>0</v>
      </c>
      <c r="J65" s="188" t="s">
        <v>12</v>
      </c>
      <c r="K65" s="188">
        <v>0</v>
      </c>
      <c r="L65" s="188">
        <v>0</v>
      </c>
      <c r="M65" s="325">
        <v>0</v>
      </c>
      <c r="N65" s="188">
        <v>0</v>
      </c>
      <c r="O65" s="188">
        <v>0</v>
      </c>
      <c r="P65" s="187">
        <v>0</v>
      </c>
      <c r="Q65" s="193">
        <v>0</v>
      </c>
      <c r="R65" s="193">
        <v>0</v>
      </c>
      <c r="S65" s="193">
        <v>0</v>
      </c>
      <c r="T65" s="254">
        <v>0</v>
      </c>
      <c r="U65" s="189">
        <v>0</v>
      </c>
      <c r="V65" s="189">
        <v>0</v>
      </c>
      <c r="W65" s="189">
        <v>0</v>
      </c>
      <c r="X65" s="187">
        <v>0</v>
      </c>
      <c r="Y65" s="189">
        <v>0</v>
      </c>
      <c r="Z65" s="189">
        <v>0</v>
      </c>
      <c r="AA65" s="189">
        <v>0</v>
      </c>
      <c r="AB65" s="187">
        <v>0</v>
      </c>
      <c r="AC65" s="190">
        <v>0</v>
      </c>
      <c r="AD65" s="190">
        <v>0</v>
      </c>
      <c r="AE65" s="190">
        <v>0</v>
      </c>
      <c r="AF65" s="191">
        <v>0</v>
      </c>
      <c r="AG65" s="190">
        <v>0</v>
      </c>
      <c r="AH65" s="190">
        <v>0</v>
      </c>
      <c r="AI65" s="190">
        <v>0</v>
      </c>
      <c r="AJ65" s="191">
        <v>0</v>
      </c>
      <c r="AK65" s="190">
        <v>0</v>
      </c>
      <c r="AL65" s="190">
        <v>0</v>
      </c>
      <c r="AM65" s="190">
        <v>0</v>
      </c>
      <c r="AN65" s="191">
        <v>0</v>
      </c>
      <c r="AO65" s="189">
        <v>0</v>
      </c>
      <c r="AP65" s="189">
        <v>0</v>
      </c>
      <c r="AQ65" s="189">
        <v>0</v>
      </c>
      <c r="AR65" s="187">
        <v>0</v>
      </c>
      <c r="AS65" s="189" t="s">
        <v>266</v>
      </c>
      <c r="AT65" s="189" t="s">
        <v>267</v>
      </c>
      <c r="AU65" s="189" t="s">
        <v>267</v>
      </c>
      <c r="AV65" s="187" t="s">
        <v>267</v>
      </c>
      <c r="AW65" s="189" t="s">
        <v>266</v>
      </c>
      <c r="AX65" s="189" t="s">
        <v>267</v>
      </c>
      <c r="AY65" s="189" t="s">
        <v>267</v>
      </c>
      <c r="AZ65" s="187" t="s">
        <v>267</v>
      </c>
      <c r="BA65" s="189" t="s">
        <v>266</v>
      </c>
      <c r="BB65" s="189" t="s">
        <v>267</v>
      </c>
      <c r="BC65" s="189" t="s">
        <v>267</v>
      </c>
      <c r="BD65" s="187" t="s">
        <v>267</v>
      </c>
      <c r="BE65" s="189">
        <v>0</v>
      </c>
      <c r="BF65" s="189">
        <v>0</v>
      </c>
      <c r="BG65" s="189">
        <v>0</v>
      </c>
      <c r="BH65" s="187">
        <v>0</v>
      </c>
      <c r="BI65" s="189">
        <v>0</v>
      </c>
      <c r="BJ65" s="189">
        <v>0</v>
      </c>
      <c r="BK65" s="189">
        <v>0</v>
      </c>
      <c r="BL65" s="187">
        <v>0</v>
      </c>
      <c r="BM65" s="189">
        <v>0</v>
      </c>
      <c r="BN65" s="189">
        <v>0</v>
      </c>
      <c r="BO65" s="189">
        <v>0</v>
      </c>
      <c r="BP65" s="187">
        <v>0</v>
      </c>
      <c r="BQ65" s="189">
        <v>0</v>
      </c>
      <c r="BR65" s="189">
        <v>0</v>
      </c>
      <c r="BS65" s="189">
        <v>0</v>
      </c>
      <c r="BT65" s="187">
        <v>0</v>
      </c>
      <c r="BU65" s="192">
        <v>0</v>
      </c>
      <c r="BV65" s="192">
        <v>0</v>
      </c>
      <c r="BW65" s="192">
        <v>0</v>
      </c>
      <c r="BX65" s="255">
        <v>0</v>
      </c>
      <c r="BY65" s="190">
        <v>0</v>
      </c>
      <c r="BZ65" s="190">
        <v>0</v>
      </c>
      <c r="CA65" s="190">
        <v>0</v>
      </c>
      <c r="CB65" s="190">
        <v>0</v>
      </c>
    </row>
    <row r="66" spans="1:80" s="189" customFormat="1" x14ac:dyDescent="0.35">
      <c r="A66" s="417"/>
      <c r="B66" s="252" t="str">
        <f t="shared" si="4"/>
        <v>RPU_OFF_SP450-HH150</v>
      </c>
      <c r="C66" s="184" t="s">
        <v>180</v>
      </c>
      <c r="D66" s="185" t="s">
        <v>115</v>
      </c>
      <c r="E66" s="6">
        <v>0</v>
      </c>
      <c r="F66" s="186">
        <v>0</v>
      </c>
      <c r="G66" s="253" t="s">
        <v>391</v>
      </c>
      <c r="H66" s="253" t="s">
        <v>392</v>
      </c>
      <c r="I66" s="188">
        <v>0</v>
      </c>
      <c r="J66" s="188" t="s">
        <v>12</v>
      </c>
      <c r="K66" s="188">
        <v>0</v>
      </c>
      <c r="L66" s="188">
        <v>0</v>
      </c>
      <c r="M66" s="325">
        <v>0</v>
      </c>
      <c r="N66" s="188">
        <v>0</v>
      </c>
      <c r="O66" s="188">
        <v>0</v>
      </c>
      <c r="P66" s="187">
        <v>0</v>
      </c>
      <c r="Q66" s="193">
        <v>0</v>
      </c>
      <c r="R66" s="193">
        <v>0</v>
      </c>
      <c r="S66" s="193">
        <v>0</v>
      </c>
      <c r="T66" s="254">
        <v>0</v>
      </c>
      <c r="U66" s="189">
        <v>0</v>
      </c>
      <c r="V66" s="189">
        <v>0</v>
      </c>
      <c r="W66" s="189">
        <v>0</v>
      </c>
      <c r="X66" s="187">
        <v>0</v>
      </c>
      <c r="Y66" s="189">
        <v>0</v>
      </c>
      <c r="Z66" s="189">
        <v>0</v>
      </c>
      <c r="AA66" s="189">
        <v>0</v>
      </c>
      <c r="AB66" s="187">
        <v>0</v>
      </c>
      <c r="AC66" s="190">
        <v>0</v>
      </c>
      <c r="AD66" s="190">
        <v>0</v>
      </c>
      <c r="AE66" s="190">
        <v>0</v>
      </c>
      <c r="AF66" s="191">
        <v>0</v>
      </c>
      <c r="AG66" s="190">
        <v>0</v>
      </c>
      <c r="AH66" s="190">
        <v>0</v>
      </c>
      <c r="AI66" s="190">
        <v>0</v>
      </c>
      <c r="AJ66" s="191">
        <v>0</v>
      </c>
      <c r="AK66" s="190">
        <v>0</v>
      </c>
      <c r="AL66" s="190">
        <v>0</v>
      </c>
      <c r="AM66" s="190">
        <v>0</v>
      </c>
      <c r="AN66" s="191">
        <v>0</v>
      </c>
      <c r="AO66" s="189">
        <v>0</v>
      </c>
      <c r="AP66" s="189">
        <v>0</v>
      </c>
      <c r="AQ66" s="189">
        <v>0</v>
      </c>
      <c r="AR66" s="187">
        <v>0</v>
      </c>
      <c r="AS66" s="189" t="s">
        <v>266</v>
      </c>
      <c r="AT66" s="189" t="s">
        <v>267</v>
      </c>
      <c r="AU66" s="189" t="s">
        <v>267</v>
      </c>
      <c r="AV66" s="187" t="s">
        <v>267</v>
      </c>
      <c r="AW66" s="189" t="s">
        <v>266</v>
      </c>
      <c r="AX66" s="189" t="s">
        <v>267</v>
      </c>
      <c r="AY66" s="189" t="s">
        <v>267</v>
      </c>
      <c r="AZ66" s="187" t="s">
        <v>267</v>
      </c>
      <c r="BA66" s="189" t="s">
        <v>266</v>
      </c>
      <c r="BB66" s="189" t="s">
        <v>267</v>
      </c>
      <c r="BC66" s="189" t="s">
        <v>267</v>
      </c>
      <c r="BD66" s="187" t="s">
        <v>267</v>
      </c>
      <c r="BE66" s="189">
        <v>0</v>
      </c>
      <c r="BF66" s="189">
        <v>0</v>
      </c>
      <c r="BG66" s="189">
        <v>0</v>
      </c>
      <c r="BH66" s="187">
        <v>0</v>
      </c>
      <c r="BI66" s="189">
        <v>0</v>
      </c>
      <c r="BJ66" s="189">
        <v>0</v>
      </c>
      <c r="BK66" s="189">
        <v>0</v>
      </c>
      <c r="BL66" s="187">
        <v>0</v>
      </c>
      <c r="BM66" s="189">
        <v>0</v>
      </c>
      <c r="BN66" s="189">
        <v>0</v>
      </c>
      <c r="BO66" s="189">
        <v>0</v>
      </c>
      <c r="BP66" s="187">
        <v>0</v>
      </c>
      <c r="BQ66" s="189">
        <v>0</v>
      </c>
      <c r="BR66" s="189">
        <v>0</v>
      </c>
      <c r="BS66" s="189">
        <v>0</v>
      </c>
      <c r="BT66" s="187">
        <v>0</v>
      </c>
      <c r="BU66" s="192">
        <v>0</v>
      </c>
      <c r="BV66" s="192">
        <v>0</v>
      </c>
      <c r="BW66" s="192">
        <v>0</v>
      </c>
      <c r="BX66" s="255">
        <v>0</v>
      </c>
      <c r="BY66" s="190">
        <v>0</v>
      </c>
      <c r="BZ66" s="190">
        <v>0</v>
      </c>
      <c r="CA66" s="190">
        <v>0</v>
      </c>
      <c r="CB66" s="190">
        <v>0</v>
      </c>
    </row>
    <row r="67" spans="1:80" s="78" customFormat="1" ht="14.5" customHeight="1" x14ac:dyDescent="0.35">
      <c r="A67" s="417"/>
      <c r="B67" s="256" t="s">
        <v>324</v>
      </c>
      <c r="C67" s="76" t="s">
        <v>180</v>
      </c>
      <c r="D67" s="257" t="s">
        <v>325</v>
      </c>
      <c r="E67" s="6">
        <v>0</v>
      </c>
      <c r="F67" s="105">
        <v>0</v>
      </c>
      <c r="G67" s="117" t="s">
        <v>391</v>
      </c>
      <c r="H67" s="117" t="s">
        <v>392</v>
      </c>
      <c r="I67" s="126">
        <v>0</v>
      </c>
      <c r="J67" s="126" t="s">
        <v>12</v>
      </c>
      <c r="K67" s="126">
        <v>0</v>
      </c>
      <c r="L67" s="126">
        <v>0</v>
      </c>
      <c r="M67" s="126">
        <v>0</v>
      </c>
      <c r="N67" s="126">
        <v>0</v>
      </c>
      <c r="O67" s="126">
        <v>0</v>
      </c>
      <c r="P67" s="136">
        <v>0</v>
      </c>
      <c r="Q67" s="78">
        <v>0</v>
      </c>
      <c r="R67" s="78">
        <v>0</v>
      </c>
      <c r="S67" s="78">
        <v>0</v>
      </c>
      <c r="T67" s="136">
        <v>0</v>
      </c>
      <c r="U67" s="78">
        <v>0</v>
      </c>
      <c r="V67" s="78">
        <v>0</v>
      </c>
      <c r="W67" s="78">
        <v>0</v>
      </c>
      <c r="X67" s="136">
        <v>0</v>
      </c>
      <c r="Y67" s="78">
        <v>0</v>
      </c>
      <c r="Z67" s="78">
        <v>0</v>
      </c>
      <c r="AA67" s="78">
        <v>0</v>
      </c>
      <c r="AB67" s="78">
        <v>0</v>
      </c>
      <c r="AC67" s="258" t="s">
        <v>355</v>
      </c>
      <c r="AD67" s="258" t="s">
        <v>355</v>
      </c>
      <c r="AE67" s="258" t="s">
        <v>355</v>
      </c>
      <c r="AF67" s="258" t="s">
        <v>355</v>
      </c>
      <c r="AG67" s="258" t="s">
        <v>355</v>
      </c>
      <c r="AH67" s="258" t="s">
        <v>355</v>
      </c>
      <c r="AI67" s="258" t="s">
        <v>355</v>
      </c>
      <c r="AJ67" s="258" t="s">
        <v>355</v>
      </c>
      <c r="AK67" s="258" t="s">
        <v>355</v>
      </c>
      <c r="AL67" s="258" t="s">
        <v>355</v>
      </c>
      <c r="AM67" s="258" t="s">
        <v>355</v>
      </c>
      <c r="AN67" s="358" t="s">
        <v>355</v>
      </c>
      <c r="AO67" s="78" t="s">
        <v>355</v>
      </c>
      <c r="AP67" s="78" t="s">
        <v>355</v>
      </c>
      <c r="AQ67" s="78" t="s">
        <v>355</v>
      </c>
      <c r="AR67" s="136" t="s">
        <v>355</v>
      </c>
      <c r="AS67" s="78" t="s">
        <v>355</v>
      </c>
      <c r="AT67" s="78" t="s">
        <v>355</v>
      </c>
      <c r="AU67" s="78" t="s">
        <v>355</v>
      </c>
      <c r="AV67" s="78" t="s">
        <v>355</v>
      </c>
      <c r="AW67" s="78" t="s">
        <v>355</v>
      </c>
      <c r="AX67" s="78" t="s">
        <v>355</v>
      </c>
      <c r="AY67" s="78" t="s">
        <v>355</v>
      </c>
      <c r="AZ67" s="78" t="s">
        <v>355</v>
      </c>
      <c r="BA67" s="78" t="s">
        <v>355</v>
      </c>
      <c r="BB67" s="78" t="s">
        <v>355</v>
      </c>
      <c r="BC67" s="78" t="s">
        <v>355</v>
      </c>
      <c r="BD67" s="78" t="s">
        <v>355</v>
      </c>
      <c r="BE67" s="78">
        <v>0</v>
      </c>
      <c r="BF67" s="78">
        <v>0</v>
      </c>
      <c r="BG67" s="78">
        <v>0</v>
      </c>
      <c r="BH67" s="136">
        <v>0</v>
      </c>
      <c r="BI67" s="78">
        <v>0</v>
      </c>
      <c r="BJ67" s="78">
        <v>0</v>
      </c>
      <c r="BK67" s="78">
        <v>0</v>
      </c>
      <c r="BL67" s="136">
        <v>0</v>
      </c>
      <c r="BM67" s="78">
        <v>0</v>
      </c>
      <c r="BN67" s="78">
        <v>0</v>
      </c>
      <c r="BO67" s="78">
        <v>0</v>
      </c>
      <c r="BP67" s="136">
        <v>0</v>
      </c>
      <c r="BQ67" s="78" t="s">
        <v>355</v>
      </c>
      <c r="BR67" s="78" t="s">
        <v>355</v>
      </c>
      <c r="BS67" s="78" t="s">
        <v>355</v>
      </c>
      <c r="BT67" s="136" t="s">
        <v>355</v>
      </c>
      <c r="BU67" s="79" t="s">
        <v>355</v>
      </c>
      <c r="BV67" s="79" t="s">
        <v>355</v>
      </c>
      <c r="BW67" s="79" t="s">
        <v>355</v>
      </c>
      <c r="BX67" s="163" t="s">
        <v>355</v>
      </c>
      <c r="BY67" s="80" t="s">
        <v>355</v>
      </c>
      <c r="BZ67" s="80" t="s">
        <v>355</v>
      </c>
      <c r="CA67" s="80" t="s">
        <v>355</v>
      </c>
      <c r="CB67" s="80" t="s">
        <v>355</v>
      </c>
    </row>
    <row r="68" spans="1:80" s="78" customFormat="1" ht="14.5" customHeight="1" x14ac:dyDescent="0.35">
      <c r="A68" s="417"/>
      <c r="B68" s="256" t="s">
        <v>326</v>
      </c>
      <c r="C68" s="76" t="s">
        <v>180</v>
      </c>
      <c r="D68" s="257" t="s">
        <v>327</v>
      </c>
      <c r="E68" s="6">
        <v>0</v>
      </c>
      <c r="F68" s="105">
        <v>0</v>
      </c>
      <c r="G68" s="117" t="s">
        <v>391</v>
      </c>
      <c r="H68" s="117" t="s">
        <v>392</v>
      </c>
      <c r="I68" s="126">
        <v>0</v>
      </c>
      <c r="J68" s="126" t="s">
        <v>12</v>
      </c>
      <c r="K68" s="126">
        <v>0</v>
      </c>
      <c r="L68" s="126">
        <v>0</v>
      </c>
      <c r="M68" s="126">
        <v>0</v>
      </c>
      <c r="N68" s="126">
        <v>0</v>
      </c>
      <c r="O68" s="126">
        <v>0</v>
      </c>
      <c r="P68" s="136">
        <v>0</v>
      </c>
      <c r="Q68" s="78">
        <v>0</v>
      </c>
      <c r="R68" s="78">
        <v>0</v>
      </c>
      <c r="S68" s="78">
        <v>0</v>
      </c>
      <c r="T68" s="136">
        <v>0</v>
      </c>
      <c r="U68" s="78">
        <v>0</v>
      </c>
      <c r="V68" s="78">
        <v>0</v>
      </c>
      <c r="W68" s="78">
        <v>0</v>
      </c>
      <c r="X68" s="136">
        <v>0</v>
      </c>
      <c r="Y68" s="78">
        <v>0</v>
      </c>
      <c r="Z68" s="78">
        <v>0</v>
      </c>
      <c r="AA68" s="78">
        <v>0</v>
      </c>
      <c r="AB68" s="78">
        <v>0</v>
      </c>
      <c r="AC68" s="258" t="s">
        <v>355</v>
      </c>
      <c r="AD68" s="258" t="s">
        <v>355</v>
      </c>
      <c r="AE68" s="258" t="s">
        <v>355</v>
      </c>
      <c r="AF68" s="258" t="s">
        <v>355</v>
      </c>
      <c r="AG68" s="258" t="s">
        <v>355</v>
      </c>
      <c r="AH68" s="258" t="s">
        <v>355</v>
      </c>
      <c r="AI68" s="258" t="s">
        <v>355</v>
      </c>
      <c r="AJ68" s="258" t="s">
        <v>355</v>
      </c>
      <c r="AK68" s="258" t="s">
        <v>355</v>
      </c>
      <c r="AL68" s="258" t="s">
        <v>355</v>
      </c>
      <c r="AM68" s="258" t="s">
        <v>355</v>
      </c>
      <c r="AN68" s="358" t="s">
        <v>355</v>
      </c>
      <c r="AO68" s="78" t="s">
        <v>355</v>
      </c>
      <c r="AP68" s="78" t="s">
        <v>355</v>
      </c>
      <c r="AQ68" s="78" t="s">
        <v>355</v>
      </c>
      <c r="AR68" s="136" t="s">
        <v>355</v>
      </c>
      <c r="AS68" s="78" t="s">
        <v>355</v>
      </c>
      <c r="AT68" s="78" t="s">
        <v>355</v>
      </c>
      <c r="AU68" s="78" t="s">
        <v>355</v>
      </c>
      <c r="AV68" s="78" t="s">
        <v>355</v>
      </c>
      <c r="AW68" s="78" t="s">
        <v>355</v>
      </c>
      <c r="AX68" s="78" t="s">
        <v>355</v>
      </c>
      <c r="AY68" s="78" t="s">
        <v>355</v>
      </c>
      <c r="AZ68" s="78" t="s">
        <v>355</v>
      </c>
      <c r="BA68" s="78" t="s">
        <v>355</v>
      </c>
      <c r="BB68" s="78" t="s">
        <v>355</v>
      </c>
      <c r="BC68" s="78" t="s">
        <v>355</v>
      </c>
      <c r="BD68" s="78" t="s">
        <v>355</v>
      </c>
      <c r="BE68" s="78">
        <v>0</v>
      </c>
      <c r="BF68" s="78">
        <v>0</v>
      </c>
      <c r="BG68" s="78">
        <v>0</v>
      </c>
      <c r="BH68" s="136">
        <v>0</v>
      </c>
      <c r="BI68" s="78">
        <v>0</v>
      </c>
      <c r="BJ68" s="78">
        <v>0</v>
      </c>
      <c r="BK68" s="78">
        <v>0</v>
      </c>
      <c r="BL68" s="136">
        <v>0</v>
      </c>
      <c r="BM68" s="78">
        <v>0</v>
      </c>
      <c r="BN68" s="78">
        <v>0</v>
      </c>
      <c r="BO68" s="78">
        <v>0</v>
      </c>
      <c r="BP68" s="136">
        <v>0</v>
      </c>
      <c r="BQ68" s="78" t="s">
        <v>355</v>
      </c>
      <c r="BR68" s="78" t="s">
        <v>355</v>
      </c>
      <c r="BS68" s="78" t="s">
        <v>355</v>
      </c>
      <c r="BT68" s="136" t="s">
        <v>355</v>
      </c>
      <c r="BU68" s="79" t="s">
        <v>355</v>
      </c>
      <c r="BV68" s="79" t="s">
        <v>355</v>
      </c>
      <c r="BW68" s="79" t="s">
        <v>355</v>
      </c>
      <c r="BX68" s="163" t="s">
        <v>355</v>
      </c>
      <c r="BY68" s="80" t="s">
        <v>355</v>
      </c>
      <c r="BZ68" s="80" t="s">
        <v>355</v>
      </c>
      <c r="CA68" s="80" t="s">
        <v>355</v>
      </c>
      <c r="CB68" s="80" t="s">
        <v>355</v>
      </c>
    </row>
    <row r="69" spans="1:80" s="78" customFormat="1" ht="14.5" customHeight="1" x14ac:dyDescent="0.35">
      <c r="A69" s="417"/>
      <c r="B69" s="256" t="s">
        <v>328</v>
      </c>
      <c r="C69" s="76" t="s">
        <v>180</v>
      </c>
      <c r="D69" s="257" t="s">
        <v>329</v>
      </c>
      <c r="E69" s="6">
        <v>0</v>
      </c>
      <c r="F69" s="105">
        <v>0</v>
      </c>
      <c r="G69" s="117" t="s">
        <v>391</v>
      </c>
      <c r="H69" s="117" t="s">
        <v>392</v>
      </c>
      <c r="I69" s="126">
        <v>0</v>
      </c>
      <c r="J69" s="126" t="s">
        <v>12</v>
      </c>
      <c r="K69" s="126">
        <v>0</v>
      </c>
      <c r="L69" s="126">
        <v>0</v>
      </c>
      <c r="M69" s="126">
        <v>0</v>
      </c>
      <c r="N69" s="126">
        <v>0</v>
      </c>
      <c r="O69" s="126">
        <v>0</v>
      </c>
      <c r="P69" s="136">
        <v>0</v>
      </c>
      <c r="Q69" s="78">
        <v>0</v>
      </c>
      <c r="R69" s="78">
        <v>0</v>
      </c>
      <c r="S69" s="78">
        <v>0</v>
      </c>
      <c r="T69" s="136">
        <v>0</v>
      </c>
      <c r="U69" s="78">
        <v>0</v>
      </c>
      <c r="V69" s="78">
        <v>0</v>
      </c>
      <c r="W69" s="78">
        <v>0</v>
      </c>
      <c r="X69" s="136">
        <v>0</v>
      </c>
      <c r="Y69" s="78">
        <v>0</v>
      </c>
      <c r="Z69" s="78">
        <v>0</v>
      </c>
      <c r="AA69" s="78">
        <v>0</v>
      </c>
      <c r="AB69" s="78">
        <v>0</v>
      </c>
      <c r="AC69" s="258" t="s">
        <v>355</v>
      </c>
      <c r="AD69" s="258" t="s">
        <v>355</v>
      </c>
      <c r="AE69" s="258" t="s">
        <v>355</v>
      </c>
      <c r="AF69" s="258" t="s">
        <v>355</v>
      </c>
      <c r="AG69" s="258" t="s">
        <v>355</v>
      </c>
      <c r="AH69" s="258" t="s">
        <v>355</v>
      </c>
      <c r="AI69" s="258" t="s">
        <v>355</v>
      </c>
      <c r="AJ69" s="258" t="s">
        <v>355</v>
      </c>
      <c r="AK69" s="258" t="s">
        <v>355</v>
      </c>
      <c r="AL69" s="258" t="s">
        <v>355</v>
      </c>
      <c r="AM69" s="258" t="s">
        <v>355</v>
      </c>
      <c r="AN69" s="358" t="s">
        <v>355</v>
      </c>
      <c r="AO69" s="78" t="s">
        <v>355</v>
      </c>
      <c r="AP69" s="78" t="s">
        <v>355</v>
      </c>
      <c r="AQ69" s="78" t="s">
        <v>355</v>
      </c>
      <c r="AR69" s="136" t="s">
        <v>355</v>
      </c>
      <c r="AS69" s="78" t="s">
        <v>355</v>
      </c>
      <c r="AT69" s="78" t="s">
        <v>355</v>
      </c>
      <c r="AU69" s="78" t="s">
        <v>355</v>
      </c>
      <c r="AV69" s="78" t="s">
        <v>355</v>
      </c>
      <c r="AW69" s="78" t="s">
        <v>355</v>
      </c>
      <c r="AX69" s="78" t="s">
        <v>355</v>
      </c>
      <c r="AY69" s="78" t="s">
        <v>355</v>
      </c>
      <c r="AZ69" s="78" t="s">
        <v>355</v>
      </c>
      <c r="BA69" s="78" t="s">
        <v>355</v>
      </c>
      <c r="BB69" s="78" t="s">
        <v>355</v>
      </c>
      <c r="BC69" s="78" t="s">
        <v>355</v>
      </c>
      <c r="BD69" s="78" t="s">
        <v>355</v>
      </c>
      <c r="BE69" s="78">
        <v>0</v>
      </c>
      <c r="BF69" s="78">
        <v>0</v>
      </c>
      <c r="BG69" s="78">
        <v>0</v>
      </c>
      <c r="BH69" s="136">
        <v>0</v>
      </c>
      <c r="BI69" s="78">
        <v>0</v>
      </c>
      <c r="BJ69" s="78">
        <v>0</v>
      </c>
      <c r="BK69" s="78">
        <v>0</v>
      </c>
      <c r="BL69" s="136">
        <v>0</v>
      </c>
      <c r="BM69" s="78">
        <v>0</v>
      </c>
      <c r="BN69" s="78">
        <v>0</v>
      </c>
      <c r="BO69" s="78">
        <v>0</v>
      </c>
      <c r="BP69" s="136">
        <v>0</v>
      </c>
      <c r="BQ69" s="78" t="s">
        <v>355</v>
      </c>
      <c r="BR69" s="78" t="s">
        <v>355</v>
      </c>
      <c r="BS69" s="78" t="s">
        <v>355</v>
      </c>
      <c r="BT69" s="136" t="s">
        <v>355</v>
      </c>
      <c r="BU69" s="79" t="s">
        <v>355</v>
      </c>
      <c r="BV69" s="79" t="s">
        <v>355</v>
      </c>
      <c r="BW69" s="79" t="s">
        <v>355</v>
      </c>
      <c r="BX69" s="163" t="s">
        <v>355</v>
      </c>
      <c r="BY69" s="80" t="s">
        <v>355</v>
      </c>
      <c r="BZ69" s="80" t="s">
        <v>355</v>
      </c>
      <c r="CA69" s="80" t="s">
        <v>355</v>
      </c>
      <c r="CB69" s="80" t="s">
        <v>355</v>
      </c>
    </row>
    <row r="70" spans="1:80" s="78" customFormat="1" ht="14.5" customHeight="1" x14ac:dyDescent="0.35">
      <c r="A70" s="417"/>
      <c r="B70" s="256" t="s">
        <v>330</v>
      </c>
      <c r="C70" s="76" t="s">
        <v>180</v>
      </c>
      <c r="D70" s="257" t="s">
        <v>331</v>
      </c>
      <c r="E70" s="6">
        <v>0</v>
      </c>
      <c r="F70" s="105">
        <v>0</v>
      </c>
      <c r="G70" s="117" t="s">
        <v>391</v>
      </c>
      <c r="H70" s="117" t="s">
        <v>392</v>
      </c>
      <c r="I70" s="126">
        <v>0</v>
      </c>
      <c r="J70" s="126" t="s">
        <v>12</v>
      </c>
      <c r="K70" s="126">
        <v>0</v>
      </c>
      <c r="L70" s="126">
        <v>0</v>
      </c>
      <c r="M70" s="126">
        <v>0</v>
      </c>
      <c r="N70" s="126">
        <v>0</v>
      </c>
      <c r="O70" s="126">
        <v>0</v>
      </c>
      <c r="P70" s="136">
        <v>0</v>
      </c>
      <c r="Q70" s="78">
        <v>0</v>
      </c>
      <c r="R70" s="78">
        <v>0</v>
      </c>
      <c r="S70" s="78">
        <v>0</v>
      </c>
      <c r="T70" s="136">
        <v>0</v>
      </c>
      <c r="U70" s="78">
        <v>0</v>
      </c>
      <c r="V70" s="78">
        <v>0</v>
      </c>
      <c r="W70" s="78">
        <v>0</v>
      </c>
      <c r="X70" s="136">
        <v>0</v>
      </c>
      <c r="Y70" s="78">
        <v>0</v>
      </c>
      <c r="Z70" s="78">
        <v>0</v>
      </c>
      <c r="AA70" s="78">
        <v>0</v>
      </c>
      <c r="AB70" s="78">
        <v>0</v>
      </c>
      <c r="AC70" s="258" t="s">
        <v>355</v>
      </c>
      <c r="AD70" s="258" t="s">
        <v>355</v>
      </c>
      <c r="AE70" s="258" t="s">
        <v>355</v>
      </c>
      <c r="AF70" s="258" t="s">
        <v>355</v>
      </c>
      <c r="AG70" s="258" t="s">
        <v>355</v>
      </c>
      <c r="AH70" s="258" t="s">
        <v>355</v>
      </c>
      <c r="AI70" s="258" t="s">
        <v>355</v>
      </c>
      <c r="AJ70" s="258" t="s">
        <v>355</v>
      </c>
      <c r="AK70" s="258" t="s">
        <v>355</v>
      </c>
      <c r="AL70" s="258" t="s">
        <v>355</v>
      </c>
      <c r="AM70" s="258" t="s">
        <v>355</v>
      </c>
      <c r="AN70" s="358" t="s">
        <v>355</v>
      </c>
      <c r="AO70" s="78" t="s">
        <v>355</v>
      </c>
      <c r="AP70" s="78" t="s">
        <v>355</v>
      </c>
      <c r="AQ70" s="78" t="s">
        <v>355</v>
      </c>
      <c r="AR70" s="136" t="s">
        <v>355</v>
      </c>
      <c r="AS70" s="78" t="s">
        <v>355</v>
      </c>
      <c r="AT70" s="78" t="s">
        <v>355</v>
      </c>
      <c r="AU70" s="78" t="s">
        <v>355</v>
      </c>
      <c r="AV70" s="78" t="s">
        <v>355</v>
      </c>
      <c r="AW70" s="78" t="s">
        <v>355</v>
      </c>
      <c r="AX70" s="78" t="s">
        <v>355</v>
      </c>
      <c r="AY70" s="78" t="s">
        <v>355</v>
      </c>
      <c r="AZ70" s="78" t="s">
        <v>355</v>
      </c>
      <c r="BA70" s="78" t="s">
        <v>355</v>
      </c>
      <c r="BB70" s="78" t="s">
        <v>355</v>
      </c>
      <c r="BC70" s="78" t="s">
        <v>355</v>
      </c>
      <c r="BD70" s="78" t="s">
        <v>355</v>
      </c>
      <c r="BE70" s="78">
        <v>0</v>
      </c>
      <c r="BF70" s="78">
        <v>0</v>
      </c>
      <c r="BG70" s="78">
        <v>0</v>
      </c>
      <c r="BH70" s="136">
        <v>0</v>
      </c>
      <c r="BI70" s="78">
        <v>0</v>
      </c>
      <c r="BJ70" s="78">
        <v>0</v>
      </c>
      <c r="BK70" s="78">
        <v>0</v>
      </c>
      <c r="BL70" s="136">
        <v>0</v>
      </c>
      <c r="BM70" s="78">
        <v>0</v>
      </c>
      <c r="BN70" s="78">
        <v>0</v>
      </c>
      <c r="BO70" s="78">
        <v>0</v>
      </c>
      <c r="BP70" s="136">
        <v>0</v>
      </c>
      <c r="BQ70" s="78" t="s">
        <v>355</v>
      </c>
      <c r="BR70" s="78" t="s">
        <v>355</v>
      </c>
      <c r="BS70" s="78" t="s">
        <v>355</v>
      </c>
      <c r="BT70" s="136" t="s">
        <v>355</v>
      </c>
      <c r="BU70" s="79" t="s">
        <v>355</v>
      </c>
      <c r="BV70" s="79" t="s">
        <v>355</v>
      </c>
      <c r="BW70" s="79" t="s">
        <v>355</v>
      </c>
      <c r="BX70" s="163" t="s">
        <v>355</v>
      </c>
      <c r="BY70" s="80" t="s">
        <v>355</v>
      </c>
      <c r="BZ70" s="80" t="s">
        <v>355</v>
      </c>
      <c r="CA70" s="80" t="s">
        <v>355</v>
      </c>
      <c r="CB70" s="80" t="s">
        <v>355</v>
      </c>
    </row>
    <row r="71" spans="1:80" s="266" customFormat="1" ht="14.5" customHeight="1" x14ac:dyDescent="0.35">
      <c r="A71" s="417"/>
      <c r="B71" s="259" t="s">
        <v>14</v>
      </c>
      <c r="C71" s="260" t="s">
        <v>180</v>
      </c>
      <c r="D71" s="261" t="s">
        <v>178</v>
      </c>
      <c r="E71" s="6">
        <v>0</v>
      </c>
      <c r="F71" s="262">
        <v>0</v>
      </c>
      <c r="G71" s="263" t="s">
        <v>391</v>
      </c>
      <c r="H71" s="263" t="s">
        <v>12</v>
      </c>
      <c r="I71" s="265">
        <v>0</v>
      </c>
      <c r="J71" s="265" t="s">
        <v>12</v>
      </c>
      <c r="K71" s="265">
        <v>0</v>
      </c>
      <c r="L71" s="265">
        <v>0</v>
      </c>
      <c r="M71" s="265">
        <v>0</v>
      </c>
      <c r="N71" s="265">
        <v>0</v>
      </c>
      <c r="O71" s="265">
        <v>0</v>
      </c>
      <c r="P71" s="264">
        <v>0</v>
      </c>
      <c r="Q71" s="266">
        <v>0</v>
      </c>
      <c r="R71" s="266">
        <v>0</v>
      </c>
      <c r="S71" s="266">
        <v>0</v>
      </c>
      <c r="T71" s="264">
        <v>0</v>
      </c>
      <c r="U71" s="266">
        <v>0</v>
      </c>
      <c r="V71" s="266">
        <v>0</v>
      </c>
      <c r="W71" s="266">
        <v>0</v>
      </c>
      <c r="X71" s="264">
        <v>0</v>
      </c>
      <c r="Y71" s="266">
        <v>0</v>
      </c>
      <c r="Z71" s="266">
        <v>0</v>
      </c>
      <c r="AA71" s="266">
        <v>0</v>
      </c>
      <c r="AB71" s="266">
        <v>0</v>
      </c>
      <c r="AC71" s="267" t="s">
        <v>355</v>
      </c>
      <c r="AD71" s="267" t="s">
        <v>355</v>
      </c>
      <c r="AE71" s="267" t="s">
        <v>355</v>
      </c>
      <c r="AF71" s="267" t="s">
        <v>355</v>
      </c>
      <c r="AG71" s="267" t="s">
        <v>355</v>
      </c>
      <c r="AH71" s="267" t="s">
        <v>355</v>
      </c>
      <c r="AI71" s="267" t="s">
        <v>355</v>
      </c>
      <c r="AJ71" s="267" t="s">
        <v>355</v>
      </c>
      <c r="AK71" s="267" t="s">
        <v>355</v>
      </c>
      <c r="AL71" s="267" t="s">
        <v>355</v>
      </c>
      <c r="AM71" s="267" t="s">
        <v>355</v>
      </c>
      <c r="AN71" s="359" t="s">
        <v>355</v>
      </c>
      <c r="AO71" s="266" t="s">
        <v>355</v>
      </c>
      <c r="AP71" s="266" t="s">
        <v>355</v>
      </c>
      <c r="AQ71" s="266" t="s">
        <v>355</v>
      </c>
      <c r="AR71" s="264" t="s">
        <v>355</v>
      </c>
      <c r="AS71" s="266" t="s">
        <v>355</v>
      </c>
      <c r="AT71" s="266" t="s">
        <v>355</v>
      </c>
      <c r="AU71" s="266" t="s">
        <v>355</v>
      </c>
      <c r="AV71" s="266" t="s">
        <v>355</v>
      </c>
      <c r="AW71" s="266" t="s">
        <v>355</v>
      </c>
      <c r="AX71" s="266" t="s">
        <v>355</v>
      </c>
      <c r="AY71" s="266" t="s">
        <v>355</v>
      </c>
      <c r="AZ71" s="266" t="s">
        <v>355</v>
      </c>
      <c r="BA71" s="266" t="s">
        <v>355</v>
      </c>
      <c r="BB71" s="266" t="s">
        <v>355</v>
      </c>
      <c r="BC71" s="266" t="s">
        <v>355</v>
      </c>
      <c r="BD71" s="266" t="s">
        <v>355</v>
      </c>
      <c r="BE71" s="266">
        <v>0</v>
      </c>
      <c r="BF71" s="266">
        <v>0</v>
      </c>
      <c r="BG71" s="266">
        <v>0</v>
      </c>
      <c r="BH71" s="264">
        <v>0</v>
      </c>
      <c r="BI71" s="266">
        <v>0</v>
      </c>
      <c r="BJ71" s="266">
        <v>0</v>
      </c>
      <c r="BK71" s="266">
        <v>0</v>
      </c>
      <c r="BL71" s="264">
        <v>0</v>
      </c>
      <c r="BM71" s="266">
        <v>0</v>
      </c>
      <c r="BN71" s="266">
        <v>0</v>
      </c>
      <c r="BO71" s="266">
        <v>0</v>
      </c>
      <c r="BP71" s="264">
        <v>0</v>
      </c>
      <c r="BQ71" s="266" t="s">
        <v>355</v>
      </c>
      <c r="BR71" s="266" t="s">
        <v>355</v>
      </c>
      <c r="BS71" s="266" t="s">
        <v>355</v>
      </c>
      <c r="BT71" s="264" t="s">
        <v>355</v>
      </c>
      <c r="BU71" s="268" t="s">
        <v>355</v>
      </c>
      <c r="BV71" s="268" t="s">
        <v>355</v>
      </c>
      <c r="BW71" s="268" t="s">
        <v>355</v>
      </c>
      <c r="BX71" s="354" t="s">
        <v>355</v>
      </c>
      <c r="BY71" s="269" t="s">
        <v>355</v>
      </c>
      <c r="BZ71" s="269" t="s">
        <v>355</v>
      </c>
      <c r="CA71" s="269" t="s">
        <v>355</v>
      </c>
      <c r="CB71" s="269" t="s">
        <v>355</v>
      </c>
    </row>
    <row r="72" spans="1:80" s="266" customFormat="1" ht="14.5" customHeight="1" x14ac:dyDescent="0.35">
      <c r="A72" s="417"/>
      <c r="B72" s="259" t="s">
        <v>15</v>
      </c>
      <c r="C72" s="260" t="s">
        <v>180</v>
      </c>
      <c r="D72" s="261" t="s">
        <v>179</v>
      </c>
      <c r="E72" s="6">
        <v>0</v>
      </c>
      <c r="F72" s="262">
        <v>0</v>
      </c>
      <c r="G72" s="263" t="s">
        <v>391</v>
      </c>
      <c r="H72" s="263" t="s">
        <v>392</v>
      </c>
      <c r="I72" s="265">
        <v>0</v>
      </c>
      <c r="J72" s="265" t="s">
        <v>12</v>
      </c>
      <c r="K72" s="265">
        <v>0</v>
      </c>
      <c r="L72" s="265">
        <v>0</v>
      </c>
      <c r="M72" s="265">
        <v>0</v>
      </c>
      <c r="N72" s="265">
        <v>0</v>
      </c>
      <c r="O72" s="265">
        <v>0</v>
      </c>
      <c r="P72" s="264">
        <v>0</v>
      </c>
      <c r="Q72" s="266">
        <v>0</v>
      </c>
      <c r="R72" s="266">
        <v>0</v>
      </c>
      <c r="S72" s="266">
        <v>0</v>
      </c>
      <c r="T72" s="264">
        <v>0</v>
      </c>
      <c r="U72" s="266">
        <v>0</v>
      </c>
      <c r="V72" s="266">
        <v>0</v>
      </c>
      <c r="W72" s="266">
        <v>0</v>
      </c>
      <c r="X72" s="264">
        <v>0</v>
      </c>
      <c r="Y72" s="266">
        <v>0</v>
      </c>
      <c r="Z72" s="266">
        <v>0</v>
      </c>
      <c r="AA72" s="266">
        <v>0</v>
      </c>
      <c r="AB72" s="266">
        <v>0</v>
      </c>
      <c r="AC72" s="267" t="s">
        <v>355</v>
      </c>
      <c r="AD72" s="267" t="s">
        <v>355</v>
      </c>
      <c r="AE72" s="267" t="s">
        <v>355</v>
      </c>
      <c r="AF72" s="267" t="s">
        <v>355</v>
      </c>
      <c r="AG72" s="267" t="s">
        <v>355</v>
      </c>
      <c r="AH72" s="267" t="s">
        <v>355</v>
      </c>
      <c r="AI72" s="267" t="s">
        <v>355</v>
      </c>
      <c r="AJ72" s="267" t="s">
        <v>355</v>
      </c>
      <c r="AK72" s="267" t="s">
        <v>355</v>
      </c>
      <c r="AL72" s="267" t="s">
        <v>355</v>
      </c>
      <c r="AM72" s="267" t="s">
        <v>355</v>
      </c>
      <c r="AN72" s="359" t="s">
        <v>355</v>
      </c>
      <c r="AO72" s="266" t="s">
        <v>355</v>
      </c>
      <c r="AP72" s="266" t="s">
        <v>355</v>
      </c>
      <c r="AQ72" s="266" t="s">
        <v>355</v>
      </c>
      <c r="AR72" s="264" t="s">
        <v>355</v>
      </c>
      <c r="AS72" s="266" t="s">
        <v>355</v>
      </c>
      <c r="AT72" s="266" t="s">
        <v>355</v>
      </c>
      <c r="AU72" s="266" t="s">
        <v>355</v>
      </c>
      <c r="AV72" s="266" t="s">
        <v>355</v>
      </c>
      <c r="AW72" s="266" t="s">
        <v>355</v>
      </c>
      <c r="AX72" s="266" t="s">
        <v>355</v>
      </c>
      <c r="AY72" s="266" t="s">
        <v>355</v>
      </c>
      <c r="AZ72" s="266" t="s">
        <v>355</v>
      </c>
      <c r="BA72" s="266" t="s">
        <v>355</v>
      </c>
      <c r="BB72" s="266" t="s">
        <v>355</v>
      </c>
      <c r="BC72" s="266" t="s">
        <v>355</v>
      </c>
      <c r="BD72" s="266" t="s">
        <v>355</v>
      </c>
      <c r="BE72" s="266">
        <v>0</v>
      </c>
      <c r="BF72" s="266">
        <v>0</v>
      </c>
      <c r="BG72" s="266">
        <v>0</v>
      </c>
      <c r="BH72" s="264">
        <v>0</v>
      </c>
      <c r="BI72" s="266">
        <v>0</v>
      </c>
      <c r="BJ72" s="266">
        <v>0</v>
      </c>
      <c r="BK72" s="266">
        <v>0</v>
      </c>
      <c r="BL72" s="264">
        <v>0</v>
      </c>
      <c r="BM72" s="266">
        <v>0</v>
      </c>
      <c r="BN72" s="266">
        <v>0</v>
      </c>
      <c r="BO72" s="266">
        <v>0</v>
      </c>
      <c r="BP72" s="264">
        <v>0</v>
      </c>
      <c r="BQ72" s="266" t="s">
        <v>355</v>
      </c>
      <c r="BR72" s="266" t="s">
        <v>355</v>
      </c>
      <c r="BS72" s="266" t="s">
        <v>355</v>
      </c>
      <c r="BT72" s="264" t="s">
        <v>355</v>
      </c>
      <c r="BU72" s="268" t="s">
        <v>355</v>
      </c>
      <c r="BV72" s="268" t="s">
        <v>355</v>
      </c>
      <c r="BW72" s="268" t="s">
        <v>355</v>
      </c>
      <c r="BX72" s="354" t="s">
        <v>355</v>
      </c>
      <c r="BY72" s="269" t="s">
        <v>355</v>
      </c>
      <c r="BZ72" s="269" t="s">
        <v>355</v>
      </c>
      <c r="CA72" s="269" t="s">
        <v>355</v>
      </c>
      <c r="CB72" s="269" t="s">
        <v>355</v>
      </c>
    </row>
    <row r="73" spans="1:80" s="277" customFormat="1" ht="14.5" customHeight="1" x14ac:dyDescent="0.35">
      <c r="A73" s="417"/>
      <c r="B73" s="270" t="s">
        <v>16</v>
      </c>
      <c r="C73" s="271" t="s">
        <v>180</v>
      </c>
      <c r="D73" s="272" t="s">
        <v>332</v>
      </c>
      <c r="E73" s="6">
        <v>0</v>
      </c>
      <c r="F73" s="273">
        <v>0</v>
      </c>
      <c r="G73" s="274" t="s">
        <v>392</v>
      </c>
      <c r="H73" s="274" t="s">
        <v>392</v>
      </c>
      <c r="I73" s="276">
        <v>0</v>
      </c>
      <c r="J73" s="276" t="s">
        <v>12</v>
      </c>
      <c r="K73" s="276">
        <v>0</v>
      </c>
      <c r="L73" s="276">
        <v>0</v>
      </c>
      <c r="M73" s="276">
        <v>0</v>
      </c>
      <c r="N73" s="276">
        <v>0</v>
      </c>
      <c r="O73" s="276">
        <v>0</v>
      </c>
      <c r="P73" s="275">
        <v>0</v>
      </c>
      <c r="Q73" s="277">
        <v>0</v>
      </c>
      <c r="R73" s="277">
        <v>0</v>
      </c>
      <c r="S73" s="277">
        <v>0</v>
      </c>
      <c r="T73" s="275">
        <v>0</v>
      </c>
      <c r="U73" s="277">
        <v>0</v>
      </c>
      <c r="V73" s="277">
        <v>0</v>
      </c>
      <c r="W73" s="277">
        <v>0</v>
      </c>
      <c r="X73" s="275">
        <v>0</v>
      </c>
      <c r="Y73" s="277">
        <v>0</v>
      </c>
      <c r="Z73" s="277">
        <v>0</v>
      </c>
      <c r="AA73" s="277">
        <v>0</v>
      </c>
      <c r="AB73" s="277">
        <v>0</v>
      </c>
      <c r="AC73" s="278" t="s">
        <v>355</v>
      </c>
      <c r="AD73" s="278" t="s">
        <v>355</v>
      </c>
      <c r="AE73" s="278" t="s">
        <v>355</v>
      </c>
      <c r="AF73" s="278" t="s">
        <v>355</v>
      </c>
      <c r="AG73" s="278" t="s">
        <v>355</v>
      </c>
      <c r="AH73" s="278" t="s">
        <v>355</v>
      </c>
      <c r="AI73" s="278" t="s">
        <v>355</v>
      </c>
      <c r="AJ73" s="278" t="s">
        <v>355</v>
      </c>
      <c r="AK73" s="278" t="s">
        <v>355</v>
      </c>
      <c r="AL73" s="278" t="s">
        <v>355</v>
      </c>
      <c r="AM73" s="278" t="s">
        <v>355</v>
      </c>
      <c r="AN73" s="360" t="s">
        <v>355</v>
      </c>
      <c r="AO73" s="277" t="s">
        <v>355</v>
      </c>
      <c r="AP73" s="277" t="s">
        <v>355</v>
      </c>
      <c r="AQ73" s="277" t="s">
        <v>355</v>
      </c>
      <c r="AR73" s="275" t="s">
        <v>355</v>
      </c>
      <c r="AS73" s="277" t="s">
        <v>355</v>
      </c>
      <c r="AT73" s="277" t="s">
        <v>355</v>
      </c>
      <c r="AU73" s="277" t="s">
        <v>355</v>
      </c>
      <c r="AV73" s="277" t="s">
        <v>355</v>
      </c>
      <c r="AW73" s="277" t="s">
        <v>355</v>
      </c>
      <c r="AX73" s="277" t="s">
        <v>355</v>
      </c>
      <c r="AY73" s="277" t="s">
        <v>355</v>
      </c>
      <c r="AZ73" s="277" t="s">
        <v>355</v>
      </c>
      <c r="BA73" s="277" t="s">
        <v>355</v>
      </c>
      <c r="BB73" s="277" t="s">
        <v>355</v>
      </c>
      <c r="BC73" s="277" t="s">
        <v>355</v>
      </c>
      <c r="BD73" s="277" t="s">
        <v>355</v>
      </c>
      <c r="BE73" s="277">
        <v>0</v>
      </c>
      <c r="BF73" s="277">
        <v>0</v>
      </c>
      <c r="BG73" s="277">
        <v>0</v>
      </c>
      <c r="BH73" s="275">
        <v>0</v>
      </c>
      <c r="BI73" s="277">
        <v>0</v>
      </c>
      <c r="BJ73" s="277">
        <v>0</v>
      </c>
      <c r="BK73" s="277">
        <v>0</v>
      </c>
      <c r="BL73" s="275">
        <v>0</v>
      </c>
      <c r="BM73" s="277">
        <v>0</v>
      </c>
      <c r="BN73" s="277">
        <v>0</v>
      </c>
      <c r="BO73" s="277">
        <v>0</v>
      </c>
      <c r="BP73" s="275">
        <v>0</v>
      </c>
      <c r="BQ73" s="277" t="s">
        <v>355</v>
      </c>
      <c r="BR73" s="277" t="s">
        <v>355</v>
      </c>
      <c r="BS73" s="277" t="s">
        <v>355</v>
      </c>
      <c r="BT73" s="275" t="s">
        <v>355</v>
      </c>
      <c r="BU73" s="279" t="s">
        <v>355</v>
      </c>
      <c r="BV73" s="279" t="s">
        <v>355</v>
      </c>
      <c r="BW73" s="279" t="s">
        <v>355</v>
      </c>
      <c r="BX73" s="355" t="s">
        <v>355</v>
      </c>
      <c r="BY73" s="280" t="s">
        <v>355</v>
      </c>
      <c r="BZ73" s="280" t="s">
        <v>355</v>
      </c>
      <c r="CA73" s="280" t="s">
        <v>355</v>
      </c>
      <c r="CB73" s="280" t="s">
        <v>355</v>
      </c>
    </row>
    <row r="74" spans="1:80" s="277" customFormat="1" ht="14.5" customHeight="1" x14ac:dyDescent="0.35">
      <c r="A74" s="417"/>
      <c r="B74" s="270" t="s">
        <v>16</v>
      </c>
      <c r="C74" s="271" t="s">
        <v>180</v>
      </c>
      <c r="D74" s="272" t="s">
        <v>333</v>
      </c>
      <c r="E74" s="6">
        <v>0</v>
      </c>
      <c r="F74" s="273">
        <v>0</v>
      </c>
      <c r="G74" s="274" t="s">
        <v>392</v>
      </c>
      <c r="H74" s="274" t="s">
        <v>392</v>
      </c>
      <c r="I74" s="276">
        <v>0</v>
      </c>
      <c r="J74" s="276" t="s">
        <v>12</v>
      </c>
      <c r="K74" s="276">
        <v>0</v>
      </c>
      <c r="L74" s="276">
        <v>0</v>
      </c>
      <c r="M74" s="276">
        <v>0</v>
      </c>
      <c r="N74" s="276">
        <v>0</v>
      </c>
      <c r="O74" s="276">
        <v>0</v>
      </c>
      <c r="P74" s="275">
        <v>0</v>
      </c>
      <c r="Q74" s="277">
        <v>0</v>
      </c>
      <c r="R74" s="277">
        <v>0</v>
      </c>
      <c r="S74" s="277">
        <v>0</v>
      </c>
      <c r="T74" s="275">
        <v>0</v>
      </c>
      <c r="U74" s="277">
        <v>0</v>
      </c>
      <c r="V74" s="277">
        <v>0</v>
      </c>
      <c r="W74" s="277">
        <v>0</v>
      </c>
      <c r="X74" s="275">
        <v>0</v>
      </c>
      <c r="Y74" s="277">
        <v>0</v>
      </c>
      <c r="Z74" s="277">
        <v>0</v>
      </c>
      <c r="AA74" s="277">
        <v>0</v>
      </c>
      <c r="AB74" s="277">
        <v>0</v>
      </c>
      <c r="AC74" s="278" t="s">
        <v>355</v>
      </c>
      <c r="AD74" s="278" t="s">
        <v>355</v>
      </c>
      <c r="AE74" s="278" t="s">
        <v>355</v>
      </c>
      <c r="AF74" s="278" t="s">
        <v>355</v>
      </c>
      <c r="AG74" s="278" t="s">
        <v>355</v>
      </c>
      <c r="AH74" s="278" t="s">
        <v>355</v>
      </c>
      <c r="AI74" s="278" t="s">
        <v>355</v>
      </c>
      <c r="AJ74" s="278" t="s">
        <v>355</v>
      </c>
      <c r="AK74" s="278" t="s">
        <v>355</v>
      </c>
      <c r="AL74" s="278" t="s">
        <v>355</v>
      </c>
      <c r="AM74" s="278" t="s">
        <v>355</v>
      </c>
      <c r="AN74" s="360" t="s">
        <v>355</v>
      </c>
      <c r="AO74" s="277" t="s">
        <v>355</v>
      </c>
      <c r="AP74" s="277" t="s">
        <v>355</v>
      </c>
      <c r="AQ74" s="277" t="s">
        <v>355</v>
      </c>
      <c r="AR74" s="275" t="s">
        <v>355</v>
      </c>
      <c r="AS74" s="277" t="s">
        <v>355</v>
      </c>
      <c r="AT74" s="277" t="s">
        <v>355</v>
      </c>
      <c r="AU74" s="277" t="s">
        <v>355</v>
      </c>
      <c r="AV74" s="277" t="s">
        <v>355</v>
      </c>
      <c r="AW74" s="277" t="s">
        <v>355</v>
      </c>
      <c r="AX74" s="277" t="s">
        <v>355</v>
      </c>
      <c r="AY74" s="277" t="s">
        <v>355</v>
      </c>
      <c r="AZ74" s="277" t="s">
        <v>355</v>
      </c>
      <c r="BA74" s="277" t="s">
        <v>355</v>
      </c>
      <c r="BB74" s="277" t="s">
        <v>355</v>
      </c>
      <c r="BC74" s="277" t="s">
        <v>355</v>
      </c>
      <c r="BD74" s="277" t="s">
        <v>355</v>
      </c>
      <c r="BE74" s="277">
        <v>0</v>
      </c>
      <c r="BF74" s="277">
        <v>0</v>
      </c>
      <c r="BG74" s="277">
        <v>0</v>
      </c>
      <c r="BH74" s="275">
        <v>0</v>
      </c>
      <c r="BI74" s="277">
        <v>0</v>
      </c>
      <c r="BJ74" s="277">
        <v>0</v>
      </c>
      <c r="BK74" s="277">
        <v>0</v>
      </c>
      <c r="BL74" s="275">
        <v>0</v>
      </c>
      <c r="BM74" s="277">
        <v>0</v>
      </c>
      <c r="BN74" s="277">
        <v>0</v>
      </c>
      <c r="BO74" s="277">
        <v>0</v>
      </c>
      <c r="BP74" s="275">
        <v>0</v>
      </c>
      <c r="BQ74" s="277" t="s">
        <v>355</v>
      </c>
      <c r="BR74" s="277" t="s">
        <v>355</v>
      </c>
      <c r="BS74" s="277" t="s">
        <v>355</v>
      </c>
      <c r="BT74" s="275" t="s">
        <v>355</v>
      </c>
      <c r="BU74" s="279" t="s">
        <v>355</v>
      </c>
      <c r="BV74" s="279" t="s">
        <v>355</v>
      </c>
      <c r="BW74" s="279" t="s">
        <v>355</v>
      </c>
      <c r="BX74" s="355" t="s">
        <v>355</v>
      </c>
      <c r="BY74" s="280" t="s">
        <v>355</v>
      </c>
      <c r="BZ74" s="280" t="s">
        <v>355</v>
      </c>
      <c r="CA74" s="280" t="s">
        <v>355</v>
      </c>
      <c r="CB74" s="280" t="s">
        <v>355</v>
      </c>
    </row>
    <row r="75" spans="1:80" s="277" customFormat="1" ht="14.5" customHeight="1" x14ac:dyDescent="0.35">
      <c r="A75" s="417"/>
      <c r="B75" s="270" t="s">
        <v>16</v>
      </c>
      <c r="C75" s="271" t="s">
        <v>180</v>
      </c>
      <c r="D75" s="272" t="s">
        <v>411</v>
      </c>
      <c r="E75" s="6">
        <v>0</v>
      </c>
      <c r="F75" s="273">
        <v>0</v>
      </c>
      <c r="G75" s="274" t="s">
        <v>392</v>
      </c>
      <c r="H75" s="274" t="s">
        <v>392</v>
      </c>
      <c r="I75" s="276">
        <v>0</v>
      </c>
      <c r="J75" s="276" t="s">
        <v>12</v>
      </c>
      <c r="K75" s="276">
        <v>0</v>
      </c>
      <c r="L75" s="276">
        <v>0</v>
      </c>
      <c r="M75" s="276">
        <v>0</v>
      </c>
      <c r="N75" s="276">
        <v>0</v>
      </c>
      <c r="O75" s="276">
        <v>0</v>
      </c>
      <c r="P75" s="275">
        <v>0</v>
      </c>
      <c r="Q75" s="277">
        <v>0</v>
      </c>
      <c r="R75" s="277">
        <v>0</v>
      </c>
      <c r="S75" s="277">
        <v>0</v>
      </c>
      <c r="T75" s="275">
        <v>0</v>
      </c>
      <c r="U75" s="277">
        <v>0</v>
      </c>
      <c r="V75" s="277">
        <v>0</v>
      </c>
      <c r="W75" s="277">
        <v>0</v>
      </c>
      <c r="X75" s="275">
        <v>0</v>
      </c>
      <c r="Y75" s="277">
        <v>0</v>
      </c>
      <c r="Z75" s="277">
        <v>0</v>
      </c>
      <c r="AA75" s="277">
        <v>0</v>
      </c>
      <c r="AB75" s="277">
        <v>0</v>
      </c>
      <c r="AC75" s="278" t="s">
        <v>355</v>
      </c>
      <c r="AD75" s="278" t="s">
        <v>355</v>
      </c>
      <c r="AE75" s="278" t="s">
        <v>355</v>
      </c>
      <c r="AF75" s="278" t="s">
        <v>355</v>
      </c>
      <c r="AG75" s="278" t="s">
        <v>355</v>
      </c>
      <c r="AH75" s="278" t="s">
        <v>355</v>
      </c>
      <c r="AI75" s="278" t="s">
        <v>355</v>
      </c>
      <c r="AJ75" s="278" t="s">
        <v>355</v>
      </c>
      <c r="AK75" s="278" t="s">
        <v>355</v>
      </c>
      <c r="AL75" s="278" t="s">
        <v>355</v>
      </c>
      <c r="AM75" s="278" t="s">
        <v>355</v>
      </c>
      <c r="AN75" s="360" t="s">
        <v>355</v>
      </c>
      <c r="AO75" s="277" t="s">
        <v>355</v>
      </c>
      <c r="AP75" s="277" t="s">
        <v>355</v>
      </c>
      <c r="AQ75" s="277" t="s">
        <v>355</v>
      </c>
      <c r="AR75" s="275" t="s">
        <v>355</v>
      </c>
      <c r="AS75" s="277" t="s">
        <v>355</v>
      </c>
      <c r="AT75" s="277" t="s">
        <v>355</v>
      </c>
      <c r="AU75" s="277" t="s">
        <v>355</v>
      </c>
      <c r="AV75" s="277" t="s">
        <v>355</v>
      </c>
      <c r="AW75" s="277" t="s">
        <v>355</v>
      </c>
      <c r="AX75" s="277" t="s">
        <v>355</v>
      </c>
      <c r="AY75" s="277" t="s">
        <v>355</v>
      </c>
      <c r="AZ75" s="277" t="s">
        <v>355</v>
      </c>
      <c r="BA75" s="277" t="s">
        <v>355</v>
      </c>
      <c r="BB75" s="277" t="s">
        <v>355</v>
      </c>
      <c r="BC75" s="277" t="s">
        <v>355</v>
      </c>
      <c r="BD75" s="277" t="s">
        <v>355</v>
      </c>
      <c r="BE75" s="277">
        <v>0</v>
      </c>
      <c r="BF75" s="277">
        <v>0</v>
      </c>
      <c r="BG75" s="277">
        <v>0</v>
      </c>
      <c r="BH75" s="275">
        <v>0</v>
      </c>
      <c r="BI75" s="277">
        <v>0</v>
      </c>
      <c r="BJ75" s="277">
        <v>0</v>
      </c>
      <c r="BK75" s="277">
        <v>0</v>
      </c>
      <c r="BL75" s="275">
        <v>0</v>
      </c>
      <c r="BM75" s="277">
        <v>0</v>
      </c>
      <c r="BN75" s="277">
        <v>0</v>
      </c>
      <c r="BO75" s="277">
        <v>0</v>
      </c>
      <c r="BP75" s="275">
        <v>0</v>
      </c>
      <c r="BQ75" s="277" t="s">
        <v>355</v>
      </c>
      <c r="BR75" s="277" t="s">
        <v>355</v>
      </c>
      <c r="BS75" s="277" t="s">
        <v>355</v>
      </c>
      <c r="BT75" s="275" t="s">
        <v>355</v>
      </c>
      <c r="BU75" s="279" t="s">
        <v>355</v>
      </c>
      <c r="BV75" s="279" t="s">
        <v>355</v>
      </c>
      <c r="BW75" s="279" t="s">
        <v>355</v>
      </c>
      <c r="BX75" s="355" t="s">
        <v>355</v>
      </c>
      <c r="BY75" s="280" t="s">
        <v>355</v>
      </c>
      <c r="BZ75" s="280" t="s">
        <v>355</v>
      </c>
      <c r="CA75" s="280" t="s">
        <v>355</v>
      </c>
      <c r="CB75" s="280" t="s">
        <v>355</v>
      </c>
    </row>
    <row r="76" spans="1:80" s="277" customFormat="1" ht="14.5" customHeight="1" x14ac:dyDescent="0.35">
      <c r="A76" s="417"/>
      <c r="B76" s="270" t="s">
        <v>16</v>
      </c>
      <c r="C76" s="271" t="s">
        <v>180</v>
      </c>
      <c r="D76" s="272" t="s">
        <v>334</v>
      </c>
      <c r="E76" s="6">
        <v>0</v>
      </c>
      <c r="F76" s="273">
        <v>0</v>
      </c>
      <c r="G76" s="274" t="s">
        <v>392</v>
      </c>
      <c r="H76" s="274" t="s">
        <v>392</v>
      </c>
      <c r="I76" s="276">
        <v>0</v>
      </c>
      <c r="J76" s="276" t="s">
        <v>12</v>
      </c>
      <c r="K76" s="276">
        <v>0</v>
      </c>
      <c r="L76" s="276">
        <v>0</v>
      </c>
      <c r="M76" s="276">
        <v>0</v>
      </c>
      <c r="N76" s="276">
        <v>0</v>
      </c>
      <c r="O76" s="276">
        <v>0</v>
      </c>
      <c r="P76" s="275">
        <v>0</v>
      </c>
      <c r="Q76" s="277">
        <v>0</v>
      </c>
      <c r="R76" s="277">
        <v>0</v>
      </c>
      <c r="S76" s="277">
        <v>0</v>
      </c>
      <c r="T76" s="275">
        <v>0</v>
      </c>
      <c r="U76" s="277">
        <v>0</v>
      </c>
      <c r="V76" s="277">
        <v>0</v>
      </c>
      <c r="W76" s="277">
        <v>0</v>
      </c>
      <c r="X76" s="275">
        <v>0</v>
      </c>
      <c r="Y76" s="277">
        <v>0</v>
      </c>
      <c r="Z76" s="277">
        <v>0</v>
      </c>
      <c r="AA76" s="277">
        <v>0</v>
      </c>
      <c r="AB76" s="277">
        <v>0</v>
      </c>
      <c r="AC76" s="278" t="s">
        <v>355</v>
      </c>
      <c r="AD76" s="278" t="s">
        <v>355</v>
      </c>
      <c r="AE76" s="278" t="s">
        <v>355</v>
      </c>
      <c r="AF76" s="278" t="s">
        <v>355</v>
      </c>
      <c r="AG76" s="278" t="s">
        <v>355</v>
      </c>
      <c r="AH76" s="278" t="s">
        <v>355</v>
      </c>
      <c r="AI76" s="278" t="s">
        <v>355</v>
      </c>
      <c r="AJ76" s="278" t="s">
        <v>355</v>
      </c>
      <c r="AK76" s="278" t="s">
        <v>355</v>
      </c>
      <c r="AL76" s="278" t="s">
        <v>355</v>
      </c>
      <c r="AM76" s="278" t="s">
        <v>355</v>
      </c>
      <c r="AN76" s="360" t="s">
        <v>355</v>
      </c>
      <c r="AO76" s="277" t="s">
        <v>355</v>
      </c>
      <c r="AP76" s="277" t="s">
        <v>355</v>
      </c>
      <c r="AQ76" s="277" t="s">
        <v>355</v>
      </c>
      <c r="AR76" s="275" t="s">
        <v>355</v>
      </c>
      <c r="AS76" s="277" t="s">
        <v>355</v>
      </c>
      <c r="AT76" s="277" t="s">
        <v>355</v>
      </c>
      <c r="AU76" s="277" t="s">
        <v>355</v>
      </c>
      <c r="AV76" s="277" t="s">
        <v>355</v>
      </c>
      <c r="AW76" s="277" t="s">
        <v>355</v>
      </c>
      <c r="AX76" s="277" t="s">
        <v>355</v>
      </c>
      <c r="AY76" s="277" t="s">
        <v>355</v>
      </c>
      <c r="AZ76" s="277" t="s">
        <v>355</v>
      </c>
      <c r="BA76" s="277" t="s">
        <v>355</v>
      </c>
      <c r="BB76" s="277" t="s">
        <v>355</v>
      </c>
      <c r="BC76" s="277" t="s">
        <v>355</v>
      </c>
      <c r="BD76" s="277" t="s">
        <v>355</v>
      </c>
      <c r="BE76" s="277">
        <v>0</v>
      </c>
      <c r="BF76" s="277">
        <v>0</v>
      </c>
      <c r="BG76" s="277">
        <v>0</v>
      </c>
      <c r="BH76" s="275">
        <v>0</v>
      </c>
      <c r="BI76" s="277">
        <v>0</v>
      </c>
      <c r="BJ76" s="277">
        <v>0</v>
      </c>
      <c r="BK76" s="277">
        <v>0</v>
      </c>
      <c r="BL76" s="275">
        <v>0</v>
      </c>
      <c r="BM76" s="277">
        <v>0</v>
      </c>
      <c r="BN76" s="277">
        <v>0</v>
      </c>
      <c r="BO76" s="277">
        <v>0</v>
      </c>
      <c r="BP76" s="275">
        <v>0</v>
      </c>
      <c r="BQ76" s="277" t="s">
        <v>355</v>
      </c>
      <c r="BR76" s="277" t="s">
        <v>355</v>
      </c>
      <c r="BS76" s="277" t="s">
        <v>355</v>
      </c>
      <c r="BT76" s="275" t="s">
        <v>355</v>
      </c>
      <c r="BU76" s="279" t="s">
        <v>355</v>
      </c>
      <c r="BV76" s="279" t="s">
        <v>355</v>
      </c>
      <c r="BW76" s="279" t="s">
        <v>355</v>
      </c>
      <c r="BX76" s="355" t="s">
        <v>355</v>
      </c>
      <c r="BY76" s="280" t="s">
        <v>355</v>
      </c>
      <c r="BZ76" s="280" t="s">
        <v>355</v>
      </c>
      <c r="CA76" s="280" t="s">
        <v>355</v>
      </c>
      <c r="CB76" s="280" t="s">
        <v>355</v>
      </c>
    </row>
    <row r="77" spans="1:80" ht="14.5" customHeight="1" x14ac:dyDescent="0.35">
      <c r="A77" s="417"/>
      <c r="B77" s="171" t="s">
        <v>180</v>
      </c>
      <c r="C77" s="7" t="s">
        <v>180</v>
      </c>
      <c r="D77" s="169" t="s">
        <v>335</v>
      </c>
      <c r="E77" s="6">
        <v>0</v>
      </c>
      <c r="F77" s="108">
        <v>0</v>
      </c>
      <c r="G77" s="120" t="s">
        <v>12</v>
      </c>
      <c r="H77" s="120" t="s">
        <v>12</v>
      </c>
      <c r="I77" s="121">
        <v>0</v>
      </c>
      <c r="J77" s="121" t="s">
        <v>12</v>
      </c>
      <c r="K77" s="121">
        <v>0</v>
      </c>
      <c r="L77" s="121">
        <v>0</v>
      </c>
      <c r="M77" s="121">
        <v>0</v>
      </c>
      <c r="N77" s="121">
        <v>0</v>
      </c>
      <c r="O77" s="121">
        <v>0</v>
      </c>
      <c r="P77" s="15">
        <v>0</v>
      </c>
      <c r="Q77">
        <v>0</v>
      </c>
      <c r="R77">
        <v>0</v>
      </c>
      <c r="S77">
        <v>0</v>
      </c>
      <c r="T77" s="15">
        <v>0</v>
      </c>
      <c r="U77">
        <v>0</v>
      </c>
      <c r="V77">
        <v>0</v>
      </c>
      <c r="W77">
        <v>0</v>
      </c>
      <c r="X77" s="15">
        <v>0</v>
      </c>
      <c r="Y77">
        <v>0</v>
      </c>
      <c r="Z77">
        <v>0</v>
      </c>
      <c r="AA77">
        <v>0</v>
      </c>
      <c r="AB77">
        <v>0</v>
      </c>
      <c r="AC77" s="170" t="s">
        <v>355</v>
      </c>
      <c r="AD77" s="170" t="s">
        <v>355</v>
      </c>
      <c r="AE77" s="170" t="s">
        <v>355</v>
      </c>
      <c r="AF77" s="170" t="s">
        <v>355</v>
      </c>
      <c r="AG77" s="170" t="s">
        <v>355</v>
      </c>
      <c r="AH77" s="170" t="s">
        <v>355</v>
      </c>
      <c r="AI77" s="170" t="s">
        <v>355</v>
      </c>
      <c r="AJ77" s="170" t="s">
        <v>355</v>
      </c>
      <c r="AK77" s="170" t="s">
        <v>355</v>
      </c>
      <c r="AL77" s="170" t="s">
        <v>355</v>
      </c>
      <c r="AM77" s="170" t="s">
        <v>355</v>
      </c>
      <c r="AN77" s="361" t="s">
        <v>355</v>
      </c>
      <c r="AO77" t="s">
        <v>355</v>
      </c>
      <c r="AP77" t="s">
        <v>355</v>
      </c>
      <c r="AQ77" t="s">
        <v>355</v>
      </c>
      <c r="AR77" s="15" t="s">
        <v>355</v>
      </c>
      <c r="AS77" t="s">
        <v>355</v>
      </c>
      <c r="AT77" t="s">
        <v>355</v>
      </c>
      <c r="AU77" t="s">
        <v>355</v>
      </c>
      <c r="AV77" t="s">
        <v>355</v>
      </c>
      <c r="AW77" t="s">
        <v>355</v>
      </c>
      <c r="AX77" t="s">
        <v>355</v>
      </c>
      <c r="AY77" t="s">
        <v>355</v>
      </c>
      <c r="AZ77" t="s">
        <v>355</v>
      </c>
      <c r="BA77" t="s">
        <v>355</v>
      </c>
      <c r="BB77" t="s">
        <v>355</v>
      </c>
      <c r="BC77" t="s">
        <v>355</v>
      </c>
      <c r="BD77" t="s">
        <v>355</v>
      </c>
      <c r="BE77">
        <v>0</v>
      </c>
      <c r="BF77">
        <v>0</v>
      </c>
      <c r="BG77">
        <v>0</v>
      </c>
      <c r="BH77" s="15">
        <v>0</v>
      </c>
      <c r="BI77">
        <v>0</v>
      </c>
      <c r="BJ77">
        <v>0</v>
      </c>
      <c r="BK77">
        <v>0</v>
      </c>
      <c r="BL77" s="15">
        <v>0</v>
      </c>
      <c r="BM77">
        <v>0</v>
      </c>
      <c r="BN77">
        <v>0</v>
      </c>
      <c r="BO77">
        <v>0</v>
      </c>
      <c r="BP77" s="15">
        <v>0</v>
      </c>
      <c r="BQ77" t="s">
        <v>355</v>
      </c>
      <c r="BR77" t="s">
        <v>355</v>
      </c>
      <c r="BS77" t="s">
        <v>355</v>
      </c>
      <c r="BT77" s="15" t="s">
        <v>355</v>
      </c>
      <c r="BU77" s="17" t="s">
        <v>355</v>
      </c>
      <c r="BV77" s="17" t="s">
        <v>355</v>
      </c>
      <c r="BW77" s="17" t="s">
        <v>355</v>
      </c>
      <c r="BX77" s="166" t="s">
        <v>355</v>
      </c>
      <c r="BY77" s="9" t="s">
        <v>355</v>
      </c>
      <c r="BZ77" s="9" t="s">
        <v>355</v>
      </c>
      <c r="CA77" s="9" t="s">
        <v>355</v>
      </c>
      <c r="CB77" s="9" t="s">
        <v>355</v>
      </c>
    </row>
    <row r="78" spans="1:80" s="213" customFormat="1" x14ac:dyDescent="0.35">
      <c r="A78" s="417"/>
      <c r="B78" s="281" t="s">
        <v>18</v>
      </c>
      <c r="C78" s="207" t="s">
        <v>23</v>
      </c>
      <c r="D78" s="282" t="s">
        <v>32</v>
      </c>
      <c r="E78" s="6">
        <v>0</v>
      </c>
      <c r="F78" s="208">
        <v>0</v>
      </c>
      <c r="G78" s="209" t="s">
        <v>391</v>
      </c>
      <c r="H78" s="209" t="s">
        <v>392</v>
      </c>
      <c r="I78" s="212">
        <v>0</v>
      </c>
      <c r="J78" s="212" t="s">
        <v>12</v>
      </c>
      <c r="K78" s="212">
        <v>0</v>
      </c>
      <c r="L78" s="212">
        <v>0</v>
      </c>
      <c r="M78" s="326">
        <v>0</v>
      </c>
      <c r="N78" s="212">
        <v>0</v>
      </c>
      <c r="O78" s="212">
        <v>0</v>
      </c>
      <c r="P78" s="210">
        <v>0</v>
      </c>
      <c r="Q78" s="233">
        <v>0</v>
      </c>
      <c r="R78" s="233">
        <v>0</v>
      </c>
      <c r="S78" s="233">
        <v>0</v>
      </c>
      <c r="T78" s="232">
        <v>0</v>
      </c>
      <c r="U78" s="213">
        <v>0</v>
      </c>
      <c r="V78" s="213">
        <v>0</v>
      </c>
      <c r="W78" s="213">
        <v>0</v>
      </c>
      <c r="X78" s="210">
        <v>0</v>
      </c>
      <c r="Y78" s="213">
        <v>0</v>
      </c>
      <c r="Z78" s="213">
        <v>0</v>
      </c>
      <c r="AA78" s="213">
        <v>0</v>
      </c>
      <c r="AB78" s="210">
        <v>0</v>
      </c>
      <c r="AC78" s="214">
        <v>0</v>
      </c>
      <c r="AD78" s="214">
        <v>0</v>
      </c>
      <c r="AE78" s="214">
        <v>0</v>
      </c>
      <c r="AF78" s="215">
        <v>0</v>
      </c>
      <c r="AG78" s="214">
        <v>0</v>
      </c>
      <c r="AH78" s="214">
        <v>0</v>
      </c>
      <c r="AI78" s="214">
        <v>0</v>
      </c>
      <c r="AJ78" s="215">
        <v>0</v>
      </c>
      <c r="AK78" s="214">
        <v>0</v>
      </c>
      <c r="AL78" s="214">
        <v>0</v>
      </c>
      <c r="AM78" s="214">
        <v>0</v>
      </c>
      <c r="AN78" s="215">
        <v>0</v>
      </c>
      <c r="AO78" s="213">
        <v>0</v>
      </c>
      <c r="AP78" s="213">
        <v>0</v>
      </c>
      <c r="AQ78" s="213">
        <v>0</v>
      </c>
      <c r="AR78" s="210">
        <v>0</v>
      </c>
      <c r="AS78" s="213">
        <v>0</v>
      </c>
      <c r="AT78" s="213">
        <v>0</v>
      </c>
      <c r="AU78" s="213">
        <v>0</v>
      </c>
      <c r="AV78" s="210">
        <v>0</v>
      </c>
      <c r="AW78" s="213">
        <v>0</v>
      </c>
      <c r="AX78" s="213">
        <v>0</v>
      </c>
      <c r="AY78" s="213">
        <v>0</v>
      </c>
      <c r="AZ78" s="210">
        <v>0</v>
      </c>
      <c r="BA78" s="213" t="s">
        <v>228</v>
      </c>
      <c r="BB78" s="213" t="s">
        <v>228</v>
      </c>
      <c r="BC78" s="213" t="s">
        <v>228</v>
      </c>
      <c r="BD78" s="210" t="s">
        <v>228</v>
      </c>
      <c r="BE78" s="213">
        <v>0</v>
      </c>
      <c r="BF78" s="213">
        <v>0</v>
      </c>
      <c r="BG78" s="213">
        <v>0</v>
      </c>
      <c r="BH78" s="210">
        <v>0</v>
      </c>
      <c r="BI78" s="213">
        <v>0</v>
      </c>
      <c r="BJ78" s="213">
        <v>0</v>
      </c>
      <c r="BK78" s="213">
        <v>0</v>
      </c>
      <c r="BL78" s="210">
        <v>0</v>
      </c>
      <c r="BM78" s="213">
        <v>0</v>
      </c>
      <c r="BN78" s="213">
        <v>0</v>
      </c>
      <c r="BO78" s="213">
        <v>0</v>
      </c>
      <c r="BP78" s="210">
        <v>0</v>
      </c>
      <c r="BQ78" s="213">
        <v>0</v>
      </c>
      <c r="BR78" s="213">
        <v>0</v>
      </c>
      <c r="BS78" s="213">
        <v>0</v>
      </c>
      <c r="BT78" s="210">
        <v>0</v>
      </c>
      <c r="BU78" s="216">
        <v>0</v>
      </c>
      <c r="BV78" s="216">
        <v>0</v>
      </c>
      <c r="BW78" s="216">
        <v>0</v>
      </c>
      <c r="BX78" s="211">
        <v>0</v>
      </c>
      <c r="BY78" s="214">
        <v>0</v>
      </c>
      <c r="BZ78" s="214">
        <v>0</v>
      </c>
      <c r="CA78" s="214">
        <v>0</v>
      </c>
      <c r="CB78" s="214">
        <v>0</v>
      </c>
    </row>
    <row r="79" spans="1:80" s="213" customFormat="1" x14ac:dyDescent="0.35">
      <c r="A79" s="417"/>
      <c r="B79" s="281" t="s">
        <v>159</v>
      </c>
      <c r="C79" s="207" t="s">
        <v>24</v>
      </c>
      <c r="D79" s="282" t="s">
        <v>181</v>
      </c>
      <c r="E79" s="6">
        <v>0</v>
      </c>
      <c r="F79" s="208">
        <v>0</v>
      </c>
      <c r="G79" s="209" t="s">
        <v>391</v>
      </c>
      <c r="H79" s="209" t="s">
        <v>392</v>
      </c>
      <c r="I79" s="212">
        <v>0</v>
      </c>
      <c r="J79" s="212" t="s">
        <v>12</v>
      </c>
      <c r="K79" s="212">
        <v>0</v>
      </c>
      <c r="L79" s="212">
        <v>0</v>
      </c>
      <c r="M79" s="326">
        <v>0</v>
      </c>
      <c r="N79" s="212">
        <v>0</v>
      </c>
      <c r="O79" s="212">
        <v>0</v>
      </c>
      <c r="P79" s="210">
        <v>0</v>
      </c>
      <c r="Q79" s="213">
        <v>0</v>
      </c>
      <c r="R79" s="213">
        <v>0</v>
      </c>
      <c r="S79" s="213">
        <v>0</v>
      </c>
      <c r="T79" s="210">
        <v>0</v>
      </c>
      <c r="U79" s="213">
        <v>0</v>
      </c>
      <c r="V79" s="213">
        <v>0</v>
      </c>
      <c r="W79" s="213">
        <v>0</v>
      </c>
      <c r="X79" s="210">
        <v>0</v>
      </c>
      <c r="Y79" s="213">
        <v>0</v>
      </c>
      <c r="Z79" s="213">
        <v>0</v>
      </c>
      <c r="AA79" s="213">
        <v>0</v>
      </c>
      <c r="AB79" s="210">
        <v>0</v>
      </c>
      <c r="AC79" s="214">
        <v>0</v>
      </c>
      <c r="AD79" s="214">
        <v>0</v>
      </c>
      <c r="AE79" s="214">
        <v>0</v>
      </c>
      <c r="AF79" s="215">
        <v>0</v>
      </c>
      <c r="AG79" s="214">
        <v>0</v>
      </c>
      <c r="AH79" s="214">
        <v>0</v>
      </c>
      <c r="AI79" s="214">
        <v>0</v>
      </c>
      <c r="AJ79" s="215">
        <v>0</v>
      </c>
      <c r="AK79" s="214">
        <v>0</v>
      </c>
      <c r="AL79" s="214">
        <v>0</v>
      </c>
      <c r="AM79" s="214">
        <v>0</v>
      </c>
      <c r="AN79" s="215">
        <v>0</v>
      </c>
      <c r="AO79" s="213">
        <v>0</v>
      </c>
      <c r="AP79" s="213">
        <v>0</v>
      </c>
      <c r="AQ79" s="213">
        <v>0</v>
      </c>
      <c r="AR79" s="210">
        <v>0</v>
      </c>
      <c r="AS79" s="213">
        <v>0</v>
      </c>
      <c r="AT79" s="213">
        <v>0</v>
      </c>
      <c r="AU79" s="213">
        <v>0</v>
      </c>
      <c r="AV79" s="210">
        <v>0</v>
      </c>
      <c r="AW79" s="213">
        <v>0</v>
      </c>
      <c r="AX79" s="213">
        <v>0</v>
      </c>
      <c r="AY79" s="213">
        <v>0</v>
      </c>
      <c r="AZ79" s="210">
        <v>0</v>
      </c>
      <c r="BA79" s="213">
        <v>0</v>
      </c>
      <c r="BB79" s="213">
        <v>0</v>
      </c>
      <c r="BC79" s="213">
        <v>0</v>
      </c>
      <c r="BD79" s="210">
        <v>0</v>
      </c>
      <c r="BE79" s="213">
        <v>0</v>
      </c>
      <c r="BF79" s="213">
        <v>0</v>
      </c>
      <c r="BG79" s="213">
        <v>0</v>
      </c>
      <c r="BH79" s="210">
        <v>0</v>
      </c>
      <c r="BI79" s="213">
        <v>0</v>
      </c>
      <c r="BJ79" s="213">
        <v>0</v>
      </c>
      <c r="BK79" s="213">
        <v>0</v>
      </c>
      <c r="BL79" s="210">
        <v>0</v>
      </c>
      <c r="BM79" s="213">
        <v>0</v>
      </c>
      <c r="BN79" s="213">
        <v>0</v>
      </c>
      <c r="BO79" s="213">
        <v>0</v>
      </c>
      <c r="BP79" s="210">
        <v>0</v>
      </c>
      <c r="BQ79" s="213">
        <v>0</v>
      </c>
      <c r="BR79" s="213">
        <v>0</v>
      </c>
      <c r="BS79" s="213">
        <v>0</v>
      </c>
      <c r="BT79" s="210">
        <v>0</v>
      </c>
      <c r="BU79" s="213">
        <v>0</v>
      </c>
      <c r="BV79" s="213">
        <v>0</v>
      </c>
      <c r="BW79" s="213">
        <v>0</v>
      </c>
      <c r="BX79" s="210">
        <v>0</v>
      </c>
      <c r="BY79" s="214">
        <v>0</v>
      </c>
      <c r="BZ79" s="214">
        <v>0</v>
      </c>
      <c r="CA79" s="214">
        <v>0</v>
      </c>
      <c r="CB79" s="214">
        <v>0</v>
      </c>
    </row>
    <row r="80" spans="1:80" s="37" customFormat="1" x14ac:dyDescent="0.35">
      <c r="A80" s="417"/>
      <c r="B80" s="248" t="s">
        <v>14</v>
      </c>
      <c r="C80" s="234" t="s">
        <v>180</v>
      </c>
      <c r="D80" s="249" t="s">
        <v>33</v>
      </c>
      <c r="E80" s="6">
        <v>0</v>
      </c>
      <c r="F80" s="220">
        <v>0</v>
      </c>
      <c r="G80" s="221" t="s">
        <v>391</v>
      </c>
      <c r="H80" s="221" t="s">
        <v>392</v>
      </c>
      <c r="I80" s="224">
        <v>0</v>
      </c>
      <c r="J80" s="224" t="s">
        <v>12</v>
      </c>
      <c r="K80" s="224">
        <v>0</v>
      </c>
      <c r="L80" s="224">
        <v>0</v>
      </c>
      <c r="M80" s="323">
        <v>0</v>
      </c>
      <c r="N80" s="224">
        <v>0</v>
      </c>
      <c r="O80" s="224">
        <v>0</v>
      </c>
      <c r="P80" s="222">
        <v>0</v>
      </c>
      <c r="Q80" s="236">
        <v>0</v>
      </c>
      <c r="R80" s="236">
        <v>0</v>
      </c>
      <c r="S80" s="236">
        <v>0</v>
      </c>
      <c r="T80" s="235">
        <v>0</v>
      </c>
      <c r="U80" s="37">
        <v>0</v>
      </c>
      <c r="V80" s="37">
        <v>0</v>
      </c>
      <c r="W80" s="37">
        <v>0</v>
      </c>
      <c r="X80" s="222">
        <v>0</v>
      </c>
      <c r="Y80" s="37">
        <v>0</v>
      </c>
      <c r="Z80" s="37">
        <v>0</v>
      </c>
      <c r="AA80" s="37">
        <v>0</v>
      </c>
      <c r="AB80" s="222">
        <v>0</v>
      </c>
      <c r="AC80" s="225">
        <v>0</v>
      </c>
      <c r="AD80" s="225">
        <v>0</v>
      </c>
      <c r="AE80" s="225">
        <v>0</v>
      </c>
      <c r="AF80" s="226">
        <v>0</v>
      </c>
      <c r="AG80" s="225">
        <v>0</v>
      </c>
      <c r="AH80" s="225">
        <v>0</v>
      </c>
      <c r="AI80" s="225">
        <v>0</v>
      </c>
      <c r="AJ80" s="226">
        <v>0</v>
      </c>
      <c r="AK80" s="225">
        <v>0</v>
      </c>
      <c r="AL80" s="225">
        <v>0</v>
      </c>
      <c r="AM80" s="225">
        <v>0</v>
      </c>
      <c r="AN80" s="226">
        <v>0</v>
      </c>
      <c r="AO80" s="37" t="s">
        <v>353</v>
      </c>
      <c r="AP80" s="37" t="s">
        <v>353</v>
      </c>
      <c r="AQ80" s="37" t="s">
        <v>353</v>
      </c>
      <c r="AR80" s="222" t="s">
        <v>353</v>
      </c>
      <c r="AS80" s="37">
        <v>0</v>
      </c>
      <c r="AT80" s="37">
        <v>0</v>
      </c>
      <c r="AU80" s="37">
        <v>0</v>
      </c>
      <c r="AV80" s="222">
        <v>0</v>
      </c>
      <c r="AW80" s="37">
        <v>0</v>
      </c>
      <c r="AX80" s="37">
        <v>0</v>
      </c>
      <c r="AY80" s="37">
        <v>0</v>
      </c>
      <c r="AZ80" s="222">
        <v>0</v>
      </c>
      <c r="BA80" s="37">
        <v>0</v>
      </c>
      <c r="BB80" s="37">
        <v>0</v>
      </c>
      <c r="BC80" s="37">
        <v>0</v>
      </c>
      <c r="BD80" s="222">
        <v>0</v>
      </c>
      <c r="BE80" s="37">
        <v>0</v>
      </c>
      <c r="BF80" s="37">
        <v>0</v>
      </c>
      <c r="BG80" s="37">
        <v>0</v>
      </c>
      <c r="BH80" s="222">
        <v>0</v>
      </c>
      <c r="BI80" s="37">
        <v>0</v>
      </c>
      <c r="BJ80" s="37">
        <v>0</v>
      </c>
      <c r="BK80" s="37">
        <v>0</v>
      </c>
      <c r="BL80" s="222">
        <v>0</v>
      </c>
      <c r="BM80" s="37">
        <v>0</v>
      </c>
      <c r="BN80" s="37">
        <v>0</v>
      </c>
      <c r="BO80" s="37">
        <v>0</v>
      </c>
      <c r="BP80" s="222">
        <v>0</v>
      </c>
      <c r="BQ80" s="37">
        <v>0</v>
      </c>
      <c r="BR80" s="37">
        <v>0</v>
      </c>
      <c r="BS80" s="37">
        <v>0</v>
      </c>
      <c r="BT80" s="222">
        <v>0</v>
      </c>
      <c r="BU80" s="37">
        <v>0</v>
      </c>
      <c r="BV80" s="37">
        <v>0</v>
      </c>
      <c r="BW80" s="37">
        <v>0</v>
      </c>
      <c r="BX80" s="222">
        <v>0</v>
      </c>
      <c r="BY80" s="225">
        <v>0</v>
      </c>
      <c r="BZ80" s="225">
        <v>0</v>
      </c>
      <c r="CA80" s="225">
        <v>0</v>
      </c>
      <c r="CB80" s="225">
        <v>0</v>
      </c>
    </row>
    <row r="81" spans="1:80" s="37" customFormat="1" x14ac:dyDescent="0.35">
      <c r="A81" s="417"/>
      <c r="B81" s="248" t="s">
        <v>15</v>
      </c>
      <c r="C81" s="234" t="s">
        <v>180</v>
      </c>
      <c r="D81" s="249" t="s">
        <v>34</v>
      </c>
      <c r="E81" s="6">
        <v>0</v>
      </c>
      <c r="F81" s="220">
        <v>0</v>
      </c>
      <c r="G81" s="221" t="s">
        <v>391</v>
      </c>
      <c r="H81" s="221" t="s">
        <v>392</v>
      </c>
      <c r="I81" s="224">
        <v>0</v>
      </c>
      <c r="J81" s="224" t="s">
        <v>12</v>
      </c>
      <c r="K81" s="224">
        <v>0</v>
      </c>
      <c r="L81" s="224">
        <v>0</v>
      </c>
      <c r="M81" s="323">
        <v>0</v>
      </c>
      <c r="N81" s="224">
        <v>0</v>
      </c>
      <c r="O81" s="224">
        <v>0</v>
      </c>
      <c r="P81" s="222">
        <v>0</v>
      </c>
      <c r="Q81" s="236">
        <v>0</v>
      </c>
      <c r="R81" s="236">
        <v>0</v>
      </c>
      <c r="S81" s="236">
        <v>0</v>
      </c>
      <c r="T81" s="235">
        <v>0</v>
      </c>
      <c r="U81" s="37">
        <v>0</v>
      </c>
      <c r="V81" s="37">
        <v>0</v>
      </c>
      <c r="W81" s="37">
        <v>0</v>
      </c>
      <c r="X81" s="222">
        <v>0</v>
      </c>
      <c r="Y81" s="37">
        <v>0</v>
      </c>
      <c r="Z81" s="37">
        <v>0</v>
      </c>
      <c r="AA81" s="37">
        <v>0</v>
      </c>
      <c r="AB81" s="222">
        <v>0</v>
      </c>
      <c r="AC81" s="225">
        <v>0</v>
      </c>
      <c r="AD81" s="225">
        <v>0</v>
      </c>
      <c r="AE81" s="225">
        <v>0</v>
      </c>
      <c r="AF81" s="226">
        <v>0</v>
      </c>
      <c r="AG81" s="225">
        <v>0</v>
      </c>
      <c r="AH81" s="225">
        <v>0</v>
      </c>
      <c r="AI81" s="225">
        <v>0</v>
      </c>
      <c r="AJ81" s="226">
        <v>0</v>
      </c>
      <c r="AK81" s="225">
        <v>0</v>
      </c>
      <c r="AL81" s="225">
        <v>0</v>
      </c>
      <c r="AM81" s="225">
        <v>0</v>
      </c>
      <c r="AN81" s="226">
        <v>0</v>
      </c>
      <c r="AO81" s="37" t="s">
        <v>353</v>
      </c>
      <c r="AP81" s="37" t="s">
        <v>353</v>
      </c>
      <c r="AQ81" s="37" t="s">
        <v>353</v>
      </c>
      <c r="AR81" s="222" t="s">
        <v>353</v>
      </c>
      <c r="AS81" s="37">
        <v>0</v>
      </c>
      <c r="AT81" s="37">
        <v>0</v>
      </c>
      <c r="AU81" s="37">
        <v>0</v>
      </c>
      <c r="AV81" s="222">
        <v>0</v>
      </c>
      <c r="AW81" s="37">
        <v>0</v>
      </c>
      <c r="AX81" s="37">
        <v>0</v>
      </c>
      <c r="AY81" s="37">
        <v>0</v>
      </c>
      <c r="AZ81" s="222">
        <v>0</v>
      </c>
      <c r="BA81" s="37">
        <v>0</v>
      </c>
      <c r="BB81" s="37">
        <v>0</v>
      </c>
      <c r="BC81" s="37">
        <v>0</v>
      </c>
      <c r="BD81" s="222">
        <v>0</v>
      </c>
      <c r="BE81" s="37">
        <v>0</v>
      </c>
      <c r="BF81" s="37">
        <v>0</v>
      </c>
      <c r="BG81" s="37">
        <v>0</v>
      </c>
      <c r="BH81" s="222">
        <v>0</v>
      </c>
      <c r="BI81" s="37">
        <v>0</v>
      </c>
      <c r="BJ81" s="37">
        <v>0</v>
      </c>
      <c r="BK81" s="37">
        <v>0</v>
      </c>
      <c r="BL81" s="222">
        <v>0</v>
      </c>
      <c r="BM81" s="37">
        <v>0</v>
      </c>
      <c r="BN81" s="37">
        <v>0</v>
      </c>
      <c r="BO81" s="37">
        <v>0</v>
      </c>
      <c r="BP81" s="222">
        <v>0</v>
      </c>
      <c r="BQ81" s="37">
        <v>0</v>
      </c>
      <c r="BR81" s="37">
        <v>0</v>
      </c>
      <c r="BS81" s="37">
        <v>0</v>
      </c>
      <c r="BT81" s="222">
        <v>0</v>
      </c>
      <c r="BU81" s="37">
        <v>0</v>
      </c>
      <c r="BV81" s="37">
        <v>0</v>
      </c>
      <c r="BW81" s="37">
        <v>0</v>
      </c>
      <c r="BX81" s="222">
        <v>0</v>
      </c>
      <c r="BY81" s="225">
        <v>0</v>
      </c>
      <c r="BZ81" s="225">
        <v>0</v>
      </c>
      <c r="CA81" s="225">
        <v>0</v>
      </c>
      <c r="CB81" s="225">
        <v>0</v>
      </c>
    </row>
    <row r="82" spans="1:80" s="37" customFormat="1" x14ac:dyDescent="0.35">
      <c r="A82" s="417"/>
      <c r="B82" s="248" t="s">
        <v>16</v>
      </c>
      <c r="C82" s="234" t="s">
        <v>180</v>
      </c>
      <c r="D82" s="219" t="s">
        <v>35</v>
      </c>
      <c r="E82" s="6">
        <v>0</v>
      </c>
      <c r="F82" s="220">
        <v>0</v>
      </c>
      <c r="G82" s="221" t="s">
        <v>392</v>
      </c>
      <c r="H82" s="221" t="s">
        <v>392</v>
      </c>
      <c r="I82" s="224">
        <v>0</v>
      </c>
      <c r="J82" s="224" t="s">
        <v>12</v>
      </c>
      <c r="K82" s="224">
        <v>0</v>
      </c>
      <c r="L82" s="224">
        <v>0</v>
      </c>
      <c r="M82" s="323">
        <v>0</v>
      </c>
      <c r="N82" s="224">
        <v>0</v>
      </c>
      <c r="O82" s="224">
        <v>0</v>
      </c>
      <c r="P82" s="222">
        <v>0</v>
      </c>
      <c r="Q82" s="236">
        <v>0</v>
      </c>
      <c r="R82" s="236">
        <v>0</v>
      </c>
      <c r="S82" s="236">
        <v>0</v>
      </c>
      <c r="T82" s="235">
        <v>0</v>
      </c>
      <c r="U82" s="37">
        <v>0</v>
      </c>
      <c r="V82" s="37">
        <v>0</v>
      </c>
      <c r="W82" s="37">
        <v>0</v>
      </c>
      <c r="X82" s="222">
        <v>0</v>
      </c>
      <c r="Y82" s="37">
        <v>0</v>
      </c>
      <c r="Z82" s="37">
        <v>0</v>
      </c>
      <c r="AA82" s="37">
        <v>0</v>
      </c>
      <c r="AB82" s="222">
        <v>0</v>
      </c>
      <c r="AC82" s="225" t="s">
        <v>353</v>
      </c>
      <c r="AD82" s="225" t="s">
        <v>353</v>
      </c>
      <c r="AE82" s="225" t="s">
        <v>353</v>
      </c>
      <c r="AF82" s="226" t="s">
        <v>353</v>
      </c>
      <c r="AG82" s="225" t="s">
        <v>353</v>
      </c>
      <c r="AH82" s="225" t="s">
        <v>353</v>
      </c>
      <c r="AI82" s="225" t="s">
        <v>353</v>
      </c>
      <c r="AJ82" s="226" t="s">
        <v>353</v>
      </c>
      <c r="AK82" s="225" t="s">
        <v>353</v>
      </c>
      <c r="AL82" s="225" t="s">
        <v>353</v>
      </c>
      <c r="AM82" s="225" t="s">
        <v>353</v>
      </c>
      <c r="AN82" s="226" t="s">
        <v>353</v>
      </c>
      <c r="AO82" s="37" t="s">
        <v>353</v>
      </c>
      <c r="AP82" s="37" t="s">
        <v>353</v>
      </c>
      <c r="AQ82" s="37" t="s">
        <v>353</v>
      </c>
      <c r="AR82" s="222" t="s">
        <v>353</v>
      </c>
      <c r="AS82" s="37" t="s">
        <v>353</v>
      </c>
      <c r="AT82" s="37" t="s">
        <v>353</v>
      </c>
      <c r="AU82" s="37" t="s">
        <v>353</v>
      </c>
      <c r="AV82" s="222" t="s">
        <v>353</v>
      </c>
      <c r="AW82" s="37" t="s">
        <v>353</v>
      </c>
      <c r="AX82" s="37" t="s">
        <v>353</v>
      </c>
      <c r="AY82" s="37" t="s">
        <v>353</v>
      </c>
      <c r="AZ82" s="222" t="s">
        <v>353</v>
      </c>
      <c r="BA82" s="37" t="s">
        <v>353</v>
      </c>
      <c r="BB82" s="37" t="s">
        <v>353</v>
      </c>
      <c r="BC82" s="37" t="s">
        <v>353</v>
      </c>
      <c r="BD82" s="222" t="s">
        <v>353</v>
      </c>
      <c r="BE82" s="37">
        <v>0</v>
      </c>
      <c r="BF82" s="37">
        <v>0</v>
      </c>
      <c r="BG82" s="37">
        <v>0</v>
      </c>
      <c r="BH82" s="222">
        <v>0</v>
      </c>
      <c r="BI82" s="37">
        <v>0</v>
      </c>
      <c r="BJ82" s="37" t="s">
        <v>185</v>
      </c>
      <c r="BK82" s="37">
        <v>0</v>
      </c>
      <c r="BL82" s="222">
        <v>0</v>
      </c>
      <c r="BM82" s="37">
        <v>0</v>
      </c>
      <c r="BN82" s="37">
        <v>0</v>
      </c>
      <c r="BO82" s="37">
        <v>0</v>
      </c>
      <c r="BP82" s="222">
        <v>0</v>
      </c>
      <c r="BQ82" s="37">
        <v>0</v>
      </c>
      <c r="BR82" s="37">
        <v>0</v>
      </c>
      <c r="BS82" s="37">
        <v>0</v>
      </c>
      <c r="BT82" s="222">
        <v>0</v>
      </c>
      <c r="BU82" s="229" t="s">
        <v>353</v>
      </c>
      <c r="BV82" s="229" t="s">
        <v>353</v>
      </c>
      <c r="BW82" s="229" t="s">
        <v>353</v>
      </c>
      <c r="BX82" s="223" t="s">
        <v>353</v>
      </c>
      <c r="BY82" s="225">
        <v>0</v>
      </c>
      <c r="BZ82" s="225">
        <v>0</v>
      </c>
      <c r="CA82" s="225">
        <v>0</v>
      </c>
      <c r="CB82" s="225">
        <v>0</v>
      </c>
    </row>
  </sheetData>
  <mergeCells count="22">
    <mergeCell ref="BU1:BX1"/>
    <mergeCell ref="BY1:CB1"/>
    <mergeCell ref="B2:B5"/>
    <mergeCell ref="C2:C5"/>
    <mergeCell ref="D2:D5"/>
    <mergeCell ref="BA1:BD1"/>
    <mergeCell ref="BE1:BH1"/>
    <mergeCell ref="BI1:BL1"/>
    <mergeCell ref="BM1:BP1"/>
    <mergeCell ref="BQ1:BT1"/>
    <mergeCell ref="AG1:AJ1"/>
    <mergeCell ref="AK1:AN1"/>
    <mergeCell ref="AO1:AR1"/>
    <mergeCell ref="AS1:AV1"/>
    <mergeCell ref="AW1:AZ1"/>
    <mergeCell ref="A1:C1"/>
    <mergeCell ref="A53:A82"/>
    <mergeCell ref="Q1:T1"/>
    <mergeCell ref="U1:X1"/>
    <mergeCell ref="Y1:AB1"/>
    <mergeCell ref="AC1:AF1"/>
    <mergeCell ref="A6:A52"/>
  </mergeCells>
  <conditionalFormatting sqref="A5">
    <cfRule type="cellIs" dxfId="3" priority="3" operator="equal">
      <formula>TRUE</formula>
    </cfRule>
    <cfRule type="cellIs" dxfId="2" priority="4" operator="equal">
      <formula>FALSE</formula>
    </cfRule>
  </conditionalFormatting>
  <conditionalFormatting sqref="B5">
    <cfRule type="cellIs" dxfId="1" priority="1" operator="equal">
      <formula>FALSE</formula>
    </cfRule>
    <cfRule type="cellIs" dxfId="0" priority="2" operator="equal">
      <formula>TRUE</formula>
    </cfRule>
  </conditionalFormatting>
  <pageMargins left="0.7" right="0.7" top="0.75" bottom="0.75" header="0.3" footer="0.3"/>
  <pageSetup paperSize="9" orientation="portrait" horizontalDpi="429496729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H139"/>
  <sheetViews>
    <sheetView topLeftCell="E1" workbookViewId="0">
      <selection activeCell="F3" sqref="F3"/>
    </sheetView>
  </sheetViews>
  <sheetFormatPr defaultColWidth="39.36328125" defaultRowHeight="14.5" x14ac:dyDescent="0.35"/>
  <cols>
    <col min="1" max="1" width="43.08984375" style="25" customWidth="1"/>
    <col min="2" max="2" width="62" style="24" customWidth="1"/>
    <col min="3" max="5" width="39.36328125" style="24"/>
    <col min="6" max="6" width="12" style="24" customWidth="1"/>
    <col min="7" max="7" width="39.36328125" style="33"/>
    <col min="8" max="16384" width="39.36328125" style="25"/>
  </cols>
  <sheetData>
    <row r="1" spans="1:8" s="28" customFormat="1" x14ac:dyDescent="0.35">
      <c r="A1" s="28" t="s">
        <v>196</v>
      </c>
      <c r="B1" s="29" t="s">
        <v>134</v>
      </c>
      <c r="C1" s="29" t="s">
        <v>155</v>
      </c>
      <c r="D1" s="29" t="s">
        <v>63</v>
      </c>
      <c r="E1" s="29" t="s">
        <v>133</v>
      </c>
      <c r="F1" s="29" t="s">
        <v>135</v>
      </c>
      <c r="G1" s="30" t="s">
        <v>153</v>
      </c>
      <c r="H1" s="28" t="s">
        <v>189</v>
      </c>
    </row>
    <row r="2" spans="1:8" ht="29" x14ac:dyDescent="0.35">
      <c r="A2" s="25" t="s">
        <v>184</v>
      </c>
      <c r="B2" s="24" t="s">
        <v>182</v>
      </c>
      <c r="C2" s="24" t="s">
        <v>183</v>
      </c>
      <c r="D2" s="24">
        <v>2023</v>
      </c>
      <c r="E2" s="24" t="s">
        <v>195</v>
      </c>
      <c r="G2" s="27"/>
      <c r="H2" s="33" t="s">
        <v>188</v>
      </c>
    </row>
    <row r="3" spans="1:8" ht="22" customHeight="1" x14ac:dyDescent="0.35">
      <c r="A3" s="25" t="s">
        <v>191</v>
      </c>
      <c r="B3" s="24" t="s">
        <v>192</v>
      </c>
      <c r="C3" s="24" t="s">
        <v>193</v>
      </c>
      <c r="D3" s="24">
        <v>2023</v>
      </c>
      <c r="E3" s="24" t="s">
        <v>194</v>
      </c>
      <c r="G3" s="27"/>
    </row>
    <row r="4" spans="1:8" ht="41" customHeight="1" x14ac:dyDescent="0.35">
      <c r="A4" s="25" t="str">
        <f t="shared" ref="A4:A5" si="0">C4&amp;D4</f>
        <v>Adams2019</v>
      </c>
      <c r="B4" s="24" t="s">
        <v>197</v>
      </c>
      <c r="C4" s="24" t="s">
        <v>198</v>
      </c>
      <c r="D4" s="24">
        <v>2019</v>
      </c>
      <c r="E4" s="24" t="s">
        <v>199</v>
      </c>
      <c r="G4" s="27" t="s">
        <v>200</v>
      </c>
    </row>
    <row r="5" spans="1:8" x14ac:dyDescent="0.35">
      <c r="A5" s="25" t="str">
        <f t="shared" si="0"/>
        <v>Papadias2021</v>
      </c>
      <c r="B5" s="25" t="s">
        <v>201</v>
      </c>
      <c r="C5" s="24" t="s">
        <v>202</v>
      </c>
      <c r="D5" s="24">
        <v>2021</v>
      </c>
      <c r="E5" s="24" t="s">
        <v>203</v>
      </c>
      <c r="G5" s="27" t="s">
        <v>147</v>
      </c>
    </row>
    <row r="6" spans="1:8" ht="34.5" customHeight="1" x14ac:dyDescent="0.35">
      <c r="A6" s="25" t="str">
        <f>C6&amp;D6</f>
        <v>Armijo2020</v>
      </c>
      <c r="B6" s="24" t="s">
        <v>204</v>
      </c>
      <c r="C6" s="24" t="s">
        <v>205</v>
      </c>
      <c r="D6" s="24">
        <v>2020</v>
      </c>
      <c r="E6" s="24" t="s">
        <v>203</v>
      </c>
      <c r="G6" s="27" t="s">
        <v>206</v>
      </c>
    </row>
    <row r="7" spans="1:8" x14ac:dyDescent="0.35">
      <c r="A7" s="25" t="str">
        <f t="shared" ref="A7" si="1">C7&amp;D7</f>
        <v>IEA2019</v>
      </c>
      <c r="B7" s="24" t="s">
        <v>218</v>
      </c>
      <c r="C7" s="24" t="s">
        <v>219</v>
      </c>
      <c r="D7" s="24">
        <v>2019</v>
      </c>
      <c r="E7" s="24" t="s">
        <v>220</v>
      </c>
      <c r="G7" s="27" t="s">
        <v>221</v>
      </c>
    </row>
    <row r="8" spans="1:8" ht="31" customHeight="1" x14ac:dyDescent="0.35">
      <c r="A8" s="25" t="s">
        <v>222</v>
      </c>
      <c r="B8" s="24" t="s">
        <v>223</v>
      </c>
      <c r="C8" s="24" t="s">
        <v>224</v>
      </c>
      <c r="D8" s="24">
        <v>2023</v>
      </c>
      <c r="E8" s="24" t="s">
        <v>203</v>
      </c>
      <c r="G8" s="27" t="s">
        <v>225</v>
      </c>
    </row>
    <row r="9" spans="1:8" x14ac:dyDescent="0.35">
      <c r="A9" s="25" t="s">
        <v>229</v>
      </c>
      <c r="B9" s="26" t="s">
        <v>230</v>
      </c>
      <c r="C9" s="24" t="s">
        <v>231</v>
      </c>
      <c r="D9" s="24">
        <v>2023</v>
      </c>
      <c r="E9" s="24" t="s">
        <v>195</v>
      </c>
      <c r="G9" s="27"/>
    </row>
    <row r="10" spans="1:8" x14ac:dyDescent="0.35">
      <c r="A10" s="25" t="s">
        <v>236</v>
      </c>
      <c r="B10" s="24" t="s">
        <v>235</v>
      </c>
      <c r="C10" s="24" t="s">
        <v>234</v>
      </c>
      <c r="D10" s="24">
        <v>2020</v>
      </c>
      <c r="E10" s="24" t="s">
        <v>233</v>
      </c>
      <c r="G10" s="27" t="s">
        <v>232</v>
      </c>
      <c r="H10" s="25" t="s">
        <v>237</v>
      </c>
    </row>
    <row r="11" spans="1:8" ht="29" x14ac:dyDescent="0.35">
      <c r="A11" s="25" t="str">
        <f t="shared" ref="A11" si="2">C11&amp;D11</f>
        <v>Ikäheimo2018</v>
      </c>
      <c r="B11" s="24" t="s">
        <v>238</v>
      </c>
      <c r="C11" s="24" t="s">
        <v>239</v>
      </c>
      <c r="D11" s="24">
        <v>2018</v>
      </c>
      <c r="E11" s="24" t="s">
        <v>240</v>
      </c>
      <c r="G11" s="27" t="s">
        <v>241</v>
      </c>
    </row>
    <row r="12" spans="1:8" x14ac:dyDescent="0.35">
      <c r="A12" s="25" t="s">
        <v>246</v>
      </c>
      <c r="B12" s="24" t="s">
        <v>242</v>
      </c>
      <c r="C12" s="24" t="s">
        <v>243</v>
      </c>
      <c r="D12" s="24">
        <v>2020</v>
      </c>
      <c r="E12" s="24" t="s">
        <v>244</v>
      </c>
      <c r="G12" s="27" t="s">
        <v>245</v>
      </c>
    </row>
    <row r="13" spans="1:8" x14ac:dyDescent="0.35">
      <c r="A13" s="25" t="s">
        <v>247</v>
      </c>
      <c r="B13" s="25" t="s">
        <v>248</v>
      </c>
      <c r="C13" s="24" t="s">
        <v>224</v>
      </c>
      <c r="D13" s="24">
        <v>2021</v>
      </c>
      <c r="E13" s="24" t="s">
        <v>194</v>
      </c>
      <c r="G13" s="27" t="s">
        <v>249</v>
      </c>
    </row>
    <row r="14" spans="1:8" ht="29" x14ac:dyDescent="0.35">
      <c r="A14" s="25" t="s">
        <v>305</v>
      </c>
      <c r="B14" s="24" t="s">
        <v>306</v>
      </c>
      <c r="C14" s="24" t="s">
        <v>307</v>
      </c>
      <c r="D14" s="24">
        <v>2024</v>
      </c>
      <c r="E14" s="24" t="s">
        <v>203</v>
      </c>
      <c r="G14" s="27" t="s">
        <v>308</v>
      </c>
    </row>
    <row r="15" spans="1:8" ht="29" x14ac:dyDescent="0.35">
      <c r="A15" s="25" t="s">
        <v>309</v>
      </c>
      <c r="B15" s="24" t="s">
        <v>310</v>
      </c>
      <c r="C15" s="24" t="s">
        <v>311</v>
      </c>
      <c r="D15" s="24">
        <v>2024</v>
      </c>
      <c r="E15" s="24" t="s">
        <v>203</v>
      </c>
      <c r="G15" s="34" t="s">
        <v>312</v>
      </c>
    </row>
    <row r="16" spans="1:8" ht="29" x14ac:dyDescent="0.35">
      <c r="A16" s="25" t="s">
        <v>318</v>
      </c>
      <c r="B16" s="24" t="s">
        <v>317</v>
      </c>
      <c r="C16" s="24" t="s">
        <v>319</v>
      </c>
      <c r="D16" s="24">
        <v>2023</v>
      </c>
      <c r="E16" s="24" t="s">
        <v>194</v>
      </c>
      <c r="G16" s="27" t="s">
        <v>320</v>
      </c>
    </row>
    <row r="17" spans="1:7" ht="29" x14ac:dyDescent="0.35">
      <c r="A17" s="25" t="s">
        <v>322</v>
      </c>
      <c r="B17" s="24" t="s">
        <v>321</v>
      </c>
      <c r="C17" s="24" t="s">
        <v>224</v>
      </c>
      <c r="D17" s="24">
        <v>2024</v>
      </c>
      <c r="E17" s="24" t="s">
        <v>203</v>
      </c>
      <c r="G17" s="34" t="s">
        <v>323</v>
      </c>
    </row>
    <row r="18" spans="1:7" ht="29" x14ac:dyDescent="0.35">
      <c r="A18" s="25" t="s">
        <v>342</v>
      </c>
      <c r="B18" s="24" t="s">
        <v>341</v>
      </c>
      <c r="C18" s="24" t="s">
        <v>343</v>
      </c>
      <c r="D18" s="24">
        <v>2022</v>
      </c>
      <c r="E18" s="24" t="s">
        <v>203</v>
      </c>
      <c r="G18" s="34" t="s">
        <v>344</v>
      </c>
    </row>
    <row r="19" spans="1:7" x14ac:dyDescent="0.35">
      <c r="G19" s="27"/>
    </row>
    <row r="20" spans="1:7" x14ac:dyDescent="0.35">
      <c r="G20" s="27"/>
    </row>
    <row r="21" spans="1:7" x14ac:dyDescent="0.35">
      <c r="B21" s="8"/>
      <c r="G21" s="27"/>
    </row>
    <row r="22" spans="1:7" x14ac:dyDescent="0.35">
      <c r="B22" s="26"/>
      <c r="G22" s="27"/>
    </row>
    <row r="23" spans="1:7" x14ac:dyDescent="0.35">
      <c r="G23" s="27"/>
    </row>
    <row r="24" spans="1:7" x14ac:dyDescent="0.35">
      <c r="G24" s="27"/>
    </row>
    <row r="25" spans="1:7" x14ac:dyDescent="0.35">
      <c r="G25" s="27"/>
    </row>
    <row r="26" spans="1:7" x14ac:dyDescent="0.35">
      <c r="G26" s="27"/>
    </row>
    <row r="27" spans="1:7" x14ac:dyDescent="0.35">
      <c r="G27" s="27"/>
    </row>
    <row r="28" spans="1:7" x14ac:dyDescent="0.35">
      <c r="G28" s="27"/>
    </row>
    <row r="29" spans="1:7" x14ac:dyDescent="0.35">
      <c r="G29" s="27"/>
    </row>
    <row r="30" spans="1:7" x14ac:dyDescent="0.35">
      <c r="G30" s="27"/>
    </row>
    <row r="31" spans="1:7" x14ac:dyDescent="0.35">
      <c r="G31" s="27"/>
    </row>
    <row r="32" spans="1:7" x14ac:dyDescent="0.35">
      <c r="G32" s="27"/>
    </row>
    <row r="33" spans="3:7" x14ac:dyDescent="0.35">
      <c r="G33" s="27"/>
    </row>
    <row r="34" spans="3:7" x14ac:dyDescent="0.35">
      <c r="G34" s="27"/>
    </row>
    <row r="35" spans="3:7" x14ac:dyDescent="0.35">
      <c r="G35" s="27"/>
    </row>
    <row r="36" spans="3:7" x14ac:dyDescent="0.35">
      <c r="G36" s="27"/>
    </row>
    <row r="37" spans="3:7" x14ac:dyDescent="0.35">
      <c r="G37" s="27"/>
    </row>
    <row r="38" spans="3:7" x14ac:dyDescent="0.35">
      <c r="G38" s="27"/>
    </row>
    <row r="39" spans="3:7" x14ac:dyDescent="0.35">
      <c r="G39" s="27"/>
    </row>
    <row r="40" spans="3:7" x14ac:dyDescent="0.35">
      <c r="G40" s="27"/>
    </row>
    <row r="41" spans="3:7" x14ac:dyDescent="0.35">
      <c r="G41" s="27"/>
    </row>
    <row r="43" spans="3:7" x14ac:dyDescent="0.35">
      <c r="G43" s="27"/>
    </row>
    <row r="44" spans="3:7" x14ac:dyDescent="0.35">
      <c r="G44" s="27"/>
    </row>
    <row r="45" spans="3:7" x14ac:dyDescent="0.35">
      <c r="G45" s="27"/>
    </row>
    <row r="46" spans="3:7" x14ac:dyDescent="0.35">
      <c r="G46" s="27"/>
    </row>
    <row r="47" spans="3:7" x14ac:dyDescent="0.35">
      <c r="C47" s="8"/>
      <c r="G47" s="27"/>
    </row>
    <row r="48" spans="3:7" x14ac:dyDescent="0.35">
      <c r="G48" s="27"/>
    </row>
    <row r="49" spans="7:7" x14ac:dyDescent="0.35">
      <c r="G49" s="27"/>
    </row>
    <row r="50" spans="7:7" x14ac:dyDescent="0.35">
      <c r="G50" s="27"/>
    </row>
    <row r="51" spans="7:7" x14ac:dyDescent="0.35">
      <c r="G51" s="27"/>
    </row>
    <row r="52" spans="7:7" x14ac:dyDescent="0.35">
      <c r="G52" s="27"/>
    </row>
    <row r="53" spans="7:7" x14ac:dyDescent="0.35">
      <c r="G53" s="27"/>
    </row>
    <row r="54" spans="7:7" x14ac:dyDescent="0.35">
      <c r="G54" s="27"/>
    </row>
    <row r="55" spans="7:7" x14ac:dyDescent="0.35">
      <c r="G55" s="27"/>
    </row>
    <row r="56" spans="7:7" x14ac:dyDescent="0.35">
      <c r="G56" s="27"/>
    </row>
    <row r="57" spans="7:7" x14ac:dyDescent="0.35">
      <c r="G57" s="27"/>
    </row>
    <row r="58" spans="7:7" x14ac:dyDescent="0.35">
      <c r="G58" s="27"/>
    </row>
    <row r="59" spans="7:7" x14ac:dyDescent="0.35">
      <c r="G59" s="27"/>
    </row>
    <row r="60" spans="7:7" x14ac:dyDescent="0.35">
      <c r="G60" s="27"/>
    </row>
    <row r="61" spans="7:7" x14ac:dyDescent="0.35">
      <c r="G61" s="27"/>
    </row>
    <row r="62" spans="7:7" x14ac:dyDescent="0.35">
      <c r="G62" s="27"/>
    </row>
    <row r="63" spans="7:7" x14ac:dyDescent="0.35">
      <c r="G63" s="27"/>
    </row>
    <row r="64" spans="7:7" x14ac:dyDescent="0.35">
      <c r="G64" s="27"/>
    </row>
    <row r="65" spans="7:7" x14ac:dyDescent="0.35">
      <c r="G65" s="27"/>
    </row>
    <row r="66" spans="7:7" x14ac:dyDescent="0.35">
      <c r="G66" s="27"/>
    </row>
    <row r="67" spans="7:7" x14ac:dyDescent="0.35">
      <c r="G67" s="27"/>
    </row>
    <row r="68" spans="7:7" x14ac:dyDescent="0.35">
      <c r="G68" s="27"/>
    </row>
    <row r="69" spans="7:7" x14ac:dyDescent="0.35">
      <c r="G69" s="27"/>
    </row>
    <row r="70" spans="7:7" x14ac:dyDescent="0.35">
      <c r="G70" s="27"/>
    </row>
    <row r="71" spans="7:7" x14ac:dyDescent="0.35">
      <c r="G71" s="27"/>
    </row>
    <row r="72" spans="7:7" x14ac:dyDescent="0.35">
      <c r="G72" s="27"/>
    </row>
    <row r="73" spans="7:7" x14ac:dyDescent="0.35">
      <c r="G73" s="27"/>
    </row>
    <row r="74" spans="7:7" x14ac:dyDescent="0.35">
      <c r="G74" s="27"/>
    </row>
    <row r="75" spans="7:7" x14ac:dyDescent="0.35">
      <c r="G75" s="27"/>
    </row>
    <row r="76" spans="7:7" x14ac:dyDescent="0.35">
      <c r="G76" s="27"/>
    </row>
    <row r="77" spans="7:7" x14ac:dyDescent="0.35">
      <c r="G77" s="27"/>
    </row>
    <row r="78" spans="7:7" x14ac:dyDescent="0.35">
      <c r="G78" s="27"/>
    </row>
    <row r="79" spans="7:7" x14ac:dyDescent="0.35">
      <c r="G79" s="27"/>
    </row>
    <row r="80" spans="7:7" x14ac:dyDescent="0.35">
      <c r="G80" s="27"/>
    </row>
    <row r="81" spans="7:7" x14ac:dyDescent="0.35">
      <c r="G81" s="27"/>
    </row>
    <row r="82" spans="7:7" x14ac:dyDescent="0.35">
      <c r="G82" s="27"/>
    </row>
    <row r="83" spans="7:7" x14ac:dyDescent="0.35">
      <c r="G83" s="27"/>
    </row>
    <row r="84" spans="7:7" x14ac:dyDescent="0.35">
      <c r="G84" s="27"/>
    </row>
    <row r="85" spans="7:7" x14ac:dyDescent="0.35">
      <c r="G85" s="27"/>
    </row>
    <row r="86" spans="7:7" x14ac:dyDescent="0.35">
      <c r="G86" s="27"/>
    </row>
    <row r="87" spans="7:7" x14ac:dyDescent="0.35">
      <c r="G87" s="27"/>
    </row>
    <row r="88" spans="7:7" x14ac:dyDescent="0.35">
      <c r="G88" s="27"/>
    </row>
    <row r="89" spans="7:7" x14ac:dyDescent="0.35">
      <c r="G89" s="27"/>
    </row>
    <row r="90" spans="7:7" x14ac:dyDescent="0.35">
      <c r="G90" s="27"/>
    </row>
    <row r="91" spans="7:7" x14ac:dyDescent="0.35">
      <c r="G91" s="27"/>
    </row>
    <row r="92" spans="7:7" x14ac:dyDescent="0.35">
      <c r="G92" s="27"/>
    </row>
    <row r="93" spans="7:7" x14ac:dyDescent="0.35">
      <c r="G93" s="27"/>
    </row>
    <row r="94" spans="7:7" x14ac:dyDescent="0.35">
      <c r="G94" s="27"/>
    </row>
    <row r="95" spans="7:7" x14ac:dyDescent="0.35">
      <c r="G95" s="27"/>
    </row>
    <row r="96" spans="7:7" x14ac:dyDescent="0.35">
      <c r="G96" s="27"/>
    </row>
    <row r="97" spans="2:7" x14ac:dyDescent="0.35">
      <c r="G97" s="27"/>
    </row>
    <row r="98" spans="2:7" x14ac:dyDescent="0.35">
      <c r="G98" s="27"/>
    </row>
    <row r="99" spans="2:7" x14ac:dyDescent="0.35">
      <c r="G99" s="27"/>
    </row>
    <row r="100" spans="2:7" x14ac:dyDescent="0.35">
      <c r="G100" s="27"/>
    </row>
    <row r="101" spans="2:7" x14ac:dyDescent="0.35">
      <c r="G101" s="27"/>
    </row>
    <row r="102" spans="2:7" x14ac:dyDescent="0.35">
      <c r="G102" s="27"/>
    </row>
    <row r="103" spans="2:7" x14ac:dyDescent="0.35">
      <c r="G103" s="27"/>
    </row>
    <row r="104" spans="2:7" x14ac:dyDescent="0.35">
      <c r="G104" s="27"/>
    </row>
    <row r="105" spans="2:7" x14ac:dyDescent="0.35">
      <c r="B105" s="36"/>
      <c r="G105" s="27"/>
    </row>
    <row r="106" spans="2:7" x14ac:dyDescent="0.35">
      <c r="G106" s="27"/>
    </row>
    <row r="107" spans="2:7" x14ac:dyDescent="0.35">
      <c r="G107" s="27"/>
    </row>
    <row r="108" spans="2:7" x14ac:dyDescent="0.35">
      <c r="G108" s="27"/>
    </row>
    <row r="109" spans="2:7" x14ac:dyDescent="0.35">
      <c r="G109" s="27"/>
    </row>
    <row r="110" spans="2:7" x14ac:dyDescent="0.35">
      <c r="G110" s="27"/>
    </row>
    <row r="111" spans="2:7" x14ac:dyDescent="0.35">
      <c r="G111" s="27"/>
    </row>
    <row r="114" spans="2:7" x14ac:dyDescent="0.35">
      <c r="G114" s="27" t="s">
        <v>137</v>
      </c>
    </row>
    <row r="117" spans="2:7" x14ac:dyDescent="0.35">
      <c r="G117" s="27" t="s">
        <v>138</v>
      </c>
    </row>
    <row r="118" spans="2:7" x14ac:dyDescent="0.35">
      <c r="B118" s="8"/>
      <c r="C118" s="8"/>
      <c r="G118" s="34" t="s">
        <v>139</v>
      </c>
    </row>
    <row r="120" spans="2:7" x14ac:dyDescent="0.35">
      <c r="G120" s="27" t="s">
        <v>140</v>
      </c>
    </row>
    <row r="124" spans="2:7" x14ac:dyDescent="0.35">
      <c r="G124" s="27" t="s">
        <v>141</v>
      </c>
    </row>
    <row r="126" spans="2:7" x14ac:dyDescent="0.35">
      <c r="G126" s="27" t="s">
        <v>142</v>
      </c>
    </row>
    <row r="127" spans="2:7" x14ac:dyDescent="0.35">
      <c r="G127" s="27" t="s">
        <v>143</v>
      </c>
    </row>
    <row r="128" spans="2:7" x14ac:dyDescent="0.35">
      <c r="G128" s="27" t="s">
        <v>144</v>
      </c>
    </row>
    <row r="129" spans="2:7" x14ac:dyDescent="0.35">
      <c r="G129" s="27" t="s">
        <v>145</v>
      </c>
    </row>
    <row r="130" spans="2:7" x14ac:dyDescent="0.35">
      <c r="G130" s="27" t="s">
        <v>146</v>
      </c>
    </row>
    <row r="131" spans="2:7" x14ac:dyDescent="0.35">
      <c r="B131" s="25"/>
      <c r="G131" s="27" t="s">
        <v>147</v>
      </c>
    </row>
    <row r="132" spans="2:7" x14ac:dyDescent="0.35">
      <c r="G132" s="27" t="s">
        <v>136</v>
      </c>
    </row>
    <row r="133" spans="2:7" x14ac:dyDescent="0.35">
      <c r="G133" s="27" t="s">
        <v>148</v>
      </c>
    </row>
    <row r="134" spans="2:7" x14ac:dyDescent="0.35">
      <c r="G134" s="27" t="s">
        <v>156</v>
      </c>
    </row>
    <row r="135" spans="2:7" x14ac:dyDescent="0.35">
      <c r="G135" s="27" t="s">
        <v>149</v>
      </c>
    </row>
    <row r="136" spans="2:7" x14ac:dyDescent="0.35">
      <c r="G136" s="27" t="s">
        <v>150</v>
      </c>
    </row>
    <row r="137" spans="2:7" x14ac:dyDescent="0.35">
      <c r="G137" s="27" t="s">
        <v>154</v>
      </c>
    </row>
    <row r="138" spans="2:7" x14ac:dyDescent="0.35">
      <c r="G138" s="27" t="s">
        <v>157</v>
      </c>
    </row>
    <row r="139" spans="2:7" x14ac:dyDescent="0.35">
      <c r="B139" s="8"/>
      <c r="G139" s="27" t="s">
        <v>158</v>
      </c>
    </row>
  </sheetData>
  <hyperlinks>
    <hyperlink ref="G114" r:id="rId1" xr:uid="{00000000-0004-0000-0700-000000000000}"/>
    <hyperlink ref="G117" r:id="rId2" xr:uid="{00000000-0004-0000-0700-000001000000}"/>
    <hyperlink ref="G118" r:id="rId3" tooltip="Persistent link using digital object identifier" xr:uid="{00000000-0004-0000-0700-000002000000}"/>
    <hyperlink ref="G124" r:id="rId4" xr:uid="{00000000-0004-0000-0700-000003000000}"/>
    <hyperlink ref="G126" r:id="rId5" xr:uid="{00000000-0004-0000-0700-000004000000}"/>
    <hyperlink ref="G127" r:id="rId6" xr:uid="{00000000-0004-0000-0700-000005000000}"/>
    <hyperlink ref="G120" r:id="rId7" xr:uid="{00000000-0004-0000-0700-000006000000}"/>
    <hyperlink ref="G128" r:id="rId8" xr:uid="{00000000-0004-0000-0700-000007000000}"/>
    <hyperlink ref="G129" r:id="rId9" xr:uid="{00000000-0004-0000-0700-000008000000}"/>
    <hyperlink ref="G130" r:id="rId10" xr:uid="{00000000-0004-0000-0700-000009000000}"/>
    <hyperlink ref="G131" r:id="rId11" xr:uid="{00000000-0004-0000-0700-00000A000000}"/>
    <hyperlink ref="G132" r:id="rId12" xr:uid="{00000000-0004-0000-0700-00000B000000}"/>
    <hyperlink ref="G133" r:id="rId13" xr:uid="{00000000-0004-0000-0700-00000C000000}"/>
    <hyperlink ref="G135" r:id="rId14" xr:uid="{00000000-0004-0000-0700-00000D000000}"/>
    <hyperlink ref="G136" r:id="rId15" xr:uid="{00000000-0004-0000-0700-00000E000000}"/>
    <hyperlink ref="G137" r:id="rId16" xr:uid="{00000000-0004-0000-0700-00000F000000}"/>
    <hyperlink ref="G139" r:id="rId17" xr:uid="{00000000-0004-0000-0700-000010000000}"/>
    <hyperlink ref="G4" r:id="rId18" xr:uid="{00000000-0004-0000-0700-000011000000}"/>
    <hyperlink ref="G5" r:id="rId19" xr:uid="{00000000-0004-0000-0700-000012000000}"/>
    <hyperlink ref="G6" r:id="rId20" xr:uid="{00000000-0004-0000-0700-000013000000}"/>
    <hyperlink ref="G7" r:id="rId21" xr:uid="{00000000-0004-0000-0700-000014000000}"/>
    <hyperlink ref="G8" r:id="rId22" xr:uid="{00000000-0004-0000-0700-000015000000}"/>
    <hyperlink ref="G11" r:id="rId23" xr:uid="{00000000-0004-0000-0700-000016000000}"/>
    <hyperlink ref="G12" r:id="rId24" xr:uid="{00000000-0004-0000-0700-000017000000}"/>
    <hyperlink ref="G10" r:id="rId25" xr:uid="{00000000-0004-0000-0700-000018000000}"/>
    <hyperlink ref="G14" r:id="rId26" xr:uid="{00000000-0004-0000-0700-000019000000}"/>
    <hyperlink ref="G15" r:id="rId27" xr:uid="{00000000-0004-0000-0700-00001A000000}"/>
    <hyperlink ref="G16" r:id="rId28" xr:uid="{00000000-0004-0000-0700-00001B000000}"/>
    <hyperlink ref="G17" r:id="rId29" tooltip="Persistent link using digital object identifier" xr:uid="{00000000-0004-0000-0700-00001C000000}"/>
    <hyperlink ref="G18" r:id="rId30" tooltip="Link to landing page via DOI" display="https://doi.org/10.1039/D2EE01023B" xr:uid="{00000000-0004-0000-0700-00001D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Data_base_case</vt:lpstr>
      <vt:lpstr>Excluded_units</vt:lpstr>
      <vt:lpstr>Scenarios_definition</vt:lpstr>
      <vt:lpstr>ScenariosToRun</vt:lpstr>
      <vt:lpstr>Scenarios_cheapest</vt:lpstr>
      <vt:lpstr>Scenarios_emissions</vt:lpstr>
      <vt:lpstr>Ref_base_case</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2025-11-11T14:57:33Z</dcterms:modified>
</cp:coreProperties>
</file>