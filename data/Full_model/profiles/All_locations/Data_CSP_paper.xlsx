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6180" activeTab="2"/>
  </bookViews>
  <sheets>
    <sheet name="Data_base_case" sheetId="79" r:id="rId1"/>
    <sheet name="Selected_units" sheetId="82" r:id="rId2"/>
    <sheet name="Scenarios_definition" sheetId="80" r:id="rId3"/>
    <sheet name="ScenariosToRun" sheetId="100" r:id="rId4"/>
    <sheet name="ScenariosAllCSP" sheetId="101" r:id="rId5"/>
  </sheets>
  <externalReferences>
    <externalReference r:id="rId6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62913"/>
</workbook>
</file>

<file path=xl/calcChain.xml><?xml version="1.0" encoding="utf-8"?>
<calcChain xmlns="http://schemas.openxmlformats.org/spreadsheetml/2006/main">
  <c r="H6" i="80" l="1"/>
  <c r="H7" i="80"/>
  <c r="H8" i="80"/>
  <c r="H9" i="80"/>
  <c r="H10" i="80"/>
  <c r="H11" i="80"/>
  <c r="H12" i="80"/>
  <c r="H13" i="80"/>
  <c r="H14" i="80"/>
  <c r="H15" i="80"/>
  <c r="H16" i="80"/>
  <c r="H17" i="80"/>
  <c r="H18" i="80"/>
  <c r="H19" i="80"/>
  <c r="H20" i="80"/>
  <c r="H21" i="80"/>
  <c r="H22" i="80"/>
  <c r="H23" i="80"/>
  <c r="H24" i="80"/>
  <c r="H25" i="80"/>
  <c r="H26" i="80"/>
  <c r="H27" i="80"/>
  <c r="H28" i="80"/>
  <c r="H29" i="80"/>
  <c r="H30" i="80"/>
  <c r="H31" i="80"/>
  <c r="H32" i="80"/>
  <c r="H33" i="80"/>
  <c r="H34" i="80"/>
  <c r="H35" i="80"/>
  <c r="H36" i="80"/>
  <c r="H37" i="80"/>
  <c r="H38" i="80"/>
  <c r="H39" i="80"/>
  <c r="H40" i="80"/>
  <c r="H41" i="80"/>
  <c r="H42" i="80"/>
  <c r="H43" i="80"/>
  <c r="H44" i="80"/>
  <c r="H45" i="80"/>
  <c r="H46" i="80"/>
  <c r="H47" i="80"/>
  <c r="H48" i="80"/>
  <c r="H49" i="80"/>
  <c r="H50" i="80"/>
  <c r="H51" i="80"/>
  <c r="H52" i="80"/>
  <c r="H53" i="80"/>
  <c r="H54" i="80"/>
  <c r="H55" i="80"/>
  <c r="H56" i="80"/>
  <c r="H57" i="80"/>
  <c r="H58" i="80"/>
  <c r="H59" i="80"/>
  <c r="H60" i="80"/>
  <c r="H61" i="80"/>
  <c r="H62" i="80"/>
  <c r="H63" i="80"/>
  <c r="H64" i="80"/>
  <c r="H65" i="80"/>
  <c r="H66" i="80"/>
  <c r="H67" i="80"/>
  <c r="H68" i="80"/>
  <c r="H69" i="80"/>
  <c r="H70" i="80"/>
  <c r="H71" i="80"/>
  <c r="H72" i="80"/>
  <c r="H73" i="80"/>
  <c r="H74" i="80"/>
  <c r="H75" i="80"/>
  <c r="H76" i="80"/>
  <c r="H77" i="80"/>
  <c r="H78" i="80"/>
  <c r="H79" i="80"/>
  <c r="H80" i="80"/>
  <c r="H81" i="80"/>
  <c r="H82" i="80"/>
  <c r="H83" i="80"/>
  <c r="H84" i="80"/>
  <c r="H85" i="80"/>
  <c r="H86" i="80"/>
  <c r="H87" i="80"/>
  <c r="H88" i="80"/>
  <c r="H89" i="80"/>
  <c r="H90" i="80"/>
  <c r="H91" i="80"/>
  <c r="H92" i="80"/>
  <c r="H93" i="80"/>
  <c r="H94" i="80"/>
  <c r="H95" i="80"/>
  <c r="H96" i="80"/>
  <c r="H97" i="80"/>
  <c r="H98" i="80"/>
  <c r="H99" i="80"/>
  <c r="H100" i="80"/>
  <c r="H101" i="80"/>
  <c r="H102" i="80"/>
  <c r="H103" i="80"/>
  <c r="H104" i="80"/>
  <c r="H105" i="80"/>
  <c r="H106" i="80"/>
  <c r="H107" i="80"/>
  <c r="H108" i="80"/>
  <c r="N4" i="79"/>
  <c r="C23" i="101"/>
  <c r="A23" i="101"/>
  <c r="C22" i="101"/>
  <c r="A22" i="101"/>
  <c r="C21" i="101"/>
  <c r="A21" i="101"/>
  <c r="C20" i="101"/>
  <c r="A20" i="101"/>
  <c r="C19" i="101"/>
  <c r="A19" i="101"/>
  <c r="C18" i="101"/>
  <c r="A18" i="101"/>
  <c r="C17" i="101"/>
  <c r="A17" i="101"/>
  <c r="C16" i="101"/>
  <c r="A16" i="101"/>
  <c r="C15" i="101"/>
  <c r="A15" i="101"/>
  <c r="C14" i="101"/>
  <c r="A14" i="101"/>
  <c r="C13" i="101"/>
  <c r="A13" i="101"/>
  <c r="C12" i="101"/>
  <c r="A12" i="101"/>
  <c r="C11" i="101"/>
  <c r="A11" i="101"/>
  <c r="C10" i="101"/>
  <c r="A10" i="101"/>
  <c r="C9" i="101"/>
  <c r="A9" i="101"/>
  <c r="C8" i="101"/>
  <c r="A8" i="101"/>
  <c r="N5" i="79" l="1"/>
  <c r="C122" i="100" l="1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C99" i="100"/>
  <c r="A99" i="100"/>
  <c r="C98" i="100"/>
  <c r="A98" i="100"/>
  <c r="C97" i="100"/>
  <c r="A97" i="100"/>
  <c r="C96" i="100"/>
  <c r="A96" i="100"/>
  <c r="C95" i="100"/>
  <c r="A95" i="100"/>
  <c r="C94" i="100"/>
  <c r="A94" i="100"/>
  <c r="C93" i="100"/>
  <c r="A93" i="100"/>
  <c r="C92" i="100"/>
  <c r="A92" i="100"/>
  <c r="C91" i="100"/>
  <c r="A91" i="100"/>
  <c r="C90" i="100"/>
  <c r="A90" i="100"/>
  <c r="C89" i="100"/>
  <c r="A89" i="100"/>
  <c r="A88" i="100"/>
  <c r="A87" i="100"/>
  <c r="A86" i="100"/>
  <c r="A85" i="100"/>
  <c r="A84" i="100"/>
  <c r="A83" i="100"/>
  <c r="A82" i="100"/>
  <c r="A81" i="100"/>
  <c r="A80" i="100"/>
  <c r="A79" i="100"/>
  <c r="C78" i="100"/>
  <c r="A78" i="100"/>
  <c r="C77" i="100"/>
  <c r="A77" i="100"/>
  <c r="C76" i="100"/>
  <c r="A76" i="100"/>
  <c r="C75" i="100"/>
  <c r="A75" i="100"/>
  <c r="C74" i="100"/>
  <c r="A74" i="100"/>
  <c r="C73" i="100"/>
  <c r="A73" i="100"/>
  <c r="C72" i="100"/>
  <c r="A72" i="100"/>
  <c r="C71" i="100"/>
  <c r="A71" i="100"/>
  <c r="C70" i="100"/>
  <c r="A70" i="100"/>
  <c r="C69" i="100"/>
  <c r="A69" i="100"/>
  <c r="C68" i="100"/>
  <c r="A68" i="100"/>
  <c r="C67" i="100"/>
  <c r="A67" i="100"/>
  <c r="C66" i="100"/>
  <c r="A66" i="100"/>
  <c r="C65" i="100"/>
  <c r="A65" i="100"/>
  <c r="C64" i="100"/>
  <c r="A64" i="100"/>
  <c r="C63" i="100"/>
  <c r="A63" i="100"/>
  <c r="C62" i="100"/>
  <c r="A62" i="100"/>
  <c r="C61" i="100"/>
  <c r="A61" i="100"/>
  <c r="C60" i="100"/>
  <c r="A60" i="100"/>
  <c r="C59" i="100"/>
  <c r="A59" i="100"/>
  <c r="C58" i="100"/>
  <c r="A58" i="100"/>
  <c r="C57" i="100"/>
  <c r="A57" i="100"/>
  <c r="C56" i="100"/>
  <c r="A56" i="100"/>
  <c r="C55" i="100"/>
  <c r="A55" i="100"/>
  <c r="C54" i="100"/>
  <c r="A54" i="100"/>
  <c r="C53" i="100"/>
  <c r="A53" i="100"/>
  <c r="C52" i="100"/>
  <c r="A52" i="100"/>
  <c r="C51" i="100"/>
  <c r="A51" i="100"/>
  <c r="C50" i="100"/>
  <c r="A50" i="100"/>
  <c r="C49" i="100"/>
  <c r="A49" i="100"/>
  <c r="C48" i="100"/>
  <c r="A48" i="100"/>
  <c r="C47" i="100"/>
  <c r="A47" i="100"/>
  <c r="C46" i="100"/>
  <c r="A46" i="100"/>
  <c r="C45" i="100"/>
  <c r="A45" i="100"/>
  <c r="C44" i="100"/>
  <c r="A44" i="100"/>
  <c r="C43" i="100"/>
  <c r="A43" i="100"/>
  <c r="C42" i="100"/>
  <c r="A42" i="100"/>
  <c r="C41" i="100"/>
  <c r="A41" i="100"/>
  <c r="C40" i="100"/>
  <c r="A40" i="100"/>
  <c r="C39" i="100"/>
  <c r="A39" i="100"/>
  <c r="C38" i="100"/>
  <c r="A38" i="100"/>
  <c r="C37" i="100"/>
  <c r="A37" i="100"/>
  <c r="C36" i="100"/>
  <c r="A36" i="100"/>
  <c r="C35" i="100"/>
  <c r="A35" i="100"/>
  <c r="C34" i="100"/>
  <c r="A34" i="100"/>
  <c r="C33" i="100"/>
  <c r="A33" i="100"/>
  <c r="C32" i="100"/>
  <c r="A32" i="100"/>
  <c r="A31" i="100"/>
  <c r="A30" i="100"/>
  <c r="A29" i="100"/>
  <c r="A28" i="100"/>
  <c r="A27" i="100"/>
  <c r="A26" i="100"/>
  <c r="A25" i="100"/>
  <c r="A24" i="100"/>
  <c r="A23" i="100"/>
  <c r="A22" i="100"/>
  <c r="C21" i="100"/>
  <c r="A21" i="100"/>
  <c r="C20" i="100"/>
  <c r="A20" i="100"/>
  <c r="C19" i="100"/>
  <c r="A19" i="100"/>
  <c r="C18" i="100"/>
  <c r="A18" i="100"/>
  <c r="C17" i="100"/>
  <c r="A17" i="100"/>
  <c r="C16" i="100"/>
  <c r="A16" i="100"/>
  <c r="C15" i="100"/>
  <c r="A15" i="100"/>
  <c r="C14" i="100"/>
  <c r="A14" i="100"/>
  <c r="C13" i="100"/>
  <c r="A13" i="100"/>
  <c r="C12" i="100"/>
  <c r="A12" i="100"/>
  <c r="A11" i="100"/>
  <c r="A10" i="100"/>
  <c r="A9" i="100"/>
  <c r="A8" i="100"/>
  <c r="E103" i="80"/>
  <c r="E102" i="80"/>
  <c r="E101" i="80"/>
  <c r="F100" i="80"/>
  <c r="E100" i="80"/>
  <c r="F99" i="80"/>
  <c r="E99" i="80"/>
  <c r="F98" i="80"/>
  <c r="E98" i="80"/>
  <c r="F97" i="80"/>
  <c r="E97" i="80"/>
  <c r="F96" i="80"/>
  <c r="E96" i="80"/>
  <c r="F95" i="80"/>
  <c r="E95" i="80"/>
  <c r="F94" i="80"/>
  <c r="E94" i="80"/>
  <c r="F93" i="80"/>
  <c r="E93" i="80"/>
  <c r="F92" i="80"/>
  <c r="E92" i="80"/>
  <c r="F91" i="80"/>
  <c r="E91" i="80"/>
  <c r="F90" i="80"/>
  <c r="E90" i="80"/>
  <c r="E108" i="80"/>
  <c r="E107" i="80"/>
  <c r="E106" i="80"/>
  <c r="E105" i="80"/>
  <c r="E104" i="80"/>
  <c r="E89" i="80"/>
  <c r="E88" i="80"/>
  <c r="E87" i="80"/>
  <c r="E86" i="80"/>
  <c r="E85" i="80"/>
  <c r="E84" i="80"/>
  <c r="E83" i="80"/>
  <c r="E82" i="80"/>
  <c r="E81" i="80"/>
  <c r="E80" i="80"/>
  <c r="E79" i="80"/>
  <c r="E78" i="80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62" i="80"/>
  <c r="E61" i="80"/>
  <c r="E60" i="80"/>
  <c r="E59" i="80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43" i="80"/>
  <c r="E42" i="80"/>
  <c r="E41" i="80"/>
  <c r="D6" i="82"/>
  <c r="E6" i="82"/>
  <c r="F6" i="82"/>
  <c r="G6" i="82"/>
  <c r="H6" i="82"/>
  <c r="I6" i="82"/>
  <c r="J6" i="82"/>
  <c r="C6" i="82"/>
  <c r="A36" i="82"/>
  <c r="A37" i="82" s="1"/>
  <c r="A38" i="82" s="1"/>
  <c r="A39" i="82" s="1"/>
  <c r="A40" i="82" s="1"/>
  <c r="A41" i="82" s="1"/>
  <c r="B8" i="82"/>
  <c r="B9" i="82"/>
  <c r="B10" i="82"/>
  <c r="B11" i="82"/>
  <c r="B12" i="82"/>
  <c r="B13" i="82"/>
  <c r="B14" i="82"/>
  <c r="B15" i="82"/>
  <c r="B16" i="82"/>
  <c r="B17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B32" i="82"/>
  <c r="B33" i="82"/>
  <c r="B34" i="82"/>
  <c r="B35" i="82"/>
  <c r="B36" i="82"/>
  <c r="B37" i="82"/>
  <c r="B38" i="82"/>
  <c r="B39" i="82"/>
  <c r="B40" i="82"/>
  <c r="B41" i="82"/>
  <c r="V28" i="79"/>
  <c r="E28" i="79"/>
  <c r="V27" i="79"/>
  <c r="E27" i="79"/>
  <c r="V26" i="79"/>
  <c r="E26" i="79"/>
  <c r="V25" i="79"/>
  <c r="E25" i="79"/>
  <c r="E29" i="79"/>
  <c r="W22" i="79"/>
  <c r="V22" i="79"/>
  <c r="E22" i="79"/>
  <c r="W21" i="79"/>
  <c r="V21" i="79"/>
  <c r="E21" i="79"/>
  <c r="W20" i="79"/>
  <c r="V20" i="79"/>
  <c r="U20" i="79"/>
  <c r="E20" i="79"/>
  <c r="W19" i="79"/>
  <c r="V19" i="79"/>
  <c r="E19" i="79"/>
  <c r="G2" i="79" l="1"/>
  <c r="G4" i="79" s="1"/>
  <c r="H2" i="79"/>
  <c r="H4" i="79" s="1"/>
  <c r="I2" i="79"/>
  <c r="I4" i="79" s="1"/>
  <c r="J2" i="79"/>
  <c r="J4" i="79" s="1"/>
  <c r="K2" i="79"/>
  <c r="K4" i="79" s="1"/>
  <c r="L2" i="79"/>
  <c r="L4" i="79" s="1"/>
  <c r="M2" i="79"/>
  <c r="M4" i="79" s="1"/>
  <c r="O2" i="79"/>
  <c r="O4" i="79" s="1"/>
  <c r="P2" i="79"/>
  <c r="P4" i="79" s="1"/>
  <c r="Q2" i="79"/>
  <c r="Q4" i="79" s="1"/>
  <c r="R2" i="79"/>
  <c r="R4" i="79" s="1"/>
  <c r="S2" i="79"/>
  <c r="S4" i="79" s="1"/>
  <c r="T2" i="79"/>
  <c r="T4" i="79" s="1"/>
  <c r="U2" i="79"/>
  <c r="U4" i="79" s="1"/>
  <c r="V2" i="79"/>
  <c r="V4" i="79" s="1"/>
  <c r="W2" i="79"/>
  <c r="W4" i="79" s="1"/>
  <c r="X2" i="79"/>
  <c r="X4" i="79" s="1"/>
  <c r="Y2" i="79"/>
  <c r="Y4" i="79" s="1"/>
  <c r="Z2" i="79"/>
  <c r="Z4" i="79" s="1"/>
  <c r="F2" i="79"/>
  <c r="B7" i="82" l="1"/>
  <c r="A9" i="82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8" i="82"/>
  <c r="E40" i="79"/>
  <c r="E39" i="79"/>
  <c r="E38" i="79"/>
  <c r="E37" i="79"/>
  <c r="E36" i="79"/>
  <c r="V35" i="79"/>
  <c r="E35" i="79"/>
  <c r="V34" i="79"/>
  <c r="E34" i="79"/>
  <c r="V33" i="79"/>
  <c r="E33" i="79"/>
  <c r="V32" i="79"/>
  <c r="E32" i="79"/>
  <c r="V31" i="79"/>
  <c r="E31" i="79"/>
  <c r="V30" i="79"/>
  <c r="E30" i="79"/>
  <c r="E24" i="79"/>
  <c r="E23" i="79"/>
  <c r="V18" i="79"/>
  <c r="E18" i="79"/>
  <c r="E17" i="79"/>
  <c r="E16" i="79"/>
  <c r="E15" i="79"/>
  <c r="E14" i="79"/>
  <c r="E13" i="79"/>
  <c r="I12" i="79"/>
  <c r="E12" i="79"/>
  <c r="E11" i="79"/>
  <c r="I10" i="79"/>
  <c r="E10" i="79"/>
  <c r="V9" i="79"/>
  <c r="I9" i="79"/>
  <c r="E9" i="79"/>
  <c r="E8" i="79"/>
  <c r="I7" i="79"/>
  <c r="H7" i="79"/>
  <c r="E7" i="79"/>
  <c r="I6" i="79"/>
  <c r="E6" i="79"/>
  <c r="Z5" i="79"/>
  <c r="Y5" i="79"/>
  <c r="X5" i="79"/>
  <c r="W5" i="79"/>
  <c r="V5" i="79"/>
  <c r="U5" i="79"/>
  <c r="T5" i="79"/>
  <c r="S5" i="79"/>
  <c r="R5" i="79"/>
  <c r="Q5" i="79"/>
  <c r="P5" i="79"/>
  <c r="O5" i="79"/>
  <c r="M5" i="79"/>
  <c r="L5" i="79"/>
  <c r="K5" i="79"/>
  <c r="J5" i="79"/>
  <c r="I5" i="79"/>
  <c r="H5" i="79"/>
  <c r="G5" i="79"/>
  <c r="F5" i="79"/>
  <c r="F4" i="79"/>
  <c r="H5" i="80" l="1"/>
  <c r="F12" i="80"/>
  <c r="F20" i="80"/>
  <c r="F28" i="80"/>
  <c r="F36" i="80"/>
  <c r="F44" i="80"/>
  <c r="F52" i="80"/>
  <c r="F60" i="80"/>
  <c r="F68" i="80"/>
  <c r="F76" i="80"/>
  <c r="F84" i="80"/>
  <c r="F72" i="80"/>
  <c r="F13" i="80"/>
  <c r="F21" i="80"/>
  <c r="F29" i="80"/>
  <c r="F37" i="80"/>
  <c r="F45" i="80"/>
  <c r="F53" i="80"/>
  <c r="F61" i="80"/>
  <c r="F69" i="80"/>
  <c r="F77" i="80"/>
  <c r="F85" i="80"/>
  <c r="F11" i="80"/>
  <c r="F79" i="80"/>
  <c r="F64" i="80"/>
  <c r="F88" i="80"/>
  <c r="F83" i="80"/>
  <c r="F14" i="80"/>
  <c r="F22" i="80"/>
  <c r="F30" i="80"/>
  <c r="F38" i="80"/>
  <c r="F46" i="80"/>
  <c r="F54" i="80"/>
  <c r="F62" i="80"/>
  <c r="F70" i="80"/>
  <c r="F78" i="80"/>
  <c r="F86" i="80"/>
  <c r="F56" i="80"/>
  <c r="F67" i="80"/>
  <c r="F15" i="80"/>
  <c r="F23" i="80"/>
  <c r="F31" i="80"/>
  <c r="F39" i="80"/>
  <c r="F47" i="80"/>
  <c r="F55" i="80"/>
  <c r="F63" i="80"/>
  <c r="F71" i="80"/>
  <c r="F87" i="80"/>
  <c r="F80" i="80"/>
  <c r="F75" i="80"/>
  <c r="F16" i="80"/>
  <c r="F24" i="80"/>
  <c r="F32" i="80"/>
  <c r="F40" i="80"/>
  <c r="F48" i="80"/>
  <c r="F17" i="80"/>
  <c r="F25" i="80"/>
  <c r="F33" i="80"/>
  <c r="F41" i="80"/>
  <c r="F49" i="80"/>
  <c r="F57" i="80"/>
  <c r="F65" i="80"/>
  <c r="F73" i="80"/>
  <c r="F81" i="80"/>
  <c r="F89" i="80"/>
  <c r="F19" i="80"/>
  <c r="F35" i="80"/>
  <c r="F51" i="80"/>
  <c r="F59" i="80"/>
  <c r="F18" i="80"/>
  <c r="F26" i="80"/>
  <c r="F34" i="80"/>
  <c r="F42" i="80"/>
  <c r="F50" i="80"/>
  <c r="F58" i="80"/>
  <c r="F66" i="80"/>
  <c r="F74" i="80"/>
  <c r="F82" i="80"/>
  <c r="F27" i="80"/>
  <c r="F43" i="80"/>
</calcChain>
</file>

<file path=xl/sharedStrings.xml><?xml version="1.0" encoding="utf-8"?>
<sst xmlns="http://schemas.openxmlformats.org/spreadsheetml/2006/main" count="1951" uniqueCount="289">
  <si>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</si>
  <si>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</si>
  <si>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</si>
  <si>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</si>
  <si>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</si>
  <si>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</si>
  <si>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</si>
  <si>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</si>
  <si>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</si>
  <si>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</si>
  <si>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</si>
  <si>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</si>
  <si>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</si>
  <si>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O2</t>
  </si>
  <si>
    <t>Stor_in</t>
  </si>
  <si>
    <t>Stor_out</t>
  </si>
  <si>
    <t>Tank</t>
  </si>
  <si>
    <t>H2_pipeline_to_NH3_plant</t>
  </si>
  <si>
    <t>Heat_import</t>
  </si>
  <si>
    <t>Heat_export</t>
  </si>
  <si>
    <t>Power_from_the_grid</t>
  </si>
  <si>
    <t>Electricity_to_batteries</t>
  </si>
  <si>
    <t>Electricity_from_batteries</t>
  </si>
  <si>
    <t>Electricity_stored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</si>
  <si>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</si>
  <si>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</si>
  <si>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</si>
  <si>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</si>
  <si>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</si>
  <si>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</si>
  <si>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</si>
  <si>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</si>
  <si>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</si>
  <si>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</si>
  <si>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</si>
  <si>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</si>
  <si>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tracking</t>
  </si>
  <si>
    <t>Solar_tracking</t>
  </si>
  <si>
    <t>RPU_Solar_track</t>
  </si>
  <si>
    <t>SP277-HH100</t>
  </si>
  <si>
    <t>Yearly demand (kg fuel)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</si>
  <si>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</si>
  <si>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</si>
  <si>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</si>
  <si>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</si>
  <si>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</si>
  <si>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</si>
  <si>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</si>
  <si>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</si>
  <si>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NH3-AEC</t>
  </si>
  <si>
    <t>NH3-SOEC</t>
  </si>
  <si>
    <t>H2_from_AEC</t>
  </si>
  <si>
    <t>Parameter changed</t>
  </si>
  <si>
    <t>New value</t>
  </si>
  <si>
    <t>Old value</t>
  </si>
  <si>
    <t>Year--&gt;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</si>
  <si>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</si>
  <si>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</si>
  <si>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</si>
  <si>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</si>
  <si>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</si>
  <si>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</si>
  <si>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</si>
  <si>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</si>
  <si>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</si>
  <si>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</si>
  <si>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</si>
  <si>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</si>
  <si>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</si>
  <si>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</si>
  <si>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</si>
  <si>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Configuration</t>
  </si>
  <si>
    <t>Fixed heat sale</t>
  </si>
  <si>
    <t>Fixed oxygen sale</t>
  </si>
  <si>
    <t>Used (1 or 0)</t>
  </si>
  <si>
    <t>Product</t>
  </si>
  <si>
    <t>Year old value</t>
  </si>
  <si>
    <t>Year new value</t>
  </si>
  <si>
    <t>Type of units for change</t>
  </si>
  <si>
    <t>Scenario name definition</t>
  </si>
  <si>
    <t>Unit tag</t>
  </si>
  <si>
    <t>See Scenarios_definition</t>
  </si>
  <si>
    <t>Options available</t>
  </si>
  <si>
    <t>Any name</t>
  </si>
  <si>
    <t>Results to write</t>
  </si>
  <si>
    <t>Islanded</t>
  </si>
  <si>
    <t>Fuel energy content LHV (MJ/kg fuel)</t>
  </si>
  <si>
    <t>Scenario</t>
  </si>
  <si>
    <t>Scenario name</t>
  </si>
  <si>
    <t>Name of the scenario in the output csv file</t>
  </si>
  <si>
    <t>H2_to_pipe</t>
  </si>
  <si>
    <t>H2_from_pipe</t>
  </si>
  <si>
    <t>H2_stored_pipe</t>
  </si>
  <si>
    <t>Fuel produced</t>
  </si>
  <si>
    <t>Min_demand_MainFuel</t>
  </si>
  <si>
    <t>Year data</t>
  </si>
  <si>
    <t>Profile folder name</t>
  </si>
  <si>
    <t>Name of the excel file profile</t>
  </si>
  <si>
    <t>Folder name where the excel profile is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</si>
  <si>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</si>
  <si>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</si>
  <si>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</si>
  <si>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</si>
  <si>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</si>
  <si>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</si>
  <si>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Any data sheet name</t>
  </si>
  <si>
    <t>Grid_out</t>
  </si>
  <si>
    <t>Location</t>
  </si>
  <si>
    <t>Data_base_case</t>
  </si>
  <si>
    <t>NoSubset</t>
  </si>
  <si>
    <t>Curtailment</t>
  </si>
  <si>
    <t>Change are made compared to the reference scenario. "Chains" of reference scenarios doesn't work.</t>
  </si>
  <si>
    <t>O2_sell</t>
  </si>
  <si>
    <t>Heat_sell</t>
  </si>
  <si>
    <t>Reactant1</t>
  </si>
  <si>
    <t>Product/Reactant2</t>
  </si>
  <si>
    <t>Reactant3</t>
  </si>
  <si>
    <t>CSP balance</t>
  </si>
  <si>
    <t>NH3 plant + ASU - AEC</t>
  </si>
  <si>
    <t>NH3 plant + ASU - SOEC</t>
  </si>
  <si>
    <t>Desalination plant</t>
  </si>
  <si>
    <t>H2O</t>
  </si>
  <si>
    <t>Electrolyser AEC</t>
  </si>
  <si>
    <t>Electrolyser SOEC</t>
  </si>
  <si>
    <t>H2_from_SOEC</t>
  </si>
  <si>
    <t>H2 pipes compressor</t>
  </si>
  <si>
    <t>H2 pipes valve</t>
  </si>
  <si>
    <t>H2 buried pipes</t>
  </si>
  <si>
    <t>Charge TES</t>
  </si>
  <si>
    <t>Charge_TES</t>
  </si>
  <si>
    <t>Discharge TES</t>
  </si>
  <si>
    <t>Discharge_TES</t>
  </si>
  <si>
    <t>CSP+TES</t>
  </si>
  <si>
    <t>CSP + TES</t>
  </si>
  <si>
    <t>RPU_ON_SP277_HH100</t>
  </si>
  <si>
    <t>ON-SP277-HH100</t>
  </si>
  <si>
    <t>RPU_ON_SP335_HH100</t>
  </si>
  <si>
    <t>ON-SP335-HH100</t>
  </si>
  <si>
    <t>SP335-HH100</t>
  </si>
  <si>
    <t>RPU_OFF_1_SP316_HH150</t>
  </si>
  <si>
    <t>OFF-1-SP316-HH150</t>
  </si>
  <si>
    <t>SP316-HH150-v1</t>
  </si>
  <si>
    <t>RPU_OFF_1_SP370_HH150</t>
  </si>
  <si>
    <t>OFF-1-SP370-HH150</t>
  </si>
  <si>
    <t>SP370-HH150-v1</t>
  </si>
  <si>
    <t>RPU_OFF_2_SP316_HH150</t>
  </si>
  <si>
    <t>OFF-2-SP316-HH150</t>
  </si>
  <si>
    <t>SP316-HH150</t>
  </si>
  <si>
    <t>RPU_OFF_2_SP370_HH150</t>
  </si>
  <si>
    <t>OFF-2-SP370-HH150</t>
  </si>
  <si>
    <t>SP370-HH150</t>
  </si>
  <si>
    <t>Power_to_the_grid</t>
  </si>
  <si>
    <t>CSP_only</t>
  </si>
  <si>
    <t>CSP+TES-75%</t>
  </si>
  <si>
    <t>CSP+TES-60%</t>
  </si>
  <si>
    <t>CSP+TES-55%</t>
  </si>
  <si>
    <t>CSP+TES-50%</t>
  </si>
  <si>
    <t>CSP+TES-40%</t>
  </si>
  <si>
    <t>CSP+TES-30%</t>
  </si>
  <si>
    <t>CSP+TES-20%</t>
  </si>
  <si>
    <t>CSP+TES-10%</t>
  </si>
  <si>
    <t>CSP+TES+10%</t>
  </si>
  <si>
    <t>CSP+TES+20%</t>
  </si>
  <si>
    <t>CSP+TES+30%</t>
  </si>
  <si>
    <t>CSP+TES+40%</t>
  </si>
  <si>
    <t>CSP+TES+50%</t>
  </si>
  <si>
    <t>Batteries-50%</t>
  </si>
  <si>
    <t>Batteries-40%</t>
  </si>
  <si>
    <t>Batteries-30%</t>
  </si>
  <si>
    <t>Batteries-20%</t>
  </si>
  <si>
    <t>Batteries-10%</t>
  </si>
  <si>
    <t>Batteries+10%</t>
  </si>
  <si>
    <t>Batteries+20%</t>
  </si>
  <si>
    <t>Batteries+30%</t>
  </si>
  <si>
    <t>Batteries+40%</t>
  </si>
  <si>
    <t>Batteries+50%</t>
  </si>
  <si>
    <t>H2storage-50%</t>
  </si>
  <si>
    <t>H2storage-40%</t>
  </si>
  <si>
    <t>H2storage-30%</t>
  </si>
  <si>
    <t>H2storage-20%</t>
  </si>
  <si>
    <t>H2storage-10%</t>
  </si>
  <si>
    <t>H2storage+10%</t>
  </si>
  <si>
    <t>H2storage+20%</t>
  </si>
  <si>
    <t>H2storage+30%</t>
  </si>
  <si>
    <t>H2storage+40%</t>
  </si>
  <si>
    <t>H2storage+50%</t>
  </si>
  <si>
    <t>H2storage+100%</t>
  </si>
  <si>
    <t>H2storage+200%</t>
  </si>
  <si>
    <t>H2storage+300%</t>
  </si>
  <si>
    <t>AEC-50%</t>
  </si>
  <si>
    <t>AEC-40%</t>
  </si>
  <si>
    <t>AEC-30%</t>
  </si>
  <si>
    <t>AEC-20%</t>
  </si>
  <si>
    <t>AEC-10%</t>
  </si>
  <si>
    <t>AEC+10%</t>
  </si>
  <si>
    <t>AEC+20%</t>
  </si>
  <si>
    <t>AEC+30%</t>
  </si>
  <si>
    <t>AEC+40%</t>
  </si>
  <si>
    <t>AEC+50%</t>
  </si>
  <si>
    <t>AEC+100%</t>
  </si>
  <si>
    <t>AEC+150%</t>
  </si>
  <si>
    <t>AEC+200%</t>
  </si>
  <si>
    <t>MinLoadNH3_10%</t>
  </si>
  <si>
    <t>MinLoadNH3_60%</t>
  </si>
  <si>
    <t>MinLoadNH3_80%</t>
  </si>
  <si>
    <t>MinLoadNH3_100%</t>
  </si>
  <si>
    <t>RPU_CSP_ST50</t>
  </si>
  <si>
    <t>CSP Plant tower 50 MW</t>
  </si>
  <si>
    <t>CSP_Tower_50</t>
  </si>
  <si>
    <t>RPU_CSP_ST100</t>
  </si>
  <si>
    <t>CSP Plant tower 100 MW</t>
  </si>
  <si>
    <t>CSP_Tower_100</t>
  </si>
  <si>
    <t>RPU_CSP_PT50</t>
  </si>
  <si>
    <t>CSP Plant parabolic 50 MW</t>
  </si>
  <si>
    <t>CSP_Parabolic_50</t>
  </si>
  <si>
    <t>RPU_CSP_PT100</t>
  </si>
  <si>
    <t>CSP Plant parabolic 100 MW</t>
  </si>
  <si>
    <t>CSP_Parabolic_100</t>
  </si>
  <si>
    <t>TES ST 50 MW</t>
  </si>
  <si>
    <t>TES ST 50MW</t>
  </si>
  <si>
    <t>TES ST 100 MW</t>
  </si>
  <si>
    <t>TES ST 100MW</t>
  </si>
  <si>
    <t xml:space="preserve"> TES PT 50 MW</t>
  </si>
  <si>
    <t>TES PT 50 MW</t>
  </si>
  <si>
    <t>TES PT 100 MW</t>
  </si>
  <si>
    <t>TES PT 100MW</t>
  </si>
  <si>
    <t>CSP technology</t>
  </si>
  <si>
    <t>Tower50</t>
  </si>
  <si>
    <t>Tower100</t>
  </si>
  <si>
    <t>Parabolic50</t>
  </si>
  <si>
    <t>Parabolic100</t>
  </si>
  <si>
    <t>CSP+TES-85%</t>
  </si>
  <si>
    <t>CSP+TES-80%</t>
  </si>
  <si>
    <t>MinLoadNH3_0%</t>
  </si>
  <si>
    <t>CSP_VarOM-5.5</t>
  </si>
  <si>
    <t>CSP_VarOM-5</t>
  </si>
  <si>
    <t>CSP_VarOM-4.5</t>
  </si>
  <si>
    <t>CSP_VarOM-4</t>
  </si>
  <si>
    <t>CSP_VarOM-3.5</t>
  </si>
  <si>
    <t>CSP_VarOM-3</t>
  </si>
  <si>
    <t>CSP_VarOM-2.5</t>
  </si>
  <si>
    <t>CSP_VarOM-2</t>
  </si>
  <si>
    <t>CSP_VarOM-1.5</t>
  </si>
  <si>
    <t>CSP_VarOM-1</t>
  </si>
  <si>
    <t>CSP_VarOM-0</t>
  </si>
  <si>
    <t>NoH2storage</t>
  </si>
  <si>
    <t>CSP tech</t>
  </si>
  <si>
    <t>All_options</t>
  </si>
  <si>
    <t>Antofagasta</t>
  </si>
  <si>
    <t>CSP+TES-50%NoH2stor</t>
  </si>
  <si>
    <t>CSP+TES-40%NoH2stor</t>
  </si>
  <si>
    <t>CSP+TES-30%NoH2stor</t>
  </si>
  <si>
    <t>CSP+TES-20%NoH2stor</t>
  </si>
  <si>
    <t>CSP+TES-10%NoH2stor</t>
  </si>
  <si>
    <t>CSP+TES-55%NoH2stor</t>
  </si>
  <si>
    <t>CSP+TES-60%NoH2stor</t>
  </si>
  <si>
    <t>CSP+TES-75%NoH2stor</t>
  </si>
  <si>
    <t>CSP+TES-80%NoH2stor</t>
  </si>
  <si>
    <t>CSP+TES-85%NoH2stor</t>
  </si>
  <si>
    <t>CSP+TES-50%NoH2stor_NH3flex</t>
  </si>
  <si>
    <t>CSP+TES-40%NoH2stor_NH3flex</t>
  </si>
  <si>
    <t>CSP+TES-30%NoH2stor_NH3flex</t>
  </si>
  <si>
    <t>CSP+TES-20%NoH2stor_NH3flex</t>
  </si>
  <si>
    <t>CSP+TES-10%NoH2stor_NH3flex</t>
  </si>
  <si>
    <t>CSP+TES-55%NoH2stor_NH3flex</t>
  </si>
  <si>
    <t>CSP+TES-60%NoH2stor_NH3flex</t>
  </si>
  <si>
    <t>CSP+TES-75%NoH2stor_NH3flex</t>
  </si>
  <si>
    <t>CSP+TES-80%NoH2stor_NH3flex</t>
  </si>
  <si>
    <t>CSP+TES-85%NoH2stor_NH3flex</t>
  </si>
  <si>
    <t>NoH2storage_NH3flex</t>
  </si>
  <si>
    <t>CSP+TES-50%NoH2stor_NH3flex10</t>
  </si>
  <si>
    <t>CSP+TES-40%NoH2stor_NH3flex10</t>
  </si>
  <si>
    <t>CSP+TES-30%NoH2stor_NH3flex10</t>
  </si>
  <si>
    <t>CSP+TES-20%NoH2stor_NH3flex10</t>
  </si>
  <si>
    <t>CSP+TES-10%NoH2stor_NH3flex10</t>
  </si>
  <si>
    <t>CSP+TES-55%NoH2stor_NH3flex10</t>
  </si>
  <si>
    <t>CSP+TES-60%NoH2stor_NH3flex10</t>
  </si>
  <si>
    <t>CSP+TES-75%NoH2stor_NH3flex10</t>
  </si>
  <si>
    <t>CSP+TES-80%NoH2stor_NH3flex10</t>
  </si>
  <si>
    <t>CSP+TES-85%NoH2stor_NH3flex10</t>
  </si>
  <si>
    <t>NoH2storage_NH3flex10</t>
  </si>
  <si>
    <t>Antofagasta_2020</t>
  </si>
  <si>
    <t>Results_main_CSPstudy</t>
  </si>
  <si>
    <t>Variable cost (EUR/output)</t>
  </si>
  <si>
    <t>Any data sheet</t>
  </si>
  <si>
    <t>Location_year</t>
  </si>
  <si>
    <t>Year</t>
  </si>
  <si>
    <t>Results_main_pre-run</t>
  </si>
  <si>
    <t>Variable cost (EUR/Output)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</si>
</sst>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1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9" fontId="1" fillId="0" borderId="0" xfId="1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2" borderId="0" xfId="0" applyFont="1" applyFill="1"/>
    <xf numFmtId="0" fontId="6" fillId="0" borderId="0" xfId="0" applyFont="1" applyAlignment="1">
      <alignment vertical="center" wrapText="1"/>
    </xf>
    <xf numFmtId="0" fontId="2" fillId="0" borderId="1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0" fillId="4" borderId="0" xfId="0" applyFill="1"/>
    <xf numFmtId="0" fontId="1" fillId="0" borderId="0" xfId="1" applyNumberFormat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Fill="1" applyAlignment="1">
      <alignment horizontal="center"/>
    </xf>
    <xf numFmtId="0" fontId="0" fillId="0" borderId="0" xfId="0" applyFill="1"/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9" fontId="1" fillId="5" borderId="0" xfId="1" applyFont="1" applyFill="1"/>
    <xf numFmtId="0" fontId="1" fillId="5" borderId="0" xfId="1" applyNumberFormat="1" applyFont="1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9" fontId="1" fillId="6" borderId="0" xfId="1" applyFont="1" applyFill="1"/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9" fontId="1" fillId="4" borderId="0" xfId="1" applyFont="1" applyFill="1"/>
    <xf numFmtId="0" fontId="1" fillId="4" borderId="0" xfId="1" applyNumberFormat="1" applyFont="1" applyFill="1"/>
    <xf numFmtId="0" fontId="1" fillId="4" borderId="0" xfId="1" quotePrefix="1" applyNumberFormat="1" applyFont="1" applyFill="1"/>
    <xf numFmtId="0" fontId="0" fillId="2" borderId="3" xfId="0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3" xfId="0" applyFont="1" applyFill="1" applyBorder="1"/>
    <xf numFmtId="0" fontId="4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9" fontId="1" fillId="5" borderId="3" xfId="1" applyFont="1" applyFill="1" applyBorder="1"/>
    <xf numFmtId="0" fontId="0" fillId="0" borderId="0" xfId="0" applyFill="1" applyAlignment="1">
      <alignment horizontal="center"/>
    </xf>
    <xf numFmtId="9" fontId="1" fillId="0" borderId="0" xfId="1" applyFont="1" applyFill="1"/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6" borderId="0" xfId="0" applyNumberFormat="1" applyFill="1"/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6" borderId="0" xfId="0" applyFont="1" applyFill="1" applyAlignment="1">
      <alignment horizontal="right"/>
    </xf>
    <xf numFmtId="164" fontId="0" fillId="6" borderId="0" xfId="0" applyNumberFormat="1" applyFont="1" applyFill="1"/>
    <xf numFmtId="166" fontId="0" fillId="0" borderId="0" xfId="0" applyNumberFormat="1"/>
    <xf numFmtId="0" fontId="3" fillId="9" borderId="0" xfId="0" applyFont="1" applyFill="1"/>
    <xf numFmtId="0" fontId="4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right"/>
    </xf>
    <xf numFmtId="9" fontId="1" fillId="9" borderId="0" xfId="1" applyFont="1" applyFill="1"/>
    <xf numFmtId="166" fontId="0" fillId="9" borderId="0" xfId="0" applyNumberFormat="1" applyFill="1"/>
    <xf numFmtId="164" fontId="0" fillId="9" borderId="0" xfId="0" applyNumberFormat="1" applyFill="1"/>
    <xf numFmtId="0" fontId="3" fillId="10" borderId="0" xfId="0" applyFont="1" applyFill="1"/>
    <xf numFmtId="0" fontId="4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ont="1" applyFill="1" applyAlignment="1">
      <alignment horizontal="right"/>
    </xf>
    <xf numFmtId="9" fontId="1" fillId="10" borderId="0" xfId="1" applyFont="1" applyFill="1"/>
    <xf numFmtId="164" fontId="0" fillId="10" borderId="0" xfId="0" applyNumberFormat="1" applyFont="1" applyFill="1"/>
    <xf numFmtId="164" fontId="1" fillId="0" borderId="0" xfId="1" applyNumberFormat="1" applyFont="1"/>
    <xf numFmtId="164" fontId="0" fillId="4" borderId="0" xfId="0" applyNumberFormat="1" applyFill="1"/>
    <xf numFmtId="164" fontId="1" fillId="4" borderId="0" xfId="1" applyNumberFormat="1" applyFont="1" applyFill="1"/>
    <xf numFmtId="164" fontId="0" fillId="5" borderId="0" xfId="0" applyNumberFormat="1" applyFill="1"/>
    <xf numFmtId="9" fontId="2" fillId="5" borderId="3" xfId="1" applyFont="1" applyFill="1" applyBorder="1"/>
    <xf numFmtId="2" fontId="0" fillId="5" borderId="3" xfId="0" applyNumberFormat="1" applyFill="1" applyBorder="1"/>
    <xf numFmtId="164" fontId="0" fillId="5" borderId="3" xfId="0" applyNumberFormat="1" applyFill="1" applyBorder="1"/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horizontal="center"/>
    </xf>
    <xf numFmtId="164" fontId="0" fillId="0" borderId="0" xfId="0" applyNumberFormat="1" applyFill="1"/>
    <xf numFmtId="0" fontId="0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5" fontId="0" fillId="0" borderId="0" xfId="0" applyNumberFormat="1" applyFill="1"/>
    <xf numFmtId="0" fontId="3" fillId="0" borderId="0" xfId="0" applyFont="1" applyFill="1" applyAlignment="1">
      <alignment horizontal="center"/>
    </xf>
    <xf numFmtId="0" fontId="0" fillId="11" borderId="0" xfId="0" applyFill="1"/>
    <xf numFmtId="0" fontId="3" fillId="0" borderId="0" xfId="0" applyFont="1" applyFill="1"/>
    <xf numFmtId="0" fontId="0" fillId="0" borderId="0" xfId="0" applyFont="1"/>
    <xf numFmtId="0" fontId="2" fillId="0" borderId="0" xfId="0" applyFont="1" applyAlignment="1">
      <alignment horizontal="right"/>
    </xf>
    <xf numFmtId="0" fontId="9" fillId="0" borderId="0" xfId="0" applyFont="1" applyFill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Border="1"/>
    <xf numFmtId="0" fontId="0" fillId="0" borderId="0" xfId="0"/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3" borderId="0" xfId="0" applyFont="1" applyFill="1"/>
    <xf numFmtId="0" fontId="0" fillId="4" borderId="0" xfId="0" applyFill="1"/>
    <xf numFmtId="0" fontId="5" fillId="0" borderId="2" xfId="0" applyFont="1" applyBorder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5" borderId="3" xfId="0" applyFill="1" applyBorder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/>
    <xf numFmtId="0" fontId="5" fillId="0" borderId="0" xfId="0" applyFont="1" applyBorder="1" applyAlignment="1">
      <alignment horizont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9" fillId="0" borderId="0" xfId="0" applyFont="1" applyAlignment="1">
      <alignment vertical="center" wrapText="1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</cellXfs>
  <cellStyles count="2">
    <cellStyle name="Normal" xfId="0" builtinId="0"/>
    <cellStyle name="Percent" xfId="1" builtinId="5"/>
  </cellStyles>
  <dxfs count="80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40"/>
  <sheetViews>
    <sheetView zoomScaleNormal="100" workbookViewId="0">
      <pane xSplit="5" ySplit="5" topLeftCell="U6" activePane="bottomRight" state="frozen"/>
      <selection pane="topRight" activeCell="F1" sqref="F1"/>
      <selection pane="bottomLeft" activeCell="A12" sqref="A12"/>
      <selection pane="bottomRight" activeCell="D13" sqref="D13"/>
    </sheetView>
  </sheetViews>
  <sheetFormatPr defaultRowHeight="14.5" x14ac:dyDescent="0.35"/>
  <cols>
    <col min="1" max="1" width="5.1796875" customWidth="1"/>
    <col min="2" max="2" width="25.26953125" style="4" customWidth="1"/>
    <col min="3" max="3" width="20.6328125" style="5" customWidth="1"/>
    <col min="4" max="4" width="25.54296875" style="77" customWidth="1"/>
    <col min="5" max="5" width="18.1796875" style="9" bestFit="1" customWidth="1"/>
    <col min="6" max="6" width="14.26953125" style="77" customWidth="1"/>
    <col min="7" max="7" width="29.7265625" style="77" customWidth="1"/>
    <col min="8" max="8" width="21.453125" customWidth="1"/>
    <col min="9" max="9" width="20.26953125" customWidth="1"/>
    <col min="10" max="10" width="9.54296875" customWidth="1"/>
    <col min="11" max="11" width="11.81640625" customWidth="1"/>
    <col min="12" max="14" width="10.1796875" customWidth="1"/>
    <col min="15" max="15" width="35.81640625" customWidth="1"/>
    <col min="16" max="16" width="31.81640625" customWidth="1"/>
    <col min="17" max="17" width="25.81640625" customWidth="1"/>
    <col min="18" max="18" width="23.54296875" customWidth="1"/>
    <col min="19" max="19" width="27.7265625" customWidth="1"/>
    <col min="20" max="20" width="32" customWidth="1"/>
    <col min="21" max="21" width="31.1796875" bestFit="1" customWidth="1"/>
    <col min="22" max="22" width="29.54296875" customWidth="1"/>
    <col min="23" max="23" width="22.1796875" customWidth="1"/>
    <col min="24" max="24" width="25.54296875" customWidth="1"/>
    <col min="25" max="25" width="25.26953125" customWidth="1"/>
    <col min="26" max="26" width="15.453125" customWidth="1"/>
    <col min="27" max="27" width="13.453125" customWidth="1"/>
  </cols>
  <sheetData>
    <row r="1" spans="1:26" ht="16" customHeight="1" x14ac:dyDescent="0.35">
      <c r="A1" s="75" t="s">
        <v>0</v>
      </c>
      <c r="B1" s="72"/>
      <c r="C1" s="72"/>
      <c r="D1" s="81"/>
      <c r="E1" s="2"/>
      <c r="F1" s="82" t="s">
        <v>74</v>
      </c>
      <c r="G1" s="82" t="s">
        <v>80</v>
      </c>
      <c r="H1" s="6" t="s">
        <v>40</v>
      </c>
      <c r="I1" s="6" t="s">
        <v>2</v>
      </c>
      <c r="J1" s="6" t="s">
        <v>4</v>
      </c>
      <c r="K1" s="6" t="s">
        <v>5</v>
      </c>
      <c r="L1" s="23" t="s">
        <v>3</v>
      </c>
      <c r="M1" s="23" t="s">
        <v>117</v>
      </c>
      <c r="N1" s="137" t="s">
        <v>6</v>
      </c>
      <c r="O1" s="23" t="s">
        <v>41</v>
      </c>
      <c r="P1" s="23" t="s">
        <v>42</v>
      </c>
      <c r="Q1" s="23" t="s">
        <v>43</v>
      </c>
      <c r="R1" s="23" t="s">
        <v>44</v>
      </c>
      <c r="S1" s="23" t="s">
        <v>45</v>
      </c>
      <c r="T1" s="23" t="s">
        <v>46</v>
      </c>
      <c r="U1" s="23" t="s">
        <v>99</v>
      </c>
      <c r="V1" s="23" t="s">
        <v>100</v>
      </c>
      <c r="W1" s="23" t="s">
        <v>283</v>
      </c>
      <c r="X1" s="23" t="s">
        <v>101</v>
      </c>
      <c r="Y1" s="23" t="s">
        <v>102</v>
      </c>
      <c r="Z1" s="23" t="s">
        <v>47</v>
      </c>
    </row>
    <row r="2" spans="1:26" s="6" customFormat="1" ht="15" customHeight="1" x14ac:dyDescent="0.35">
      <c r="B2" s="144" t="s">
        <v>7</v>
      </c>
      <c r="C2" s="145" t="s">
        <v>8</v>
      </c>
      <c r="D2" s="144" t="s">
        <v>9</v>
      </c>
      <c r="E2" s="23" t="s">
        <v>1</v>
      </c>
      <c r="F2" s="18" t="str">
        <f>F1</f>
        <v>Used (1 or 0)</v>
      </c>
      <c r="G2" s="18" t="str">
        <f t="shared" ref="G2:Z2" si="0">G1</f>
        <v>Unit tag</v>
      </c>
      <c r="H2" s="18" t="str">
        <f t="shared" si="0"/>
        <v>Yearly demand (kg fuel)</v>
      </c>
      <c r="I2" s="18" t="str">
        <f t="shared" si="0"/>
        <v>Produced from</v>
      </c>
      <c r="J2" s="18" t="str">
        <f t="shared" si="0"/>
        <v>El balance</v>
      </c>
      <c r="K2" s="18" t="str">
        <f t="shared" si="0"/>
        <v>Heat balance</v>
      </c>
      <c r="L2" s="18" t="str">
        <f t="shared" si="0"/>
        <v>H2 balance</v>
      </c>
      <c r="M2" s="18" t="str">
        <f t="shared" si="0"/>
        <v>CSP balance</v>
      </c>
      <c r="N2" s="135" t="s">
        <v>6</v>
      </c>
      <c r="O2" s="18" t="str">
        <f t="shared" si="0"/>
        <v>Fuel production rate (kg output/kg input)</v>
      </c>
      <c r="P2" s="18" t="str">
        <f t="shared" si="0"/>
        <v>Heat generated (kWh/output)</v>
      </c>
      <c r="Q2" s="18" t="str">
        <f t="shared" si="0"/>
        <v>Load min (% of max capacity)</v>
      </c>
      <c r="R2" s="18" t="str">
        <f t="shared" si="0"/>
        <v>Ramp up (% of capacity /h)</v>
      </c>
      <c r="S2" s="18" t="str">
        <f t="shared" si="0"/>
        <v>Ramp down (% of capacity /h)</v>
      </c>
      <c r="T2" s="18" t="str">
        <f t="shared" si="0"/>
        <v>Electrical consumption (kWh/output)</v>
      </c>
      <c r="U2" s="18" t="str">
        <f t="shared" si="0"/>
        <v>Investment (EUR/Capacity installed)</v>
      </c>
      <c r="V2" s="18" t="str">
        <f t="shared" si="0"/>
        <v>Fixed cost (EUR/Capacity installed/y)</v>
      </c>
      <c r="W2" s="18" t="str">
        <f t="shared" si="0"/>
        <v>Variable cost (EUR/output)</v>
      </c>
      <c r="X2" s="18" t="str">
        <f t="shared" si="0"/>
        <v>Fuel selling price (EUR/output)</v>
      </c>
      <c r="Y2" s="18" t="str">
        <f t="shared" si="0"/>
        <v>Fuel buying price (EUR/output)</v>
      </c>
      <c r="Z2" s="18" t="str">
        <f t="shared" si="0"/>
        <v>Annuity factor</v>
      </c>
    </row>
    <row r="3" spans="1:26" s="6" customFormat="1" x14ac:dyDescent="0.35">
      <c r="B3" s="144"/>
      <c r="C3" s="145"/>
      <c r="D3" s="144"/>
      <c r="E3" s="23" t="s">
        <v>55</v>
      </c>
      <c r="F3" s="15">
        <v>2020</v>
      </c>
      <c r="G3" s="15">
        <v>2020</v>
      </c>
      <c r="H3" s="15">
        <v>2020</v>
      </c>
      <c r="I3" s="15">
        <v>2020</v>
      </c>
      <c r="J3" s="15">
        <v>2020</v>
      </c>
      <c r="K3" s="15">
        <v>2020</v>
      </c>
      <c r="L3" s="15">
        <v>2020</v>
      </c>
      <c r="M3" s="15">
        <v>2020</v>
      </c>
      <c r="N3" s="134">
        <v>2020</v>
      </c>
      <c r="O3" s="15">
        <v>2020</v>
      </c>
      <c r="P3" s="15">
        <v>2020</v>
      </c>
      <c r="Q3" s="15">
        <v>2020</v>
      </c>
      <c r="R3" s="15">
        <v>2020</v>
      </c>
      <c r="S3" s="15">
        <v>2020</v>
      </c>
      <c r="T3" s="15">
        <v>2020</v>
      </c>
      <c r="U3" s="15">
        <v>2020</v>
      </c>
      <c r="V3" s="15">
        <v>2020</v>
      </c>
      <c r="W3" s="15">
        <v>2020</v>
      </c>
      <c r="X3" s="15">
        <v>2020</v>
      </c>
      <c r="Y3" s="15">
        <v>2020</v>
      </c>
      <c r="Z3" s="15">
        <v>2020</v>
      </c>
    </row>
    <row r="4" spans="1:26" s="6" customFormat="1" ht="13" customHeight="1" x14ac:dyDescent="0.35">
      <c r="B4" s="144"/>
      <c r="C4" s="145"/>
      <c r="D4" s="144"/>
      <c r="E4" s="23"/>
      <c r="F4" s="15" t="str">
        <f>F2&amp;F3</f>
        <v>Used (1 or 0)2020</v>
      </c>
      <c r="G4" s="134" t="str">
        <f t="shared" ref="G4:Z4" si="1">G2&amp;G3</f>
        <v>Unit tag2020</v>
      </c>
      <c r="H4" s="134" t="str">
        <f t="shared" si="1"/>
        <v>Yearly demand (kg fuel)2020</v>
      </c>
      <c r="I4" s="134" t="str">
        <f t="shared" si="1"/>
        <v>Produced from2020</v>
      </c>
      <c r="J4" s="134" t="str">
        <f t="shared" si="1"/>
        <v>El balance2020</v>
      </c>
      <c r="K4" s="134" t="str">
        <f t="shared" si="1"/>
        <v>Heat balance2020</v>
      </c>
      <c r="L4" s="134" t="str">
        <f t="shared" si="1"/>
        <v>H2 balance2020</v>
      </c>
      <c r="M4" s="134" t="str">
        <f t="shared" si="1"/>
        <v>CSP balance2020</v>
      </c>
      <c r="N4" s="134" t="str">
        <f t="shared" si="1"/>
        <v>Max Capacity2020</v>
      </c>
      <c r="O4" s="134" t="str">
        <f t="shared" si="1"/>
        <v>Fuel production rate (kg output/kg input)2020</v>
      </c>
      <c r="P4" s="134" t="str">
        <f t="shared" si="1"/>
        <v>Heat generated (kWh/output)2020</v>
      </c>
      <c r="Q4" s="134" t="str">
        <f t="shared" si="1"/>
        <v>Load min (% of max capacity)2020</v>
      </c>
      <c r="R4" s="134" t="str">
        <f t="shared" si="1"/>
        <v>Ramp up (% of capacity /h)2020</v>
      </c>
      <c r="S4" s="134" t="str">
        <f t="shared" si="1"/>
        <v>Ramp down (% of capacity /h)2020</v>
      </c>
      <c r="T4" s="134" t="str">
        <f t="shared" si="1"/>
        <v>Electrical consumption (kWh/output)2020</v>
      </c>
      <c r="U4" s="134" t="str">
        <f t="shared" si="1"/>
        <v>Investment (EUR/Capacity installed)2020</v>
      </c>
      <c r="V4" s="134" t="str">
        <f t="shared" si="1"/>
        <v>Fixed cost (EUR/Capacity installed/y)2020</v>
      </c>
      <c r="W4" s="134" t="str">
        <f t="shared" si="1"/>
        <v>Variable cost (EUR/output)2020</v>
      </c>
      <c r="X4" s="134" t="str">
        <f t="shared" si="1"/>
        <v>Fuel selling price (EUR/output)2020</v>
      </c>
      <c r="Y4" s="134" t="str">
        <f t="shared" si="1"/>
        <v>Fuel buying price (EUR/output)2020</v>
      </c>
      <c r="Z4" s="134" t="str">
        <f t="shared" si="1"/>
        <v>Annuity factor2020</v>
      </c>
    </row>
    <row r="5" spans="1:26" s="8" customFormat="1" x14ac:dyDescent="0.35">
      <c r="B5" s="144"/>
      <c r="C5" s="145"/>
      <c r="D5" s="144"/>
      <c r="E5" s="76" t="s">
        <v>10</v>
      </c>
      <c r="F5" s="8">
        <f t="shared" ref="F5:Z5" si="2">COLUMN(F2)-COLUMN($E$5)</f>
        <v>1</v>
      </c>
      <c r="G5" s="8">
        <f t="shared" si="2"/>
        <v>2</v>
      </c>
      <c r="H5" s="8">
        <f t="shared" si="2"/>
        <v>3</v>
      </c>
      <c r="I5" s="8">
        <f t="shared" si="2"/>
        <v>4</v>
      </c>
      <c r="J5" s="8">
        <f t="shared" si="2"/>
        <v>5</v>
      </c>
      <c r="K5" s="8">
        <f t="shared" si="2"/>
        <v>6</v>
      </c>
      <c r="L5" s="8">
        <f t="shared" si="2"/>
        <v>7</v>
      </c>
      <c r="M5" s="8">
        <f t="shared" si="2"/>
        <v>8</v>
      </c>
      <c r="N5" s="133">
        <f t="shared" si="2"/>
        <v>9</v>
      </c>
      <c r="O5" s="8">
        <f t="shared" si="2"/>
        <v>10</v>
      </c>
      <c r="P5" s="8">
        <f t="shared" si="2"/>
        <v>11</v>
      </c>
      <c r="Q5" s="8">
        <f t="shared" si="2"/>
        <v>12</v>
      </c>
      <c r="R5" s="8">
        <f t="shared" si="2"/>
        <v>13</v>
      </c>
      <c r="S5" s="8">
        <f t="shared" si="2"/>
        <v>14</v>
      </c>
      <c r="T5" s="8">
        <f t="shared" si="2"/>
        <v>15</v>
      </c>
      <c r="U5" s="8">
        <f t="shared" si="2"/>
        <v>16</v>
      </c>
      <c r="V5" s="8">
        <f t="shared" si="2"/>
        <v>17</v>
      </c>
      <c r="W5" s="8">
        <f t="shared" si="2"/>
        <v>18</v>
      </c>
      <c r="X5" s="8">
        <f t="shared" si="2"/>
        <v>19</v>
      </c>
      <c r="Y5" s="8">
        <f t="shared" si="2"/>
        <v>20</v>
      </c>
      <c r="Z5" s="8">
        <f t="shared" si="2"/>
        <v>21</v>
      </c>
    </row>
    <row r="6" spans="1:26" s="53" customFormat="1" ht="14.5" customHeight="1" x14ac:dyDescent="0.35">
      <c r="A6" s="146" t="s">
        <v>11</v>
      </c>
      <c r="B6" s="48" t="s">
        <v>75</v>
      </c>
      <c r="C6" s="49" t="s">
        <v>94</v>
      </c>
      <c r="D6" s="50" t="s">
        <v>118</v>
      </c>
      <c r="E6" s="9">
        <f t="shared" ref="E6:E40" si="3">ROW(D6)-ROW($E$5)</f>
        <v>1</v>
      </c>
      <c r="F6" s="51">
        <v>1</v>
      </c>
      <c r="G6" s="51" t="s">
        <v>49</v>
      </c>
      <c r="H6" s="53">
        <v>1000000000</v>
      </c>
      <c r="I6" s="52" t="str">
        <f>B11</f>
        <v>Reactant3</v>
      </c>
      <c r="J6" s="53">
        <v>0</v>
      </c>
      <c r="K6" s="53">
        <v>1</v>
      </c>
      <c r="L6" s="53">
        <v>0</v>
      </c>
      <c r="M6" s="53">
        <v>0</v>
      </c>
      <c r="N6" s="140">
        <v>20000</v>
      </c>
      <c r="O6" s="53">
        <v>5.5533333333333301</v>
      </c>
      <c r="P6" s="53">
        <v>0</v>
      </c>
      <c r="Q6" s="54">
        <v>0.4</v>
      </c>
      <c r="R6" s="54">
        <v>0.2</v>
      </c>
      <c r="S6" s="54">
        <v>0.2</v>
      </c>
      <c r="T6" s="53">
        <v>0.38</v>
      </c>
      <c r="U6" s="53">
        <v>4192</v>
      </c>
      <c r="V6" s="53">
        <v>436</v>
      </c>
      <c r="W6" s="53">
        <v>0</v>
      </c>
      <c r="X6" s="53">
        <v>0</v>
      </c>
      <c r="Y6" s="53">
        <v>0</v>
      </c>
      <c r="Z6" s="83">
        <v>8.5810517220665614E-2</v>
      </c>
    </row>
    <row r="7" spans="1:26" s="85" customFormat="1" x14ac:dyDescent="0.35">
      <c r="A7" s="146"/>
      <c r="B7" s="48" t="s">
        <v>75</v>
      </c>
      <c r="C7" s="49" t="s">
        <v>94</v>
      </c>
      <c r="D7" s="50" t="s">
        <v>119</v>
      </c>
      <c r="E7" s="9">
        <f t="shared" si="3"/>
        <v>2</v>
      </c>
      <c r="F7" s="84">
        <v>1</v>
      </c>
      <c r="G7" s="84" t="s">
        <v>50</v>
      </c>
      <c r="H7" s="85">
        <f>H6</f>
        <v>1000000000</v>
      </c>
      <c r="I7" s="86" t="str">
        <f>B11</f>
        <v>Reactant3</v>
      </c>
      <c r="J7" s="85">
        <v>0</v>
      </c>
      <c r="K7" s="85">
        <v>1</v>
      </c>
      <c r="L7" s="85">
        <v>0</v>
      </c>
      <c r="M7" s="85">
        <v>0</v>
      </c>
      <c r="N7" s="140">
        <v>20000</v>
      </c>
      <c r="O7" s="85">
        <v>5.5533333333333301</v>
      </c>
      <c r="P7" s="85">
        <v>0</v>
      </c>
      <c r="Q7" s="54">
        <v>0.4</v>
      </c>
      <c r="R7" s="54">
        <v>0.2</v>
      </c>
      <c r="S7" s="54">
        <v>0.2</v>
      </c>
      <c r="T7" s="85">
        <v>0.83</v>
      </c>
      <c r="U7" s="85">
        <v>4192</v>
      </c>
      <c r="V7" s="85">
        <v>828</v>
      </c>
      <c r="W7" s="85">
        <v>0</v>
      </c>
      <c r="X7" s="85">
        <v>0</v>
      </c>
      <c r="Y7" s="85">
        <v>0</v>
      </c>
      <c r="Z7" s="87">
        <v>8.5810517220665614E-2</v>
      </c>
    </row>
    <row r="8" spans="1:26" x14ac:dyDescent="0.35">
      <c r="A8" s="146"/>
      <c r="B8" s="19" t="s">
        <v>114</v>
      </c>
      <c r="C8" s="11" t="s">
        <v>109</v>
      </c>
      <c r="D8" s="77" t="s">
        <v>120</v>
      </c>
      <c r="E8" s="9">
        <f t="shared" si="3"/>
        <v>3</v>
      </c>
      <c r="F8" s="2">
        <v>1</v>
      </c>
      <c r="G8" s="2" t="s">
        <v>121</v>
      </c>
      <c r="H8">
        <v>0</v>
      </c>
      <c r="I8" t="s">
        <v>12</v>
      </c>
      <c r="J8">
        <v>0</v>
      </c>
      <c r="K8">
        <v>0</v>
      </c>
      <c r="L8">
        <v>0</v>
      </c>
      <c r="M8">
        <v>0</v>
      </c>
      <c r="N8" s="132">
        <v>400000</v>
      </c>
      <c r="O8">
        <v>0</v>
      </c>
      <c r="P8">
        <v>0</v>
      </c>
      <c r="Q8" s="13">
        <v>0</v>
      </c>
      <c r="R8" s="13">
        <v>1</v>
      </c>
      <c r="S8" s="13">
        <v>1</v>
      </c>
      <c r="T8">
        <v>4.0000000000000001E-3</v>
      </c>
      <c r="U8" s="88">
        <v>26.145191534958482</v>
      </c>
      <c r="V8">
        <v>0</v>
      </c>
      <c r="W8">
        <v>2.5895169211536745E-4</v>
      </c>
      <c r="X8">
        <v>0</v>
      </c>
      <c r="Y8">
        <v>0</v>
      </c>
      <c r="Z8" s="83">
        <v>9.4392925743255696E-2</v>
      </c>
    </row>
    <row r="9" spans="1:26" s="93" customFormat="1" x14ac:dyDescent="0.35">
      <c r="A9" s="146"/>
      <c r="B9" s="89" t="s">
        <v>115</v>
      </c>
      <c r="C9" s="90" t="s">
        <v>109</v>
      </c>
      <c r="D9" s="91" t="s">
        <v>122</v>
      </c>
      <c r="E9" s="9">
        <f t="shared" si="3"/>
        <v>4</v>
      </c>
      <c r="F9" s="92">
        <v>1</v>
      </c>
      <c r="G9" s="92" t="s">
        <v>51</v>
      </c>
      <c r="H9" s="93">
        <v>0</v>
      </c>
      <c r="I9" s="94" t="str">
        <f>B8</f>
        <v>Reactant1</v>
      </c>
      <c r="J9" s="93">
        <v>0</v>
      </c>
      <c r="K9" s="93">
        <v>1</v>
      </c>
      <c r="L9" s="93">
        <v>1</v>
      </c>
      <c r="M9" s="93">
        <v>0</v>
      </c>
      <c r="N9" s="141">
        <v>20000</v>
      </c>
      <c r="O9" s="93">
        <v>6.7000000000000004E-2</v>
      </c>
      <c r="P9" s="93">
        <v>7.07</v>
      </c>
      <c r="Q9" s="95">
        <v>0</v>
      </c>
      <c r="R9" s="95">
        <v>1</v>
      </c>
      <c r="S9" s="95">
        <v>1</v>
      </c>
      <c r="T9" s="93">
        <v>51.5</v>
      </c>
      <c r="U9" s="96">
        <v>46863</v>
      </c>
      <c r="V9" s="93">
        <f>2%*U9</f>
        <v>937.26</v>
      </c>
      <c r="W9" s="93">
        <v>0</v>
      </c>
      <c r="X9" s="93">
        <v>0</v>
      </c>
      <c r="Y9" s="93">
        <v>0</v>
      </c>
      <c r="Z9" s="97">
        <v>8.58105172206656E-2</v>
      </c>
    </row>
    <row r="10" spans="1:26" s="102" customFormat="1" x14ac:dyDescent="0.35">
      <c r="A10" s="146"/>
      <c r="B10" s="98" t="s">
        <v>115</v>
      </c>
      <c r="C10" s="99" t="s">
        <v>109</v>
      </c>
      <c r="D10" s="100" t="s">
        <v>123</v>
      </c>
      <c r="E10" s="9">
        <f t="shared" si="3"/>
        <v>5</v>
      </c>
      <c r="F10" s="101">
        <v>1</v>
      </c>
      <c r="G10" s="101" t="s">
        <v>124</v>
      </c>
      <c r="H10" s="102">
        <v>0</v>
      </c>
      <c r="I10" s="103" t="str">
        <f>B8</f>
        <v>Reactant1</v>
      </c>
      <c r="J10" s="102">
        <v>0</v>
      </c>
      <c r="K10" s="102">
        <v>1</v>
      </c>
      <c r="L10" s="102">
        <v>1</v>
      </c>
      <c r="M10" s="102">
        <v>0</v>
      </c>
      <c r="N10" s="142">
        <v>20000</v>
      </c>
      <c r="O10" s="102">
        <v>6.7000000000000004E-2</v>
      </c>
      <c r="P10" s="102">
        <v>0</v>
      </c>
      <c r="Q10" s="104">
        <v>0</v>
      </c>
      <c r="R10" s="104">
        <v>1</v>
      </c>
      <c r="S10" s="104">
        <v>1</v>
      </c>
      <c r="T10" s="102">
        <v>37.9</v>
      </c>
      <c r="U10" s="102">
        <v>131493</v>
      </c>
      <c r="V10" s="102">
        <v>3945</v>
      </c>
      <c r="W10" s="102">
        <v>0</v>
      </c>
      <c r="X10" s="102">
        <v>0</v>
      </c>
      <c r="Y10" s="102">
        <v>0</v>
      </c>
      <c r="Z10" s="105">
        <v>8.58105172206656E-2</v>
      </c>
    </row>
    <row r="11" spans="1:26" x14ac:dyDescent="0.35">
      <c r="A11" s="146"/>
      <c r="B11" s="19" t="s">
        <v>116</v>
      </c>
      <c r="C11" s="11" t="s">
        <v>109</v>
      </c>
      <c r="D11" s="77" t="s">
        <v>28</v>
      </c>
      <c r="E11" s="9">
        <f t="shared" si="3"/>
        <v>6</v>
      </c>
      <c r="F11" s="2">
        <v>1</v>
      </c>
      <c r="G11" s="2" t="s">
        <v>17</v>
      </c>
      <c r="H11" s="10">
        <v>0</v>
      </c>
      <c r="I11" t="s">
        <v>12</v>
      </c>
      <c r="J11">
        <v>0</v>
      </c>
      <c r="K11">
        <v>0</v>
      </c>
      <c r="L11">
        <v>-1</v>
      </c>
      <c r="M11">
        <v>0</v>
      </c>
      <c r="N11" s="138">
        <v>20000</v>
      </c>
      <c r="O11" s="10">
        <v>0</v>
      </c>
      <c r="P11">
        <v>0</v>
      </c>
      <c r="Q11" s="13">
        <v>0</v>
      </c>
      <c r="R11" s="13">
        <v>1</v>
      </c>
      <c r="S11" s="13">
        <v>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6">
        <v>0</v>
      </c>
    </row>
    <row r="12" spans="1:26" s="34" customFormat="1" x14ac:dyDescent="0.35">
      <c r="A12" s="146"/>
      <c r="B12" s="55" t="s">
        <v>75</v>
      </c>
      <c r="C12" s="74" t="s">
        <v>112</v>
      </c>
      <c r="D12" s="57" t="s">
        <v>31</v>
      </c>
      <c r="E12" s="9">
        <f t="shared" si="3"/>
        <v>7</v>
      </c>
      <c r="F12" s="58">
        <v>1</v>
      </c>
      <c r="G12" s="58" t="s">
        <v>13</v>
      </c>
      <c r="H12" s="34">
        <v>0</v>
      </c>
      <c r="I12" s="59" t="str">
        <f>B9</f>
        <v>Product/Reactant2</v>
      </c>
      <c r="J12" s="34">
        <v>0</v>
      </c>
      <c r="K12" s="34">
        <v>0</v>
      </c>
      <c r="L12" s="34">
        <v>0</v>
      </c>
      <c r="M12" s="34">
        <v>0</v>
      </c>
      <c r="N12" s="136">
        <v>180000</v>
      </c>
      <c r="O12" s="34">
        <v>7.76</v>
      </c>
      <c r="P12" s="34">
        <v>0</v>
      </c>
      <c r="Q12" s="60">
        <v>0</v>
      </c>
      <c r="R12" s="60">
        <v>1</v>
      </c>
      <c r="S12" s="60">
        <v>1</v>
      </c>
      <c r="T12" s="34">
        <v>0</v>
      </c>
      <c r="U12" s="34">
        <v>0</v>
      </c>
      <c r="V12" s="34">
        <v>0</v>
      </c>
      <c r="W12" s="34">
        <v>0</v>
      </c>
      <c r="X12" s="34">
        <v>0.05</v>
      </c>
      <c r="Y12" s="34">
        <v>0</v>
      </c>
      <c r="Z12" s="107">
        <v>0</v>
      </c>
    </row>
    <row r="13" spans="1:26" s="34" customFormat="1" x14ac:dyDescent="0.35">
      <c r="A13" s="146"/>
      <c r="B13" s="55" t="s">
        <v>25</v>
      </c>
      <c r="C13" s="56" t="s">
        <v>109</v>
      </c>
      <c r="D13" s="57" t="s">
        <v>29</v>
      </c>
      <c r="E13" s="9">
        <f t="shared" si="3"/>
        <v>8</v>
      </c>
      <c r="F13" s="58">
        <v>1</v>
      </c>
      <c r="G13" s="58" t="s">
        <v>18</v>
      </c>
      <c r="H13" s="61">
        <v>0</v>
      </c>
      <c r="I13" s="34" t="s">
        <v>12</v>
      </c>
      <c r="J13" s="34">
        <v>0</v>
      </c>
      <c r="K13" s="34">
        <v>1</v>
      </c>
      <c r="L13" s="34">
        <v>0</v>
      </c>
      <c r="M13" s="34">
        <v>0</v>
      </c>
      <c r="N13" s="136">
        <v>2000000</v>
      </c>
      <c r="O13" s="61">
        <v>0</v>
      </c>
      <c r="P13" s="34">
        <v>0</v>
      </c>
      <c r="Q13" s="60">
        <v>0</v>
      </c>
      <c r="R13" s="60">
        <v>1</v>
      </c>
      <c r="S13" s="60">
        <v>1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108">
        <v>0</v>
      </c>
    </row>
    <row r="14" spans="1:26" s="34" customFormat="1" x14ac:dyDescent="0.35">
      <c r="A14" s="146"/>
      <c r="B14" s="55" t="s">
        <v>26</v>
      </c>
      <c r="C14" s="74" t="s">
        <v>113</v>
      </c>
      <c r="D14" s="57" t="s">
        <v>30</v>
      </c>
      <c r="E14" s="9">
        <f t="shared" si="3"/>
        <v>9</v>
      </c>
      <c r="F14" s="58">
        <v>1</v>
      </c>
      <c r="G14" s="58" t="s">
        <v>19</v>
      </c>
      <c r="H14" s="61">
        <v>0</v>
      </c>
      <c r="I14" s="34" t="s">
        <v>12</v>
      </c>
      <c r="J14" s="61">
        <v>0</v>
      </c>
      <c r="K14" s="34">
        <v>-1</v>
      </c>
      <c r="L14" s="61">
        <v>0</v>
      </c>
      <c r="M14" s="34">
        <v>0</v>
      </c>
      <c r="N14" s="136">
        <v>2000000</v>
      </c>
      <c r="O14" s="61">
        <v>0</v>
      </c>
      <c r="P14" s="34">
        <v>1</v>
      </c>
      <c r="Q14" s="60">
        <v>0</v>
      </c>
      <c r="R14" s="60">
        <v>1</v>
      </c>
      <c r="S14" s="60">
        <v>1</v>
      </c>
      <c r="T14" s="61">
        <v>0</v>
      </c>
      <c r="U14" s="61">
        <v>0</v>
      </c>
      <c r="V14" s="61">
        <v>0</v>
      </c>
      <c r="W14" s="61">
        <v>0</v>
      </c>
      <c r="X14" s="62">
        <v>2.3E-2</v>
      </c>
      <c r="Y14" s="61">
        <v>0</v>
      </c>
      <c r="Z14" s="108">
        <v>0</v>
      </c>
    </row>
    <row r="15" spans="1:26" s="45" customFormat="1" x14ac:dyDescent="0.35">
      <c r="A15" s="146"/>
      <c r="B15" s="42" t="s">
        <v>14</v>
      </c>
      <c r="C15" s="43" t="s">
        <v>109</v>
      </c>
      <c r="D15" s="64" t="s">
        <v>125</v>
      </c>
      <c r="E15" s="9">
        <f t="shared" si="3"/>
        <v>10</v>
      </c>
      <c r="F15" s="44">
        <v>1</v>
      </c>
      <c r="G15" s="44" t="s">
        <v>90</v>
      </c>
      <c r="H15" s="45">
        <v>0</v>
      </c>
      <c r="I15" s="45" t="s">
        <v>12</v>
      </c>
      <c r="J15" s="45">
        <v>0</v>
      </c>
      <c r="K15" s="45">
        <v>0</v>
      </c>
      <c r="L15" s="45">
        <v>-1</v>
      </c>
      <c r="M15" s="45">
        <v>0</v>
      </c>
      <c r="N15" s="139">
        <v>20000</v>
      </c>
      <c r="O15" s="47">
        <v>0</v>
      </c>
      <c r="P15" s="45">
        <v>0</v>
      </c>
      <c r="Q15" s="46">
        <v>0</v>
      </c>
      <c r="R15" s="46">
        <v>1</v>
      </c>
      <c r="S15" s="46">
        <v>1</v>
      </c>
      <c r="T15" s="45">
        <v>0.94</v>
      </c>
      <c r="U15" s="45">
        <v>0</v>
      </c>
      <c r="V15" s="45">
        <v>0</v>
      </c>
      <c r="W15" s="45">
        <v>1.0000000000000001E-5</v>
      </c>
      <c r="X15" s="45">
        <v>0</v>
      </c>
      <c r="Y15" s="45">
        <v>0</v>
      </c>
      <c r="Z15" s="109">
        <v>8.5810517220665614E-2</v>
      </c>
    </row>
    <row r="16" spans="1:26" s="45" customFormat="1" x14ac:dyDescent="0.35">
      <c r="A16" s="146"/>
      <c r="B16" s="42" t="s">
        <v>15</v>
      </c>
      <c r="C16" s="43" t="s">
        <v>109</v>
      </c>
      <c r="D16" s="64" t="s">
        <v>126</v>
      </c>
      <c r="E16" s="9">
        <f t="shared" si="3"/>
        <v>11</v>
      </c>
      <c r="F16" s="44">
        <v>1</v>
      </c>
      <c r="G16" s="44" t="s">
        <v>91</v>
      </c>
      <c r="H16" s="45">
        <v>0</v>
      </c>
      <c r="I16" s="45" t="s">
        <v>12</v>
      </c>
      <c r="J16" s="45">
        <v>0</v>
      </c>
      <c r="K16" s="45">
        <v>0</v>
      </c>
      <c r="L16" s="45">
        <v>1</v>
      </c>
      <c r="M16" s="45">
        <v>0</v>
      </c>
      <c r="N16" s="139">
        <v>20000</v>
      </c>
      <c r="O16" s="47">
        <v>0</v>
      </c>
      <c r="P16" s="45">
        <v>0</v>
      </c>
      <c r="Q16" s="46">
        <v>0</v>
      </c>
      <c r="R16" s="46">
        <v>1</v>
      </c>
      <c r="S16" s="46">
        <v>1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09">
        <v>0</v>
      </c>
    </row>
    <row r="17" spans="1:26" s="69" customFormat="1" x14ac:dyDescent="0.35">
      <c r="A17" s="146"/>
      <c r="B17" s="65" t="s">
        <v>16</v>
      </c>
      <c r="C17" s="66" t="s">
        <v>109</v>
      </c>
      <c r="D17" s="67" t="s">
        <v>127</v>
      </c>
      <c r="E17" s="63">
        <f t="shared" si="3"/>
        <v>12</v>
      </c>
      <c r="F17" s="68">
        <v>1</v>
      </c>
      <c r="G17" s="68" t="s">
        <v>92</v>
      </c>
      <c r="H17" s="69">
        <v>0</v>
      </c>
      <c r="I17" s="69" t="s">
        <v>12</v>
      </c>
      <c r="J17" s="69">
        <v>0</v>
      </c>
      <c r="K17" s="69">
        <v>0</v>
      </c>
      <c r="L17" s="69">
        <v>0</v>
      </c>
      <c r="M17" s="69">
        <v>0</v>
      </c>
      <c r="N17" s="143">
        <v>20000000</v>
      </c>
      <c r="O17" s="69">
        <v>0</v>
      </c>
      <c r="P17" s="69">
        <v>0</v>
      </c>
      <c r="Q17" s="110">
        <v>0.09</v>
      </c>
      <c r="R17" s="70">
        <v>1</v>
      </c>
      <c r="S17" s="70">
        <v>1</v>
      </c>
      <c r="T17" s="69">
        <v>0</v>
      </c>
      <c r="U17" s="111">
        <v>460.75542459148141</v>
      </c>
      <c r="V17" s="111">
        <v>0.99167600700525393</v>
      </c>
      <c r="W17" s="69">
        <v>0</v>
      </c>
      <c r="X17" s="69">
        <v>0</v>
      </c>
      <c r="Y17" s="69">
        <v>0</v>
      </c>
      <c r="Z17" s="112">
        <v>7.2459849539607685E-2</v>
      </c>
    </row>
    <row r="18" spans="1:26" ht="14.5" customHeight="1" x14ac:dyDescent="0.35">
      <c r="A18" s="146"/>
      <c r="B18" s="12" t="s">
        <v>38</v>
      </c>
      <c r="C18" s="11" t="s">
        <v>109</v>
      </c>
      <c r="D18" s="7" t="s">
        <v>36</v>
      </c>
      <c r="E18" s="9">
        <f t="shared" si="3"/>
        <v>13</v>
      </c>
      <c r="F18" s="2">
        <v>1</v>
      </c>
      <c r="G18" s="2" t="s">
        <v>37</v>
      </c>
      <c r="H18">
        <v>0</v>
      </c>
      <c r="I18" t="s">
        <v>12</v>
      </c>
      <c r="J18">
        <v>1</v>
      </c>
      <c r="K18">
        <v>0</v>
      </c>
      <c r="L18">
        <v>0</v>
      </c>
      <c r="M18">
        <v>0</v>
      </c>
      <c r="N18" s="132">
        <v>2000000</v>
      </c>
      <c r="O18" s="10">
        <v>0</v>
      </c>
      <c r="P18">
        <v>0</v>
      </c>
      <c r="Q18" s="13">
        <v>0</v>
      </c>
      <c r="R18" s="13">
        <v>1</v>
      </c>
      <c r="S18" s="13">
        <v>1</v>
      </c>
      <c r="T18">
        <v>0</v>
      </c>
      <c r="U18" s="41">
        <v>717.38599999999997</v>
      </c>
      <c r="V18" s="41">
        <f>0.01*U18</f>
        <v>7.1738599999999995</v>
      </c>
      <c r="W18" s="41">
        <v>0</v>
      </c>
      <c r="X18" s="41">
        <v>0</v>
      </c>
      <c r="Y18" s="41">
        <v>0</v>
      </c>
      <c r="Z18" s="41">
        <v>7.7200000000000005E-2</v>
      </c>
    </row>
    <row r="19" spans="1:26" s="41" customFormat="1" ht="14.5" customHeight="1" x14ac:dyDescent="0.35">
      <c r="A19" s="146"/>
      <c r="B19" s="113" t="s">
        <v>206</v>
      </c>
      <c r="C19" s="11" t="s">
        <v>109</v>
      </c>
      <c r="D19" s="114" t="s">
        <v>207</v>
      </c>
      <c r="E19" s="9">
        <f t="shared" si="3"/>
        <v>14</v>
      </c>
      <c r="F19" s="71">
        <v>1</v>
      </c>
      <c r="G19" s="71" t="s">
        <v>208</v>
      </c>
      <c r="H19" s="41">
        <v>0</v>
      </c>
      <c r="I19" t="s">
        <v>12</v>
      </c>
      <c r="J19" s="41">
        <v>0</v>
      </c>
      <c r="K19" s="41">
        <v>0</v>
      </c>
      <c r="L19" s="41">
        <v>0</v>
      </c>
      <c r="M19" s="41">
        <v>1</v>
      </c>
      <c r="N19" s="132">
        <v>2000000</v>
      </c>
      <c r="O19" s="35">
        <v>0</v>
      </c>
      <c r="P19" s="41">
        <v>0</v>
      </c>
      <c r="Q19" s="72">
        <v>0</v>
      </c>
      <c r="R19" s="72">
        <v>1</v>
      </c>
      <c r="S19" s="72">
        <v>1</v>
      </c>
      <c r="T19" s="41">
        <v>0</v>
      </c>
      <c r="U19" s="41">
        <v>3440.462003850032</v>
      </c>
      <c r="V19" s="41">
        <f>59.5838298652489</f>
        <v>59.583829865248902</v>
      </c>
      <c r="W19" s="41">
        <f>4.58337152809607/1000</f>
        <v>4.5833715280960696E-3</v>
      </c>
      <c r="X19" s="41">
        <v>0</v>
      </c>
      <c r="Y19" s="41">
        <v>0</v>
      </c>
      <c r="Z19" s="115">
        <v>8.5810517220665614E-2</v>
      </c>
    </row>
    <row r="20" spans="1:26" s="41" customFormat="1" ht="14.5" customHeight="1" x14ac:dyDescent="0.35">
      <c r="A20" s="146"/>
      <c r="B20" s="113" t="s">
        <v>209</v>
      </c>
      <c r="C20" s="11" t="s">
        <v>109</v>
      </c>
      <c r="D20" s="114" t="s">
        <v>210</v>
      </c>
      <c r="E20" s="9">
        <f t="shared" si="3"/>
        <v>15</v>
      </c>
      <c r="F20" s="71">
        <v>1</v>
      </c>
      <c r="G20" s="71" t="s">
        <v>211</v>
      </c>
      <c r="H20" s="41">
        <v>0</v>
      </c>
      <c r="I20" t="s">
        <v>12</v>
      </c>
      <c r="J20" s="41">
        <v>0</v>
      </c>
      <c r="K20" s="41">
        <v>0</v>
      </c>
      <c r="L20" s="41">
        <v>0</v>
      </c>
      <c r="M20" s="41">
        <v>1</v>
      </c>
      <c r="N20" s="132">
        <v>2000000</v>
      </c>
      <c r="O20" s="35">
        <v>0</v>
      </c>
      <c r="P20" s="41">
        <v>0</v>
      </c>
      <c r="Q20" s="72">
        <v>0</v>
      </c>
      <c r="R20" s="72">
        <v>1</v>
      </c>
      <c r="S20" s="72">
        <v>1</v>
      </c>
      <c r="T20" s="41">
        <v>0</v>
      </c>
      <c r="U20" s="41">
        <f>3296.48913740948</f>
        <v>3296.48913740948</v>
      </c>
      <c r="V20" s="41">
        <f>59.5838298652489</f>
        <v>59.583829865248902</v>
      </c>
      <c r="W20" s="41">
        <f>4.58337152809607/1000</f>
        <v>4.5833715280960696E-3</v>
      </c>
      <c r="X20" s="41">
        <v>0</v>
      </c>
      <c r="Y20" s="41">
        <v>0</v>
      </c>
      <c r="Z20" s="115">
        <v>8.5810517220665614E-2</v>
      </c>
    </row>
    <row r="21" spans="1:26" s="41" customFormat="1" ht="14.5" customHeight="1" x14ac:dyDescent="0.35">
      <c r="A21" s="146"/>
      <c r="B21" s="113" t="s">
        <v>212</v>
      </c>
      <c r="C21" s="11" t="s">
        <v>109</v>
      </c>
      <c r="D21" s="114" t="s">
        <v>213</v>
      </c>
      <c r="E21" s="9">
        <f t="shared" si="3"/>
        <v>16</v>
      </c>
      <c r="F21" s="71">
        <v>1</v>
      </c>
      <c r="G21" s="71" t="s">
        <v>214</v>
      </c>
      <c r="H21" s="41">
        <v>0</v>
      </c>
      <c r="I21" t="s">
        <v>12</v>
      </c>
      <c r="J21" s="41">
        <v>0</v>
      </c>
      <c r="K21" s="41">
        <v>0</v>
      </c>
      <c r="L21" s="41">
        <v>0</v>
      </c>
      <c r="M21" s="41">
        <v>1</v>
      </c>
      <c r="N21" s="132">
        <v>2000000</v>
      </c>
      <c r="O21" s="35">
        <v>0</v>
      </c>
      <c r="P21" s="41">
        <v>0</v>
      </c>
      <c r="Q21" s="72">
        <v>0</v>
      </c>
      <c r="R21" s="72">
        <v>1</v>
      </c>
      <c r="S21" s="72">
        <v>1</v>
      </c>
      <c r="T21" s="41">
        <v>0</v>
      </c>
      <c r="U21" s="41">
        <v>3185.84</v>
      </c>
      <c r="V21" s="41">
        <f>59.5838298652489</f>
        <v>59.583829865248902</v>
      </c>
      <c r="W21" s="41">
        <f>4.58337152809607/1000</f>
        <v>4.5833715280960696E-3</v>
      </c>
      <c r="X21" s="41">
        <v>0</v>
      </c>
      <c r="Y21" s="41">
        <v>0</v>
      </c>
      <c r="Z21" s="115">
        <v>8.5810517220665614E-2</v>
      </c>
    </row>
    <row r="22" spans="1:26" s="41" customFormat="1" ht="14.5" customHeight="1" x14ac:dyDescent="0.35">
      <c r="A22" s="146"/>
      <c r="B22" s="113" t="s">
        <v>215</v>
      </c>
      <c r="C22" s="11" t="s">
        <v>109</v>
      </c>
      <c r="D22" s="114" t="s">
        <v>216</v>
      </c>
      <c r="E22" s="9">
        <f t="shared" si="3"/>
        <v>17</v>
      </c>
      <c r="F22" s="71">
        <v>1</v>
      </c>
      <c r="G22" s="71" t="s">
        <v>217</v>
      </c>
      <c r="H22" s="41">
        <v>0</v>
      </c>
      <c r="I22" t="s">
        <v>12</v>
      </c>
      <c r="J22" s="41">
        <v>0</v>
      </c>
      <c r="K22" s="41">
        <v>0</v>
      </c>
      <c r="L22" s="41">
        <v>0</v>
      </c>
      <c r="M22" s="41">
        <v>1</v>
      </c>
      <c r="N22" s="132">
        <v>2000000</v>
      </c>
      <c r="O22" s="35">
        <v>0</v>
      </c>
      <c r="P22" s="41">
        <v>0</v>
      </c>
      <c r="Q22" s="72">
        <v>0</v>
      </c>
      <c r="R22" s="72">
        <v>1</v>
      </c>
      <c r="S22" s="72">
        <v>1</v>
      </c>
      <c r="T22" s="41">
        <v>0</v>
      </c>
      <c r="U22" s="41">
        <v>2910.0375836465305</v>
      </c>
      <c r="V22" s="41">
        <f>59.5838298652489</f>
        <v>59.583829865248902</v>
      </c>
      <c r="W22" s="41">
        <f>4.58337152809607/1000</f>
        <v>4.5833715280960696E-3</v>
      </c>
      <c r="X22" s="41">
        <v>0</v>
      </c>
      <c r="Y22" s="41">
        <v>0</v>
      </c>
      <c r="Z22" s="115">
        <v>8.5810517220665614E-2</v>
      </c>
    </row>
    <row r="23" spans="1:26" s="41" customFormat="1" ht="14.5" customHeight="1" x14ac:dyDescent="0.35">
      <c r="A23" s="146"/>
      <c r="B23" s="113" t="s">
        <v>14</v>
      </c>
      <c r="C23" s="11" t="s">
        <v>109</v>
      </c>
      <c r="D23" s="114" t="s">
        <v>128</v>
      </c>
      <c r="E23" s="9">
        <f t="shared" si="3"/>
        <v>18</v>
      </c>
      <c r="F23" s="71">
        <v>1</v>
      </c>
      <c r="G23" s="116" t="s">
        <v>129</v>
      </c>
      <c r="H23" s="41">
        <v>0</v>
      </c>
      <c r="I23" s="41" t="s">
        <v>12</v>
      </c>
      <c r="J23" s="41">
        <v>0</v>
      </c>
      <c r="K23" s="41">
        <v>0</v>
      </c>
      <c r="L23" s="41">
        <v>0</v>
      </c>
      <c r="M23" s="41">
        <v>-1</v>
      </c>
      <c r="N23" s="132">
        <v>2000000</v>
      </c>
      <c r="O23" s="35">
        <v>0</v>
      </c>
      <c r="P23" s="41">
        <v>0</v>
      </c>
      <c r="Q23" s="72">
        <v>0</v>
      </c>
      <c r="R23" s="72">
        <v>1</v>
      </c>
      <c r="S23" s="72">
        <v>1</v>
      </c>
      <c r="T23" s="41">
        <v>0</v>
      </c>
      <c r="U23" s="35">
        <v>0</v>
      </c>
      <c r="V23" s="41">
        <v>0</v>
      </c>
      <c r="W23">
        <v>0</v>
      </c>
      <c r="X23" s="41">
        <v>0</v>
      </c>
      <c r="Y23" s="41">
        <v>0</v>
      </c>
      <c r="Z23" s="115">
        <v>0</v>
      </c>
    </row>
    <row r="24" spans="1:26" s="41" customFormat="1" ht="14.5" customHeight="1" x14ac:dyDescent="0.35">
      <c r="A24" s="146"/>
      <c r="B24" s="113" t="s">
        <v>15</v>
      </c>
      <c r="C24" s="11" t="s">
        <v>109</v>
      </c>
      <c r="D24" s="114" t="s">
        <v>130</v>
      </c>
      <c r="E24" s="9">
        <f t="shared" si="3"/>
        <v>19</v>
      </c>
      <c r="F24" s="71">
        <v>1</v>
      </c>
      <c r="G24" s="116" t="s">
        <v>131</v>
      </c>
      <c r="H24" s="41">
        <v>0</v>
      </c>
      <c r="I24" s="41" t="s">
        <v>12</v>
      </c>
      <c r="J24" s="41">
        <v>0</v>
      </c>
      <c r="K24" s="41">
        <v>0</v>
      </c>
      <c r="L24" s="41">
        <v>0</v>
      </c>
      <c r="M24" s="41">
        <v>1</v>
      </c>
      <c r="N24" s="132">
        <v>2000000</v>
      </c>
      <c r="O24" s="35">
        <v>0</v>
      </c>
      <c r="P24" s="41">
        <v>0</v>
      </c>
      <c r="Q24" s="72">
        <v>0</v>
      </c>
      <c r="R24" s="72">
        <v>1</v>
      </c>
      <c r="S24" s="72">
        <v>1</v>
      </c>
      <c r="T24" s="41">
        <v>0</v>
      </c>
      <c r="U24" s="35">
        <v>0</v>
      </c>
      <c r="V24" s="41">
        <v>0</v>
      </c>
      <c r="W24" s="41">
        <v>0</v>
      </c>
      <c r="X24" s="41">
        <v>0</v>
      </c>
      <c r="Y24" s="41">
        <v>0</v>
      </c>
      <c r="Z24" s="115">
        <v>0</v>
      </c>
    </row>
    <row r="25" spans="1:26" s="41" customFormat="1" ht="14.5" customHeight="1" x14ac:dyDescent="0.35">
      <c r="A25" s="146"/>
      <c r="B25" s="113" t="s">
        <v>16</v>
      </c>
      <c r="C25" s="11" t="s">
        <v>109</v>
      </c>
      <c r="D25" s="114" t="s">
        <v>218</v>
      </c>
      <c r="E25" s="9">
        <f t="shared" si="3"/>
        <v>20</v>
      </c>
      <c r="F25" s="71">
        <v>1</v>
      </c>
      <c r="G25" s="116" t="s">
        <v>219</v>
      </c>
      <c r="H25" s="41">
        <v>0</v>
      </c>
      <c r="I25" t="s">
        <v>12</v>
      </c>
      <c r="J25" s="41">
        <v>0</v>
      </c>
      <c r="K25" s="41">
        <v>0</v>
      </c>
      <c r="L25" s="41">
        <v>0</v>
      </c>
      <c r="M25" s="41">
        <v>0</v>
      </c>
      <c r="N25" s="132">
        <v>2000000</v>
      </c>
      <c r="O25" s="35">
        <v>0</v>
      </c>
      <c r="P25" s="41">
        <v>0</v>
      </c>
      <c r="Q25" s="72">
        <v>0</v>
      </c>
      <c r="R25" s="72">
        <v>1</v>
      </c>
      <c r="S25" s="72">
        <v>1</v>
      </c>
      <c r="T25" s="41">
        <v>0</v>
      </c>
      <c r="U25" s="35">
        <v>38.227355598333688</v>
      </c>
      <c r="V25" s="41">
        <f>0.0482193715280961</f>
        <v>4.8219371528096099E-2</v>
      </c>
      <c r="W25" s="41">
        <v>0</v>
      </c>
      <c r="X25" s="41">
        <v>0</v>
      </c>
      <c r="Y25" s="41">
        <v>0</v>
      </c>
      <c r="Z25" s="115">
        <v>8.5810517220665614E-2</v>
      </c>
    </row>
    <row r="26" spans="1:26" s="41" customFormat="1" ht="14.5" customHeight="1" x14ac:dyDescent="0.35">
      <c r="A26" s="146"/>
      <c r="B26" s="113" t="s">
        <v>16</v>
      </c>
      <c r="C26" s="11" t="s">
        <v>109</v>
      </c>
      <c r="D26" s="114" t="s">
        <v>220</v>
      </c>
      <c r="E26" s="9">
        <f t="shared" si="3"/>
        <v>21</v>
      </c>
      <c r="F26" s="71">
        <v>1</v>
      </c>
      <c r="G26" s="116" t="s">
        <v>221</v>
      </c>
      <c r="H26" s="41">
        <v>0</v>
      </c>
      <c r="I26" t="s">
        <v>12</v>
      </c>
      <c r="J26" s="41">
        <v>0</v>
      </c>
      <c r="K26" s="41">
        <v>0</v>
      </c>
      <c r="L26" s="41">
        <v>0</v>
      </c>
      <c r="M26" s="41">
        <v>0</v>
      </c>
      <c r="N26" s="132">
        <v>2000000</v>
      </c>
      <c r="O26" s="35">
        <v>0</v>
      </c>
      <c r="P26" s="41">
        <v>0</v>
      </c>
      <c r="Q26" s="72">
        <v>0</v>
      </c>
      <c r="R26" s="72">
        <v>1</v>
      </c>
      <c r="S26" s="72">
        <v>1</v>
      </c>
      <c r="T26" s="41">
        <v>0</v>
      </c>
      <c r="U26" s="35">
        <v>36.627657082327531</v>
      </c>
      <c r="V26" s="41">
        <f>0.0482193715280961</f>
        <v>4.8219371528096099E-2</v>
      </c>
      <c r="W26" s="41">
        <v>0</v>
      </c>
      <c r="X26" s="41">
        <v>0</v>
      </c>
      <c r="Y26" s="41">
        <v>0</v>
      </c>
      <c r="Z26" s="115">
        <v>8.5810517220665614E-2</v>
      </c>
    </row>
    <row r="27" spans="1:26" s="41" customFormat="1" ht="14.5" customHeight="1" x14ac:dyDescent="0.35">
      <c r="A27" s="146"/>
      <c r="B27" s="113" t="s">
        <v>16</v>
      </c>
      <c r="C27" s="11" t="s">
        <v>109</v>
      </c>
      <c r="D27" s="114" t="s">
        <v>222</v>
      </c>
      <c r="E27" s="9">
        <f t="shared" si="3"/>
        <v>22</v>
      </c>
      <c r="F27" s="71">
        <v>1</v>
      </c>
      <c r="G27" s="116" t="s">
        <v>223</v>
      </c>
      <c r="H27" s="41">
        <v>0</v>
      </c>
      <c r="I27" t="s">
        <v>12</v>
      </c>
      <c r="J27" s="41">
        <v>0</v>
      </c>
      <c r="K27" s="41">
        <v>0</v>
      </c>
      <c r="L27" s="41">
        <v>0</v>
      </c>
      <c r="M27" s="41">
        <v>0</v>
      </c>
      <c r="N27" s="132">
        <v>2000000</v>
      </c>
      <c r="O27" s="35">
        <v>0</v>
      </c>
      <c r="P27" s="41">
        <v>0</v>
      </c>
      <c r="Q27" s="72">
        <v>0</v>
      </c>
      <c r="R27" s="72">
        <v>1</v>
      </c>
      <c r="S27" s="72">
        <v>1</v>
      </c>
      <c r="T27" s="41">
        <v>0</v>
      </c>
      <c r="U27" s="35">
        <v>81.415911111111114</v>
      </c>
      <c r="V27" s="41">
        <f>0.0482193715280961</f>
        <v>4.8219371528096099E-2</v>
      </c>
      <c r="W27" s="41">
        <v>0</v>
      </c>
      <c r="X27" s="41">
        <v>0</v>
      </c>
      <c r="Y27" s="41">
        <v>0</v>
      </c>
      <c r="Z27" s="115">
        <v>8.5810517220665614E-2</v>
      </c>
    </row>
    <row r="28" spans="1:26" s="41" customFormat="1" ht="14.5" customHeight="1" x14ac:dyDescent="0.35">
      <c r="A28" s="146"/>
      <c r="B28" s="113" t="s">
        <v>16</v>
      </c>
      <c r="C28" s="11" t="s">
        <v>109</v>
      </c>
      <c r="D28" s="114" t="s">
        <v>224</v>
      </c>
      <c r="E28" s="9">
        <f t="shared" si="3"/>
        <v>23</v>
      </c>
      <c r="F28" s="71">
        <v>1</v>
      </c>
      <c r="G28" s="116" t="s">
        <v>225</v>
      </c>
      <c r="H28" s="41">
        <v>0</v>
      </c>
      <c r="I28" t="s">
        <v>12</v>
      </c>
      <c r="J28" s="41">
        <v>0</v>
      </c>
      <c r="K28" s="41">
        <v>0</v>
      </c>
      <c r="L28" s="41">
        <v>0</v>
      </c>
      <c r="M28" s="41">
        <v>0</v>
      </c>
      <c r="N28" s="132">
        <v>2000000</v>
      </c>
      <c r="O28" s="35">
        <v>0</v>
      </c>
      <c r="P28" s="41">
        <v>0</v>
      </c>
      <c r="Q28" s="72">
        <v>0</v>
      </c>
      <c r="R28" s="72">
        <v>1</v>
      </c>
      <c r="S28" s="72">
        <v>1</v>
      </c>
      <c r="T28" s="41">
        <v>0</v>
      </c>
      <c r="U28" s="35">
        <v>74.367627137633548</v>
      </c>
      <c r="V28" s="41">
        <f>0.0482193715280961</f>
        <v>4.8219371528096099E-2</v>
      </c>
      <c r="W28" s="41">
        <v>0</v>
      </c>
      <c r="X28" s="41">
        <v>0</v>
      </c>
      <c r="Y28" s="41">
        <v>0</v>
      </c>
      <c r="Z28" s="115">
        <v>8.5810517220665614E-2</v>
      </c>
    </row>
    <row r="29" spans="1:26" s="41" customFormat="1" ht="14.5" customHeight="1" x14ac:dyDescent="0.35">
      <c r="A29" s="146"/>
      <c r="B29" s="117" t="s">
        <v>109</v>
      </c>
      <c r="C29" s="11" t="s">
        <v>109</v>
      </c>
      <c r="D29" s="114" t="s">
        <v>132</v>
      </c>
      <c r="E29" s="9">
        <f t="shared" si="3"/>
        <v>24</v>
      </c>
      <c r="F29" s="71">
        <v>1</v>
      </c>
      <c r="G29" s="116" t="s">
        <v>133</v>
      </c>
      <c r="H29" s="41">
        <v>0</v>
      </c>
      <c r="I29" s="41" t="s">
        <v>12</v>
      </c>
      <c r="J29" s="41">
        <v>1</v>
      </c>
      <c r="K29" s="41">
        <v>0</v>
      </c>
      <c r="L29" s="41">
        <v>0</v>
      </c>
      <c r="M29" s="41">
        <v>-1</v>
      </c>
      <c r="N29" s="132">
        <v>2000000</v>
      </c>
      <c r="O29" s="35">
        <v>0</v>
      </c>
      <c r="P29" s="41">
        <v>0</v>
      </c>
      <c r="Q29" s="72">
        <v>0</v>
      </c>
      <c r="R29" s="72">
        <v>1</v>
      </c>
      <c r="S29" s="72">
        <v>1</v>
      </c>
      <c r="T29" s="41">
        <v>0</v>
      </c>
      <c r="U29" s="35">
        <v>0</v>
      </c>
      <c r="V29" s="41">
        <v>0</v>
      </c>
      <c r="W29" s="41">
        <v>0</v>
      </c>
      <c r="X29" s="41">
        <v>0</v>
      </c>
      <c r="Y29" s="41">
        <v>0</v>
      </c>
      <c r="Z29" s="115">
        <v>0</v>
      </c>
    </row>
    <row r="30" spans="1:26" s="41" customFormat="1" x14ac:dyDescent="0.35">
      <c r="A30" s="146"/>
      <c r="B30" s="113" t="s">
        <v>134</v>
      </c>
      <c r="C30" s="11" t="s">
        <v>109</v>
      </c>
      <c r="D30" s="114" t="s">
        <v>135</v>
      </c>
      <c r="E30" s="9">
        <f t="shared" si="3"/>
        <v>25</v>
      </c>
      <c r="F30" s="71">
        <v>1</v>
      </c>
      <c r="G30" s="71" t="s">
        <v>39</v>
      </c>
      <c r="H30" s="41">
        <v>0</v>
      </c>
      <c r="I30" s="41" t="s">
        <v>12</v>
      </c>
      <c r="J30" s="41">
        <v>1</v>
      </c>
      <c r="K30" s="41">
        <v>0</v>
      </c>
      <c r="L30" s="41">
        <v>0</v>
      </c>
      <c r="M30" s="41">
        <v>0</v>
      </c>
      <c r="N30" s="132">
        <v>2000000</v>
      </c>
      <c r="O30" s="35">
        <v>0</v>
      </c>
      <c r="P30" s="41">
        <v>0</v>
      </c>
      <c r="Q30" s="72">
        <v>0</v>
      </c>
      <c r="R30" s="72">
        <v>1</v>
      </c>
      <c r="S30" s="72">
        <v>1</v>
      </c>
      <c r="T30" s="41">
        <v>0</v>
      </c>
      <c r="U30" s="41">
        <v>1250</v>
      </c>
      <c r="V30" s="118">
        <f>0.02*U30</f>
        <v>25</v>
      </c>
      <c r="W30" s="41">
        <v>1.593E-3</v>
      </c>
      <c r="X30" s="41">
        <v>0</v>
      </c>
      <c r="Y30" s="41">
        <v>0</v>
      </c>
      <c r="Z30" s="41">
        <v>8.3400000000000002E-2</v>
      </c>
    </row>
    <row r="31" spans="1:26" s="41" customFormat="1" x14ac:dyDescent="0.35">
      <c r="A31" s="146"/>
      <c r="B31" s="113" t="s">
        <v>136</v>
      </c>
      <c r="C31" s="11" t="s">
        <v>109</v>
      </c>
      <c r="D31" s="114" t="s">
        <v>137</v>
      </c>
      <c r="E31" s="9">
        <f t="shared" si="3"/>
        <v>26</v>
      </c>
      <c r="F31" s="71">
        <v>1</v>
      </c>
      <c r="G31" s="71" t="s">
        <v>138</v>
      </c>
      <c r="H31" s="41">
        <v>0</v>
      </c>
      <c r="I31" s="41" t="s">
        <v>12</v>
      </c>
      <c r="J31" s="41">
        <v>1</v>
      </c>
      <c r="K31" s="41">
        <v>0</v>
      </c>
      <c r="L31" s="41">
        <v>0</v>
      </c>
      <c r="M31" s="41">
        <v>0</v>
      </c>
      <c r="N31" s="132">
        <v>2000000</v>
      </c>
      <c r="O31" s="35">
        <v>0</v>
      </c>
      <c r="P31" s="41">
        <v>0</v>
      </c>
      <c r="Q31" s="72">
        <v>0</v>
      </c>
      <c r="R31" s="72">
        <v>1</v>
      </c>
      <c r="S31" s="72">
        <v>1</v>
      </c>
      <c r="T31" s="41">
        <v>0</v>
      </c>
      <c r="U31" s="41">
        <v>1140</v>
      </c>
      <c r="V31" s="118">
        <f>0.02*U31</f>
        <v>22.8</v>
      </c>
      <c r="W31" s="41">
        <v>1.593E-3</v>
      </c>
      <c r="X31" s="41">
        <v>0</v>
      </c>
      <c r="Y31" s="41">
        <v>0</v>
      </c>
      <c r="Z31" s="41">
        <v>8.3400000000000002E-2</v>
      </c>
    </row>
    <row r="32" spans="1:26" s="41" customFormat="1" x14ac:dyDescent="0.35">
      <c r="A32" s="146"/>
      <c r="B32" s="113" t="s">
        <v>139</v>
      </c>
      <c r="C32" s="11" t="s">
        <v>109</v>
      </c>
      <c r="D32" s="114" t="s">
        <v>140</v>
      </c>
      <c r="E32" s="9">
        <f t="shared" si="3"/>
        <v>27</v>
      </c>
      <c r="F32" s="71">
        <v>1</v>
      </c>
      <c r="G32" s="71" t="s">
        <v>141</v>
      </c>
      <c r="H32" s="41">
        <v>0</v>
      </c>
      <c r="I32" s="41" t="s">
        <v>12</v>
      </c>
      <c r="J32" s="41">
        <v>1</v>
      </c>
      <c r="K32" s="41">
        <v>0</v>
      </c>
      <c r="L32" s="41">
        <v>0</v>
      </c>
      <c r="M32" s="41">
        <v>0</v>
      </c>
      <c r="N32" s="132">
        <v>2000000</v>
      </c>
      <c r="O32" s="35">
        <v>0</v>
      </c>
      <c r="P32" s="41">
        <v>0</v>
      </c>
      <c r="Q32" s="72">
        <v>0</v>
      </c>
      <c r="R32" s="72">
        <v>1</v>
      </c>
      <c r="S32" s="72">
        <v>1</v>
      </c>
      <c r="T32" s="41">
        <v>0</v>
      </c>
      <c r="U32" s="41">
        <v>4823</v>
      </c>
      <c r="V32" s="118">
        <f>U32*0.02</f>
        <v>96.460000000000008</v>
      </c>
      <c r="W32" s="41">
        <v>3.0999999999999999E-3</v>
      </c>
      <c r="X32" s="41">
        <v>0</v>
      </c>
      <c r="Y32" s="41">
        <v>0</v>
      </c>
      <c r="Z32" s="41">
        <v>8.3400000000000002E-2</v>
      </c>
    </row>
    <row r="33" spans="1:26" s="41" customFormat="1" x14ac:dyDescent="0.35">
      <c r="A33" s="146"/>
      <c r="B33" s="113" t="s">
        <v>142</v>
      </c>
      <c r="C33" s="11" t="s">
        <v>109</v>
      </c>
      <c r="D33" s="114" t="s">
        <v>143</v>
      </c>
      <c r="E33" s="9">
        <f t="shared" si="3"/>
        <v>28</v>
      </c>
      <c r="F33" s="71">
        <v>1</v>
      </c>
      <c r="G33" s="71" t="s">
        <v>144</v>
      </c>
      <c r="H33" s="41">
        <v>0</v>
      </c>
      <c r="I33" s="41" t="s">
        <v>12</v>
      </c>
      <c r="J33" s="41">
        <v>1</v>
      </c>
      <c r="K33" s="41">
        <v>0</v>
      </c>
      <c r="L33" s="41">
        <v>0</v>
      </c>
      <c r="M33" s="41">
        <v>0</v>
      </c>
      <c r="N33" s="132">
        <v>24000</v>
      </c>
      <c r="O33" s="35">
        <v>0</v>
      </c>
      <c r="P33" s="41">
        <v>0</v>
      </c>
      <c r="Q33" s="72">
        <v>0</v>
      </c>
      <c r="R33" s="72">
        <v>1</v>
      </c>
      <c r="S33" s="72">
        <v>1</v>
      </c>
      <c r="T33" s="41">
        <v>0</v>
      </c>
      <c r="U33" s="41">
        <v>5288</v>
      </c>
      <c r="V33" s="118">
        <f>U33*0.02</f>
        <v>105.76</v>
      </c>
      <c r="W33" s="41">
        <v>3.0999999999999999E-3</v>
      </c>
      <c r="X33" s="41">
        <v>0</v>
      </c>
      <c r="Y33" s="41">
        <v>0</v>
      </c>
      <c r="Z33" s="41">
        <v>8.3400000000000002E-2</v>
      </c>
    </row>
    <row r="34" spans="1:26" s="41" customFormat="1" x14ac:dyDescent="0.35">
      <c r="A34" s="146"/>
      <c r="B34" s="113" t="s">
        <v>145</v>
      </c>
      <c r="C34" s="11" t="s">
        <v>109</v>
      </c>
      <c r="D34" s="114" t="s">
        <v>146</v>
      </c>
      <c r="E34" s="9">
        <f t="shared" si="3"/>
        <v>29</v>
      </c>
      <c r="F34" s="71">
        <v>1</v>
      </c>
      <c r="G34" s="71" t="s">
        <v>147</v>
      </c>
      <c r="H34" s="41">
        <v>0</v>
      </c>
      <c r="I34" s="41" t="s">
        <v>12</v>
      </c>
      <c r="J34" s="41">
        <v>1</v>
      </c>
      <c r="K34" s="41">
        <v>0</v>
      </c>
      <c r="L34" s="41">
        <v>0</v>
      </c>
      <c r="M34" s="41">
        <v>0</v>
      </c>
      <c r="N34" s="132">
        <v>10000000</v>
      </c>
      <c r="O34" s="35">
        <v>0</v>
      </c>
      <c r="P34" s="41">
        <v>0</v>
      </c>
      <c r="Q34" s="72">
        <v>0</v>
      </c>
      <c r="R34" s="72">
        <v>1</v>
      </c>
      <c r="S34" s="72">
        <v>1</v>
      </c>
      <c r="T34" s="41">
        <v>0</v>
      </c>
      <c r="U34" s="41">
        <v>4823</v>
      </c>
      <c r="V34" s="118">
        <f>U34*0.02</f>
        <v>96.460000000000008</v>
      </c>
      <c r="W34" s="41">
        <v>3.0999999999999999E-3</v>
      </c>
      <c r="X34" s="41">
        <v>0</v>
      </c>
      <c r="Y34" s="41">
        <v>0</v>
      </c>
      <c r="Z34" s="41">
        <v>8.3400000000000002E-2</v>
      </c>
    </row>
    <row r="35" spans="1:26" s="41" customFormat="1" x14ac:dyDescent="0.35">
      <c r="A35" s="146"/>
      <c r="B35" s="113" t="s">
        <v>148</v>
      </c>
      <c r="C35" s="11" t="s">
        <v>109</v>
      </c>
      <c r="D35" s="114" t="s">
        <v>149</v>
      </c>
      <c r="E35" s="9">
        <f t="shared" si="3"/>
        <v>30</v>
      </c>
      <c r="F35" s="71">
        <v>1</v>
      </c>
      <c r="G35" s="71" t="s">
        <v>150</v>
      </c>
      <c r="H35" s="41">
        <v>0</v>
      </c>
      <c r="I35" s="41" t="s">
        <v>12</v>
      </c>
      <c r="J35" s="41">
        <v>1</v>
      </c>
      <c r="K35" s="41">
        <v>0</v>
      </c>
      <c r="L35" s="41">
        <v>0</v>
      </c>
      <c r="M35" s="41">
        <v>0</v>
      </c>
      <c r="N35" s="132">
        <v>60000000</v>
      </c>
      <c r="O35" s="35">
        <v>0</v>
      </c>
      <c r="P35" s="41">
        <v>0</v>
      </c>
      <c r="Q35" s="72">
        <v>0</v>
      </c>
      <c r="R35" s="72">
        <v>1</v>
      </c>
      <c r="S35" s="72">
        <v>1</v>
      </c>
      <c r="T35" s="41">
        <v>0</v>
      </c>
      <c r="U35" s="41">
        <v>5288</v>
      </c>
      <c r="V35" s="118">
        <f>U35*0.02</f>
        <v>105.76</v>
      </c>
      <c r="W35" s="41">
        <v>3.0999999999999999E-3</v>
      </c>
      <c r="X35" s="41">
        <v>0</v>
      </c>
      <c r="Y35" s="41">
        <v>0</v>
      </c>
      <c r="Z35" s="41">
        <v>8.3400000000000002E-2</v>
      </c>
    </row>
    <row r="36" spans="1:26" s="41" customFormat="1" x14ac:dyDescent="0.35">
      <c r="A36" s="146"/>
      <c r="B36" s="113" t="s">
        <v>24</v>
      </c>
      <c r="C36" s="119" t="s">
        <v>27</v>
      </c>
      <c r="D36" s="114" t="s">
        <v>32</v>
      </c>
      <c r="E36" s="9">
        <f t="shared" si="3"/>
        <v>31</v>
      </c>
      <c r="F36" s="71">
        <v>0</v>
      </c>
      <c r="G36" s="71" t="s">
        <v>20</v>
      </c>
      <c r="H36" s="41">
        <v>0</v>
      </c>
      <c r="I36" s="41" t="s">
        <v>12</v>
      </c>
      <c r="J36" s="41">
        <v>1</v>
      </c>
      <c r="K36" s="41">
        <v>0</v>
      </c>
      <c r="L36" s="41">
        <v>0</v>
      </c>
      <c r="M36" s="41">
        <v>0</v>
      </c>
      <c r="N36" s="132">
        <v>20000000</v>
      </c>
      <c r="O36" s="35">
        <v>0</v>
      </c>
      <c r="P36" s="41">
        <v>0</v>
      </c>
      <c r="Q36" s="72">
        <v>0</v>
      </c>
      <c r="R36" s="72">
        <v>1</v>
      </c>
      <c r="S36" s="72">
        <v>1</v>
      </c>
      <c r="T36" s="41">
        <v>0</v>
      </c>
      <c r="U36" s="41">
        <v>66</v>
      </c>
      <c r="V36" s="41">
        <v>0</v>
      </c>
      <c r="W36" s="41">
        <v>0</v>
      </c>
      <c r="X36" s="41">
        <v>0</v>
      </c>
      <c r="Y36" s="41">
        <v>1.6649999999999998E-2</v>
      </c>
      <c r="Z36" s="41">
        <v>8.5803264560679798E-2</v>
      </c>
    </row>
    <row r="37" spans="1:26" s="41" customFormat="1" x14ac:dyDescent="0.35">
      <c r="A37" s="146"/>
      <c r="B37" s="113" t="s">
        <v>106</v>
      </c>
      <c r="C37" s="11" t="s">
        <v>109</v>
      </c>
      <c r="D37" s="114" t="s">
        <v>110</v>
      </c>
      <c r="E37" s="9">
        <f t="shared" si="3"/>
        <v>32</v>
      </c>
      <c r="F37" s="71">
        <v>1</v>
      </c>
      <c r="G37" s="71" t="s">
        <v>151</v>
      </c>
      <c r="H37" s="41">
        <v>0</v>
      </c>
      <c r="I37" s="41" t="s">
        <v>12</v>
      </c>
      <c r="J37" s="41">
        <v>-1</v>
      </c>
      <c r="K37" s="41">
        <v>0</v>
      </c>
      <c r="L37" s="41">
        <v>0</v>
      </c>
      <c r="M37" s="41">
        <v>0</v>
      </c>
      <c r="N37" s="132">
        <v>20000000</v>
      </c>
      <c r="O37" s="41">
        <v>0</v>
      </c>
      <c r="P37" s="41">
        <v>0</v>
      </c>
      <c r="Q37" s="72">
        <v>0</v>
      </c>
      <c r="R37" s="72">
        <v>1</v>
      </c>
      <c r="S37" s="72">
        <v>1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0</v>
      </c>
      <c r="Z37" s="41">
        <v>0</v>
      </c>
    </row>
    <row r="38" spans="1:26" s="41" customFormat="1" x14ac:dyDescent="0.35">
      <c r="A38" s="146"/>
      <c r="B38" s="113" t="s">
        <v>14</v>
      </c>
      <c r="C38" s="11" t="s">
        <v>109</v>
      </c>
      <c r="D38" s="114" t="s">
        <v>33</v>
      </c>
      <c r="E38" s="9">
        <f t="shared" si="3"/>
        <v>33</v>
      </c>
      <c r="F38" s="71">
        <v>1</v>
      </c>
      <c r="G38" s="71" t="s">
        <v>21</v>
      </c>
      <c r="H38" s="41">
        <v>0</v>
      </c>
      <c r="I38" s="41" t="s">
        <v>12</v>
      </c>
      <c r="J38" s="41">
        <v>-1</v>
      </c>
      <c r="K38" s="41">
        <v>0</v>
      </c>
      <c r="L38" s="41">
        <v>0</v>
      </c>
      <c r="M38" s="41">
        <v>0</v>
      </c>
      <c r="N38" s="132">
        <v>20000000</v>
      </c>
      <c r="O38" s="35">
        <v>0</v>
      </c>
      <c r="P38" s="41">
        <v>0</v>
      </c>
      <c r="Q38" s="72">
        <v>0</v>
      </c>
      <c r="R38" s="72">
        <v>1</v>
      </c>
      <c r="S38" s="72">
        <v>1</v>
      </c>
      <c r="T38" s="41">
        <v>0.04</v>
      </c>
      <c r="U38" s="41">
        <v>0</v>
      </c>
      <c r="V38" s="41">
        <v>0</v>
      </c>
      <c r="W38" s="41">
        <v>2.0855800000000001E-3</v>
      </c>
      <c r="X38" s="41">
        <v>0</v>
      </c>
      <c r="Y38" s="41">
        <v>0</v>
      </c>
      <c r="Z38" s="41">
        <v>0</v>
      </c>
    </row>
    <row r="39" spans="1:26" x14ac:dyDescent="0.35">
      <c r="A39" s="146"/>
      <c r="B39" s="12" t="s">
        <v>15</v>
      </c>
      <c r="C39" s="11" t="s">
        <v>109</v>
      </c>
      <c r="D39" s="7" t="s">
        <v>34</v>
      </c>
      <c r="E39" s="9">
        <f t="shared" si="3"/>
        <v>34</v>
      </c>
      <c r="F39" s="2">
        <v>1</v>
      </c>
      <c r="G39" s="2" t="s">
        <v>22</v>
      </c>
      <c r="H39">
        <v>0</v>
      </c>
      <c r="I39" t="s">
        <v>12</v>
      </c>
      <c r="J39">
        <v>1</v>
      </c>
      <c r="K39">
        <v>0</v>
      </c>
      <c r="L39">
        <v>0</v>
      </c>
      <c r="M39" s="41">
        <v>0</v>
      </c>
      <c r="N39" s="132">
        <v>20000000</v>
      </c>
      <c r="O39" s="10">
        <v>0</v>
      </c>
      <c r="P39">
        <v>0</v>
      </c>
      <c r="Q39" s="13">
        <v>0</v>
      </c>
      <c r="R39" s="13">
        <v>1</v>
      </c>
      <c r="S39" s="13">
        <v>1</v>
      </c>
      <c r="T39" s="120">
        <v>0.05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s="146"/>
      <c r="B40" s="12" t="s">
        <v>16</v>
      </c>
      <c r="C40" s="11" t="s">
        <v>109</v>
      </c>
      <c r="D40" s="77" t="s">
        <v>35</v>
      </c>
      <c r="E40" s="9">
        <f t="shared" si="3"/>
        <v>35</v>
      </c>
      <c r="F40" s="2">
        <v>1</v>
      </c>
      <c r="G40" s="2" t="s">
        <v>23</v>
      </c>
      <c r="H40">
        <v>0</v>
      </c>
      <c r="I40" t="s">
        <v>12</v>
      </c>
      <c r="J40">
        <v>0</v>
      </c>
      <c r="K40">
        <v>0</v>
      </c>
      <c r="L40">
        <v>0</v>
      </c>
      <c r="M40" s="41">
        <v>0</v>
      </c>
      <c r="N40" s="132">
        <v>20000000</v>
      </c>
      <c r="O40" s="10">
        <v>0</v>
      </c>
      <c r="P40">
        <v>0</v>
      </c>
      <c r="Q40" s="13">
        <v>0.2</v>
      </c>
      <c r="R40" s="13">
        <v>1</v>
      </c>
      <c r="S40" s="13">
        <v>1</v>
      </c>
      <c r="T40">
        <v>0</v>
      </c>
      <c r="U40">
        <v>361.82973436935299</v>
      </c>
      <c r="V40">
        <v>5.0761000000000003</v>
      </c>
      <c r="W40">
        <v>0</v>
      </c>
      <c r="X40">
        <v>0</v>
      </c>
      <c r="Y40">
        <v>0</v>
      </c>
      <c r="Z40" s="53">
        <v>9.4392925743255696E-2</v>
      </c>
    </row>
  </sheetData>
  <mergeCells count="5">
    <mergeCell ref="D2:D5"/>
    <mergeCell ref="B2:B5"/>
    <mergeCell ref="C2:C5"/>
    <mergeCell ref="A6:A17"/>
    <mergeCell ref="A18:A40"/>
  </mergeCells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1"/>
  <sheetViews>
    <sheetView workbookViewId="0">
      <pane xSplit="1" topLeftCell="B1" activePane="topRight" state="frozen"/>
      <selection pane="topRight" activeCell="C14" sqref="C14"/>
    </sheetView>
  </sheetViews>
  <sheetFormatPr defaultRowHeight="14.5" x14ac:dyDescent="0.35"/>
  <cols>
    <col min="1" max="1" width="4.26953125" style="41" customWidth="1"/>
    <col min="2" max="2" width="32" style="41" bestFit="1" customWidth="1"/>
    <col min="3" max="3" width="22.6328125" style="41" customWidth="1"/>
    <col min="4" max="4" width="23.7265625" style="41" customWidth="1"/>
    <col min="5" max="5" width="23.6328125" style="41" customWidth="1"/>
    <col min="6" max="6" width="24.7265625" style="41" customWidth="1"/>
    <col min="7" max="7" width="25" style="41" customWidth="1"/>
    <col min="8" max="8" width="26.1796875" style="41" customWidth="1"/>
    <col min="9" max="9" width="26.08984375" style="41" customWidth="1"/>
    <col min="10" max="10" width="27.1796875" style="41" customWidth="1"/>
    <col min="11" max="16384" width="8.7265625" style="41"/>
  </cols>
  <sheetData>
    <row r="1" spans="1:10" x14ac:dyDescent="0.35">
      <c r="B1" s="6" t="s">
        <v>93</v>
      </c>
      <c r="C1" s="41" t="s">
        <v>67</v>
      </c>
      <c r="D1" s="41" t="s">
        <v>67</v>
      </c>
      <c r="E1" s="41" t="s">
        <v>67</v>
      </c>
      <c r="F1" s="41" t="s">
        <v>67</v>
      </c>
      <c r="G1" s="41" t="s">
        <v>67</v>
      </c>
      <c r="H1" s="41" t="s">
        <v>67</v>
      </c>
      <c r="I1" s="41" t="s">
        <v>67</v>
      </c>
      <c r="J1" s="41" t="s">
        <v>67</v>
      </c>
    </row>
    <row r="2" spans="1:10" x14ac:dyDescent="0.35">
      <c r="B2" s="6" t="s">
        <v>86</v>
      </c>
      <c r="C2" s="25">
        <v>18.600000000000001</v>
      </c>
      <c r="D2" s="25">
        <v>18.600000000000001</v>
      </c>
      <c r="E2" s="25">
        <v>18.600000000000001</v>
      </c>
      <c r="F2" s="25">
        <v>18.600000000000001</v>
      </c>
      <c r="G2" s="25">
        <v>18.600000000000001</v>
      </c>
      <c r="H2" s="25">
        <v>18.600000000000001</v>
      </c>
      <c r="I2" s="25">
        <v>18.600000000000001</v>
      </c>
      <c r="J2" s="25">
        <v>18.600000000000001</v>
      </c>
    </row>
    <row r="3" spans="1:10" x14ac:dyDescent="0.35">
      <c r="B3" t="s">
        <v>59</v>
      </c>
      <c r="C3" s="41" t="s">
        <v>48</v>
      </c>
      <c r="D3" s="41" t="s">
        <v>56</v>
      </c>
      <c r="E3" s="41" t="s">
        <v>48</v>
      </c>
      <c r="F3" s="41" t="s">
        <v>56</v>
      </c>
      <c r="G3" s="41" t="s">
        <v>48</v>
      </c>
      <c r="H3" s="41" t="s">
        <v>56</v>
      </c>
      <c r="I3" s="41" t="s">
        <v>48</v>
      </c>
      <c r="J3" s="41" t="s">
        <v>56</v>
      </c>
    </row>
    <row r="4" spans="1:10" x14ac:dyDescent="0.35">
      <c r="B4" t="s">
        <v>70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</row>
    <row r="5" spans="1:10" x14ac:dyDescent="0.35">
      <c r="B5" s="41" t="s">
        <v>226</v>
      </c>
      <c r="C5" s="41" t="s">
        <v>227</v>
      </c>
      <c r="D5" s="41" t="s">
        <v>227</v>
      </c>
      <c r="E5" s="41" t="s">
        <v>228</v>
      </c>
      <c r="F5" s="41" t="s">
        <v>228</v>
      </c>
      <c r="G5" s="41" t="s">
        <v>229</v>
      </c>
      <c r="H5" s="41" t="s">
        <v>229</v>
      </c>
      <c r="I5" s="41" t="s">
        <v>230</v>
      </c>
      <c r="J5" s="41" t="s">
        <v>230</v>
      </c>
    </row>
    <row r="6" spans="1:10" x14ac:dyDescent="0.35">
      <c r="A6" s="121"/>
      <c r="B6" s="78" t="s">
        <v>71</v>
      </c>
      <c r="C6" s="41" t="str">
        <f>C1&amp;"_"&amp;C3&amp;"_"&amp;C4&amp;"_"&amp;C5</f>
        <v>NH3_AEC_None_Tower50</v>
      </c>
      <c r="D6" s="41" t="str">
        <f t="shared" ref="D6:J6" si="0">D1&amp;"_"&amp;D3&amp;"_"&amp;D4&amp;"_"&amp;D5</f>
        <v>NH3_SOEC_None_Tower50</v>
      </c>
      <c r="E6" s="41" t="str">
        <f t="shared" si="0"/>
        <v>NH3_AEC_None_Tower100</v>
      </c>
      <c r="F6" s="41" t="str">
        <f t="shared" si="0"/>
        <v>NH3_SOEC_None_Tower100</v>
      </c>
      <c r="G6" s="41" t="str">
        <f t="shared" si="0"/>
        <v>NH3_AEC_None_Parabolic50</v>
      </c>
      <c r="H6" s="41" t="str">
        <f t="shared" si="0"/>
        <v>NH3_SOEC_None_Parabolic50</v>
      </c>
      <c r="I6" s="41" t="str">
        <f t="shared" si="0"/>
        <v>NH3_AEC_None_Parabolic100</v>
      </c>
      <c r="J6" s="41" t="str">
        <f t="shared" si="0"/>
        <v>NH3_SOEC_None_Parabolic100</v>
      </c>
    </row>
    <row r="7" spans="1:10" x14ac:dyDescent="0.35">
      <c r="A7" s="40">
        <v>1</v>
      </c>
      <c r="B7" s="40" t="str">
        <f>Data_base_case!D6</f>
        <v>NH3 plant + ASU - AEC</v>
      </c>
      <c r="C7" s="40">
        <v>1</v>
      </c>
      <c r="D7" s="40">
        <v>0</v>
      </c>
      <c r="E7" s="40">
        <v>1</v>
      </c>
      <c r="F7" s="40">
        <v>0</v>
      </c>
      <c r="G7" s="40">
        <v>1</v>
      </c>
      <c r="H7" s="40">
        <v>0</v>
      </c>
      <c r="I7" s="40">
        <v>1</v>
      </c>
      <c r="J7" s="40">
        <v>0</v>
      </c>
    </row>
    <row r="8" spans="1:10" x14ac:dyDescent="0.35">
      <c r="A8" s="40">
        <f t="shared" ref="A8:A41" si="1">A7+1</f>
        <v>2</v>
      </c>
      <c r="B8" s="40" t="str">
        <f>Data_base_case!D7</f>
        <v>NH3 plant + ASU - SOEC</v>
      </c>
      <c r="C8" s="40">
        <v>0</v>
      </c>
      <c r="D8" s="40">
        <v>1</v>
      </c>
      <c r="E8" s="40">
        <v>0</v>
      </c>
      <c r="F8" s="40">
        <v>1</v>
      </c>
      <c r="G8" s="40">
        <v>0</v>
      </c>
      <c r="H8" s="40">
        <v>1</v>
      </c>
      <c r="I8" s="40">
        <v>0</v>
      </c>
      <c r="J8" s="40">
        <v>1</v>
      </c>
    </row>
    <row r="9" spans="1:10" x14ac:dyDescent="0.35">
      <c r="A9" s="40">
        <f t="shared" si="1"/>
        <v>3</v>
      </c>
      <c r="B9" s="40" t="str">
        <f>Data_base_case!D8</f>
        <v>Desalination plant</v>
      </c>
      <c r="C9" s="40">
        <v>1</v>
      </c>
      <c r="D9" s="40">
        <v>1</v>
      </c>
      <c r="E9" s="40">
        <v>1</v>
      </c>
      <c r="F9" s="40">
        <v>1</v>
      </c>
      <c r="G9" s="40">
        <v>1</v>
      </c>
      <c r="H9" s="40">
        <v>1</v>
      </c>
      <c r="I9" s="40">
        <v>1</v>
      </c>
      <c r="J9" s="40">
        <v>1</v>
      </c>
    </row>
    <row r="10" spans="1:10" x14ac:dyDescent="0.35">
      <c r="A10" s="40">
        <f t="shared" si="1"/>
        <v>4</v>
      </c>
      <c r="B10" s="40" t="str">
        <f>Data_base_case!D9</f>
        <v>Electrolyser AEC</v>
      </c>
      <c r="C10" s="40">
        <v>1</v>
      </c>
      <c r="D10" s="40">
        <v>0</v>
      </c>
      <c r="E10" s="40">
        <v>1</v>
      </c>
      <c r="F10" s="40">
        <v>0</v>
      </c>
      <c r="G10" s="40">
        <v>1</v>
      </c>
      <c r="H10" s="40">
        <v>0</v>
      </c>
      <c r="I10" s="40">
        <v>1</v>
      </c>
      <c r="J10" s="40">
        <v>0</v>
      </c>
    </row>
    <row r="11" spans="1:10" x14ac:dyDescent="0.35">
      <c r="A11" s="40">
        <f t="shared" si="1"/>
        <v>5</v>
      </c>
      <c r="B11" s="40" t="str">
        <f>Data_base_case!D10</f>
        <v>Electrolyser SOEC</v>
      </c>
      <c r="C11" s="40">
        <v>0</v>
      </c>
      <c r="D11" s="40">
        <v>1</v>
      </c>
      <c r="E11" s="40">
        <v>0</v>
      </c>
      <c r="F11" s="40">
        <v>1</v>
      </c>
      <c r="G11" s="40">
        <v>0</v>
      </c>
      <c r="H11" s="40">
        <v>1</v>
      </c>
      <c r="I11" s="40">
        <v>0</v>
      </c>
      <c r="J11" s="40">
        <v>1</v>
      </c>
    </row>
    <row r="12" spans="1:10" x14ac:dyDescent="0.35">
      <c r="A12" s="40">
        <f t="shared" si="1"/>
        <v>6</v>
      </c>
      <c r="B12" s="40" t="str">
        <f>Data_base_case!D11</f>
        <v>H2 pipeline to NH3 plant</v>
      </c>
      <c r="C12" s="40">
        <v>1</v>
      </c>
      <c r="D12" s="40">
        <v>1</v>
      </c>
      <c r="E12" s="40">
        <v>1</v>
      </c>
      <c r="F12" s="40">
        <v>1</v>
      </c>
      <c r="G12" s="40">
        <v>1</v>
      </c>
      <c r="H12" s="40">
        <v>1</v>
      </c>
      <c r="I12" s="40">
        <v>1</v>
      </c>
      <c r="J12" s="40">
        <v>1</v>
      </c>
    </row>
    <row r="13" spans="1:10" x14ac:dyDescent="0.35">
      <c r="A13" s="40">
        <f t="shared" si="1"/>
        <v>7</v>
      </c>
      <c r="B13" s="40" t="str">
        <f>Data_base_case!D12</f>
        <v>Sale of oxygen</v>
      </c>
      <c r="C13" s="40">
        <v>1</v>
      </c>
      <c r="D13" s="40">
        <v>1</v>
      </c>
      <c r="E13" s="40">
        <v>1</v>
      </c>
      <c r="F13" s="40">
        <v>1</v>
      </c>
      <c r="G13" s="40">
        <v>1</v>
      </c>
      <c r="H13" s="40">
        <v>1</v>
      </c>
      <c r="I13" s="40">
        <v>1</v>
      </c>
      <c r="J13" s="40">
        <v>1</v>
      </c>
    </row>
    <row r="14" spans="1:10" x14ac:dyDescent="0.35">
      <c r="A14" s="40">
        <f t="shared" si="1"/>
        <v>8</v>
      </c>
      <c r="B14" s="40" t="str">
        <f>Data_base_case!D13</f>
        <v>Heat from district heating</v>
      </c>
      <c r="C14" s="40">
        <v>1</v>
      </c>
      <c r="D14" s="40">
        <v>1</v>
      </c>
      <c r="E14" s="40">
        <v>1</v>
      </c>
      <c r="F14" s="40">
        <v>1</v>
      </c>
      <c r="G14" s="40">
        <v>1</v>
      </c>
      <c r="H14" s="40">
        <v>1</v>
      </c>
      <c r="I14" s="40">
        <v>1</v>
      </c>
      <c r="J14" s="40">
        <v>1</v>
      </c>
    </row>
    <row r="15" spans="1:10" x14ac:dyDescent="0.35">
      <c r="A15" s="40">
        <f t="shared" si="1"/>
        <v>9</v>
      </c>
      <c r="B15" s="40" t="str">
        <f>Data_base_case!D14</f>
        <v>Heat sent to district heating</v>
      </c>
      <c r="C15" s="40">
        <v>1</v>
      </c>
      <c r="D15" s="40">
        <v>1</v>
      </c>
      <c r="E15" s="40">
        <v>1</v>
      </c>
      <c r="F15" s="40">
        <v>1</v>
      </c>
      <c r="G15" s="40">
        <v>1</v>
      </c>
      <c r="H15" s="40">
        <v>1</v>
      </c>
      <c r="I15" s="40">
        <v>1</v>
      </c>
      <c r="J15" s="40">
        <v>1</v>
      </c>
    </row>
    <row r="16" spans="1:10" x14ac:dyDescent="0.35">
      <c r="A16" s="40">
        <f t="shared" si="1"/>
        <v>10</v>
      </c>
      <c r="B16" s="40" t="str">
        <f>Data_base_case!D15</f>
        <v>H2 pipes compressor</v>
      </c>
      <c r="C16" s="40">
        <v>1</v>
      </c>
      <c r="D16" s="40">
        <v>1</v>
      </c>
      <c r="E16" s="40">
        <v>1</v>
      </c>
      <c r="F16" s="40">
        <v>1</v>
      </c>
      <c r="G16" s="40">
        <v>1</v>
      </c>
      <c r="H16" s="40">
        <v>1</v>
      </c>
      <c r="I16" s="40">
        <v>1</v>
      </c>
      <c r="J16" s="40">
        <v>1</v>
      </c>
    </row>
    <row r="17" spans="1:10" x14ac:dyDescent="0.35">
      <c r="A17" s="40">
        <f t="shared" si="1"/>
        <v>11</v>
      </c>
      <c r="B17" s="40" t="str">
        <f>Data_base_case!D16</f>
        <v>H2 pipes valve</v>
      </c>
      <c r="C17" s="40">
        <v>1</v>
      </c>
      <c r="D17" s="40">
        <v>1</v>
      </c>
      <c r="E17" s="40">
        <v>1</v>
      </c>
      <c r="F17" s="40">
        <v>1</v>
      </c>
      <c r="G17" s="40">
        <v>1</v>
      </c>
      <c r="H17" s="40">
        <v>1</v>
      </c>
      <c r="I17" s="40">
        <v>1</v>
      </c>
      <c r="J17" s="40">
        <v>1</v>
      </c>
    </row>
    <row r="18" spans="1:10" x14ac:dyDescent="0.35">
      <c r="A18" s="40">
        <f t="shared" si="1"/>
        <v>12</v>
      </c>
      <c r="B18" s="40" t="str">
        <f>Data_base_case!D17</f>
        <v>H2 buried pipes</v>
      </c>
      <c r="C18" s="40">
        <v>1</v>
      </c>
      <c r="D18" s="40">
        <v>1</v>
      </c>
      <c r="E18" s="40">
        <v>1</v>
      </c>
      <c r="F18" s="40">
        <v>1</v>
      </c>
      <c r="G18" s="40">
        <v>1</v>
      </c>
      <c r="H18" s="40">
        <v>1</v>
      </c>
      <c r="I18" s="40">
        <v>1</v>
      </c>
      <c r="J18" s="40">
        <v>1</v>
      </c>
    </row>
    <row r="19" spans="1:10" x14ac:dyDescent="0.35">
      <c r="A19" s="40">
        <f t="shared" si="1"/>
        <v>13</v>
      </c>
      <c r="B19" s="40" t="str">
        <f>Data_base_case!D18</f>
        <v>Solar tracking</v>
      </c>
      <c r="C19" s="40">
        <v>1</v>
      </c>
      <c r="D19" s="40">
        <v>1</v>
      </c>
      <c r="E19" s="40">
        <v>1</v>
      </c>
      <c r="F19" s="40">
        <v>1</v>
      </c>
      <c r="G19" s="40">
        <v>1</v>
      </c>
      <c r="H19" s="40">
        <v>1</v>
      </c>
      <c r="I19" s="40">
        <v>1</v>
      </c>
      <c r="J19" s="40">
        <v>1</v>
      </c>
    </row>
    <row r="20" spans="1:10" x14ac:dyDescent="0.35">
      <c r="A20" s="40">
        <f t="shared" si="1"/>
        <v>14</v>
      </c>
      <c r="B20" s="40" t="str">
        <f>Data_base_case!D19</f>
        <v>CSP Plant tower 50 MW</v>
      </c>
      <c r="C20" s="40">
        <v>1</v>
      </c>
      <c r="D20" s="40">
        <v>1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</row>
    <row r="21" spans="1:10" x14ac:dyDescent="0.35">
      <c r="A21" s="40">
        <f t="shared" si="1"/>
        <v>15</v>
      </c>
      <c r="B21" s="40" t="str">
        <f>Data_base_case!D20</f>
        <v>CSP Plant tower 100 MW</v>
      </c>
      <c r="C21" s="40">
        <v>0</v>
      </c>
      <c r="D21" s="40">
        <v>0</v>
      </c>
      <c r="E21" s="40">
        <v>1</v>
      </c>
      <c r="F21" s="40">
        <v>1</v>
      </c>
      <c r="G21" s="40">
        <v>0</v>
      </c>
      <c r="H21" s="40">
        <v>0</v>
      </c>
      <c r="I21" s="40">
        <v>0</v>
      </c>
      <c r="J21" s="40">
        <v>0</v>
      </c>
    </row>
    <row r="22" spans="1:10" x14ac:dyDescent="0.35">
      <c r="A22" s="40">
        <f t="shared" si="1"/>
        <v>16</v>
      </c>
      <c r="B22" s="40" t="str">
        <f>Data_base_case!D21</f>
        <v>CSP Plant parabolic 50 MW</v>
      </c>
      <c r="C22" s="40">
        <v>0</v>
      </c>
      <c r="D22" s="40">
        <v>0</v>
      </c>
      <c r="E22" s="40">
        <v>0</v>
      </c>
      <c r="F22" s="40">
        <v>0</v>
      </c>
      <c r="G22" s="40">
        <v>1</v>
      </c>
      <c r="H22" s="40">
        <v>1</v>
      </c>
      <c r="I22" s="40">
        <v>0</v>
      </c>
      <c r="J22" s="40">
        <v>0</v>
      </c>
    </row>
    <row r="23" spans="1:10" x14ac:dyDescent="0.35">
      <c r="A23" s="40">
        <f t="shared" si="1"/>
        <v>17</v>
      </c>
      <c r="B23" s="40" t="str">
        <f>Data_base_case!D22</f>
        <v>CSP Plant parabolic 100 MW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1</v>
      </c>
      <c r="J23" s="40">
        <v>1</v>
      </c>
    </row>
    <row r="24" spans="1:10" x14ac:dyDescent="0.35">
      <c r="A24" s="40">
        <f t="shared" si="1"/>
        <v>18</v>
      </c>
      <c r="B24" s="40" t="str">
        <f>Data_base_case!D23</f>
        <v>Charge TES</v>
      </c>
      <c r="C24" s="40">
        <v>1</v>
      </c>
      <c r="D24" s="40">
        <v>1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</row>
    <row r="25" spans="1:10" x14ac:dyDescent="0.35">
      <c r="A25" s="40">
        <f t="shared" si="1"/>
        <v>19</v>
      </c>
      <c r="B25" s="40" t="str">
        <f>Data_base_case!D24</f>
        <v>Discharge TES</v>
      </c>
      <c r="C25" s="40">
        <v>1</v>
      </c>
      <c r="D25" s="40">
        <v>1</v>
      </c>
      <c r="E25" s="40">
        <v>1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</row>
    <row r="26" spans="1:10" x14ac:dyDescent="0.35">
      <c r="A26" s="40">
        <f t="shared" si="1"/>
        <v>20</v>
      </c>
      <c r="B26" s="40" t="str">
        <f>Data_base_case!D25</f>
        <v>TES ST 50 MW</v>
      </c>
      <c r="C26" s="40">
        <v>1</v>
      </c>
      <c r="D26" s="40">
        <v>1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</row>
    <row r="27" spans="1:10" x14ac:dyDescent="0.35">
      <c r="A27" s="40">
        <f t="shared" si="1"/>
        <v>21</v>
      </c>
      <c r="B27" s="40" t="str">
        <f>Data_base_case!D26</f>
        <v>TES ST 100 MW</v>
      </c>
      <c r="C27" s="40">
        <v>0</v>
      </c>
      <c r="D27" s="40">
        <v>0</v>
      </c>
      <c r="E27" s="40">
        <v>1</v>
      </c>
      <c r="F27" s="40">
        <v>1</v>
      </c>
      <c r="G27" s="40">
        <v>0</v>
      </c>
      <c r="H27" s="40">
        <v>0</v>
      </c>
      <c r="I27" s="40">
        <v>0</v>
      </c>
      <c r="J27" s="40">
        <v>0</v>
      </c>
    </row>
    <row r="28" spans="1:10" x14ac:dyDescent="0.35">
      <c r="A28" s="40">
        <f t="shared" si="1"/>
        <v>22</v>
      </c>
      <c r="B28" s="40" t="str">
        <f>Data_base_case!D27</f>
        <v xml:space="preserve"> TES PT 50 MW</v>
      </c>
      <c r="C28" s="40">
        <v>0</v>
      </c>
      <c r="D28" s="40">
        <v>0</v>
      </c>
      <c r="E28" s="40">
        <v>0</v>
      </c>
      <c r="F28" s="40">
        <v>0</v>
      </c>
      <c r="G28" s="40">
        <v>1</v>
      </c>
      <c r="H28" s="40">
        <v>1</v>
      </c>
      <c r="I28" s="40">
        <v>0</v>
      </c>
      <c r="J28" s="40">
        <v>0</v>
      </c>
    </row>
    <row r="29" spans="1:10" x14ac:dyDescent="0.35">
      <c r="A29" s="40">
        <f t="shared" si="1"/>
        <v>23</v>
      </c>
      <c r="B29" s="40" t="str">
        <f>Data_base_case!D28</f>
        <v>TES PT 100 MW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1</v>
      </c>
      <c r="J29" s="40">
        <v>1</v>
      </c>
    </row>
    <row r="30" spans="1:10" x14ac:dyDescent="0.35">
      <c r="A30" s="40">
        <f t="shared" si="1"/>
        <v>24</v>
      </c>
      <c r="B30" s="40" t="str">
        <f>Data_base_case!D29</f>
        <v>CSP+TES</v>
      </c>
      <c r="C30" s="40">
        <v>1</v>
      </c>
      <c r="D30" s="40">
        <v>1</v>
      </c>
      <c r="E30" s="40">
        <v>1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</row>
    <row r="31" spans="1:10" x14ac:dyDescent="0.35">
      <c r="A31" s="40">
        <f t="shared" si="1"/>
        <v>25</v>
      </c>
      <c r="B31" s="40" t="str">
        <f>Data_base_case!D30</f>
        <v>ON-SP277-HH100</v>
      </c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>
        <v>1</v>
      </c>
      <c r="I31" s="40">
        <v>1</v>
      </c>
      <c r="J31" s="40">
        <v>1</v>
      </c>
    </row>
    <row r="32" spans="1:10" x14ac:dyDescent="0.35">
      <c r="A32" s="40">
        <f t="shared" si="1"/>
        <v>26</v>
      </c>
      <c r="B32" s="40" t="str">
        <f>Data_base_case!D31</f>
        <v>ON-SP335-HH100</v>
      </c>
      <c r="C32" s="40">
        <v>1</v>
      </c>
      <c r="D32" s="40">
        <v>1</v>
      </c>
      <c r="E32" s="40">
        <v>1</v>
      </c>
      <c r="F32" s="40">
        <v>1</v>
      </c>
      <c r="G32" s="40">
        <v>1</v>
      </c>
      <c r="H32" s="40">
        <v>1</v>
      </c>
      <c r="I32" s="40">
        <v>1</v>
      </c>
      <c r="J32" s="40">
        <v>1</v>
      </c>
    </row>
    <row r="33" spans="1:10" x14ac:dyDescent="0.35">
      <c r="A33" s="40">
        <f t="shared" si="1"/>
        <v>27</v>
      </c>
      <c r="B33" s="40" t="str">
        <f>Data_base_case!D32</f>
        <v>OFF-1-SP316-HH150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</row>
    <row r="34" spans="1:10" x14ac:dyDescent="0.35">
      <c r="A34" s="40">
        <f t="shared" si="1"/>
        <v>28</v>
      </c>
      <c r="B34" s="40" t="str">
        <f>Data_base_case!D33</f>
        <v>OFF-1-SP370-HH150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</row>
    <row r="35" spans="1:10" x14ac:dyDescent="0.35">
      <c r="A35" s="40">
        <f t="shared" si="1"/>
        <v>29</v>
      </c>
      <c r="B35" s="40" t="str">
        <f>Data_base_case!D34</f>
        <v>OFF-2-SP316-HH150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</row>
    <row r="36" spans="1:10" x14ac:dyDescent="0.35">
      <c r="A36" s="40">
        <f t="shared" si="1"/>
        <v>30</v>
      </c>
      <c r="B36" s="40" t="str">
        <f>Data_base_case!D35</f>
        <v>OFF-2-SP370-HH150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</row>
    <row r="37" spans="1:10" x14ac:dyDescent="0.35">
      <c r="A37" s="40">
        <f t="shared" si="1"/>
        <v>31</v>
      </c>
      <c r="B37" s="40" t="str">
        <f>Data_base_case!D36</f>
        <v>Electricity from the grid</v>
      </c>
      <c r="C37" s="40">
        <v>1</v>
      </c>
      <c r="D37" s="40">
        <v>1</v>
      </c>
      <c r="E37" s="40">
        <v>1</v>
      </c>
      <c r="F37" s="40">
        <v>1</v>
      </c>
      <c r="G37" s="40">
        <v>1</v>
      </c>
      <c r="H37" s="40">
        <v>1</v>
      </c>
      <c r="I37" s="40">
        <v>1</v>
      </c>
      <c r="J37" s="40">
        <v>1</v>
      </c>
    </row>
    <row r="38" spans="1:10" x14ac:dyDescent="0.35">
      <c r="A38" s="40">
        <f t="shared" si="1"/>
        <v>32</v>
      </c>
      <c r="B38" s="40" t="str">
        <f>Data_base_case!D37</f>
        <v>Curtailment</v>
      </c>
      <c r="C38" s="40">
        <v>1</v>
      </c>
      <c r="D38" s="40">
        <v>1</v>
      </c>
      <c r="E38" s="40">
        <v>1</v>
      </c>
      <c r="F38" s="40">
        <v>1</v>
      </c>
      <c r="G38" s="40">
        <v>1</v>
      </c>
      <c r="H38" s="40">
        <v>1</v>
      </c>
      <c r="I38" s="40">
        <v>1</v>
      </c>
      <c r="J38" s="40">
        <v>1</v>
      </c>
    </row>
    <row r="39" spans="1:10" x14ac:dyDescent="0.35">
      <c r="A39" s="40">
        <f t="shared" si="1"/>
        <v>33</v>
      </c>
      <c r="B39" s="40" t="str">
        <f>Data_base_case!D38</f>
        <v>Charge batteries</v>
      </c>
      <c r="C39" s="40">
        <v>1</v>
      </c>
      <c r="D39" s="40">
        <v>1</v>
      </c>
      <c r="E39" s="40">
        <v>1</v>
      </c>
      <c r="F39" s="40">
        <v>1</v>
      </c>
      <c r="G39" s="40">
        <v>1</v>
      </c>
      <c r="H39" s="40">
        <v>1</v>
      </c>
      <c r="I39" s="40">
        <v>1</v>
      </c>
      <c r="J39" s="40">
        <v>1</v>
      </c>
    </row>
    <row r="40" spans="1:10" x14ac:dyDescent="0.35">
      <c r="A40" s="40">
        <f t="shared" si="1"/>
        <v>34</v>
      </c>
      <c r="B40" s="40" t="str">
        <f>Data_base_case!D39</f>
        <v>Discharge batteries</v>
      </c>
      <c r="C40" s="40">
        <v>1</v>
      </c>
      <c r="D40" s="40">
        <v>1</v>
      </c>
      <c r="E40" s="40">
        <v>1</v>
      </c>
      <c r="F40" s="40">
        <v>1</v>
      </c>
      <c r="G40" s="40">
        <v>1</v>
      </c>
      <c r="H40" s="40">
        <v>1</v>
      </c>
      <c r="I40" s="40">
        <v>1</v>
      </c>
      <c r="J40" s="40">
        <v>1</v>
      </c>
    </row>
    <row r="41" spans="1:10" x14ac:dyDescent="0.35">
      <c r="A41" s="40">
        <f t="shared" si="1"/>
        <v>35</v>
      </c>
      <c r="B41" s="40" t="str">
        <f>Data_base_case!D40</f>
        <v>Batteries</v>
      </c>
      <c r="C41" s="40">
        <v>1</v>
      </c>
      <c r="D41" s="40">
        <v>1</v>
      </c>
      <c r="E41" s="40">
        <v>1</v>
      </c>
      <c r="F41" s="40">
        <v>1</v>
      </c>
      <c r="G41" s="40">
        <v>1</v>
      </c>
      <c r="H41" s="40">
        <v>1</v>
      </c>
      <c r="I41" s="40">
        <v>1</v>
      </c>
      <c r="J41" s="40">
        <v>1</v>
      </c>
    </row>
  </sheetData>
  <conditionalFormatting sqref="C7:J41">
    <cfRule type="cellIs" dxfId="79" priority="1" operator="equal">
      <formula>1</formula>
    </cfRule>
    <cfRule type="cellIs" dxfId="78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8"/>
  <sheetViews>
    <sheetView tabSelected="1" workbookViewId="0">
      <selection activeCell="C113" sqref="C113"/>
    </sheetView>
  </sheetViews>
  <sheetFormatPr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30.179687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12" width="9.54296875" style="1" customWidth="1"/>
    <col min="13" max="14" width="8.7265625" style="1"/>
    <col min="15" max="15" width="0" style="1" hidden="1" customWidth="1"/>
    <col min="16" max="16384" width="8.7265625" style="1"/>
  </cols>
  <sheetData>
    <row r="1" spans="1:11" x14ac:dyDescent="0.35">
      <c r="A1" s="1" t="s">
        <v>104</v>
      </c>
    </row>
    <row r="2" spans="1:11" x14ac:dyDescent="0.35">
      <c r="A2" s="1" t="s">
        <v>111</v>
      </c>
    </row>
    <row r="4" spans="1:11" s="16" customFormat="1" x14ac:dyDescent="0.35">
      <c r="A4" s="29" t="s">
        <v>103</v>
      </c>
      <c r="B4" s="6" t="s">
        <v>79</v>
      </c>
      <c r="C4" s="6" t="s">
        <v>78</v>
      </c>
      <c r="D4" s="6" t="s">
        <v>52</v>
      </c>
      <c r="E4" s="6" t="s">
        <v>77</v>
      </c>
      <c r="F4" s="6" t="s">
        <v>53</v>
      </c>
      <c r="G4" s="16" t="s">
        <v>76</v>
      </c>
      <c r="H4" s="16" t="s">
        <v>54</v>
      </c>
    </row>
    <row r="5" spans="1:11" s="16" customFormat="1" ht="14.5" customHeight="1" x14ac:dyDescent="0.35">
      <c r="A5" s="30"/>
      <c r="B5" s="14" t="s">
        <v>85</v>
      </c>
      <c r="C5" s="14" t="s">
        <v>32</v>
      </c>
      <c r="D5" s="14" t="s">
        <v>74</v>
      </c>
      <c r="E5" s="123">
        <v>2020</v>
      </c>
      <c r="F5" s="14">
        <v>0</v>
      </c>
      <c r="G5" s="123">
        <v>2020</v>
      </c>
      <c r="H5" s="16">
        <f>INDEX(Data_base_case!$D$4:$Y$40,MATCH(Scenarios_definition!C5,Data_base_case!$D$4:$D$40,0),MATCH(Scenarios_definition!D5&amp;Scenarios_definition!G5,Data_base_case!$D$4:$Y$4,0))</f>
        <v>0</v>
      </c>
    </row>
    <row r="6" spans="1:11" s="161" customFormat="1" ht="14.5" customHeight="1" x14ac:dyDescent="0.35">
      <c r="A6" s="160"/>
      <c r="B6" s="27" t="s">
        <v>152</v>
      </c>
      <c r="C6" s="27" t="s">
        <v>36</v>
      </c>
      <c r="D6" s="27" t="s">
        <v>74</v>
      </c>
      <c r="E6" s="28">
        <v>2020</v>
      </c>
      <c r="F6" s="27">
        <v>0</v>
      </c>
      <c r="G6" s="28">
        <v>2020</v>
      </c>
      <c r="H6" s="161">
        <f>INDEX(Data_base_case!$D$4:$Y$40,MATCH(Scenarios_definition!C6,Data_base_case!$D$4:$D$40,0),MATCH(Scenarios_definition!D6&amp;Scenarios_definition!G6,Data_base_case!$D$4:$Y$4,0))</f>
        <v>1</v>
      </c>
    </row>
    <row r="7" spans="1:11" s="27" customFormat="1" ht="14.5" customHeight="1" x14ac:dyDescent="0.35">
      <c r="A7" s="162"/>
      <c r="B7" s="27" t="s">
        <v>152</v>
      </c>
      <c r="C7" s="124" t="s">
        <v>135</v>
      </c>
      <c r="D7" s="27" t="s">
        <v>74</v>
      </c>
      <c r="E7" s="28">
        <v>2020</v>
      </c>
      <c r="F7" s="27">
        <v>0</v>
      </c>
      <c r="G7" s="28">
        <v>2020</v>
      </c>
      <c r="H7" s="161">
        <f>INDEX(Data_base_case!$D$4:$Y$40,MATCH(Scenarios_definition!C7,Data_base_case!$D$4:$D$40,0),MATCH(Scenarios_definition!D7&amp;Scenarios_definition!G7,Data_base_case!$D$4:$Y$4,0))</f>
        <v>1</v>
      </c>
      <c r="K7" s="161"/>
    </row>
    <row r="8" spans="1:11" s="27" customFormat="1" ht="14.5" customHeight="1" x14ac:dyDescent="0.35">
      <c r="A8" s="162"/>
      <c r="B8" s="27" t="s">
        <v>152</v>
      </c>
      <c r="C8" s="124" t="s">
        <v>137</v>
      </c>
      <c r="D8" s="27" t="s">
        <v>74</v>
      </c>
      <c r="E8" s="28">
        <v>2020</v>
      </c>
      <c r="F8" s="27">
        <v>0</v>
      </c>
      <c r="G8" s="28">
        <v>2020</v>
      </c>
      <c r="H8" s="161">
        <f>INDEX(Data_base_case!$D$4:$Y$40,MATCH(Scenarios_definition!C8,Data_base_case!$D$4:$D$40,0),MATCH(Scenarios_definition!D8&amp;Scenarios_definition!G8,Data_base_case!$D$4:$Y$4,0))</f>
        <v>1</v>
      </c>
      <c r="K8" s="161"/>
    </row>
    <row r="9" spans="1:11" s="27" customFormat="1" x14ac:dyDescent="0.35">
      <c r="A9" s="162"/>
      <c r="B9" s="27" t="s">
        <v>152</v>
      </c>
      <c r="C9" s="124" t="s">
        <v>140</v>
      </c>
      <c r="D9" s="27" t="s">
        <v>74</v>
      </c>
      <c r="E9" s="28">
        <v>2020</v>
      </c>
      <c r="F9" s="27">
        <v>0</v>
      </c>
      <c r="G9" s="28">
        <v>2020</v>
      </c>
      <c r="H9" s="161">
        <f>INDEX(Data_base_case!$D$4:$Y$40,MATCH(Scenarios_definition!C9,Data_base_case!$D$4:$D$40,0),MATCH(Scenarios_definition!D9&amp;Scenarios_definition!G9,Data_base_case!$D$4:$Y$4,0))</f>
        <v>1</v>
      </c>
      <c r="K9" s="161"/>
    </row>
    <row r="10" spans="1:11" s="27" customFormat="1" x14ac:dyDescent="0.35">
      <c r="B10" s="27" t="s">
        <v>152</v>
      </c>
      <c r="C10" s="124" t="s">
        <v>143</v>
      </c>
      <c r="D10" s="27" t="s">
        <v>74</v>
      </c>
      <c r="E10" s="28">
        <v>2020</v>
      </c>
      <c r="F10" s="27">
        <v>0</v>
      </c>
      <c r="G10" s="28">
        <v>2020</v>
      </c>
      <c r="H10" s="161">
        <f>INDEX(Data_base_case!$D$4:$Y$40,MATCH(Scenarios_definition!C10,Data_base_case!$D$4:$D$40,0),MATCH(Scenarios_definition!D10&amp;Scenarios_definition!G10,Data_base_case!$D$4:$Y$4,0))</f>
        <v>1</v>
      </c>
      <c r="K10" s="161"/>
    </row>
    <row r="11" spans="1:11" s="125" customFormat="1" x14ac:dyDescent="0.35">
      <c r="B11" s="125" t="s">
        <v>231</v>
      </c>
      <c r="C11" s="125" t="s">
        <v>207</v>
      </c>
      <c r="D11" s="125" t="s">
        <v>99</v>
      </c>
      <c r="E11" s="126">
        <v>2020</v>
      </c>
      <c r="F11" s="125">
        <f t="shared" ref="F11:F74" si="0">H11*I11</f>
        <v>516.06930057750481</v>
      </c>
      <c r="G11" s="126">
        <v>2020</v>
      </c>
      <c r="H11" s="163">
        <f>INDEX(Data_base_case!$D$4:$Y$40,MATCH(Scenarios_definition!C11,Data_base_case!$D$4:$D$40,0),MATCH(Scenarios_definition!D11&amp;Scenarios_definition!G11,Data_base_case!$D$4:$Y$4,0))</f>
        <v>3440.462003850032</v>
      </c>
      <c r="I11" s="125">
        <v>0.15</v>
      </c>
      <c r="K11" s="163"/>
    </row>
    <row r="12" spans="1:11" s="125" customFormat="1" x14ac:dyDescent="0.35">
      <c r="B12" s="125" t="s">
        <v>231</v>
      </c>
      <c r="C12" s="125" t="s">
        <v>218</v>
      </c>
      <c r="D12" s="125" t="s">
        <v>99</v>
      </c>
      <c r="E12" s="126">
        <v>2020</v>
      </c>
      <c r="F12" s="125">
        <f t="shared" si="0"/>
        <v>5.7341033397500532</v>
      </c>
      <c r="G12" s="126">
        <v>2020</v>
      </c>
      <c r="H12" s="163">
        <f>INDEX(Data_base_case!$D$4:$Y$40,MATCH(Scenarios_definition!C12,Data_base_case!$D$4:$D$40,0),MATCH(Scenarios_definition!D12&amp;Scenarios_definition!G12,Data_base_case!$D$4:$Y$4,0))</f>
        <v>38.227355598333688</v>
      </c>
      <c r="I12" s="125">
        <v>0.15</v>
      </c>
      <c r="K12" s="163"/>
    </row>
    <row r="13" spans="1:11" s="125" customFormat="1" x14ac:dyDescent="0.35">
      <c r="B13" s="125" t="s">
        <v>232</v>
      </c>
      <c r="C13" s="125" t="s">
        <v>207</v>
      </c>
      <c r="D13" s="125" t="s">
        <v>99</v>
      </c>
      <c r="E13" s="126">
        <v>2020</v>
      </c>
      <c r="F13" s="125">
        <f t="shared" si="0"/>
        <v>688.09240077000641</v>
      </c>
      <c r="G13" s="126">
        <v>2020</v>
      </c>
      <c r="H13" s="163">
        <f>INDEX(Data_base_case!$D$4:$Y$40,MATCH(Scenarios_definition!C13,Data_base_case!$D$4:$D$40,0),MATCH(Scenarios_definition!D13&amp;Scenarios_definition!G13,Data_base_case!$D$4:$Y$4,0))</f>
        <v>3440.462003850032</v>
      </c>
      <c r="I13" s="125">
        <v>0.2</v>
      </c>
      <c r="K13" s="163"/>
    </row>
    <row r="14" spans="1:11" s="125" customFormat="1" x14ac:dyDescent="0.35">
      <c r="B14" s="125" t="s">
        <v>232</v>
      </c>
      <c r="C14" s="125" t="s">
        <v>218</v>
      </c>
      <c r="D14" s="125" t="s">
        <v>99</v>
      </c>
      <c r="E14" s="126">
        <v>2020</v>
      </c>
      <c r="F14" s="125">
        <f t="shared" si="0"/>
        <v>7.6454711196667375</v>
      </c>
      <c r="G14" s="126">
        <v>2020</v>
      </c>
      <c r="H14" s="163">
        <f>INDEX(Data_base_case!$D$4:$Y$40,MATCH(Scenarios_definition!C14,Data_base_case!$D$4:$D$40,0),MATCH(Scenarios_definition!D14&amp;Scenarios_definition!G14,Data_base_case!$D$4:$Y$4,0))</f>
        <v>38.227355598333688</v>
      </c>
      <c r="I14" s="125">
        <v>0.2</v>
      </c>
      <c r="K14" s="163"/>
    </row>
    <row r="15" spans="1:11" s="125" customFormat="1" x14ac:dyDescent="0.35">
      <c r="B15" s="125" t="s">
        <v>153</v>
      </c>
      <c r="C15" s="125" t="s">
        <v>207</v>
      </c>
      <c r="D15" s="125" t="s">
        <v>99</v>
      </c>
      <c r="E15" s="126">
        <v>2020</v>
      </c>
      <c r="F15" s="125">
        <f t="shared" si="0"/>
        <v>860.11550096250801</v>
      </c>
      <c r="G15" s="126">
        <v>2020</v>
      </c>
      <c r="H15" s="163">
        <f>INDEX(Data_base_case!$D$4:$Y$40,MATCH(Scenarios_definition!C15,Data_base_case!$D$4:$D$40,0),MATCH(Scenarios_definition!D15&amp;Scenarios_definition!G15,Data_base_case!$D$4:$Y$4,0))</f>
        <v>3440.462003850032</v>
      </c>
      <c r="I15" s="125">
        <v>0.25</v>
      </c>
      <c r="K15" s="163"/>
    </row>
    <row r="16" spans="1:11" s="125" customFormat="1" x14ac:dyDescent="0.35">
      <c r="B16" s="125" t="s">
        <v>153</v>
      </c>
      <c r="C16" s="125" t="s">
        <v>218</v>
      </c>
      <c r="D16" s="125" t="s">
        <v>99</v>
      </c>
      <c r="E16" s="126">
        <v>2020</v>
      </c>
      <c r="F16" s="125">
        <f t="shared" si="0"/>
        <v>9.5568388995834219</v>
      </c>
      <c r="G16" s="126">
        <v>2020</v>
      </c>
      <c r="H16" s="163">
        <f>INDEX(Data_base_case!$D$4:$Y$40,MATCH(Scenarios_definition!C16,Data_base_case!$D$4:$D$40,0),MATCH(Scenarios_definition!D16&amp;Scenarios_definition!G16,Data_base_case!$D$4:$Y$4,0))</f>
        <v>38.227355598333688</v>
      </c>
      <c r="I16" s="125">
        <v>0.25</v>
      </c>
      <c r="K16" s="163"/>
    </row>
    <row r="17" spans="2:11" s="125" customFormat="1" x14ac:dyDescent="0.35">
      <c r="B17" s="125" t="s">
        <v>154</v>
      </c>
      <c r="C17" s="125" t="s">
        <v>207</v>
      </c>
      <c r="D17" s="125" t="s">
        <v>99</v>
      </c>
      <c r="E17" s="126">
        <v>2020</v>
      </c>
      <c r="F17" s="125">
        <f t="shared" si="0"/>
        <v>1376.1848015400128</v>
      </c>
      <c r="G17" s="126">
        <v>2020</v>
      </c>
      <c r="H17" s="163">
        <f>INDEX(Data_base_case!$D$4:$Y$40,MATCH(Scenarios_definition!C17,Data_base_case!$D$4:$D$40,0),MATCH(Scenarios_definition!D17&amp;Scenarios_definition!G17,Data_base_case!$D$4:$Y$4,0))</f>
        <v>3440.462003850032</v>
      </c>
      <c r="I17" s="125">
        <v>0.4</v>
      </c>
      <c r="K17" s="163"/>
    </row>
    <row r="18" spans="2:11" s="125" customFormat="1" x14ac:dyDescent="0.35">
      <c r="B18" s="125" t="s">
        <v>154</v>
      </c>
      <c r="C18" s="125" t="s">
        <v>218</v>
      </c>
      <c r="D18" s="125" t="s">
        <v>99</v>
      </c>
      <c r="E18" s="126">
        <v>2020</v>
      </c>
      <c r="F18" s="125">
        <f t="shared" si="0"/>
        <v>15.290942239333475</v>
      </c>
      <c r="G18" s="126">
        <v>2020</v>
      </c>
      <c r="H18" s="163">
        <f>INDEX(Data_base_case!$D$4:$Y$40,MATCH(Scenarios_definition!C18,Data_base_case!$D$4:$D$40,0),MATCH(Scenarios_definition!D18&amp;Scenarios_definition!G18,Data_base_case!$D$4:$Y$4,0))</f>
        <v>38.227355598333688</v>
      </c>
      <c r="I18" s="125">
        <v>0.4</v>
      </c>
      <c r="K18" s="163"/>
    </row>
    <row r="19" spans="2:11" s="125" customFormat="1" x14ac:dyDescent="0.35">
      <c r="B19" s="125" t="s">
        <v>155</v>
      </c>
      <c r="C19" s="125" t="s">
        <v>207</v>
      </c>
      <c r="D19" s="125" t="s">
        <v>99</v>
      </c>
      <c r="E19" s="126">
        <v>2020</v>
      </c>
      <c r="F19" s="125">
        <f t="shared" si="0"/>
        <v>1548.2079017325145</v>
      </c>
      <c r="G19" s="126">
        <v>2020</v>
      </c>
      <c r="H19" s="163">
        <f>INDEX(Data_base_case!$D$4:$Y$40,MATCH(Scenarios_definition!C19,Data_base_case!$D$4:$D$40,0),MATCH(Scenarios_definition!D19&amp;Scenarios_definition!G19,Data_base_case!$D$4:$Y$4,0))</f>
        <v>3440.462003850032</v>
      </c>
      <c r="I19" s="125">
        <v>0.45</v>
      </c>
      <c r="K19" s="163"/>
    </row>
    <row r="20" spans="2:11" s="125" customFormat="1" x14ac:dyDescent="0.35">
      <c r="B20" s="125" t="s">
        <v>155</v>
      </c>
      <c r="C20" s="125" t="s">
        <v>218</v>
      </c>
      <c r="D20" s="125" t="s">
        <v>99</v>
      </c>
      <c r="E20" s="126">
        <v>2020</v>
      </c>
      <c r="F20" s="125">
        <f t="shared" si="0"/>
        <v>17.202310019250159</v>
      </c>
      <c r="G20" s="126">
        <v>2020</v>
      </c>
      <c r="H20" s="163">
        <f>INDEX(Data_base_case!$D$4:$Y$40,MATCH(Scenarios_definition!C20,Data_base_case!$D$4:$D$40,0),MATCH(Scenarios_definition!D20&amp;Scenarios_definition!G20,Data_base_case!$D$4:$Y$4,0))</f>
        <v>38.227355598333688</v>
      </c>
      <c r="I20" s="125">
        <v>0.45</v>
      </c>
      <c r="K20" s="163"/>
    </row>
    <row r="21" spans="2:11" s="125" customFormat="1" x14ac:dyDescent="0.35">
      <c r="B21" s="125" t="s">
        <v>156</v>
      </c>
      <c r="C21" s="125" t="s">
        <v>207</v>
      </c>
      <c r="D21" s="125" t="s">
        <v>99</v>
      </c>
      <c r="E21" s="126">
        <v>2020</v>
      </c>
      <c r="F21" s="125">
        <f t="shared" si="0"/>
        <v>1720.231001925016</v>
      </c>
      <c r="G21" s="126">
        <v>2020</v>
      </c>
      <c r="H21" s="163">
        <f>INDEX(Data_base_case!$D$4:$Y$40,MATCH(Scenarios_definition!C21,Data_base_case!$D$4:$D$40,0),MATCH(Scenarios_definition!D21&amp;Scenarios_definition!G21,Data_base_case!$D$4:$Y$4,0))</f>
        <v>3440.462003850032</v>
      </c>
      <c r="I21" s="125">
        <v>0.5</v>
      </c>
      <c r="K21" s="163"/>
    </row>
    <row r="22" spans="2:11" s="125" customFormat="1" x14ac:dyDescent="0.35">
      <c r="B22" s="125" t="s">
        <v>156</v>
      </c>
      <c r="C22" s="125" t="s">
        <v>218</v>
      </c>
      <c r="D22" s="125" t="s">
        <v>99</v>
      </c>
      <c r="E22" s="126">
        <v>2020</v>
      </c>
      <c r="F22" s="125">
        <f t="shared" si="0"/>
        <v>19.113677799166844</v>
      </c>
      <c r="G22" s="126">
        <v>2020</v>
      </c>
      <c r="H22" s="163">
        <f>INDEX(Data_base_case!$D$4:$Y$40,MATCH(Scenarios_definition!C22,Data_base_case!$D$4:$D$40,0),MATCH(Scenarios_definition!D22&amp;Scenarios_definition!G22,Data_base_case!$D$4:$Y$4,0))</f>
        <v>38.227355598333688</v>
      </c>
      <c r="I22" s="125">
        <v>0.5</v>
      </c>
      <c r="K22" s="163"/>
    </row>
    <row r="23" spans="2:11" s="125" customFormat="1" x14ac:dyDescent="0.35">
      <c r="B23" s="125" t="s">
        <v>157</v>
      </c>
      <c r="C23" s="125" t="s">
        <v>207</v>
      </c>
      <c r="D23" s="125" t="s">
        <v>99</v>
      </c>
      <c r="E23" s="126">
        <v>2020</v>
      </c>
      <c r="F23" s="125">
        <f t="shared" si="0"/>
        <v>2064.2772023100192</v>
      </c>
      <c r="G23" s="126">
        <v>2020</v>
      </c>
      <c r="H23" s="163">
        <f>INDEX(Data_base_case!$D$4:$Y$40,MATCH(Scenarios_definition!C23,Data_base_case!$D$4:$D$40,0),MATCH(Scenarios_definition!D23&amp;Scenarios_definition!G23,Data_base_case!$D$4:$Y$4,0))</f>
        <v>3440.462003850032</v>
      </c>
      <c r="I23" s="125">
        <v>0.6</v>
      </c>
      <c r="K23" s="163"/>
    </row>
    <row r="24" spans="2:11" s="125" customFormat="1" x14ac:dyDescent="0.35">
      <c r="B24" s="125" t="s">
        <v>157</v>
      </c>
      <c r="C24" s="125" t="s">
        <v>218</v>
      </c>
      <c r="D24" s="125" t="s">
        <v>99</v>
      </c>
      <c r="E24" s="126">
        <v>2020</v>
      </c>
      <c r="F24" s="125">
        <f t="shared" si="0"/>
        <v>22.936413359000213</v>
      </c>
      <c r="G24" s="126">
        <v>2020</v>
      </c>
      <c r="H24" s="163">
        <f>INDEX(Data_base_case!$D$4:$Y$40,MATCH(Scenarios_definition!C24,Data_base_case!$D$4:$D$40,0),MATCH(Scenarios_definition!D24&amp;Scenarios_definition!G24,Data_base_case!$D$4:$Y$4,0))</f>
        <v>38.227355598333688</v>
      </c>
      <c r="I24" s="125">
        <v>0.6</v>
      </c>
      <c r="K24" s="163"/>
    </row>
    <row r="25" spans="2:11" s="125" customFormat="1" x14ac:dyDescent="0.35">
      <c r="B25" s="125" t="s">
        <v>158</v>
      </c>
      <c r="C25" s="125" t="s">
        <v>207</v>
      </c>
      <c r="D25" s="125" t="s">
        <v>99</v>
      </c>
      <c r="E25" s="126">
        <v>2020</v>
      </c>
      <c r="F25" s="125">
        <f t="shared" si="0"/>
        <v>2408.3234026950222</v>
      </c>
      <c r="G25" s="126">
        <v>2020</v>
      </c>
      <c r="H25" s="163">
        <f>INDEX(Data_base_case!$D$4:$Y$40,MATCH(Scenarios_definition!C25,Data_base_case!$D$4:$D$40,0),MATCH(Scenarios_definition!D25&amp;Scenarios_definition!G25,Data_base_case!$D$4:$Y$4,0))</f>
        <v>3440.462003850032</v>
      </c>
      <c r="I25" s="125">
        <v>0.7</v>
      </c>
      <c r="K25" s="163"/>
    </row>
    <row r="26" spans="2:11" s="125" customFormat="1" x14ac:dyDescent="0.35">
      <c r="B26" s="125" t="s">
        <v>158</v>
      </c>
      <c r="C26" s="125" t="s">
        <v>218</v>
      </c>
      <c r="D26" s="125" t="s">
        <v>99</v>
      </c>
      <c r="E26" s="126">
        <v>2020</v>
      </c>
      <c r="F26" s="125">
        <f t="shared" si="0"/>
        <v>26.759148918833581</v>
      </c>
      <c r="G26" s="126">
        <v>2020</v>
      </c>
      <c r="H26" s="163">
        <f>INDEX(Data_base_case!$D$4:$Y$40,MATCH(Scenarios_definition!C26,Data_base_case!$D$4:$D$40,0),MATCH(Scenarios_definition!D26&amp;Scenarios_definition!G26,Data_base_case!$D$4:$Y$4,0))</f>
        <v>38.227355598333688</v>
      </c>
      <c r="I26" s="125">
        <v>0.7</v>
      </c>
      <c r="K26" s="163"/>
    </row>
    <row r="27" spans="2:11" s="125" customFormat="1" x14ac:dyDescent="0.35">
      <c r="B27" s="125" t="s">
        <v>159</v>
      </c>
      <c r="C27" s="125" t="s">
        <v>207</v>
      </c>
      <c r="D27" s="125" t="s">
        <v>99</v>
      </c>
      <c r="E27" s="126">
        <v>2020</v>
      </c>
      <c r="F27" s="125">
        <f t="shared" si="0"/>
        <v>2752.3696030800256</v>
      </c>
      <c r="G27" s="126">
        <v>2020</v>
      </c>
      <c r="H27" s="163">
        <f>INDEX(Data_base_case!$D$4:$Y$40,MATCH(Scenarios_definition!C27,Data_base_case!$D$4:$D$40,0),MATCH(Scenarios_definition!D27&amp;Scenarios_definition!G27,Data_base_case!$D$4:$Y$4,0))</f>
        <v>3440.462003850032</v>
      </c>
      <c r="I27" s="125">
        <v>0.8</v>
      </c>
      <c r="K27" s="163"/>
    </row>
    <row r="28" spans="2:11" s="125" customFormat="1" x14ac:dyDescent="0.35">
      <c r="B28" s="125" t="s">
        <v>159</v>
      </c>
      <c r="C28" s="125" t="s">
        <v>218</v>
      </c>
      <c r="D28" s="125" t="s">
        <v>99</v>
      </c>
      <c r="E28" s="126">
        <v>2020</v>
      </c>
      <c r="F28" s="125">
        <f t="shared" si="0"/>
        <v>30.58188447866695</v>
      </c>
      <c r="G28" s="126">
        <v>2020</v>
      </c>
      <c r="H28" s="163">
        <f>INDEX(Data_base_case!$D$4:$Y$40,MATCH(Scenarios_definition!C28,Data_base_case!$D$4:$D$40,0),MATCH(Scenarios_definition!D28&amp;Scenarios_definition!G28,Data_base_case!$D$4:$Y$4,0))</f>
        <v>38.227355598333688</v>
      </c>
      <c r="I28" s="125">
        <v>0.8</v>
      </c>
      <c r="K28" s="163"/>
    </row>
    <row r="29" spans="2:11" s="125" customFormat="1" x14ac:dyDescent="0.35">
      <c r="B29" s="125" t="s">
        <v>160</v>
      </c>
      <c r="C29" s="125" t="s">
        <v>207</v>
      </c>
      <c r="D29" s="125" t="s">
        <v>99</v>
      </c>
      <c r="E29" s="126">
        <v>2020</v>
      </c>
      <c r="F29" s="125">
        <f t="shared" si="0"/>
        <v>3096.4158034650291</v>
      </c>
      <c r="G29" s="126">
        <v>2020</v>
      </c>
      <c r="H29" s="163">
        <f>INDEX(Data_base_case!$D$4:$Y$40,MATCH(Scenarios_definition!C29,Data_base_case!$D$4:$D$40,0),MATCH(Scenarios_definition!D29&amp;Scenarios_definition!G29,Data_base_case!$D$4:$Y$4,0))</f>
        <v>3440.462003850032</v>
      </c>
      <c r="I29" s="125">
        <v>0.9</v>
      </c>
      <c r="K29" s="163"/>
    </row>
    <row r="30" spans="2:11" s="125" customFormat="1" x14ac:dyDescent="0.35">
      <c r="B30" s="125" t="s">
        <v>160</v>
      </c>
      <c r="C30" s="125" t="s">
        <v>218</v>
      </c>
      <c r="D30" s="125" t="s">
        <v>99</v>
      </c>
      <c r="E30" s="126">
        <v>2020</v>
      </c>
      <c r="F30" s="125">
        <f t="shared" si="0"/>
        <v>34.404620038500319</v>
      </c>
      <c r="G30" s="126">
        <v>2020</v>
      </c>
      <c r="H30" s="163">
        <f>INDEX(Data_base_case!$D$4:$Y$40,MATCH(Scenarios_definition!C30,Data_base_case!$D$4:$D$40,0),MATCH(Scenarios_definition!D30&amp;Scenarios_definition!G30,Data_base_case!$D$4:$Y$4,0))</f>
        <v>38.227355598333688</v>
      </c>
      <c r="I30" s="125">
        <v>0.9</v>
      </c>
      <c r="K30" s="163"/>
    </row>
    <row r="31" spans="2:11" s="125" customFormat="1" x14ac:dyDescent="0.35">
      <c r="B31" s="125" t="s">
        <v>161</v>
      </c>
      <c r="C31" s="125" t="s">
        <v>207</v>
      </c>
      <c r="D31" s="125" t="s">
        <v>99</v>
      </c>
      <c r="E31" s="126">
        <v>2020</v>
      </c>
      <c r="F31" s="125">
        <f t="shared" si="0"/>
        <v>3784.5082042350355</v>
      </c>
      <c r="G31" s="126">
        <v>2020</v>
      </c>
      <c r="H31" s="163">
        <f>INDEX(Data_base_case!$D$4:$Y$40,MATCH(Scenarios_definition!C31,Data_base_case!$D$4:$D$40,0),MATCH(Scenarios_definition!D31&amp;Scenarios_definition!G31,Data_base_case!$D$4:$Y$4,0))</f>
        <v>3440.462003850032</v>
      </c>
      <c r="I31" s="125">
        <v>1.1000000000000001</v>
      </c>
      <c r="K31" s="163"/>
    </row>
    <row r="32" spans="2:11" s="125" customFormat="1" x14ac:dyDescent="0.35">
      <c r="B32" s="125" t="s">
        <v>161</v>
      </c>
      <c r="C32" s="125" t="s">
        <v>218</v>
      </c>
      <c r="D32" s="125" t="s">
        <v>99</v>
      </c>
      <c r="E32" s="126">
        <v>2020</v>
      </c>
      <c r="F32" s="125">
        <f t="shared" si="0"/>
        <v>42.050091158167056</v>
      </c>
      <c r="G32" s="126">
        <v>2020</v>
      </c>
      <c r="H32" s="163">
        <f>INDEX(Data_base_case!$D$4:$Y$40,MATCH(Scenarios_definition!C32,Data_base_case!$D$4:$D$40,0),MATCH(Scenarios_definition!D32&amp;Scenarios_definition!G32,Data_base_case!$D$4:$Y$4,0))</f>
        <v>38.227355598333688</v>
      </c>
      <c r="I32" s="125">
        <v>1.1000000000000001</v>
      </c>
      <c r="K32" s="163"/>
    </row>
    <row r="33" spans="2:11" s="125" customFormat="1" x14ac:dyDescent="0.35">
      <c r="B33" s="125" t="s">
        <v>162</v>
      </c>
      <c r="C33" s="125" t="s">
        <v>207</v>
      </c>
      <c r="D33" s="125" t="s">
        <v>99</v>
      </c>
      <c r="E33" s="126">
        <v>2020</v>
      </c>
      <c r="F33" s="125">
        <f t="shared" si="0"/>
        <v>4128.5544046200384</v>
      </c>
      <c r="G33" s="126">
        <v>2020</v>
      </c>
      <c r="H33" s="163">
        <f>INDEX(Data_base_case!$D$4:$Y$40,MATCH(Scenarios_definition!C33,Data_base_case!$D$4:$D$40,0),MATCH(Scenarios_definition!D33&amp;Scenarios_definition!G33,Data_base_case!$D$4:$Y$4,0))</f>
        <v>3440.462003850032</v>
      </c>
      <c r="I33" s="125">
        <v>1.2</v>
      </c>
      <c r="K33" s="163"/>
    </row>
    <row r="34" spans="2:11" s="125" customFormat="1" x14ac:dyDescent="0.35">
      <c r="B34" s="125" t="s">
        <v>162</v>
      </c>
      <c r="C34" s="125" t="s">
        <v>218</v>
      </c>
      <c r="D34" s="125" t="s">
        <v>99</v>
      </c>
      <c r="E34" s="126">
        <v>2020</v>
      </c>
      <c r="F34" s="125">
        <f t="shared" si="0"/>
        <v>45.872826718000425</v>
      </c>
      <c r="G34" s="126">
        <v>2020</v>
      </c>
      <c r="H34" s="163">
        <f>INDEX(Data_base_case!$D$4:$Y$40,MATCH(Scenarios_definition!C34,Data_base_case!$D$4:$D$40,0),MATCH(Scenarios_definition!D34&amp;Scenarios_definition!G34,Data_base_case!$D$4:$Y$4,0))</f>
        <v>38.227355598333688</v>
      </c>
      <c r="I34" s="125">
        <v>1.2</v>
      </c>
      <c r="K34" s="163"/>
    </row>
    <row r="35" spans="2:11" s="125" customFormat="1" x14ac:dyDescent="0.35">
      <c r="B35" s="125" t="s">
        <v>163</v>
      </c>
      <c r="C35" s="125" t="s">
        <v>207</v>
      </c>
      <c r="D35" s="125" t="s">
        <v>99</v>
      </c>
      <c r="E35" s="126">
        <v>2020</v>
      </c>
      <c r="F35" s="125">
        <f t="shared" si="0"/>
        <v>4472.6006050050419</v>
      </c>
      <c r="G35" s="126">
        <v>2020</v>
      </c>
      <c r="H35" s="163">
        <f>INDEX(Data_base_case!$D$4:$Y$40,MATCH(Scenarios_definition!C35,Data_base_case!$D$4:$D$40,0),MATCH(Scenarios_definition!D35&amp;Scenarios_definition!G35,Data_base_case!$D$4:$Y$4,0))</f>
        <v>3440.462003850032</v>
      </c>
      <c r="I35" s="125">
        <v>1.3</v>
      </c>
      <c r="K35" s="163"/>
    </row>
    <row r="36" spans="2:11" s="125" customFormat="1" x14ac:dyDescent="0.35">
      <c r="B36" s="125" t="s">
        <v>163</v>
      </c>
      <c r="C36" s="125" t="s">
        <v>218</v>
      </c>
      <c r="D36" s="125" t="s">
        <v>99</v>
      </c>
      <c r="E36" s="126">
        <v>2020</v>
      </c>
      <c r="F36" s="125">
        <f t="shared" si="0"/>
        <v>49.695562277833794</v>
      </c>
      <c r="G36" s="126">
        <v>2020</v>
      </c>
      <c r="H36" s="163">
        <f>INDEX(Data_base_case!$D$4:$Y$40,MATCH(Scenarios_definition!C36,Data_base_case!$D$4:$D$40,0),MATCH(Scenarios_definition!D36&amp;Scenarios_definition!G36,Data_base_case!$D$4:$Y$4,0))</f>
        <v>38.227355598333688</v>
      </c>
      <c r="I36" s="125">
        <v>1.3</v>
      </c>
      <c r="K36" s="163"/>
    </row>
    <row r="37" spans="2:11" s="125" customFormat="1" x14ac:dyDescent="0.35">
      <c r="B37" s="125" t="s">
        <v>164</v>
      </c>
      <c r="C37" s="125" t="s">
        <v>207</v>
      </c>
      <c r="D37" s="125" t="s">
        <v>99</v>
      </c>
      <c r="E37" s="126">
        <v>2020</v>
      </c>
      <c r="F37" s="125">
        <f t="shared" si="0"/>
        <v>4816.6468053900444</v>
      </c>
      <c r="G37" s="126">
        <v>2020</v>
      </c>
      <c r="H37" s="163">
        <f>INDEX(Data_base_case!$D$4:$Y$40,MATCH(Scenarios_definition!C37,Data_base_case!$D$4:$D$40,0),MATCH(Scenarios_definition!D37&amp;Scenarios_definition!G37,Data_base_case!$D$4:$Y$4,0))</f>
        <v>3440.462003850032</v>
      </c>
      <c r="I37" s="125">
        <v>1.4</v>
      </c>
      <c r="K37" s="163"/>
    </row>
    <row r="38" spans="2:11" s="125" customFormat="1" x14ac:dyDescent="0.35">
      <c r="B38" s="125" t="s">
        <v>164</v>
      </c>
      <c r="C38" s="125" t="s">
        <v>218</v>
      </c>
      <c r="D38" s="125" t="s">
        <v>99</v>
      </c>
      <c r="E38" s="126">
        <v>2020</v>
      </c>
      <c r="F38" s="125">
        <f t="shared" si="0"/>
        <v>53.518297837667163</v>
      </c>
      <c r="G38" s="126">
        <v>2020</v>
      </c>
      <c r="H38" s="163">
        <f>INDEX(Data_base_case!$D$4:$Y$40,MATCH(Scenarios_definition!C38,Data_base_case!$D$4:$D$40,0),MATCH(Scenarios_definition!D38&amp;Scenarios_definition!G38,Data_base_case!$D$4:$Y$4,0))</f>
        <v>38.227355598333688</v>
      </c>
      <c r="I38" s="125">
        <v>1.4</v>
      </c>
      <c r="K38" s="163"/>
    </row>
    <row r="39" spans="2:11" s="125" customFormat="1" x14ac:dyDescent="0.35">
      <c r="B39" s="125" t="s">
        <v>165</v>
      </c>
      <c r="C39" s="125" t="s">
        <v>207</v>
      </c>
      <c r="D39" s="125" t="s">
        <v>99</v>
      </c>
      <c r="E39" s="126">
        <v>2020</v>
      </c>
      <c r="F39" s="125">
        <f t="shared" si="0"/>
        <v>5160.6930057750478</v>
      </c>
      <c r="G39" s="126">
        <v>2020</v>
      </c>
      <c r="H39" s="163">
        <f>INDEX(Data_base_case!$D$4:$Y$40,MATCH(Scenarios_definition!C39,Data_base_case!$D$4:$D$40,0),MATCH(Scenarios_definition!D39&amp;Scenarios_definition!G39,Data_base_case!$D$4:$Y$4,0))</f>
        <v>3440.462003850032</v>
      </c>
      <c r="I39" s="125">
        <v>1.5</v>
      </c>
      <c r="K39" s="163"/>
    </row>
    <row r="40" spans="2:11" s="125" customFormat="1" x14ac:dyDescent="0.35">
      <c r="B40" s="125" t="s">
        <v>165</v>
      </c>
      <c r="C40" s="125" t="s">
        <v>218</v>
      </c>
      <c r="D40" s="125" t="s">
        <v>99</v>
      </c>
      <c r="E40" s="126">
        <v>2020</v>
      </c>
      <c r="F40" s="125">
        <f t="shared" si="0"/>
        <v>57.341033397500532</v>
      </c>
      <c r="G40" s="126">
        <v>2020</v>
      </c>
      <c r="H40" s="163">
        <f>INDEX(Data_base_case!$D$4:$Y$40,MATCH(Scenarios_definition!C40,Data_base_case!$D$4:$D$40,0),MATCH(Scenarios_definition!D40&amp;Scenarios_definition!G40,Data_base_case!$D$4:$Y$4,0))</f>
        <v>38.227355598333688</v>
      </c>
      <c r="I40" s="125">
        <v>1.5</v>
      </c>
      <c r="K40" s="163"/>
    </row>
    <row r="41" spans="2:11" s="32" customFormat="1" x14ac:dyDescent="0.35">
      <c r="B41" s="32" t="s">
        <v>166</v>
      </c>
      <c r="C41" s="32" t="s">
        <v>35</v>
      </c>
      <c r="D41" s="32" t="s">
        <v>99</v>
      </c>
      <c r="E41" s="33" t="str">
        <f t="shared" ref="E5:E69" si="1">"2020"</f>
        <v>2020</v>
      </c>
      <c r="F41" s="32">
        <f t="shared" si="0"/>
        <v>180.9148671846765</v>
      </c>
      <c r="G41" s="33">
        <v>2020</v>
      </c>
      <c r="H41" s="164">
        <f>INDEX(Data_base_case!$D$4:$Y$40,MATCH(Scenarios_definition!C41,Data_base_case!$D$4:$D$40,0),MATCH(Scenarios_definition!D41&amp;Scenarios_definition!G41,Data_base_case!$D$4:$Y$4,0))</f>
        <v>361.82973436935299</v>
      </c>
      <c r="I41" s="32">
        <v>0.5</v>
      </c>
      <c r="K41" s="164"/>
    </row>
    <row r="42" spans="2:11" s="32" customFormat="1" x14ac:dyDescent="0.35">
      <c r="B42" s="32" t="s">
        <v>167</v>
      </c>
      <c r="C42" s="32" t="s">
        <v>35</v>
      </c>
      <c r="D42" s="32" t="s">
        <v>99</v>
      </c>
      <c r="E42" s="33" t="str">
        <f t="shared" si="1"/>
        <v>2020</v>
      </c>
      <c r="F42" s="32">
        <f t="shared" si="0"/>
        <v>217.09784062161179</v>
      </c>
      <c r="G42" s="33">
        <v>2020</v>
      </c>
      <c r="H42" s="164">
        <f>INDEX(Data_base_case!$D$4:$Y$40,MATCH(Scenarios_definition!C42,Data_base_case!$D$4:$D$40,0),MATCH(Scenarios_definition!D42&amp;Scenarios_definition!G42,Data_base_case!$D$4:$Y$4,0))</f>
        <v>361.82973436935299</v>
      </c>
      <c r="I42" s="32">
        <v>0.6</v>
      </c>
      <c r="K42" s="164"/>
    </row>
    <row r="43" spans="2:11" s="32" customFormat="1" x14ac:dyDescent="0.35">
      <c r="B43" s="32" t="s">
        <v>168</v>
      </c>
      <c r="C43" s="32" t="s">
        <v>35</v>
      </c>
      <c r="D43" s="32" t="s">
        <v>99</v>
      </c>
      <c r="E43" s="33" t="str">
        <f t="shared" si="1"/>
        <v>2020</v>
      </c>
      <c r="F43" s="32">
        <f t="shared" si="0"/>
        <v>253.28081405854707</v>
      </c>
      <c r="G43" s="33">
        <v>2020</v>
      </c>
      <c r="H43" s="164">
        <f>INDEX(Data_base_case!$D$4:$Y$40,MATCH(Scenarios_definition!C43,Data_base_case!$D$4:$D$40,0),MATCH(Scenarios_definition!D43&amp;Scenarios_definition!G43,Data_base_case!$D$4:$Y$4,0))</f>
        <v>361.82973436935299</v>
      </c>
      <c r="I43" s="32">
        <v>0.7</v>
      </c>
      <c r="K43" s="164"/>
    </row>
    <row r="44" spans="2:11" s="32" customFormat="1" x14ac:dyDescent="0.35">
      <c r="B44" s="32" t="s">
        <v>169</v>
      </c>
      <c r="C44" s="32" t="s">
        <v>35</v>
      </c>
      <c r="D44" s="32" t="s">
        <v>99</v>
      </c>
      <c r="E44" s="33" t="str">
        <f t="shared" si="1"/>
        <v>2020</v>
      </c>
      <c r="F44" s="32">
        <f t="shared" si="0"/>
        <v>289.46378749548239</v>
      </c>
      <c r="G44" s="33">
        <v>2020</v>
      </c>
      <c r="H44" s="164">
        <f>INDEX(Data_base_case!$D$4:$Y$40,MATCH(Scenarios_definition!C44,Data_base_case!$D$4:$D$40,0),MATCH(Scenarios_definition!D44&amp;Scenarios_definition!G44,Data_base_case!$D$4:$Y$4,0))</f>
        <v>361.82973436935299</v>
      </c>
      <c r="I44" s="32">
        <v>0.8</v>
      </c>
      <c r="K44" s="164"/>
    </row>
    <row r="45" spans="2:11" s="32" customFormat="1" x14ac:dyDescent="0.35">
      <c r="B45" s="32" t="s">
        <v>170</v>
      </c>
      <c r="C45" s="32" t="s">
        <v>35</v>
      </c>
      <c r="D45" s="32" t="s">
        <v>99</v>
      </c>
      <c r="E45" s="33" t="str">
        <f t="shared" si="1"/>
        <v>2020</v>
      </c>
      <c r="F45" s="32">
        <f t="shared" si="0"/>
        <v>325.64676093241769</v>
      </c>
      <c r="G45" s="33">
        <v>2020</v>
      </c>
      <c r="H45" s="164">
        <f>INDEX(Data_base_case!$D$4:$Y$40,MATCH(Scenarios_definition!C45,Data_base_case!$D$4:$D$40,0),MATCH(Scenarios_definition!D45&amp;Scenarios_definition!G45,Data_base_case!$D$4:$Y$4,0))</f>
        <v>361.82973436935299</v>
      </c>
      <c r="I45" s="32">
        <v>0.9</v>
      </c>
      <c r="K45" s="164"/>
    </row>
    <row r="46" spans="2:11" s="32" customFormat="1" x14ac:dyDescent="0.35">
      <c r="B46" s="32" t="s">
        <v>171</v>
      </c>
      <c r="C46" s="32" t="s">
        <v>35</v>
      </c>
      <c r="D46" s="32" t="s">
        <v>99</v>
      </c>
      <c r="E46" s="33" t="str">
        <f t="shared" si="1"/>
        <v>2020</v>
      </c>
      <c r="F46" s="32">
        <f t="shared" si="0"/>
        <v>398.01270780628835</v>
      </c>
      <c r="G46" s="33">
        <v>2020</v>
      </c>
      <c r="H46" s="164">
        <f>INDEX(Data_base_case!$D$4:$Y$40,MATCH(Scenarios_definition!C46,Data_base_case!$D$4:$D$40,0),MATCH(Scenarios_definition!D46&amp;Scenarios_definition!G46,Data_base_case!$D$4:$Y$4,0))</f>
        <v>361.82973436935299</v>
      </c>
      <c r="I46" s="32">
        <v>1.1000000000000001</v>
      </c>
      <c r="K46" s="164"/>
    </row>
    <row r="47" spans="2:11" s="32" customFormat="1" x14ac:dyDescent="0.35">
      <c r="B47" s="32" t="s">
        <v>172</v>
      </c>
      <c r="C47" s="32" t="s">
        <v>35</v>
      </c>
      <c r="D47" s="32" t="s">
        <v>99</v>
      </c>
      <c r="E47" s="33" t="str">
        <f t="shared" si="1"/>
        <v>2020</v>
      </c>
      <c r="F47" s="32">
        <f t="shared" si="0"/>
        <v>434.19568124322359</v>
      </c>
      <c r="G47" s="33">
        <v>2020</v>
      </c>
      <c r="H47" s="164">
        <f>INDEX(Data_base_case!$D$4:$Y$40,MATCH(Scenarios_definition!C47,Data_base_case!$D$4:$D$40,0),MATCH(Scenarios_definition!D47&amp;Scenarios_definition!G47,Data_base_case!$D$4:$Y$4,0))</f>
        <v>361.82973436935299</v>
      </c>
      <c r="I47" s="32">
        <v>1.2</v>
      </c>
      <c r="K47" s="164"/>
    </row>
    <row r="48" spans="2:11" s="32" customFormat="1" x14ac:dyDescent="0.35">
      <c r="B48" s="32" t="s">
        <v>173</v>
      </c>
      <c r="C48" s="32" t="s">
        <v>35</v>
      </c>
      <c r="D48" s="32" t="s">
        <v>99</v>
      </c>
      <c r="E48" s="33" t="str">
        <f t="shared" si="1"/>
        <v>2020</v>
      </c>
      <c r="F48" s="32">
        <f t="shared" si="0"/>
        <v>470.37865468015889</v>
      </c>
      <c r="G48" s="33">
        <v>2020</v>
      </c>
      <c r="H48" s="164">
        <f>INDEX(Data_base_case!$D$4:$Y$40,MATCH(Scenarios_definition!C48,Data_base_case!$D$4:$D$40,0),MATCH(Scenarios_definition!D48&amp;Scenarios_definition!G48,Data_base_case!$D$4:$Y$4,0))</f>
        <v>361.82973436935299</v>
      </c>
      <c r="I48" s="32">
        <v>1.3</v>
      </c>
      <c r="K48" s="164"/>
    </row>
    <row r="49" spans="2:11" s="32" customFormat="1" x14ac:dyDescent="0.35">
      <c r="B49" s="32" t="s">
        <v>174</v>
      </c>
      <c r="C49" s="32" t="s">
        <v>35</v>
      </c>
      <c r="D49" s="32" t="s">
        <v>99</v>
      </c>
      <c r="E49" s="33" t="str">
        <f t="shared" si="1"/>
        <v>2020</v>
      </c>
      <c r="F49" s="32">
        <f t="shared" si="0"/>
        <v>506.56162811709413</v>
      </c>
      <c r="G49" s="33">
        <v>2020</v>
      </c>
      <c r="H49" s="164">
        <f>INDEX(Data_base_case!$D$4:$Y$40,MATCH(Scenarios_definition!C49,Data_base_case!$D$4:$D$40,0),MATCH(Scenarios_definition!D49&amp;Scenarios_definition!G49,Data_base_case!$D$4:$Y$4,0))</f>
        <v>361.82973436935299</v>
      </c>
      <c r="I49" s="32">
        <v>1.4</v>
      </c>
      <c r="K49" s="164"/>
    </row>
    <row r="50" spans="2:11" s="32" customFormat="1" x14ac:dyDescent="0.35">
      <c r="B50" s="32" t="s">
        <v>175</v>
      </c>
      <c r="C50" s="32" t="s">
        <v>35</v>
      </c>
      <c r="D50" s="32" t="s">
        <v>99</v>
      </c>
      <c r="E50" s="33" t="str">
        <f t="shared" si="1"/>
        <v>2020</v>
      </c>
      <c r="F50" s="32">
        <f t="shared" si="0"/>
        <v>542.74460155402949</v>
      </c>
      <c r="G50" s="33">
        <v>2020</v>
      </c>
      <c r="H50" s="164">
        <f>INDEX(Data_base_case!$D$4:$Y$40,MATCH(Scenarios_definition!C50,Data_base_case!$D$4:$D$40,0),MATCH(Scenarios_definition!D50&amp;Scenarios_definition!G50,Data_base_case!$D$4:$Y$4,0))</f>
        <v>361.82973436935299</v>
      </c>
      <c r="I50" s="32">
        <v>1.5</v>
      </c>
      <c r="K50" s="164"/>
    </row>
    <row r="51" spans="2:11" s="127" customFormat="1" x14ac:dyDescent="0.35">
      <c r="B51" s="127" t="s">
        <v>176</v>
      </c>
      <c r="C51" s="127" t="s">
        <v>127</v>
      </c>
      <c r="D51" s="127" t="s">
        <v>99</v>
      </c>
      <c r="E51" s="128" t="str">
        <f t="shared" si="1"/>
        <v>2020</v>
      </c>
      <c r="F51" s="127">
        <f t="shared" si="0"/>
        <v>230.37771229574071</v>
      </c>
      <c r="G51" s="128">
        <v>2020</v>
      </c>
      <c r="H51" s="165">
        <f>INDEX(Data_base_case!$D$4:$Y$40,MATCH(Scenarios_definition!C51,Data_base_case!$D$4:$D$40,0),MATCH(Scenarios_definition!D51&amp;Scenarios_definition!G51,Data_base_case!$D$4:$Y$4,0))</f>
        <v>460.75542459148141</v>
      </c>
      <c r="I51" s="127">
        <v>0.5</v>
      </c>
      <c r="K51" s="165"/>
    </row>
    <row r="52" spans="2:11" s="127" customFormat="1" x14ac:dyDescent="0.35">
      <c r="B52" s="127" t="s">
        <v>177</v>
      </c>
      <c r="C52" s="127" t="s">
        <v>127</v>
      </c>
      <c r="D52" s="127" t="s">
        <v>99</v>
      </c>
      <c r="E52" s="128" t="str">
        <f t="shared" si="1"/>
        <v>2020</v>
      </c>
      <c r="F52" s="127">
        <f t="shared" si="0"/>
        <v>276.45325475488886</v>
      </c>
      <c r="G52" s="128">
        <v>2020</v>
      </c>
      <c r="H52" s="165">
        <f>INDEX(Data_base_case!$D$4:$Y$40,MATCH(Scenarios_definition!C52,Data_base_case!$D$4:$D$40,0),MATCH(Scenarios_definition!D52&amp;Scenarios_definition!G52,Data_base_case!$D$4:$Y$4,0))</f>
        <v>460.75542459148141</v>
      </c>
      <c r="I52" s="127">
        <v>0.6</v>
      </c>
      <c r="K52" s="165"/>
    </row>
    <row r="53" spans="2:11" s="127" customFormat="1" x14ac:dyDescent="0.35">
      <c r="B53" s="127" t="s">
        <v>178</v>
      </c>
      <c r="C53" s="127" t="s">
        <v>127</v>
      </c>
      <c r="D53" s="127" t="s">
        <v>99</v>
      </c>
      <c r="E53" s="128" t="str">
        <f t="shared" si="1"/>
        <v>2020</v>
      </c>
      <c r="F53" s="127">
        <f t="shared" si="0"/>
        <v>322.52879721403696</v>
      </c>
      <c r="G53" s="128">
        <v>2020</v>
      </c>
      <c r="H53" s="165">
        <f>INDEX(Data_base_case!$D$4:$Y$40,MATCH(Scenarios_definition!C53,Data_base_case!$D$4:$D$40,0),MATCH(Scenarios_definition!D53&amp;Scenarios_definition!G53,Data_base_case!$D$4:$Y$4,0))</f>
        <v>460.75542459148141</v>
      </c>
      <c r="I53" s="127">
        <v>0.7</v>
      </c>
      <c r="K53" s="165"/>
    </row>
    <row r="54" spans="2:11" s="127" customFormat="1" x14ac:dyDescent="0.35">
      <c r="B54" s="127" t="s">
        <v>179</v>
      </c>
      <c r="C54" s="127" t="s">
        <v>127</v>
      </c>
      <c r="D54" s="127" t="s">
        <v>99</v>
      </c>
      <c r="E54" s="128" t="str">
        <f t="shared" si="1"/>
        <v>2020</v>
      </c>
      <c r="F54" s="127">
        <f t="shared" si="0"/>
        <v>368.60433967318517</v>
      </c>
      <c r="G54" s="128">
        <v>2020</v>
      </c>
      <c r="H54" s="165">
        <f>INDEX(Data_base_case!$D$4:$Y$40,MATCH(Scenarios_definition!C54,Data_base_case!$D$4:$D$40,0),MATCH(Scenarios_definition!D54&amp;Scenarios_definition!G54,Data_base_case!$D$4:$Y$4,0))</f>
        <v>460.75542459148141</v>
      </c>
      <c r="I54" s="127">
        <v>0.8</v>
      </c>
      <c r="K54" s="165"/>
    </row>
    <row r="55" spans="2:11" s="127" customFormat="1" x14ac:dyDescent="0.35">
      <c r="B55" s="127" t="s">
        <v>180</v>
      </c>
      <c r="C55" s="127" t="s">
        <v>127</v>
      </c>
      <c r="D55" s="127" t="s">
        <v>99</v>
      </c>
      <c r="E55" s="128" t="str">
        <f t="shared" si="1"/>
        <v>2020</v>
      </c>
      <c r="F55" s="127">
        <f t="shared" si="0"/>
        <v>414.67988213233326</v>
      </c>
      <c r="G55" s="128">
        <v>2020</v>
      </c>
      <c r="H55" s="165">
        <f>INDEX(Data_base_case!$D$4:$Y$40,MATCH(Scenarios_definition!C55,Data_base_case!$D$4:$D$40,0),MATCH(Scenarios_definition!D55&amp;Scenarios_definition!G55,Data_base_case!$D$4:$Y$4,0))</f>
        <v>460.75542459148141</v>
      </c>
      <c r="I55" s="127">
        <v>0.9</v>
      </c>
      <c r="K55" s="165"/>
    </row>
    <row r="56" spans="2:11" s="127" customFormat="1" x14ac:dyDescent="0.35">
      <c r="B56" s="127" t="s">
        <v>181</v>
      </c>
      <c r="C56" s="127" t="s">
        <v>127</v>
      </c>
      <c r="D56" s="127" t="s">
        <v>99</v>
      </c>
      <c r="E56" s="128" t="str">
        <f t="shared" si="1"/>
        <v>2020</v>
      </c>
      <c r="F56" s="127">
        <f t="shared" si="0"/>
        <v>506.83096705062962</v>
      </c>
      <c r="G56" s="128">
        <v>2020</v>
      </c>
      <c r="H56" s="165">
        <f>INDEX(Data_base_case!$D$4:$Y$40,MATCH(Scenarios_definition!C56,Data_base_case!$D$4:$D$40,0),MATCH(Scenarios_definition!D56&amp;Scenarios_definition!G56,Data_base_case!$D$4:$Y$4,0))</f>
        <v>460.75542459148141</v>
      </c>
      <c r="I56" s="127">
        <v>1.1000000000000001</v>
      </c>
      <c r="K56" s="165"/>
    </row>
    <row r="57" spans="2:11" s="127" customFormat="1" x14ac:dyDescent="0.35">
      <c r="B57" s="127" t="s">
        <v>182</v>
      </c>
      <c r="C57" s="127" t="s">
        <v>127</v>
      </c>
      <c r="D57" s="127" t="s">
        <v>99</v>
      </c>
      <c r="E57" s="128" t="str">
        <f t="shared" si="1"/>
        <v>2020</v>
      </c>
      <c r="F57" s="127">
        <f t="shared" si="0"/>
        <v>552.90650950977772</v>
      </c>
      <c r="G57" s="128">
        <v>2020</v>
      </c>
      <c r="H57" s="165">
        <f>INDEX(Data_base_case!$D$4:$Y$40,MATCH(Scenarios_definition!C57,Data_base_case!$D$4:$D$40,0),MATCH(Scenarios_definition!D57&amp;Scenarios_definition!G57,Data_base_case!$D$4:$Y$4,0))</f>
        <v>460.75542459148141</v>
      </c>
      <c r="I57" s="127">
        <v>1.2</v>
      </c>
      <c r="K57" s="165"/>
    </row>
    <row r="58" spans="2:11" s="127" customFormat="1" x14ac:dyDescent="0.35">
      <c r="B58" s="127" t="s">
        <v>183</v>
      </c>
      <c r="C58" s="127" t="s">
        <v>127</v>
      </c>
      <c r="D58" s="127" t="s">
        <v>99</v>
      </c>
      <c r="E58" s="128" t="str">
        <f t="shared" si="1"/>
        <v>2020</v>
      </c>
      <c r="F58" s="127">
        <f t="shared" si="0"/>
        <v>598.98205196892582</v>
      </c>
      <c r="G58" s="128">
        <v>2020</v>
      </c>
      <c r="H58" s="165">
        <f>INDEX(Data_base_case!$D$4:$Y$40,MATCH(Scenarios_definition!C58,Data_base_case!$D$4:$D$40,0),MATCH(Scenarios_definition!D58&amp;Scenarios_definition!G58,Data_base_case!$D$4:$Y$4,0))</f>
        <v>460.75542459148141</v>
      </c>
      <c r="I58" s="127">
        <v>1.3</v>
      </c>
      <c r="K58" s="165"/>
    </row>
    <row r="59" spans="2:11" s="127" customFormat="1" x14ac:dyDescent="0.35">
      <c r="B59" s="127" t="s">
        <v>184</v>
      </c>
      <c r="C59" s="127" t="s">
        <v>127</v>
      </c>
      <c r="D59" s="127" t="s">
        <v>99</v>
      </c>
      <c r="E59" s="128" t="str">
        <f t="shared" si="1"/>
        <v>2020</v>
      </c>
      <c r="F59" s="127">
        <f t="shared" si="0"/>
        <v>645.05759442807391</v>
      </c>
      <c r="G59" s="128">
        <v>2020</v>
      </c>
      <c r="H59" s="165">
        <f>INDEX(Data_base_case!$D$4:$Y$40,MATCH(Scenarios_definition!C59,Data_base_case!$D$4:$D$40,0),MATCH(Scenarios_definition!D59&amp;Scenarios_definition!G59,Data_base_case!$D$4:$Y$4,0))</f>
        <v>460.75542459148141</v>
      </c>
      <c r="I59" s="127">
        <v>1.4</v>
      </c>
      <c r="K59" s="165"/>
    </row>
    <row r="60" spans="2:11" s="127" customFormat="1" x14ac:dyDescent="0.35">
      <c r="B60" s="127" t="s">
        <v>185</v>
      </c>
      <c r="C60" s="127" t="s">
        <v>127</v>
      </c>
      <c r="D60" s="127" t="s">
        <v>99</v>
      </c>
      <c r="E60" s="128" t="str">
        <f t="shared" si="1"/>
        <v>2020</v>
      </c>
      <c r="F60" s="127">
        <f t="shared" si="0"/>
        <v>691.13313688722212</v>
      </c>
      <c r="G60" s="128">
        <v>2020</v>
      </c>
      <c r="H60" s="165">
        <f>INDEX(Data_base_case!$D$4:$Y$40,MATCH(Scenarios_definition!C60,Data_base_case!$D$4:$D$40,0),MATCH(Scenarios_definition!D60&amp;Scenarios_definition!G60,Data_base_case!$D$4:$Y$4,0))</f>
        <v>460.75542459148141</v>
      </c>
      <c r="I60" s="127">
        <v>1.5</v>
      </c>
      <c r="K60" s="165"/>
    </row>
    <row r="61" spans="2:11" s="127" customFormat="1" x14ac:dyDescent="0.35">
      <c r="B61" s="127" t="s">
        <v>186</v>
      </c>
      <c r="C61" s="127" t="s">
        <v>127</v>
      </c>
      <c r="D61" s="127" t="s">
        <v>99</v>
      </c>
      <c r="E61" s="128" t="str">
        <f t="shared" si="1"/>
        <v>2020</v>
      </c>
      <c r="F61" s="127">
        <f t="shared" si="0"/>
        <v>921.51084918296283</v>
      </c>
      <c r="G61" s="128">
        <v>2020</v>
      </c>
      <c r="H61" s="165">
        <f>INDEX(Data_base_case!$D$4:$Y$40,MATCH(Scenarios_definition!C61,Data_base_case!$D$4:$D$40,0),MATCH(Scenarios_definition!D61&amp;Scenarios_definition!G61,Data_base_case!$D$4:$Y$4,0))</f>
        <v>460.75542459148141</v>
      </c>
      <c r="I61" s="127">
        <v>2</v>
      </c>
      <c r="K61" s="165"/>
    </row>
    <row r="62" spans="2:11" s="127" customFormat="1" x14ac:dyDescent="0.35">
      <c r="B62" s="127" t="s">
        <v>187</v>
      </c>
      <c r="C62" s="127" t="s">
        <v>127</v>
      </c>
      <c r="D62" s="127" t="s">
        <v>99</v>
      </c>
      <c r="E62" s="128" t="str">
        <f t="shared" si="1"/>
        <v>2020</v>
      </c>
      <c r="F62" s="127">
        <f>H62*I62</f>
        <v>1382.2662737744442</v>
      </c>
      <c r="G62" s="128">
        <v>2020</v>
      </c>
      <c r="H62" s="165">
        <f>INDEX(Data_base_case!$D$4:$Y$40,MATCH(Scenarios_definition!C62,Data_base_case!$D$4:$D$40,0),MATCH(Scenarios_definition!D62&amp;Scenarios_definition!G62,Data_base_case!$D$4:$Y$4,0))</f>
        <v>460.75542459148141</v>
      </c>
      <c r="I62" s="127">
        <v>3</v>
      </c>
      <c r="K62" s="165"/>
    </row>
    <row r="63" spans="2:11" s="127" customFormat="1" x14ac:dyDescent="0.35">
      <c r="B63" s="127" t="s">
        <v>188</v>
      </c>
      <c r="C63" s="127" t="s">
        <v>127</v>
      </c>
      <c r="D63" s="127" t="s">
        <v>99</v>
      </c>
      <c r="E63" s="128" t="str">
        <f t="shared" si="1"/>
        <v>2020</v>
      </c>
      <c r="F63" s="127">
        <f>H63*I63</f>
        <v>1843.0216983659257</v>
      </c>
      <c r="G63" s="128">
        <v>2020</v>
      </c>
      <c r="H63" s="165">
        <f>INDEX(Data_base_case!$D$4:$Y$40,MATCH(Scenarios_definition!C63,Data_base_case!$D$4:$D$40,0),MATCH(Scenarios_definition!D63&amp;Scenarios_definition!G63,Data_base_case!$D$4:$Y$4,0))</f>
        <v>460.75542459148141</v>
      </c>
      <c r="I63" s="127">
        <v>4</v>
      </c>
      <c r="K63" s="165"/>
    </row>
    <row r="64" spans="2:11" x14ac:dyDescent="0.35">
      <c r="B64" s="1" t="s">
        <v>189</v>
      </c>
      <c r="C64" s="1" t="s">
        <v>122</v>
      </c>
      <c r="D64" s="1" t="s">
        <v>99</v>
      </c>
      <c r="E64" s="20" t="str">
        <f t="shared" si="1"/>
        <v>2020</v>
      </c>
      <c r="F64" s="1">
        <f t="shared" si="0"/>
        <v>23431.5</v>
      </c>
      <c r="G64" s="20">
        <v>2020</v>
      </c>
      <c r="H64" s="16">
        <f>INDEX(Data_base_case!$D$4:$Y$40,MATCH(Scenarios_definition!C64,Data_base_case!$D$4:$D$40,0),MATCH(Scenarios_definition!D64&amp;Scenarios_definition!G64,Data_base_case!$D$4:$Y$4,0))</f>
        <v>46863</v>
      </c>
      <c r="I64" s="1">
        <v>0.5</v>
      </c>
      <c r="K64" s="16"/>
    </row>
    <row r="65" spans="2:11" x14ac:dyDescent="0.35">
      <c r="B65" s="1" t="s">
        <v>189</v>
      </c>
      <c r="C65" s="1" t="s">
        <v>122</v>
      </c>
      <c r="D65" s="1" t="s">
        <v>100</v>
      </c>
      <c r="E65" s="20" t="str">
        <f t="shared" si="1"/>
        <v>2020</v>
      </c>
      <c r="F65" s="1">
        <f t="shared" si="0"/>
        <v>468.63</v>
      </c>
      <c r="G65" s="20">
        <v>2020</v>
      </c>
      <c r="H65" s="16">
        <f>INDEX(Data_base_case!$D$4:$Y$40,MATCH(Scenarios_definition!C65,Data_base_case!$D$4:$D$40,0),MATCH(Scenarios_definition!D65&amp;Scenarios_definition!G65,Data_base_case!$D$4:$Y$4,0))</f>
        <v>937.26</v>
      </c>
      <c r="I65" s="1">
        <v>0.5</v>
      </c>
      <c r="K65" s="16"/>
    </row>
    <row r="66" spans="2:11" x14ac:dyDescent="0.35">
      <c r="B66" s="1" t="s">
        <v>190</v>
      </c>
      <c r="C66" s="1" t="s">
        <v>122</v>
      </c>
      <c r="D66" s="1" t="s">
        <v>99</v>
      </c>
      <c r="E66" s="20" t="str">
        <f t="shared" si="1"/>
        <v>2020</v>
      </c>
      <c r="F66" s="1">
        <f t="shared" si="0"/>
        <v>28117.8</v>
      </c>
      <c r="G66" s="20">
        <v>2020</v>
      </c>
      <c r="H66" s="16">
        <f>INDEX(Data_base_case!$D$4:$Y$40,MATCH(Scenarios_definition!C66,Data_base_case!$D$4:$D$40,0),MATCH(Scenarios_definition!D66&amp;Scenarios_definition!G66,Data_base_case!$D$4:$Y$4,0))</f>
        <v>46863</v>
      </c>
      <c r="I66" s="1">
        <v>0.6</v>
      </c>
      <c r="K66" s="16"/>
    </row>
    <row r="67" spans="2:11" x14ac:dyDescent="0.35">
      <c r="B67" s="1" t="s">
        <v>190</v>
      </c>
      <c r="C67" s="1" t="s">
        <v>122</v>
      </c>
      <c r="D67" s="1" t="s">
        <v>100</v>
      </c>
      <c r="E67" s="20" t="str">
        <f t="shared" si="1"/>
        <v>2020</v>
      </c>
      <c r="F67" s="1">
        <f t="shared" si="0"/>
        <v>562.35599999999999</v>
      </c>
      <c r="G67" s="20">
        <v>2020</v>
      </c>
      <c r="H67" s="16">
        <f>INDEX(Data_base_case!$D$4:$Y$40,MATCH(Scenarios_definition!C67,Data_base_case!$D$4:$D$40,0),MATCH(Scenarios_definition!D67&amp;Scenarios_definition!G67,Data_base_case!$D$4:$Y$4,0))</f>
        <v>937.26</v>
      </c>
      <c r="I67" s="1">
        <v>0.6</v>
      </c>
      <c r="K67" s="16"/>
    </row>
    <row r="68" spans="2:11" x14ac:dyDescent="0.35">
      <c r="B68" s="1" t="s">
        <v>191</v>
      </c>
      <c r="C68" s="1" t="s">
        <v>122</v>
      </c>
      <c r="D68" s="1" t="s">
        <v>99</v>
      </c>
      <c r="E68" s="20" t="str">
        <f t="shared" si="1"/>
        <v>2020</v>
      </c>
      <c r="F68" s="1">
        <f t="shared" si="0"/>
        <v>32804.1</v>
      </c>
      <c r="G68" s="20">
        <v>2020</v>
      </c>
      <c r="H68" s="16">
        <f>INDEX(Data_base_case!$D$4:$Y$40,MATCH(Scenarios_definition!C68,Data_base_case!$D$4:$D$40,0),MATCH(Scenarios_definition!D68&amp;Scenarios_definition!G68,Data_base_case!$D$4:$Y$4,0))</f>
        <v>46863</v>
      </c>
      <c r="I68" s="1">
        <v>0.7</v>
      </c>
      <c r="K68" s="16"/>
    </row>
    <row r="69" spans="2:11" x14ac:dyDescent="0.35">
      <c r="B69" s="1" t="s">
        <v>191</v>
      </c>
      <c r="C69" s="1" t="s">
        <v>122</v>
      </c>
      <c r="D69" s="1" t="s">
        <v>100</v>
      </c>
      <c r="E69" s="20" t="str">
        <f t="shared" si="1"/>
        <v>2020</v>
      </c>
      <c r="F69" s="1">
        <f t="shared" si="0"/>
        <v>656.08199999999999</v>
      </c>
      <c r="G69" s="20">
        <v>2020</v>
      </c>
      <c r="H69" s="16">
        <f>INDEX(Data_base_case!$D$4:$Y$40,MATCH(Scenarios_definition!C69,Data_base_case!$D$4:$D$40,0),MATCH(Scenarios_definition!D69&amp;Scenarios_definition!G69,Data_base_case!$D$4:$Y$4,0))</f>
        <v>937.26</v>
      </c>
      <c r="I69" s="1">
        <v>0.7</v>
      </c>
      <c r="K69" s="16"/>
    </row>
    <row r="70" spans="2:11" x14ac:dyDescent="0.35">
      <c r="B70" s="1" t="s">
        <v>192</v>
      </c>
      <c r="C70" s="1" t="s">
        <v>122</v>
      </c>
      <c r="D70" s="1" t="s">
        <v>99</v>
      </c>
      <c r="E70" s="20" t="str">
        <f>"2020"</f>
        <v>2020</v>
      </c>
      <c r="F70" s="1">
        <f t="shared" si="0"/>
        <v>37490.400000000001</v>
      </c>
      <c r="G70" s="20">
        <v>2020</v>
      </c>
      <c r="H70" s="16">
        <f>INDEX(Data_base_case!$D$4:$Y$40,MATCH(Scenarios_definition!C70,Data_base_case!$D$4:$D$40,0),MATCH(Scenarios_definition!D70&amp;Scenarios_definition!G70,Data_base_case!$D$4:$Y$4,0))</f>
        <v>46863</v>
      </c>
      <c r="I70" s="1">
        <v>0.8</v>
      </c>
      <c r="K70" s="16"/>
    </row>
    <row r="71" spans="2:11" x14ac:dyDescent="0.35">
      <c r="B71" s="1" t="s">
        <v>192</v>
      </c>
      <c r="C71" s="1" t="s">
        <v>122</v>
      </c>
      <c r="D71" s="1" t="s">
        <v>100</v>
      </c>
      <c r="E71" s="20" t="str">
        <f t="shared" ref="E71:E108" si="2">"2020"</f>
        <v>2020</v>
      </c>
      <c r="F71" s="1">
        <f t="shared" si="0"/>
        <v>749.80799999999999</v>
      </c>
      <c r="G71" s="20">
        <v>2020</v>
      </c>
      <c r="H71" s="16">
        <f>INDEX(Data_base_case!$D$4:$Y$40,MATCH(Scenarios_definition!C71,Data_base_case!$D$4:$D$40,0),MATCH(Scenarios_definition!D71&amp;Scenarios_definition!G71,Data_base_case!$D$4:$Y$4,0))</f>
        <v>937.26</v>
      </c>
      <c r="I71" s="1">
        <v>0.8</v>
      </c>
      <c r="K71" s="16"/>
    </row>
    <row r="72" spans="2:11" x14ac:dyDescent="0.35">
      <c r="B72" s="1" t="s">
        <v>193</v>
      </c>
      <c r="C72" s="1" t="s">
        <v>122</v>
      </c>
      <c r="D72" s="1" t="s">
        <v>99</v>
      </c>
      <c r="E72" s="20" t="str">
        <f t="shared" si="2"/>
        <v>2020</v>
      </c>
      <c r="F72" s="1">
        <f t="shared" si="0"/>
        <v>42176.700000000004</v>
      </c>
      <c r="G72" s="20">
        <v>2020</v>
      </c>
      <c r="H72" s="16">
        <f>INDEX(Data_base_case!$D$4:$Y$40,MATCH(Scenarios_definition!C72,Data_base_case!$D$4:$D$40,0),MATCH(Scenarios_definition!D72&amp;Scenarios_definition!G72,Data_base_case!$D$4:$Y$4,0))</f>
        <v>46863</v>
      </c>
      <c r="I72" s="1">
        <v>0.9</v>
      </c>
      <c r="K72" s="16"/>
    </row>
    <row r="73" spans="2:11" x14ac:dyDescent="0.35">
      <c r="B73" s="1" t="s">
        <v>193</v>
      </c>
      <c r="C73" s="1" t="s">
        <v>122</v>
      </c>
      <c r="D73" s="1" t="s">
        <v>100</v>
      </c>
      <c r="E73" s="20" t="str">
        <f t="shared" si="2"/>
        <v>2020</v>
      </c>
      <c r="F73" s="1">
        <f t="shared" si="0"/>
        <v>843.53399999999999</v>
      </c>
      <c r="G73" s="20">
        <v>2020</v>
      </c>
      <c r="H73" s="16">
        <f>INDEX(Data_base_case!$D$4:$Y$40,MATCH(Scenarios_definition!C73,Data_base_case!$D$4:$D$40,0),MATCH(Scenarios_definition!D73&amp;Scenarios_definition!G73,Data_base_case!$D$4:$Y$4,0))</f>
        <v>937.26</v>
      </c>
      <c r="I73" s="1">
        <v>0.9</v>
      </c>
      <c r="K73" s="16"/>
    </row>
    <row r="74" spans="2:11" x14ac:dyDescent="0.35">
      <c r="B74" s="1" t="s">
        <v>194</v>
      </c>
      <c r="C74" s="1" t="s">
        <v>122</v>
      </c>
      <c r="D74" s="1" t="s">
        <v>99</v>
      </c>
      <c r="E74" s="20" t="str">
        <f t="shared" si="2"/>
        <v>2020</v>
      </c>
      <c r="F74" s="1">
        <f t="shared" si="0"/>
        <v>51549.3</v>
      </c>
      <c r="G74" s="20">
        <v>2020</v>
      </c>
      <c r="H74" s="16">
        <f>INDEX(Data_base_case!$D$4:$Y$40,MATCH(Scenarios_definition!C74,Data_base_case!$D$4:$D$40,0),MATCH(Scenarios_definition!D74&amp;Scenarios_definition!G74,Data_base_case!$D$4:$Y$4,0))</f>
        <v>46863</v>
      </c>
      <c r="I74" s="1">
        <v>1.1000000000000001</v>
      </c>
      <c r="K74" s="16"/>
    </row>
    <row r="75" spans="2:11" x14ac:dyDescent="0.35">
      <c r="B75" s="1" t="s">
        <v>194</v>
      </c>
      <c r="C75" s="1" t="s">
        <v>122</v>
      </c>
      <c r="D75" s="1" t="s">
        <v>100</v>
      </c>
      <c r="E75" s="20" t="str">
        <f t="shared" si="2"/>
        <v>2020</v>
      </c>
      <c r="F75" s="1">
        <f t="shared" ref="F75:F87" si="3">H75*I75</f>
        <v>1030.9860000000001</v>
      </c>
      <c r="G75" s="20">
        <v>2020</v>
      </c>
      <c r="H75" s="16">
        <f>INDEX(Data_base_case!$D$4:$Y$40,MATCH(Scenarios_definition!C75,Data_base_case!$D$4:$D$40,0),MATCH(Scenarios_definition!D75&amp;Scenarios_definition!G75,Data_base_case!$D$4:$Y$4,0))</f>
        <v>937.26</v>
      </c>
      <c r="I75" s="1">
        <v>1.1000000000000001</v>
      </c>
      <c r="K75" s="16"/>
    </row>
    <row r="76" spans="2:11" x14ac:dyDescent="0.35">
      <c r="B76" s="1" t="s">
        <v>195</v>
      </c>
      <c r="C76" s="1" t="s">
        <v>122</v>
      </c>
      <c r="D76" s="1" t="s">
        <v>99</v>
      </c>
      <c r="E76" s="20" t="str">
        <f t="shared" si="2"/>
        <v>2020</v>
      </c>
      <c r="F76" s="1">
        <f t="shared" si="3"/>
        <v>56235.6</v>
      </c>
      <c r="G76" s="20">
        <v>2020</v>
      </c>
      <c r="H76" s="16">
        <f>INDEX(Data_base_case!$D$4:$Y$40,MATCH(Scenarios_definition!C76,Data_base_case!$D$4:$D$40,0),MATCH(Scenarios_definition!D76&amp;Scenarios_definition!G76,Data_base_case!$D$4:$Y$4,0))</f>
        <v>46863</v>
      </c>
      <c r="I76" s="1">
        <v>1.2</v>
      </c>
      <c r="K76" s="16"/>
    </row>
    <row r="77" spans="2:11" x14ac:dyDescent="0.35">
      <c r="B77" s="1" t="s">
        <v>195</v>
      </c>
      <c r="C77" s="1" t="s">
        <v>122</v>
      </c>
      <c r="D77" s="1" t="s">
        <v>100</v>
      </c>
      <c r="E77" s="20" t="str">
        <f t="shared" si="2"/>
        <v>2020</v>
      </c>
      <c r="F77" s="1">
        <f t="shared" si="3"/>
        <v>1124.712</v>
      </c>
      <c r="G77" s="20">
        <v>2020</v>
      </c>
      <c r="H77" s="16">
        <f>INDEX(Data_base_case!$D$4:$Y$40,MATCH(Scenarios_definition!C77,Data_base_case!$D$4:$D$40,0),MATCH(Scenarios_definition!D77&amp;Scenarios_definition!G77,Data_base_case!$D$4:$Y$4,0))</f>
        <v>937.26</v>
      </c>
      <c r="I77" s="1">
        <v>1.2</v>
      </c>
      <c r="K77" s="16"/>
    </row>
    <row r="78" spans="2:11" x14ac:dyDescent="0.35">
      <c r="B78" s="1" t="s">
        <v>196</v>
      </c>
      <c r="C78" s="1" t="s">
        <v>122</v>
      </c>
      <c r="D78" s="1" t="s">
        <v>99</v>
      </c>
      <c r="E78" s="20" t="str">
        <f t="shared" si="2"/>
        <v>2020</v>
      </c>
      <c r="F78" s="1">
        <f t="shared" si="3"/>
        <v>60921.9</v>
      </c>
      <c r="G78" s="20">
        <v>2020</v>
      </c>
      <c r="H78" s="16">
        <f>INDEX(Data_base_case!$D$4:$Y$40,MATCH(Scenarios_definition!C78,Data_base_case!$D$4:$D$40,0),MATCH(Scenarios_definition!D78&amp;Scenarios_definition!G78,Data_base_case!$D$4:$Y$4,0))</f>
        <v>46863</v>
      </c>
      <c r="I78" s="1">
        <v>1.3</v>
      </c>
      <c r="K78" s="16"/>
    </row>
    <row r="79" spans="2:11" x14ac:dyDescent="0.35">
      <c r="B79" s="1" t="s">
        <v>196</v>
      </c>
      <c r="C79" s="1" t="s">
        <v>122</v>
      </c>
      <c r="D79" s="1" t="s">
        <v>100</v>
      </c>
      <c r="E79" s="20" t="str">
        <f t="shared" si="2"/>
        <v>2020</v>
      </c>
      <c r="F79" s="1">
        <f t="shared" si="3"/>
        <v>1218.4380000000001</v>
      </c>
      <c r="G79" s="20">
        <v>2020</v>
      </c>
      <c r="H79" s="16">
        <f>INDEX(Data_base_case!$D$4:$Y$40,MATCH(Scenarios_definition!C79,Data_base_case!$D$4:$D$40,0),MATCH(Scenarios_definition!D79&amp;Scenarios_definition!G79,Data_base_case!$D$4:$Y$4,0))</f>
        <v>937.26</v>
      </c>
      <c r="I79" s="1">
        <v>1.3</v>
      </c>
      <c r="K79" s="16"/>
    </row>
    <row r="80" spans="2:11" x14ac:dyDescent="0.35">
      <c r="B80" s="1" t="s">
        <v>197</v>
      </c>
      <c r="C80" s="1" t="s">
        <v>122</v>
      </c>
      <c r="D80" s="1" t="s">
        <v>99</v>
      </c>
      <c r="E80" s="20" t="str">
        <f t="shared" si="2"/>
        <v>2020</v>
      </c>
      <c r="F80" s="1">
        <f t="shared" si="3"/>
        <v>65608.2</v>
      </c>
      <c r="G80" s="20">
        <v>2020</v>
      </c>
      <c r="H80" s="16">
        <f>INDEX(Data_base_case!$D$4:$Y$40,MATCH(Scenarios_definition!C80,Data_base_case!$D$4:$D$40,0),MATCH(Scenarios_definition!D80&amp;Scenarios_definition!G80,Data_base_case!$D$4:$Y$4,0))</f>
        <v>46863</v>
      </c>
      <c r="I80" s="1">
        <v>1.4</v>
      </c>
      <c r="K80" s="16"/>
    </row>
    <row r="81" spans="2:11" x14ac:dyDescent="0.35">
      <c r="B81" s="1" t="s">
        <v>197</v>
      </c>
      <c r="C81" s="1" t="s">
        <v>122</v>
      </c>
      <c r="D81" s="1" t="s">
        <v>100</v>
      </c>
      <c r="E81" s="20" t="str">
        <f t="shared" si="2"/>
        <v>2020</v>
      </c>
      <c r="F81" s="1">
        <f t="shared" si="3"/>
        <v>1312.164</v>
      </c>
      <c r="G81" s="20">
        <v>2020</v>
      </c>
      <c r="H81" s="16">
        <f>INDEX(Data_base_case!$D$4:$Y$40,MATCH(Scenarios_definition!C81,Data_base_case!$D$4:$D$40,0),MATCH(Scenarios_definition!D81&amp;Scenarios_definition!G81,Data_base_case!$D$4:$Y$4,0))</f>
        <v>937.26</v>
      </c>
      <c r="I81" s="1">
        <v>1.4</v>
      </c>
      <c r="K81" s="16"/>
    </row>
    <row r="82" spans="2:11" x14ac:dyDescent="0.35">
      <c r="B82" s="1" t="s">
        <v>198</v>
      </c>
      <c r="C82" s="1" t="s">
        <v>122</v>
      </c>
      <c r="D82" s="1" t="s">
        <v>99</v>
      </c>
      <c r="E82" s="20" t="str">
        <f t="shared" si="2"/>
        <v>2020</v>
      </c>
      <c r="F82" s="1">
        <f t="shared" si="3"/>
        <v>70294.5</v>
      </c>
      <c r="G82" s="20">
        <v>2020</v>
      </c>
      <c r="H82" s="16">
        <f>INDEX(Data_base_case!$D$4:$Y$40,MATCH(Scenarios_definition!C82,Data_base_case!$D$4:$D$40,0),MATCH(Scenarios_definition!D82&amp;Scenarios_definition!G82,Data_base_case!$D$4:$Y$4,0))</f>
        <v>46863</v>
      </c>
      <c r="I82" s="1">
        <v>1.5</v>
      </c>
      <c r="K82" s="16"/>
    </row>
    <row r="83" spans="2:11" x14ac:dyDescent="0.35">
      <c r="B83" s="1" t="s">
        <v>198</v>
      </c>
      <c r="C83" s="1" t="s">
        <v>122</v>
      </c>
      <c r="D83" s="1" t="s">
        <v>100</v>
      </c>
      <c r="E83" s="20" t="str">
        <f t="shared" si="2"/>
        <v>2020</v>
      </c>
      <c r="F83" s="1">
        <f t="shared" si="3"/>
        <v>1405.8899999999999</v>
      </c>
      <c r="G83" s="20">
        <v>2020</v>
      </c>
      <c r="H83" s="16">
        <f>INDEX(Data_base_case!$D$4:$Y$40,MATCH(Scenarios_definition!C83,Data_base_case!$D$4:$D$40,0),MATCH(Scenarios_definition!D83&amp;Scenarios_definition!G83,Data_base_case!$D$4:$Y$4,0))</f>
        <v>937.26</v>
      </c>
      <c r="I83" s="1">
        <v>1.5</v>
      </c>
      <c r="K83" s="16"/>
    </row>
    <row r="84" spans="2:11" x14ac:dyDescent="0.35">
      <c r="B84" s="117" t="s">
        <v>199</v>
      </c>
      <c r="C84" s="1" t="s">
        <v>122</v>
      </c>
      <c r="D84" s="1" t="s">
        <v>99</v>
      </c>
      <c r="E84" s="20" t="str">
        <f t="shared" si="2"/>
        <v>2020</v>
      </c>
      <c r="F84" s="1">
        <f t="shared" si="3"/>
        <v>93726</v>
      </c>
      <c r="G84" s="20">
        <v>2020</v>
      </c>
      <c r="H84" s="16">
        <f>INDEX(Data_base_case!$D$4:$Y$40,MATCH(Scenarios_definition!C84,Data_base_case!$D$4:$D$40,0),MATCH(Scenarios_definition!D84&amp;Scenarios_definition!G84,Data_base_case!$D$4:$Y$4,0))</f>
        <v>46863</v>
      </c>
      <c r="I84" s="1">
        <v>2</v>
      </c>
      <c r="K84" s="16"/>
    </row>
    <row r="85" spans="2:11" x14ac:dyDescent="0.35">
      <c r="B85" s="117" t="s">
        <v>199</v>
      </c>
      <c r="C85" s="1" t="s">
        <v>122</v>
      </c>
      <c r="D85" s="1" t="s">
        <v>100</v>
      </c>
      <c r="E85" s="20" t="str">
        <f t="shared" si="2"/>
        <v>2020</v>
      </c>
      <c r="F85" s="1">
        <f t="shared" si="3"/>
        <v>1874.52</v>
      </c>
      <c r="G85" s="20">
        <v>2020</v>
      </c>
      <c r="H85" s="16">
        <f>INDEX(Data_base_case!$D$4:$Y$40,MATCH(Scenarios_definition!C85,Data_base_case!$D$4:$D$40,0),MATCH(Scenarios_definition!D85&amp;Scenarios_definition!G85,Data_base_case!$D$4:$Y$4,0))</f>
        <v>937.26</v>
      </c>
      <c r="I85" s="1">
        <v>2</v>
      </c>
      <c r="K85" s="16"/>
    </row>
    <row r="86" spans="2:11" x14ac:dyDescent="0.35">
      <c r="B86" s="117" t="s">
        <v>200</v>
      </c>
      <c r="C86" s="1" t="s">
        <v>122</v>
      </c>
      <c r="D86" s="1" t="s">
        <v>99</v>
      </c>
      <c r="E86" s="20" t="str">
        <f t="shared" si="2"/>
        <v>2020</v>
      </c>
      <c r="F86" s="1">
        <f t="shared" si="3"/>
        <v>117157.5</v>
      </c>
      <c r="G86" s="20">
        <v>2020</v>
      </c>
      <c r="H86" s="16">
        <f>INDEX(Data_base_case!$D$4:$Y$40,MATCH(Scenarios_definition!C86,Data_base_case!$D$4:$D$40,0),MATCH(Scenarios_definition!D86&amp;Scenarios_definition!G86,Data_base_case!$D$4:$Y$4,0))</f>
        <v>46863</v>
      </c>
      <c r="I86" s="1">
        <v>2.5</v>
      </c>
      <c r="K86" s="16"/>
    </row>
    <row r="87" spans="2:11" x14ac:dyDescent="0.35">
      <c r="B87" s="117" t="s">
        <v>200</v>
      </c>
      <c r="C87" s="1" t="s">
        <v>122</v>
      </c>
      <c r="D87" s="1" t="s">
        <v>100</v>
      </c>
      <c r="E87" s="20" t="str">
        <f t="shared" si="2"/>
        <v>2020</v>
      </c>
      <c r="F87" s="1">
        <f t="shared" si="3"/>
        <v>2343.15</v>
      </c>
      <c r="G87" s="20">
        <v>2020</v>
      </c>
      <c r="H87" s="16">
        <f>INDEX(Data_base_case!$D$4:$Y$40,MATCH(Scenarios_definition!C87,Data_base_case!$D$4:$D$40,0),MATCH(Scenarios_definition!D87&amp;Scenarios_definition!G87,Data_base_case!$D$4:$Y$4,0))</f>
        <v>937.26</v>
      </c>
      <c r="I87" s="1">
        <v>2.5</v>
      </c>
      <c r="K87" s="16"/>
    </row>
    <row r="88" spans="2:11" x14ac:dyDescent="0.35">
      <c r="B88" s="117" t="s">
        <v>201</v>
      </c>
      <c r="C88" s="1" t="s">
        <v>122</v>
      </c>
      <c r="D88" s="1" t="s">
        <v>99</v>
      </c>
      <c r="E88" s="20" t="str">
        <f t="shared" si="2"/>
        <v>2020</v>
      </c>
      <c r="F88" s="1">
        <f>H88*I88</f>
        <v>140589</v>
      </c>
      <c r="G88" s="20">
        <v>2020</v>
      </c>
      <c r="H88" s="16">
        <f>INDEX(Data_base_case!$D$4:$Y$40,MATCH(Scenarios_definition!C88,Data_base_case!$D$4:$D$40,0),MATCH(Scenarios_definition!D88&amp;Scenarios_definition!G88,Data_base_case!$D$4:$Y$4,0))</f>
        <v>46863</v>
      </c>
      <c r="I88" s="1">
        <v>3</v>
      </c>
      <c r="K88" s="16"/>
    </row>
    <row r="89" spans="2:11" x14ac:dyDescent="0.35">
      <c r="B89" s="117" t="s">
        <v>201</v>
      </c>
      <c r="C89" s="1" t="s">
        <v>122</v>
      </c>
      <c r="D89" s="1" t="s">
        <v>100</v>
      </c>
      <c r="E89" s="20" t="str">
        <f t="shared" si="2"/>
        <v>2020</v>
      </c>
      <c r="F89" s="1">
        <f>H89*I89</f>
        <v>2811.7799999999997</v>
      </c>
      <c r="G89" s="20">
        <v>2020</v>
      </c>
      <c r="H89" s="16">
        <f>INDEX(Data_base_case!$D$4:$Y$40,MATCH(Scenarios_definition!C89,Data_base_case!$D$4:$D$40,0),MATCH(Scenarios_definition!D89&amp;Scenarios_definition!G89,Data_base_case!$D$4:$Y$4,0))</f>
        <v>937.26</v>
      </c>
      <c r="I89" s="1">
        <v>3</v>
      </c>
      <c r="K89" s="16"/>
    </row>
    <row r="90" spans="2:11" s="32" customFormat="1" x14ac:dyDescent="0.35">
      <c r="B90" s="32" t="s">
        <v>234</v>
      </c>
      <c r="C90" s="32" t="s">
        <v>207</v>
      </c>
      <c r="D90" s="32" t="s">
        <v>288</v>
      </c>
      <c r="E90" s="33" t="str">
        <f>"2020"</f>
        <v>2020</v>
      </c>
      <c r="F90" s="32">
        <f>I90/1000</f>
        <v>5.4999999999999997E-3</v>
      </c>
      <c r="G90" s="32">
        <v>2020</v>
      </c>
      <c r="H90" s="164">
        <f>INDEX(Data_base_case!$D$4:$Y$40,MATCH(Scenarios_definition!C90,Data_base_case!$D$4:$D$40,0),MATCH(Scenarios_definition!D90&amp;Scenarios_definition!G90,Data_base_case!$D$4:$Y$4,0))</f>
        <v>4.5833715280960696E-3</v>
      </c>
      <c r="I90" s="32">
        <v>5.5</v>
      </c>
      <c r="K90" s="164"/>
    </row>
    <row r="91" spans="2:11" s="32" customFormat="1" x14ac:dyDescent="0.35">
      <c r="B91" s="32" t="s">
        <v>235</v>
      </c>
      <c r="C91" s="32" t="s">
        <v>207</v>
      </c>
      <c r="D91" s="32" t="s">
        <v>288</v>
      </c>
      <c r="E91" s="33" t="str">
        <f t="shared" ref="E91:E103" si="4">"2020"</f>
        <v>2020</v>
      </c>
      <c r="F91" s="32">
        <f t="shared" ref="F91:F100" si="5">I91/1000</f>
        <v>5.0000000000000001E-3</v>
      </c>
      <c r="G91" s="32">
        <v>2020</v>
      </c>
      <c r="H91" s="164">
        <f>INDEX(Data_base_case!$D$4:$Y$40,MATCH(Scenarios_definition!C91,Data_base_case!$D$4:$D$40,0),MATCH(Scenarios_definition!D91&amp;Scenarios_definition!G91,Data_base_case!$D$4:$Y$4,0))</f>
        <v>4.5833715280960696E-3</v>
      </c>
      <c r="I91" s="32">
        <v>5</v>
      </c>
      <c r="K91" s="164"/>
    </row>
    <row r="92" spans="2:11" s="32" customFormat="1" x14ac:dyDescent="0.35">
      <c r="B92" s="32" t="s">
        <v>236</v>
      </c>
      <c r="C92" s="32" t="s">
        <v>207</v>
      </c>
      <c r="D92" s="32" t="s">
        <v>288</v>
      </c>
      <c r="E92" s="33" t="str">
        <f t="shared" si="4"/>
        <v>2020</v>
      </c>
      <c r="F92" s="32">
        <f t="shared" si="5"/>
        <v>4.4999999999999997E-3</v>
      </c>
      <c r="G92" s="32">
        <v>2020</v>
      </c>
      <c r="H92" s="164">
        <f>INDEX(Data_base_case!$D$4:$Y$40,MATCH(Scenarios_definition!C92,Data_base_case!$D$4:$D$40,0),MATCH(Scenarios_definition!D92&amp;Scenarios_definition!G92,Data_base_case!$D$4:$Y$4,0))</f>
        <v>4.5833715280960696E-3</v>
      </c>
      <c r="I92" s="32">
        <v>4.5</v>
      </c>
      <c r="K92" s="164"/>
    </row>
    <row r="93" spans="2:11" s="32" customFormat="1" x14ac:dyDescent="0.35">
      <c r="B93" s="32" t="s">
        <v>237</v>
      </c>
      <c r="C93" s="32" t="s">
        <v>207</v>
      </c>
      <c r="D93" s="32" t="s">
        <v>288</v>
      </c>
      <c r="E93" s="33" t="str">
        <f t="shared" si="4"/>
        <v>2020</v>
      </c>
      <c r="F93" s="32">
        <f t="shared" si="5"/>
        <v>4.0000000000000001E-3</v>
      </c>
      <c r="G93" s="32">
        <v>2020</v>
      </c>
      <c r="H93" s="164">
        <f>INDEX(Data_base_case!$D$4:$Y$40,MATCH(Scenarios_definition!C93,Data_base_case!$D$4:$D$40,0),MATCH(Scenarios_definition!D93&amp;Scenarios_definition!G93,Data_base_case!$D$4:$Y$4,0))</f>
        <v>4.5833715280960696E-3</v>
      </c>
      <c r="I93" s="32">
        <v>4</v>
      </c>
      <c r="K93" s="164"/>
    </row>
    <row r="94" spans="2:11" s="32" customFormat="1" x14ac:dyDescent="0.35">
      <c r="B94" s="32" t="s">
        <v>238</v>
      </c>
      <c r="C94" s="32" t="s">
        <v>207</v>
      </c>
      <c r="D94" s="32" t="s">
        <v>288</v>
      </c>
      <c r="E94" s="33" t="str">
        <f t="shared" si="4"/>
        <v>2020</v>
      </c>
      <c r="F94" s="32">
        <f t="shared" si="5"/>
        <v>3.5000000000000001E-3</v>
      </c>
      <c r="G94" s="32">
        <v>2020</v>
      </c>
      <c r="H94" s="164">
        <f>INDEX(Data_base_case!$D$4:$Y$40,MATCH(Scenarios_definition!C94,Data_base_case!$D$4:$D$40,0),MATCH(Scenarios_definition!D94&amp;Scenarios_definition!G94,Data_base_case!$D$4:$Y$4,0))</f>
        <v>4.5833715280960696E-3</v>
      </c>
      <c r="I94" s="32">
        <v>3.5</v>
      </c>
      <c r="K94" s="164"/>
    </row>
    <row r="95" spans="2:11" s="32" customFormat="1" x14ac:dyDescent="0.35">
      <c r="B95" s="32" t="s">
        <v>239</v>
      </c>
      <c r="C95" s="32" t="s">
        <v>207</v>
      </c>
      <c r="D95" s="32" t="s">
        <v>288</v>
      </c>
      <c r="E95" s="33" t="str">
        <f t="shared" si="4"/>
        <v>2020</v>
      </c>
      <c r="F95" s="32">
        <f t="shared" si="5"/>
        <v>3.0000000000000001E-3</v>
      </c>
      <c r="G95" s="32">
        <v>2020</v>
      </c>
      <c r="H95" s="164">
        <f>INDEX(Data_base_case!$D$4:$Y$40,MATCH(Scenarios_definition!C95,Data_base_case!$D$4:$D$40,0),MATCH(Scenarios_definition!D95&amp;Scenarios_definition!G95,Data_base_case!$D$4:$Y$4,0))</f>
        <v>4.5833715280960696E-3</v>
      </c>
      <c r="I95" s="32">
        <v>3</v>
      </c>
      <c r="K95" s="164"/>
    </row>
    <row r="96" spans="2:11" s="32" customFormat="1" x14ac:dyDescent="0.35">
      <c r="B96" s="32" t="s">
        <v>240</v>
      </c>
      <c r="C96" s="32" t="s">
        <v>207</v>
      </c>
      <c r="D96" s="32" t="s">
        <v>288</v>
      </c>
      <c r="E96" s="33" t="str">
        <f t="shared" si="4"/>
        <v>2020</v>
      </c>
      <c r="F96" s="32">
        <f t="shared" si="5"/>
        <v>2.5000000000000001E-3</v>
      </c>
      <c r="G96" s="32">
        <v>2020</v>
      </c>
      <c r="H96" s="164">
        <f>INDEX(Data_base_case!$D$4:$Y$40,MATCH(Scenarios_definition!C96,Data_base_case!$D$4:$D$40,0),MATCH(Scenarios_definition!D96&amp;Scenarios_definition!G96,Data_base_case!$D$4:$Y$4,0))</f>
        <v>4.5833715280960696E-3</v>
      </c>
      <c r="I96" s="32">
        <v>2.5</v>
      </c>
      <c r="K96" s="164"/>
    </row>
    <row r="97" spans="2:11" s="32" customFormat="1" x14ac:dyDescent="0.35">
      <c r="B97" s="32" t="s">
        <v>241</v>
      </c>
      <c r="C97" s="32" t="s">
        <v>207</v>
      </c>
      <c r="D97" s="32" t="s">
        <v>288</v>
      </c>
      <c r="E97" s="33" t="str">
        <f t="shared" si="4"/>
        <v>2020</v>
      </c>
      <c r="F97" s="32">
        <f t="shared" si="5"/>
        <v>2E-3</v>
      </c>
      <c r="G97" s="32">
        <v>2020</v>
      </c>
      <c r="H97" s="164">
        <f>INDEX(Data_base_case!$D$4:$Y$40,MATCH(Scenarios_definition!C97,Data_base_case!$D$4:$D$40,0),MATCH(Scenarios_definition!D97&amp;Scenarios_definition!G97,Data_base_case!$D$4:$Y$4,0))</f>
        <v>4.5833715280960696E-3</v>
      </c>
      <c r="I97" s="32">
        <v>2</v>
      </c>
      <c r="K97" s="164"/>
    </row>
    <row r="98" spans="2:11" s="32" customFormat="1" x14ac:dyDescent="0.35">
      <c r="B98" s="32" t="s">
        <v>242</v>
      </c>
      <c r="C98" s="32" t="s">
        <v>207</v>
      </c>
      <c r="D98" s="32" t="s">
        <v>288</v>
      </c>
      <c r="E98" s="33" t="str">
        <f t="shared" si="4"/>
        <v>2020</v>
      </c>
      <c r="F98" s="32">
        <f t="shared" si="5"/>
        <v>1.5E-3</v>
      </c>
      <c r="G98" s="32">
        <v>2020</v>
      </c>
      <c r="H98" s="164">
        <f>INDEX(Data_base_case!$D$4:$Y$40,MATCH(Scenarios_definition!C98,Data_base_case!$D$4:$D$40,0),MATCH(Scenarios_definition!D98&amp;Scenarios_definition!G98,Data_base_case!$D$4:$Y$4,0))</f>
        <v>4.5833715280960696E-3</v>
      </c>
      <c r="I98" s="32">
        <v>1.5</v>
      </c>
      <c r="K98" s="164"/>
    </row>
    <row r="99" spans="2:11" s="32" customFormat="1" x14ac:dyDescent="0.35">
      <c r="B99" s="32" t="s">
        <v>243</v>
      </c>
      <c r="C99" s="32" t="s">
        <v>207</v>
      </c>
      <c r="D99" s="32" t="s">
        <v>288</v>
      </c>
      <c r="E99" s="33" t="str">
        <f t="shared" si="4"/>
        <v>2020</v>
      </c>
      <c r="F99" s="32">
        <f t="shared" si="5"/>
        <v>1E-3</v>
      </c>
      <c r="G99" s="32">
        <v>2020</v>
      </c>
      <c r="H99" s="164">
        <f>INDEX(Data_base_case!$D$4:$Y$40,MATCH(Scenarios_definition!C99,Data_base_case!$D$4:$D$40,0),MATCH(Scenarios_definition!D99&amp;Scenarios_definition!G99,Data_base_case!$D$4:$Y$4,0))</f>
        <v>4.5833715280960696E-3</v>
      </c>
      <c r="I99" s="32">
        <v>1</v>
      </c>
      <c r="K99" s="164"/>
    </row>
    <row r="100" spans="2:11" s="32" customFormat="1" x14ac:dyDescent="0.35">
      <c r="B100" s="32" t="s">
        <v>244</v>
      </c>
      <c r="C100" s="32" t="s">
        <v>207</v>
      </c>
      <c r="D100" s="32" t="s">
        <v>288</v>
      </c>
      <c r="E100" s="33" t="str">
        <f t="shared" si="4"/>
        <v>2020</v>
      </c>
      <c r="F100" s="32">
        <f t="shared" si="5"/>
        <v>0</v>
      </c>
      <c r="G100" s="32">
        <v>2020</v>
      </c>
      <c r="H100" s="164">
        <f>INDEX(Data_base_case!$D$4:$Y$40,MATCH(Scenarios_definition!C100,Data_base_case!$D$4:$D$40,0),MATCH(Scenarios_definition!D100&amp;Scenarios_definition!G100,Data_base_case!$D$4:$Y$4,0))</f>
        <v>4.5833715280960696E-3</v>
      </c>
      <c r="I100" s="32">
        <v>0</v>
      </c>
      <c r="K100" s="164"/>
    </row>
    <row r="101" spans="2:11" s="21" customFormat="1" x14ac:dyDescent="0.35">
      <c r="B101" s="21" t="s">
        <v>245</v>
      </c>
      <c r="C101" s="21" t="s">
        <v>127</v>
      </c>
      <c r="D101" s="21" t="s">
        <v>74</v>
      </c>
      <c r="E101" s="22" t="str">
        <f t="shared" si="4"/>
        <v>2020</v>
      </c>
      <c r="F101" s="21">
        <v>0</v>
      </c>
      <c r="G101" s="21">
        <v>2020</v>
      </c>
      <c r="H101" s="166">
        <f>INDEX(Data_base_case!$D$4:$Y$40,MATCH(Scenarios_definition!C101,Data_base_case!$D$4:$D$40,0),MATCH(Scenarios_definition!D101&amp;Scenarios_definition!G101,Data_base_case!$D$4:$Y$4,0))</f>
        <v>1</v>
      </c>
      <c r="K101" s="166"/>
    </row>
    <row r="102" spans="2:11" s="21" customFormat="1" x14ac:dyDescent="0.35">
      <c r="B102" s="21" t="s">
        <v>245</v>
      </c>
      <c r="C102" s="21" t="s">
        <v>125</v>
      </c>
      <c r="D102" s="21" t="s">
        <v>74</v>
      </c>
      <c r="E102" s="22" t="str">
        <f t="shared" si="4"/>
        <v>2020</v>
      </c>
      <c r="F102" s="21">
        <v>0</v>
      </c>
      <c r="G102" s="21">
        <v>2020</v>
      </c>
      <c r="H102" s="166">
        <f>INDEX(Data_base_case!$D$4:$Y$40,MATCH(Scenarios_definition!C102,Data_base_case!$D$4:$D$40,0),MATCH(Scenarios_definition!D102&amp;Scenarios_definition!G102,Data_base_case!$D$4:$Y$4,0))</f>
        <v>1</v>
      </c>
      <c r="K102" s="166"/>
    </row>
    <row r="103" spans="2:11" s="21" customFormat="1" x14ac:dyDescent="0.35">
      <c r="B103" s="21" t="s">
        <v>245</v>
      </c>
      <c r="C103" s="21" t="s">
        <v>126</v>
      </c>
      <c r="D103" s="21" t="s">
        <v>74</v>
      </c>
      <c r="E103" s="22" t="str">
        <f t="shared" si="4"/>
        <v>2020</v>
      </c>
      <c r="F103" s="21">
        <v>0</v>
      </c>
      <c r="G103" s="21">
        <v>2020</v>
      </c>
      <c r="H103" s="166">
        <f>INDEX(Data_base_case!$D$4:$Y$40,MATCH(Scenarios_definition!C103,Data_base_case!$D$4:$D$40,0),MATCH(Scenarios_definition!D103&amp;Scenarios_definition!G103,Data_base_case!$D$4:$Y$4,0))</f>
        <v>1</v>
      </c>
      <c r="K103" s="166"/>
    </row>
    <row r="104" spans="2:11" s="27" customFormat="1" x14ac:dyDescent="0.35">
      <c r="B104" s="27" t="s">
        <v>233</v>
      </c>
      <c r="C104" s="27" t="s">
        <v>118</v>
      </c>
      <c r="D104" s="27" t="s">
        <v>43</v>
      </c>
      <c r="E104" s="28" t="str">
        <f t="shared" si="2"/>
        <v>2020</v>
      </c>
      <c r="F104" s="27">
        <v>0</v>
      </c>
      <c r="G104" s="28">
        <v>2020</v>
      </c>
      <c r="H104" s="161">
        <f>INDEX(Data_base_case!$D$4:$Y$40,MATCH(Scenarios_definition!C104,Data_base_case!$D$4:$D$40,0),MATCH(Scenarios_definition!D104&amp;Scenarios_definition!G104,Data_base_case!$D$4:$Y$4,0))</f>
        <v>0.4</v>
      </c>
      <c r="K104" s="161"/>
    </row>
    <row r="105" spans="2:11" s="27" customFormat="1" x14ac:dyDescent="0.35">
      <c r="B105" s="27" t="s">
        <v>202</v>
      </c>
      <c r="C105" s="27" t="s">
        <v>118</v>
      </c>
      <c r="D105" s="27" t="s">
        <v>43</v>
      </c>
      <c r="E105" s="28" t="str">
        <f t="shared" si="2"/>
        <v>2020</v>
      </c>
      <c r="F105" s="27">
        <v>0.1</v>
      </c>
      <c r="G105" s="28">
        <v>2020</v>
      </c>
      <c r="H105" s="161">
        <f>INDEX(Data_base_case!$D$4:$Y$40,MATCH(Scenarios_definition!C105,Data_base_case!$D$4:$D$40,0),MATCH(Scenarios_definition!D105&amp;Scenarios_definition!G105,Data_base_case!$D$4:$Y$4,0))</f>
        <v>0.4</v>
      </c>
      <c r="K105" s="161"/>
    </row>
    <row r="106" spans="2:11" s="27" customFormat="1" x14ac:dyDescent="0.35">
      <c r="B106" s="27" t="s">
        <v>203</v>
      </c>
      <c r="C106" s="27" t="s">
        <v>118</v>
      </c>
      <c r="D106" s="27" t="s">
        <v>43</v>
      </c>
      <c r="E106" s="28" t="str">
        <f t="shared" si="2"/>
        <v>2020</v>
      </c>
      <c r="F106" s="27">
        <v>0.6</v>
      </c>
      <c r="G106" s="28">
        <v>2020</v>
      </c>
      <c r="H106" s="161">
        <f>INDEX(Data_base_case!$D$4:$Y$40,MATCH(Scenarios_definition!C106,Data_base_case!$D$4:$D$40,0),MATCH(Scenarios_definition!D106&amp;Scenarios_definition!G106,Data_base_case!$D$4:$Y$4,0))</f>
        <v>0.4</v>
      </c>
      <c r="K106" s="161"/>
    </row>
    <row r="107" spans="2:11" s="27" customFormat="1" x14ac:dyDescent="0.35">
      <c r="B107" s="27" t="s">
        <v>204</v>
      </c>
      <c r="C107" s="27" t="s">
        <v>118</v>
      </c>
      <c r="D107" s="27" t="s">
        <v>43</v>
      </c>
      <c r="E107" s="28" t="str">
        <f t="shared" si="2"/>
        <v>2020</v>
      </c>
      <c r="F107" s="27">
        <v>0.8</v>
      </c>
      <c r="G107" s="28">
        <v>2020</v>
      </c>
      <c r="H107" s="161">
        <f>INDEX(Data_base_case!$D$4:$Y$40,MATCH(Scenarios_definition!C107,Data_base_case!$D$4:$D$40,0),MATCH(Scenarios_definition!D107&amp;Scenarios_definition!G107,Data_base_case!$D$4:$Y$4,0))</f>
        <v>0.4</v>
      </c>
      <c r="K107" s="161"/>
    </row>
    <row r="108" spans="2:11" s="27" customFormat="1" x14ac:dyDescent="0.35">
      <c r="B108" s="27" t="s">
        <v>205</v>
      </c>
      <c r="C108" s="27" t="s">
        <v>118</v>
      </c>
      <c r="D108" s="27" t="s">
        <v>43</v>
      </c>
      <c r="E108" s="28" t="str">
        <f t="shared" si="2"/>
        <v>2020</v>
      </c>
      <c r="F108" s="27">
        <v>1</v>
      </c>
      <c r="G108" s="28">
        <v>2020</v>
      </c>
      <c r="H108" s="161">
        <f>INDEX(Data_base_case!$D$4:$Y$40,MATCH(Scenarios_definition!C108,Data_base_case!$D$4:$D$40,0),MATCH(Scenarios_definition!D108&amp;Scenarios_definition!G108,Data_base_case!$D$4:$Y$4,0))</f>
        <v>0.4</v>
      </c>
      <c r="K108" s="161"/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122"/>
  <sheetViews>
    <sheetView topLeftCell="A24" workbookViewId="0">
      <selection activeCell="F13" sqref="F13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14" bestFit="1" customWidth="1"/>
    <col min="4" max="4" width="12" style="14" customWidth="1"/>
    <col min="5" max="5" width="6.1796875" style="14" bestFit="1" customWidth="1"/>
    <col min="6" max="6" width="11.1796875" style="14" bestFit="1" customWidth="1"/>
    <col min="7" max="7" width="11.1796875" style="14" customWidth="1"/>
    <col min="8" max="8" width="8.81640625" style="14" bestFit="1" customWidth="1"/>
    <col min="9" max="9" width="17.26953125" style="14" customWidth="1"/>
    <col min="10" max="10" width="16.08984375" style="14" customWidth="1"/>
    <col min="11" max="11" width="10.54296875" style="14" bestFit="1" customWidth="1"/>
    <col min="12" max="12" width="18.54296875" bestFit="1" customWidth="1"/>
    <col min="13" max="13" width="21" style="17" customWidth="1"/>
    <col min="14" max="14" width="11.7265625" bestFit="1" customWidth="1"/>
    <col min="15" max="15" width="8.08984375" bestFit="1" customWidth="1"/>
    <col min="16" max="16" width="19.1796875" bestFit="1" customWidth="1"/>
    <col min="17" max="17" width="13.26953125" bestFit="1" customWidth="1"/>
    <col min="18" max="18" width="15.36328125" style="17" bestFit="1" customWidth="1"/>
    <col min="19" max="19" width="14" bestFit="1" customWidth="1"/>
  </cols>
  <sheetData>
    <row r="1" spans="1:19" x14ac:dyDescent="0.35">
      <c r="B1" s="147" t="s">
        <v>82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8"/>
    </row>
    <row r="2" spans="1:19" ht="16.5" customHeight="1" x14ac:dyDescent="0.35">
      <c r="B2" s="149" t="s">
        <v>89</v>
      </c>
      <c r="C2" s="150" t="s">
        <v>81</v>
      </c>
      <c r="D2" s="2" t="s">
        <v>248</v>
      </c>
      <c r="E2" s="2" t="s">
        <v>67</v>
      </c>
      <c r="F2" s="2" t="s">
        <v>69</v>
      </c>
      <c r="G2" s="2" t="s">
        <v>227</v>
      </c>
      <c r="H2" s="2">
        <v>2020</v>
      </c>
      <c r="I2" s="149" t="s">
        <v>98</v>
      </c>
      <c r="J2" s="149" t="s">
        <v>97</v>
      </c>
      <c r="K2" s="2" t="s">
        <v>48</v>
      </c>
      <c r="L2" s="2" t="s">
        <v>105</v>
      </c>
      <c r="M2" s="38" t="s">
        <v>83</v>
      </c>
    </row>
    <row r="3" spans="1:19" x14ac:dyDescent="0.35">
      <c r="B3" s="149"/>
      <c r="C3" s="150"/>
      <c r="D3" s="2"/>
      <c r="F3" s="2"/>
      <c r="G3" s="2" t="s">
        <v>228</v>
      </c>
      <c r="H3" s="2"/>
      <c r="I3" s="149"/>
      <c r="J3" s="149"/>
      <c r="K3" s="2" t="s">
        <v>56</v>
      </c>
      <c r="L3" s="2"/>
      <c r="M3" s="38"/>
    </row>
    <row r="4" spans="1:19" x14ac:dyDescent="0.35">
      <c r="B4" s="149"/>
      <c r="C4" s="150"/>
      <c r="D4" s="2"/>
      <c r="E4" s="2"/>
      <c r="G4" s="122" t="s">
        <v>229</v>
      </c>
      <c r="H4" s="2"/>
      <c r="I4" s="149"/>
      <c r="J4" s="149"/>
      <c r="K4" s="2"/>
      <c r="L4" s="2"/>
      <c r="M4" s="38"/>
    </row>
    <row r="5" spans="1:19" x14ac:dyDescent="0.35">
      <c r="B5" s="149"/>
      <c r="C5" s="150"/>
      <c r="E5" s="2"/>
      <c r="F5" s="2"/>
      <c r="G5" s="2" t="s">
        <v>230</v>
      </c>
      <c r="H5" s="2"/>
      <c r="I5" s="2"/>
      <c r="J5" s="2"/>
      <c r="K5" s="2"/>
      <c r="L5" s="3"/>
      <c r="M5" s="26"/>
      <c r="N5" s="37"/>
      <c r="O5" s="3"/>
      <c r="P5" s="3"/>
      <c r="Q5" s="3"/>
      <c r="R5" s="26"/>
      <c r="S5" s="39" t="s">
        <v>84</v>
      </c>
    </row>
    <row r="6" spans="1:19" x14ac:dyDescent="0.35">
      <c r="L6" s="14"/>
      <c r="M6" s="31"/>
      <c r="N6" s="3"/>
      <c r="O6" s="3"/>
      <c r="P6" s="3"/>
      <c r="Q6" s="3"/>
      <c r="R6" s="26"/>
    </row>
    <row r="7" spans="1:19" s="23" customFormat="1" x14ac:dyDescent="0.35">
      <c r="A7" s="23" t="s">
        <v>57</v>
      </c>
      <c r="B7" s="23" t="s">
        <v>88</v>
      </c>
      <c r="C7" s="23" t="s">
        <v>87</v>
      </c>
      <c r="D7" s="23" t="s">
        <v>107</v>
      </c>
      <c r="E7" s="23" t="s">
        <v>58</v>
      </c>
      <c r="F7" s="23" t="s">
        <v>68</v>
      </c>
      <c r="G7" s="23" t="s">
        <v>246</v>
      </c>
      <c r="H7" s="23" t="s">
        <v>95</v>
      </c>
      <c r="I7" s="23" t="s">
        <v>96</v>
      </c>
      <c r="J7" s="23" t="s">
        <v>61</v>
      </c>
      <c r="K7" s="23" t="s">
        <v>59</v>
      </c>
      <c r="L7" s="23" t="s">
        <v>60</v>
      </c>
      <c r="M7" s="24" t="s">
        <v>62</v>
      </c>
      <c r="N7" s="23" t="s">
        <v>63</v>
      </c>
      <c r="O7" s="23" t="s">
        <v>64</v>
      </c>
      <c r="P7" s="23" t="s">
        <v>65</v>
      </c>
      <c r="Q7" s="23" t="s">
        <v>72</v>
      </c>
      <c r="R7" s="24" t="s">
        <v>73</v>
      </c>
      <c r="S7" s="23" t="s">
        <v>66</v>
      </c>
    </row>
    <row r="8" spans="1:19" x14ac:dyDescent="0.35">
      <c r="A8" s="2">
        <f t="shared" ref="A8:A22" si="0">ROW(A8)-ROW($A$7)</f>
        <v>1</v>
      </c>
      <c r="B8" s="2" t="s">
        <v>247</v>
      </c>
      <c r="C8" s="14" t="s">
        <v>85</v>
      </c>
      <c r="D8" s="14" t="s">
        <v>248</v>
      </c>
      <c r="E8" s="14" t="s">
        <v>67</v>
      </c>
      <c r="F8" s="14" t="s">
        <v>69</v>
      </c>
      <c r="G8" s="14" t="s">
        <v>227</v>
      </c>
      <c r="H8" s="73">
        <v>2020</v>
      </c>
      <c r="I8" s="14" t="s">
        <v>248</v>
      </c>
      <c r="J8" s="131" t="s">
        <v>281</v>
      </c>
      <c r="K8" s="14" t="s">
        <v>48</v>
      </c>
      <c r="L8" t="s">
        <v>108</v>
      </c>
      <c r="M8" s="17" t="s">
        <v>282</v>
      </c>
      <c r="N8" t="b">
        <v>0</v>
      </c>
      <c r="O8" t="b">
        <v>0</v>
      </c>
      <c r="P8" t="b">
        <v>1</v>
      </c>
      <c r="Q8" t="b">
        <v>0</v>
      </c>
      <c r="R8" s="17" t="b">
        <v>0</v>
      </c>
      <c r="S8" t="b">
        <v>1</v>
      </c>
    </row>
    <row r="9" spans="1:19" x14ac:dyDescent="0.35">
      <c r="A9" s="2">
        <f t="shared" si="0"/>
        <v>2</v>
      </c>
      <c r="B9" s="2" t="s">
        <v>247</v>
      </c>
      <c r="C9" s="14" t="s">
        <v>85</v>
      </c>
      <c r="D9" s="14" t="s">
        <v>248</v>
      </c>
      <c r="E9" s="14" t="s">
        <v>67</v>
      </c>
      <c r="F9" s="14" t="s">
        <v>69</v>
      </c>
      <c r="G9" s="14" t="s">
        <v>228</v>
      </c>
      <c r="H9" s="73">
        <v>2020</v>
      </c>
      <c r="I9" s="14" t="s">
        <v>248</v>
      </c>
      <c r="J9" s="131" t="s">
        <v>281</v>
      </c>
      <c r="K9" s="14" t="s">
        <v>56</v>
      </c>
      <c r="L9" t="s">
        <v>108</v>
      </c>
      <c r="M9" s="17" t="s">
        <v>282</v>
      </c>
      <c r="N9" t="b">
        <v>0</v>
      </c>
      <c r="O9" t="b">
        <v>0</v>
      </c>
      <c r="P9" t="b">
        <v>1</v>
      </c>
      <c r="Q9" t="b">
        <v>0</v>
      </c>
      <c r="R9" s="17" t="b">
        <v>0</v>
      </c>
      <c r="S9" t="b">
        <v>1</v>
      </c>
    </row>
    <row r="10" spans="1:19" x14ac:dyDescent="0.35">
      <c r="A10" s="2">
        <f t="shared" si="0"/>
        <v>3</v>
      </c>
      <c r="B10" s="2" t="s">
        <v>152</v>
      </c>
      <c r="C10" s="14" t="s">
        <v>152</v>
      </c>
      <c r="D10" s="14" t="s">
        <v>248</v>
      </c>
      <c r="E10" s="14" t="s">
        <v>67</v>
      </c>
      <c r="F10" s="14" t="s">
        <v>69</v>
      </c>
      <c r="G10" s="14" t="s">
        <v>228</v>
      </c>
      <c r="H10" s="73">
        <v>2020</v>
      </c>
      <c r="I10" s="14" t="s">
        <v>248</v>
      </c>
      <c r="J10" s="131" t="s">
        <v>281</v>
      </c>
      <c r="K10" s="14" t="s">
        <v>48</v>
      </c>
      <c r="L10" t="s">
        <v>108</v>
      </c>
      <c r="M10" s="17" t="s">
        <v>282</v>
      </c>
      <c r="N10" t="b">
        <v>0</v>
      </c>
      <c r="O10" t="b">
        <v>0</v>
      </c>
      <c r="P10" t="b">
        <v>1</v>
      </c>
      <c r="Q10" t="b">
        <v>0</v>
      </c>
      <c r="R10" s="17" t="b">
        <v>0</v>
      </c>
      <c r="S10" t="b">
        <v>1</v>
      </c>
    </row>
    <row r="11" spans="1:19" x14ac:dyDescent="0.35">
      <c r="A11" s="2">
        <f t="shared" si="0"/>
        <v>4</v>
      </c>
      <c r="B11" s="2" t="s">
        <v>152</v>
      </c>
      <c r="C11" s="14" t="s">
        <v>152</v>
      </c>
      <c r="D11" s="14" t="s">
        <v>248</v>
      </c>
      <c r="E11" s="14" t="s">
        <v>67</v>
      </c>
      <c r="F11" s="14" t="s">
        <v>69</v>
      </c>
      <c r="G11" s="14" t="s">
        <v>228</v>
      </c>
      <c r="H11" s="36">
        <v>2020</v>
      </c>
      <c r="I11" s="14" t="s">
        <v>248</v>
      </c>
      <c r="J11" s="131" t="s">
        <v>281</v>
      </c>
      <c r="K11" s="14" t="s">
        <v>56</v>
      </c>
      <c r="L11" t="s">
        <v>108</v>
      </c>
      <c r="M11" s="17" t="s">
        <v>282</v>
      </c>
      <c r="N11" t="b">
        <v>0</v>
      </c>
      <c r="O11" t="b">
        <v>0</v>
      </c>
      <c r="P11" t="b">
        <v>1</v>
      </c>
      <c r="Q11" t="b">
        <v>0</v>
      </c>
      <c r="R11" s="17" t="b">
        <v>0</v>
      </c>
      <c r="S11" t="b">
        <v>1</v>
      </c>
    </row>
    <row r="12" spans="1:19" x14ac:dyDescent="0.35">
      <c r="A12" s="2">
        <f t="shared" si="0"/>
        <v>5</v>
      </c>
      <c r="B12" s="129" t="s">
        <v>156</v>
      </c>
      <c r="C12" s="75" t="str">
        <f t="shared" ref="C12:C21" si="1">B12</f>
        <v>CSP+TES-50%</v>
      </c>
      <c r="D12" s="14" t="s">
        <v>248</v>
      </c>
      <c r="E12" s="14" t="s">
        <v>67</v>
      </c>
      <c r="F12" s="14" t="s">
        <v>69</v>
      </c>
      <c r="G12" s="14" t="s">
        <v>227</v>
      </c>
      <c r="H12" s="36">
        <v>2020</v>
      </c>
      <c r="I12" s="14" t="s">
        <v>248</v>
      </c>
      <c r="J12" s="131" t="s">
        <v>281</v>
      </c>
      <c r="K12" s="14" t="s">
        <v>48</v>
      </c>
      <c r="L12" t="s">
        <v>108</v>
      </c>
      <c r="M12" s="17" t="s">
        <v>282</v>
      </c>
      <c r="N12" t="b">
        <v>0</v>
      </c>
      <c r="O12" t="b">
        <v>0</v>
      </c>
      <c r="P12" t="b">
        <v>1</v>
      </c>
      <c r="Q12" t="b">
        <v>0</v>
      </c>
      <c r="R12" s="17" t="b">
        <v>0</v>
      </c>
      <c r="S12" t="b">
        <v>1</v>
      </c>
    </row>
    <row r="13" spans="1:19" x14ac:dyDescent="0.35">
      <c r="A13" s="2">
        <f t="shared" si="0"/>
        <v>6</v>
      </c>
      <c r="B13" s="129" t="s">
        <v>157</v>
      </c>
      <c r="C13" s="75" t="str">
        <f t="shared" si="1"/>
        <v>CSP+TES-40%</v>
      </c>
      <c r="D13" s="14" t="s">
        <v>248</v>
      </c>
      <c r="E13" s="14" t="s">
        <v>67</v>
      </c>
      <c r="F13" s="14" t="s">
        <v>69</v>
      </c>
      <c r="G13" s="14" t="s">
        <v>227</v>
      </c>
      <c r="H13" s="73">
        <v>2020</v>
      </c>
      <c r="I13" s="14" t="s">
        <v>248</v>
      </c>
      <c r="J13" s="131" t="s">
        <v>281</v>
      </c>
      <c r="K13" s="14" t="s">
        <v>48</v>
      </c>
      <c r="L13" t="s">
        <v>108</v>
      </c>
      <c r="M13" s="17" t="s">
        <v>282</v>
      </c>
      <c r="N13" t="b">
        <v>0</v>
      </c>
      <c r="O13" t="b">
        <v>0</v>
      </c>
      <c r="P13" t="b">
        <v>1</v>
      </c>
      <c r="Q13" t="b">
        <v>0</v>
      </c>
      <c r="R13" s="17" t="b">
        <v>0</v>
      </c>
      <c r="S13" t="b">
        <v>1</v>
      </c>
    </row>
    <row r="14" spans="1:19" x14ac:dyDescent="0.35">
      <c r="A14" s="2">
        <f t="shared" si="0"/>
        <v>7</v>
      </c>
      <c r="B14" s="129" t="s">
        <v>158</v>
      </c>
      <c r="C14" s="75" t="str">
        <f t="shared" si="1"/>
        <v>CSP+TES-30%</v>
      </c>
      <c r="D14" s="14" t="s">
        <v>248</v>
      </c>
      <c r="E14" s="14" t="s">
        <v>67</v>
      </c>
      <c r="F14" s="14" t="s">
        <v>69</v>
      </c>
      <c r="G14" s="14" t="s">
        <v>227</v>
      </c>
      <c r="H14" s="73">
        <v>2020</v>
      </c>
      <c r="I14" s="14" t="s">
        <v>248</v>
      </c>
      <c r="J14" s="131" t="s">
        <v>281</v>
      </c>
      <c r="K14" s="14" t="s">
        <v>48</v>
      </c>
      <c r="L14" t="s">
        <v>108</v>
      </c>
      <c r="M14" s="17" t="s">
        <v>282</v>
      </c>
      <c r="N14" t="b">
        <v>0</v>
      </c>
      <c r="O14" t="b">
        <v>0</v>
      </c>
      <c r="P14" t="b">
        <v>1</v>
      </c>
      <c r="Q14" t="b">
        <v>0</v>
      </c>
      <c r="R14" s="17" t="b">
        <v>0</v>
      </c>
      <c r="S14" t="b">
        <v>1</v>
      </c>
    </row>
    <row r="15" spans="1:19" x14ac:dyDescent="0.35">
      <c r="A15" s="2">
        <f t="shared" si="0"/>
        <v>8</v>
      </c>
      <c r="B15" s="129" t="s">
        <v>159</v>
      </c>
      <c r="C15" s="75" t="str">
        <f t="shared" si="1"/>
        <v>CSP+TES-20%</v>
      </c>
      <c r="D15" s="14" t="s">
        <v>248</v>
      </c>
      <c r="E15" s="14" t="s">
        <v>67</v>
      </c>
      <c r="F15" s="14" t="s">
        <v>69</v>
      </c>
      <c r="G15" s="14" t="s">
        <v>227</v>
      </c>
      <c r="H15" s="73">
        <v>2020</v>
      </c>
      <c r="I15" s="14" t="s">
        <v>248</v>
      </c>
      <c r="J15" s="131" t="s">
        <v>281</v>
      </c>
      <c r="K15" s="14" t="s">
        <v>48</v>
      </c>
      <c r="L15" t="s">
        <v>108</v>
      </c>
      <c r="M15" s="17" t="s">
        <v>282</v>
      </c>
      <c r="N15" t="b">
        <v>0</v>
      </c>
      <c r="O15" t="b">
        <v>0</v>
      </c>
      <c r="P15" t="b">
        <v>1</v>
      </c>
      <c r="Q15" t="b">
        <v>0</v>
      </c>
      <c r="R15" s="17" t="b">
        <v>0</v>
      </c>
      <c r="S15" t="b">
        <v>1</v>
      </c>
    </row>
    <row r="16" spans="1:19" x14ac:dyDescent="0.35">
      <c r="A16" s="2">
        <f t="shared" si="0"/>
        <v>9</v>
      </c>
      <c r="B16" s="129" t="s">
        <v>160</v>
      </c>
      <c r="C16" s="75" t="str">
        <f t="shared" si="1"/>
        <v>CSP+TES-10%</v>
      </c>
      <c r="D16" s="14" t="s">
        <v>248</v>
      </c>
      <c r="E16" s="14" t="s">
        <v>67</v>
      </c>
      <c r="F16" s="14" t="s">
        <v>69</v>
      </c>
      <c r="G16" s="14" t="s">
        <v>227</v>
      </c>
      <c r="H16" s="73">
        <v>2020</v>
      </c>
      <c r="I16" s="14" t="s">
        <v>248</v>
      </c>
      <c r="J16" s="131" t="s">
        <v>281</v>
      </c>
      <c r="K16" s="14" t="s">
        <v>48</v>
      </c>
      <c r="L16" t="s">
        <v>108</v>
      </c>
      <c r="M16" s="17" t="s">
        <v>282</v>
      </c>
      <c r="N16" t="b">
        <v>0</v>
      </c>
      <c r="O16" t="b">
        <v>0</v>
      </c>
      <c r="P16" t="b">
        <v>1</v>
      </c>
      <c r="Q16" t="b">
        <v>0</v>
      </c>
      <c r="R16" s="17" t="b">
        <v>0</v>
      </c>
      <c r="S16" t="b">
        <v>1</v>
      </c>
    </row>
    <row r="17" spans="1:19" x14ac:dyDescent="0.35">
      <c r="A17" s="2">
        <f t="shared" si="0"/>
        <v>10</v>
      </c>
      <c r="B17" s="129" t="s">
        <v>161</v>
      </c>
      <c r="C17" s="75" t="str">
        <f t="shared" si="1"/>
        <v>CSP+TES+10%</v>
      </c>
      <c r="D17" s="14" t="s">
        <v>248</v>
      </c>
      <c r="E17" s="14" t="s">
        <v>67</v>
      </c>
      <c r="F17" s="14" t="s">
        <v>69</v>
      </c>
      <c r="G17" s="14" t="s">
        <v>227</v>
      </c>
      <c r="H17" s="73">
        <v>2020</v>
      </c>
      <c r="I17" s="14" t="s">
        <v>248</v>
      </c>
      <c r="J17" s="131" t="s">
        <v>281</v>
      </c>
      <c r="K17" s="14" t="s">
        <v>48</v>
      </c>
      <c r="L17" t="s">
        <v>108</v>
      </c>
      <c r="M17" s="17" t="s">
        <v>282</v>
      </c>
      <c r="N17" t="b">
        <v>0</v>
      </c>
      <c r="O17" t="b">
        <v>0</v>
      </c>
      <c r="P17" t="b">
        <v>1</v>
      </c>
      <c r="Q17" t="b">
        <v>0</v>
      </c>
      <c r="R17" s="17" t="b">
        <v>0</v>
      </c>
      <c r="S17" t="b">
        <v>1</v>
      </c>
    </row>
    <row r="18" spans="1:19" x14ac:dyDescent="0.35">
      <c r="A18" s="2">
        <f t="shared" si="0"/>
        <v>11</v>
      </c>
      <c r="B18" s="129" t="s">
        <v>162</v>
      </c>
      <c r="C18" s="75" t="str">
        <f t="shared" si="1"/>
        <v>CSP+TES+20%</v>
      </c>
      <c r="D18" s="14" t="s">
        <v>248</v>
      </c>
      <c r="E18" s="14" t="s">
        <v>67</v>
      </c>
      <c r="F18" s="14" t="s">
        <v>69</v>
      </c>
      <c r="G18" s="14" t="s">
        <v>227</v>
      </c>
      <c r="H18" s="73">
        <v>2020</v>
      </c>
      <c r="I18" s="14" t="s">
        <v>248</v>
      </c>
      <c r="J18" s="131" t="s">
        <v>281</v>
      </c>
      <c r="K18" s="14" t="s">
        <v>48</v>
      </c>
      <c r="L18" t="s">
        <v>108</v>
      </c>
      <c r="M18" s="17" t="s">
        <v>282</v>
      </c>
      <c r="N18" t="b">
        <v>0</v>
      </c>
      <c r="O18" t="b">
        <v>0</v>
      </c>
      <c r="P18" t="b">
        <v>1</v>
      </c>
      <c r="Q18" t="b">
        <v>0</v>
      </c>
      <c r="R18" s="17" t="b">
        <v>0</v>
      </c>
      <c r="S18" t="b">
        <v>1</v>
      </c>
    </row>
    <row r="19" spans="1:19" x14ac:dyDescent="0.35">
      <c r="A19" s="2">
        <f t="shared" si="0"/>
        <v>12</v>
      </c>
      <c r="B19" s="129" t="s">
        <v>163</v>
      </c>
      <c r="C19" s="75" t="str">
        <f t="shared" si="1"/>
        <v>CSP+TES+30%</v>
      </c>
      <c r="D19" s="14" t="s">
        <v>248</v>
      </c>
      <c r="E19" s="14" t="s">
        <v>67</v>
      </c>
      <c r="F19" s="14" t="s">
        <v>69</v>
      </c>
      <c r="G19" s="14" t="s">
        <v>227</v>
      </c>
      <c r="H19" s="73">
        <v>2020</v>
      </c>
      <c r="I19" s="14" t="s">
        <v>248</v>
      </c>
      <c r="J19" s="131" t="s">
        <v>281</v>
      </c>
      <c r="K19" s="14" t="s">
        <v>48</v>
      </c>
      <c r="L19" t="s">
        <v>108</v>
      </c>
      <c r="M19" s="17" t="s">
        <v>282</v>
      </c>
      <c r="N19" t="b">
        <v>0</v>
      </c>
      <c r="O19" t="b">
        <v>0</v>
      </c>
      <c r="P19" t="b">
        <v>1</v>
      </c>
      <c r="Q19" t="b">
        <v>0</v>
      </c>
      <c r="R19" s="17" t="b">
        <v>0</v>
      </c>
      <c r="S19" t="b">
        <v>1</v>
      </c>
    </row>
    <row r="20" spans="1:19" x14ac:dyDescent="0.35">
      <c r="A20" s="2">
        <f t="shared" si="0"/>
        <v>13</v>
      </c>
      <c r="B20" s="129" t="s">
        <v>164</v>
      </c>
      <c r="C20" s="75" t="str">
        <f t="shared" si="1"/>
        <v>CSP+TES+40%</v>
      </c>
      <c r="D20" s="14" t="s">
        <v>248</v>
      </c>
      <c r="E20" s="14" t="s">
        <v>67</v>
      </c>
      <c r="F20" s="14" t="s">
        <v>69</v>
      </c>
      <c r="G20" s="14" t="s">
        <v>227</v>
      </c>
      <c r="H20" s="73">
        <v>2020</v>
      </c>
      <c r="I20" s="14" t="s">
        <v>248</v>
      </c>
      <c r="J20" s="131" t="s">
        <v>281</v>
      </c>
      <c r="K20" s="14" t="s">
        <v>48</v>
      </c>
      <c r="L20" t="s">
        <v>108</v>
      </c>
      <c r="M20" s="17" t="s">
        <v>282</v>
      </c>
      <c r="N20" t="b">
        <v>0</v>
      </c>
      <c r="O20" t="b">
        <v>0</v>
      </c>
      <c r="P20" t="b">
        <v>1</v>
      </c>
      <c r="Q20" t="b">
        <v>0</v>
      </c>
      <c r="R20" s="17" t="b">
        <v>0</v>
      </c>
      <c r="S20" t="b">
        <v>1</v>
      </c>
    </row>
    <row r="21" spans="1:19" x14ac:dyDescent="0.35">
      <c r="A21" s="2">
        <f t="shared" si="0"/>
        <v>14</v>
      </c>
      <c r="B21" s="129" t="s">
        <v>165</v>
      </c>
      <c r="C21" s="75" t="str">
        <f t="shared" si="1"/>
        <v>CSP+TES+50%</v>
      </c>
      <c r="D21" s="14" t="s">
        <v>248</v>
      </c>
      <c r="E21" s="14" t="s">
        <v>67</v>
      </c>
      <c r="F21" s="14" t="s">
        <v>69</v>
      </c>
      <c r="G21" s="14" t="s">
        <v>227</v>
      </c>
      <c r="H21" s="73">
        <v>2020</v>
      </c>
      <c r="I21" s="14" t="s">
        <v>248</v>
      </c>
      <c r="J21" s="131" t="s">
        <v>281</v>
      </c>
      <c r="K21" s="14" t="s">
        <v>48</v>
      </c>
      <c r="L21" t="s">
        <v>108</v>
      </c>
      <c r="M21" s="17" t="s">
        <v>282</v>
      </c>
      <c r="N21" t="b">
        <v>0</v>
      </c>
      <c r="O21" t="b">
        <v>0</v>
      </c>
      <c r="P21" t="b">
        <v>1</v>
      </c>
      <c r="Q21" t="b">
        <v>0</v>
      </c>
      <c r="R21" s="17" t="b">
        <v>0</v>
      </c>
      <c r="S21" t="b">
        <v>1</v>
      </c>
    </row>
    <row r="22" spans="1:19" x14ac:dyDescent="0.35">
      <c r="A22" s="2">
        <f t="shared" si="0"/>
        <v>15</v>
      </c>
      <c r="B22" s="11" t="s">
        <v>166</v>
      </c>
      <c r="C22" s="16" t="s">
        <v>166</v>
      </c>
      <c r="D22" s="14" t="s">
        <v>248</v>
      </c>
      <c r="E22" s="14" t="s">
        <v>67</v>
      </c>
      <c r="F22" s="14" t="s">
        <v>69</v>
      </c>
      <c r="G22" s="14" t="s">
        <v>227</v>
      </c>
      <c r="H22" s="73">
        <v>2020</v>
      </c>
      <c r="I22" s="14" t="s">
        <v>248</v>
      </c>
      <c r="J22" s="131" t="s">
        <v>281</v>
      </c>
      <c r="K22" s="14" t="s">
        <v>48</v>
      </c>
      <c r="L22" t="s">
        <v>108</v>
      </c>
      <c r="M22" s="17" t="s">
        <v>282</v>
      </c>
      <c r="N22" t="b">
        <v>0</v>
      </c>
      <c r="O22" t="b">
        <v>0</v>
      </c>
      <c r="P22" t="b">
        <v>1</v>
      </c>
      <c r="Q22" t="b">
        <v>0</v>
      </c>
      <c r="R22" s="17" t="b">
        <v>0</v>
      </c>
      <c r="S22" t="b">
        <v>1</v>
      </c>
    </row>
    <row r="23" spans="1:19" x14ac:dyDescent="0.35">
      <c r="A23" s="2">
        <f>ROW(A23)-ROW($A$7)</f>
        <v>16</v>
      </c>
      <c r="B23" s="11" t="s">
        <v>167</v>
      </c>
      <c r="C23" s="16" t="s">
        <v>167</v>
      </c>
      <c r="D23" s="14" t="s">
        <v>248</v>
      </c>
      <c r="E23" s="14" t="s">
        <v>67</v>
      </c>
      <c r="F23" s="14" t="s">
        <v>69</v>
      </c>
      <c r="G23" s="14" t="s">
        <v>227</v>
      </c>
      <c r="H23" s="73">
        <v>2020</v>
      </c>
      <c r="I23" s="14" t="s">
        <v>248</v>
      </c>
      <c r="J23" s="131" t="s">
        <v>281</v>
      </c>
      <c r="K23" s="14" t="s">
        <v>48</v>
      </c>
      <c r="L23" t="s">
        <v>108</v>
      </c>
      <c r="M23" s="17" t="s">
        <v>282</v>
      </c>
      <c r="N23" t="b">
        <v>0</v>
      </c>
      <c r="O23" t="b">
        <v>0</v>
      </c>
      <c r="P23" t="b">
        <v>1</v>
      </c>
      <c r="Q23" t="b">
        <v>0</v>
      </c>
      <c r="R23" s="17" t="b">
        <v>0</v>
      </c>
      <c r="S23" t="b">
        <v>1</v>
      </c>
    </row>
    <row r="24" spans="1:19" x14ac:dyDescent="0.35">
      <c r="A24" s="2">
        <f>ROW(A24)-ROW($A$7)</f>
        <v>17</v>
      </c>
      <c r="B24" s="11" t="s">
        <v>168</v>
      </c>
      <c r="C24" s="16" t="s">
        <v>168</v>
      </c>
      <c r="D24" s="14" t="s">
        <v>248</v>
      </c>
      <c r="E24" s="14" t="s">
        <v>67</v>
      </c>
      <c r="F24" s="14" t="s">
        <v>69</v>
      </c>
      <c r="G24" s="14" t="s">
        <v>227</v>
      </c>
      <c r="H24" s="73">
        <v>2020</v>
      </c>
      <c r="I24" s="14" t="s">
        <v>248</v>
      </c>
      <c r="J24" s="131" t="s">
        <v>281</v>
      </c>
      <c r="K24" s="14" t="s">
        <v>48</v>
      </c>
      <c r="L24" t="s">
        <v>108</v>
      </c>
      <c r="M24" s="17" t="s">
        <v>282</v>
      </c>
      <c r="N24" t="b">
        <v>0</v>
      </c>
      <c r="O24" t="b">
        <v>0</v>
      </c>
      <c r="P24" t="b">
        <v>1</v>
      </c>
      <c r="Q24" t="b">
        <v>0</v>
      </c>
      <c r="R24" s="17" t="b">
        <v>0</v>
      </c>
      <c r="S24" t="b">
        <v>1</v>
      </c>
    </row>
    <row r="25" spans="1:19" x14ac:dyDescent="0.35">
      <c r="A25" s="2">
        <f>ROW(A25)-ROW($A$7)</f>
        <v>18</v>
      </c>
      <c r="B25" s="11" t="s">
        <v>169</v>
      </c>
      <c r="C25" s="16" t="s">
        <v>169</v>
      </c>
      <c r="D25" s="14" t="s">
        <v>248</v>
      </c>
      <c r="E25" s="14" t="s">
        <v>67</v>
      </c>
      <c r="F25" s="14" t="s">
        <v>69</v>
      </c>
      <c r="G25" s="14" t="s">
        <v>227</v>
      </c>
      <c r="H25" s="73">
        <v>2020</v>
      </c>
      <c r="I25" s="14" t="s">
        <v>248</v>
      </c>
      <c r="J25" s="131" t="s">
        <v>281</v>
      </c>
      <c r="K25" s="14" t="s">
        <v>48</v>
      </c>
      <c r="L25" t="s">
        <v>108</v>
      </c>
      <c r="M25" s="17" t="s">
        <v>282</v>
      </c>
      <c r="N25" t="b">
        <v>0</v>
      </c>
      <c r="O25" t="b">
        <v>0</v>
      </c>
      <c r="P25" t="b">
        <v>1</v>
      </c>
      <c r="Q25" t="b">
        <v>0</v>
      </c>
      <c r="R25" s="17" t="b">
        <v>0</v>
      </c>
      <c r="S25" t="b">
        <v>1</v>
      </c>
    </row>
    <row r="26" spans="1:19" x14ac:dyDescent="0.35">
      <c r="A26" s="2">
        <f>ROW(A26)-ROW($A$7)</f>
        <v>19</v>
      </c>
      <c r="B26" s="11" t="s">
        <v>170</v>
      </c>
      <c r="C26" s="16" t="s">
        <v>170</v>
      </c>
      <c r="D26" s="14" t="s">
        <v>248</v>
      </c>
      <c r="E26" s="14" t="s">
        <v>67</v>
      </c>
      <c r="F26" s="14" t="s">
        <v>69</v>
      </c>
      <c r="G26" s="14" t="s">
        <v>227</v>
      </c>
      <c r="H26" s="75">
        <v>2020</v>
      </c>
      <c r="I26" s="14" t="s">
        <v>248</v>
      </c>
      <c r="J26" s="131" t="s">
        <v>281</v>
      </c>
      <c r="K26" s="14" t="s">
        <v>48</v>
      </c>
      <c r="L26" s="132" t="s">
        <v>108</v>
      </c>
      <c r="M26" s="17" t="s">
        <v>282</v>
      </c>
      <c r="N26" s="132" t="b">
        <v>0</v>
      </c>
      <c r="O26" s="132" t="b">
        <v>0</v>
      </c>
      <c r="P26" s="132" t="b">
        <v>1</v>
      </c>
      <c r="Q26" s="132" t="b">
        <v>0</v>
      </c>
      <c r="R26" s="17" t="b">
        <v>0</v>
      </c>
      <c r="S26" s="132" t="b">
        <v>1</v>
      </c>
    </row>
    <row r="27" spans="1:19" x14ac:dyDescent="0.35">
      <c r="A27" s="2">
        <f t="shared" ref="A27:A90" si="2">ROW(A27)-ROW($A$7)</f>
        <v>20</v>
      </c>
      <c r="B27" s="11" t="s">
        <v>171</v>
      </c>
      <c r="C27" s="16" t="s">
        <v>171</v>
      </c>
      <c r="D27" s="14" t="s">
        <v>248</v>
      </c>
      <c r="E27" s="14" t="s">
        <v>67</v>
      </c>
      <c r="F27" s="14" t="s">
        <v>69</v>
      </c>
      <c r="G27" s="14" t="s">
        <v>227</v>
      </c>
      <c r="H27" s="75">
        <v>2020</v>
      </c>
      <c r="I27" s="14" t="s">
        <v>248</v>
      </c>
      <c r="J27" s="131" t="s">
        <v>281</v>
      </c>
      <c r="K27" s="14" t="s">
        <v>48</v>
      </c>
      <c r="L27" s="132" t="s">
        <v>108</v>
      </c>
      <c r="M27" s="17" t="s">
        <v>282</v>
      </c>
      <c r="N27" s="132" t="b">
        <v>0</v>
      </c>
      <c r="O27" s="132" t="b">
        <v>0</v>
      </c>
      <c r="P27" s="132" t="b">
        <v>1</v>
      </c>
      <c r="Q27" s="132" t="b">
        <v>0</v>
      </c>
      <c r="R27" s="17" t="b">
        <v>0</v>
      </c>
      <c r="S27" s="132" t="b">
        <v>1</v>
      </c>
    </row>
    <row r="28" spans="1:19" x14ac:dyDescent="0.35">
      <c r="A28" s="2">
        <f t="shared" si="2"/>
        <v>21</v>
      </c>
      <c r="B28" s="11" t="s">
        <v>172</v>
      </c>
      <c r="C28" s="16" t="s">
        <v>172</v>
      </c>
      <c r="D28" s="14" t="s">
        <v>248</v>
      </c>
      <c r="E28" s="14" t="s">
        <v>67</v>
      </c>
      <c r="F28" s="14" t="s">
        <v>69</v>
      </c>
      <c r="G28" s="14" t="s">
        <v>227</v>
      </c>
      <c r="H28" s="75">
        <v>2020</v>
      </c>
      <c r="I28" s="14" t="s">
        <v>248</v>
      </c>
      <c r="J28" s="131" t="s">
        <v>281</v>
      </c>
      <c r="K28" s="14" t="s">
        <v>48</v>
      </c>
      <c r="L28" s="132" t="s">
        <v>108</v>
      </c>
      <c r="M28" s="17" t="s">
        <v>282</v>
      </c>
      <c r="N28" s="132" t="b">
        <v>0</v>
      </c>
      <c r="O28" s="132" t="b">
        <v>0</v>
      </c>
      <c r="P28" s="132" t="b">
        <v>1</v>
      </c>
      <c r="Q28" s="132" t="b">
        <v>0</v>
      </c>
      <c r="R28" s="17" t="b">
        <v>0</v>
      </c>
      <c r="S28" s="132" t="b">
        <v>1</v>
      </c>
    </row>
    <row r="29" spans="1:19" x14ac:dyDescent="0.35">
      <c r="A29" s="2">
        <f t="shared" si="2"/>
        <v>22</v>
      </c>
      <c r="B29" s="11" t="s">
        <v>173</v>
      </c>
      <c r="C29" s="16" t="s">
        <v>173</v>
      </c>
      <c r="D29" s="14" t="s">
        <v>248</v>
      </c>
      <c r="E29" s="14" t="s">
        <v>67</v>
      </c>
      <c r="F29" s="14" t="s">
        <v>69</v>
      </c>
      <c r="G29" s="14" t="s">
        <v>227</v>
      </c>
      <c r="H29" s="75">
        <v>2020</v>
      </c>
      <c r="I29" s="14" t="s">
        <v>248</v>
      </c>
      <c r="J29" s="131" t="s">
        <v>281</v>
      </c>
      <c r="K29" s="14" t="s">
        <v>48</v>
      </c>
      <c r="L29" s="132" t="s">
        <v>108</v>
      </c>
      <c r="M29" s="17" t="s">
        <v>282</v>
      </c>
      <c r="N29" s="132" t="b">
        <v>0</v>
      </c>
      <c r="O29" s="132" t="b">
        <v>0</v>
      </c>
      <c r="P29" s="132" t="b">
        <v>1</v>
      </c>
      <c r="Q29" s="132" t="b">
        <v>0</v>
      </c>
      <c r="R29" s="17" t="b">
        <v>0</v>
      </c>
      <c r="S29" s="132" t="b">
        <v>1</v>
      </c>
    </row>
    <row r="30" spans="1:19" x14ac:dyDescent="0.35">
      <c r="A30" s="2">
        <f t="shared" si="2"/>
        <v>23</v>
      </c>
      <c r="B30" s="11" t="s">
        <v>174</v>
      </c>
      <c r="C30" s="16" t="s">
        <v>174</v>
      </c>
      <c r="D30" s="14" t="s">
        <v>248</v>
      </c>
      <c r="E30" s="14" t="s">
        <v>67</v>
      </c>
      <c r="F30" s="14" t="s">
        <v>69</v>
      </c>
      <c r="G30" s="14" t="s">
        <v>227</v>
      </c>
      <c r="H30" s="75">
        <v>2020</v>
      </c>
      <c r="I30" s="14" t="s">
        <v>248</v>
      </c>
      <c r="J30" s="131" t="s">
        <v>281</v>
      </c>
      <c r="K30" s="14" t="s">
        <v>48</v>
      </c>
      <c r="L30" s="132" t="s">
        <v>108</v>
      </c>
      <c r="M30" s="17" t="s">
        <v>282</v>
      </c>
      <c r="N30" s="132" t="b">
        <v>0</v>
      </c>
      <c r="O30" s="132" t="b">
        <v>0</v>
      </c>
      <c r="P30" s="132" t="b">
        <v>1</v>
      </c>
      <c r="Q30" s="132" t="b">
        <v>0</v>
      </c>
      <c r="R30" s="17" t="b">
        <v>0</v>
      </c>
      <c r="S30" s="132" t="b">
        <v>1</v>
      </c>
    </row>
    <row r="31" spans="1:19" x14ac:dyDescent="0.35">
      <c r="A31" s="2">
        <f t="shared" si="2"/>
        <v>24</v>
      </c>
      <c r="B31" s="11" t="s">
        <v>175</v>
      </c>
      <c r="C31" s="16" t="s">
        <v>175</v>
      </c>
      <c r="D31" s="14" t="s">
        <v>248</v>
      </c>
      <c r="E31" s="14" t="s">
        <v>67</v>
      </c>
      <c r="F31" s="14" t="s">
        <v>69</v>
      </c>
      <c r="G31" s="14" t="s">
        <v>227</v>
      </c>
      <c r="H31" s="75">
        <v>2020</v>
      </c>
      <c r="I31" s="14" t="s">
        <v>248</v>
      </c>
      <c r="J31" s="131" t="s">
        <v>281</v>
      </c>
      <c r="K31" s="14" t="s">
        <v>48</v>
      </c>
      <c r="L31" s="132" t="s">
        <v>108</v>
      </c>
      <c r="M31" s="17" t="s">
        <v>282</v>
      </c>
      <c r="N31" s="132" t="b">
        <v>0</v>
      </c>
      <c r="O31" s="132" t="b">
        <v>0</v>
      </c>
      <c r="P31" s="132" t="b">
        <v>1</v>
      </c>
      <c r="Q31" s="132" t="b">
        <v>0</v>
      </c>
      <c r="R31" s="17" t="b">
        <v>0</v>
      </c>
      <c r="S31" s="132" t="b">
        <v>1</v>
      </c>
    </row>
    <row r="32" spans="1:19" x14ac:dyDescent="0.35">
      <c r="A32" s="2">
        <f t="shared" si="2"/>
        <v>25</v>
      </c>
      <c r="B32" s="11" t="s">
        <v>176</v>
      </c>
      <c r="C32" s="130" t="str">
        <f t="shared" ref="C32:C78" si="3">B32</f>
        <v>H2storage-50%</v>
      </c>
      <c r="D32" s="14" t="s">
        <v>248</v>
      </c>
      <c r="E32" s="14" t="s">
        <v>67</v>
      </c>
      <c r="F32" s="14" t="s">
        <v>69</v>
      </c>
      <c r="G32" s="14" t="s">
        <v>227</v>
      </c>
      <c r="H32" s="75">
        <v>2020</v>
      </c>
      <c r="I32" s="14" t="s">
        <v>248</v>
      </c>
      <c r="J32" s="131" t="s">
        <v>281</v>
      </c>
      <c r="K32" s="14" t="s">
        <v>48</v>
      </c>
      <c r="L32" s="132" t="s">
        <v>108</v>
      </c>
      <c r="M32" s="17" t="s">
        <v>282</v>
      </c>
      <c r="N32" s="132" t="b">
        <v>0</v>
      </c>
      <c r="O32" s="132" t="b">
        <v>0</v>
      </c>
      <c r="P32" s="132" t="b">
        <v>1</v>
      </c>
      <c r="Q32" s="132" t="b">
        <v>0</v>
      </c>
      <c r="R32" s="17" t="b">
        <v>0</v>
      </c>
      <c r="S32" s="132" t="b">
        <v>1</v>
      </c>
    </row>
    <row r="33" spans="1:19" x14ac:dyDescent="0.35">
      <c r="A33" s="2">
        <f t="shared" si="2"/>
        <v>26</v>
      </c>
      <c r="B33" s="11" t="s">
        <v>177</v>
      </c>
      <c r="C33" s="130" t="str">
        <f t="shared" si="3"/>
        <v>H2storage-40%</v>
      </c>
      <c r="D33" s="14" t="s">
        <v>248</v>
      </c>
      <c r="E33" s="14" t="s">
        <v>67</v>
      </c>
      <c r="F33" s="14" t="s">
        <v>69</v>
      </c>
      <c r="G33" s="14" t="s">
        <v>227</v>
      </c>
      <c r="H33" s="75">
        <v>2020</v>
      </c>
      <c r="I33" s="14" t="s">
        <v>248</v>
      </c>
      <c r="J33" s="131" t="s">
        <v>281</v>
      </c>
      <c r="K33" s="14" t="s">
        <v>48</v>
      </c>
      <c r="L33" s="132" t="s">
        <v>108</v>
      </c>
      <c r="M33" s="17" t="s">
        <v>282</v>
      </c>
      <c r="N33" s="132" t="b">
        <v>0</v>
      </c>
      <c r="O33" s="132" t="b">
        <v>0</v>
      </c>
      <c r="P33" s="132" t="b">
        <v>1</v>
      </c>
      <c r="Q33" s="132" t="b">
        <v>0</v>
      </c>
      <c r="R33" s="17" t="b">
        <v>0</v>
      </c>
      <c r="S33" s="132" t="b">
        <v>1</v>
      </c>
    </row>
    <row r="34" spans="1:19" x14ac:dyDescent="0.35">
      <c r="A34" s="2">
        <f t="shared" si="2"/>
        <v>27</v>
      </c>
      <c r="B34" s="11" t="s">
        <v>178</v>
      </c>
      <c r="C34" s="130" t="str">
        <f t="shared" si="3"/>
        <v>H2storage-30%</v>
      </c>
      <c r="D34" s="14" t="s">
        <v>248</v>
      </c>
      <c r="E34" s="14" t="s">
        <v>67</v>
      </c>
      <c r="F34" s="14" t="s">
        <v>69</v>
      </c>
      <c r="G34" s="14" t="s">
        <v>227</v>
      </c>
      <c r="H34" s="75">
        <v>2020</v>
      </c>
      <c r="I34" s="14" t="s">
        <v>248</v>
      </c>
      <c r="J34" s="131" t="s">
        <v>281</v>
      </c>
      <c r="K34" s="14" t="s">
        <v>48</v>
      </c>
      <c r="L34" s="132" t="s">
        <v>108</v>
      </c>
      <c r="M34" s="17" t="s">
        <v>282</v>
      </c>
      <c r="N34" s="132" t="b">
        <v>0</v>
      </c>
      <c r="O34" s="132" t="b">
        <v>0</v>
      </c>
      <c r="P34" s="132" t="b">
        <v>1</v>
      </c>
      <c r="Q34" s="132" t="b">
        <v>0</v>
      </c>
      <c r="R34" s="17" t="b">
        <v>0</v>
      </c>
      <c r="S34" s="132" t="b">
        <v>1</v>
      </c>
    </row>
    <row r="35" spans="1:19" x14ac:dyDescent="0.35">
      <c r="A35" s="2">
        <f t="shared" si="2"/>
        <v>28</v>
      </c>
      <c r="B35" s="11" t="s">
        <v>179</v>
      </c>
      <c r="C35" s="130" t="str">
        <f t="shared" si="3"/>
        <v>H2storage-20%</v>
      </c>
      <c r="D35" s="14" t="s">
        <v>248</v>
      </c>
      <c r="E35" s="14" t="s">
        <v>67</v>
      </c>
      <c r="F35" s="14" t="s">
        <v>69</v>
      </c>
      <c r="G35" s="14" t="s">
        <v>227</v>
      </c>
      <c r="H35" s="75">
        <v>2020</v>
      </c>
      <c r="I35" s="14" t="s">
        <v>248</v>
      </c>
      <c r="J35" s="131" t="s">
        <v>281</v>
      </c>
      <c r="K35" s="14" t="s">
        <v>48</v>
      </c>
      <c r="L35" s="132" t="s">
        <v>108</v>
      </c>
      <c r="M35" s="17" t="s">
        <v>282</v>
      </c>
      <c r="N35" s="132" t="b">
        <v>0</v>
      </c>
      <c r="O35" s="132" t="b">
        <v>0</v>
      </c>
      <c r="P35" s="132" t="b">
        <v>1</v>
      </c>
      <c r="Q35" s="132" t="b">
        <v>0</v>
      </c>
      <c r="R35" s="17" t="b">
        <v>0</v>
      </c>
      <c r="S35" s="132" t="b">
        <v>1</v>
      </c>
    </row>
    <row r="36" spans="1:19" x14ac:dyDescent="0.35">
      <c r="A36" s="2">
        <f t="shared" si="2"/>
        <v>29</v>
      </c>
      <c r="B36" s="11" t="s">
        <v>180</v>
      </c>
      <c r="C36" s="130" t="str">
        <f t="shared" si="3"/>
        <v>H2storage-10%</v>
      </c>
      <c r="D36" s="14" t="s">
        <v>248</v>
      </c>
      <c r="E36" s="14" t="s">
        <v>67</v>
      </c>
      <c r="F36" s="14" t="s">
        <v>69</v>
      </c>
      <c r="G36" s="14" t="s">
        <v>227</v>
      </c>
      <c r="H36" s="75">
        <v>2020</v>
      </c>
      <c r="I36" s="14" t="s">
        <v>248</v>
      </c>
      <c r="J36" s="131" t="s">
        <v>281</v>
      </c>
      <c r="K36" s="14" t="s">
        <v>48</v>
      </c>
      <c r="L36" s="132" t="s">
        <v>108</v>
      </c>
      <c r="M36" s="17" t="s">
        <v>282</v>
      </c>
      <c r="N36" s="132" t="b">
        <v>0</v>
      </c>
      <c r="O36" s="132" t="b">
        <v>0</v>
      </c>
      <c r="P36" s="132" t="b">
        <v>1</v>
      </c>
      <c r="Q36" s="132" t="b">
        <v>0</v>
      </c>
      <c r="R36" s="17" t="b">
        <v>0</v>
      </c>
      <c r="S36" s="132" t="b">
        <v>1</v>
      </c>
    </row>
    <row r="37" spans="1:19" x14ac:dyDescent="0.35">
      <c r="A37" s="2">
        <f t="shared" si="2"/>
        <v>30</v>
      </c>
      <c r="B37" s="11" t="s">
        <v>181</v>
      </c>
      <c r="C37" s="130" t="str">
        <f t="shared" si="3"/>
        <v>H2storage+10%</v>
      </c>
      <c r="D37" s="14" t="s">
        <v>248</v>
      </c>
      <c r="E37" s="14" t="s">
        <v>67</v>
      </c>
      <c r="F37" s="14" t="s">
        <v>69</v>
      </c>
      <c r="G37" s="14" t="s">
        <v>227</v>
      </c>
      <c r="H37" s="75">
        <v>2020</v>
      </c>
      <c r="I37" s="14" t="s">
        <v>248</v>
      </c>
      <c r="J37" s="131" t="s">
        <v>281</v>
      </c>
      <c r="K37" s="14" t="s">
        <v>48</v>
      </c>
      <c r="L37" s="132" t="s">
        <v>108</v>
      </c>
      <c r="M37" s="17" t="s">
        <v>282</v>
      </c>
      <c r="N37" s="132" t="b">
        <v>0</v>
      </c>
      <c r="O37" s="132" t="b">
        <v>0</v>
      </c>
      <c r="P37" s="132" t="b">
        <v>1</v>
      </c>
      <c r="Q37" s="132" t="b">
        <v>0</v>
      </c>
      <c r="R37" s="17" t="b">
        <v>0</v>
      </c>
      <c r="S37" s="132" t="b">
        <v>1</v>
      </c>
    </row>
    <row r="38" spans="1:19" x14ac:dyDescent="0.35">
      <c r="A38" s="2">
        <f t="shared" si="2"/>
        <v>31</v>
      </c>
      <c r="B38" s="11" t="s">
        <v>182</v>
      </c>
      <c r="C38" s="130" t="str">
        <f t="shared" si="3"/>
        <v>H2storage+20%</v>
      </c>
      <c r="D38" s="14" t="s">
        <v>248</v>
      </c>
      <c r="E38" s="14" t="s">
        <v>67</v>
      </c>
      <c r="F38" s="14" t="s">
        <v>69</v>
      </c>
      <c r="G38" s="14" t="s">
        <v>227</v>
      </c>
      <c r="H38" s="75">
        <v>2020</v>
      </c>
      <c r="I38" s="14" t="s">
        <v>248</v>
      </c>
      <c r="J38" s="131" t="s">
        <v>281</v>
      </c>
      <c r="K38" s="14" t="s">
        <v>48</v>
      </c>
      <c r="L38" s="132" t="s">
        <v>108</v>
      </c>
      <c r="M38" s="17" t="s">
        <v>282</v>
      </c>
      <c r="N38" s="132" t="b">
        <v>0</v>
      </c>
      <c r="O38" s="132" t="b">
        <v>0</v>
      </c>
      <c r="P38" s="132" t="b">
        <v>1</v>
      </c>
      <c r="Q38" s="132" t="b">
        <v>0</v>
      </c>
      <c r="R38" s="17" t="b">
        <v>0</v>
      </c>
      <c r="S38" s="132" t="b">
        <v>1</v>
      </c>
    </row>
    <row r="39" spans="1:19" x14ac:dyDescent="0.35">
      <c r="A39" s="2">
        <f t="shared" si="2"/>
        <v>32</v>
      </c>
      <c r="B39" s="11" t="s">
        <v>183</v>
      </c>
      <c r="C39" s="130" t="str">
        <f t="shared" si="3"/>
        <v>H2storage+30%</v>
      </c>
      <c r="D39" s="14" t="s">
        <v>248</v>
      </c>
      <c r="E39" s="14" t="s">
        <v>67</v>
      </c>
      <c r="F39" s="14" t="s">
        <v>69</v>
      </c>
      <c r="G39" s="14" t="s">
        <v>227</v>
      </c>
      <c r="H39" s="75">
        <v>2020</v>
      </c>
      <c r="I39" s="14" t="s">
        <v>248</v>
      </c>
      <c r="J39" s="131" t="s">
        <v>281</v>
      </c>
      <c r="K39" s="14" t="s">
        <v>48</v>
      </c>
      <c r="L39" s="132" t="s">
        <v>108</v>
      </c>
      <c r="M39" s="17" t="s">
        <v>282</v>
      </c>
      <c r="N39" s="132" t="b">
        <v>0</v>
      </c>
      <c r="O39" s="132" t="b">
        <v>0</v>
      </c>
      <c r="P39" s="132" t="b">
        <v>1</v>
      </c>
      <c r="Q39" s="132" t="b">
        <v>0</v>
      </c>
      <c r="R39" s="17" t="b">
        <v>0</v>
      </c>
      <c r="S39" s="132" t="b">
        <v>1</v>
      </c>
    </row>
    <row r="40" spans="1:19" x14ac:dyDescent="0.35">
      <c r="A40" s="2">
        <f t="shared" si="2"/>
        <v>33</v>
      </c>
      <c r="B40" s="11" t="s">
        <v>184</v>
      </c>
      <c r="C40" s="130" t="str">
        <f t="shared" si="3"/>
        <v>H2storage+40%</v>
      </c>
      <c r="D40" s="14" t="s">
        <v>248</v>
      </c>
      <c r="E40" s="14" t="s">
        <v>67</v>
      </c>
      <c r="F40" s="14" t="s">
        <v>69</v>
      </c>
      <c r="G40" s="14" t="s">
        <v>227</v>
      </c>
      <c r="H40" s="75">
        <v>2020</v>
      </c>
      <c r="I40" s="14" t="s">
        <v>248</v>
      </c>
      <c r="J40" s="131" t="s">
        <v>281</v>
      </c>
      <c r="K40" s="14" t="s">
        <v>48</v>
      </c>
      <c r="L40" s="132" t="s">
        <v>108</v>
      </c>
      <c r="M40" s="17" t="s">
        <v>282</v>
      </c>
      <c r="N40" s="132" t="b">
        <v>0</v>
      </c>
      <c r="O40" s="132" t="b">
        <v>0</v>
      </c>
      <c r="P40" s="132" t="b">
        <v>1</v>
      </c>
      <c r="Q40" s="132" t="b">
        <v>0</v>
      </c>
      <c r="R40" s="17" t="b">
        <v>0</v>
      </c>
      <c r="S40" s="132" t="b">
        <v>1</v>
      </c>
    </row>
    <row r="41" spans="1:19" x14ac:dyDescent="0.35">
      <c r="A41" s="2">
        <f t="shared" si="2"/>
        <v>34</v>
      </c>
      <c r="B41" s="11" t="s">
        <v>185</v>
      </c>
      <c r="C41" s="130" t="str">
        <f t="shared" si="3"/>
        <v>H2storage+50%</v>
      </c>
      <c r="D41" s="14" t="s">
        <v>248</v>
      </c>
      <c r="E41" s="14" t="s">
        <v>67</v>
      </c>
      <c r="F41" s="14" t="s">
        <v>69</v>
      </c>
      <c r="G41" s="14" t="s">
        <v>227</v>
      </c>
      <c r="H41" s="75">
        <v>2020</v>
      </c>
      <c r="I41" s="14" t="s">
        <v>248</v>
      </c>
      <c r="J41" s="131" t="s">
        <v>281</v>
      </c>
      <c r="K41" s="14" t="s">
        <v>48</v>
      </c>
      <c r="L41" s="132" t="s">
        <v>108</v>
      </c>
      <c r="M41" s="17" t="s">
        <v>282</v>
      </c>
      <c r="N41" s="132" t="b">
        <v>0</v>
      </c>
      <c r="O41" s="132" t="b">
        <v>0</v>
      </c>
      <c r="P41" s="132" t="b">
        <v>1</v>
      </c>
      <c r="Q41" s="132" t="b">
        <v>0</v>
      </c>
      <c r="R41" s="17" t="b">
        <v>0</v>
      </c>
      <c r="S41" s="132" t="b">
        <v>1</v>
      </c>
    </row>
    <row r="42" spans="1:19" x14ac:dyDescent="0.35">
      <c r="A42" s="2">
        <f t="shared" si="2"/>
        <v>35</v>
      </c>
      <c r="B42" s="11" t="s">
        <v>186</v>
      </c>
      <c r="C42" s="130" t="str">
        <f t="shared" si="3"/>
        <v>H2storage+100%</v>
      </c>
      <c r="D42" s="14" t="s">
        <v>248</v>
      </c>
      <c r="E42" s="14" t="s">
        <v>67</v>
      </c>
      <c r="F42" s="14" t="s">
        <v>69</v>
      </c>
      <c r="G42" s="14" t="s">
        <v>227</v>
      </c>
      <c r="H42" s="75">
        <v>2020</v>
      </c>
      <c r="I42" s="14" t="s">
        <v>248</v>
      </c>
      <c r="J42" s="131" t="s">
        <v>281</v>
      </c>
      <c r="K42" s="14" t="s">
        <v>48</v>
      </c>
      <c r="L42" s="132" t="s">
        <v>108</v>
      </c>
      <c r="M42" s="17" t="s">
        <v>282</v>
      </c>
      <c r="N42" s="132" t="b">
        <v>0</v>
      </c>
      <c r="O42" s="132" t="b">
        <v>0</v>
      </c>
      <c r="P42" s="132" t="b">
        <v>1</v>
      </c>
      <c r="Q42" s="132" t="b">
        <v>0</v>
      </c>
      <c r="R42" s="17" t="b">
        <v>0</v>
      </c>
      <c r="S42" s="132" t="b">
        <v>1</v>
      </c>
    </row>
    <row r="43" spans="1:19" x14ac:dyDescent="0.35">
      <c r="A43" s="2">
        <f t="shared" si="2"/>
        <v>36</v>
      </c>
      <c r="B43" s="11" t="s">
        <v>189</v>
      </c>
      <c r="C43" s="14" t="str">
        <f t="shared" si="3"/>
        <v>AEC-50%</v>
      </c>
      <c r="D43" s="14" t="s">
        <v>248</v>
      </c>
      <c r="E43" s="14" t="s">
        <v>67</v>
      </c>
      <c r="F43" s="14" t="s">
        <v>69</v>
      </c>
      <c r="G43" s="14" t="s">
        <v>227</v>
      </c>
      <c r="H43" s="75">
        <v>2020</v>
      </c>
      <c r="I43" s="14" t="s">
        <v>248</v>
      </c>
      <c r="J43" s="131" t="s">
        <v>281</v>
      </c>
      <c r="K43" s="14" t="s">
        <v>48</v>
      </c>
      <c r="L43" s="132" t="s">
        <v>108</v>
      </c>
      <c r="M43" s="17" t="s">
        <v>282</v>
      </c>
      <c r="N43" s="132" t="b">
        <v>0</v>
      </c>
      <c r="O43" s="132" t="b">
        <v>0</v>
      </c>
      <c r="P43" s="132" t="b">
        <v>1</v>
      </c>
      <c r="Q43" s="132" t="b">
        <v>0</v>
      </c>
      <c r="R43" s="17" t="b">
        <v>0</v>
      </c>
      <c r="S43" s="132" t="b">
        <v>1</v>
      </c>
    </row>
    <row r="44" spans="1:19" x14ac:dyDescent="0.35">
      <c r="A44" s="2">
        <f t="shared" si="2"/>
        <v>37</v>
      </c>
      <c r="B44" s="11" t="s">
        <v>190</v>
      </c>
      <c r="C44" s="14" t="str">
        <f t="shared" si="3"/>
        <v>AEC-40%</v>
      </c>
      <c r="D44" s="14" t="s">
        <v>248</v>
      </c>
      <c r="E44" s="14" t="s">
        <v>67</v>
      </c>
      <c r="F44" s="14" t="s">
        <v>69</v>
      </c>
      <c r="G44" s="14" t="s">
        <v>227</v>
      </c>
      <c r="H44" s="75">
        <v>2020</v>
      </c>
      <c r="I44" s="14" t="s">
        <v>248</v>
      </c>
      <c r="J44" s="131" t="s">
        <v>281</v>
      </c>
      <c r="K44" s="14" t="s">
        <v>48</v>
      </c>
      <c r="L44" s="132" t="s">
        <v>108</v>
      </c>
      <c r="M44" s="17" t="s">
        <v>282</v>
      </c>
      <c r="N44" s="132" t="b">
        <v>0</v>
      </c>
      <c r="O44" s="132" t="b">
        <v>0</v>
      </c>
      <c r="P44" s="132" t="b">
        <v>1</v>
      </c>
      <c r="Q44" s="132" t="b">
        <v>0</v>
      </c>
      <c r="R44" s="17" t="b">
        <v>0</v>
      </c>
      <c r="S44" s="132" t="b">
        <v>1</v>
      </c>
    </row>
    <row r="45" spans="1:19" x14ac:dyDescent="0.35">
      <c r="A45" s="2">
        <f t="shared" si="2"/>
        <v>38</v>
      </c>
      <c r="B45" s="11" t="s">
        <v>191</v>
      </c>
      <c r="C45" s="14" t="str">
        <f t="shared" si="3"/>
        <v>AEC-30%</v>
      </c>
      <c r="D45" s="14" t="s">
        <v>248</v>
      </c>
      <c r="E45" s="14" t="s">
        <v>67</v>
      </c>
      <c r="F45" s="14" t="s">
        <v>69</v>
      </c>
      <c r="G45" s="14" t="s">
        <v>227</v>
      </c>
      <c r="H45" s="75">
        <v>2020</v>
      </c>
      <c r="I45" s="14" t="s">
        <v>248</v>
      </c>
      <c r="J45" s="131" t="s">
        <v>281</v>
      </c>
      <c r="K45" s="14" t="s">
        <v>48</v>
      </c>
      <c r="L45" s="132" t="s">
        <v>108</v>
      </c>
      <c r="M45" s="17" t="s">
        <v>282</v>
      </c>
      <c r="N45" s="132" t="b">
        <v>0</v>
      </c>
      <c r="O45" s="132" t="b">
        <v>0</v>
      </c>
      <c r="P45" s="132" t="b">
        <v>1</v>
      </c>
      <c r="Q45" s="132" t="b">
        <v>0</v>
      </c>
      <c r="R45" s="17" t="b">
        <v>0</v>
      </c>
      <c r="S45" s="132" t="b">
        <v>1</v>
      </c>
    </row>
    <row r="46" spans="1:19" x14ac:dyDescent="0.35">
      <c r="A46" s="2">
        <f t="shared" si="2"/>
        <v>39</v>
      </c>
      <c r="B46" s="11" t="s">
        <v>192</v>
      </c>
      <c r="C46" s="14" t="str">
        <f t="shared" si="3"/>
        <v>AEC-20%</v>
      </c>
      <c r="D46" s="14" t="s">
        <v>248</v>
      </c>
      <c r="E46" s="14" t="s">
        <v>67</v>
      </c>
      <c r="F46" s="14" t="s">
        <v>69</v>
      </c>
      <c r="G46" s="14" t="s">
        <v>227</v>
      </c>
      <c r="H46" s="75">
        <v>2020</v>
      </c>
      <c r="I46" s="14" t="s">
        <v>248</v>
      </c>
      <c r="J46" s="131" t="s">
        <v>281</v>
      </c>
      <c r="K46" s="14" t="s">
        <v>48</v>
      </c>
      <c r="L46" s="132" t="s">
        <v>108</v>
      </c>
      <c r="M46" s="17" t="s">
        <v>282</v>
      </c>
      <c r="N46" s="132" t="b">
        <v>0</v>
      </c>
      <c r="O46" s="132" t="b">
        <v>0</v>
      </c>
      <c r="P46" s="132" t="b">
        <v>1</v>
      </c>
      <c r="Q46" s="132" t="b">
        <v>0</v>
      </c>
      <c r="R46" s="17" t="b">
        <v>0</v>
      </c>
      <c r="S46" s="132" t="b">
        <v>1</v>
      </c>
    </row>
    <row r="47" spans="1:19" x14ac:dyDescent="0.35">
      <c r="A47" s="2">
        <f t="shared" si="2"/>
        <v>40</v>
      </c>
      <c r="B47" s="11" t="s">
        <v>193</v>
      </c>
      <c r="C47" s="14" t="str">
        <f t="shared" si="3"/>
        <v>AEC-10%</v>
      </c>
      <c r="D47" s="14" t="s">
        <v>248</v>
      </c>
      <c r="E47" s="14" t="s">
        <v>67</v>
      </c>
      <c r="F47" s="14" t="s">
        <v>69</v>
      </c>
      <c r="G47" s="14" t="s">
        <v>227</v>
      </c>
      <c r="H47" s="75">
        <v>2020</v>
      </c>
      <c r="I47" s="14" t="s">
        <v>248</v>
      </c>
      <c r="J47" s="131" t="s">
        <v>281</v>
      </c>
      <c r="K47" s="14" t="s">
        <v>48</v>
      </c>
      <c r="L47" s="132" t="s">
        <v>108</v>
      </c>
      <c r="M47" s="17" t="s">
        <v>282</v>
      </c>
      <c r="N47" s="132" t="b">
        <v>0</v>
      </c>
      <c r="O47" s="132" t="b">
        <v>0</v>
      </c>
      <c r="P47" s="132" t="b">
        <v>1</v>
      </c>
      <c r="Q47" s="132" t="b">
        <v>0</v>
      </c>
      <c r="R47" s="17" t="b">
        <v>0</v>
      </c>
      <c r="S47" s="132" t="b">
        <v>1</v>
      </c>
    </row>
    <row r="48" spans="1:19" x14ac:dyDescent="0.35">
      <c r="A48" s="2">
        <f t="shared" si="2"/>
        <v>41</v>
      </c>
      <c r="B48" s="11" t="s">
        <v>194</v>
      </c>
      <c r="C48" s="14" t="str">
        <f t="shared" si="3"/>
        <v>AEC+10%</v>
      </c>
      <c r="D48" s="14" t="s">
        <v>248</v>
      </c>
      <c r="E48" s="14" t="s">
        <v>67</v>
      </c>
      <c r="F48" s="14" t="s">
        <v>69</v>
      </c>
      <c r="G48" s="14" t="s">
        <v>227</v>
      </c>
      <c r="H48" s="75">
        <v>2020</v>
      </c>
      <c r="I48" s="14" t="s">
        <v>248</v>
      </c>
      <c r="J48" s="131" t="s">
        <v>281</v>
      </c>
      <c r="K48" s="14" t="s">
        <v>48</v>
      </c>
      <c r="L48" s="132" t="s">
        <v>108</v>
      </c>
      <c r="M48" s="17" t="s">
        <v>282</v>
      </c>
      <c r="N48" s="132" t="b">
        <v>0</v>
      </c>
      <c r="O48" s="132" t="b">
        <v>0</v>
      </c>
      <c r="P48" s="132" t="b">
        <v>1</v>
      </c>
      <c r="Q48" s="132" t="b">
        <v>0</v>
      </c>
      <c r="R48" s="17" t="b">
        <v>0</v>
      </c>
      <c r="S48" s="132" t="b">
        <v>1</v>
      </c>
    </row>
    <row r="49" spans="1:19" x14ac:dyDescent="0.35">
      <c r="A49" s="2">
        <f t="shared" si="2"/>
        <v>42</v>
      </c>
      <c r="B49" s="11" t="s">
        <v>195</v>
      </c>
      <c r="C49" s="14" t="str">
        <f t="shared" si="3"/>
        <v>AEC+20%</v>
      </c>
      <c r="D49" s="14" t="s">
        <v>248</v>
      </c>
      <c r="E49" s="14" t="s">
        <v>67</v>
      </c>
      <c r="F49" s="14" t="s">
        <v>69</v>
      </c>
      <c r="G49" s="14" t="s">
        <v>227</v>
      </c>
      <c r="H49" s="75">
        <v>2020</v>
      </c>
      <c r="I49" s="14" t="s">
        <v>248</v>
      </c>
      <c r="J49" s="131" t="s">
        <v>281</v>
      </c>
      <c r="K49" s="14" t="s">
        <v>48</v>
      </c>
      <c r="L49" s="132" t="s">
        <v>108</v>
      </c>
      <c r="M49" s="17" t="s">
        <v>282</v>
      </c>
      <c r="N49" s="132" t="b">
        <v>0</v>
      </c>
      <c r="O49" s="132" t="b">
        <v>0</v>
      </c>
      <c r="P49" s="132" t="b">
        <v>1</v>
      </c>
      <c r="Q49" s="132" t="b">
        <v>0</v>
      </c>
      <c r="R49" s="17" t="b">
        <v>0</v>
      </c>
      <c r="S49" s="132" t="b">
        <v>1</v>
      </c>
    </row>
    <row r="50" spans="1:19" x14ac:dyDescent="0.35">
      <c r="A50" s="2">
        <f t="shared" si="2"/>
        <v>43</v>
      </c>
      <c r="B50" s="11" t="s">
        <v>196</v>
      </c>
      <c r="C50" s="14" t="str">
        <f t="shared" si="3"/>
        <v>AEC+30%</v>
      </c>
      <c r="D50" s="14" t="s">
        <v>248</v>
      </c>
      <c r="E50" s="14" t="s">
        <v>67</v>
      </c>
      <c r="F50" s="14" t="s">
        <v>69</v>
      </c>
      <c r="G50" s="14" t="s">
        <v>227</v>
      </c>
      <c r="H50" s="75">
        <v>2020</v>
      </c>
      <c r="I50" s="14" t="s">
        <v>248</v>
      </c>
      <c r="J50" s="131" t="s">
        <v>281</v>
      </c>
      <c r="K50" s="14" t="s">
        <v>48</v>
      </c>
      <c r="L50" s="132" t="s">
        <v>108</v>
      </c>
      <c r="M50" s="17" t="s">
        <v>282</v>
      </c>
      <c r="N50" s="132" t="b">
        <v>0</v>
      </c>
      <c r="O50" s="132" t="b">
        <v>0</v>
      </c>
      <c r="P50" s="132" t="b">
        <v>1</v>
      </c>
      <c r="Q50" s="132" t="b">
        <v>0</v>
      </c>
      <c r="R50" s="17" t="b">
        <v>0</v>
      </c>
      <c r="S50" s="132" t="b">
        <v>1</v>
      </c>
    </row>
    <row r="51" spans="1:19" x14ac:dyDescent="0.35">
      <c r="A51" s="2">
        <f t="shared" si="2"/>
        <v>44</v>
      </c>
      <c r="B51" s="11" t="s">
        <v>197</v>
      </c>
      <c r="C51" s="14" t="str">
        <f t="shared" si="3"/>
        <v>AEC+40%</v>
      </c>
      <c r="D51" s="14" t="s">
        <v>248</v>
      </c>
      <c r="E51" s="14" t="s">
        <v>67</v>
      </c>
      <c r="F51" s="14" t="s">
        <v>69</v>
      </c>
      <c r="G51" s="14" t="s">
        <v>227</v>
      </c>
      <c r="H51" s="75">
        <v>2020</v>
      </c>
      <c r="I51" s="14" t="s">
        <v>248</v>
      </c>
      <c r="J51" s="131" t="s">
        <v>281</v>
      </c>
      <c r="K51" s="14" t="s">
        <v>48</v>
      </c>
      <c r="L51" s="132" t="s">
        <v>108</v>
      </c>
      <c r="M51" s="17" t="s">
        <v>282</v>
      </c>
      <c r="N51" s="132" t="b">
        <v>0</v>
      </c>
      <c r="O51" s="132" t="b">
        <v>0</v>
      </c>
      <c r="P51" s="132" t="b">
        <v>1</v>
      </c>
      <c r="Q51" s="132" t="b">
        <v>0</v>
      </c>
      <c r="R51" s="17" t="b">
        <v>0</v>
      </c>
      <c r="S51" s="132" t="b">
        <v>1</v>
      </c>
    </row>
    <row r="52" spans="1:19" x14ac:dyDescent="0.35">
      <c r="A52" s="2">
        <f t="shared" si="2"/>
        <v>45</v>
      </c>
      <c r="B52" s="11" t="s">
        <v>198</v>
      </c>
      <c r="C52" s="14" t="str">
        <f t="shared" si="3"/>
        <v>AEC+50%</v>
      </c>
      <c r="D52" s="14" t="s">
        <v>248</v>
      </c>
      <c r="E52" s="14" t="s">
        <v>67</v>
      </c>
      <c r="F52" s="14" t="s">
        <v>69</v>
      </c>
      <c r="G52" s="14" t="s">
        <v>227</v>
      </c>
      <c r="H52" s="75">
        <v>2020</v>
      </c>
      <c r="I52" s="14" t="s">
        <v>248</v>
      </c>
      <c r="J52" s="131" t="s">
        <v>281</v>
      </c>
      <c r="K52" s="14" t="s">
        <v>48</v>
      </c>
      <c r="L52" s="132" t="s">
        <v>108</v>
      </c>
      <c r="M52" s="17" t="s">
        <v>282</v>
      </c>
      <c r="N52" s="132" t="b">
        <v>0</v>
      </c>
      <c r="O52" s="132" t="b">
        <v>0</v>
      </c>
      <c r="P52" s="132" t="b">
        <v>1</v>
      </c>
      <c r="Q52" s="132" t="b">
        <v>0</v>
      </c>
      <c r="R52" s="17" t="b">
        <v>0</v>
      </c>
      <c r="S52" s="132" t="b">
        <v>1</v>
      </c>
    </row>
    <row r="53" spans="1:19" x14ac:dyDescent="0.35">
      <c r="A53" s="2">
        <f t="shared" si="2"/>
        <v>46</v>
      </c>
      <c r="B53" s="11" t="s">
        <v>199</v>
      </c>
      <c r="C53" s="14" t="str">
        <f t="shared" si="3"/>
        <v>AEC+100%</v>
      </c>
      <c r="D53" s="14" t="s">
        <v>248</v>
      </c>
      <c r="E53" s="14" t="s">
        <v>67</v>
      </c>
      <c r="F53" s="14" t="s">
        <v>69</v>
      </c>
      <c r="G53" s="14" t="s">
        <v>227</v>
      </c>
      <c r="H53" s="75">
        <v>2020</v>
      </c>
      <c r="I53" s="14" t="s">
        <v>248</v>
      </c>
      <c r="J53" s="131" t="s">
        <v>281</v>
      </c>
      <c r="K53" s="14" t="s">
        <v>48</v>
      </c>
      <c r="L53" s="132" t="s">
        <v>108</v>
      </c>
      <c r="M53" s="17" t="s">
        <v>282</v>
      </c>
      <c r="N53" s="132" t="b">
        <v>0</v>
      </c>
      <c r="O53" s="132" t="b">
        <v>0</v>
      </c>
      <c r="P53" s="132" t="b">
        <v>1</v>
      </c>
      <c r="Q53" s="132" t="b">
        <v>0</v>
      </c>
      <c r="R53" s="17" t="b">
        <v>0</v>
      </c>
      <c r="S53" s="132" t="b">
        <v>1</v>
      </c>
    </row>
    <row r="54" spans="1:19" x14ac:dyDescent="0.35">
      <c r="A54" s="2">
        <f t="shared" si="2"/>
        <v>47</v>
      </c>
      <c r="B54" s="11" t="s">
        <v>200</v>
      </c>
      <c r="C54" s="14" t="str">
        <f t="shared" si="3"/>
        <v>AEC+150%</v>
      </c>
      <c r="D54" s="14" t="s">
        <v>248</v>
      </c>
      <c r="E54" s="14" t="s">
        <v>67</v>
      </c>
      <c r="F54" s="14" t="s">
        <v>69</v>
      </c>
      <c r="G54" s="14" t="s">
        <v>227</v>
      </c>
      <c r="H54" s="75">
        <v>2020</v>
      </c>
      <c r="I54" s="14" t="s">
        <v>248</v>
      </c>
      <c r="J54" s="131" t="s">
        <v>281</v>
      </c>
      <c r="K54" s="14" t="s">
        <v>48</v>
      </c>
      <c r="L54" s="132" t="s">
        <v>108</v>
      </c>
      <c r="M54" s="17" t="s">
        <v>282</v>
      </c>
      <c r="N54" s="132" t="b">
        <v>0</v>
      </c>
      <c r="O54" s="132" t="b">
        <v>0</v>
      </c>
      <c r="P54" s="132" t="b">
        <v>1</v>
      </c>
      <c r="Q54" s="132" t="b">
        <v>0</v>
      </c>
      <c r="R54" s="17" t="b">
        <v>0</v>
      </c>
      <c r="S54" s="132" t="b">
        <v>1</v>
      </c>
    </row>
    <row r="55" spans="1:19" x14ac:dyDescent="0.35">
      <c r="A55" s="2">
        <f t="shared" si="2"/>
        <v>48</v>
      </c>
      <c r="B55" s="11" t="s">
        <v>201</v>
      </c>
      <c r="C55" s="14" t="str">
        <f t="shared" si="3"/>
        <v>AEC+200%</v>
      </c>
      <c r="D55" s="14" t="s">
        <v>248</v>
      </c>
      <c r="E55" s="14" t="s">
        <v>67</v>
      </c>
      <c r="F55" s="14" t="s">
        <v>69</v>
      </c>
      <c r="G55" s="14" t="s">
        <v>227</v>
      </c>
      <c r="H55" s="75">
        <v>2020</v>
      </c>
      <c r="I55" s="14" t="s">
        <v>248</v>
      </c>
      <c r="J55" s="131" t="s">
        <v>281</v>
      </c>
      <c r="K55" s="14" t="s">
        <v>48</v>
      </c>
      <c r="L55" s="132" t="s">
        <v>108</v>
      </c>
      <c r="M55" s="17" t="s">
        <v>282</v>
      </c>
      <c r="N55" s="132" t="b">
        <v>0</v>
      </c>
      <c r="O55" s="132" t="b">
        <v>0</v>
      </c>
      <c r="P55" s="132" t="b">
        <v>1</v>
      </c>
      <c r="Q55" s="132" t="b">
        <v>0</v>
      </c>
      <c r="R55" s="17" t="b">
        <v>0</v>
      </c>
      <c r="S55" s="132" t="b">
        <v>1</v>
      </c>
    </row>
    <row r="56" spans="1:19" x14ac:dyDescent="0.35">
      <c r="A56" s="2">
        <f t="shared" si="2"/>
        <v>49</v>
      </c>
      <c r="B56" s="11" t="s">
        <v>202</v>
      </c>
      <c r="C56" s="14" t="str">
        <f t="shared" si="3"/>
        <v>MinLoadNH3_10%</v>
      </c>
      <c r="D56" s="14" t="s">
        <v>248</v>
      </c>
      <c r="E56" s="14" t="s">
        <v>67</v>
      </c>
      <c r="F56" s="14" t="s">
        <v>69</v>
      </c>
      <c r="G56" s="14" t="s">
        <v>227</v>
      </c>
      <c r="H56" s="75">
        <v>2020</v>
      </c>
      <c r="I56" s="14" t="s">
        <v>248</v>
      </c>
      <c r="J56" s="131" t="s">
        <v>281</v>
      </c>
      <c r="K56" s="14" t="s">
        <v>48</v>
      </c>
      <c r="L56" s="132" t="s">
        <v>108</v>
      </c>
      <c r="M56" s="17" t="s">
        <v>282</v>
      </c>
      <c r="N56" s="132" t="b">
        <v>0</v>
      </c>
      <c r="O56" s="132" t="b">
        <v>0</v>
      </c>
      <c r="P56" s="132" t="b">
        <v>1</v>
      </c>
      <c r="Q56" s="132" t="b">
        <v>0</v>
      </c>
      <c r="R56" s="17" t="b">
        <v>0</v>
      </c>
      <c r="S56" s="132" t="b">
        <v>1</v>
      </c>
    </row>
    <row r="57" spans="1:19" x14ac:dyDescent="0.35">
      <c r="A57" s="2">
        <f t="shared" si="2"/>
        <v>50</v>
      </c>
      <c r="B57" s="11" t="s">
        <v>203</v>
      </c>
      <c r="C57" s="14" t="str">
        <f t="shared" si="3"/>
        <v>MinLoadNH3_60%</v>
      </c>
      <c r="D57" s="14" t="s">
        <v>248</v>
      </c>
      <c r="E57" s="14" t="s">
        <v>67</v>
      </c>
      <c r="F57" s="14" t="s">
        <v>69</v>
      </c>
      <c r="G57" s="14" t="s">
        <v>227</v>
      </c>
      <c r="H57" s="75">
        <v>2020</v>
      </c>
      <c r="I57" s="14" t="s">
        <v>248</v>
      </c>
      <c r="J57" s="131" t="s">
        <v>281</v>
      </c>
      <c r="K57" s="14" t="s">
        <v>48</v>
      </c>
      <c r="L57" s="132" t="s">
        <v>108</v>
      </c>
      <c r="M57" s="17" t="s">
        <v>282</v>
      </c>
      <c r="N57" s="132" t="b">
        <v>0</v>
      </c>
      <c r="O57" s="132" t="b">
        <v>0</v>
      </c>
      <c r="P57" s="132" t="b">
        <v>1</v>
      </c>
      <c r="Q57" s="132" t="b">
        <v>0</v>
      </c>
      <c r="R57" s="17" t="b">
        <v>0</v>
      </c>
      <c r="S57" s="132" t="b">
        <v>1</v>
      </c>
    </row>
    <row r="58" spans="1:19" x14ac:dyDescent="0.35">
      <c r="A58" s="2">
        <f t="shared" si="2"/>
        <v>51</v>
      </c>
      <c r="B58" s="11" t="s">
        <v>204</v>
      </c>
      <c r="C58" s="14" t="str">
        <f t="shared" si="3"/>
        <v>MinLoadNH3_80%</v>
      </c>
      <c r="D58" s="14" t="s">
        <v>248</v>
      </c>
      <c r="E58" s="14" t="s">
        <v>67</v>
      </c>
      <c r="F58" s="14" t="s">
        <v>69</v>
      </c>
      <c r="G58" s="14" t="s">
        <v>227</v>
      </c>
      <c r="H58" s="75">
        <v>2020</v>
      </c>
      <c r="I58" s="14" t="s">
        <v>248</v>
      </c>
      <c r="J58" s="131" t="s">
        <v>281</v>
      </c>
      <c r="K58" s="14" t="s">
        <v>48</v>
      </c>
      <c r="L58" s="132" t="s">
        <v>108</v>
      </c>
      <c r="M58" s="17" t="s">
        <v>282</v>
      </c>
      <c r="N58" s="132" t="b">
        <v>0</v>
      </c>
      <c r="O58" s="132" t="b">
        <v>0</v>
      </c>
      <c r="P58" s="132" t="b">
        <v>1</v>
      </c>
      <c r="Q58" s="132" t="b">
        <v>0</v>
      </c>
      <c r="R58" s="17" t="b">
        <v>0</v>
      </c>
      <c r="S58" s="132" t="b">
        <v>1</v>
      </c>
    </row>
    <row r="59" spans="1:19" x14ac:dyDescent="0.35">
      <c r="A59" s="2">
        <f t="shared" si="2"/>
        <v>52</v>
      </c>
      <c r="B59" s="11" t="s">
        <v>205</v>
      </c>
      <c r="C59" s="14" t="str">
        <f t="shared" si="3"/>
        <v>MinLoadNH3_100%</v>
      </c>
      <c r="D59" s="14" t="s">
        <v>248</v>
      </c>
      <c r="E59" s="14" t="s">
        <v>67</v>
      </c>
      <c r="F59" s="14" t="s">
        <v>69</v>
      </c>
      <c r="G59" s="14" t="s">
        <v>227</v>
      </c>
      <c r="H59" s="75">
        <v>2020</v>
      </c>
      <c r="I59" s="14" t="s">
        <v>248</v>
      </c>
      <c r="J59" s="131" t="s">
        <v>281</v>
      </c>
      <c r="K59" s="14" t="s">
        <v>48</v>
      </c>
      <c r="L59" s="132" t="s">
        <v>108</v>
      </c>
      <c r="M59" s="17" t="s">
        <v>282</v>
      </c>
      <c r="N59" s="132" t="b">
        <v>0</v>
      </c>
      <c r="O59" s="132" t="b">
        <v>0</v>
      </c>
      <c r="P59" s="132" t="b">
        <v>1</v>
      </c>
      <c r="Q59" s="132" t="b">
        <v>0</v>
      </c>
      <c r="R59" s="17" t="b">
        <v>0</v>
      </c>
      <c r="S59" s="132" t="b">
        <v>1</v>
      </c>
    </row>
    <row r="60" spans="1:19" x14ac:dyDescent="0.35">
      <c r="A60" s="2">
        <f t="shared" si="2"/>
        <v>53</v>
      </c>
      <c r="B60" s="11" t="s">
        <v>153</v>
      </c>
      <c r="C60" s="14" t="str">
        <f t="shared" si="3"/>
        <v>CSP+TES-75%</v>
      </c>
      <c r="D60" s="14" t="s">
        <v>248</v>
      </c>
      <c r="E60" s="14" t="s">
        <v>67</v>
      </c>
      <c r="F60" s="14" t="s">
        <v>69</v>
      </c>
      <c r="G60" s="14" t="s">
        <v>227</v>
      </c>
      <c r="H60" s="75">
        <v>2020</v>
      </c>
      <c r="I60" s="14" t="s">
        <v>248</v>
      </c>
      <c r="J60" s="131" t="s">
        <v>281</v>
      </c>
      <c r="K60" s="14" t="s">
        <v>48</v>
      </c>
      <c r="L60" s="132" t="s">
        <v>108</v>
      </c>
      <c r="M60" s="17" t="s">
        <v>282</v>
      </c>
      <c r="N60" s="132" t="b">
        <v>0</v>
      </c>
      <c r="O60" s="132" t="b">
        <v>0</v>
      </c>
      <c r="P60" s="132" t="b">
        <v>1</v>
      </c>
      <c r="Q60" s="132" t="b">
        <v>0</v>
      </c>
      <c r="R60" s="17" t="b">
        <v>0</v>
      </c>
      <c r="S60" s="132" t="b">
        <v>1</v>
      </c>
    </row>
    <row r="61" spans="1:19" x14ac:dyDescent="0.35">
      <c r="A61" s="2">
        <f t="shared" si="2"/>
        <v>54</v>
      </c>
      <c r="B61" s="11" t="s">
        <v>154</v>
      </c>
      <c r="C61" s="14" t="str">
        <f t="shared" si="3"/>
        <v>CSP+TES-60%</v>
      </c>
      <c r="D61" s="14" t="s">
        <v>248</v>
      </c>
      <c r="E61" s="14" t="s">
        <v>67</v>
      </c>
      <c r="F61" s="14" t="s">
        <v>69</v>
      </c>
      <c r="G61" s="14" t="s">
        <v>227</v>
      </c>
      <c r="H61" s="75">
        <v>2020</v>
      </c>
      <c r="I61" s="14" t="s">
        <v>248</v>
      </c>
      <c r="J61" s="131" t="s">
        <v>281</v>
      </c>
      <c r="K61" s="14" t="s">
        <v>48</v>
      </c>
      <c r="L61" s="132" t="s">
        <v>108</v>
      </c>
      <c r="M61" s="17" t="s">
        <v>282</v>
      </c>
      <c r="N61" s="132" t="b">
        <v>0</v>
      </c>
      <c r="O61" s="132" t="b">
        <v>0</v>
      </c>
      <c r="P61" s="132" t="b">
        <v>1</v>
      </c>
      <c r="Q61" s="132" t="b">
        <v>0</v>
      </c>
      <c r="R61" s="17" t="b">
        <v>0</v>
      </c>
      <c r="S61" s="132" t="b">
        <v>1</v>
      </c>
    </row>
    <row r="62" spans="1:19" x14ac:dyDescent="0.35">
      <c r="A62" s="2">
        <f t="shared" si="2"/>
        <v>55</v>
      </c>
      <c r="B62" s="11" t="s">
        <v>155</v>
      </c>
      <c r="C62" s="14" t="str">
        <f t="shared" si="3"/>
        <v>CSP+TES-55%</v>
      </c>
      <c r="D62" s="14" t="s">
        <v>248</v>
      </c>
      <c r="E62" s="14" t="s">
        <v>67</v>
      </c>
      <c r="F62" s="14" t="s">
        <v>69</v>
      </c>
      <c r="G62" s="14" t="s">
        <v>227</v>
      </c>
      <c r="H62" s="75">
        <v>2020</v>
      </c>
      <c r="I62" s="14" t="s">
        <v>248</v>
      </c>
      <c r="J62" s="131" t="s">
        <v>281</v>
      </c>
      <c r="K62" s="14" t="s">
        <v>48</v>
      </c>
      <c r="L62" s="132" t="s">
        <v>108</v>
      </c>
      <c r="M62" s="17" t="s">
        <v>282</v>
      </c>
      <c r="N62" s="132" t="b">
        <v>0</v>
      </c>
      <c r="O62" s="132" t="b">
        <v>0</v>
      </c>
      <c r="P62" s="132" t="b">
        <v>1</v>
      </c>
      <c r="Q62" s="132" t="b">
        <v>0</v>
      </c>
      <c r="R62" s="17" t="b">
        <v>0</v>
      </c>
      <c r="S62" s="132" t="b">
        <v>1</v>
      </c>
    </row>
    <row r="63" spans="1:19" x14ac:dyDescent="0.35">
      <c r="A63" s="2">
        <f t="shared" si="2"/>
        <v>56</v>
      </c>
      <c r="B63" s="11" t="s">
        <v>187</v>
      </c>
      <c r="C63" s="130" t="str">
        <f t="shared" si="3"/>
        <v>H2storage+200%</v>
      </c>
      <c r="D63" s="14" t="s">
        <v>248</v>
      </c>
      <c r="E63" s="14" t="s">
        <v>67</v>
      </c>
      <c r="F63" s="14" t="s">
        <v>69</v>
      </c>
      <c r="G63" s="14" t="s">
        <v>227</v>
      </c>
      <c r="H63" s="75">
        <v>2020</v>
      </c>
      <c r="I63" s="14" t="s">
        <v>248</v>
      </c>
      <c r="J63" s="131" t="s">
        <v>281</v>
      </c>
      <c r="K63" s="14" t="s">
        <v>48</v>
      </c>
      <c r="L63" s="132" t="s">
        <v>108</v>
      </c>
      <c r="M63" s="17" t="s">
        <v>282</v>
      </c>
      <c r="N63" s="132" t="b">
        <v>0</v>
      </c>
      <c r="O63" s="132" t="b">
        <v>0</v>
      </c>
      <c r="P63" s="132" t="b">
        <v>1</v>
      </c>
      <c r="Q63" s="132" t="b">
        <v>0</v>
      </c>
      <c r="R63" s="17" t="b">
        <v>0</v>
      </c>
      <c r="S63" s="132" t="b">
        <v>1</v>
      </c>
    </row>
    <row r="64" spans="1:19" x14ac:dyDescent="0.35">
      <c r="A64" s="2">
        <f t="shared" si="2"/>
        <v>57</v>
      </c>
      <c r="B64" s="11" t="s">
        <v>188</v>
      </c>
      <c r="C64" s="130" t="str">
        <f t="shared" si="3"/>
        <v>H2storage+300%</v>
      </c>
      <c r="D64" s="14" t="s">
        <v>248</v>
      </c>
      <c r="E64" s="14" t="s">
        <v>67</v>
      </c>
      <c r="F64" s="14" t="s">
        <v>69</v>
      </c>
      <c r="G64" s="14" t="s">
        <v>227</v>
      </c>
      <c r="H64" s="75">
        <v>2020</v>
      </c>
      <c r="I64" s="14" t="s">
        <v>248</v>
      </c>
      <c r="J64" s="131" t="s">
        <v>281</v>
      </c>
      <c r="K64" s="14" t="s">
        <v>48</v>
      </c>
      <c r="L64" s="132" t="s">
        <v>108</v>
      </c>
      <c r="M64" s="17" t="s">
        <v>282</v>
      </c>
      <c r="N64" s="132" t="b">
        <v>0</v>
      </c>
      <c r="O64" s="132" t="b">
        <v>0</v>
      </c>
      <c r="P64" s="132" t="b">
        <v>1</v>
      </c>
      <c r="Q64" s="132" t="b">
        <v>0</v>
      </c>
      <c r="R64" s="17" t="b">
        <v>0</v>
      </c>
      <c r="S64" s="132" t="b">
        <v>1</v>
      </c>
    </row>
    <row r="65" spans="1:19" x14ac:dyDescent="0.35">
      <c r="A65" s="2">
        <f t="shared" si="2"/>
        <v>58</v>
      </c>
      <c r="B65" s="11" t="s">
        <v>232</v>
      </c>
      <c r="C65" s="14" t="str">
        <f t="shared" si="3"/>
        <v>CSP+TES-80%</v>
      </c>
      <c r="D65" s="14" t="s">
        <v>248</v>
      </c>
      <c r="E65" s="14" t="s">
        <v>67</v>
      </c>
      <c r="F65" s="14" t="s">
        <v>69</v>
      </c>
      <c r="G65" s="14" t="s">
        <v>227</v>
      </c>
      <c r="H65" s="75">
        <v>2020</v>
      </c>
      <c r="I65" s="14" t="s">
        <v>248</v>
      </c>
      <c r="J65" s="131" t="s">
        <v>281</v>
      </c>
      <c r="K65" s="14" t="s">
        <v>48</v>
      </c>
      <c r="L65" s="132" t="s">
        <v>108</v>
      </c>
      <c r="M65" s="17" t="s">
        <v>282</v>
      </c>
      <c r="N65" s="132" t="b">
        <v>0</v>
      </c>
      <c r="O65" s="132" t="b">
        <v>0</v>
      </c>
      <c r="P65" s="132" t="b">
        <v>1</v>
      </c>
      <c r="Q65" s="132" t="b">
        <v>0</v>
      </c>
      <c r="R65" s="17" t="b">
        <v>0</v>
      </c>
      <c r="S65" s="132" t="b">
        <v>1</v>
      </c>
    </row>
    <row r="66" spans="1:19" x14ac:dyDescent="0.35">
      <c r="A66" s="2">
        <f t="shared" si="2"/>
        <v>59</v>
      </c>
      <c r="B66" s="11" t="s">
        <v>231</v>
      </c>
      <c r="C66" s="14" t="str">
        <f t="shared" si="3"/>
        <v>CSP+TES-85%</v>
      </c>
      <c r="D66" s="14" t="s">
        <v>248</v>
      </c>
      <c r="E66" s="14" t="s">
        <v>67</v>
      </c>
      <c r="F66" s="14" t="s">
        <v>69</v>
      </c>
      <c r="G66" s="14" t="s">
        <v>227</v>
      </c>
      <c r="H66" s="75">
        <v>2020</v>
      </c>
      <c r="I66" s="14" t="s">
        <v>248</v>
      </c>
      <c r="J66" s="131" t="s">
        <v>281</v>
      </c>
      <c r="K66" s="14" t="s">
        <v>48</v>
      </c>
      <c r="L66" s="132" t="s">
        <v>108</v>
      </c>
      <c r="M66" s="17" t="s">
        <v>282</v>
      </c>
      <c r="N66" s="132" t="b">
        <v>0</v>
      </c>
      <c r="O66" s="132" t="b">
        <v>0</v>
      </c>
      <c r="P66" s="132" t="b">
        <v>1</v>
      </c>
      <c r="Q66" s="132" t="b">
        <v>0</v>
      </c>
      <c r="R66" s="17" t="b">
        <v>0</v>
      </c>
      <c r="S66" s="132" t="b">
        <v>1</v>
      </c>
    </row>
    <row r="67" spans="1:19" x14ac:dyDescent="0.35">
      <c r="A67" s="2">
        <f>ROW(A67)-ROW($A$7)</f>
        <v>60</v>
      </c>
      <c r="B67" s="11" t="s">
        <v>245</v>
      </c>
      <c r="C67" s="14" t="str">
        <f>B67</f>
        <v>NoH2storage</v>
      </c>
      <c r="D67" s="14" t="s">
        <v>248</v>
      </c>
      <c r="E67" s="14" t="s">
        <v>67</v>
      </c>
      <c r="F67" s="14" t="s">
        <v>69</v>
      </c>
      <c r="G67" s="14" t="s">
        <v>227</v>
      </c>
      <c r="H67" s="75">
        <v>2020</v>
      </c>
      <c r="I67" s="14" t="s">
        <v>248</v>
      </c>
      <c r="J67" s="131" t="s">
        <v>281</v>
      </c>
      <c r="K67" s="14" t="s">
        <v>48</v>
      </c>
      <c r="L67" s="132" t="s">
        <v>108</v>
      </c>
      <c r="M67" s="17" t="s">
        <v>282</v>
      </c>
      <c r="N67" s="132" t="b">
        <v>0</v>
      </c>
      <c r="O67" s="132" t="b">
        <v>0</v>
      </c>
      <c r="P67" s="132" t="b">
        <v>1</v>
      </c>
      <c r="Q67" s="132" t="b">
        <v>0</v>
      </c>
      <c r="R67" s="17" t="b">
        <v>0</v>
      </c>
      <c r="S67" s="132" t="b">
        <v>1</v>
      </c>
    </row>
    <row r="68" spans="1:19" x14ac:dyDescent="0.35">
      <c r="A68" s="2">
        <f t="shared" si="2"/>
        <v>61</v>
      </c>
      <c r="B68" s="11" t="s">
        <v>234</v>
      </c>
      <c r="C68" s="14" t="str">
        <f t="shared" si="3"/>
        <v>CSP_VarOM-5.5</v>
      </c>
      <c r="D68" s="14" t="s">
        <v>248</v>
      </c>
      <c r="E68" s="14" t="s">
        <v>67</v>
      </c>
      <c r="F68" s="14" t="s">
        <v>69</v>
      </c>
      <c r="G68" s="14" t="s">
        <v>227</v>
      </c>
      <c r="H68" s="75">
        <v>2020</v>
      </c>
      <c r="I68" s="14" t="s">
        <v>248</v>
      </c>
      <c r="J68" s="131" t="s">
        <v>281</v>
      </c>
      <c r="K68" s="14" t="s">
        <v>48</v>
      </c>
      <c r="L68" s="132" t="s">
        <v>108</v>
      </c>
      <c r="M68" s="17" t="s">
        <v>282</v>
      </c>
      <c r="N68" s="132" t="b">
        <v>0</v>
      </c>
      <c r="O68" s="132" t="b">
        <v>0</v>
      </c>
      <c r="P68" s="132" t="b">
        <v>1</v>
      </c>
      <c r="Q68" s="132" t="b">
        <v>0</v>
      </c>
      <c r="R68" s="17" t="b">
        <v>0</v>
      </c>
      <c r="S68" s="132" t="b">
        <v>1</v>
      </c>
    </row>
    <row r="69" spans="1:19" x14ac:dyDescent="0.35">
      <c r="A69" s="2">
        <f t="shared" si="2"/>
        <v>62</v>
      </c>
      <c r="B69" s="11" t="s">
        <v>235</v>
      </c>
      <c r="C69" s="14" t="str">
        <f t="shared" si="3"/>
        <v>CSP_VarOM-5</v>
      </c>
      <c r="D69" s="14" t="s">
        <v>248</v>
      </c>
      <c r="E69" s="14" t="s">
        <v>67</v>
      </c>
      <c r="F69" s="14" t="s">
        <v>69</v>
      </c>
      <c r="G69" s="14" t="s">
        <v>227</v>
      </c>
      <c r="H69" s="75">
        <v>2020</v>
      </c>
      <c r="I69" s="14" t="s">
        <v>248</v>
      </c>
      <c r="J69" s="131" t="s">
        <v>281</v>
      </c>
      <c r="K69" s="14" t="s">
        <v>48</v>
      </c>
      <c r="L69" s="132" t="s">
        <v>108</v>
      </c>
      <c r="M69" s="17" t="s">
        <v>282</v>
      </c>
      <c r="N69" s="132" t="b">
        <v>0</v>
      </c>
      <c r="O69" s="132" t="b">
        <v>0</v>
      </c>
      <c r="P69" s="132" t="b">
        <v>1</v>
      </c>
      <c r="Q69" s="132" t="b">
        <v>0</v>
      </c>
      <c r="R69" s="17" t="b">
        <v>0</v>
      </c>
      <c r="S69" s="132" t="b">
        <v>1</v>
      </c>
    </row>
    <row r="70" spans="1:19" x14ac:dyDescent="0.35">
      <c r="A70" s="2">
        <f t="shared" si="2"/>
        <v>63</v>
      </c>
      <c r="B70" s="11" t="s">
        <v>236</v>
      </c>
      <c r="C70" s="14" t="str">
        <f t="shared" si="3"/>
        <v>CSP_VarOM-4.5</v>
      </c>
      <c r="D70" s="14" t="s">
        <v>248</v>
      </c>
      <c r="E70" s="14" t="s">
        <v>67</v>
      </c>
      <c r="F70" s="14" t="s">
        <v>69</v>
      </c>
      <c r="G70" s="14" t="s">
        <v>227</v>
      </c>
      <c r="H70" s="75">
        <v>2020</v>
      </c>
      <c r="I70" s="14" t="s">
        <v>248</v>
      </c>
      <c r="J70" s="131" t="s">
        <v>281</v>
      </c>
      <c r="K70" s="14" t="s">
        <v>48</v>
      </c>
      <c r="L70" s="132" t="s">
        <v>108</v>
      </c>
      <c r="M70" s="17" t="s">
        <v>282</v>
      </c>
      <c r="N70" s="132" t="b">
        <v>0</v>
      </c>
      <c r="O70" s="132" t="b">
        <v>0</v>
      </c>
      <c r="P70" s="132" t="b">
        <v>1</v>
      </c>
      <c r="Q70" s="132" t="b">
        <v>0</v>
      </c>
      <c r="R70" s="17" t="b">
        <v>0</v>
      </c>
      <c r="S70" s="132" t="b">
        <v>1</v>
      </c>
    </row>
    <row r="71" spans="1:19" x14ac:dyDescent="0.35">
      <c r="A71" s="2">
        <f t="shared" si="2"/>
        <v>64</v>
      </c>
      <c r="B71" s="11" t="s">
        <v>237</v>
      </c>
      <c r="C71" s="14" t="str">
        <f t="shared" si="3"/>
        <v>CSP_VarOM-4</v>
      </c>
      <c r="D71" s="14" t="s">
        <v>248</v>
      </c>
      <c r="E71" s="14" t="s">
        <v>67</v>
      </c>
      <c r="F71" s="14" t="s">
        <v>69</v>
      </c>
      <c r="G71" s="14" t="s">
        <v>227</v>
      </c>
      <c r="H71" s="75">
        <v>2020</v>
      </c>
      <c r="I71" s="14" t="s">
        <v>248</v>
      </c>
      <c r="J71" s="131" t="s">
        <v>281</v>
      </c>
      <c r="K71" s="14" t="s">
        <v>48</v>
      </c>
      <c r="L71" s="132" t="s">
        <v>108</v>
      </c>
      <c r="M71" s="17" t="s">
        <v>282</v>
      </c>
      <c r="N71" s="132" t="b">
        <v>0</v>
      </c>
      <c r="O71" s="132" t="b">
        <v>0</v>
      </c>
      <c r="P71" s="132" t="b">
        <v>1</v>
      </c>
      <c r="Q71" s="132" t="b">
        <v>0</v>
      </c>
      <c r="R71" s="17" t="b">
        <v>0</v>
      </c>
      <c r="S71" s="132" t="b">
        <v>1</v>
      </c>
    </row>
    <row r="72" spans="1:19" x14ac:dyDescent="0.35">
      <c r="A72" s="2">
        <f t="shared" si="2"/>
        <v>65</v>
      </c>
      <c r="B72" s="11" t="s">
        <v>238</v>
      </c>
      <c r="C72" s="14" t="str">
        <f t="shared" si="3"/>
        <v>CSP_VarOM-3.5</v>
      </c>
      <c r="D72" s="14" t="s">
        <v>248</v>
      </c>
      <c r="E72" s="14" t="s">
        <v>67</v>
      </c>
      <c r="F72" s="14" t="s">
        <v>69</v>
      </c>
      <c r="G72" s="14" t="s">
        <v>227</v>
      </c>
      <c r="H72" s="75">
        <v>2020</v>
      </c>
      <c r="I72" s="14" t="s">
        <v>248</v>
      </c>
      <c r="J72" s="131" t="s">
        <v>281</v>
      </c>
      <c r="K72" s="14" t="s">
        <v>48</v>
      </c>
      <c r="L72" s="132" t="s">
        <v>108</v>
      </c>
      <c r="M72" s="17" t="s">
        <v>282</v>
      </c>
      <c r="N72" s="132" t="b">
        <v>0</v>
      </c>
      <c r="O72" s="132" t="b">
        <v>0</v>
      </c>
      <c r="P72" s="132" t="b">
        <v>1</v>
      </c>
      <c r="Q72" s="132" t="b">
        <v>0</v>
      </c>
      <c r="R72" s="17" t="b">
        <v>0</v>
      </c>
      <c r="S72" s="132" t="b">
        <v>1</v>
      </c>
    </row>
    <row r="73" spans="1:19" x14ac:dyDescent="0.35">
      <c r="A73" s="2">
        <f t="shared" si="2"/>
        <v>66</v>
      </c>
      <c r="B73" s="11" t="s">
        <v>239</v>
      </c>
      <c r="C73" s="14" t="str">
        <f t="shared" si="3"/>
        <v>CSP_VarOM-3</v>
      </c>
      <c r="D73" s="14" t="s">
        <v>248</v>
      </c>
      <c r="E73" s="14" t="s">
        <v>67</v>
      </c>
      <c r="F73" s="14" t="s">
        <v>69</v>
      </c>
      <c r="G73" s="14" t="s">
        <v>227</v>
      </c>
      <c r="H73" s="75">
        <v>2020</v>
      </c>
      <c r="I73" s="14" t="s">
        <v>248</v>
      </c>
      <c r="J73" s="131" t="s">
        <v>281</v>
      </c>
      <c r="K73" s="14" t="s">
        <v>48</v>
      </c>
      <c r="L73" s="132" t="s">
        <v>108</v>
      </c>
      <c r="M73" s="17" t="s">
        <v>282</v>
      </c>
      <c r="N73" s="132" t="b">
        <v>0</v>
      </c>
      <c r="O73" s="132" t="b">
        <v>0</v>
      </c>
      <c r="P73" s="132" t="b">
        <v>1</v>
      </c>
      <c r="Q73" s="132" t="b">
        <v>0</v>
      </c>
      <c r="R73" s="17" t="b">
        <v>0</v>
      </c>
      <c r="S73" s="132" t="b">
        <v>1</v>
      </c>
    </row>
    <row r="74" spans="1:19" x14ac:dyDescent="0.35">
      <c r="A74" s="2">
        <f t="shared" si="2"/>
        <v>67</v>
      </c>
      <c r="B74" s="11" t="s">
        <v>240</v>
      </c>
      <c r="C74" s="14" t="str">
        <f t="shared" si="3"/>
        <v>CSP_VarOM-2.5</v>
      </c>
      <c r="D74" s="14" t="s">
        <v>248</v>
      </c>
      <c r="E74" s="14" t="s">
        <v>67</v>
      </c>
      <c r="F74" s="14" t="s">
        <v>69</v>
      </c>
      <c r="G74" s="14" t="s">
        <v>227</v>
      </c>
      <c r="H74" s="75">
        <v>2020</v>
      </c>
      <c r="I74" s="14" t="s">
        <v>248</v>
      </c>
      <c r="J74" s="131" t="s">
        <v>281</v>
      </c>
      <c r="K74" s="14" t="s">
        <v>48</v>
      </c>
      <c r="L74" s="132" t="s">
        <v>108</v>
      </c>
      <c r="M74" s="17" t="s">
        <v>282</v>
      </c>
      <c r="N74" s="132" t="b">
        <v>0</v>
      </c>
      <c r="O74" s="132" t="b">
        <v>0</v>
      </c>
      <c r="P74" s="132" t="b">
        <v>1</v>
      </c>
      <c r="Q74" s="132" t="b">
        <v>0</v>
      </c>
      <c r="R74" s="17" t="b">
        <v>0</v>
      </c>
      <c r="S74" s="132" t="b">
        <v>1</v>
      </c>
    </row>
    <row r="75" spans="1:19" x14ac:dyDescent="0.35">
      <c r="A75" s="2">
        <f t="shared" si="2"/>
        <v>68</v>
      </c>
      <c r="B75" s="11" t="s">
        <v>241</v>
      </c>
      <c r="C75" s="14" t="str">
        <f t="shared" si="3"/>
        <v>CSP_VarOM-2</v>
      </c>
      <c r="D75" s="14" t="s">
        <v>248</v>
      </c>
      <c r="E75" s="14" t="s">
        <v>67</v>
      </c>
      <c r="F75" s="14" t="s">
        <v>69</v>
      </c>
      <c r="G75" s="14" t="s">
        <v>227</v>
      </c>
      <c r="H75" s="75">
        <v>2020</v>
      </c>
      <c r="I75" s="14" t="s">
        <v>248</v>
      </c>
      <c r="J75" s="131" t="s">
        <v>281</v>
      </c>
      <c r="K75" s="14" t="s">
        <v>48</v>
      </c>
      <c r="L75" s="132" t="s">
        <v>108</v>
      </c>
      <c r="M75" s="17" t="s">
        <v>282</v>
      </c>
      <c r="N75" s="132" t="b">
        <v>0</v>
      </c>
      <c r="O75" s="132" t="b">
        <v>0</v>
      </c>
      <c r="P75" s="132" t="b">
        <v>1</v>
      </c>
      <c r="Q75" s="132" t="b">
        <v>0</v>
      </c>
      <c r="R75" s="17" t="b">
        <v>0</v>
      </c>
      <c r="S75" s="132" t="b">
        <v>1</v>
      </c>
    </row>
    <row r="76" spans="1:19" x14ac:dyDescent="0.35">
      <c r="A76" s="2">
        <f t="shared" si="2"/>
        <v>69</v>
      </c>
      <c r="B76" s="11" t="s">
        <v>242</v>
      </c>
      <c r="C76" s="14" t="str">
        <f t="shared" si="3"/>
        <v>CSP_VarOM-1.5</v>
      </c>
      <c r="D76" s="14" t="s">
        <v>248</v>
      </c>
      <c r="E76" s="14" t="s">
        <v>67</v>
      </c>
      <c r="F76" s="14" t="s">
        <v>69</v>
      </c>
      <c r="G76" s="14" t="s">
        <v>227</v>
      </c>
      <c r="H76" s="75">
        <v>2020</v>
      </c>
      <c r="I76" s="14" t="s">
        <v>248</v>
      </c>
      <c r="J76" s="131" t="s">
        <v>281</v>
      </c>
      <c r="K76" s="14" t="s">
        <v>48</v>
      </c>
      <c r="L76" s="132" t="s">
        <v>108</v>
      </c>
      <c r="M76" s="17" t="s">
        <v>282</v>
      </c>
      <c r="N76" s="132" t="b">
        <v>0</v>
      </c>
      <c r="O76" s="132" t="b">
        <v>0</v>
      </c>
      <c r="P76" s="132" t="b">
        <v>1</v>
      </c>
      <c r="Q76" s="132" t="b">
        <v>0</v>
      </c>
      <c r="R76" s="17" t="b">
        <v>0</v>
      </c>
      <c r="S76" s="132" t="b">
        <v>1</v>
      </c>
    </row>
    <row r="77" spans="1:19" x14ac:dyDescent="0.35">
      <c r="A77" s="2">
        <f t="shared" si="2"/>
        <v>70</v>
      </c>
      <c r="B77" s="11" t="s">
        <v>243</v>
      </c>
      <c r="C77" s="14" t="str">
        <f t="shared" si="3"/>
        <v>CSP_VarOM-1</v>
      </c>
      <c r="D77" s="14" t="s">
        <v>248</v>
      </c>
      <c r="E77" s="14" t="s">
        <v>67</v>
      </c>
      <c r="F77" s="14" t="s">
        <v>69</v>
      </c>
      <c r="G77" s="14" t="s">
        <v>227</v>
      </c>
      <c r="H77" s="75">
        <v>2020</v>
      </c>
      <c r="I77" s="14" t="s">
        <v>248</v>
      </c>
      <c r="J77" s="131" t="s">
        <v>281</v>
      </c>
      <c r="K77" s="14" t="s">
        <v>48</v>
      </c>
      <c r="L77" s="132" t="s">
        <v>108</v>
      </c>
      <c r="M77" s="17" t="s">
        <v>282</v>
      </c>
      <c r="N77" s="132" t="b">
        <v>0</v>
      </c>
      <c r="O77" s="132" t="b">
        <v>0</v>
      </c>
      <c r="P77" s="132" t="b">
        <v>1</v>
      </c>
      <c r="Q77" s="132" t="b">
        <v>0</v>
      </c>
      <c r="R77" s="17" t="b">
        <v>0</v>
      </c>
      <c r="S77" s="132" t="b">
        <v>1</v>
      </c>
    </row>
    <row r="78" spans="1:19" x14ac:dyDescent="0.35">
      <c r="A78" s="2">
        <f t="shared" si="2"/>
        <v>71</v>
      </c>
      <c r="B78" s="11" t="s">
        <v>244</v>
      </c>
      <c r="C78" s="14" t="str">
        <f t="shared" si="3"/>
        <v>CSP_VarOM-0</v>
      </c>
      <c r="D78" s="14" t="s">
        <v>248</v>
      </c>
      <c r="E78" s="14" t="s">
        <v>67</v>
      </c>
      <c r="F78" s="14" t="s">
        <v>69</v>
      </c>
      <c r="G78" s="14" t="s">
        <v>227</v>
      </c>
      <c r="H78" s="75">
        <v>2020</v>
      </c>
      <c r="I78" s="14" t="s">
        <v>248</v>
      </c>
      <c r="J78" s="131" t="s">
        <v>281</v>
      </c>
      <c r="K78" s="14" t="s">
        <v>48</v>
      </c>
      <c r="L78" s="132" t="s">
        <v>108</v>
      </c>
      <c r="M78" s="17" t="s">
        <v>282</v>
      </c>
      <c r="N78" s="132" t="b">
        <v>0</v>
      </c>
      <c r="O78" s="132" t="b">
        <v>0</v>
      </c>
      <c r="P78" s="132" t="b">
        <v>1</v>
      </c>
      <c r="Q78" s="132" t="b">
        <v>0</v>
      </c>
      <c r="R78" s="17" t="b">
        <v>0</v>
      </c>
      <c r="S78" s="132" t="b">
        <v>1</v>
      </c>
    </row>
    <row r="79" spans="1:19" x14ac:dyDescent="0.35">
      <c r="A79" s="2">
        <f t="shared" si="2"/>
        <v>72</v>
      </c>
      <c r="B79" s="129" t="s">
        <v>249</v>
      </c>
      <c r="C79" s="75" t="s">
        <v>156</v>
      </c>
      <c r="D79" s="14" t="s">
        <v>248</v>
      </c>
      <c r="E79" s="14" t="s">
        <v>67</v>
      </c>
      <c r="F79" s="14" t="s">
        <v>69</v>
      </c>
      <c r="G79" s="14" t="s">
        <v>227</v>
      </c>
      <c r="H79" s="75">
        <v>2020</v>
      </c>
      <c r="I79" s="14" t="s">
        <v>248</v>
      </c>
      <c r="J79" s="131" t="s">
        <v>281</v>
      </c>
      <c r="K79" s="14" t="s">
        <v>48</v>
      </c>
      <c r="L79" s="132" t="s">
        <v>108</v>
      </c>
      <c r="M79" s="17" t="s">
        <v>282</v>
      </c>
      <c r="N79" s="132" t="b">
        <v>0</v>
      </c>
      <c r="O79" s="132" t="b">
        <v>0</v>
      </c>
      <c r="P79" s="132" t="b">
        <v>1</v>
      </c>
      <c r="Q79" s="132" t="b">
        <v>0</v>
      </c>
      <c r="R79" s="17" t="b">
        <v>0</v>
      </c>
      <c r="S79" s="132" t="b">
        <v>1</v>
      </c>
    </row>
    <row r="80" spans="1:19" x14ac:dyDescent="0.35">
      <c r="A80" s="2">
        <f t="shared" si="2"/>
        <v>73</v>
      </c>
      <c r="B80" s="129" t="s">
        <v>250</v>
      </c>
      <c r="C80" s="75" t="s">
        <v>157</v>
      </c>
      <c r="D80" s="14" t="s">
        <v>248</v>
      </c>
      <c r="E80" s="14" t="s">
        <v>67</v>
      </c>
      <c r="F80" s="14" t="s">
        <v>69</v>
      </c>
      <c r="G80" s="14" t="s">
        <v>227</v>
      </c>
      <c r="H80" s="75">
        <v>2020</v>
      </c>
      <c r="I80" s="14" t="s">
        <v>248</v>
      </c>
      <c r="J80" s="131" t="s">
        <v>281</v>
      </c>
      <c r="K80" s="14" t="s">
        <v>48</v>
      </c>
      <c r="L80" s="132" t="s">
        <v>108</v>
      </c>
      <c r="M80" s="17" t="s">
        <v>282</v>
      </c>
      <c r="N80" s="132" t="b">
        <v>0</v>
      </c>
      <c r="O80" s="132" t="b">
        <v>0</v>
      </c>
      <c r="P80" s="132" t="b">
        <v>1</v>
      </c>
      <c r="Q80" s="132" t="b">
        <v>0</v>
      </c>
      <c r="R80" s="17" t="b">
        <v>0</v>
      </c>
      <c r="S80" s="132" t="b">
        <v>1</v>
      </c>
    </row>
    <row r="81" spans="1:19" x14ac:dyDescent="0.35">
      <c r="A81" s="2">
        <f t="shared" si="2"/>
        <v>74</v>
      </c>
      <c r="B81" s="129" t="s">
        <v>251</v>
      </c>
      <c r="C81" s="75" t="s">
        <v>158</v>
      </c>
      <c r="D81" s="14" t="s">
        <v>248</v>
      </c>
      <c r="E81" s="14" t="s">
        <v>67</v>
      </c>
      <c r="F81" s="14" t="s">
        <v>69</v>
      </c>
      <c r="G81" s="14" t="s">
        <v>227</v>
      </c>
      <c r="H81" s="75">
        <v>2020</v>
      </c>
      <c r="I81" s="14" t="s">
        <v>248</v>
      </c>
      <c r="J81" s="131" t="s">
        <v>281</v>
      </c>
      <c r="K81" s="14" t="s">
        <v>48</v>
      </c>
      <c r="L81" s="132" t="s">
        <v>108</v>
      </c>
      <c r="M81" s="17" t="s">
        <v>282</v>
      </c>
      <c r="N81" s="132" t="b">
        <v>0</v>
      </c>
      <c r="O81" s="132" t="b">
        <v>0</v>
      </c>
      <c r="P81" s="132" t="b">
        <v>1</v>
      </c>
      <c r="Q81" s="132" t="b">
        <v>0</v>
      </c>
      <c r="R81" s="17" t="b">
        <v>0</v>
      </c>
      <c r="S81" s="132" t="b">
        <v>1</v>
      </c>
    </row>
    <row r="82" spans="1:19" x14ac:dyDescent="0.35">
      <c r="A82" s="2">
        <f t="shared" si="2"/>
        <v>75</v>
      </c>
      <c r="B82" s="129" t="s">
        <v>252</v>
      </c>
      <c r="C82" s="75" t="s">
        <v>159</v>
      </c>
      <c r="D82" s="14" t="s">
        <v>248</v>
      </c>
      <c r="E82" s="14" t="s">
        <v>67</v>
      </c>
      <c r="F82" s="14" t="s">
        <v>69</v>
      </c>
      <c r="G82" s="14" t="s">
        <v>227</v>
      </c>
      <c r="H82" s="75">
        <v>2020</v>
      </c>
      <c r="I82" s="14" t="s">
        <v>248</v>
      </c>
      <c r="J82" s="131" t="s">
        <v>281</v>
      </c>
      <c r="K82" s="14" t="s">
        <v>48</v>
      </c>
      <c r="L82" s="132" t="s">
        <v>108</v>
      </c>
      <c r="M82" s="17" t="s">
        <v>282</v>
      </c>
      <c r="N82" s="132" t="b">
        <v>0</v>
      </c>
      <c r="O82" s="132" t="b">
        <v>0</v>
      </c>
      <c r="P82" s="132" t="b">
        <v>1</v>
      </c>
      <c r="Q82" s="132" t="b">
        <v>0</v>
      </c>
      <c r="R82" s="17" t="b">
        <v>0</v>
      </c>
      <c r="S82" s="132" t="b">
        <v>1</v>
      </c>
    </row>
    <row r="83" spans="1:19" x14ac:dyDescent="0.35">
      <c r="A83" s="2">
        <f t="shared" si="2"/>
        <v>76</v>
      </c>
      <c r="B83" s="129" t="s">
        <v>253</v>
      </c>
      <c r="C83" s="75" t="s">
        <v>160</v>
      </c>
      <c r="D83" s="14" t="s">
        <v>248</v>
      </c>
      <c r="E83" s="14" t="s">
        <v>67</v>
      </c>
      <c r="F83" s="14" t="s">
        <v>69</v>
      </c>
      <c r="G83" s="14" t="s">
        <v>227</v>
      </c>
      <c r="H83" s="75">
        <v>2020</v>
      </c>
      <c r="I83" s="14" t="s">
        <v>248</v>
      </c>
      <c r="J83" s="131" t="s">
        <v>281</v>
      </c>
      <c r="K83" s="14" t="s">
        <v>48</v>
      </c>
      <c r="L83" s="132" t="s">
        <v>108</v>
      </c>
      <c r="M83" s="17" t="s">
        <v>282</v>
      </c>
      <c r="N83" s="132" t="b">
        <v>0</v>
      </c>
      <c r="O83" s="132" t="b">
        <v>0</v>
      </c>
      <c r="P83" s="132" t="b">
        <v>1</v>
      </c>
      <c r="Q83" s="132" t="b">
        <v>0</v>
      </c>
      <c r="R83" s="17" t="b">
        <v>0</v>
      </c>
      <c r="S83" s="132" t="b">
        <v>1</v>
      </c>
    </row>
    <row r="84" spans="1:19" x14ac:dyDescent="0.35">
      <c r="A84" s="2">
        <f>ROW(A84)-ROW($A$7)</f>
        <v>77</v>
      </c>
      <c r="B84" s="11" t="s">
        <v>254</v>
      </c>
      <c r="C84" s="14" t="s">
        <v>155</v>
      </c>
      <c r="D84" s="14" t="s">
        <v>248</v>
      </c>
      <c r="E84" s="14" t="s">
        <v>67</v>
      </c>
      <c r="F84" s="14" t="s">
        <v>69</v>
      </c>
      <c r="G84" s="14" t="s">
        <v>227</v>
      </c>
      <c r="H84" s="75">
        <v>2020</v>
      </c>
      <c r="I84" s="14" t="s">
        <v>248</v>
      </c>
      <c r="J84" s="131" t="s">
        <v>281</v>
      </c>
      <c r="K84" s="14" t="s">
        <v>48</v>
      </c>
      <c r="L84" s="132" t="s">
        <v>108</v>
      </c>
      <c r="M84" s="17" t="s">
        <v>282</v>
      </c>
      <c r="N84" s="132" t="b">
        <v>0</v>
      </c>
      <c r="O84" s="132" t="b">
        <v>0</v>
      </c>
      <c r="P84" s="132" t="b">
        <v>1</v>
      </c>
      <c r="Q84" s="132" t="b">
        <v>0</v>
      </c>
      <c r="R84" s="17" t="b">
        <v>0</v>
      </c>
      <c r="S84" s="132" t="b">
        <v>1</v>
      </c>
    </row>
    <row r="85" spans="1:19" x14ac:dyDescent="0.35">
      <c r="A85" s="2">
        <f>ROW(A85)-ROW($A$7)</f>
        <v>78</v>
      </c>
      <c r="B85" s="11" t="s">
        <v>255</v>
      </c>
      <c r="C85" s="14" t="s">
        <v>154</v>
      </c>
      <c r="D85" s="14" t="s">
        <v>248</v>
      </c>
      <c r="E85" s="14" t="s">
        <v>67</v>
      </c>
      <c r="F85" s="14" t="s">
        <v>69</v>
      </c>
      <c r="G85" s="14" t="s">
        <v>227</v>
      </c>
      <c r="H85" s="75">
        <v>2020</v>
      </c>
      <c r="I85" s="14" t="s">
        <v>248</v>
      </c>
      <c r="J85" s="131" t="s">
        <v>281</v>
      </c>
      <c r="K85" s="14" t="s">
        <v>48</v>
      </c>
      <c r="L85" s="132" t="s">
        <v>108</v>
      </c>
      <c r="M85" s="17" t="s">
        <v>282</v>
      </c>
      <c r="N85" s="132" t="b">
        <v>0</v>
      </c>
      <c r="O85" s="132" t="b">
        <v>0</v>
      </c>
      <c r="P85" s="132" t="b">
        <v>1</v>
      </c>
      <c r="Q85" s="132" t="b">
        <v>0</v>
      </c>
      <c r="R85" s="17" t="b">
        <v>0</v>
      </c>
      <c r="S85" s="132" t="b">
        <v>1</v>
      </c>
    </row>
    <row r="86" spans="1:19" x14ac:dyDescent="0.35">
      <c r="A86" s="2">
        <f t="shared" si="2"/>
        <v>79</v>
      </c>
      <c r="B86" s="11" t="s">
        <v>256</v>
      </c>
      <c r="C86" s="14" t="s">
        <v>153</v>
      </c>
      <c r="D86" s="14" t="s">
        <v>248</v>
      </c>
      <c r="E86" s="14" t="s">
        <v>67</v>
      </c>
      <c r="F86" s="14" t="s">
        <v>69</v>
      </c>
      <c r="G86" s="14" t="s">
        <v>227</v>
      </c>
      <c r="H86" s="75">
        <v>2020</v>
      </c>
      <c r="I86" s="14" t="s">
        <v>248</v>
      </c>
      <c r="J86" s="131" t="s">
        <v>281</v>
      </c>
      <c r="K86" s="14" t="s">
        <v>48</v>
      </c>
      <c r="L86" s="132" t="s">
        <v>108</v>
      </c>
      <c r="M86" s="17" t="s">
        <v>282</v>
      </c>
      <c r="N86" s="132" t="b">
        <v>0</v>
      </c>
      <c r="O86" s="132" t="b">
        <v>0</v>
      </c>
      <c r="P86" s="132" t="b">
        <v>1</v>
      </c>
      <c r="Q86" s="132" t="b">
        <v>0</v>
      </c>
      <c r="R86" s="17" t="b">
        <v>0</v>
      </c>
      <c r="S86" s="132" t="b">
        <v>1</v>
      </c>
    </row>
    <row r="87" spans="1:19" x14ac:dyDescent="0.35">
      <c r="A87" s="2">
        <f t="shared" si="2"/>
        <v>80</v>
      </c>
      <c r="B87" s="11" t="s">
        <v>257</v>
      </c>
      <c r="C87" s="14" t="s">
        <v>232</v>
      </c>
      <c r="D87" s="14" t="s">
        <v>248</v>
      </c>
      <c r="E87" s="14" t="s">
        <v>67</v>
      </c>
      <c r="F87" s="14" t="s">
        <v>69</v>
      </c>
      <c r="G87" s="14" t="s">
        <v>227</v>
      </c>
      <c r="H87" s="75">
        <v>2020</v>
      </c>
      <c r="I87" s="14" t="s">
        <v>248</v>
      </c>
      <c r="J87" s="131" t="s">
        <v>281</v>
      </c>
      <c r="K87" s="14" t="s">
        <v>48</v>
      </c>
      <c r="L87" s="132" t="s">
        <v>108</v>
      </c>
      <c r="M87" s="17" t="s">
        <v>282</v>
      </c>
      <c r="N87" s="132" t="b">
        <v>0</v>
      </c>
      <c r="O87" s="132" t="b">
        <v>0</v>
      </c>
      <c r="P87" s="132" t="b">
        <v>1</v>
      </c>
      <c r="Q87" s="132" t="b">
        <v>0</v>
      </c>
      <c r="R87" s="17" t="b">
        <v>0</v>
      </c>
      <c r="S87" s="132" t="b">
        <v>1</v>
      </c>
    </row>
    <row r="88" spans="1:19" x14ac:dyDescent="0.35">
      <c r="A88" s="2">
        <f t="shared" si="2"/>
        <v>81</v>
      </c>
      <c r="B88" s="11" t="s">
        <v>258</v>
      </c>
      <c r="C88" s="14" t="s">
        <v>231</v>
      </c>
      <c r="D88" s="14" t="s">
        <v>248</v>
      </c>
      <c r="E88" s="14" t="s">
        <v>67</v>
      </c>
      <c r="F88" s="14" t="s">
        <v>69</v>
      </c>
      <c r="G88" s="14" t="s">
        <v>227</v>
      </c>
      <c r="H88" s="75">
        <v>2020</v>
      </c>
      <c r="I88" s="14" t="s">
        <v>248</v>
      </c>
      <c r="J88" s="131" t="s">
        <v>281</v>
      </c>
      <c r="K88" s="14" t="s">
        <v>48</v>
      </c>
      <c r="L88" s="132" t="s">
        <v>108</v>
      </c>
      <c r="M88" s="17" t="s">
        <v>282</v>
      </c>
      <c r="N88" s="132" t="b">
        <v>0</v>
      </c>
      <c r="O88" s="132" t="b">
        <v>0</v>
      </c>
      <c r="P88" s="132" t="b">
        <v>1</v>
      </c>
      <c r="Q88" s="132" t="b">
        <v>0</v>
      </c>
      <c r="R88" s="17" t="b">
        <v>0</v>
      </c>
      <c r="S88" s="132" t="b">
        <v>1</v>
      </c>
    </row>
    <row r="89" spans="1:19" x14ac:dyDescent="0.35">
      <c r="A89" s="2">
        <f t="shared" si="2"/>
        <v>82</v>
      </c>
      <c r="B89" s="11" t="s">
        <v>234</v>
      </c>
      <c r="C89" s="14" t="str">
        <f t="shared" ref="C89:C99" si="4">B89</f>
        <v>CSP_VarOM-5.5</v>
      </c>
      <c r="D89" s="14" t="s">
        <v>248</v>
      </c>
      <c r="E89" s="14" t="s">
        <v>67</v>
      </c>
      <c r="F89" s="14" t="s">
        <v>69</v>
      </c>
      <c r="G89" s="14" t="s">
        <v>227</v>
      </c>
      <c r="H89" s="75">
        <v>2020</v>
      </c>
      <c r="I89" s="14" t="s">
        <v>248</v>
      </c>
      <c r="J89" s="131" t="s">
        <v>281</v>
      </c>
      <c r="K89" s="14" t="s">
        <v>56</v>
      </c>
      <c r="L89" s="132" t="s">
        <v>108</v>
      </c>
      <c r="M89" s="17" t="s">
        <v>282</v>
      </c>
      <c r="N89" s="132" t="b">
        <v>0</v>
      </c>
      <c r="O89" s="132" t="b">
        <v>0</v>
      </c>
      <c r="P89" s="132" t="b">
        <v>1</v>
      </c>
      <c r="Q89" s="132" t="b">
        <v>0</v>
      </c>
      <c r="R89" s="17" t="b">
        <v>0</v>
      </c>
      <c r="S89" s="132" t="b">
        <v>1</v>
      </c>
    </row>
    <row r="90" spans="1:19" x14ac:dyDescent="0.35">
      <c r="A90" s="2">
        <f t="shared" si="2"/>
        <v>83</v>
      </c>
      <c r="B90" s="11" t="s">
        <v>235</v>
      </c>
      <c r="C90" s="14" t="str">
        <f t="shared" si="4"/>
        <v>CSP_VarOM-5</v>
      </c>
      <c r="D90" s="14" t="s">
        <v>248</v>
      </c>
      <c r="E90" s="14" t="s">
        <v>67</v>
      </c>
      <c r="F90" s="14" t="s">
        <v>69</v>
      </c>
      <c r="G90" s="14" t="s">
        <v>227</v>
      </c>
      <c r="H90" s="75">
        <v>2020</v>
      </c>
      <c r="I90" s="14" t="s">
        <v>248</v>
      </c>
      <c r="J90" s="131" t="s">
        <v>281</v>
      </c>
      <c r="K90" s="14" t="s">
        <v>56</v>
      </c>
      <c r="L90" s="132" t="s">
        <v>108</v>
      </c>
      <c r="M90" s="17" t="s">
        <v>282</v>
      </c>
      <c r="N90" s="132" t="b">
        <v>0</v>
      </c>
      <c r="O90" s="132" t="b">
        <v>0</v>
      </c>
      <c r="P90" s="132" t="b">
        <v>1</v>
      </c>
      <c r="Q90" s="132" t="b">
        <v>0</v>
      </c>
      <c r="R90" s="17" t="b">
        <v>0</v>
      </c>
      <c r="S90" s="132" t="b">
        <v>1</v>
      </c>
    </row>
    <row r="91" spans="1:19" x14ac:dyDescent="0.35">
      <c r="A91" s="2">
        <f t="shared" ref="A91:A115" si="5">ROW(A91)-ROW($A$7)</f>
        <v>84</v>
      </c>
      <c r="B91" s="11" t="s">
        <v>236</v>
      </c>
      <c r="C91" s="14" t="str">
        <f t="shared" si="4"/>
        <v>CSP_VarOM-4.5</v>
      </c>
      <c r="D91" s="14" t="s">
        <v>248</v>
      </c>
      <c r="E91" s="14" t="s">
        <v>67</v>
      </c>
      <c r="F91" s="14" t="s">
        <v>69</v>
      </c>
      <c r="G91" s="14" t="s">
        <v>227</v>
      </c>
      <c r="H91" s="75">
        <v>2020</v>
      </c>
      <c r="I91" s="14" t="s">
        <v>248</v>
      </c>
      <c r="J91" s="131" t="s">
        <v>281</v>
      </c>
      <c r="K91" s="14" t="s">
        <v>56</v>
      </c>
      <c r="L91" s="132" t="s">
        <v>108</v>
      </c>
      <c r="M91" s="17" t="s">
        <v>282</v>
      </c>
      <c r="N91" s="132" t="b">
        <v>0</v>
      </c>
      <c r="O91" s="132" t="b">
        <v>0</v>
      </c>
      <c r="P91" s="132" t="b">
        <v>1</v>
      </c>
      <c r="Q91" s="132" t="b">
        <v>0</v>
      </c>
      <c r="R91" s="17" t="b">
        <v>0</v>
      </c>
      <c r="S91" s="132" t="b">
        <v>1</v>
      </c>
    </row>
    <row r="92" spans="1:19" x14ac:dyDescent="0.35">
      <c r="A92" s="2">
        <f t="shared" si="5"/>
        <v>85</v>
      </c>
      <c r="B92" s="11" t="s">
        <v>237</v>
      </c>
      <c r="C92" s="14" t="str">
        <f t="shared" si="4"/>
        <v>CSP_VarOM-4</v>
      </c>
      <c r="D92" s="14" t="s">
        <v>248</v>
      </c>
      <c r="E92" s="14" t="s">
        <v>67</v>
      </c>
      <c r="F92" s="14" t="s">
        <v>69</v>
      </c>
      <c r="G92" s="14" t="s">
        <v>227</v>
      </c>
      <c r="H92" s="75">
        <v>2020</v>
      </c>
      <c r="I92" s="14" t="s">
        <v>248</v>
      </c>
      <c r="J92" s="131" t="s">
        <v>281</v>
      </c>
      <c r="K92" s="14" t="s">
        <v>56</v>
      </c>
      <c r="L92" s="132" t="s">
        <v>108</v>
      </c>
      <c r="M92" s="17" t="s">
        <v>282</v>
      </c>
      <c r="N92" s="132" t="b">
        <v>0</v>
      </c>
      <c r="O92" s="132" t="b">
        <v>0</v>
      </c>
      <c r="P92" s="132" t="b">
        <v>1</v>
      </c>
      <c r="Q92" s="132" t="b">
        <v>0</v>
      </c>
      <c r="R92" s="17" t="b">
        <v>0</v>
      </c>
      <c r="S92" s="132" t="b">
        <v>1</v>
      </c>
    </row>
    <row r="93" spans="1:19" x14ac:dyDescent="0.35">
      <c r="A93" s="2">
        <f t="shared" si="5"/>
        <v>86</v>
      </c>
      <c r="B93" s="11" t="s">
        <v>238</v>
      </c>
      <c r="C93" s="14" t="str">
        <f t="shared" si="4"/>
        <v>CSP_VarOM-3.5</v>
      </c>
      <c r="D93" s="14" t="s">
        <v>248</v>
      </c>
      <c r="E93" s="14" t="s">
        <v>67</v>
      </c>
      <c r="F93" s="14" t="s">
        <v>69</v>
      </c>
      <c r="G93" s="14" t="s">
        <v>227</v>
      </c>
      <c r="H93" s="75">
        <v>2020</v>
      </c>
      <c r="I93" s="14" t="s">
        <v>248</v>
      </c>
      <c r="J93" s="131" t="s">
        <v>281</v>
      </c>
      <c r="K93" s="14" t="s">
        <v>56</v>
      </c>
      <c r="L93" s="132" t="s">
        <v>108</v>
      </c>
      <c r="M93" s="17" t="s">
        <v>282</v>
      </c>
      <c r="N93" s="132" t="b">
        <v>0</v>
      </c>
      <c r="O93" s="132" t="b">
        <v>0</v>
      </c>
      <c r="P93" s="132" t="b">
        <v>1</v>
      </c>
      <c r="Q93" s="132" t="b">
        <v>0</v>
      </c>
      <c r="R93" s="17" t="b">
        <v>0</v>
      </c>
      <c r="S93" s="132" t="b">
        <v>1</v>
      </c>
    </row>
    <row r="94" spans="1:19" x14ac:dyDescent="0.35">
      <c r="A94" s="2">
        <f t="shared" si="5"/>
        <v>87</v>
      </c>
      <c r="B94" s="11" t="s">
        <v>239</v>
      </c>
      <c r="C94" s="14" t="str">
        <f t="shared" si="4"/>
        <v>CSP_VarOM-3</v>
      </c>
      <c r="D94" s="14" t="s">
        <v>248</v>
      </c>
      <c r="E94" s="14" t="s">
        <v>67</v>
      </c>
      <c r="F94" s="14" t="s">
        <v>69</v>
      </c>
      <c r="G94" s="14" t="s">
        <v>227</v>
      </c>
      <c r="H94" s="75">
        <v>2020</v>
      </c>
      <c r="I94" s="14" t="s">
        <v>248</v>
      </c>
      <c r="J94" s="131" t="s">
        <v>281</v>
      </c>
      <c r="K94" s="14" t="s">
        <v>56</v>
      </c>
      <c r="L94" s="132" t="s">
        <v>108</v>
      </c>
      <c r="M94" s="17" t="s">
        <v>282</v>
      </c>
      <c r="N94" s="132" t="b">
        <v>0</v>
      </c>
      <c r="O94" s="132" t="b">
        <v>0</v>
      </c>
      <c r="P94" s="132" t="b">
        <v>1</v>
      </c>
      <c r="Q94" s="132" t="b">
        <v>0</v>
      </c>
      <c r="R94" s="17" t="b">
        <v>0</v>
      </c>
      <c r="S94" s="132" t="b">
        <v>1</v>
      </c>
    </row>
    <row r="95" spans="1:19" x14ac:dyDescent="0.35">
      <c r="A95" s="2">
        <f t="shared" si="5"/>
        <v>88</v>
      </c>
      <c r="B95" s="11" t="s">
        <v>240</v>
      </c>
      <c r="C95" s="14" t="str">
        <f t="shared" si="4"/>
        <v>CSP_VarOM-2.5</v>
      </c>
      <c r="D95" s="14" t="s">
        <v>248</v>
      </c>
      <c r="E95" s="14" t="s">
        <v>67</v>
      </c>
      <c r="F95" s="14" t="s">
        <v>69</v>
      </c>
      <c r="G95" s="14" t="s">
        <v>227</v>
      </c>
      <c r="H95" s="75">
        <v>2020</v>
      </c>
      <c r="I95" s="14" t="s">
        <v>248</v>
      </c>
      <c r="J95" s="131" t="s">
        <v>281</v>
      </c>
      <c r="K95" s="14" t="s">
        <v>56</v>
      </c>
      <c r="L95" s="132" t="s">
        <v>108</v>
      </c>
      <c r="M95" s="17" t="s">
        <v>282</v>
      </c>
      <c r="N95" s="132" t="b">
        <v>0</v>
      </c>
      <c r="O95" s="132" t="b">
        <v>0</v>
      </c>
      <c r="P95" s="132" t="b">
        <v>1</v>
      </c>
      <c r="Q95" s="132" t="b">
        <v>0</v>
      </c>
      <c r="R95" s="17" t="b">
        <v>0</v>
      </c>
      <c r="S95" s="132" t="b">
        <v>1</v>
      </c>
    </row>
    <row r="96" spans="1:19" x14ac:dyDescent="0.35">
      <c r="A96" s="2">
        <f t="shared" si="5"/>
        <v>89</v>
      </c>
      <c r="B96" s="11" t="s">
        <v>241</v>
      </c>
      <c r="C96" s="14" t="str">
        <f t="shared" si="4"/>
        <v>CSP_VarOM-2</v>
      </c>
      <c r="D96" s="14" t="s">
        <v>248</v>
      </c>
      <c r="E96" s="14" t="s">
        <v>67</v>
      </c>
      <c r="F96" s="14" t="s">
        <v>69</v>
      </c>
      <c r="G96" s="14" t="s">
        <v>227</v>
      </c>
      <c r="H96" s="75">
        <v>2020</v>
      </c>
      <c r="I96" s="14" t="s">
        <v>248</v>
      </c>
      <c r="J96" s="131" t="s">
        <v>281</v>
      </c>
      <c r="K96" s="14" t="s">
        <v>56</v>
      </c>
      <c r="L96" s="132" t="s">
        <v>108</v>
      </c>
      <c r="M96" s="17" t="s">
        <v>282</v>
      </c>
      <c r="N96" s="132" t="b">
        <v>0</v>
      </c>
      <c r="O96" s="132" t="b">
        <v>0</v>
      </c>
      <c r="P96" s="132" t="b">
        <v>1</v>
      </c>
      <c r="Q96" s="132" t="b">
        <v>0</v>
      </c>
      <c r="R96" s="17" t="b">
        <v>0</v>
      </c>
      <c r="S96" s="132" t="b">
        <v>1</v>
      </c>
    </row>
    <row r="97" spans="1:19" x14ac:dyDescent="0.35">
      <c r="A97" s="2">
        <f t="shared" si="5"/>
        <v>90</v>
      </c>
      <c r="B97" s="11" t="s">
        <v>242</v>
      </c>
      <c r="C97" s="14" t="str">
        <f t="shared" si="4"/>
        <v>CSP_VarOM-1.5</v>
      </c>
      <c r="D97" s="14" t="s">
        <v>248</v>
      </c>
      <c r="E97" s="14" t="s">
        <v>67</v>
      </c>
      <c r="F97" s="14" t="s">
        <v>69</v>
      </c>
      <c r="G97" s="14" t="s">
        <v>227</v>
      </c>
      <c r="H97" s="75">
        <v>2020</v>
      </c>
      <c r="I97" s="14" t="s">
        <v>248</v>
      </c>
      <c r="J97" s="131" t="s">
        <v>281</v>
      </c>
      <c r="K97" s="14" t="s">
        <v>56</v>
      </c>
      <c r="L97" s="132" t="s">
        <v>108</v>
      </c>
      <c r="M97" s="17" t="s">
        <v>282</v>
      </c>
      <c r="N97" s="132" t="b">
        <v>0</v>
      </c>
      <c r="O97" s="132" t="b">
        <v>0</v>
      </c>
      <c r="P97" s="132" t="b">
        <v>1</v>
      </c>
      <c r="Q97" s="132" t="b">
        <v>0</v>
      </c>
      <c r="R97" s="17" t="b">
        <v>0</v>
      </c>
      <c r="S97" s="132" t="b">
        <v>1</v>
      </c>
    </row>
    <row r="98" spans="1:19" x14ac:dyDescent="0.35">
      <c r="A98" s="2">
        <f t="shared" si="5"/>
        <v>91</v>
      </c>
      <c r="B98" s="11" t="s">
        <v>243</v>
      </c>
      <c r="C98" s="14" t="str">
        <f t="shared" si="4"/>
        <v>CSP_VarOM-1</v>
      </c>
      <c r="D98" s="14" t="s">
        <v>248</v>
      </c>
      <c r="E98" s="14" t="s">
        <v>67</v>
      </c>
      <c r="F98" s="14" t="s">
        <v>69</v>
      </c>
      <c r="G98" s="14" t="s">
        <v>227</v>
      </c>
      <c r="H98" s="75">
        <v>2020</v>
      </c>
      <c r="I98" s="14" t="s">
        <v>248</v>
      </c>
      <c r="J98" s="131" t="s">
        <v>281</v>
      </c>
      <c r="K98" s="14" t="s">
        <v>56</v>
      </c>
      <c r="L98" s="132" t="s">
        <v>108</v>
      </c>
      <c r="M98" s="17" t="s">
        <v>282</v>
      </c>
      <c r="N98" s="132" t="b">
        <v>0</v>
      </c>
      <c r="O98" s="132" t="b">
        <v>0</v>
      </c>
      <c r="P98" s="132" t="b">
        <v>1</v>
      </c>
      <c r="Q98" s="132" t="b">
        <v>0</v>
      </c>
      <c r="R98" s="17" t="b">
        <v>0</v>
      </c>
      <c r="S98" s="132" t="b">
        <v>1</v>
      </c>
    </row>
    <row r="99" spans="1:19" x14ac:dyDescent="0.35">
      <c r="A99" s="2">
        <f t="shared" si="5"/>
        <v>92</v>
      </c>
      <c r="B99" s="11" t="s">
        <v>244</v>
      </c>
      <c r="C99" s="14" t="str">
        <f t="shared" si="4"/>
        <v>CSP_VarOM-0</v>
      </c>
      <c r="D99" s="14" t="s">
        <v>248</v>
      </c>
      <c r="E99" s="14" t="s">
        <v>67</v>
      </c>
      <c r="F99" s="14" t="s">
        <v>69</v>
      </c>
      <c r="G99" s="14" t="s">
        <v>227</v>
      </c>
      <c r="H99" s="75">
        <v>2020</v>
      </c>
      <c r="I99" s="14" t="s">
        <v>248</v>
      </c>
      <c r="J99" s="131" t="s">
        <v>281</v>
      </c>
      <c r="K99" s="14" t="s">
        <v>56</v>
      </c>
      <c r="L99" s="132" t="s">
        <v>108</v>
      </c>
      <c r="M99" s="17" t="s">
        <v>282</v>
      </c>
      <c r="N99" s="132" t="b">
        <v>0</v>
      </c>
      <c r="O99" s="132" t="b">
        <v>0</v>
      </c>
      <c r="P99" s="132" t="b">
        <v>1</v>
      </c>
      <c r="Q99" s="132" t="b">
        <v>0</v>
      </c>
      <c r="R99" s="17" t="b">
        <v>0</v>
      </c>
      <c r="S99" s="132" t="b">
        <v>1</v>
      </c>
    </row>
    <row r="100" spans="1:19" x14ac:dyDescent="0.35">
      <c r="A100" s="2">
        <f t="shared" si="5"/>
        <v>93</v>
      </c>
      <c r="B100" s="129" t="s">
        <v>259</v>
      </c>
      <c r="C100" s="75" t="s">
        <v>156</v>
      </c>
      <c r="D100" s="14" t="s">
        <v>248</v>
      </c>
      <c r="E100" s="14" t="s">
        <v>67</v>
      </c>
      <c r="F100" s="14" t="s">
        <v>69</v>
      </c>
      <c r="G100" s="14" t="s">
        <v>227</v>
      </c>
      <c r="H100" s="75">
        <v>2020</v>
      </c>
      <c r="I100" s="14" t="s">
        <v>248</v>
      </c>
      <c r="J100" s="131" t="s">
        <v>281</v>
      </c>
      <c r="K100" s="14" t="s">
        <v>48</v>
      </c>
      <c r="L100" s="132" t="s">
        <v>108</v>
      </c>
      <c r="M100" s="17" t="s">
        <v>282</v>
      </c>
      <c r="N100" s="132" t="b">
        <v>0</v>
      </c>
      <c r="O100" s="132" t="b">
        <v>0</v>
      </c>
      <c r="P100" s="132" t="b">
        <v>1</v>
      </c>
      <c r="Q100" s="132" t="b">
        <v>0</v>
      </c>
      <c r="R100" s="17" t="b">
        <v>0</v>
      </c>
      <c r="S100" s="132" t="b">
        <v>1</v>
      </c>
    </row>
    <row r="101" spans="1:19" x14ac:dyDescent="0.35">
      <c r="A101" s="2">
        <f t="shared" si="5"/>
        <v>94</v>
      </c>
      <c r="B101" s="129" t="s">
        <v>260</v>
      </c>
      <c r="C101" s="75" t="s">
        <v>157</v>
      </c>
      <c r="D101" s="14" t="s">
        <v>248</v>
      </c>
      <c r="E101" s="14" t="s">
        <v>67</v>
      </c>
      <c r="F101" s="14" t="s">
        <v>69</v>
      </c>
      <c r="G101" s="14" t="s">
        <v>227</v>
      </c>
      <c r="H101" s="75">
        <v>2020</v>
      </c>
      <c r="I101" s="14" t="s">
        <v>248</v>
      </c>
      <c r="J101" s="131" t="s">
        <v>281</v>
      </c>
      <c r="K101" s="14" t="s">
        <v>48</v>
      </c>
      <c r="L101" s="132" t="s">
        <v>108</v>
      </c>
      <c r="M101" s="17" t="s">
        <v>282</v>
      </c>
      <c r="N101" s="132" t="b">
        <v>0</v>
      </c>
      <c r="O101" s="132" t="b">
        <v>0</v>
      </c>
      <c r="P101" s="132" t="b">
        <v>1</v>
      </c>
      <c r="Q101" s="132" t="b">
        <v>0</v>
      </c>
      <c r="R101" s="17" t="b">
        <v>0</v>
      </c>
      <c r="S101" s="132" t="b">
        <v>1</v>
      </c>
    </row>
    <row r="102" spans="1:19" x14ac:dyDescent="0.35">
      <c r="A102" s="2">
        <f t="shared" si="5"/>
        <v>95</v>
      </c>
      <c r="B102" s="129" t="s">
        <v>261</v>
      </c>
      <c r="C102" s="75" t="s">
        <v>158</v>
      </c>
      <c r="D102" s="14" t="s">
        <v>248</v>
      </c>
      <c r="E102" s="14" t="s">
        <v>67</v>
      </c>
      <c r="F102" s="14" t="s">
        <v>69</v>
      </c>
      <c r="G102" s="14" t="s">
        <v>227</v>
      </c>
      <c r="H102" s="75">
        <v>2020</v>
      </c>
      <c r="I102" s="14" t="s">
        <v>248</v>
      </c>
      <c r="J102" s="131" t="s">
        <v>281</v>
      </c>
      <c r="K102" s="14" t="s">
        <v>48</v>
      </c>
      <c r="L102" s="132" t="s">
        <v>108</v>
      </c>
      <c r="M102" s="17" t="s">
        <v>282</v>
      </c>
      <c r="N102" s="132" t="b">
        <v>0</v>
      </c>
      <c r="O102" s="132" t="b">
        <v>0</v>
      </c>
      <c r="P102" s="132" t="b">
        <v>1</v>
      </c>
      <c r="Q102" s="132" t="b">
        <v>0</v>
      </c>
      <c r="R102" s="17" t="b">
        <v>0</v>
      </c>
      <c r="S102" s="132" t="b">
        <v>1</v>
      </c>
    </row>
    <row r="103" spans="1:19" x14ac:dyDescent="0.35">
      <c r="A103" s="2">
        <f t="shared" si="5"/>
        <v>96</v>
      </c>
      <c r="B103" s="129" t="s">
        <v>262</v>
      </c>
      <c r="C103" s="75" t="s">
        <v>159</v>
      </c>
      <c r="D103" s="14" t="s">
        <v>248</v>
      </c>
      <c r="E103" s="14" t="s">
        <v>67</v>
      </c>
      <c r="F103" s="14" t="s">
        <v>69</v>
      </c>
      <c r="G103" s="14" t="s">
        <v>227</v>
      </c>
      <c r="H103" s="75">
        <v>2020</v>
      </c>
      <c r="I103" s="14" t="s">
        <v>248</v>
      </c>
      <c r="J103" s="131" t="s">
        <v>281</v>
      </c>
      <c r="K103" s="14" t="s">
        <v>48</v>
      </c>
      <c r="L103" s="132" t="s">
        <v>108</v>
      </c>
      <c r="M103" s="17" t="s">
        <v>282</v>
      </c>
      <c r="N103" s="132" t="b">
        <v>0</v>
      </c>
      <c r="O103" s="132" t="b">
        <v>0</v>
      </c>
      <c r="P103" s="132" t="b">
        <v>1</v>
      </c>
      <c r="Q103" s="132" t="b">
        <v>0</v>
      </c>
      <c r="R103" s="17" t="b">
        <v>0</v>
      </c>
      <c r="S103" s="132" t="b">
        <v>1</v>
      </c>
    </row>
    <row r="104" spans="1:19" x14ac:dyDescent="0.35">
      <c r="A104" s="2">
        <f t="shared" si="5"/>
        <v>97</v>
      </c>
      <c r="B104" s="129" t="s">
        <v>263</v>
      </c>
      <c r="C104" s="75" t="s">
        <v>160</v>
      </c>
      <c r="D104" s="14" t="s">
        <v>248</v>
      </c>
      <c r="E104" s="14" t="s">
        <v>67</v>
      </c>
      <c r="F104" s="14" t="s">
        <v>69</v>
      </c>
      <c r="G104" s="14" t="s">
        <v>227</v>
      </c>
      <c r="H104" s="75">
        <v>2020</v>
      </c>
      <c r="I104" s="14" t="s">
        <v>248</v>
      </c>
      <c r="J104" s="131" t="s">
        <v>281</v>
      </c>
      <c r="K104" s="14" t="s">
        <v>48</v>
      </c>
      <c r="L104" s="132" t="s">
        <v>108</v>
      </c>
      <c r="M104" s="17" t="s">
        <v>282</v>
      </c>
      <c r="N104" s="132" t="b">
        <v>0</v>
      </c>
      <c r="O104" s="132" t="b">
        <v>0</v>
      </c>
      <c r="P104" s="132" t="b">
        <v>1</v>
      </c>
      <c r="Q104" s="132" t="b">
        <v>0</v>
      </c>
      <c r="R104" s="17" t="b">
        <v>0</v>
      </c>
      <c r="S104" s="132" t="b">
        <v>1</v>
      </c>
    </row>
    <row r="105" spans="1:19" x14ac:dyDescent="0.35">
      <c r="A105" s="2">
        <f>ROW(A105)-ROW($A$7)</f>
        <v>98</v>
      </c>
      <c r="B105" s="11" t="s">
        <v>264</v>
      </c>
      <c r="C105" s="14" t="s">
        <v>155</v>
      </c>
      <c r="D105" s="14" t="s">
        <v>248</v>
      </c>
      <c r="E105" s="14" t="s">
        <v>67</v>
      </c>
      <c r="F105" s="14" t="s">
        <v>69</v>
      </c>
      <c r="G105" s="14" t="s">
        <v>227</v>
      </c>
      <c r="H105" s="75">
        <v>2020</v>
      </c>
      <c r="I105" s="14" t="s">
        <v>248</v>
      </c>
      <c r="J105" s="131" t="s">
        <v>281</v>
      </c>
      <c r="K105" s="14" t="s">
        <v>48</v>
      </c>
      <c r="L105" s="132" t="s">
        <v>108</v>
      </c>
      <c r="M105" s="17" t="s">
        <v>282</v>
      </c>
      <c r="N105" s="132" t="b">
        <v>0</v>
      </c>
      <c r="O105" s="132" t="b">
        <v>0</v>
      </c>
      <c r="P105" s="132" t="b">
        <v>1</v>
      </c>
      <c r="Q105" s="132" t="b">
        <v>0</v>
      </c>
      <c r="R105" s="17" t="b">
        <v>0</v>
      </c>
      <c r="S105" s="132" t="b">
        <v>1</v>
      </c>
    </row>
    <row r="106" spans="1:19" x14ac:dyDescent="0.35">
      <c r="A106" s="2">
        <f>ROW(A106)-ROW($A$7)</f>
        <v>99</v>
      </c>
      <c r="B106" s="11" t="s">
        <v>265</v>
      </c>
      <c r="C106" s="14" t="s">
        <v>154</v>
      </c>
      <c r="D106" s="14" t="s">
        <v>248</v>
      </c>
      <c r="E106" s="14" t="s">
        <v>67</v>
      </c>
      <c r="F106" s="14" t="s">
        <v>69</v>
      </c>
      <c r="G106" s="14" t="s">
        <v>227</v>
      </c>
      <c r="H106" s="75">
        <v>2020</v>
      </c>
      <c r="I106" s="14" t="s">
        <v>248</v>
      </c>
      <c r="J106" s="131" t="s">
        <v>281</v>
      </c>
      <c r="K106" s="14" t="s">
        <v>48</v>
      </c>
      <c r="L106" s="132" t="s">
        <v>108</v>
      </c>
      <c r="M106" s="17" t="s">
        <v>282</v>
      </c>
      <c r="N106" s="132" t="b">
        <v>0</v>
      </c>
      <c r="O106" s="132" t="b">
        <v>0</v>
      </c>
      <c r="P106" s="132" t="b">
        <v>1</v>
      </c>
      <c r="Q106" s="132" t="b">
        <v>0</v>
      </c>
      <c r="R106" s="17" t="b">
        <v>0</v>
      </c>
      <c r="S106" s="132" t="b">
        <v>1</v>
      </c>
    </row>
    <row r="107" spans="1:19" x14ac:dyDescent="0.35">
      <c r="A107" s="2">
        <f t="shared" si="5"/>
        <v>100</v>
      </c>
      <c r="B107" s="11" t="s">
        <v>266</v>
      </c>
      <c r="C107" s="14" t="s">
        <v>153</v>
      </c>
      <c r="D107" s="14" t="s">
        <v>248</v>
      </c>
      <c r="E107" s="14" t="s">
        <v>67</v>
      </c>
      <c r="F107" s="14" t="s">
        <v>69</v>
      </c>
      <c r="G107" s="14" t="s">
        <v>227</v>
      </c>
      <c r="H107" s="75">
        <v>2020</v>
      </c>
      <c r="I107" s="14" t="s">
        <v>248</v>
      </c>
      <c r="J107" s="131" t="s">
        <v>281</v>
      </c>
      <c r="K107" s="14" t="s">
        <v>48</v>
      </c>
      <c r="L107" s="132" t="s">
        <v>108</v>
      </c>
      <c r="M107" s="17" t="s">
        <v>282</v>
      </c>
      <c r="N107" s="132" t="b">
        <v>0</v>
      </c>
      <c r="O107" s="132" t="b">
        <v>0</v>
      </c>
      <c r="P107" s="132" t="b">
        <v>1</v>
      </c>
      <c r="Q107" s="132" t="b">
        <v>0</v>
      </c>
      <c r="R107" s="17" t="b">
        <v>0</v>
      </c>
      <c r="S107" s="132" t="b">
        <v>1</v>
      </c>
    </row>
    <row r="108" spans="1:19" x14ac:dyDescent="0.35">
      <c r="A108" s="2">
        <f t="shared" si="5"/>
        <v>101</v>
      </c>
      <c r="B108" s="11" t="s">
        <v>267</v>
      </c>
      <c r="C108" s="14" t="s">
        <v>232</v>
      </c>
      <c r="D108" s="14" t="s">
        <v>248</v>
      </c>
      <c r="E108" s="14" t="s">
        <v>67</v>
      </c>
      <c r="F108" s="14" t="s">
        <v>69</v>
      </c>
      <c r="G108" s="14" t="s">
        <v>227</v>
      </c>
      <c r="H108" s="75">
        <v>2020</v>
      </c>
      <c r="I108" s="14" t="s">
        <v>248</v>
      </c>
      <c r="J108" s="131" t="s">
        <v>281</v>
      </c>
      <c r="K108" s="14" t="s">
        <v>48</v>
      </c>
      <c r="L108" s="132" t="s">
        <v>108</v>
      </c>
      <c r="M108" s="17" t="s">
        <v>282</v>
      </c>
      <c r="N108" s="132" t="b">
        <v>0</v>
      </c>
      <c r="O108" s="132" t="b">
        <v>0</v>
      </c>
      <c r="P108" s="132" t="b">
        <v>1</v>
      </c>
      <c r="Q108" s="132" t="b">
        <v>0</v>
      </c>
      <c r="R108" s="17" t="b">
        <v>0</v>
      </c>
      <c r="S108" s="132" t="b">
        <v>1</v>
      </c>
    </row>
    <row r="109" spans="1:19" x14ac:dyDescent="0.35">
      <c r="A109" s="2">
        <f t="shared" si="5"/>
        <v>102</v>
      </c>
      <c r="B109" s="11" t="s">
        <v>268</v>
      </c>
      <c r="C109" s="14" t="s">
        <v>231</v>
      </c>
      <c r="D109" s="14" t="s">
        <v>248</v>
      </c>
      <c r="E109" s="14" t="s">
        <v>67</v>
      </c>
      <c r="F109" s="14" t="s">
        <v>69</v>
      </c>
      <c r="G109" s="14" t="s">
        <v>227</v>
      </c>
      <c r="H109" s="75">
        <v>2020</v>
      </c>
      <c r="I109" s="14" t="s">
        <v>248</v>
      </c>
      <c r="J109" s="131" t="s">
        <v>281</v>
      </c>
      <c r="K109" s="14" t="s">
        <v>48</v>
      </c>
      <c r="L109" s="132" t="s">
        <v>108</v>
      </c>
      <c r="M109" s="17" t="s">
        <v>282</v>
      </c>
      <c r="N109" s="132" t="b">
        <v>0</v>
      </c>
      <c r="O109" s="132" t="b">
        <v>0</v>
      </c>
      <c r="P109" s="132" t="b">
        <v>1</v>
      </c>
      <c r="Q109" s="132" t="b">
        <v>0</v>
      </c>
      <c r="R109" s="17" t="b">
        <v>0</v>
      </c>
      <c r="S109" s="132" t="b">
        <v>1</v>
      </c>
    </row>
    <row r="110" spans="1:19" x14ac:dyDescent="0.35">
      <c r="A110" s="2">
        <f>ROW(A110)-ROW($A$7)</f>
        <v>103</v>
      </c>
      <c r="B110" s="11" t="s">
        <v>269</v>
      </c>
      <c r="C110" s="14" t="s">
        <v>245</v>
      </c>
      <c r="D110" s="14" t="s">
        <v>248</v>
      </c>
      <c r="E110" s="14" t="s">
        <v>67</v>
      </c>
      <c r="F110" s="14" t="s">
        <v>69</v>
      </c>
      <c r="G110" s="14" t="s">
        <v>227</v>
      </c>
      <c r="H110" s="75">
        <v>2020</v>
      </c>
      <c r="I110" s="14" t="s">
        <v>248</v>
      </c>
      <c r="J110" s="131" t="s">
        <v>281</v>
      </c>
      <c r="K110" s="14" t="s">
        <v>48</v>
      </c>
      <c r="L110" s="132" t="s">
        <v>108</v>
      </c>
      <c r="M110" s="17" t="s">
        <v>282</v>
      </c>
      <c r="N110" s="132" t="b">
        <v>0</v>
      </c>
      <c r="O110" s="132" t="b">
        <v>0</v>
      </c>
      <c r="P110" s="132" t="b">
        <v>1</v>
      </c>
      <c r="Q110" s="132" t="b">
        <v>0</v>
      </c>
      <c r="R110" s="17" t="b">
        <v>0</v>
      </c>
      <c r="S110" s="132" t="b">
        <v>1</v>
      </c>
    </row>
    <row r="111" spans="1:19" x14ac:dyDescent="0.35">
      <c r="A111" s="2">
        <f t="shared" si="5"/>
        <v>104</v>
      </c>
      <c r="B111" s="129" t="s">
        <v>270</v>
      </c>
      <c r="C111" s="75" t="s">
        <v>156</v>
      </c>
      <c r="D111" s="14" t="s">
        <v>248</v>
      </c>
      <c r="E111" s="14" t="s">
        <v>67</v>
      </c>
      <c r="F111" s="14" t="s">
        <v>69</v>
      </c>
      <c r="G111" s="14" t="s">
        <v>227</v>
      </c>
      <c r="H111" s="75">
        <v>2020</v>
      </c>
      <c r="I111" s="14" t="s">
        <v>248</v>
      </c>
      <c r="J111" s="131" t="s">
        <v>281</v>
      </c>
      <c r="K111" s="14" t="s">
        <v>48</v>
      </c>
      <c r="L111" s="132" t="s">
        <v>108</v>
      </c>
      <c r="M111" s="17" t="s">
        <v>282</v>
      </c>
      <c r="N111" s="132" t="b">
        <v>0</v>
      </c>
      <c r="O111" s="132" t="b">
        <v>0</v>
      </c>
      <c r="P111" s="132" t="b">
        <v>1</v>
      </c>
      <c r="Q111" s="132" t="b">
        <v>0</v>
      </c>
      <c r="R111" s="17" t="b">
        <v>0</v>
      </c>
      <c r="S111" s="132" t="b">
        <v>1</v>
      </c>
    </row>
    <row r="112" spans="1:19" x14ac:dyDescent="0.35">
      <c r="A112" s="2">
        <f t="shared" si="5"/>
        <v>105</v>
      </c>
      <c r="B112" s="129" t="s">
        <v>271</v>
      </c>
      <c r="C112" s="75" t="s">
        <v>157</v>
      </c>
      <c r="D112" s="14" t="s">
        <v>248</v>
      </c>
      <c r="E112" s="14" t="s">
        <v>67</v>
      </c>
      <c r="F112" s="14" t="s">
        <v>69</v>
      </c>
      <c r="G112" s="14" t="s">
        <v>227</v>
      </c>
      <c r="H112" s="75">
        <v>2020</v>
      </c>
      <c r="I112" s="14" t="s">
        <v>248</v>
      </c>
      <c r="J112" s="131" t="s">
        <v>281</v>
      </c>
      <c r="K112" s="14" t="s">
        <v>48</v>
      </c>
      <c r="L112" s="132" t="s">
        <v>108</v>
      </c>
      <c r="M112" s="17" t="s">
        <v>282</v>
      </c>
      <c r="N112" s="132" t="b">
        <v>0</v>
      </c>
      <c r="O112" s="132" t="b">
        <v>0</v>
      </c>
      <c r="P112" s="132" t="b">
        <v>1</v>
      </c>
      <c r="Q112" s="132" t="b">
        <v>0</v>
      </c>
      <c r="R112" s="17" t="b">
        <v>0</v>
      </c>
      <c r="S112" s="132" t="b">
        <v>1</v>
      </c>
    </row>
    <row r="113" spans="1:19" x14ac:dyDescent="0.35">
      <c r="A113" s="2">
        <f t="shared" si="5"/>
        <v>106</v>
      </c>
      <c r="B113" s="129" t="s">
        <v>272</v>
      </c>
      <c r="C113" s="75" t="s">
        <v>158</v>
      </c>
      <c r="D113" s="14" t="s">
        <v>248</v>
      </c>
      <c r="E113" s="14" t="s">
        <v>67</v>
      </c>
      <c r="F113" s="14" t="s">
        <v>69</v>
      </c>
      <c r="G113" s="14" t="s">
        <v>227</v>
      </c>
      <c r="H113" s="75">
        <v>2020</v>
      </c>
      <c r="I113" s="14" t="s">
        <v>248</v>
      </c>
      <c r="J113" s="131" t="s">
        <v>281</v>
      </c>
      <c r="K113" s="14" t="s">
        <v>48</v>
      </c>
      <c r="L113" s="132" t="s">
        <v>108</v>
      </c>
      <c r="M113" s="17" t="s">
        <v>282</v>
      </c>
      <c r="N113" s="132" t="b">
        <v>0</v>
      </c>
      <c r="O113" s="132" t="b">
        <v>0</v>
      </c>
      <c r="P113" s="132" t="b">
        <v>1</v>
      </c>
      <c r="Q113" s="132" t="b">
        <v>0</v>
      </c>
      <c r="R113" s="17" t="b">
        <v>0</v>
      </c>
      <c r="S113" s="132" t="b">
        <v>1</v>
      </c>
    </row>
    <row r="114" spans="1:19" x14ac:dyDescent="0.35">
      <c r="A114" s="2">
        <f t="shared" si="5"/>
        <v>107</v>
      </c>
      <c r="B114" s="129" t="s">
        <v>273</v>
      </c>
      <c r="C114" s="75" t="s">
        <v>159</v>
      </c>
      <c r="D114" s="14" t="s">
        <v>248</v>
      </c>
      <c r="E114" s="14" t="s">
        <v>67</v>
      </c>
      <c r="F114" s="14" t="s">
        <v>69</v>
      </c>
      <c r="G114" s="14" t="s">
        <v>227</v>
      </c>
      <c r="H114" s="75">
        <v>2020</v>
      </c>
      <c r="I114" s="14" t="s">
        <v>248</v>
      </c>
      <c r="J114" s="131" t="s">
        <v>281</v>
      </c>
      <c r="K114" s="14" t="s">
        <v>48</v>
      </c>
      <c r="L114" s="132" t="s">
        <v>108</v>
      </c>
      <c r="M114" s="17" t="s">
        <v>282</v>
      </c>
      <c r="N114" s="132" t="b">
        <v>0</v>
      </c>
      <c r="O114" s="132" t="b">
        <v>0</v>
      </c>
      <c r="P114" s="132" t="b">
        <v>1</v>
      </c>
      <c r="Q114" s="132" t="b">
        <v>0</v>
      </c>
      <c r="R114" s="17" t="b">
        <v>0</v>
      </c>
      <c r="S114" s="132" t="b">
        <v>1</v>
      </c>
    </row>
    <row r="115" spans="1:19" x14ac:dyDescent="0.35">
      <c r="A115" s="2">
        <f t="shared" si="5"/>
        <v>108</v>
      </c>
      <c r="B115" s="129" t="s">
        <v>274</v>
      </c>
      <c r="C115" s="75" t="s">
        <v>160</v>
      </c>
      <c r="D115" s="14" t="s">
        <v>248</v>
      </c>
      <c r="E115" s="14" t="s">
        <v>67</v>
      </c>
      <c r="F115" s="14" t="s">
        <v>69</v>
      </c>
      <c r="G115" s="14" t="s">
        <v>227</v>
      </c>
      <c r="H115" s="75">
        <v>2020</v>
      </c>
      <c r="I115" s="14" t="s">
        <v>248</v>
      </c>
      <c r="J115" s="131" t="s">
        <v>281</v>
      </c>
      <c r="K115" s="14" t="s">
        <v>48</v>
      </c>
      <c r="L115" s="132" t="s">
        <v>108</v>
      </c>
      <c r="M115" s="17" t="s">
        <v>282</v>
      </c>
      <c r="N115" s="132" t="b">
        <v>0</v>
      </c>
      <c r="O115" s="132" t="b">
        <v>0</v>
      </c>
      <c r="P115" s="132" t="b">
        <v>1</v>
      </c>
      <c r="Q115" s="132" t="b">
        <v>0</v>
      </c>
      <c r="R115" s="17" t="b">
        <v>0</v>
      </c>
      <c r="S115" s="132" t="b">
        <v>1</v>
      </c>
    </row>
    <row r="116" spans="1:19" x14ac:dyDescent="0.35">
      <c r="A116" s="2">
        <f>ROW(A116)-ROW($A$7)</f>
        <v>109</v>
      </c>
      <c r="B116" s="11" t="s">
        <v>275</v>
      </c>
      <c r="C116" s="14" t="s">
        <v>155</v>
      </c>
      <c r="D116" s="14" t="s">
        <v>248</v>
      </c>
      <c r="E116" s="14" t="s">
        <v>67</v>
      </c>
      <c r="F116" s="14" t="s">
        <v>69</v>
      </c>
      <c r="G116" s="14" t="s">
        <v>227</v>
      </c>
      <c r="H116" s="75">
        <v>2020</v>
      </c>
      <c r="I116" s="14" t="s">
        <v>248</v>
      </c>
      <c r="J116" s="131" t="s">
        <v>281</v>
      </c>
      <c r="K116" s="14" t="s">
        <v>48</v>
      </c>
      <c r="L116" s="132" t="s">
        <v>108</v>
      </c>
      <c r="M116" s="17" t="s">
        <v>282</v>
      </c>
      <c r="N116" s="132" t="b">
        <v>0</v>
      </c>
      <c r="O116" s="132" t="b">
        <v>0</v>
      </c>
      <c r="P116" s="132" t="b">
        <v>1</v>
      </c>
      <c r="Q116" s="132" t="b">
        <v>0</v>
      </c>
      <c r="R116" s="17" t="b">
        <v>0</v>
      </c>
      <c r="S116" s="132" t="b">
        <v>1</v>
      </c>
    </row>
    <row r="117" spans="1:19" x14ac:dyDescent="0.35">
      <c r="A117" s="2">
        <f>ROW(A117)-ROW($A$7)</f>
        <v>110</v>
      </c>
      <c r="B117" s="11" t="s">
        <v>276</v>
      </c>
      <c r="C117" s="14" t="s">
        <v>154</v>
      </c>
      <c r="D117" s="14" t="s">
        <v>248</v>
      </c>
      <c r="E117" s="14" t="s">
        <v>67</v>
      </c>
      <c r="F117" s="14" t="s">
        <v>69</v>
      </c>
      <c r="G117" s="14" t="s">
        <v>227</v>
      </c>
      <c r="H117" s="75">
        <v>2020</v>
      </c>
      <c r="I117" s="14" t="s">
        <v>248</v>
      </c>
      <c r="J117" s="131" t="s">
        <v>281</v>
      </c>
      <c r="K117" s="14" t="s">
        <v>48</v>
      </c>
      <c r="L117" s="132" t="s">
        <v>108</v>
      </c>
      <c r="M117" s="17" t="s">
        <v>282</v>
      </c>
      <c r="N117" s="132" t="b">
        <v>0</v>
      </c>
      <c r="O117" s="132" t="b">
        <v>0</v>
      </c>
      <c r="P117" s="132" t="b">
        <v>1</v>
      </c>
      <c r="Q117" s="132" t="b">
        <v>0</v>
      </c>
      <c r="R117" s="17" t="b">
        <v>0</v>
      </c>
      <c r="S117" s="132" t="b">
        <v>1</v>
      </c>
    </row>
    <row r="118" spans="1:19" x14ac:dyDescent="0.35">
      <c r="A118" s="2">
        <f t="shared" ref="A118:A120" si="6">ROW(A118)-ROW($A$7)</f>
        <v>111</v>
      </c>
      <c r="B118" s="11" t="s">
        <v>277</v>
      </c>
      <c r="C118" s="14" t="s">
        <v>153</v>
      </c>
      <c r="D118" s="14" t="s">
        <v>248</v>
      </c>
      <c r="E118" s="14" t="s">
        <v>67</v>
      </c>
      <c r="F118" s="14" t="s">
        <v>69</v>
      </c>
      <c r="G118" s="14" t="s">
        <v>227</v>
      </c>
      <c r="H118" s="75">
        <v>2020</v>
      </c>
      <c r="I118" s="14" t="s">
        <v>248</v>
      </c>
      <c r="J118" s="131" t="s">
        <v>281</v>
      </c>
      <c r="K118" s="14" t="s">
        <v>48</v>
      </c>
      <c r="L118" s="132" t="s">
        <v>108</v>
      </c>
      <c r="M118" s="17" t="s">
        <v>282</v>
      </c>
      <c r="N118" s="132" t="b">
        <v>0</v>
      </c>
      <c r="O118" s="132" t="b">
        <v>0</v>
      </c>
      <c r="P118" s="132" t="b">
        <v>1</v>
      </c>
      <c r="Q118" s="132" t="b">
        <v>0</v>
      </c>
      <c r="R118" s="17" t="b">
        <v>0</v>
      </c>
      <c r="S118" s="132" t="b">
        <v>1</v>
      </c>
    </row>
    <row r="119" spans="1:19" x14ac:dyDescent="0.35">
      <c r="A119" s="2">
        <f t="shared" si="6"/>
        <v>112</v>
      </c>
      <c r="B119" s="11" t="s">
        <v>278</v>
      </c>
      <c r="C119" s="14" t="s">
        <v>232</v>
      </c>
      <c r="D119" s="14" t="s">
        <v>248</v>
      </c>
      <c r="E119" s="14" t="s">
        <v>67</v>
      </c>
      <c r="F119" s="14" t="s">
        <v>69</v>
      </c>
      <c r="G119" s="14" t="s">
        <v>227</v>
      </c>
      <c r="H119" s="75">
        <v>2020</v>
      </c>
      <c r="I119" s="14" t="s">
        <v>248</v>
      </c>
      <c r="J119" s="131" t="s">
        <v>281</v>
      </c>
      <c r="K119" s="14" t="s">
        <v>48</v>
      </c>
      <c r="L119" s="132" t="s">
        <v>108</v>
      </c>
      <c r="M119" s="17" t="s">
        <v>282</v>
      </c>
      <c r="N119" s="132" t="b">
        <v>0</v>
      </c>
      <c r="O119" s="132" t="b">
        <v>0</v>
      </c>
      <c r="P119" s="132" t="b">
        <v>1</v>
      </c>
      <c r="Q119" s="132" t="b">
        <v>0</v>
      </c>
      <c r="R119" s="17" t="b">
        <v>0</v>
      </c>
      <c r="S119" s="132" t="b">
        <v>1</v>
      </c>
    </row>
    <row r="120" spans="1:19" x14ac:dyDescent="0.35">
      <c r="A120" s="2">
        <f t="shared" si="6"/>
        <v>113</v>
      </c>
      <c r="B120" s="11" t="s">
        <v>279</v>
      </c>
      <c r="C120" s="14" t="s">
        <v>231</v>
      </c>
      <c r="D120" s="14" t="s">
        <v>248</v>
      </c>
      <c r="E120" s="14" t="s">
        <v>67</v>
      </c>
      <c r="F120" s="14" t="s">
        <v>69</v>
      </c>
      <c r="G120" s="14" t="s">
        <v>227</v>
      </c>
      <c r="H120" s="75">
        <v>2020</v>
      </c>
      <c r="I120" s="14" t="s">
        <v>248</v>
      </c>
      <c r="J120" s="131" t="s">
        <v>281</v>
      </c>
      <c r="K120" s="14" t="s">
        <v>48</v>
      </c>
      <c r="L120" s="132" t="s">
        <v>108</v>
      </c>
      <c r="M120" s="17" t="s">
        <v>282</v>
      </c>
      <c r="N120" s="132" t="b">
        <v>0</v>
      </c>
      <c r="O120" s="132" t="b">
        <v>0</v>
      </c>
      <c r="P120" s="132" t="b">
        <v>1</v>
      </c>
      <c r="Q120" s="132" t="b">
        <v>0</v>
      </c>
      <c r="R120" s="17" t="b">
        <v>0</v>
      </c>
      <c r="S120" s="132" t="b">
        <v>1</v>
      </c>
    </row>
    <row r="121" spans="1:19" x14ac:dyDescent="0.35">
      <c r="A121" s="2">
        <f>ROW(A121)-ROW($A$7)</f>
        <v>114</v>
      </c>
      <c r="B121" s="11" t="s">
        <v>280</v>
      </c>
      <c r="C121" s="14" t="s">
        <v>245</v>
      </c>
      <c r="D121" s="14" t="s">
        <v>248</v>
      </c>
      <c r="E121" s="14" t="s">
        <v>67</v>
      </c>
      <c r="F121" s="14" t="s">
        <v>69</v>
      </c>
      <c r="G121" s="14" t="s">
        <v>227</v>
      </c>
      <c r="H121" s="75">
        <v>2020</v>
      </c>
      <c r="I121" s="14" t="s">
        <v>248</v>
      </c>
      <c r="J121" s="131" t="s">
        <v>281</v>
      </c>
      <c r="K121" s="14" t="s">
        <v>48</v>
      </c>
      <c r="L121" s="132" t="s">
        <v>108</v>
      </c>
      <c r="M121" s="17" t="s">
        <v>282</v>
      </c>
      <c r="N121" s="132" t="b">
        <v>0</v>
      </c>
      <c r="O121" s="132" t="b">
        <v>0</v>
      </c>
      <c r="P121" s="132" t="b">
        <v>1</v>
      </c>
      <c r="Q121" s="132" t="b">
        <v>0</v>
      </c>
      <c r="R121" s="17" t="b">
        <v>0</v>
      </c>
      <c r="S121" s="132" t="b">
        <v>1</v>
      </c>
    </row>
    <row r="122" spans="1:19" x14ac:dyDescent="0.35">
      <c r="A122" s="2">
        <f t="shared" ref="A122" si="7">ROW(A122)-ROW($A$7)</f>
        <v>115</v>
      </c>
      <c r="B122" s="11" t="s">
        <v>233</v>
      </c>
      <c r="C122" s="14" t="str">
        <f t="shared" ref="C122" si="8">B122</f>
        <v>MinLoadNH3_0%</v>
      </c>
      <c r="D122" s="14" t="s">
        <v>248</v>
      </c>
      <c r="E122" s="14" t="s">
        <v>67</v>
      </c>
      <c r="F122" s="14" t="s">
        <v>69</v>
      </c>
      <c r="G122" s="14" t="s">
        <v>227</v>
      </c>
      <c r="H122" s="75">
        <v>2020</v>
      </c>
      <c r="I122" s="14" t="s">
        <v>248</v>
      </c>
      <c r="J122" s="131" t="s">
        <v>281</v>
      </c>
      <c r="K122" s="14" t="s">
        <v>48</v>
      </c>
      <c r="L122" s="132" t="s">
        <v>108</v>
      </c>
      <c r="M122" s="17" t="s">
        <v>282</v>
      </c>
      <c r="N122" s="132" t="b">
        <v>0</v>
      </c>
      <c r="O122" s="132" t="b">
        <v>0</v>
      </c>
      <c r="P122" s="132" t="b">
        <v>1</v>
      </c>
      <c r="Q122" s="132" t="b">
        <v>0</v>
      </c>
      <c r="R122" s="17" t="b">
        <v>0</v>
      </c>
      <c r="S122" s="132" t="b">
        <v>1</v>
      </c>
    </row>
  </sheetData>
  <mergeCells count="5">
    <mergeCell ref="B1:M1"/>
    <mergeCell ref="I2:I4"/>
    <mergeCell ref="B2:B5"/>
    <mergeCell ref="C2:C5"/>
    <mergeCell ref="J2:J4"/>
  </mergeCells>
  <conditionalFormatting sqref="S8 P8:R16 N8:N122">
    <cfRule type="cellIs" dxfId="77" priority="863" operator="equal">
      <formula>TRUE</formula>
    </cfRule>
    <cfRule type="cellIs" dxfId="76" priority="864" operator="equal">
      <formula>FALSE</formula>
    </cfRule>
  </conditionalFormatting>
  <conditionalFormatting sqref="O8">
    <cfRule type="cellIs" dxfId="75" priority="723" operator="equal">
      <formula>TRUE</formula>
    </cfRule>
    <cfRule type="cellIs" dxfId="74" priority="724" operator="equal">
      <formula>FALSE</formula>
    </cfRule>
  </conditionalFormatting>
  <conditionalFormatting sqref="S11:S16">
    <cfRule type="cellIs" dxfId="73" priority="721" operator="equal">
      <formula>TRUE</formula>
    </cfRule>
    <cfRule type="cellIs" dxfId="72" priority="722" operator="equal">
      <formula>FALSE</formula>
    </cfRule>
  </conditionalFormatting>
  <conditionalFormatting sqref="O10">
    <cfRule type="cellIs" dxfId="71" priority="717" operator="equal">
      <formula>TRUE</formula>
    </cfRule>
    <cfRule type="cellIs" dxfId="70" priority="718" operator="equal">
      <formula>FALSE</formula>
    </cfRule>
  </conditionalFormatting>
  <conditionalFormatting sqref="S10">
    <cfRule type="cellIs" dxfId="69" priority="715" operator="equal">
      <formula>TRUE</formula>
    </cfRule>
    <cfRule type="cellIs" dxfId="68" priority="716" operator="equal">
      <formula>FALSE</formula>
    </cfRule>
  </conditionalFormatting>
  <conditionalFormatting sqref="O9">
    <cfRule type="cellIs" dxfId="67" priority="711" operator="equal">
      <formula>TRUE</formula>
    </cfRule>
    <cfRule type="cellIs" dxfId="66" priority="712" operator="equal">
      <formula>FALSE</formula>
    </cfRule>
  </conditionalFormatting>
  <conditionalFormatting sqref="S9">
    <cfRule type="cellIs" dxfId="65" priority="709" operator="equal">
      <formula>TRUE</formula>
    </cfRule>
    <cfRule type="cellIs" dxfId="64" priority="710" operator="equal">
      <formula>FALSE</formula>
    </cfRule>
  </conditionalFormatting>
  <conditionalFormatting sqref="O11">
    <cfRule type="cellIs" dxfId="63" priority="193" operator="equal">
      <formula>TRUE</formula>
    </cfRule>
    <cfRule type="cellIs" dxfId="62" priority="194" operator="equal">
      <formula>FALSE</formula>
    </cfRule>
  </conditionalFormatting>
  <conditionalFormatting sqref="O12">
    <cfRule type="cellIs" dxfId="61" priority="185" operator="equal">
      <formula>TRUE</formula>
    </cfRule>
    <cfRule type="cellIs" dxfId="60" priority="186" operator="equal">
      <formula>FALSE</formula>
    </cfRule>
  </conditionalFormatting>
  <conditionalFormatting sqref="O13">
    <cfRule type="cellIs" dxfId="59" priority="177" operator="equal">
      <formula>TRUE</formula>
    </cfRule>
    <cfRule type="cellIs" dxfId="58" priority="178" operator="equal">
      <formula>FALSE</formula>
    </cfRule>
  </conditionalFormatting>
  <conditionalFormatting sqref="O14">
    <cfRule type="cellIs" dxfId="57" priority="169" operator="equal">
      <formula>TRUE</formula>
    </cfRule>
    <cfRule type="cellIs" dxfId="56" priority="170" operator="equal">
      <formula>FALSE</formula>
    </cfRule>
  </conditionalFormatting>
  <conditionalFormatting sqref="O15">
    <cfRule type="cellIs" dxfId="55" priority="161" operator="equal">
      <formula>TRUE</formula>
    </cfRule>
    <cfRule type="cellIs" dxfId="54" priority="162" operator="equal">
      <formula>FALSE</formula>
    </cfRule>
  </conditionalFormatting>
  <conditionalFormatting sqref="O16">
    <cfRule type="cellIs" dxfId="53" priority="153" operator="equal">
      <formula>TRUE</formula>
    </cfRule>
    <cfRule type="cellIs" dxfId="52" priority="154" operator="equal">
      <formula>FALSE</formula>
    </cfRule>
  </conditionalFormatting>
  <conditionalFormatting sqref="P17:R19 S17">
    <cfRule type="cellIs" dxfId="51" priority="53" operator="equal">
      <formula>TRUE</formula>
    </cfRule>
    <cfRule type="cellIs" dxfId="50" priority="54" operator="equal">
      <formula>FALSE</formula>
    </cfRule>
  </conditionalFormatting>
  <conditionalFormatting sqref="O17">
    <cfRule type="cellIs" dxfId="49" priority="49" operator="equal">
      <formula>TRUE</formula>
    </cfRule>
    <cfRule type="cellIs" dxfId="48" priority="50" operator="equal">
      <formula>FALSE</formula>
    </cfRule>
  </conditionalFormatting>
  <conditionalFormatting sqref="O19">
    <cfRule type="cellIs" dxfId="47" priority="45" operator="equal">
      <formula>TRUE</formula>
    </cfRule>
    <cfRule type="cellIs" dxfId="46" priority="46" operator="equal">
      <formula>FALSE</formula>
    </cfRule>
  </conditionalFormatting>
  <conditionalFormatting sqref="S19">
    <cfRule type="cellIs" dxfId="45" priority="43" operator="equal">
      <formula>TRUE</formula>
    </cfRule>
    <cfRule type="cellIs" dxfId="44" priority="44" operator="equal">
      <formula>FALSE</formula>
    </cfRule>
  </conditionalFormatting>
  <conditionalFormatting sqref="O18">
    <cfRule type="cellIs" dxfId="43" priority="39" operator="equal">
      <formula>TRUE</formula>
    </cfRule>
    <cfRule type="cellIs" dxfId="42" priority="40" operator="equal">
      <formula>FALSE</formula>
    </cfRule>
  </conditionalFormatting>
  <conditionalFormatting sqref="S18">
    <cfRule type="cellIs" dxfId="41" priority="37" operator="equal">
      <formula>TRUE</formula>
    </cfRule>
    <cfRule type="cellIs" dxfId="40" priority="38" operator="equal">
      <formula>FALSE</formula>
    </cfRule>
  </conditionalFormatting>
  <conditionalFormatting sqref="P20:R22 S20">
    <cfRule type="cellIs" dxfId="39" priority="35" operator="equal">
      <formula>TRUE</formula>
    </cfRule>
    <cfRule type="cellIs" dxfId="38" priority="36" operator="equal">
      <formula>FALSE</formula>
    </cfRule>
  </conditionalFormatting>
  <conditionalFormatting sqref="O20">
    <cfRule type="cellIs" dxfId="37" priority="31" operator="equal">
      <formula>TRUE</formula>
    </cfRule>
    <cfRule type="cellIs" dxfId="36" priority="32" operator="equal">
      <formula>FALSE</formula>
    </cfRule>
  </conditionalFormatting>
  <conditionalFormatting sqref="O22">
    <cfRule type="cellIs" dxfId="35" priority="27" operator="equal">
      <formula>TRUE</formula>
    </cfRule>
    <cfRule type="cellIs" dxfId="34" priority="28" operator="equal">
      <formula>FALSE</formula>
    </cfRule>
  </conditionalFormatting>
  <conditionalFormatting sqref="S22">
    <cfRule type="cellIs" dxfId="33" priority="25" operator="equal">
      <formula>TRUE</formula>
    </cfRule>
    <cfRule type="cellIs" dxfId="32" priority="26" operator="equal">
      <formula>FALSE</formula>
    </cfRule>
  </conditionalFormatting>
  <conditionalFormatting sqref="O21">
    <cfRule type="cellIs" dxfId="31" priority="21" operator="equal">
      <formula>TRUE</formula>
    </cfRule>
    <cfRule type="cellIs" dxfId="30" priority="22" operator="equal">
      <formula>FALSE</formula>
    </cfRule>
  </conditionalFormatting>
  <conditionalFormatting sqref="S21">
    <cfRule type="cellIs" dxfId="29" priority="19" operator="equal">
      <formula>TRUE</formula>
    </cfRule>
    <cfRule type="cellIs" dxfId="28" priority="20" operator="equal">
      <formula>FALSE</formula>
    </cfRule>
  </conditionalFormatting>
  <conditionalFormatting sqref="S23 P23:R122">
    <cfRule type="cellIs" dxfId="27" priority="17" operator="equal">
      <formula>TRUE</formula>
    </cfRule>
    <cfRule type="cellIs" dxfId="26" priority="18" operator="equal">
      <formula>FALSE</formula>
    </cfRule>
  </conditionalFormatting>
  <conditionalFormatting sqref="O23">
    <cfRule type="cellIs" dxfId="25" priority="13" operator="equal">
      <formula>TRUE</formula>
    </cfRule>
    <cfRule type="cellIs" dxfId="24" priority="14" operator="equal">
      <formula>FALSE</formula>
    </cfRule>
  </conditionalFormatting>
  <conditionalFormatting sqref="O25:O122">
    <cfRule type="cellIs" dxfId="23" priority="9" operator="equal">
      <formula>TRUE</formula>
    </cfRule>
    <cfRule type="cellIs" dxfId="22" priority="10" operator="equal">
      <formula>FALSE</formula>
    </cfRule>
  </conditionalFormatting>
  <conditionalFormatting sqref="S25:S122">
    <cfRule type="cellIs" dxfId="21" priority="7" operator="equal">
      <formula>TRUE</formula>
    </cfRule>
    <cfRule type="cellIs" dxfId="20" priority="8" operator="equal">
      <formula>FALSE</formula>
    </cfRule>
  </conditionalFormatting>
  <conditionalFormatting sqref="O24">
    <cfRule type="cellIs" dxfId="19" priority="3" operator="equal">
      <formula>TRUE</formula>
    </cfRule>
    <cfRule type="cellIs" dxfId="18" priority="4" operator="equal">
      <formula>FALSE</formula>
    </cfRule>
  </conditionalFormatting>
  <conditionalFormatting sqref="S24">
    <cfRule type="cellIs" dxfId="17" priority="1" operator="equal">
      <formula>TRUE</formula>
    </cfRule>
    <cfRule type="cellIs" dxfId="16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A5" workbookViewId="0">
      <selection activeCell="B6" sqref="B6"/>
    </sheetView>
  </sheetViews>
  <sheetFormatPr defaultRowHeight="14.5" x14ac:dyDescent="0.35"/>
  <cols>
    <col min="1" max="1" width="15.1796875" style="132" bestFit="1" customWidth="1"/>
    <col min="2" max="2" width="39.453125" style="132" bestFit="1" customWidth="1"/>
    <col min="3" max="3" width="23.453125" style="14" bestFit="1" customWidth="1"/>
    <col min="4" max="4" width="12.54296875" style="14" customWidth="1"/>
    <col min="5" max="5" width="7.26953125" style="14" customWidth="1"/>
    <col min="6" max="6" width="5.26953125" style="14" customWidth="1"/>
    <col min="7" max="7" width="11.1796875" style="14" customWidth="1"/>
    <col min="8" max="8" width="13.81640625" style="14" customWidth="1"/>
    <col min="9" max="9" width="25.26953125" style="131" customWidth="1"/>
    <col min="10" max="10" width="19.1796875" style="131" customWidth="1"/>
    <col min="11" max="11" width="28" style="17" bestFit="1" customWidth="1"/>
    <col min="12" max="12" width="8.1796875" style="131" bestFit="1" customWidth="1"/>
    <col min="13" max="13" width="21" style="131" bestFit="1" customWidth="1"/>
    <col min="14" max="14" width="14.453125" style="131" bestFit="1" customWidth="1"/>
    <col min="15" max="15" width="16.81640625" style="17" bestFit="1" customWidth="1"/>
    <col min="16" max="16" width="17.54296875" style="132" customWidth="1"/>
    <col min="17" max="17" width="5.54296875" style="132" bestFit="1" customWidth="1"/>
    <col min="18" max="16384" width="8.7265625" style="132"/>
  </cols>
  <sheetData>
    <row r="1" spans="1:17" x14ac:dyDescent="0.35">
      <c r="C1" s="147" t="s">
        <v>82</v>
      </c>
      <c r="D1" s="147"/>
      <c r="E1" s="147"/>
      <c r="F1" s="147"/>
      <c r="G1" s="147"/>
      <c r="H1" s="147"/>
      <c r="I1" s="147"/>
      <c r="J1" s="147"/>
      <c r="K1" s="148"/>
    </row>
    <row r="2" spans="1:17" ht="16.5" customHeight="1" x14ac:dyDescent="0.35">
      <c r="B2" s="149" t="s">
        <v>89</v>
      </c>
      <c r="C2" s="151" t="s">
        <v>81</v>
      </c>
      <c r="D2" s="129" t="s">
        <v>248</v>
      </c>
      <c r="E2" s="129" t="s">
        <v>67</v>
      </c>
      <c r="F2" s="129">
        <v>2020</v>
      </c>
      <c r="G2" s="129" t="s">
        <v>48</v>
      </c>
      <c r="H2" s="2" t="s">
        <v>227</v>
      </c>
      <c r="I2" s="152" t="s">
        <v>284</v>
      </c>
      <c r="J2" s="153" t="s">
        <v>285</v>
      </c>
      <c r="K2" s="154" t="s">
        <v>83</v>
      </c>
    </row>
    <row r="3" spans="1:17" x14ac:dyDescent="0.35">
      <c r="B3" s="149"/>
      <c r="C3" s="151"/>
      <c r="D3" s="129"/>
      <c r="F3" s="129"/>
      <c r="G3" s="129" t="s">
        <v>56</v>
      </c>
      <c r="H3" s="2" t="s">
        <v>228</v>
      </c>
      <c r="I3" s="155"/>
      <c r="J3" s="155"/>
      <c r="K3" s="38"/>
    </row>
    <row r="4" spans="1:17" x14ac:dyDescent="0.35">
      <c r="B4" s="149"/>
      <c r="C4" s="151"/>
      <c r="D4" s="129"/>
      <c r="E4" s="129"/>
      <c r="F4" s="129"/>
      <c r="G4" s="129"/>
      <c r="H4" s="129" t="s">
        <v>229</v>
      </c>
      <c r="I4" s="155"/>
      <c r="J4" s="155"/>
      <c r="K4" s="38"/>
    </row>
    <row r="5" spans="1:17" x14ac:dyDescent="0.35">
      <c r="B5" s="149"/>
      <c r="C5" s="151"/>
      <c r="D5" s="129"/>
      <c r="E5" s="129"/>
      <c r="F5" s="129"/>
      <c r="G5" s="129"/>
      <c r="H5" s="2" t="s">
        <v>230</v>
      </c>
      <c r="I5" s="37"/>
      <c r="J5" s="37"/>
      <c r="K5" s="80"/>
      <c r="L5" s="37"/>
      <c r="M5" s="37"/>
      <c r="N5" s="37"/>
      <c r="O5" s="80"/>
      <c r="P5" s="156" t="s">
        <v>84</v>
      </c>
      <c r="Q5" s="157"/>
    </row>
    <row r="6" spans="1:17" x14ac:dyDescent="0.35">
      <c r="I6" s="39"/>
      <c r="J6" s="39"/>
      <c r="K6" s="158"/>
      <c r="L6" s="37"/>
      <c r="M6" s="37"/>
      <c r="N6" s="37"/>
      <c r="O6" s="80"/>
      <c r="P6" s="79"/>
    </row>
    <row r="7" spans="1:17" s="23" customFormat="1" x14ac:dyDescent="0.35">
      <c r="A7" s="23" t="s">
        <v>57</v>
      </c>
      <c r="B7" s="23" t="s">
        <v>88</v>
      </c>
      <c r="C7" s="23" t="s">
        <v>87</v>
      </c>
      <c r="D7" s="23" t="s">
        <v>107</v>
      </c>
      <c r="E7" s="23" t="s">
        <v>58</v>
      </c>
      <c r="F7" s="23" t="s">
        <v>286</v>
      </c>
      <c r="G7" s="23" t="s">
        <v>59</v>
      </c>
      <c r="H7" s="23" t="s">
        <v>246</v>
      </c>
      <c r="I7" s="159" t="s">
        <v>60</v>
      </c>
      <c r="J7" s="159" t="s">
        <v>61</v>
      </c>
      <c r="K7" s="24" t="s">
        <v>62</v>
      </c>
      <c r="L7" s="159" t="s">
        <v>64</v>
      </c>
      <c r="M7" s="159" t="s">
        <v>65</v>
      </c>
      <c r="N7" s="159" t="s">
        <v>72</v>
      </c>
      <c r="O7" s="24" t="s">
        <v>73</v>
      </c>
      <c r="P7" s="23" t="s">
        <v>66</v>
      </c>
    </row>
    <row r="8" spans="1:17" x14ac:dyDescent="0.35">
      <c r="A8" s="2">
        <f t="shared" ref="A8:A22" si="0">ROW(A8)-ROW($A$7)</f>
        <v>1</v>
      </c>
      <c r="B8" s="2" t="s">
        <v>85</v>
      </c>
      <c r="C8" s="14" t="str">
        <f>B8</f>
        <v>Islanded</v>
      </c>
      <c r="D8" s="14" t="s">
        <v>248</v>
      </c>
      <c r="E8" s="14" t="s">
        <v>67</v>
      </c>
      <c r="F8" s="14">
        <v>2020</v>
      </c>
      <c r="G8" s="14" t="s">
        <v>48</v>
      </c>
      <c r="H8" s="14" t="s">
        <v>227</v>
      </c>
      <c r="I8" s="131" t="s">
        <v>108</v>
      </c>
      <c r="J8" s="131" t="s">
        <v>281</v>
      </c>
      <c r="K8" s="17" t="s">
        <v>287</v>
      </c>
      <c r="L8" s="131" t="b">
        <v>0</v>
      </c>
      <c r="M8" s="131" t="b">
        <v>1</v>
      </c>
      <c r="N8" s="131" t="b">
        <v>0</v>
      </c>
      <c r="O8" s="17" t="b">
        <v>0</v>
      </c>
      <c r="P8" s="132" t="b">
        <v>0</v>
      </c>
    </row>
    <row r="9" spans="1:17" x14ac:dyDescent="0.35">
      <c r="A9" s="2">
        <f>ROW(A9)-ROW($A$7)</f>
        <v>2</v>
      </c>
      <c r="B9" s="2" t="s">
        <v>85</v>
      </c>
      <c r="C9" s="14" t="str">
        <f t="shared" ref="C9:C23" si="1">B9</f>
        <v>Islanded</v>
      </c>
      <c r="D9" s="14" t="s">
        <v>248</v>
      </c>
      <c r="E9" s="14" t="s">
        <v>67</v>
      </c>
      <c r="F9" s="14">
        <v>2020</v>
      </c>
      <c r="G9" s="14" t="s">
        <v>48</v>
      </c>
      <c r="H9" s="14" t="s">
        <v>229</v>
      </c>
      <c r="I9" s="131" t="s">
        <v>108</v>
      </c>
      <c r="J9" s="131" t="s">
        <v>281</v>
      </c>
      <c r="K9" s="17" t="s">
        <v>287</v>
      </c>
      <c r="L9" s="131" t="b">
        <v>0</v>
      </c>
      <c r="M9" s="131" t="b">
        <v>1</v>
      </c>
      <c r="N9" s="131" t="b">
        <v>0</v>
      </c>
      <c r="O9" s="17" t="b">
        <v>0</v>
      </c>
      <c r="P9" s="132" t="b">
        <v>0</v>
      </c>
    </row>
    <row r="10" spans="1:17" x14ac:dyDescent="0.35">
      <c r="A10" s="2">
        <f t="shared" si="0"/>
        <v>3</v>
      </c>
      <c r="B10" s="2" t="s">
        <v>85</v>
      </c>
      <c r="C10" s="14" t="str">
        <f t="shared" si="1"/>
        <v>Islanded</v>
      </c>
      <c r="D10" s="14" t="s">
        <v>248</v>
      </c>
      <c r="E10" s="14" t="s">
        <v>67</v>
      </c>
      <c r="F10" s="14">
        <v>2020</v>
      </c>
      <c r="G10" s="14" t="s">
        <v>48</v>
      </c>
      <c r="H10" s="14" t="s">
        <v>228</v>
      </c>
      <c r="I10" s="131" t="s">
        <v>108</v>
      </c>
      <c r="J10" s="131" t="s">
        <v>281</v>
      </c>
      <c r="K10" s="17" t="s">
        <v>287</v>
      </c>
      <c r="L10" s="131" t="b">
        <v>0</v>
      </c>
      <c r="M10" s="131" t="b">
        <v>1</v>
      </c>
      <c r="N10" s="131" t="b">
        <v>0</v>
      </c>
      <c r="O10" s="17" t="b">
        <v>0</v>
      </c>
      <c r="P10" s="132" t="b">
        <v>0</v>
      </c>
    </row>
    <row r="11" spans="1:17" x14ac:dyDescent="0.35">
      <c r="A11" s="2">
        <f>ROW(A11)-ROW($A$7)</f>
        <v>4</v>
      </c>
      <c r="B11" s="2" t="s">
        <v>85</v>
      </c>
      <c r="C11" s="14" t="str">
        <f t="shared" si="1"/>
        <v>Islanded</v>
      </c>
      <c r="D11" s="14" t="s">
        <v>248</v>
      </c>
      <c r="E11" s="14" t="s">
        <v>67</v>
      </c>
      <c r="F11" s="14">
        <v>2020</v>
      </c>
      <c r="G11" s="14" t="s">
        <v>48</v>
      </c>
      <c r="H11" s="14" t="s">
        <v>230</v>
      </c>
      <c r="I11" s="131" t="s">
        <v>108</v>
      </c>
      <c r="J11" s="131" t="s">
        <v>281</v>
      </c>
      <c r="K11" s="17" t="s">
        <v>287</v>
      </c>
      <c r="L11" s="131" t="b">
        <v>0</v>
      </c>
      <c r="M11" s="131" t="b">
        <v>1</v>
      </c>
      <c r="N11" s="131" t="b">
        <v>0</v>
      </c>
      <c r="O11" s="17" t="b">
        <v>0</v>
      </c>
      <c r="P11" s="132" t="b">
        <v>0</v>
      </c>
    </row>
    <row r="12" spans="1:17" x14ac:dyDescent="0.35">
      <c r="A12" s="2">
        <f t="shared" si="0"/>
        <v>5</v>
      </c>
      <c r="B12" s="2" t="s">
        <v>85</v>
      </c>
      <c r="C12" s="14" t="str">
        <f t="shared" si="1"/>
        <v>Islanded</v>
      </c>
      <c r="D12" s="14" t="s">
        <v>248</v>
      </c>
      <c r="E12" s="14" t="s">
        <v>67</v>
      </c>
      <c r="F12" s="14">
        <v>2020</v>
      </c>
      <c r="G12" s="14" t="s">
        <v>56</v>
      </c>
      <c r="H12" s="14" t="s">
        <v>227</v>
      </c>
      <c r="I12" s="131" t="s">
        <v>108</v>
      </c>
      <c r="J12" s="131" t="s">
        <v>281</v>
      </c>
      <c r="K12" s="17" t="s">
        <v>287</v>
      </c>
      <c r="L12" s="131" t="b">
        <v>0</v>
      </c>
      <c r="M12" s="131" t="b">
        <v>1</v>
      </c>
      <c r="N12" s="131" t="b">
        <v>0</v>
      </c>
      <c r="O12" s="17" t="b">
        <v>0</v>
      </c>
      <c r="P12" s="132" t="b">
        <v>0</v>
      </c>
    </row>
    <row r="13" spans="1:17" x14ac:dyDescent="0.35">
      <c r="A13" s="2">
        <f>ROW(A13)-ROW($A$7)</f>
        <v>6</v>
      </c>
      <c r="B13" s="2" t="s">
        <v>85</v>
      </c>
      <c r="C13" s="14" t="str">
        <f t="shared" si="1"/>
        <v>Islanded</v>
      </c>
      <c r="D13" s="14" t="s">
        <v>248</v>
      </c>
      <c r="E13" s="14" t="s">
        <v>67</v>
      </c>
      <c r="F13" s="14">
        <v>2020</v>
      </c>
      <c r="G13" s="14" t="s">
        <v>56</v>
      </c>
      <c r="H13" s="14" t="s">
        <v>229</v>
      </c>
      <c r="I13" s="131" t="s">
        <v>108</v>
      </c>
      <c r="J13" s="131" t="s">
        <v>281</v>
      </c>
      <c r="K13" s="17" t="s">
        <v>287</v>
      </c>
      <c r="L13" s="131" t="b">
        <v>0</v>
      </c>
      <c r="M13" s="131" t="b">
        <v>1</v>
      </c>
      <c r="N13" s="131" t="b">
        <v>0</v>
      </c>
      <c r="O13" s="17" t="b">
        <v>0</v>
      </c>
      <c r="P13" s="132" t="b">
        <v>0</v>
      </c>
    </row>
    <row r="14" spans="1:17" x14ac:dyDescent="0.35">
      <c r="A14" s="2">
        <f t="shared" si="0"/>
        <v>7</v>
      </c>
      <c r="B14" s="2" t="s">
        <v>85</v>
      </c>
      <c r="C14" s="14" t="str">
        <f t="shared" si="1"/>
        <v>Islanded</v>
      </c>
      <c r="D14" s="14" t="s">
        <v>248</v>
      </c>
      <c r="E14" s="14" t="s">
        <v>67</v>
      </c>
      <c r="F14" s="14">
        <v>2020</v>
      </c>
      <c r="G14" s="14" t="s">
        <v>56</v>
      </c>
      <c r="H14" s="14" t="s">
        <v>228</v>
      </c>
      <c r="I14" s="131" t="s">
        <v>108</v>
      </c>
      <c r="J14" s="131" t="s">
        <v>281</v>
      </c>
      <c r="K14" s="17" t="s">
        <v>287</v>
      </c>
      <c r="L14" s="131" t="b">
        <v>0</v>
      </c>
      <c r="M14" s="131" t="b">
        <v>1</v>
      </c>
      <c r="N14" s="131" t="b">
        <v>0</v>
      </c>
      <c r="O14" s="17" t="b">
        <v>0</v>
      </c>
      <c r="P14" s="132" t="b">
        <v>0</v>
      </c>
    </row>
    <row r="15" spans="1:17" x14ac:dyDescent="0.35">
      <c r="A15" s="2">
        <f>ROW(A15)-ROW($A$7)</f>
        <v>8</v>
      </c>
      <c r="B15" s="2" t="s">
        <v>85</v>
      </c>
      <c r="C15" s="14" t="str">
        <f t="shared" si="1"/>
        <v>Islanded</v>
      </c>
      <c r="D15" s="14" t="s">
        <v>248</v>
      </c>
      <c r="E15" s="14" t="s">
        <v>67</v>
      </c>
      <c r="F15" s="14">
        <v>2020</v>
      </c>
      <c r="G15" s="14" t="s">
        <v>56</v>
      </c>
      <c r="H15" s="14" t="s">
        <v>230</v>
      </c>
      <c r="I15" s="131" t="s">
        <v>108</v>
      </c>
      <c r="J15" s="131" t="s">
        <v>281</v>
      </c>
      <c r="K15" s="17" t="s">
        <v>287</v>
      </c>
      <c r="L15" s="131" t="b">
        <v>0</v>
      </c>
      <c r="M15" s="131" t="b">
        <v>1</v>
      </c>
      <c r="N15" s="131" t="b">
        <v>0</v>
      </c>
      <c r="O15" s="17" t="b">
        <v>0</v>
      </c>
      <c r="P15" s="132" t="b">
        <v>0</v>
      </c>
    </row>
    <row r="16" spans="1:17" x14ac:dyDescent="0.35">
      <c r="A16" s="2">
        <f t="shared" si="0"/>
        <v>9</v>
      </c>
      <c r="B16" s="2" t="s">
        <v>152</v>
      </c>
      <c r="C16" s="14" t="str">
        <f t="shared" si="1"/>
        <v>CSP_only</v>
      </c>
      <c r="D16" s="14" t="s">
        <v>248</v>
      </c>
      <c r="E16" s="14" t="s">
        <v>67</v>
      </c>
      <c r="F16" s="14">
        <v>2020</v>
      </c>
      <c r="G16" s="14" t="s">
        <v>48</v>
      </c>
      <c r="H16" s="14" t="s">
        <v>227</v>
      </c>
      <c r="I16" s="131" t="s">
        <v>108</v>
      </c>
      <c r="J16" s="131" t="s">
        <v>281</v>
      </c>
      <c r="K16" s="17" t="s">
        <v>287</v>
      </c>
      <c r="L16" s="131" t="b">
        <v>0</v>
      </c>
      <c r="M16" s="131" t="b">
        <v>1</v>
      </c>
      <c r="N16" s="131" t="b">
        <v>0</v>
      </c>
      <c r="O16" s="17" t="b">
        <v>0</v>
      </c>
      <c r="P16" s="132" t="b">
        <v>0</v>
      </c>
    </row>
    <row r="17" spans="1:16" x14ac:dyDescent="0.35">
      <c r="A17" s="2">
        <f>ROW(A17)-ROW($A$7)</f>
        <v>10</v>
      </c>
      <c r="B17" s="2" t="s">
        <v>152</v>
      </c>
      <c r="C17" s="14" t="str">
        <f t="shared" si="1"/>
        <v>CSP_only</v>
      </c>
      <c r="D17" s="14" t="s">
        <v>248</v>
      </c>
      <c r="E17" s="14" t="s">
        <v>67</v>
      </c>
      <c r="F17" s="14">
        <v>2020</v>
      </c>
      <c r="G17" s="14" t="s">
        <v>48</v>
      </c>
      <c r="H17" s="14" t="s">
        <v>229</v>
      </c>
      <c r="I17" s="131" t="s">
        <v>108</v>
      </c>
      <c r="J17" s="131" t="s">
        <v>281</v>
      </c>
      <c r="K17" s="17" t="s">
        <v>287</v>
      </c>
      <c r="L17" s="131" t="b">
        <v>0</v>
      </c>
      <c r="M17" s="131" t="b">
        <v>1</v>
      </c>
      <c r="N17" s="131" t="b">
        <v>0</v>
      </c>
      <c r="O17" s="17" t="b">
        <v>0</v>
      </c>
      <c r="P17" s="132" t="b">
        <v>0</v>
      </c>
    </row>
    <row r="18" spans="1:16" x14ac:dyDescent="0.35">
      <c r="A18" s="2">
        <f t="shared" si="0"/>
        <v>11</v>
      </c>
      <c r="B18" s="2" t="s">
        <v>152</v>
      </c>
      <c r="C18" s="14" t="str">
        <f t="shared" si="1"/>
        <v>CSP_only</v>
      </c>
      <c r="D18" s="14" t="s">
        <v>248</v>
      </c>
      <c r="E18" s="14" t="s">
        <v>67</v>
      </c>
      <c r="F18" s="14">
        <v>2020</v>
      </c>
      <c r="G18" s="14" t="s">
        <v>48</v>
      </c>
      <c r="H18" s="14" t="s">
        <v>228</v>
      </c>
      <c r="I18" s="131" t="s">
        <v>108</v>
      </c>
      <c r="J18" s="131" t="s">
        <v>281</v>
      </c>
      <c r="K18" s="17" t="s">
        <v>287</v>
      </c>
      <c r="L18" s="131" t="b">
        <v>0</v>
      </c>
      <c r="M18" s="131" t="b">
        <v>1</v>
      </c>
      <c r="N18" s="131" t="b">
        <v>0</v>
      </c>
      <c r="O18" s="17" t="b">
        <v>0</v>
      </c>
      <c r="P18" s="132" t="b">
        <v>0</v>
      </c>
    </row>
    <row r="19" spans="1:16" x14ac:dyDescent="0.35">
      <c r="A19" s="2">
        <f>ROW(A19)-ROW($A$7)</f>
        <v>12</v>
      </c>
      <c r="B19" s="2" t="s">
        <v>152</v>
      </c>
      <c r="C19" s="14" t="str">
        <f t="shared" si="1"/>
        <v>CSP_only</v>
      </c>
      <c r="D19" s="14" t="s">
        <v>248</v>
      </c>
      <c r="E19" s="14" t="s">
        <v>67</v>
      </c>
      <c r="F19" s="14">
        <v>2020</v>
      </c>
      <c r="G19" s="14" t="s">
        <v>48</v>
      </c>
      <c r="H19" s="14" t="s">
        <v>230</v>
      </c>
      <c r="I19" s="131" t="s">
        <v>108</v>
      </c>
      <c r="J19" s="131" t="s">
        <v>281</v>
      </c>
      <c r="K19" s="17" t="s">
        <v>287</v>
      </c>
      <c r="L19" s="131" t="b">
        <v>0</v>
      </c>
      <c r="M19" s="131" t="b">
        <v>1</v>
      </c>
      <c r="N19" s="131" t="b">
        <v>0</v>
      </c>
      <c r="O19" s="17" t="b">
        <v>0</v>
      </c>
      <c r="P19" s="132" t="b">
        <v>0</v>
      </c>
    </row>
    <row r="20" spans="1:16" x14ac:dyDescent="0.35">
      <c r="A20" s="2">
        <f t="shared" si="0"/>
        <v>13</v>
      </c>
      <c r="B20" s="2" t="s">
        <v>152</v>
      </c>
      <c r="C20" s="14" t="str">
        <f t="shared" si="1"/>
        <v>CSP_only</v>
      </c>
      <c r="D20" s="14" t="s">
        <v>248</v>
      </c>
      <c r="E20" s="14" t="s">
        <v>67</v>
      </c>
      <c r="F20" s="14">
        <v>2020</v>
      </c>
      <c r="G20" s="14" t="s">
        <v>56</v>
      </c>
      <c r="H20" s="14" t="s">
        <v>227</v>
      </c>
      <c r="I20" s="131" t="s">
        <v>108</v>
      </c>
      <c r="J20" s="131" t="s">
        <v>281</v>
      </c>
      <c r="K20" s="17" t="s">
        <v>287</v>
      </c>
      <c r="L20" s="131" t="b">
        <v>0</v>
      </c>
      <c r="M20" s="131" t="b">
        <v>1</v>
      </c>
      <c r="N20" s="131" t="b">
        <v>0</v>
      </c>
      <c r="O20" s="17" t="b">
        <v>0</v>
      </c>
      <c r="P20" s="132" t="b">
        <v>0</v>
      </c>
    </row>
    <row r="21" spans="1:16" x14ac:dyDescent="0.35">
      <c r="A21" s="2">
        <f>ROW(A21)-ROW($A$7)</f>
        <v>14</v>
      </c>
      <c r="B21" s="2" t="s">
        <v>152</v>
      </c>
      <c r="C21" s="14" t="str">
        <f t="shared" si="1"/>
        <v>CSP_only</v>
      </c>
      <c r="D21" s="14" t="s">
        <v>248</v>
      </c>
      <c r="E21" s="14" t="s">
        <v>67</v>
      </c>
      <c r="F21" s="14">
        <v>2020</v>
      </c>
      <c r="G21" s="14" t="s">
        <v>56</v>
      </c>
      <c r="H21" s="14" t="s">
        <v>229</v>
      </c>
      <c r="I21" s="131" t="s">
        <v>108</v>
      </c>
      <c r="J21" s="131" t="s">
        <v>281</v>
      </c>
      <c r="K21" s="17" t="s">
        <v>287</v>
      </c>
      <c r="L21" s="131" t="b">
        <v>0</v>
      </c>
      <c r="M21" s="131" t="b">
        <v>1</v>
      </c>
      <c r="N21" s="131" t="b">
        <v>0</v>
      </c>
      <c r="O21" s="17" t="b">
        <v>0</v>
      </c>
      <c r="P21" s="132" t="b">
        <v>0</v>
      </c>
    </row>
    <row r="22" spans="1:16" x14ac:dyDescent="0.35">
      <c r="A22" s="2">
        <f t="shared" si="0"/>
        <v>15</v>
      </c>
      <c r="B22" s="2" t="s">
        <v>152</v>
      </c>
      <c r="C22" s="14" t="str">
        <f t="shared" si="1"/>
        <v>CSP_only</v>
      </c>
      <c r="D22" s="14" t="s">
        <v>248</v>
      </c>
      <c r="E22" s="14" t="s">
        <v>67</v>
      </c>
      <c r="F22" s="14">
        <v>2020</v>
      </c>
      <c r="G22" s="14" t="s">
        <v>56</v>
      </c>
      <c r="H22" s="14" t="s">
        <v>228</v>
      </c>
      <c r="I22" s="131" t="s">
        <v>108</v>
      </c>
      <c r="J22" s="131" t="s">
        <v>281</v>
      </c>
      <c r="K22" s="17" t="s">
        <v>287</v>
      </c>
      <c r="L22" s="131" t="b">
        <v>0</v>
      </c>
      <c r="M22" s="131" t="b">
        <v>1</v>
      </c>
      <c r="N22" s="131" t="b">
        <v>0</v>
      </c>
      <c r="O22" s="17" t="b">
        <v>0</v>
      </c>
      <c r="P22" s="132" t="b">
        <v>0</v>
      </c>
    </row>
    <row r="23" spans="1:16" x14ac:dyDescent="0.35">
      <c r="A23" s="2">
        <f>ROW(A23)-ROW($A$7)</f>
        <v>16</v>
      </c>
      <c r="B23" s="2" t="s">
        <v>152</v>
      </c>
      <c r="C23" s="14" t="str">
        <f t="shared" si="1"/>
        <v>CSP_only</v>
      </c>
      <c r="D23" s="14" t="s">
        <v>248</v>
      </c>
      <c r="E23" s="14" t="s">
        <v>67</v>
      </c>
      <c r="F23" s="14">
        <v>2020</v>
      </c>
      <c r="G23" s="14" t="s">
        <v>56</v>
      </c>
      <c r="H23" s="14" t="s">
        <v>230</v>
      </c>
      <c r="I23" s="131" t="s">
        <v>108</v>
      </c>
      <c r="J23" s="131" t="s">
        <v>281</v>
      </c>
      <c r="K23" s="17" t="s">
        <v>287</v>
      </c>
      <c r="L23" s="131" t="b">
        <v>0</v>
      </c>
      <c r="M23" s="131" t="b">
        <v>1</v>
      </c>
      <c r="N23" s="131" t="b">
        <v>0</v>
      </c>
      <c r="O23" s="17" t="b">
        <v>0</v>
      </c>
      <c r="P23" s="132" t="b">
        <v>0</v>
      </c>
    </row>
  </sheetData>
  <mergeCells count="4">
    <mergeCell ref="C1:K1"/>
    <mergeCell ref="B2:B5"/>
    <mergeCell ref="C2:C5"/>
    <mergeCell ref="P5:Q5"/>
  </mergeCells>
  <conditionalFormatting sqref="L8:P8 L9:O9 P9:P23">
    <cfRule type="cellIs" dxfId="15" priority="15" operator="equal">
      <formula>TRUE</formula>
    </cfRule>
    <cfRule type="cellIs" dxfId="14" priority="16" operator="equal">
      <formula>FALSE</formula>
    </cfRule>
  </conditionalFormatting>
  <conditionalFormatting sqref="L10:O11">
    <cfRule type="cellIs" dxfId="13" priority="13" operator="equal">
      <formula>TRUE</formula>
    </cfRule>
    <cfRule type="cellIs" dxfId="12" priority="14" operator="equal">
      <formula>FALSE</formula>
    </cfRule>
  </conditionalFormatting>
  <conditionalFormatting sqref="L12:O13">
    <cfRule type="cellIs" dxfId="11" priority="11" operator="equal">
      <formula>TRUE</formula>
    </cfRule>
    <cfRule type="cellIs" dxfId="10" priority="12" operator="equal">
      <formula>FALSE</formula>
    </cfRule>
  </conditionalFormatting>
  <conditionalFormatting sqref="L14:O15">
    <cfRule type="cellIs" dxfId="9" priority="9" operator="equal">
      <formula>TRUE</formula>
    </cfRule>
    <cfRule type="cellIs" dxfId="8" priority="10" operator="equal">
      <formula>FALSE</formula>
    </cfRule>
  </conditionalFormatting>
  <conditionalFormatting sqref="L16:O17">
    <cfRule type="cellIs" dxfId="7" priority="7" operator="equal">
      <formula>TRUE</formula>
    </cfRule>
    <cfRule type="cellIs" dxfId="6" priority="8" operator="equal">
      <formula>FALSE</formula>
    </cfRule>
  </conditionalFormatting>
  <conditionalFormatting sqref="L18:O19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L20:O21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L22:O23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Data_base_case</vt:lpstr>
      <vt:lpstr>Selected_units</vt:lpstr>
      <vt:lpstr>Scenarios_definition</vt:lpstr>
      <vt:lpstr>ScenariosToRun</vt:lpstr>
      <vt:lpstr>ScenariosAllCSP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2025-05-02T10:36:33Z</dcterms:modified>
</cp:coreProperties>
</file>