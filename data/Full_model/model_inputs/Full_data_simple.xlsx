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filterPrivacy="1" codeName="ThisWorkbook"/>
  <xr:revisionPtr revIDLastSave="0" documentId="13_ncr:1_{0E9328D3-879E-4641-9612-323548E5BAA7}" xr6:coauthVersionLast="47" xr6:coauthVersionMax="47" xr10:uidLastSave="{00000000-0000-0000-0000-000000000000}"/>
  <bookViews>
    <workbookView xWindow="-110" yWindow="-110" windowWidth="19420" windowHeight="103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9" i="95" l="1"/>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T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<sst xmlns="http://schemas.openxmlformats.org/spreadsheetml/2006/main" count="3799" uniqueCount="485">
  <si>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</si>
  <si>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</si>
  <si>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</si>
  <si>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</si>
  <si>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</si>
  <si>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</si>
  <si>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</si>
  <si>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</si>
  <si>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</si>
  <si>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</si>
  <si>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</si>
  <si>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</si>
  <si>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</si>
  <si>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</si>
  <si>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</si>
  <si>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</si>
  <si>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</si>
  <si>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</si>
  <si>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</si>
  <si>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</si>
  <si>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</si>
  <si>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</si>
  <si>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</si>
  <si>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</si>
  <si>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</si>
  <si>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</si>
  <si>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</si>
  <si>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</si>
  <si>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</si>
  <si>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</si>
  <si>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</si>
  <si>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</si>
  <si>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</si>
  <si>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</si>
  <si>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</si>
  <si>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</si>
  <si>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</si>
  <si>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</si>
  <si>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</si>
  <si>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</si>
  <si>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</si>
  <si>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</si>
  <si>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</si>
  <si>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</si>
  <si>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</si>
  <si>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</si>
  <si>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</si>
  <si>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</si>
  <si>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</si>
  <si>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</si>
  <si>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</si>
  <si>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</si>
  <si>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</si>
  <si>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</si>
  <si>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</si>
  <si>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</si>
  <si>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</si>
  <si>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</si>
  <si>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</si>
  <si>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</si>
  <si>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</si>
  <si>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</si>
  <si>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</si>
  <si>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</si>
  <si>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</si>
  <si>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</si>
  <si>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</si>
  <si>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</si>
  <si>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</si>
  <si>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</si>
  <si>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</si>
  <si>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</si>
  <si>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</si>
  <si>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</si>
  <si>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</si>
  <si>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</si>
  <si>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</si>
  <si>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</si>
  <si>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</si>
  <si>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</si>
  <si>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</si>
  <si>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</si>
  <si>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</si>
  <si>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</si>
  <si>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</si>
  <si>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</si>
  <si>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</si>
  <si>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</si>
  <si>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</si>
  <si>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</si>
  <si>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</si>
  <si>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</si>
  <si>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</si>
  <si>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</si>
  <si>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</si>
  <si>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</si>
  <si>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</si>
  <si>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</si>
  <si>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</si>
  <si>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</si>
  <si>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</si>
  <si>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</si>
  <si>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</si>
  <si>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</si>
  <si>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</si>
  <si>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</si>
  <si>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</si>
  <si>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</si>
  <si>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</si>
  <si>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</si>
  <si>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</si>
  <si>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</si>
  <si>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</si>
  <si>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</si>
  <si>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</si>
  <si>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</si>
  <si>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</si>
  <si>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</si>
  <si>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</si>
  <si>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</si>
  <si>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</si>
  <si>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</si>
  <si>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</si>
  <si>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</si>
  <si>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</si>
  <si>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</si>
  <si>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</si>
  <si>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</si>
  <si>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</si>
  <si>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</si>
  <si>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</si>
  <si>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</si>
  <si>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</si>
  <si>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</si>
  <si>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</si>
  <si>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</si>
  <si>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</si>
  <si>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</si>
  <si>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</si>
  <si>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</si>
  <si>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</si>
  <si>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</si>
  <si>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</si>
  <si>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</si>
  <si>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</si>
  <si>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</si>
  <si>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</si>
  <si>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</si>
  <si>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</si>
  <si>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</si>
  <si>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</si>
  <si>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</si>
  <si>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</si>
  <si>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</si>
  <si>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</si>
  <si>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</si>
  <si>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</si>
  <si>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</si>
  <si>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</si>
  <si>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</si>
  <si>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</si>
  <si>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</si>
  <si>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</si>
  <si>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</si>
  <si>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</si>
  <si>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</si>
  <si>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</si>
  <si>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</si>
  <si>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</si>
  <si>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</si>
  <si>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</si>
  <si>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</si>
  <si>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</si>
  <si>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</si>
  <si>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</si>
  <si>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</si>
  <si>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</si>
  <si>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</si>
  <si>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</si>
  <si>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</si>
  <si>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</si>
  <si>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</si>
  <si>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</si>
  <si>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</si>
  <si>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</si>
  <si>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</si>
  <si>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</si>
  <si>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</si>
  <si>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</si>
  <si>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</si>
  <si>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</si>
  <si>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</si>
  <si>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</si>
  <si>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</si>
  <si>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</si>
  <si>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</si>
  <si>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</si>
  <si>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</si>
  <si>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</si>
  <si>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</si>
  <si>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</si>
  <si>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</si>
  <si>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</si>
  <si>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</si>
  <si>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</si>
  <si>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</si>
  <si>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</si>
  <si>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</si>
  <si>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</si>
  <si>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</si>
  <si>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</si>
  <si>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</si>
  <si>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</si>
  <si>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</si>
  <si>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</si>
  <si>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</si>
  <si>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</si>
  <si>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</si>
  <si>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</si>
  <si>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</si>
  <si>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</si>
  <si>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</si>
  <si>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</si>
  <si>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</si>
  <si>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</si>
  <si>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</si>
  <si>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</si>
  <si>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</si>
  <si>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</si>
  <si>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</si>
  <si>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</si>
  <si>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</si>
  <si>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</si>
  <si>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</si>
  <si>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</si>
  <si>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</si>
  <si>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</si>
  <si>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</si>
  <si>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</si>
  <si>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</si>
  <si>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</si>
  <si>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</si>
  <si>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</si>
  <si>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</si>
  <si>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</si>
  <si>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</si>
  <si>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</si>
  <si>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</si>
  <si>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</si>
  <si>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</si>
  <si>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</si>
  <si>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</si>
  <si>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</si>
  <si>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</si>
  <si>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</si>
  <si>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</si>
  <si>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</si>
  <si>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</si>
  <si>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</si>
  <si>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</si>
  <si>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</si>
  <si>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</si>
  <si>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</si>
  <si>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</si>
  <si>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</si>
  <si>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</si>
  <si>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</si>
  <si>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</si>
  <si>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</si>
  <si>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</si>
  <si>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</si>
  <si>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</si>
  <si>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</si>
  <si>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</si>
  <si>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</si>
  <si>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</si>
  <si>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</si>
  <si>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</si>
  <si>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</si>
  <si>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</si>
  <si>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</si>
  <si>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</si>
  <si>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</si>
  <si>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</si>
  <si>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</si>
  <si>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</si>
  <si>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</si>
  <si>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</si>
  <si>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</si>
  <si>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</si>
  <si>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</si>
  <si>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</si>
  <si>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</si>
  <si>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</si>
  <si>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</si>
  <si>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</si>
  <si>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</si>
  <si>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</si>
  <si>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</si>
  <si>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</si>
  <si>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</si>
  <si>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</si>
  <si>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</si>
  <si>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</si>
  <si>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</si>
  <si>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</si>
  <si>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</si>
  <si>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</si>
  <si>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</si>
  <si>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</si>
  <si>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</si>
  <si>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</si>
  <si>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</si>
  <si>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</si>
  <si>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</si>
  <si>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</si>
  <si>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</si>
  <si>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</si>
  <si>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</si>
  <si>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</si>
  <si>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</si>
  <si>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</si>
  <si>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</si>
  <si>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</si>
  <si>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</si>
  <si>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</si>
  <si>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</si>
  <si>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</si>
  <si>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</si>
  <si>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</si>
  <si>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</si>
  <si>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</si>
  <si>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</si>
  <si>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</si>
  <si>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</si>
  <si>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</si>
  <si>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</si>
  <si>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</si>
  <si>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</si>
  <si>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</si>
  <si>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</si>
  <si>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</si>
  <si>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</si>
  <si>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</si>
  <si>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</si>
  <si>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</si>
  <si>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</si>
  <si>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</si>
  <si>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</si>
  <si>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</si>
  <si>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</si>
  <si>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</si>
  <si>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</si>
  <si>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</si>
  <si>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</si>
  <si>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</si>
  <si>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</si>
  <si>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</si>
  <si>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</si>
  <si>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</si>
  <si>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</si>
  <si>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</si>
  <si>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</si>
  <si>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</si>
  <si>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</si>
  <si>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</si>
  <si>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</si>
  <si>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</si>
  <si>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</si>
  <si>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</si>
  <si>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</si>
  <si>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</si>
  <si>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</si>
  <si>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</si>
  <si>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</si>
  <si>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</si>
  <si>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</si>
  <si>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</si>
  <si>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</si>
  <si>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</si>
  <si>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</si>
  <si>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</si>
  <si>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</si>
  <si>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</si>
  <si>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</si>
  <si>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</si>
  <si>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</si>
  <si>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</si>
  <si>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</si>
  <si>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</si>
  <si>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</si>
  <si>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</si>
  <si>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</si>
  <si>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</si>
  <si>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</si>
  <si>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</si>
  <si>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</si>
  <si>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</si>
  <si>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</si>
  <si>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</si>
  <si>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</si>
  <si>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</si>
  <si>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</si>
  <si>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</si>
  <si>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</si>
  <si>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</si>
  <si>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</si>
  <si>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</si>
  <si>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</si>
  <si>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</si>
  <si>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</si>
  <si>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</si>
  <si>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</si>
  <si>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</si>
  <si>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</si>
  <si>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</si>
  <si>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</si>
  <si>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</si>
  <si>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</si>
  <si>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</si>
  <si>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</si>
  <si>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</si>
  <si>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</si>
  <si>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</si>
  <si>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</si>
  <si>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</si>
  <si>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</si>
  <si>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</si>
  <si>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</si>
  <si>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</si>
  <si>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</si>
  <si>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</si>
  <si>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</si>
  <si>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</si>
  <si>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</si>
  <si>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</si>
  <si>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</si>
  <si>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</si>
  <si>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</si>
  <si>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</si>
  <si>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</si>
  <si>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</si>
  <si>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</si>
  <si>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</si>
  <si>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</si>
  <si>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</si>
  <si>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</si>
  <si>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</si>
  <si>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</si>
  <si>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</si>
  <si>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</si>
  <si>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</si>
  <si>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</si>
  <si>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</si>
  <si>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</si>
  <si>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</si>
  <si>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</si>
  <si>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</si>
  <si>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</si>
  <si>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</si>
  <si>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</si>
  <si>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</si>
  <si>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</si>
  <si>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</si>
  <si>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</si>
  <si>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</si>
  <si>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Elec_PV</t>
  </si>
  <si>
    <t>Fuel_NH3</t>
  </si>
  <si>
    <t>Fuel_MeOH</t>
  </si>
  <si>
    <t>Elec_Li-ion_Battery</t>
  </si>
  <si>
    <t>Elec_Wind_Onshore</t>
  </si>
  <si>
    <t>Elec_Wind_Offshore</t>
  </si>
  <si>
    <t>Fuel_Biogas</t>
  </si>
  <si>
    <t>2019_CO2</t>
  </si>
  <si>
    <t>DA</t>
  </si>
  <si>
    <t>Lcia technology tag</t>
  </si>
  <si>
    <t>Lcia data filename</t>
  </si>
  <si>
    <t>LCIA_Results_0_an</t>
  </si>
  <si>
    <t>72,4000,4876,8760</t>
  </si>
  <si>
    <t>Grid_Chile</t>
  </si>
  <si>
    <t>Test1</t>
  </si>
  <si>
    <t>Test2</t>
  </si>
  <si>
    <t>Test3</t>
  </si>
  <si>
    <t>Test4</t>
  </si>
  <si>
    <t>72,4000,4876,5000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</si>
</sst>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6"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G51" activePane="bottomRight" state="frozen"/>
      <selection pane="topRight" activeCell="F1" sqref="F1"/>
      <selection pane="bottomLeft" activeCell="A12" sqref="A12"/>
      <selection pane="bottomRight" activeCell="H57" sqref="H57"/>
    </sheetView>
  </sheetViews>
  <sheetFormatPr defaultColWidth="8.7265625" defaultRowHeight="14.5" x14ac:dyDescent="0.35"/>
  <cols>
    <col min="1" max="1" width="8.08984375" customWidth="1"/>
    <col min="2" max="2" width="15.6328125" style="2" customWidth="1"/>
    <col min="3" max="4" width="21" style="3" customWidth="1"/>
    <col min="5" max="5" width="19.6328125" style="394" customWidth="1"/>
    <col min="6" max="6" width="3.81640625" style="6" customWidth="1"/>
    <col min="7" max="7" width="13.1796875" style="22" customWidth="1"/>
    <col min="8" max="9" width="29.7265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4" t="s">
        <v>0</v>
      </c>
      <c r="B1" s="414"/>
      <c r="C1" s="414"/>
      <c r="D1" s="12"/>
      <c r="E1" s="395"/>
      <c r="F1" s="8"/>
      <c r="G1" s="98" t="s">
        <v>93</v>
      </c>
      <c r="H1" s="110" t="s">
        <v>371</v>
      </c>
      <c r="I1" s="110" t="s">
        <v>372</v>
      </c>
      <c r="J1" s="122" t="s">
        <v>404</v>
      </c>
      <c r="K1" s="127" t="s">
        <v>2</v>
      </c>
      <c r="L1" s="122" t="s">
        <v>4</v>
      </c>
      <c r="M1" s="122" t="s">
        <v>5</v>
      </c>
      <c r="N1" s="122" t="s">
        <v>274</v>
      </c>
      <c r="O1" s="127" t="s">
        <v>3</v>
      </c>
      <c r="P1" s="127" t="s">
        <v>181</v>
      </c>
      <c r="Q1" s="172" t="s">
        <v>6</v>
      </c>
      <c r="R1" s="410" t="s">
        <v>51</v>
      </c>
      <c r="S1" s="411"/>
      <c r="T1" s="411"/>
      <c r="U1" s="412"/>
      <c r="V1" s="410" t="s">
        <v>52</v>
      </c>
      <c r="W1" s="411"/>
      <c r="X1" s="411"/>
      <c r="Y1" s="412"/>
      <c r="Z1" s="410" t="s">
        <v>273</v>
      </c>
      <c r="AA1" s="411"/>
      <c r="AB1" s="411"/>
      <c r="AC1" s="412"/>
      <c r="AD1" s="410" t="s">
        <v>53</v>
      </c>
      <c r="AE1" s="411"/>
      <c r="AF1" s="411"/>
      <c r="AG1" s="412"/>
      <c r="AH1" s="410" t="s">
        <v>54</v>
      </c>
      <c r="AI1" s="411"/>
      <c r="AJ1" s="411"/>
      <c r="AK1" s="412"/>
      <c r="AL1" s="410" t="s">
        <v>55</v>
      </c>
      <c r="AM1" s="411"/>
      <c r="AN1" s="411"/>
      <c r="AO1" s="412"/>
      <c r="AP1" s="410" t="s">
        <v>56</v>
      </c>
      <c r="AQ1" s="411"/>
      <c r="AR1" s="411"/>
      <c r="AS1" s="412"/>
      <c r="AT1" s="410" t="s">
        <v>128</v>
      </c>
      <c r="AU1" s="411"/>
      <c r="AV1" s="411"/>
      <c r="AW1" s="412"/>
      <c r="AX1" s="410" t="s">
        <v>129</v>
      </c>
      <c r="AY1" s="411"/>
      <c r="AZ1" s="411"/>
      <c r="BA1" s="412"/>
      <c r="BB1" s="410" t="s">
        <v>403</v>
      </c>
      <c r="BC1" s="411"/>
      <c r="BD1" s="411"/>
      <c r="BE1" s="412"/>
      <c r="BF1" s="410" t="s">
        <v>130</v>
      </c>
      <c r="BG1" s="411"/>
      <c r="BH1" s="411"/>
      <c r="BI1" s="412"/>
      <c r="BJ1" s="410" t="s">
        <v>464</v>
      </c>
      <c r="BK1" s="411"/>
      <c r="BL1" s="411"/>
      <c r="BM1" s="412"/>
      <c r="BN1" s="410" t="s">
        <v>465</v>
      </c>
      <c r="BO1" s="411"/>
      <c r="BP1" s="411"/>
      <c r="BQ1" s="412"/>
      <c r="BR1" s="410" t="s">
        <v>58</v>
      </c>
      <c r="BS1" s="411"/>
      <c r="BT1" s="411"/>
      <c r="BU1" s="412"/>
      <c r="BV1" s="418" t="s">
        <v>307</v>
      </c>
      <c r="BW1" s="419"/>
      <c r="BX1" s="419"/>
      <c r="BY1" s="420"/>
      <c r="BZ1" s="419" t="s">
        <v>308</v>
      </c>
      <c r="CA1" s="419"/>
      <c r="CB1" s="419"/>
      <c r="CC1" s="419"/>
    </row>
    <row r="2" spans="1:81" s="4" customFormat="1" ht="15" customHeight="1" x14ac:dyDescent="0.35">
      <c r="A2" s="23"/>
      <c r="B2" s="415" t="s">
        <v>7</v>
      </c>
      <c r="C2" s="416" t="s">
        <v>8</v>
      </c>
      <c r="D2" s="415" t="s">
        <v>9</v>
      </c>
      <c r="E2" s="415" t="s">
        <v>475</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5"/>
      <c r="C3" s="416"/>
      <c r="D3" s="415"/>
      <c r="E3" s="415"/>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5"/>
      <c r="C4" s="416"/>
      <c r="D4" s="415"/>
      <c r="E4" s="415"/>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5"/>
      <c r="C5" s="416"/>
      <c r="D5" s="415"/>
      <c r="E5" s="415"/>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3" t="s">
        <v>11</v>
      </c>
      <c r="B6" s="285" t="s">
        <v>97</v>
      </c>
      <c r="C6" s="286" t="s">
        <v>184</v>
      </c>
      <c r="D6" s="287" t="s">
        <v>425</v>
      </c>
      <c r="E6" s="392" t="s">
        <v>472</v>
      </c>
      <c r="F6" s="6">
        <f t="shared" ref="F6:F37" si="14">ROW(D5)-ROW($F$4)</f>
        <v>1</v>
      </c>
      <c r="G6" s="299">
        <v>1</v>
      </c>
      <c r="H6" s="301" t="s">
        <v>426</v>
      </c>
      <c r="I6" s="301" t="s">
        <v>427</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3"/>
      <c r="B7" s="285" t="s">
        <v>96</v>
      </c>
      <c r="C7" s="286" t="s">
        <v>184</v>
      </c>
      <c r="D7" s="287" t="s">
        <v>429</v>
      </c>
      <c r="E7" s="392" t="s">
        <v>86</v>
      </c>
      <c r="F7" s="6">
        <f t="shared" si="14"/>
        <v>2</v>
      </c>
      <c r="G7" s="299">
        <v>1</v>
      </c>
      <c r="H7" s="301" t="s">
        <v>373</v>
      </c>
      <c r="I7" s="301" t="s">
        <v>374</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3"/>
      <c r="B8" s="285" t="s">
        <v>428</v>
      </c>
      <c r="C8" s="293" t="s">
        <v>119</v>
      </c>
      <c r="D8" s="287" t="s">
        <v>447</v>
      </c>
      <c r="E8" s="392" t="s">
        <v>468</v>
      </c>
      <c r="F8" s="6">
        <f t="shared" si="14"/>
        <v>3</v>
      </c>
      <c r="G8" s="299">
        <v>1</v>
      </c>
      <c r="H8" s="301" t="s">
        <v>375</v>
      </c>
      <c r="I8" s="301" t="s">
        <v>376</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35">
      <c r="A9" s="413"/>
      <c r="B9" s="366" t="s">
        <v>97</v>
      </c>
      <c r="C9" s="367" t="s">
        <v>184</v>
      </c>
      <c r="D9" s="368" t="s">
        <v>430</v>
      </c>
      <c r="E9" s="393" t="s">
        <v>472</v>
      </c>
      <c r="F9" s="6">
        <f t="shared" si="14"/>
        <v>4</v>
      </c>
      <c r="G9" s="370">
        <v>1</v>
      </c>
      <c r="H9" s="371" t="s">
        <v>426</v>
      </c>
      <c r="I9" s="371" t="s">
        <v>427</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3"/>
      <c r="B10" s="366" t="s">
        <v>98</v>
      </c>
      <c r="C10" s="386" t="s">
        <v>119</v>
      </c>
      <c r="D10" s="368" t="s">
        <v>448</v>
      </c>
      <c r="E10" s="393" t="s">
        <v>468</v>
      </c>
      <c r="F10" s="6">
        <f t="shared" si="14"/>
        <v>5</v>
      </c>
      <c r="G10" s="370">
        <v>1</v>
      </c>
      <c r="H10" s="371" t="s">
        <v>375</v>
      </c>
      <c r="I10" s="371" t="s">
        <v>376</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35">
      <c r="A11" s="413"/>
      <c r="B11" s="75" t="s">
        <v>97</v>
      </c>
      <c r="C11" s="76" t="s">
        <v>184</v>
      </c>
      <c r="D11" s="77" t="s">
        <v>432</v>
      </c>
      <c r="E11" s="396" t="s">
        <v>472</v>
      </c>
      <c r="F11" s="6">
        <f t="shared" si="14"/>
        <v>6</v>
      </c>
      <c r="G11" s="300">
        <v>1</v>
      </c>
      <c r="H11" s="302" t="s">
        <v>426</v>
      </c>
      <c r="I11" s="302" t="s">
        <v>427</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3"/>
      <c r="B12" s="75" t="s">
        <v>431</v>
      </c>
      <c r="C12" s="82" t="s">
        <v>119</v>
      </c>
      <c r="D12" s="77" t="s">
        <v>446</v>
      </c>
      <c r="E12" s="396" t="s">
        <v>468</v>
      </c>
      <c r="F12" s="6">
        <f t="shared" si="14"/>
        <v>7</v>
      </c>
      <c r="G12" s="300">
        <v>1</v>
      </c>
      <c r="H12" s="302" t="s">
        <v>434</v>
      </c>
      <c r="I12" s="302" t="s">
        <v>435</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3"/>
      <c r="B13" s="66" t="s">
        <v>97</v>
      </c>
      <c r="C13" s="67" t="s">
        <v>184</v>
      </c>
      <c r="D13" s="68" t="s">
        <v>50</v>
      </c>
      <c r="E13" s="397" t="s">
        <v>86</v>
      </c>
      <c r="F13" s="6">
        <f t="shared" si="14"/>
        <v>8</v>
      </c>
      <c r="G13" s="102">
        <v>1</v>
      </c>
      <c r="H13" s="114" t="s">
        <v>373</v>
      </c>
      <c r="I13" s="114" t="s">
        <v>374</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35">
      <c r="A14" s="413"/>
      <c r="B14" s="66" t="s">
        <v>97</v>
      </c>
      <c r="C14" s="67" t="s">
        <v>184</v>
      </c>
      <c r="D14" s="68" t="s">
        <v>61</v>
      </c>
      <c r="E14" s="397" t="s">
        <v>86</v>
      </c>
      <c r="F14" s="6">
        <f t="shared" si="14"/>
        <v>9</v>
      </c>
      <c r="G14" s="102">
        <v>1</v>
      </c>
      <c r="H14" s="114" t="s">
        <v>373</v>
      </c>
      <c r="I14" s="114" t="s">
        <v>374</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3"/>
      <c r="B15" s="66" t="s">
        <v>433</v>
      </c>
      <c r="C15" s="74" t="s">
        <v>119</v>
      </c>
      <c r="D15" s="68" t="s">
        <v>449</v>
      </c>
      <c r="E15" s="397" t="s">
        <v>468</v>
      </c>
      <c r="F15" s="6">
        <f t="shared" si="14"/>
        <v>10</v>
      </c>
      <c r="G15" s="102">
        <v>1</v>
      </c>
      <c r="H15" s="114" t="s">
        <v>375</v>
      </c>
      <c r="I15" s="114" t="s">
        <v>376</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 t="shared" ref="AT15:AW15" si="21">469087*($J$15/8760)^(-0.342)</f>
        <v>11979.357938918523</v>
      </c>
      <c r="AU15" s="69">
        <f t="shared" si="21"/>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3"/>
      <c r="B16" s="43" t="s">
        <v>97</v>
      </c>
      <c r="C16" s="44" t="s">
        <v>184</v>
      </c>
      <c r="D16" s="45" t="s">
        <v>296</v>
      </c>
      <c r="E16" s="398" t="s">
        <v>86</v>
      </c>
      <c r="F16" s="6">
        <f t="shared" si="14"/>
        <v>11</v>
      </c>
      <c r="G16" s="103">
        <v>1</v>
      </c>
      <c r="H16" s="115" t="s">
        <v>397</v>
      </c>
      <c r="I16" s="115" t="s">
        <v>398</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3"/>
      <c r="B17" s="43" t="s">
        <v>436</v>
      </c>
      <c r="C17" s="44" t="s">
        <v>119</v>
      </c>
      <c r="D17" s="45" t="s">
        <v>295</v>
      </c>
      <c r="E17" s="398" t="s">
        <v>468</v>
      </c>
      <c r="F17" s="6">
        <f t="shared" si="14"/>
        <v>12</v>
      </c>
      <c r="G17" s="103">
        <v>1</v>
      </c>
      <c r="H17" s="115" t="s">
        <v>375</v>
      </c>
      <c r="I17" s="115" t="s">
        <v>376</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3"/>
      <c r="B18" s="55" t="s">
        <v>97</v>
      </c>
      <c r="C18" s="56" t="s">
        <v>285</v>
      </c>
      <c r="D18" s="57" t="s">
        <v>297</v>
      </c>
      <c r="E18" s="399" t="s">
        <v>86</v>
      </c>
      <c r="F18" s="6">
        <f t="shared" si="14"/>
        <v>13</v>
      </c>
      <c r="G18" s="104">
        <v>1</v>
      </c>
      <c r="H18" s="116" t="s">
        <v>381</v>
      </c>
      <c r="I18" s="116" t="s">
        <v>382</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3"/>
      <c r="B19" s="55" t="s">
        <v>97</v>
      </c>
      <c r="C19" s="62" t="s">
        <v>184</v>
      </c>
      <c r="D19" s="57" t="s">
        <v>302</v>
      </c>
      <c r="E19" s="399" t="s">
        <v>86</v>
      </c>
      <c r="F19" s="6">
        <f t="shared" si="14"/>
        <v>14</v>
      </c>
      <c r="G19" s="104">
        <v>1</v>
      </c>
      <c r="H19" s="116" t="s">
        <v>399</v>
      </c>
      <c r="I19" s="116" t="s">
        <v>402</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3"/>
      <c r="B20" s="55" t="s">
        <v>437</v>
      </c>
      <c r="C20" s="62" t="s">
        <v>184</v>
      </c>
      <c r="D20" s="57" t="s">
        <v>298</v>
      </c>
      <c r="E20" s="399" t="s">
        <v>86</v>
      </c>
      <c r="F20" s="6">
        <f t="shared" si="14"/>
        <v>15</v>
      </c>
      <c r="G20" s="104">
        <v>1</v>
      </c>
      <c r="H20" s="116" t="s">
        <v>397</v>
      </c>
      <c r="I20" s="116" t="s">
        <v>398</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3"/>
      <c r="B21" s="55" t="s">
        <v>438</v>
      </c>
      <c r="C21" s="56" t="s">
        <v>119</v>
      </c>
      <c r="D21" s="57" t="s">
        <v>301</v>
      </c>
      <c r="E21" s="399" t="s">
        <v>86</v>
      </c>
      <c r="F21" s="6">
        <f t="shared" si="14"/>
        <v>16</v>
      </c>
      <c r="G21" s="104">
        <v>1</v>
      </c>
      <c r="H21" s="116" t="s">
        <v>400</v>
      </c>
      <c r="I21" s="116" t="s">
        <v>401</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3"/>
      <c r="B22" s="75" t="s">
        <v>97</v>
      </c>
      <c r="C22" s="82" t="s">
        <v>285</v>
      </c>
      <c r="D22" s="77" t="s">
        <v>360</v>
      </c>
      <c r="E22" s="396" t="s">
        <v>86</v>
      </c>
      <c r="F22" s="6">
        <f t="shared" si="14"/>
        <v>17</v>
      </c>
      <c r="G22" s="105">
        <v>1</v>
      </c>
      <c r="H22" s="117" t="s">
        <v>381</v>
      </c>
      <c r="I22" s="117" t="s">
        <v>382</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3"/>
      <c r="B23" s="75" t="s">
        <v>97</v>
      </c>
      <c r="C23" s="76" t="s">
        <v>184</v>
      </c>
      <c r="D23" s="77" t="s">
        <v>288</v>
      </c>
      <c r="E23" s="396" t="s">
        <v>86</v>
      </c>
      <c r="F23" s="6">
        <f t="shared" si="14"/>
        <v>18</v>
      </c>
      <c r="G23" s="105">
        <v>1</v>
      </c>
      <c r="H23" s="117" t="s">
        <v>377</v>
      </c>
      <c r="I23" s="117" t="s">
        <v>378</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3"/>
      <c r="B24" s="75" t="s">
        <v>97</v>
      </c>
      <c r="C24" s="76" t="s">
        <v>184</v>
      </c>
      <c r="D24" s="77" t="s">
        <v>287</v>
      </c>
      <c r="E24" s="396" t="s">
        <v>86</v>
      </c>
      <c r="F24" s="6">
        <f t="shared" si="14"/>
        <v>19</v>
      </c>
      <c r="G24" s="105">
        <v>1</v>
      </c>
      <c r="H24" s="117" t="s">
        <v>377</v>
      </c>
      <c r="I24" s="117" t="s">
        <v>378</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3"/>
      <c r="B25" s="75" t="s">
        <v>97</v>
      </c>
      <c r="C25" s="76" t="s">
        <v>184</v>
      </c>
      <c r="D25" s="77" t="s">
        <v>290</v>
      </c>
      <c r="E25" s="396" t="s">
        <v>86</v>
      </c>
      <c r="F25" s="6">
        <f t="shared" si="14"/>
        <v>20</v>
      </c>
      <c r="G25" s="105">
        <v>1</v>
      </c>
      <c r="H25" s="117" t="s">
        <v>379</v>
      </c>
      <c r="I25" s="117" t="s">
        <v>380</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3"/>
      <c r="B26" s="75" t="s">
        <v>97</v>
      </c>
      <c r="C26" s="76" t="s">
        <v>184</v>
      </c>
      <c r="D26" s="77" t="s">
        <v>289</v>
      </c>
      <c r="E26" s="396" t="s">
        <v>86</v>
      </c>
      <c r="F26" s="6">
        <f t="shared" si="14"/>
        <v>21</v>
      </c>
      <c r="G26" s="105">
        <v>1</v>
      </c>
      <c r="H26" s="117" t="s">
        <v>379</v>
      </c>
      <c r="I26" s="117" t="s">
        <v>380</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3"/>
      <c r="B27" s="75" t="s">
        <v>439</v>
      </c>
      <c r="C27" s="82" t="s">
        <v>119</v>
      </c>
      <c r="D27" s="77" t="s">
        <v>361</v>
      </c>
      <c r="E27" s="396" t="s">
        <v>468</v>
      </c>
      <c r="F27" s="6">
        <f t="shared" si="14"/>
        <v>22</v>
      </c>
      <c r="G27" s="105">
        <v>1</v>
      </c>
      <c r="H27" s="117" t="s">
        <v>383</v>
      </c>
      <c r="I27" s="117" t="s">
        <v>384</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3"/>
      <c r="B28" s="75" t="s">
        <v>439</v>
      </c>
      <c r="C28" s="82" t="s">
        <v>119</v>
      </c>
      <c r="D28" s="77" t="s">
        <v>362</v>
      </c>
      <c r="E28" s="396" t="s">
        <v>468</v>
      </c>
      <c r="F28" s="6">
        <f t="shared" si="14"/>
        <v>23</v>
      </c>
      <c r="G28" s="105">
        <v>1</v>
      </c>
      <c r="H28" s="117" t="s">
        <v>383</v>
      </c>
      <c r="I28" s="117" t="s">
        <v>384</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3"/>
      <c r="B29" s="75" t="s">
        <v>439</v>
      </c>
      <c r="C29" s="82" t="s">
        <v>119</v>
      </c>
      <c r="D29" s="77" t="s">
        <v>363</v>
      </c>
      <c r="E29" s="396" t="s">
        <v>468</v>
      </c>
      <c r="F29" s="6">
        <f t="shared" si="14"/>
        <v>24</v>
      </c>
      <c r="G29" s="105">
        <v>1</v>
      </c>
      <c r="H29" s="117" t="s">
        <v>383</v>
      </c>
      <c r="I29" s="117" t="s">
        <v>384</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3"/>
      <c r="B30" s="75" t="s">
        <v>439</v>
      </c>
      <c r="C30" s="82" t="s">
        <v>119</v>
      </c>
      <c r="D30" s="77" t="s">
        <v>364</v>
      </c>
      <c r="E30" s="396" t="s">
        <v>468</v>
      </c>
      <c r="F30" s="6">
        <f t="shared" si="14"/>
        <v>25</v>
      </c>
      <c r="G30" s="105">
        <v>1</v>
      </c>
      <c r="H30" s="117" t="s">
        <v>383</v>
      </c>
      <c r="I30" s="117" t="s">
        <v>384</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3"/>
      <c r="B31" s="83" t="s">
        <v>97</v>
      </c>
      <c r="C31" s="84" t="s">
        <v>119</v>
      </c>
      <c r="D31" s="85" t="s">
        <v>365</v>
      </c>
      <c r="E31" s="400" t="s">
        <v>467</v>
      </c>
      <c r="F31" s="6">
        <f t="shared" si="14"/>
        <v>26</v>
      </c>
      <c r="G31" s="106">
        <v>1</v>
      </c>
      <c r="H31" s="118" t="s">
        <v>385</v>
      </c>
      <c r="I31" s="118" t="s">
        <v>386</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3"/>
      <c r="B32" s="83" t="s">
        <v>97</v>
      </c>
      <c r="C32" s="84" t="s">
        <v>119</v>
      </c>
      <c r="D32" s="85" t="s">
        <v>366</v>
      </c>
      <c r="E32" s="400" t="s">
        <v>467</v>
      </c>
      <c r="F32" s="6">
        <f t="shared" si="14"/>
        <v>27</v>
      </c>
      <c r="G32" s="106">
        <v>1</v>
      </c>
      <c r="H32" s="118" t="s">
        <v>385</v>
      </c>
      <c r="I32" s="118" t="s">
        <v>386</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3"/>
      <c r="B33" s="91" t="s">
        <v>97</v>
      </c>
      <c r="C33" s="65" t="s">
        <v>119</v>
      </c>
      <c r="D33" s="92" t="s">
        <v>174</v>
      </c>
      <c r="E33" s="401" t="s">
        <v>86</v>
      </c>
      <c r="F33" s="6">
        <f t="shared" si="14"/>
        <v>28</v>
      </c>
      <c r="G33" s="107">
        <v>1</v>
      </c>
      <c r="H33" s="119" t="s">
        <v>387</v>
      </c>
      <c r="I33" s="119" t="s">
        <v>388</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3"/>
      <c r="B34" s="173" t="s">
        <v>440</v>
      </c>
      <c r="C34" s="65" t="s">
        <v>184</v>
      </c>
      <c r="D34" s="174" t="s">
        <v>300</v>
      </c>
      <c r="E34" s="402" t="s">
        <v>86</v>
      </c>
      <c r="F34" s="6">
        <f t="shared" si="14"/>
        <v>29</v>
      </c>
      <c r="G34" s="175">
        <v>1</v>
      </c>
      <c r="H34" s="176" t="s">
        <v>387</v>
      </c>
      <c r="I34" s="176" t="s">
        <v>388</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3"/>
      <c r="B35" s="217" t="s">
        <v>282</v>
      </c>
      <c r="C35" s="218" t="s">
        <v>13</v>
      </c>
      <c r="D35" s="219" t="s">
        <v>166</v>
      </c>
      <c r="E35" s="403" t="s">
        <v>86</v>
      </c>
      <c r="F35" s="6">
        <f t="shared" si="14"/>
        <v>30</v>
      </c>
      <c r="G35" s="220">
        <v>1</v>
      </c>
      <c r="H35" s="221" t="s">
        <v>387</v>
      </c>
      <c r="I35" s="221" t="s">
        <v>388</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3"/>
      <c r="B36" s="217" t="s">
        <v>282</v>
      </c>
      <c r="C36" s="218" t="s">
        <v>13</v>
      </c>
      <c r="D36" s="219" t="s">
        <v>367</v>
      </c>
      <c r="E36" s="403" t="s">
        <v>86</v>
      </c>
      <c r="F36" s="6">
        <f t="shared" si="14"/>
        <v>31</v>
      </c>
      <c r="G36" s="220">
        <v>1</v>
      </c>
      <c r="H36" s="221" t="s">
        <v>387</v>
      </c>
      <c r="I36" s="221" t="s">
        <v>388</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3"/>
      <c r="B37" s="217" t="s">
        <v>282</v>
      </c>
      <c r="C37" s="218" t="s">
        <v>13</v>
      </c>
      <c r="D37" s="219" t="s">
        <v>368</v>
      </c>
      <c r="E37" s="403" t="s">
        <v>86</v>
      </c>
      <c r="F37" s="6">
        <f t="shared" si="14"/>
        <v>32</v>
      </c>
      <c r="G37" s="220">
        <v>1</v>
      </c>
      <c r="H37" s="221" t="s">
        <v>387</v>
      </c>
      <c r="I37" s="221" t="s">
        <v>388</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3"/>
      <c r="B38" s="217" t="s">
        <v>282</v>
      </c>
      <c r="C38" s="218" t="s">
        <v>13</v>
      </c>
      <c r="D38" s="219" t="s">
        <v>369</v>
      </c>
      <c r="E38" s="403" t="s">
        <v>86</v>
      </c>
      <c r="F38" s="6">
        <f t="shared" ref="F38:F69" si="58">ROW(D37)-ROW($F$4)</f>
        <v>33</v>
      </c>
      <c r="G38" s="220">
        <v>1</v>
      </c>
      <c r="H38" s="221" t="s">
        <v>387</v>
      </c>
      <c r="I38" s="221" t="s">
        <v>388</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3"/>
      <c r="B39" s="217" t="s">
        <v>282</v>
      </c>
      <c r="C39" s="218" t="s">
        <v>13</v>
      </c>
      <c r="D39" s="219" t="s">
        <v>370</v>
      </c>
      <c r="E39" s="403" t="s">
        <v>86</v>
      </c>
      <c r="F39" s="6">
        <f t="shared" si="58"/>
        <v>34</v>
      </c>
      <c r="G39" s="220">
        <v>1</v>
      </c>
      <c r="H39" s="221" t="s">
        <v>387</v>
      </c>
      <c r="I39" s="221" t="s">
        <v>388</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3"/>
      <c r="B40" s="217" t="s">
        <v>97</v>
      </c>
      <c r="C40" s="218" t="s">
        <v>92</v>
      </c>
      <c r="D40" s="219" t="s">
        <v>28</v>
      </c>
      <c r="E40" s="403" t="s">
        <v>86</v>
      </c>
      <c r="F40" s="6">
        <f t="shared" si="58"/>
        <v>35</v>
      </c>
      <c r="G40" s="220">
        <v>1</v>
      </c>
      <c r="H40" s="221" t="s">
        <v>393</v>
      </c>
      <c r="I40" s="221" t="s">
        <v>394</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3"/>
      <c r="B41" s="194" t="s">
        <v>280</v>
      </c>
      <c r="C41" s="195" t="s">
        <v>184</v>
      </c>
      <c r="D41" s="196" t="s">
        <v>25</v>
      </c>
      <c r="E41" s="404" t="s">
        <v>86</v>
      </c>
      <c r="F41" s="6">
        <f t="shared" si="58"/>
        <v>36</v>
      </c>
      <c r="G41" s="197">
        <v>1</v>
      </c>
      <c r="H41" s="198" t="s">
        <v>389</v>
      </c>
      <c r="I41" s="198" t="s">
        <v>390</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3"/>
      <c r="B42" s="194" t="str">
        <f>B41</f>
        <v>Reactant11</v>
      </c>
      <c r="C42" s="195" t="s">
        <v>184</v>
      </c>
      <c r="D42" s="196" t="s">
        <v>164</v>
      </c>
      <c r="E42" s="404" t="s">
        <v>86</v>
      </c>
      <c r="F42" s="6">
        <f t="shared" si="58"/>
        <v>37</v>
      </c>
      <c r="G42" s="197">
        <v>1</v>
      </c>
      <c r="H42" s="198" t="s">
        <v>389</v>
      </c>
      <c r="I42" s="198" t="s">
        <v>390</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3"/>
      <c r="B43" s="194" t="str">
        <f>B41</f>
        <v>Reactant11</v>
      </c>
      <c r="C43" s="195" t="s">
        <v>184</v>
      </c>
      <c r="D43" s="196" t="s">
        <v>165</v>
      </c>
      <c r="E43" s="404" t="s">
        <v>86</v>
      </c>
      <c r="F43" s="6">
        <f t="shared" si="58"/>
        <v>38</v>
      </c>
      <c r="G43" s="197">
        <v>1</v>
      </c>
      <c r="H43" s="198" t="s">
        <v>389</v>
      </c>
      <c r="I43" s="198" t="s">
        <v>390</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3"/>
      <c r="B44" s="75" t="s">
        <v>19</v>
      </c>
      <c r="C44" s="82" t="s">
        <v>21</v>
      </c>
      <c r="D44" s="77" t="s">
        <v>26</v>
      </c>
      <c r="E44" s="396" t="s">
        <v>86</v>
      </c>
      <c r="F44" s="6">
        <f t="shared" si="58"/>
        <v>39</v>
      </c>
      <c r="G44" s="105">
        <v>1</v>
      </c>
      <c r="H44" s="117" t="s">
        <v>391</v>
      </c>
      <c r="I44" s="117" t="s">
        <v>392</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3"/>
      <c r="B45" s="75" t="s">
        <v>20</v>
      </c>
      <c r="C45" s="82" t="s">
        <v>22</v>
      </c>
      <c r="D45" s="77" t="s">
        <v>27</v>
      </c>
      <c r="E45" s="396" t="s">
        <v>86</v>
      </c>
      <c r="F45" s="6">
        <f t="shared" si="58"/>
        <v>40</v>
      </c>
      <c r="G45" s="105">
        <v>1</v>
      </c>
      <c r="H45" s="117" t="s">
        <v>391</v>
      </c>
      <c r="I45" s="117" t="s">
        <v>392</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3"/>
      <c r="B46" s="78" t="s">
        <v>184</v>
      </c>
      <c r="C46" s="82" t="s">
        <v>286</v>
      </c>
      <c r="D46" s="77" t="s">
        <v>281</v>
      </c>
      <c r="E46" s="396" t="s">
        <v>86</v>
      </c>
      <c r="F46" s="6">
        <f t="shared" si="58"/>
        <v>41</v>
      </c>
      <c r="G46" s="105">
        <v>1</v>
      </c>
      <c r="H46" s="117" t="s">
        <v>391</v>
      </c>
      <c r="I46" s="117" t="s">
        <v>392</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3"/>
      <c r="B47" s="83" t="s">
        <v>14</v>
      </c>
      <c r="C47" s="241" t="s">
        <v>184</v>
      </c>
      <c r="D47" s="85" t="s">
        <v>29</v>
      </c>
      <c r="E47" s="400" t="s">
        <v>86</v>
      </c>
      <c r="F47" s="6">
        <f t="shared" si="58"/>
        <v>42</v>
      </c>
      <c r="G47" s="106">
        <v>1</v>
      </c>
      <c r="H47" s="118" t="s">
        <v>387</v>
      </c>
      <c r="I47" s="118" t="s">
        <v>388</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3"/>
      <c r="B48" s="83" t="s">
        <v>15</v>
      </c>
      <c r="C48" s="241" t="s">
        <v>184</v>
      </c>
      <c r="D48" s="85" t="s">
        <v>30</v>
      </c>
      <c r="E48" s="400" t="s">
        <v>86</v>
      </c>
      <c r="F48" s="6">
        <f t="shared" si="58"/>
        <v>43</v>
      </c>
      <c r="G48" s="106">
        <v>1</v>
      </c>
      <c r="H48" s="118" t="s">
        <v>387</v>
      </c>
      <c r="I48" s="118" t="s">
        <v>388</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3"/>
      <c r="B49" s="83" t="s">
        <v>16</v>
      </c>
      <c r="C49" s="241" t="s">
        <v>184</v>
      </c>
      <c r="D49" s="245" t="s">
        <v>31</v>
      </c>
      <c r="E49" s="400" t="s">
        <v>86</v>
      </c>
      <c r="F49" s="6">
        <f t="shared" si="58"/>
        <v>44</v>
      </c>
      <c r="G49" s="106">
        <v>1</v>
      </c>
      <c r="H49" s="118" t="s">
        <v>388</v>
      </c>
      <c r="I49" s="118" t="s">
        <v>388</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3"/>
      <c r="B50" s="43" t="s">
        <v>14</v>
      </c>
      <c r="C50" s="246" t="s">
        <v>184</v>
      </c>
      <c r="D50" s="247" t="s">
        <v>111</v>
      </c>
      <c r="E50" s="398" t="s">
        <v>86</v>
      </c>
      <c r="F50" s="6">
        <f t="shared" si="58"/>
        <v>45</v>
      </c>
      <c r="G50" s="103">
        <v>1</v>
      </c>
      <c r="H50" s="115" t="s">
        <v>387</v>
      </c>
      <c r="I50" s="115" t="s">
        <v>388</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3"/>
      <c r="B51" s="43" t="s">
        <v>15</v>
      </c>
      <c r="C51" s="246" t="s">
        <v>184</v>
      </c>
      <c r="D51" s="247" t="s">
        <v>112</v>
      </c>
      <c r="E51" s="398" t="s">
        <v>86</v>
      </c>
      <c r="F51" s="6">
        <f t="shared" si="58"/>
        <v>46</v>
      </c>
      <c r="G51" s="103">
        <v>1</v>
      </c>
      <c r="H51" s="115" t="s">
        <v>387</v>
      </c>
      <c r="I51" s="115" t="s">
        <v>388</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17"/>
      <c r="B52" s="43" t="s">
        <v>16</v>
      </c>
      <c r="C52" s="246" t="s">
        <v>184</v>
      </c>
      <c r="D52" s="247" t="s">
        <v>113</v>
      </c>
      <c r="E52" s="398" t="s">
        <v>86</v>
      </c>
      <c r="F52" s="6">
        <f t="shared" si="58"/>
        <v>47</v>
      </c>
      <c r="G52" s="103">
        <v>1</v>
      </c>
      <c r="H52" s="115" t="s">
        <v>388</v>
      </c>
      <c r="I52" s="115" t="s">
        <v>388</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3" t="s">
        <v>17</v>
      </c>
      <c r="B53" s="335" t="s">
        <v>39</v>
      </c>
      <c r="C53" s="336" t="s">
        <v>184</v>
      </c>
      <c r="D53" s="337" t="s">
        <v>36</v>
      </c>
      <c r="E53" s="405" t="s">
        <v>466</v>
      </c>
      <c r="F53" s="6">
        <f t="shared" si="58"/>
        <v>48</v>
      </c>
      <c r="G53" s="338">
        <v>1</v>
      </c>
      <c r="H53" s="339" t="s">
        <v>395</v>
      </c>
      <c r="I53" s="339" t="s">
        <v>396</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3"/>
      <c r="B54" s="248" t="s">
        <v>38</v>
      </c>
      <c r="C54" s="234" t="s">
        <v>184</v>
      </c>
      <c r="D54" s="249" t="s">
        <v>37</v>
      </c>
      <c r="E54" s="403" t="s">
        <v>466</v>
      </c>
      <c r="F54" s="6">
        <f t="shared" si="58"/>
        <v>49</v>
      </c>
      <c r="G54" s="220">
        <v>1</v>
      </c>
      <c r="H54" s="221" t="s">
        <v>395</v>
      </c>
      <c r="I54" s="221" t="s">
        <v>396</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3"/>
      <c r="B55" s="250" t="str">
        <f t="shared" ref="B55:B66" si="97">CONCATENATE("RPU_"&amp;D55)</f>
        <v>RPU_ON_SP198-HH100</v>
      </c>
      <c r="C55" s="65" t="s">
        <v>184</v>
      </c>
      <c r="D55" s="174" t="s">
        <v>114</v>
      </c>
      <c r="E55" s="402" t="s">
        <v>470</v>
      </c>
      <c r="F55" s="6">
        <f t="shared" si="58"/>
        <v>50</v>
      </c>
      <c r="G55" s="175">
        <v>1</v>
      </c>
      <c r="H55" s="176" t="s">
        <v>395</v>
      </c>
      <c r="I55" s="176" t="s">
        <v>396</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3"/>
      <c r="B56" s="250" t="str">
        <f t="shared" si="97"/>
        <v>RPU_ON_SP198-HH150</v>
      </c>
      <c r="C56" s="65" t="s">
        <v>184</v>
      </c>
      <c r="D56" s="174" t="s">
        <v>40</v>
      </c>
      <c r="E56" s="402" t="s">
        <v>470</v>
      </c>
      <c r="F56" s="6">
        <f t="shared" si="58"/>
        <v>51</v>
      </c>
      <c r="G56" s="175">
        <v>1</v>
      </c>
      <c r="H56" s="176" t="s">
        <v>395</v>
      </c>
      <c r="I56" s="176" t="s">
        <v>396</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3"/>
      <c r="B57" s="250" t="str">
        <f t="shared" si="97"/>
        <v>RPU_ON_SP237-HH100</v>
      </c>
      <c r="C57" s="65" t="s">
        <v>184</v>
      </c>
      <c r="D57" s="174" t="s">
        <v>41</v>
      </c>
      <c r="E57" s="402" t="s">
        <v>470</v>
      </c>
      <c r="F57" s="6">
        <f t="shared" si="58"/>
        <v>52</v>
      </c>
      <c r="G57" s="175">
        <v>1</v>
      </c>
      <c r="H57" s="176" t="s">
        <v>395</v>
      </c>
      <c r="I57" s="176" t="s">
        <v>396</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35">
      <c r="A58" s="413"/>
      <c r="B58" s="250" t="str">
        <f t="shared" si="97"/>
        <v>RPU_ON_SP237-HH150</v>
      </c>
      <c r="C58" s="65" t="s">
        <v>184</v>
      </c>
      <c r="D58" s="174" t="s">
        <v>42</v>
      </c>
      <c r="E58" s="402" t="s">
        <v>470</v>
      </c>
      <c r="F58" s="6">
        <f t="shared" si="58"/>
        <v>53</v>
      </c>
      <c r="G58" s="175">
        <v>1</v>
      </c>
      <c r="H58" s="176" t="s">
        <v>395</v>
      </c>
      <c r="I58" s="176" t="s">
        <v>396</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35">
      <c r="A59" s="413"/>
      <c r="B59" s="250" t="str">
        <f t="shared" si="97"/>
        <v>RPU_ON_SP277-HH100</v>
      </c>
      <c r="C59" s="65" t="s">
        <v>184</v>
      </c>
      <c r="D59" s="174" t="s">
        <v>43</v>
      </c>
      <c r="E59" s="402" t="s">
        <v>470</v>
      </c>
      <c r="F59" s="6">
        <f t="shared" si="58"/>
        <v>54</v>
      </c>
      <c r="G59" s="175">
        <v>1</v>
      </c>
      <c r="H59" s="176" t="s">
        <v>395</v>
      </c>
      <c r="I59" s="176" t="s">
        <v>396</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35">
      <c r="A60" s="413"/>
      <c r="B60" s="250" t="str">
        <f t="shared" si="97"/>
        <v>RPU_ON_SP277-HH150</v>
      </c>
      <c r="C60" s="65" t="s">
        <v>184</v>
      </c>
      <c r="D60" s="174" t="s">
        <v>44</v>
      </c>
      <c r="E60" s="402" t="s">
        <v>470</v>
      </c>
      <c r="F60" s="6">
        <f t="shared" si="58"/>
        <v>55</v>
      </c>
      <c r="G60" s="175">
        <v>1</v>
      </c>
      <c r="H60" s="176" t="s">
        <v>395</v>
      </c>
      <c r="I60" s="176" t="s">
        <v>396</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35">
      <c r="A61" s="413"/>
      <c r="B61" s="250" t="str">
        <f t="shared" si="97"/>
        <v>RPU_ON_SP321-HH100</v>
      </c>
      <c r="C61" s="65" t="s">
        <v>184</v>
      </c>
      <c r="D61" s="174" t="s">
        <v>45</v>
      </c>
      <c r="E61" s="402" t="s">
        <v>470</v>
      </c>
      <c r="F61" s="6">
        <f t="shared" si="58"/>
        <v>56</v>
      </c>
      <c r="G61" s="175">
        <v>1</v>
      </c>
      <c r="H61" s="176" t="s">
        <v>395</v>
      </c>
      <c r="I61" s="176" t="s">
        <v>396</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35">
      <c r="A62" s="413"/>
      <c r="B62" s="250" t="str">
        <f t="shared" si="97"/>
        <v>RPU_ON_SP321-HH150</v>
      </c>
      <c r="C62" s="65" t="s">
        <v>184</v>
      </c>
      <c r="D62" s="174" t="s">
        <v>46</v>
      </c>
      <c r="E62" s="402" t="s">
        <v>470</v>
      </c>
      <c r="F62" s="6">
        <f t="shared" si="58"/>
        <v>57</v>
      </c>
      <c r="G62" s="175">
        <v>1</v>
      </c>
      <c r="H62" s="176" t="s">
        <v>395</v>
      </c>
      <c r="I62" s="176" t="s">
        <v>396</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35">
      <c r="A63" s="413"/>
      <c r="B63" s="252" t="str">
        <f t="shared" si="97"/>
        <v>RPU_OFF_SP379-HH100</v>
      </c>
      <c r="C63" s="184" t="s">
        <v>184</v>
      </c>
      <c r="D63" s="185" t="s">
        <v>47</v>
      </c>
      <c r="E63" s="406" t="s">
        <v>471</v>
      </c>
      <c r="F63" s="6">
        <f t="shared" si="58"/>
        <v>58</v>
      </c>
      <c r="G63" s="186">
        <v>1</v>
      </c>
      <c r="H63" s="253" t="s">
        <v>395</v>
      </c>
      <c r="I63" s="253" t="s">
        <v>396</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35">
      <c r="A64" s="413"/>
      <c r="B64" s="252" t="str">
        <f t="shared" si="97"/>
        <v>RPU_OFF_SP379-HH150</v>
      </c>
      <c r="C64" s="184" t="s">
        <v>184</v>
      </c>
      <c r="D64" s="185" t="s">
        <v>48</v>
      </c>
      <c r="E64" s="406" t="s">
        <v>471</v>
      </c>
      <c r="F64" s="6">
        <f t="shared" si="58"/>
        <v>59</v>
      </c>
      <c r="G64" s="186">
        <v>1</v>
      </c>
      <c r="H64" s="253" t="s">
        <v>395</v>
      </c>
      <c r="I64" s="253" t="s">
        <v>396</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35">
      <c r="A65" s="413"/>
      <c r="B65" s="252" t="str">
        <f t="shared" si="97"/>
        <v>RPU_OFF_SP450-HH100</v>
      </c>
      <c r="C65" s="184" t="s">
        <v>184</v>
      </c>
      <c r="D65" s="185" t="s">
        <v>49</v>
      </c>
      <c r="E65" s="406" t="s">
        <v>471</v>
      </c>
      <c r="F65" s="6">
        <f t="shared" si="58"/>
        <v>60</v>
      </c>
      <c r="G65" s="186">
        <v>1</v>
      </c>
      <c r="H65" s="253" t="s">
        <v>395</v>
      </c>
      <c r="I65" s="253" t="s">
        <v>396</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35">
      <c r="A66" s="413"/>
      <c r="B66" s="252" t="str">
        <f t="shared" si="97"/>
        <v>RPU_OFF_SP450-HH150</v>
      </c>
      <c r="C66" s="184" t="s">
        <v>184</v>
      </c>
      <c r="D66" s="185" t="s">
        <v>115</v>
      </c>
      <c r="E66" s="406" t="s">
        <v>471</v>
      </c>
      <c r="F66" s="6">
        <f t="shared" si="58"/>
        <v>61</v>
      </c>
      <c r="G66" s="186">
        <v>1</v>
      </c>
      <c r="H66" s="253" t="s">
        <v>395</v>
      </c>
      <c r="I66" s="253" t="s">
        <v>396</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 customHeight="1" x14ac:dyDescent="0.35">
      <c r="A67" s="413"/>
      <c r="B67" s="256" t="s">
        <v>328</v>
      </c>
      <c r="C67" s="76" t="s">
        <v>184</v>
      </c>
      <c r="D67" s="257" t="s">
        <v>329</v>
      </c>
      <c r="E67" s="396" t="s">
        <v>86</v>
      </c>
      <c r="F67" s="6">
        <f t="shared" si="58"/>
        <v>62</v>
      </c>
      <c r="G67" s="105">
        <v>1</v>
      </c>
      <c r="H67" s="117" t="s">
        <v>395</v>
      </c>
      <c r="I67" s="117" t="s">
        <v>396</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3"/>
      <c r="B68" s="256" t="s">
        <v>330</v>
      </c>
      <c r="C68" s="76" t="s">
        <v>184</v>
      </c>
      <c r="D68" s="257" t="s">
        <v>331</v>
      </c>
      <c r="E68" s="396" t="s">
        <v>86</v>
      </c>
      <c r="F68" s="6">
        <f t="shared" si="58"/>
        <v>63</v>
      </c>
      <c r="G68" s="105">
        <v>1</v>
      </c>
      <c r="H68" s="117" t="s">
        <v>395</v>
      </c>
      <c r="I68" s="117" t="s">
        <v>396</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3"/>
      <c r="B69" s="256" t="s">
        <v>332</v>
      </c>
      <c r="C69" s="76" t="s">
        <v>184</v>
      </c>
      <c r="D69" s="257" t="s">
        <v>333</v>
      </c>
      <c r="E69" s="396" t="s">
        <v>86</v>
      </c>
      <c r="F69" s="6">
        <f t="shared" si="58"/>
        <v>64</v>
      </c>
      <c r="G69" s="105">
        <v>1</v>
      </c>
      <c r="H69" s="117" t="s">
        <v>395</v>
      </c>
      <c r="I69" s="117" t="s">
        <v>396</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3"/>
      <c r="B70" s="256" t="s">
        <v>334</v>
      </c>
      <c r="C70" s="76" t="s">
        <v>184</v>
      </c>
      <c r="D70" s="257" t="s">
        <v>335</v>
      </c>
      <c r="E70" s="396" t="s">
        <v>86</v>
      </c>
      <c r="F70" s="6">
        <f t="shared" ref="F70:F82" si="120">ROW(D69)-ROW($F$4)</f>
        <v>65</v>
      </c>
      <c r="G70" s="105">
        <v>1</v>
      </c>
      <c r="H70" s="117" t="s">
        <v>395</v>
      </c>
      <c r="I70" s="117" t="s">
        <v>396</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3"/>
      <c r="B71" s="259" t="s">
        <v>14</v>
      </c>
      <c r="C71" s="260" t="s">
        <v>184</v>
      </c>
      <c r="D71" s="261" t="s">
        <v>182</v>
      </c>
      <c r="E71" s="407" t="s">
        <v>86</v>
      </c>
      <c r="F71" s="6">
        <f t="shared" si="120"/>
        <v>66</v>
      </c>
      <c r="G71" s="262">
        <v>1</v>
      </c>
      <c r="H71" s="263" t="s">
        <v>395</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3"/>
      <c r="B72" s="259" t="s">
        <v>15</v>
      </c>
      <c r="C72" s="260" t="s">
        <v>184</v>
      </c>
      <c r="D72" s="261" t="s">
        <v>183</v>
      </c>
      <c r="E72" s="407" t="s">
        <v>86</v>
      </c>
      <c r="F72" s="6">
        <f t="shared" si="120"/>
        <v>67</v>
      </c>
      <c r="G72" s="262">
        <v>1</v>
      </c>
      <c r="H72" s="263" t="s">
        <v>395</v>
      </c>
      <c r="I72" s="263" t="s">
        <v>396</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3"/>
      <c r="B73" s="270" t="s">
        <v>16</v>
      </c>
      <c r="C73" s="271" t="s">
        <v>184</v>
      </c>
      <c r="D73" s="272" t="s">
        <v>336</v>
      </c>
      <c r="E73" s="408" t="s">
        <v>86</v>
      </c>
      <c r="F73" s="6">
        <f t="shared" si="120"/>
        <v>68</v>
      </c>
      <c r="G73" s="273">
        <v>1</v>
      </c>
      <c r="H73" s="274" t="s">
        <v>396</v>
      </c>
      <c r="I73" s="274" t="s">
        <v>396</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3"/>
      <c r="B74" s="270" t="s">
        <v>16</v>
      </c>
      <c r="C74" s="271" t="s">
        <v>184</v>
      </c>
      <c r="D74" s="272" t="s">
        <v>337</v>
      </c>
      <c r="E74" s="408" t="s">
        <v>86</v>
      </c>
      <c r="F74" s="6">
        <f t="shared" si="120"/>
        <v>69</v>
      </c>
      <c r="G74" s="273">
        <v>1</v>
      </c>
      <c r="H74" s="274" t="s">
        <v>396</v>
      </c>
      <c r="I74" s="274" t="s">
        <v>396</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3"/>
      <c r="B75" s="270" t="s">
        <v>16</v>
      </c>
      <c r="C75" s="271" t="s">
        <v>184</v>
      </c>
      <c r="D75" s="272" t="s">
        <v>415</v>
      </c>
      <c r="E75" s="408" t="s">
        <v>86</v>
      </c>
      <c r="F75" s="6">
        <f t="shared" si="120"/>
        <v>70</v>
      </c>
      <c r="G75" s="273">
        <v>1</v>
      </c>
      <c r="H75" s="274" t="s">
        <v>396</v>
      </c>
      <c r="I75" s="274" t="s">
        <v>396</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3"/>
      <c r="B76" s="270" t="s">
        <v>16</v>
      </c>
      <c r="C76" s="271" t="s">
        <v>184</v>
      </c>
      <c r="D76" s="272" t="s">
        <v>338</v>
      </c>
      <c r="E76" s="408" t="s">
        <v>86</v>
      </c>
      <c r="F76" s="6">
        <f t="shared" si="120"/>
        <v>71</v>
      </c>
      <c r="G76" s="273">
        <v>1</v>
      </c>
      <c r="H76" s="274" t="s">
        <v>396</v>
      </c>
      <c r="I76" s="274" t="s">
        <v>396</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3"/>
      <c r="B77" s="171" t="s">
        <v>184</v>
      </c>
      <c r="C77" s="7" t="s">
        <v>184</v>
      </c>
      <c r="D77" s="169" t="s">
        <v>339</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3"/>
      <c r="B78" s="281" t="s">
        <v>18</v>
      </c>
      <c r="C78" s="207" t="s">
        <v>23</v>
      </c>
      <c r="D78" s="282" t="s">
        <v>32</v>
      </c>
      <c r="E78" s="409" t="s">
        <v>479</v>
      </c>
      <c r="F78" s="6">
        <f t="shared" si="120"/>
        <v>73</v>
      </c>
      <c r="G78" s="208">
        <v>1</v>
      </c>
      <c r="H78" s="209" t="s">
        <v>395</v>
      </c>
      <c r="I78" s="209" t="s">
        <v>396</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35">
      <c r="A79" s="413"/>
      <c r="B79" s="281" t="s">
        <v>159</v>
      </c>
      <c r="C79" s="207" t="s">
        <v>24</v>
      </c>
      <c r="D79" s="282" t="s">
        <v>185</v>
      </c>
      <c r="E79" s="409" t="s">
        <v>86</v>
      </c>
      <c r="F79" s="6">
        <f t="shared" si="120"/>
        <v>74</v>
      </c>
      <c r="G79" s="208">
        <v>1</v>
      </c>
      <c r="H79" s="209" t="s">
        <v>395</v>
      </c>
      <c r="I79" s="209" t="s">
        <v>396</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3"/>
      <c r="B80" s="248" t="s">
        <v>14</v>
      </c>
      <c r="C80" s="234" t="s">
        <v>184</v>
      </c>
      <c r="D80" s="249" t="s">
        <v>33</v>
      </c>
      <c r="E80" s="403" t="s">
        <v>86</v>
      </c>
      <c r="F80" s="6">
        <f t="shared" si="120"/>
        <v>75</v>
      </c>
      <c r="G80" s="220">
        <v>1</v>
      </c>
      <c r="H80" s="221" t="s">
        <v>395</v>
      </c>
      <c r="I80" s="221" t="s">
        <v>396</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3"/>
      <c r="B81" s="248" t="s">
        <v>15</v>
      </c>
      <c r="C81" s="234" t="s">
        <v>184</v>
      </c>
      <c r="D81" s="249" t="s">
        <v>34</v>
      </c>
      <c r="E81" s="403" t="s">
        <v>86</v>
      </c>
      <c r="F81" s="6">
        <f t="shared" si="120"/>
        <v>76</v>
      </c>
      <c r="G81" s="220">
        <v>1</v>
      </c>
      <c r="H81" s="221" t="s">
        <v>395</v>
      </c>
      <c r="I81" s="221" t="s">
        <v>396</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3"/>
      <c r="B82" s="248" t="s">
        <v>16</v>
      </c>
      <c r="C82" s="234" t="s">
        <v>184</v>
      </c>
      <c r="D82" s="219" t="s">
        <v>35</v>
      </c>
      <c r="E82" s="403" t="s">
        <v>469</v>
      </c>
      <c r="F82" s="6">
        <f t="shared" si="120"/>
        <v>77</v>
      </c>
      <c r="G82" s="220">
        <v>1</v>
      </c>
      <c r="H82" s="221" t="s">
        <v>396</v>
      </c>
      <c r="I82" s="221" t="s">
        <v>396</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A17" sqref="A17"/>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4" t="s">
        <v>463</v>
      </c>
    </row>
    <row r="5" spans="1:1" x14ac:dyDescent="0.35">
      <c r="A5" s="19" t="s">
        <v>417</v>
      </c>
    </row>
    <row r="6" spans="1:1" x14ac:dyDescent="0.35">
      <c r="A6" s="337" t="s">
        <v>36</v>
      </c>
    </row>
    <row r="7" spans="1:1" x14ac:dyDescent="0.35">
      <c r="A7" s="174" t="s">
        <v>41</v>
      </c>
    </row>
    <row r="8" spans="1:1" x14ac:dyDescent="0.35">
      <c r="A8" s="174" t="s">
        <v>42</v>
      </c>
    </row>
    <row r="9" spans="1:1" x14ac:dyDescent="0.35">
      <c r="A9" s="174" t="s">
        <v>43</v>
      </c>
    </row>
    <row r="10" spans="1:1" x14ac:dyDescent="0.35">
      <c r="A10" s="174" t="s">
        <v>44</v>
      </c>
    </row>
    <row r="11" spans="1:1" x14ac:dyDescent="0.35">
      <c r="A11" s="174" t="s">
        <v>45</v>
      </c>
    </row>
    <row r="12" spans="1:1" x14ac:dyDescent="0.35">
      <c r="A12" s="174" t="s">
        <v>46</v>
      </c>
    </row>
    <row r="13" spans="1:1" x14ac:dyDescent="0.35">
      <c r="A13" s="185" t="s">
        <v>47</v>
      </c>
    </row>
    <row r="14" spans="1:1" x14ac:dyDescent="0.35">
      <c r="A14" s="185" t="s">
        <v>48</v>
      </c>
    </row>
    <row r="15" spans="1:1" x14ac:dyDescent="0.35">
      <c r="A15" s="185" t="s">
        <v>49</v>
      </c>
    </row>
    <row r="16" spans="1:1" x14ac:dyDescent="0.35">
      <c r="A16" s="185"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workbookViewId="0">
      <selection activeCell="C16" sqref="C16"/>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293</v>
      </c>
      <c r="B6" s="1" t="s">
        <v>292</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topLeftCell="E1" zoomScale="88" zoomScaleNormal="145" workbookViewId="0">
      <selection activeCell="O12" sqref="O12"/>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2" t="s">
        <v>110</v>
      </c>
      <c r="C2" s="423" t="s">
        <v>344</v>
      </c>
      <c r="D2" s="8" t="s">
        <v>173</v>
      </c>
      <c r="E2" s="8" t="s">
        <v>87</v>
      </c>
      <c r="F2" s="8" t="s">
        <v>317</v>
      </c>
      <c r="G2" s="8" t="s">
        <v>405</v>
      </c>
      <c r="H2" s="283" t="s">
        <v>410</v>
      </c>
      <c r="I2" s="8" t="s">
        <v>16</v>
      </c>
      <c r="J2" s="8">
        <v>2025</v>
      </c>
      <c r="K2" s="424" t="s">
        <v>127</v>
      </c>
      <c r="L2" s="424" t="s">
        <v>424</v>
      </c>
      <c r="M2" s="8" t="s">
        <v>179</v>
      </c>
      <c r="N2" s="422" t="s">
        <v>341</v>
      </c>
      <c r="O2" s="427" t="s">
        <v>343</v>
      </c>
      <c r="P2" s="96"/>
      <c r="Q2" s="96"/>
      <c r="R2" s="8" t="s">
        <v>117</v>
      </c>
      <c r="S2" s="8" t="s">
        <v>117</v>
      </c>
      <c r="T2" s="424" t="s">
        <v>175</v>
      </c>
      <c r="U2" s="425" t="s">
        <v>176</v>
      </c>
      <c r="V2" s="426" t="s">
        <v>178</v>
      </c>
      <c r="W2" s="422" t="s">
        <v>462</v>
      </c>
      <c r="X2" s="8" t="s">
        <v>152</v>
      </c>
      <c r="Y2" s="8" t="s">
        <v>152</v>
      </c>
      <c r="Z2" s="8" t="s">
        <v>106</v>
      </c>
    </row>
    <row r="3" spans="1:39" x14ac:dyDescent="0.35">
      <c r="B3" s="422"/>
      <c r="C3" s="423"/>
      <c r="D3" s="8" t="s">
        <v>442</v>
      </c>
      <c r="E3" s="8" t="s">
        <v>60</v>
      </c>
      <c r="F3" s="8" t="s">
        <v>318</v>
      </c>
      <c r="G3" s="8" t="s">
        <v>406</v>
      </c>
      <c r="H3" s="283" t="s">
        <v>414</v>
      </c>
      <c r="I3" s="8" t="s">
        <v>413</v>
      </c>
      <c r="J3" s="8">
        <v>2030</v>
      </c>
      <c r="K3" s="424"/>
      <c r="L3" s="424"/>
      <c r="M3" s="8" t="s">
        <v>180</v>
      </c>
      <c r="N3" s="422"/>
      <c r="O3" s="427"/>
      <c r="P3" s="96"/>
      <c r="Q3" s="96"/>
      <c r="T3" s="424"/>
      <c r="U3" s="425"/>
      <c r="V3" s="426"/>
      <c r="W3" s="422"/>
      <c r="X3" s="8"/>
      <c r="Y3" s="8"/>
      <c r="Z3" s="8"/>
    </row>
    <row r="4" spans="1:39" x14ac:dyDescent="0.35">
      <c r="B4" s="422"/>
      <c r="C4" s="423"/>
      <c r="D4" s="8" t="s">
        <v>443</v>
      </c>
      <c r="E4" s="8" t="s">
        <v>86</v>
      </c>
      <c r="F4" t="s">
        <v>461</v>
      </c>
      <c r="G4" s="8" t="s">
        <v>407</v>
      </c>
      <c r="H4" s="283" t="s">
        <v>411</v>
      </c>
      <c r="I4" s="8"/>
      <c r="J4" s="8">
        <v>2040</v>
      </c>
      <c r="K4" s="8"/>
      <c r="L4" s="424"/>
      <c r="M4" s="8" t="s">
        <v>172</v>
      </c>
      <c r="N4" s="422"/>
      <c r="O4" s="8"/>
      <c r="P4" s="8"/>
      <c r="Q4" s="8"/>
      <c r="R4" s="8"/>
      <c r="S4" s="8"/>
      <c r="T4" s="424"/>
      <c r="U4" s="425"/>
      <c r="V4" s="426"/>
      <c r="W4" s="422"/>
      <c r="X4" s="8"/>
      <c r="Y4" s="8"/>
      <c r="Z4" s="8"/>
    </row>
    <row r="5" spans="1:39" x14ac:dyDescent="0.35">
      <c r="B5" s="422"/>
      <c r="C5" s="423"/>
      <c r="D5" s="8" t="s">
        <v>444</v>
      </c>
      <c r="E5" s="8"/>
      <c r="F5" s="8" t="s">
        <v>319</v>
      </c>
      <c r="G5" s="8" t="s">
        <v>408</v>
      </c>
      <c r="H5" s="8"/>
      <c r="I5" s="8"/>
      <c r="J5" s="8">
        <v>2050</v>
      </c>
      <c r="K5" s="8"/>
      <c r="L5" s="26"/>
      <c r="M5" s="8"/>
      <c r="N5" s="25"/>
      <c r="O5" s="427" t="s">
        <v>342</v>
      </c>
      <c r="P5" s="96"/>
      <c r="Q5" s="96"/>
      <c r="R5" s="8"/>
      <c r="S5" s="8"/>
      <c r="T5" s="424"/>
      <c r="U5" s="425"/>
      <c r="V5" s="426"/>
      <c r="W5" s="422"/>
      <c r="X5" s="8"/>
      <c r="Y5" s="8"/>
      <c r="Z5" s="8"/>
    </row>
    <row r="6" spans="1:39" x14ac:dyDescent="0.35">
      <c r="B6" s="422"/>
      <c r="C6" s="423"/>
      <c r="D6" s="8" t="s">
        <v>445</v>
      </c>
      <c r="E6" s="8"/>
      <c r="F6" s="8" t="s">
        <v>86</v>
      </c>
      <c r="G6" s="8" t="s">
        <v>409</v>
      </c>
      <c r="H6" s="8"/>
      <c r="I6" s="8"/>
      <c r="J6" s="8"/>
      <c r="K6" s="8"/>
      <c r="L6" s="26"/>
      <c r="M6" s="8"/>
      <c r="N6" s="25"/>
      <c r="O6" s="427"/>
      <c r="P6" s="96"/>
      <c r="Q6" s="96"/>
      <c r="R6" s="8"/>
      <c r="S6" s="8"/>
      <c r="T6" s="424"/>
      <c r="U6" s="425"/>
      <c r="V6" s="426"/>
      <c r="W6" s="422"/>
      <c r="X6" s="8"/>
      <c r="Y6" s="8"/>
      <c r="Z6" s="8"/>
    </row>
    <row r="7" spans="1:39" x14ac:dyDescent="0.35">
      <c r="B7" s="422"/>
      <c r="C7" s="423"/>
      <c r="D7" s="8" t="s">
        <v>291</v>
      </c>
      <c r="E7" s="8"/>
      <c r="F7" s="8"/>
      <c r="G7" s="8"/>
      <c r="H7" s="8"/>
      <c r="I7" s="8"/>
      <c r="J7" s="8"/>
      <c r="K7" s="8"/>
      <c r="L7" s="8"/>
      <c r="N7" s="25"/>
      <c r="O7" s="427"/>
      <c r="P7" s="96"/>
      <c r="Q7" s="96"/>
      <c r="R7" s="8"/>
      <c r="S7" s="8"/>
      <c r="T7" s="424"/>
      <c r="U7" s="425"/>
      <c r="V7" s="426"/>
      <c r="W7" s="422"/>
      <c r="X7" s="12"/>
      <c r="Y7" s="12"/>
      <c r="Z7" s="12"/>
      <c r="AA7" s="95"/>
      <c r="AB7" s="12"/>
      <c r="AC7" s="12"/>
      <c r="AD7" s="12"/>
      <c r="AE7" s="12"/>
      <c r="AF7" s="12"/>
      <c r="AG7" s="12"/>
      <c r="AH7" s="12"/>
      <c r="AI7" s="12"/>
      <c r="AJ7" s="22"/>
      <c r="AK7" s="421" t="s">
        <v>107</v>
      </c>
      <c r="AL7" s="414"/>
      <c r="AM7" s="414"/>
    </row>
    <row r="8" spans="1:39" x14ac:dyDescent="0.35">
      <c r="B8" s="24"/>
      <c r="C8" s="25"/>
      <c r="D8" s="8" t="s">
        <v>275</v>
      </c>
      <c r="E8" s="8"/>
      <c r="F8" s="8"/>
      <c r="G8" s="8"/>
      <c r="H8" s="8"/>
      <c r="I8" s="8"/>
      <c r="J8" s="8"/>
      <c r="K8" s="8"/>
      <c r="L8" s="8"/>
      <c r="N8" s="25"/>
      <c r="O8" s="427"/>
      <c r="P8" s="96"/>
      <c r="Q8" s="96"/>
      <c r="R8" s="8"/>
      <c r="S8" s="8"/>
      <c r="T8" s="26"/>
      <c r="U8" s="41"/>
      <c r="V8" s="42"/>
      <c r="W8" s="26"/>
      <c r="X8" s="12"/>
      <c r="Y8" s="12"/>
      <c r="Z8" s="12"/>
      <c r="AA8" s="95"/>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27"/>
      <c r="P9" s="96"/>
      <c r="Q9" s="96"/>
      <c r="R9" s="8"/>
      <c r="S9" s="8"/>
      <c r="T9" s="26"/>
      <c r="U9" s="41"/>
      <c r="V9" s="42"/>
      <c r="W9" s="26"/>
      <c r="X9" s="12"/>
      <c r="Y9" s="12"/>
      <c r="Z9" s="12"/>
      <c r="AA9" s="95"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6"/>
      <c r="P10" s="96"/>
      <c r="Q10" s="96"/>
      <c r="R10" s="8"/>
      <c r="S10" s="8"/>
      <c r="T10" s="26"/>
      <c r="U10" s="41"/>
      <c r="V10" s="42"/>
      <c r="W10" s="26"/>
      <c r="X10" s="12"/>
      <c r="Y10" s="12"/>
      <c r="Z10" s="12"/>
      <c r="AA10" s="95"/>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6"/>
      <c r="P11" s="96"/>
      <c r="Q11" s="96"/>
      <c r="R11" s="8"/>
      <c r="S11" s="8"/>
      <c r="T11" s="26"/>
      <c r="U11" s="41"/>
      <c r="V11" s="42"/>
      <c r="W11" s="26"/>
      <c r="X11" s="12"/>
      <c r="Y11" s="12"/>
      <c r="Z11" s="12"/>
      <c r="AA11" s="95"/>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6"/>
      <c r="P12" s="96"/>
      <c r="Q12" s="96"/>
      <c r="R12" s="8"/>
      <c r="S12" s="8"/>
      <c r="T12" s="26"/>
      <c r="U12" s="41"/>
      <c r="V12" s="42"/>
      <c r="W12" s="26"/>
      <c r="X12" s="12"/>
      <c r="Y12" s="12"/>
      <c r="Z12" s="12"/>
      <c r="AA12" s="95"/>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6"/>
      <c r="P13" s="96"/>
      <c r="Q13" s="96"/>
      <c r="R13" s="8"/>
      <c r="S13" s="8"/>
      <c r="T13" s="26"/>
      <c r="U13" s="41"/>
      <c r="V13" s="42"/>
      <c r="W13" s="26"/>
      <c r="X13" s="12"/>
      <c r="Y13" s="12"/>
      <c r="Z13" s="12"/>
      <c r="AA13" s="95"/>
      <c r="AB13" s="12"/>
      <c r="AC13" s="12"/>
      <c r="AD13" s="12"/>
      <c r="AE13" s="12"/>
      <c r="AF13" s="12"/>
      <c r="AG13" s="12"/>
      <c r="AH13" s="12"/>
      <c r="AI13" s="12"/>
      <c r="AJ13" s="22"/>
      <c r="AK13" s="12"/>
      <c r="AL13" s="12"/>
      <c r="AM13" s="12"/>
    </row>
    <row r="14" spans="1:39" x14ac:dyDescent="0.35">
      <c r="B14" s="10"/>
      <c r="X14" s="10"/>
      <c r="Y14" s="10"/>
      <c r="Z14" s="10"/>
      <c r="AA14" s="95"/>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476</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480</v>
      </c>
      <c r="C16" s="10" t="s">
        <v>293</v>
      </c>
      <c r="D16" s="8" t="s">
        <v>84</v>
      </c>
      <c r="E16" s="10" t="s">
        <v>86</v>
      </c>
      <c r="F16" s="10" t="s">
        <v>86</v>
      </c>
      <c r="G16" s="10" t="s">
        <v>406</v>
      </c>
      <c r="H16" s="10" t="s">
        <v>412</v>
      </c>
      <c r="I16" s="10" t="s">
        <v>413</v>
      </c>
      <c r="J16" s="10">
        <v>2030</v>
      </c>
      <c r="K16" s="10" t="s">
        <v>171</v>
      </c>
      <c r="L16" s="391" t="s">
        <v>473</v>
      </c>
      <c r="M16" t="s">
        <v>172</v>
      </c>
      <c r="N16" s="12" t="s">
        <v>86</v>
      </c>
      <c r="O16" s="12" t="s">
        <v>484</v>
      </c>
      <c r="P16" s="10" t="s">
        <v>422</v>
      </c>
      <c r="Q16" s="10" t="s">
        <v>423</v>
      </c>
      <c r="R16" s="10">
        <v>0</v>
      </c>
      <c r="S16" s="10">
        <v>0</v>
      </c>
      <c r="T16" s="10">
        <v>-1</v>
      </c>
      <c r="U16" s="10" t="s">
        <v>86</v>
      </c>
      <c r="V16" s="10">
        <v>0</v>
      </c>
      <c r="W16" s="10" t="s">
        <v>477</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481</v>
      </c>
      <c r="C17" s="10" t="s">
        <v>292</v>
      </c>
      <c r="D17" s="8" t="s">
        <v>84</v>
      </c>
      <c r="E17" s="10" t="s">
        <v>86</v>
      </c>
      <c r="F17" s="10" t="s">
        <v>86</v>
      </c>
      <c r="G17" s="10" t="s">
        <v>406</v>
      </c>
      <c r="H17" s="10" t="s">
        <v>412</v>
      </c>
      <c r="I17" s="10" t="s">
        <v>413</v>
      </c>
      <c r="J17" s="10">
        <v>2030</v>
      </c>
      <c r="K17" s="10" t="s">
        <v>171</v>
      </c>
      <c r="L17" s="391" t="s">
        <v>473</v>
      </c>
      <c r="M17" t="s">
        <v>172</v>
      </c>
      <c r="N17" s="12" t="s">
        <v>86</v>
      </c>
      <c r="O17" s="12" t="s">
        <v>478</v>
      </c>
      <c r="P17" s="10" t="s">
        <v>422</v>
      </c>
      <c r="Q17" s="10" t="s">
        <v>423</v>
      </c>
      <c r="R17" s="10">
        <v>0</v>
      </c>
      <c r="S17" s="10">
        <v>0</v>
      </c>
      <c r="T17" s="10">
        <v>-1</v>
      </c>
      <c r="U17" s="10" t="s">
        <v>86</v>
      </c>
      <c r="V17" s="10">
        <v>0</v>
      </c>
      <c r="W17" s="10" t="s">
        <v>477</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482</v>
      </c>
      <c r="C18" s="10" t="s">
        <v>293</v>
      </c>
      <c r="D18" s="8" t="s">
        <v>84</v>
      </c>
      <c r="E18" s="10" t="s">
        <v>86</v>
      </c>
      <c r="F18" s="10" t="s">
        <v>86</v>
      </c>
      <c r="G18" s="10" t="s">
        <v>405</v>
      </c>
      <c r="H18" s="10" t="s">
        <v>412</v>
      </c>
      <c r="I18" s="10" t="s">
        <v>413</v>
      </c>
      <c r="J18" s="10">
        <v>2025</v>
      </c>
      <c r="K18" s="10" t="s">
        <v>171</v>
      </c>
      <c r="L18" s="391" t="s">
        <v>473</v>
      </c>
      <c r="M18" t="s">
        <v>179</v>
      </c>
      <c r="N18" s="12" t="s">
        <v>86</v>
      </c>
      <c r="O18" s="12" t="s">
        <v>306</v>
      </c>
      <c r="P18" s="10" t="s">
        <v>422</v>
      </c>
      <c r="Q18" s="10" t="s">
        <v>423</v>
      </c>
      <c r="R18" s="10">
        <v>0</v>
      </c>
      <c r="S18" s="10">
        <v>0</v>
      </c>
      <c r="T18" s="10">
        <f>28.2/1000</f>
        <v>2.8199999999999999E-2</v>
      </c>
      <c r="U18" s="10" t="s">
        <v>474</v>
      </c>
      <c r="V18" s="10">
        <v>-1</v>
      </c>
      <c r="W18" s="10" t="s">
        <v>477</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483</v>
      </c>
      <c r="C19" s="10" t="s">
        <v>293</v>
      </c>
      <c r="D19" s="8" t="s">
        <v>84</v>
      </c>
      <c r="E19" s="10" t="s">
        <v>86</v>
      </c>
      <c r="F19" s="10" t="s">
        <v>86</v>
      </c>
      <c r="G19" s="10" t="s">
        <v>405</v>
      </c>
      <c r="H19" s="10" t="s">
        <v>412</v>
      </c>
      <c r="I19" s="10" t="s">
        <v>413</v>
      </c>
      <c r="J19" s="10">
        <v>2025</v>
      </c>
      <c r="K19" s="10" t="s">
        <v>171</v>
      </c>
      <c r="L19" s="391" t="s">
        <v>473</v>
      </c>
      <c r="M19" t="s">
        <v>179</v>
      </c>
      <c r="N19" s="12" t="s">
        <v>86</v>
      </c>
      <c r="O19" s="12" t="s">
        <v>306</v>
      </c>
      <c r="P19" s="10" t="s">
        <v>422</v>
      </c>
      <c r="Q19" s="10" t="s">
        <v>423</v>
      </c>
      <c r="R19" s="10">
        <v>0</v>
      </c>
      <c r="S19" s="10">
        <v>0</v>
      </c>
      <c r="T19" s="10">
        <f>28.2/1000</f>
        <v>2.8199999999999999E-2</v>
      </c>
      <c r="U19" s="10" t="s">
        <v>474</v>
      </c>
      <c r="V19" s="10">
        <v>0</v>
      </c>
      <c r="W19" s="10" t="s">
        <v>477</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F9" activePane="bottomRight" state="frozen"/>
      <selection pane="topRight" activeCell="F1" sqref="F1"/>
      <selection pane="bottomLeft" activeCell="A12" sqref="A12"/>
      <selection pane="bottomRight" activeCell="D15" sqref="D15"/>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4"/>
      <c r="B1" s="414"/>
      <c r="C1" s="414"/>
      <c r="D1" s="4"/>
      <c r="E1" s="8"/>
      <c r="F1" s="98" t="s">
        <v>93</v>
      </c>
      <c r="G1" s="110" t="s">
        <v>371</v>
      </c>
      <c r="H1" s="110" t="s">
        <v>372</v>
      </c>
      <c r="I1" s="122" t="s">
        <v>404</v>
      </c>
      <c r="J1" s="127" t="s">
        <v>2</v>
      </c>
      <c r="K1" s="122" t="s">
        <v>4</v>
      </c>
      <c r="L1" s="122" t="s">
        <v>5</v>
      </c>
      <c r="M1" s="122" t="s">
        <v>274</v>
      </c>
      <c r="N1" s="127" t="s">
        <v>3</v>
      </c>
      <c r="O1" s="127" t="s">
        <v>181</v>
      </c>
      <c r="P1" s="172" t="s">
        <v>6</v>
      </c>
      <c r="Q1" s="410" t="s">
        <v>51</v>
      </c>
      <c r="R1" s="411"/>
      <c r="S1" s="411"/>
      <c r="T1" s="412"/>
      <c r="U1" s="410" t="s">
        <v>52</v>
      </c>
      <c r="V1" s="411"/>
      <c r="W1" s="411"/>
      <c r="X1" s="412"/>
      <c r="Y1" s="410" t="s">
        <v>273</v>
      </c>
      <c r="Z1" s="411"/>
      <c r="AA1" s="411"/>
      <c r="AB1" s="412"/>
      <c r="AC1" s="410" t="s">
        <v>53</v>
      </c>
      <c r="AD1" s="411"/>
      <c r="AE1" s="411"/>
      <c r="AF1" s="412"/>
      <c r="AG1" s="410" t="s">
        <v>54</v>
      </c>
      <c r="AH1" s="411"/>
      <c r="AI1" s="411"/>
      <c r="AJ1" s="412"/>
      <c r="AK1" s="410" t="s">
        <v>55</v>
      </c>
      <c r="AL1" s="411"/>
      <c r="AM1" s="411"/>
      <c r="AN1" s="412"/>
      <c r="AO1" s="410" t="s">
        <v>56</v>
      </c>
      <c r="AP1" s="411"/>
      <c r="AQ1" s="411"/>
      <c r="AR1" s="412"/>
      <c r="AS1" s="410" t="s">
        <v>128</v>
      </c>
      <c r="AT1" s="411"/>
      <c r="AU1" s="411"/>
      <c r="AV1" s="412"/>
      <c r="AW1" s="410" t="s">
        <v>129</v>
      </c>
      <c r="AX1" s="411"/>
      <c r="AY1" s="411"/>
      <c r="AZ1" s="412"/>
      <c r="BA1" s="410" t="s">
        <v>403</v>
      </c>
      <c r="BB1" s="411"/>
      <c r="BC1" s="411"/>
      <c r="BD1" s="412"/>
      <c r="BE1" s="410" t="s">
        <v>130</v>
      </c>
      <c r="BF1" s="411"/>
      <c r="BG1" s="411"/>
      <c r="BH1" s="412"/>
      <c r="BI1" s="410" t="s">
        <v>94</v>
      </c>
      <c r="BJ1" s="411"/>
      <c r="BK1" s="411"/>
      <c r="BL1" s="412"/>
      <c r="BM1" s="410" t="s">
        <v>57</v>
      </c>
      <c r="BN1" s="411"/>
      <c r="BO1" s="411"/>
      <c r="BP1" s="412"/>
      <c r="BQ1" s="410" t="s">
        <v>58</v>
      </c>
      <c r="BR1" s="411"/>
      <c r="BS1" s="411"/>
      <c r="BT1" s="412"/>
      <c r="BU1" s="418" t="s">
        <v>307</v>
      </c>
      <c r="BV1" s="419"/>
      <c r="BW1" s="419"/>
      <c r="BX1" s="420"/>
      <c r="BY1" s="419" t="s">
        <v>308</v>
      </c>
      <c r="BZ1" s="419"/>
      <c r="CA1" s="419"/>
      <c r="CB1" s="419"/>
    </row>
    <row r="2" spans="1:80" s="4" customFormat="1" ht="15" customHeight="1" x14ac:dyDescent="0.35">
      <c r="A2" s="23"/>
      <c r="B2" s="415" t="s">
        <v>7</v>
      </c>
      <c r="C2" s="416" t="s">
        <v>8</v>
      </c>
      <c r="D2" s="415" t="s">
        <v>9</v>
      </c>
      <c r="E2" s="32" t="s">
        <v>1</v>
      </c>
      <c r="F2" s="99" t="s">
        <v>93</v>
      </c>
      <c r="G2" s="111" t="str">
        <f>G1</f>
        <v>Capacity units</v>
      </c>
      <c r="H2" s="111" t="str">
        <f>H1</f>
        <v>Output units</v>
      </c>
      <c r="I2" s="111" t="str">
        <f>I1</f>
        <v>Yearly demand (output)</v>
      </c>
      <c r="J2" s="123" t="s">
        <v>2</v>
      </c>
      <c r="K2" s="123" t="s">
        <v>4</v>
      </c>
      <c r="L2" s="123" t="s">
        <v>5</v>
      </c>
      <c r="M2" s="123" t="s">
        <v>274</v>
      </c>
      <c r="N2" s="123" t="s">
        <v>3</v>
      </c>
      <c r="O2" s="123" t="s">
        <v>181</v>
      </c>
      <c r="P2" s="131" t="s">
        <v>6</v>
      </c>
      <c r="Q2" s="16" t="s">
        <v>51</v>
      </c>
      <c r="R2" s="16" t="s">
        <v>51</v>
      </c>
      <c r="S2" s="16" t="s">
        <v>51</v>
      </c>
      <c r="T2" s="131" t="s">
        <v>51</v>
      </c>
      <c r="U2" s="16" t="s">
        <v>52</v>
      </c>
      <c r="V2" s="16" t="s">
        <v>52</v>
      </c>
      <c r="W2" s="16" t="s">
        <v>52</v>
      </c>
      <c r="X2" s="131" t="s">
        <v>52</v>
      </c>
      <c r="Y2" s="16" t="s">
        <v>273</v>
      </c>
      <c r="Z2" s="16" t="s">
        <v>273</v>
      </c>
      <c r="AA2" s="16" t="s">
        <v>273</v>
      </c>
      <c r="AB2" s="131" t="s">
        <v>273</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403</v>
      </c>
      <c r="BB2" s="16" t="s">
        <v>403</v>
      </c>
      <c r="BC2" s="16" t="s">
        <v>403</v>
      </c>
      <c r="BD2" s="16" t="s">
        <v>403</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307</v>
      </c>
      <c r="BV2" s="160" t="s">
        <v>307</v>
      </c>
      <c r="BW2" s="160" t="s">
        <v>307</v>
      </c>
      <c r="BX2" s="161" t="s">
        <v>307</v>
      </c>
      <c r="BY2" s="16" t="s">
        <v>308</v>
      </c>
      <c r="BZ2" s="16" t="s">
        <v>308</v>
      </c>
      <c r="CA2" s="16" t="s">
        <v>308</v>
      </c>
      <c r="CB2" s="16" t="s">
        <v>308</v>
      </c>
    </row>
    <row r="3" spans="1:80" s="4" customFormat="1" ht="14" customHeight="1" x14ac:dyDescent="0.35">
      <c r="A3" s="31"/>
      <c r="B3" s="415"/>
      <c r="C3" s="416"/>
      <c r="D3" s="415"/>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5"/>
      <c r="C4" s="416"/>
      <c r="D4" s="415"/>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5"/>
      <c r="C5" s="416"/>
      <c r="D5" s="415"/>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3" t="s">
        <v>11</v>
      </c>
      <c r="B6" s="285" t="s">
        <v>97</v>
      </c>
      <c r="C6" s="286" t="s">
        <v>184</v>
      </c>
      <c r="D6" s="287" t="s">
        <v>425</v>
      </c>
      <c r="E6" s="6">
        <v>0</v>
      </c>
      <c r="F6" s="299">
        <v>0</v>
      </c>
      <c r="G6" s="301" t="s">
        <v>426</v>
      </c>
      <c r="H6" s="301" t="s">
        <v>427</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3"/>
      <c r="B7" s="285" t="s">
        <v>96</v>
      </c>
      <c r="C7" s="286" t="s">
        <v>184</v>
      </c>
      <c r="D7" s="287" t="s">
        <v>429</v>
      </c>
      <c r="E7" s="6">
        <v>0</v>
      </c>
      <c r="F7" s="299">
        <v>0</v>
      </c>
      <c r="G7" s="301" t="s">
        <v>373</v>
      </c>
      <c r="H7" s="301" t="s">
        <v>374</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3"/>
      <c r="B8" s="285" t="s">
        <v>428</v>
      </c>
      <c r="C8" s="293" t="s">
        <v>119</v>
      </c>
      <c r="D8" s="287" t="s">
        <v>447</v>
      </c>
      <c r="E8" s="6">
        <v>0</v>
      </c>
      <c r="F8" s="299">
        <v>0</v>
      </c>
      <c r="G8" s="301" t="s">
        <v>375</v>
      </c>
      <c r="H8" s="301" t="s">
        <v>376</v>
      </c>
      <c r="I8" s="304">
        <v>0</v>
      </c>
      <c r="J8" s="312" t="str">
        <f>B34</f>
        <v>Reactant10</v>
      </c>
      <c r="K8" s="321">
        <v>0</v>
      </c>
      <c r="L8" s="321">
        <v>0</v>
      </c>
      <c r="M8" s="321">
        <v>0</v>
      </c>
      <c r="N8" s="321">
        <v>0</v>
      </c>
      <c r="O8" s="321">
        <v>0</v>
      </c>
      <c r="P8" s="289">
        <v>0</v>
      </c>
      <c r="Q8" s="288">
        <v>0</v>
      </c>
      <c r="R8" s="288">
        <v>0</v>
      </c>
      <c r="S8" s="288">
        <v>0</v>
      </c>
      <c r="T8" s="289">
        <v>0</v>
      </c>
      <c r="U8" s="288">
        <v>0</v>
      </c>
      <c r="V8" s="288" t="s">
        <v>450</v>
      </c>
      <c r="W8" s="288">
        <v>0</v>
      </c>
      <c r="X8" s="289">
        <v>0</v>
      </c>
      <c r="Y8" s="288">
        <v>0</v>
      </c>
      <c r="Z8" s="288">
        <v>0</v>
      </c>
      <c r="AA8" s="288">
        <v>0</v>
      </c>
      <c r="AB8" s="288">
        <v>0</v>
      </c>
      <c r="AC8" s="291">
        <v>0</v>
      </c>
      <c r="AD8" s="327" t="s">
        <v>451</v>
      </c>
      <c r="AE8" s="327">
        <v>0</v>
      </c>
      <c r="AF8" s="327">
        <v>0</v>
      </c>
      <c r="AG8" s="291">
        <v>0</v>
      </c>
      <c r="AH8" s="327" t="s">
        <v>452</v>
      </c>
      <c r="AI8" s="327">
        <v>0</v>
      </c>
      <c r="AJ8" s="327">
        <v>0</v>
      </c>
      <c r="AK8" s="291">
        <v>0</v>
      </c>
      <c r="AL8" s="327" t="s">
        <v>452</v>
      </c>
      <c r="AM8" s="327">
        <v>0</v>
      </c>
      <c r="AN8" s="356">
        <v>0</v>
      </c>
      <c r="AO8" s="329">
        <v>0</v>
      </c>
      <c r="AP8" s="329" t="s">
        <v>452</v>
      </c>
      <c r="AQ8" s="329">
        <v>0</v>
      </c>
      <c r="AR8" s="363">
        <v>0</v>
      </c>
      <c r="AS8" s="332">
        <v>0</v>
      </c>
      <c r="AT8" s="332" t="s">
        <v>453</v>
      </c>
      <c r="AU8" s="332">
        <v>0</v>
      </c>
      <c r="AV8" s="332">
        <v>0</v>
      </c>
      <c r="AW8" s="290">
        <v>0</v>
      </c>
      <c r="AX8" s="288" t="s">
        <v>454</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455</v>
      </c>
      <c r="BS8" s="288">
        <v>0</v>
      </c>
      <c r="BT8" s="289">
        <v>0</v>
      </c>
      <c r="BU8" s="288">
        <v>0</v>
      </c>
      <c r="BV8" s="288">
        <v>0</v>
      </c>
      <c r="BW8" s="288">
        <v>0</v>
      </c>
      <c r="BX8" s="289">
        <v>0</v>
      </c>
      <c r="BY8" s="288">
        <v>0</v>
      </c>
      <c r="BZ8" s="288">
        <v>0</v>
      </c>
      <c r="CA8" s="288">
        <v>0</v>
      </c>
      <c r="CB8" s="288">
        <v>0</v>
      </c>
    </row>
    <row r="9" spans="1:80" s="376" customFormat="1" x14ac:dyDescent="0.35">
      <c r="A9" s="413"/>
      <c r="B9" s="366" t="s">
        <v>97</v>
      </c>
      <c r="C9" s="367" t="s">
        <v>184</v>
      </c>
      <c r="D9" s="368" t="s">
        <v>430</v>
      </c>
      <c r="E9" s="369">
        <v>0</v>
      </c>
      <c r="F9" s="370">
        <v>0</v>
      </c>
      <c r="G9" s="371" t="s">
        <v>426</v>
      </c>
      <c r="H9" s="371" t="s">
        <v>427</v>
      </c>
      <c r="I9" s="372">
        <v>0</v>
      </c>
      <c r="J9" s="373" t="str">
        <f>B10</f>
        <v>Product/Reactant3</v>
      </c>
      <c r="K9" s="374">
        <v>0</v>
      </c>
      <c r="L9" s="374">
        <v>0</v>
      </c>
      <c r="M9" s="374">
        <v>0</v>
      </c>
      <c r="N9" s="374">
        <v>0</v>
      </c>
      <c r="O9" s="374">
        <v>0</v>
      </c>
      <c r="P9" s="375">
        <v>0</v>
      </c>
      <c r="Q9" s="376">
        <v>0</v>
      </c>
      <c r="R9" s="376" t="s">
        <v>456</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3"/>
      <c r="B10" s="366" t="s">
        <v>98</v>
      </c>
      <c r="C10" s="386" t="s">
        <v>119</v>
      </c>
      <c r="D10" s="368" t="s">
        <v>448</v>
      </c>
      <c r="E10" s="369">
        <v>0</v>
      </c>
      <c r="F10" s="370">
        <v>0</v>
      </c>
      <c r="G10" s="371" t="s">
        <v>375</v>
      </c>
      <c r="H10" s="371" t="s">
        <v>376</v>
      </c>
      <c r="I10" s="372">
        <v>0</v>
      </c>
      <c r="J10" s="373" t="str">
        <f>B34</f>
        <v>Reactant10</v>
      </c>
      <c r="K10" s="374">
        <v>0</v>
      </c>
      <c r="L10" s="374">
        <v>0</v>
      </c>
      <c r="M10" s="374">
        <v>0</v>
      </c>
      <c r="N10" s="374">
        <v>0</v>
      </c>
      <c r="O10" s="374">
        <v>0</v>
      </c>
      <c r="P10" s="375">
        <v>0</v>
      </c>
      <c r="Q10" s="376">
        <v>0</v>
      </c>
      <c r="R10" s="376" t="s">
        <v>457</v>
      </c>
      <c r="S10" s="376">
        <v>0</v>
      </c>
      <c r="T10" s="375">
        <v>0</v>
      </c>
      <c r="U10" s="376">
        <v>0</v>
      </c>
      <c r="V10" s="376" t="s">
        <v>458</v>
      </c>
      <c r="W10" s="376">
        <v>0</v>
      </c>
      <c r="X10" s="375">
        <v>0</v>
      </c>
      <c r="Y10" s="376">
        <v>0</v>
      </c>
      <c r="Z10" s="376">
        <v>0</v>
      </c>
      <c r="AA10" s="376">
        <v>0</v>
      </c>
      <c r="AB10" s="376">
        <v>0</v>
      </c>
      <c r="AC10" s="377">
        <v>0</v>
      </c>
      <c r="AD10" s="378" t="s">
        <v>451</v>
      </c>
      <c r="AE10" s="378">
        <v>0</v>
      </c>
      <c r="AF10" s="378">
        <v>0</v>
      </c>
      <c r="AG10" s="377">
        <v>0</v>
      </c>
      <c r="AH10" s="378" t="s">
        <v>452</v>
      </c>
      <c r="AI10" s="378">
        <v>0</v>
      </c>
      <c r="AJ10" s="378">
        <v>0</v>
      </c>
      <c r="AK10" s="377">
        <v>0</v>
      </c>
      <c r="AL10" s="378" t="s">
        <v>452</v>
      </c>
      <c r="AM10" s="378">
        <v>0</v>
      </c>
      <c r="AN10" s="379">
        <v>0</v>
      </c>
      <c r="AO10" s="380">
        <v>0</v>
      </c>
      <c r="AP10" s="380">
        <v>0</v>
      </c>
      <c r="AQ10" s="380">
        <v>0</v>
      </c>
      <c r="AR10" s="381">
        <v>0</v>
      </c>
      <c r="AS10" s="382">
        <v>0</v>
      </c>
      <c r="AT10" s="382" t="s">
        <v>459</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460</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455</v>
      </c>
      <c r="BS10" s="376">
        <v>0</v>
      </c>
      <c r="BT10" s="375">
        <v>0</v>
      </c>
      <c r="BU10" s="376">
        <v>0</v>
      </c>
      <c r="BV10" s="376">
        <v>0</v>
      </c>
      <c r="BW10" s="376">
        <v>0</v>
      </c>
      <c r="BX10" s="375">
        <v>0</v>
      </c>
      <c r="BY10" s="376">
        <v>0</v>
      </c>
      <c r="BZ10" s="376">
        <v>0</v>
      </c>
      <c r="CA10" s="376">
        <v>0</v>
      </c>
      <c r="CB10" s="376">
        <v>0</v>
      </c>
    </row>
    <row r="11" spans="1:80" x14ac:dyDescent="0.35">
      <c r="A11" s="413"/>
      <c r="B11" s="75" t="s">
        <v>97</v>
      </c>
      <c r="C11" s="76" t="s">
        <v>184</v>
      </c>
      <c r="D11" s="77" t="s">
        <v>432</v>
      </c>
      <c r="E11" s="6">
        <v>0</v>
      </c>
      <c r="F11" s="300">
        <v>0</v>
      </c>
      <c r="G11" s="302" t="s">
        <v>426</v>
      </c>
      <c r="H11" s="302" t="s">
        <v>427</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3"/>
      <c r="B12" s="75" t="s">
        <v>431</v>
      </c>
      <c r="C12" s="82" t="s">
        <v>119</v>
      </c>
      <c r="D12" s="77" t="s">
        <v>446</v>
      </c>
      <c r="E12" s="6">
        <v>0</v>
      </c>
      <c r="F12" s="300">
        <v>0</v>
      </c>
      <c r="G12" s="302" t="s">
        <v>434</v>
      </c>
      <c r="H12" s="302" t="s">
        <v>435</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3"/>
      <c r="B13" s="66" t="s">
        <v>97</v>
      </c>
      <c r="C13" s="67" t="s">
        <v>184</v>
      </c>
      <c r="D13" s="68" t="s">
        <v>50</v>
      </c>
      <c r="E13" s="6">
        <v>0</v>
      </c>
      <c r="F13" s="102">
        <v>0</v>
      </c>
      <c r="G13" s="114" t="s">
        <v>373</v>
      </c>
      <c r="H13" s="114" t="s">
        <v>374</v>
      </c>
      <c r="I13" s="124">
        <v>0</v>
      </c>
      <c r="J13" s="315" t="str">
        <f>B15</f>
        <v>Product/Reactant5</v>
      </c>
      <c r="K13" s="124">
        <v>0</v>
      </c>
      <c r="L13" s="124">
        <v>0</v>
      </c>
      <c r="M13" s="124">
        <v>0</v>
      </c>
      <c r="N13" s="124">
        <v>0</v>
      </c>
      <c r="O13" s="124">
        <v>0</v>
      </c>
      <c r="P13" s="133">
        <v>0</v>
      </c>
      <c r="Q13" s="69" t="s">
        <v>190</v>
      </c>
      <c r="R13" s="69" t="s">
        <v>190</v>
      </c>
      <c r="S13" s="69" t="s">
        <v>190</v>
      </c>
      <c r="T13" s="133" t="s">
        <v>190</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3"/>
      <c r="B14" s="66" t="s">
        <v>97</v>
      </c>
      <c r="C14" s="67" t="s">
        <v>184</v>
      </c>
      <c r="D14" s="68" t="s">
        <v>61</v>
      </c>
      <c r="E14" s="6">
        <v>0</v>
      </c>
      <c r="F14" s="102">
        <v>0</v>
      </c>
      <c r="G14" s="114" t="s">
        <v>373</v>
      </c>
      <c r="H14" s="114" t="s">
        <v>374</v>
      </c>
      <c r="I14" s="124">
        <v>0</v>
      </c>
      <c r="J14" s="315" t="str">
        <f>B15</f>
        <v>Product/Reactant5</v>
      </c>
      <c r="K14" s="124">
        <v>0</v>
      </c>
      <c r="L14" s="124">
        <v>0</v>
      </c>
      <c r="M14" s="124">
        <v>0</v>
      </c>
      <c r="N14" s="124">
        <v>0</v>
      </c>
      <c r="O14" s="124">
        <v>0</v>
      </c>
      <c r="P14" s="133">
        <v>0</v>
      </c>
      <c r="Q14" s="69" t="s">
        <v>190</v>
      </c>
      <c r="R14" s="69" t="s">
        <v>190</v>
      </c>
      <c r="S14" s="69" t="s">
        <v>190</v>
      </c>
      <c r="T14" s="133" t="s">
        <v>190</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3"/>
      <c r="B15" s="66" t="s">
        <v>433</v>
      </c>
      <c r="C15" s="74" t="s">
        <v>119</v>
      </c>
      <c r="D15" s="68" t="s">
        <v>449</v>
      </c>
      <c r="E15" s="6">
        <v>0</v>
      </c>
      <c r="F15" s="102">
        <v>0</v>
      </c>
      <c r="G15" s="114" t="s">
        <v>375</v>
      </c>
      <c r="H15" s="114" t="s">
        <v>376</v>
      </c>
      <c r="I15" s="307">
        <v>0</v>
      </c>
      <c r="J15" s="315" t="str">
        <f>B34</f>
        <v>Reactant10</v>
      </c>
      <c r="K15" s="124">
        <v>0</v>
      </c>
      <c r="L15" s="124">
        <v>0</v>
      </c>
      <c r="M15" s="124">
        <v>0</v>
      </c>
      <c r="N15" s="124">
        <v>0</v>
      </c>
      <c r="O15" s="124">
        <v>0</v>
      </c>
      <c r="P15" s="133">
        <v>0</v>
      </c>
      <c r="Q15" s="69" t="s">
        <v>190</v>
      </c>
      <c r="R15" s="69" t="s">
        <v>190</v>
      </c>
      <c r="S15" s="69" t="s">
        <v>190</v>
      </c>
      <c r="T15" s="133" t="s">
        <v>190</v>
      </c>
      <c r="U15" s="69">
        <v>0</v>
      </c>
      <c r="V15" s="69">
        <v>0</v>
      </c>
      <c r="W15" s="69">
        <v>0</v>
      </c>
      <c r="X15" s="133">
        <v>0</v>
      </c>
      <c r="Y15" s="69">
        <v>0</v>
      </c>
      <c r="Z15" s="69">
        <v>0</v>
      </c>
      <c r="AA15" s="69">
        <v>0</v>
      </c>
      <c r="AB15" s="133">
        <v>0</v>
      </c>
      <c r="AC15" s="71" t="s">
        <v>190</v>
      </c>
      <c r="AD15" s="71" t="s">
        <v>190</v>
      </c>
      <c r="AE15" s="71" t="s">
        <v>190</v>
      </c>
      <c r="AF15" s="142" t="s">
        <v>190</v>
      </c>
      <c r="AG15" s="71" t="s">
        <v>211</v>
      </c>
      <c r="AH15" s="71" t="s">
        <v>190</v>
      </c>
      <c r="AI15" s="71" t="s">
        <v>190</v>
      </c>
      <c r="AJ15" s="142" t="s">
        <v>190</v>
      </c>
      <c r="AK15" s="71" t="s">
        <v>211</v>
      </c>
      <c r="AL15" s="71" t="s">
        <v>190</v>
      </c>
      <c r="AM15" s="71" t="s">
        <v>190</v>
      </c>
      <c r="AN15" s="142" t="s">
        <v>190</v>
      </c>
      <c r="AO15" s="72" t="s">
        <v>190</v>
      </c>
      <c r="AP15" s="72" t="s">
        <v>190</v>
      </c>
      <c r="AQ15" s="72" t="s">
        <v>190</v>
      </c>
      <c r="AR15" s="148" t="s">
        <v>190</v>
      </c>
      <c r="AS15" s="69" t="s">
        <v>349</v>
      </c>
      <c r="AT15" s="69" t="s">
        <v>349</v>
      </c>
      <c r="AU15" s="69" t="s">
        <v>349</v>
      </c>
      <c r="AV15" s="133" t="s">
        <v>349</v>
      </c>
      <c r="AW15" s="69" t="s">
        <v>254</v>
      </c>
      <c r="AX15" s="69" t="s">
        <v>254</v>
      </c>
      <c r="AY15" s="69" t="s">
        <v>254</v>
      </c>
      <c r="AZ15" s="133" t="s">
        <v>254</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261</v>
      </c>
      <c r="BR15" s="69" t="s">
        <v>261</v>
      </c>
      <c r="BS15" s="69" t="s">
        <v>261</v>
      </c>
      <c r="BT15" s="133" t="s">
        <v>261</v>
      </c>
      <c r="BU15" s="70">
        <v>0</v>
      </c>
      <c r="BV15" s="70">
        <v>0</v>
      </c>
      <c r="BW15" s="70">
        <v>0</v>
      </c>
      <c r="BX15" s="167">
        <v>0</v>
      </c>
      <c r="BY15" s="158">
        <v>0</v>
      </c>
      <c r="BZ15" s="158">
        <v>0</v>
      </c>
      <c r="CA15" s="158">
        <v>0</v>
      </c>
      <c r="CB15" s="158">
        <v>0</v>
      </c>
    </row>
    <row r="16" spans="1:80" s="47" customFormat="1" x14ac:dyDescent="0.35">
      <c r="A16" s="413"/>
      <c r="B16" s="43" t="s">
        <v>97</v>
      </c>
      <c r="C16" s="44" t="s">
        <v>184</v>
      </c>
      <c r="D16" s="45" t="s">
        <v>296</v>
      </c>
      <c r="E16" s="6">
        <v>0</v>
      </c>
      <c r="F16" s="103">
        <v>0</v>
      </c>
      <c r="G16" s="115" t="s">
        <v>397</v>
      </c>
      <c r="H16" s="115" t="s">
        <v>398</v>
      </c>
      <c r="I16" s="308">
        <v>0</v>
      </c>
      <c r="J16" s="316" t="str">
        <f>B17</f>
        <v>Product/Reactant6</v>
      </c>
      <c r="K16" s="128">
        <v>0</v>
      </c>
      <c r="L16" s="128">
        <v>0</v>
      </c>
      <c r="M16" s="128">
        <v>0</v>
      </c>
      <c r="N16" s="128">
        <v>0</v>
      </c>
      <c r="O16" s="128">
        <v>0</v>
      </c>
      <c r="P16" s="157">
        <v>0</v>
      </c>
      <c r="Q16" s="48" t="s">
        <v>350</v>
      </c>
      <c r="R16" s="48" t="s">
        <v>350</v>
      </c>
      <c r="S16" s="48" t="s">
        <v>350</v>
      </c>
      <c r="T16" s="134" t="s">
        <v>350</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3"/>
      <c r="B17" s="43" t="s">
        <v>436</v>
      </c>
      <c r="C17" s="44" t="s">
        <v>119</v>
      </c>
      <c r="D17" s="45" t="s">
        <v>295</v>
      </c>
      <c r="E17" s="6">
        <v>0</v>
      </c>
      <c r="F17" s="103">
        <v>0</v>
      </c>
      <c r="G17" s="115" t="s">
        <v>375</v>
      </c>
      <c r="H17" s="115" t="s">
        <v>376</v>
      </c>
      <c r="I17" s="308">
        <v>0</v>
      </c>
      <c r="J17" s="316" t="str">
        <f>B34</f>
        <v>Reactant10</v>
      </c>
      <c r="K17" s="128">
        <v>0</v>
      </c>
      <c r="L17" s="128">
        <v>0</v>
      </c>
      <c r="M17" s="128">
        <v>0</v>
      </c>
      <c r="N17" s="128">
        <v>0</v>
      </c>
      <c r="O17" s="128">
        <v>0</v>
      </c>
      <c r="P17" s="157">
        <v>0</v>
      </c>
      <c r="Q17" s="48" t="s">
        <v>350</v>
      </c>
      <c r="R17" s="48" t="s">
        <v>350</v>
      </c>
      <c r="S17" s="48" t="s">
        <v>350</v>
      </c>
      <c r="T17" s="134" t="s">
        <v>350</v>
      </c>
      <c r="U17" s="49">
        <v>0</v>
      </c>
      <c r="V17" s="49">
        <v>0</v>
      </c>
      <c r="W17" s="49">
        <v>0</v>
      </c>
      <c r="X17" s="139">
        <v>0</v>
      </c>
      <c r="Y17" s="49">
        <v>0</v>
      </c>
      <c r="Z17" s="49">
        <v>0</v>
      </c>
      <c r="AA17" s="49">
        <v>0</v>
      </c>
      <c r="AB17" s="139">
        <v>0</v>
      </c>
      <c r="AC17" s="50" t="s">
        <v>190</v>
      </c>
      <c r="AD17" s="50" t="s">
        <v>190</v>
      </c>
      <c r="AE17" s="50" t="s">
        <v>190</v>
      </c>
      <c r="AF17" s="143" t="s">
        <v>190</v>
      </c>
      <c r="AG17" s="50" t="s">
        <v>211</v>
      </c>
      <c r="AH17" s="50" t="s">
        <v>190</v>
      </c>
      <c r="AI17" s="50" t="s">
        <v>190</v>
      </c>
      <c r="AJ17" s="143" t="s">
        <v>190</v>
      </c>
      <c r="AK17" s="50" t="s">
        <v>211</v>
      </c>
      <c r="AL17" s="50" t="s">
        <v>190</v>
      </c>
      <c r="AM17" s="50" t="s">
        <v>190</v>
      </c>
      <c r="AN17" s="143" t="s">
        <v>190</v>
      </c>
      <c r="AO17" s="51" t="s">
        <v>350</v>
      </c>
      <c r="AP17" s="51" t="s">
        <v>350</v>
      </c>
      <c r="AQ17" s="51" t="s">
        <v>350</v>
      </c>
      <c r="AR17" s="151" t="s">
        <v>350</v>
      </c>
      <c r="AS17" s="52" t="s">
        <v>350</v>
      </c>
      <c r="AT17" s="52" t="s">
        <v>350</v>
      </c>
      <c r="AU17" s="52" t="s">
        <v>350</v>
      </c>
      <c r="AV17" s="155" t="s">
        <v>350</v>
      </c>
      <c r="AW17" s="53" t="s">
        <v>351</v>
      </c>
      <c r="AX17" s="53" t="s">
        <v>351</v>
      </c>
      <c r="AY17" s="53" t="s">
        <v>351</v>
      </c>
      <c r="AZ17" s="150" t="s">
        <v>351</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261</v>
      </c>
      <c r="BR17" s="47" t="s">
        <v>261</v>
      </c>
      <c r="BS17" s="47" t="s">
        <v>261</v>
      </c>
      <c r="BT17" s="157" t="s">
        <v>261</v>
      </c>
      <c r="BU17" s="46">
        <v>0</v>
      </c>
      <c r="BV17" s="46">
        <v>0</v>
      </c>
      <c r="BW17" s="46">
        <v>0</v>
      </c>
      <c r="BX17" s="168">
        <v>0</v>
      </c>
      <c r="BY17" s="50">
        <v>0</v>
      </c>
      <c r="BZ17" s="50">
        <v>0</v>
      </c>
      <c r="CA17" s="50">
        <v>0</v>
      </c>
      <c r="CB17" s="50">
        <v>0</v>
      </c>
    </row>
    <row r="18" spans="1:80" s="59" customFormat="1" x14ac:dyDescent="0.35">
      <c r="A18" s="413"/>
      <c r="B18" s="55" t="s">
        <v>97</v>
      </c>
      <c r="C18" s="56" t="s">
        <v>285</v>
      </c>
      <c r="D18" s="57" t="s">
        <v>297</v>
      </c>
      <c r="E18" s="6">
        <v>0</v>
      </c>
      <c r="F18" s="104">
        <v>0</v>
      </c>
      <c r="G18" s="116" t="s">
        <v>381</v>
      </c>
      <c r="H18" s="116" t="s">
        <v>382</v>
      </c>
      <c r="I18" s="125">
        <v>0</v>
      </c>
      <c r="J18" s="317" t="str">
        <f>B20</f>
        <v>Product/Reactant7</v>
      </c>
      <c r="K18" s="125">
        <v>0</v>
      </c>
      <c r="L18" s="125">
        <v>0</v>
      </c>
      <c r="M18" s="125">
        <v>0</v>
      </c>
      <c r="N18" s="125">
        <v>0</v>
      </c>
      <c r="O18" s="125">
        <v>0</v>
      </c>
      <c r="P18" s="135">
        <v>0</v>
      </c>
      <c r="Q18" s="59" t="s">
        <v>279</v>
      </c>
      <c r="R18" s="59" t="s">
        <v>279</v>
      </c>
      <c r="S18" s="59" t="s">
        <v>279</v>
      </c>
      <c r="T18" s="135" t="s">
        <v>279</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352</v>
      </c>
      <c r="BN18" s="59" t="s">
        <v>352</v>
      </c>
      <c r="BO18" s="59" t="s">
        <v>352</v>
      </c>
      <c r="BP18" s="135" t="s">
        <v>352</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3"/>
      <c r="B19" s="55" t="s">
        <v>97</v>
      </c>
      <c r="C19" s="62" t="s">
        <v>184</v>
      </c>
      <c r="D19" s="57" t="s">
        <v>302</v>
      </c>
      <c r="E19" s="6">
        <v>0</v>
      </c>
      <c r="F19" s="104">
        <v>0</v>
      </c>
      <c r="G19" s="116" t="s">
        <v>399</v>
      </c>
      <c r="H19" s="116" t="s">
        <v>402</v>
      </c>
      <c r="I19" s="125">
        <v>0</v>
      </c>
      <c r="J19" s="317" t="str">
        <f>B20</f>
        <v>Product/Reactant7</v>
      </c>
      <c r="K19" s="125">
        <v>0</v>
      </c>
      <c r="L19" s="125">
        <v>0</v>
      </c>
      <c r="M19" s="125">
        <v>0</v>
      </c>
      <c r="N19" s="125">
        <v>0</v>
      </c>
      <c r="O19" s="125">
        <v>0</v>
      </c>
      <c r="P19" s="135">
        <v>0</v>
      </c>
      <c r="Q19" s="59" t="s">
        <v>353</v>
      </c>
      <c r="R19" s="59" t="s">
        <v>353</v>
      </c>
      <c r="S19" s="59" t="s">
        <v>353</v>
      </c>
      <c r="T19" s="135" t="s">
        <v>353</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3"/>
      <c r="B20" s="55" t="s">
        <v>437</v>
      </c>
      <c r="C20" s="62" t="s">
        <v>184</v>
      </c>
      <c r="D20" s="57" t="s">
        <v>298</v>
      </c>
      <c r="E20" s="6">
        <v>0</v>
      </c>
      <c r="F20" s="104">
        <v>0</v>
      </c>
      <c r="G20" s="116" t="s">
        <v>397</v>
      </c>
      <c r="H20" s="116" t="s">
        <v>398</v>
      </c>
      <c r="I20" s="309">
        <v>0</v>
      </c>
      <c r="J20" s="317" t="str">
        <f>B21</f>
        <v>Product/Reactant8</v>
      </c>
      <c r="K20" s="125">
        <v>0</v>
      </c>
      <c r="L20" s="125">
        <v>0</v>
      </c>
      <c r="M20" s="125">
        <v>0</v>
      </c>
      <c r="N20" s="125">
        <v>0</v>
      </c>
      <c r="O20" s="125">
        <v>0</v>
      </c>
      <c r="P20" s="135">
        <v>0</v>
      </c>
      <c r="Q20" s="59" t="s">
        <v>353</v>
      </c>
      <c r="R20" s="59" t="s">
        <v>353</v>
      </c>
      <c r="S20" s="59" t="s">
        <v>353</v>
      </c>
      <c r="T20" s="135" t="s">
        <v>353</v>
      </c>
      <c r="U20" s="63" t="s">
        <v>353</v>
      </c>
      <c r="V20" s="63" t="s">
        <v>353</v>
      </c>
      <c r="W20" s="63" t="s">
        <v>353</v>
      </c>
      <c r="X20" s="140" t="s">
        <v>353</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353</v>
      </c>
      <c r="AP20" s="64" t="s">
        <v>353</v>
      </c>
      <c r="AQ20" s="64" t="s">
        <v>353</v>
      </c>
      <c r="AR20" s="153" t="s">
        <v>353</v>
      </c>
      <c r="AS20" s="59" t="s">
        <v>353</v>
      </c>
      <c r="AT20" s="59" t="s">
        <v>353</v>
      </c>
      <c r="AU20" s="59" t="s">
        <v>353</v>
      </c>
      <c r="AV20" s="135" t="s">
        <v>353</v>
      </c>
      <c r="AW20" s="59" t="s">
        <v>353</v>
      </c>
      <c r="AX20" s="59" t="s">
        <v>353</v>
      </c>
      <c r="AY20" s="59" t="s">
        <v>353</v>
      </c>
      <c r="AZ20" s="135" t="s">
        <v>353</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354</v>
      </c>
      <c r="BV20" s="58" t="s">
        <v>354</v>
      </c>
      <c r="BW20" s="58" t="s">
        <v>354</v>
      </c>
      <c r="BX20" s="162" t="s">
        <v>354</v>
      </c>
      <c r="BY20" s="60">
        <v>0</v>
      </c>
      <c r="BZ20" s="60">
        <v>0</v>
      </c>
      <c r="CA20" s="60">
        <v>0</v>
      </c>
      <c r="CB20" s="60">
        <v>0</v>
      </c>
    </row>
    <row r="21" spans="1:80" s="59" customFormat="1" x14ac:dyDescent="0.35">
      <c r="A21" s="413"/>
      <c r="B21" s="55" t="s">
        <v>438</v>
      </c>
      <c r="C21" s="56" t="s">
        <v>119</v>
      </c>
      <c r="D21" s="57" t="s">
        <v>301</v>
      </c>
      <c r="E21" s="6">
        <v>0</v>
      </c>
      <c r="F21" s="104">
        <v>0</v>
      </c>
      <c r="G21" s="116" t="s">
        <v>400</v>
      </c>
      <c r="H21" s="116" t="s">
        <v>401</v>
      </c>
      <c r="I21" s="309">
        <v>0</v>
      </c>
      <c r="J21" s="317" t="str">
        <f>B34</f>
        <v>Reactant10</v>
      </c>
      <c r="K21" s="125">
        <v>0</v>
      </c>
      <c r="L21" s="125">
        <v>0</v>
      </c>
      <c r="M21" s="125">
        <v>0</v>
      </c>
      <c r="N21" s="125">
        <v>0</v>
      </c>
      <c r="O21" s="125">
        <v>0</v>
      </c>
      <c r="P21" s="135">
        <v>0</v>
      </c>
      <c r="Q21" s="59" t="s">
        <v>353</v>
      </c>
      <c r="R21" s="59" t="s">
        <v>353</v>
      </c>
      <c r="S21" s="59" t="s">
        <v>353</v>
      </c>
      <c r="T21" s="135" t="s">
        <v>353</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353</v>
      </c>
      <c r="AP21" s="61" t="s">
        <v>353</v>
      </c>
      <c r="AQ21" s="61" t="s">
        <v>353</v>
      </c>
      <c r="AR21" s="152" t="s">
        <v>353</v>
      </c>
      <c r="AS21" s="59" t="s">
        <v>353</v>
      </c>
      <c r="AT21" s="59" t="s">
        <v>353</v>
      </c>
      <c r="AU21" s="59" t="s">
        <v>353</v>
      </c>
      <c r="AV21" s="135" t="s">
        <v>353</v>
      </c>
      <c r="AW21" s="59" t="s">
        <v>353</v>
      </c>
      <c r="AX21" s="59" t="s">
        <v>353</v>
      </c>
      <c r="AY21" s="59" t="s">
        <v>353</v>
      </c>
      <c r="AZ21" s="135" t="s">
        <v>353</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354</v>
      </c>
      <c r="BV21" s="58" t="s">
        <v>354</v>
      </c>
      <c r="BW21" s="58" t="s">
        <v>354</v>
      </c>
      <c r="BX21" s="162" t="s">
        <v>354</v>
      </c>
      <c r="BY21" s="60">
        <v>0</v>
      </c>
      <c r="BZ21" s="60">
        <v>0</v>
      </c>
      <c r="CA21" s="60">
        <v>0</v>
      </c>
      <c r="CB21" s="60">
        <v>0</v>
      </c>
    </row>
    <row r="22" spans="1:80" s="78" customFormat="1" x14ac:dyDescent="0.35">
      <c r="A22" s="413"/>
      <c r="B22" s="75" t="s">
        <v>97</v>
      </c>
      <c r="C22" s="82" t="s">
        <v>285</v>
      </c>
      <c r="D22" s="77" t="s">
        <v>360</v>
      </c>
      <c r="E22" s="6">
        <v>0</v>
      </c>
      <c r="F22" s="105">
        <v>0</v>
      </c>
      <c r="G22" s="117" t="s">
        <v>381</v>
      </c>
      <c r="H22" s="117" t="s">
        <v>382</v>
      </c>
      <c r="I22" s="126">
        <v>0</v>
      </c>
      <c r="J22" s="318" t="str">
        <f>B28</f>
        <v>Product/Reactant9</v>
      </c>
      <c r="K22" s="126">
        <v>0</v>
      </c>
      <c r="L22" s="126">
        <v>0</v>
      </c>
      <c r="M22" s="126">
        <v>0</v>
      </c>
      <c r="N22" s="126">
        <v>0</v>
      </c>
      <c r="O22" s="126">
        <v>0</v>
      </c>
      <c r="P22" s="136">
        <v>0</v>
      </c>
      <c r="Q22" s="78" t="s">
        <v>355</v>
      </c>
      <c r="R22" s="78" t="s">
        <v>355</v>
      </c>
      <c r="S22" s="78" t="s">
        <v>355</v>
      </c>
      <c r="T22" s="136" t="s">
        <v>355</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352</v>
      </c>
      <c r="BN22" s="78" t="s">
        <v>352</v>
      </c>
      <c r="BO22" s="78" t="s">
        <v>352</v>
      </c>
      <c r="BP22" s="136" t="s">
        <v>352</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3"/>
      <c r="B23" s="75" t="s">
        <v>97</v>
      </c>
      <c r="C23" s="76" t="s">
        <v>184</v>
      </c>
      <c r="D23" s="77" t="s">
        <v>288</v>
      </c>
      <c r="E23" s="6">
        <v>0</v>
      </c>
      <c r="F23" s="105">
        <v>0</v>
      </c>
      <c r="G23" s="117" t="s">
        <v>377</v>
      </c>
      <c r="H23" s="117" t="s">
        <v>378</v>
      </c>
      <c r="I23" s="126">
        <v>0</v>
      </c>
      <c r="J23" s="318" t="str">
        <f>B27</f>
        <v>Product/Reactant9</v>
      </c>
      <c r="K23" s="126">
        <v>0</v>
      </c>
      <c r="L23" s="126">
        <v>0</v>
      </c>
      <c r="M23" s="126">
        <v>0</v>
      </c>
      <c r="N23" s="126">
        <v>0</v>
      </c>
      <c r="O23" s="126">
        <v>0</v>
      </c>
      <c r="P23" s="136">
        <v>0</v>
      </c>
      <c r="Q23" s="78" t="s">
        <v>355</v>
      </c>
      <c r="R23" s="78" t="s">
        <v>355</v>
      </c>
      <c r="S23" s="78" t="s">
        <v>355</v>
      </c>
      <c r="T23" s="136" t="s">
        <v>355</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356</v>
      </c>
      <c r="BB23" s="78" t="s">
        <v>356</v>
      </c>
      <c r="BC23" s="78" t="s">
        <v>356</v>
      </c>
      <c r="BD23" s="136" t="s">
        <v>356</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3"/>
      <c r="B24" s="75" t="s">
        <v>97</v>
      </c>
      <c r="C24" s="76" t="s">
        <v>184</v>
      </c>
      <c r="D24" s="77" t="s">
        <v>287</v>
      </c>
      <c r="E24" s="6">
        <v>0</v>
      </c>
      <c r="F24" s="105">
        <v>0</v>
      </c>
      <c r="G24" s="117" t="s">
        <v>377</v>
      </c>
      <c r="H24" s="117" t="s">
        <v>378</v>
      </c>
      <c r="I24" s="126">
        <v>0</v>
      </c>
      <c r="J24" s="318" t="str">
        <f>B28</f>
        <v>Product/Reactant9</v>
      </c>
      <c r="K24" s="126">
        <v>0</v>
      </c>
      <c r="L24" s="126">
        <v>0</v>
      </c>
      <c r="M24" s="126">
        <v>0</v>
      </c>
      <c r="N24" s="126">
        <v>0</v>
      </c>
      <c r="O24" s="126">
        <v>0</v>
      </c>
      <c r="P24" s="136">
        <v>0</v>
      </c>
      <c r="Q24" s="78" t="s">
        <v>355</v>
      </c>
      <c r="R24" s="78" t="s">
        <v>355</v>
      </c>
      <c r="S24" s="78" t="s">
        <v>355</v>
      </c>
      <c r="T24" s="136" t="s">
        <v>355</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356</v>
      </c>
      <c r="BB24" s="78" t="s">
        <v>356</v>
      </c>
      <c r="BC24" s="78" t="s">
        <v>356</v>
      </c>
      <c r="BD24" s="136" t="s">
        <v>356</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3"/>
      <c r="B25" s="75" t="s">
        <v>97</v>
      </c>
      <c r="C25" s="76" t="s">
        <v>184</v>
      </c>
      <c r="D25" s="77" t="s">
        <v>290</v>
      </c>
      <c r="E25" s="6">
        <v>0</v>
      </c>
      <c r="F25" s="105">
        <v>0</v>
      </c>
      <c r="G25" s="117" t="s">
        <v>379</v>
      </c>
      <c r="H25" s="117" t="s">
        <v>380</v>
      </c>
      <c r="I25" s="126">
        <v>0</v>
      </c>
      <c r="J25" s="318" t="str">
        <f>B29</f>
        <v>Product/Reactant9</v>
      </c>
      <c r="K25" s="126">
        <v>0</v>
      </c>
      <c r="L25" s="126">
        <v>0</v>
      </c>
      <c r="M25" s="126">
        <v>0</v>
      </c>
      <c r="N25" s="126">
        <v>0</v>
      </c>
      <c r="O25" s="126">
        <v>0</v>
      </c>
      <c r="P25" s="136">
        <v>0</v>
      </c>
      <c r="Q25" s="78" t="s">
        <v>355</v>
      </c>
      <c r="R25" s="78" t="s">
        <v>355</v>
      </c>
      <c r="S25" s="78" t="s">
        <v>355</v>
      </c>
      <c r="T25" s="136" t="s">
        <v>355</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356</v>
      </c>
      <c r="BB25" s="78" t="s">
        <v>356</v>
      </c>
      <c r="BC25" s="78" t="s">
        <v>356</v>
      </c>
      <c r="BD25" s="136" t="s">
        <v>356</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3"/>
      <c r="B26" s="75" t="s">
        <v>97</v>
      </c>
      <c r="C26" s="76" t="s">
        <v>184</v>
      </c>
      <c r="D26" s="77" t="s">
        <v>289</v>
      </c>
      <c r="E26" s="6">
        <v>0</v>
      </c>
      <c r="F26" s="105">
        <v>0</v>
      </c>
      <c r="G26" s="117" t="s">
        <v>379</v>
      </c>
      <c r="H26" s="117" t="s">
        <v>380</v>
      </c>
      <c r="I26" s="126">
        <v>0</v>
      </c>
      <c r="J26" s="318" t="str">
        <f t="shared" ref="J26" si="3">B30</f>
        <v>Product/Reactant9</v>
      </c>
      <c r="K26" s="126">
        <v>0</v>
      </c>
      <c r="L26" s="126">
        <v>0</v>
      </c>
      <c r="M26" s="126">
        <v>0</v>
      </c>
      <c r="N26" s="126">
        <v>0</v>
      </c>
      <c r="O26" s="126">
        <v>0</v>
      </c>
      <c r="P26" s="136">
        <v>0</v>
      </c>
      <c r="Q26" s="78" t="s">
        <v>355</v>
      </c>
      <c r="R26" s="78" t="s">
        <v>355</v>
      </c>
      <c r="S26" s="78" t="s">
        <v>355</v>
      </c>
      <c r="T26" s="136" t="s">
        <v>355</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356</v>
      </c>
      <c r="BB26" s="78" t="s">
        <v>356</v>
      </c>
      <c r="BC26" s="78" t="s">
        <v>356</v>
      </c>
      <c r="BD26" s="136" t="s">
        <v>356</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3"/>
      <c r="B27" s="75" t="s">
        <v>439</v>
      </c>
      <c r="C27" s="82" t="s">
        <v>119</v>
      </c>
      <c r="D27" s="77" t="s">
        <v>361</v>
      </c>
      <c r="E27" s="6">
        <v>0</v>
      </c>
      <c r="F27" s="105">
        <v>0</v>
      </c>
      <c r="G27" s="117" t="s">
        <v>383</v>
      </c>
      <c r="H27" s="117" t="s">
        <v>384</v>
      </c>
      <c r="I27" s="126">
        <v>0</v>
      </c>
      <c r="J27" s="318" t="str">
        <f>B34</f>
        <v>Reactant10</v>
      </c>
      <c r="K27" s="126">
        <v>0</v>
      </c>
      <c r="L27" s="126">
        <v>0</v>
      </c>
      <c r="M27" s="126">
        <v>0</v>
      </c>
      <c r="N27" s="126">
        <v>0</v>
      </c>
      <c r="O27" s="126">
        <v>0</v>
      </c>
      <c r="P27" s="136">
        <v>0</v>
      </c>
      <c r="Q27" s="78" t="s">
        <v>355</v>
      </c>
      <c r="R27" s="78" t="s">
        <v>355</v>
      </c>
      <c r="S27" s="78" t="s">
        <v>355</v>
      </c>
      <c r="T27" s="136" t="s">
        <v>355</v>
      </c>
      <c r="U27" s="78" t="s">
        <v>355</v>
      </c>
      <c r="V27" s="78" t="s">
        <v>355</v>
      </c>
      <c r="W27" s="78" t="s">
        <v>355</v>
      </c>
      <c r="X27" s="136" t="s">
        <v>355</v>
      </c>
      <c r="Y27" s="78" t="s">
        <v>355</v>
      </c>
      <c r="Z27" s="78" t="s">
        <v>355</v>
      </c>
      <c r="AA27" s="78" t="s">
        <v>355</v>
      </c>
      <c r="AB27" s="136" t="s">
        <v>355</v>
      </c>
      <c r="AC27" s="80" t="s">
        <v>355</v>
      </c>
      <c r="AD27" s="80" t="s">
        <v>355</v>
      </c>
      <c r="AE27" s="80" t="s">
        <v>355</v>
      </c>
      <c r="AF27" s="145" t="s">
        <v>355</v>
      </c>
      <c r="AG27" s="80" t="s">
        <v>355</v>
      </c>
      <c r="AH27" s="80" t="s">
        <v>355</v>
      </c>
      <c r="AI27" s="80" t="s">
        <v>355</v>
      </c>
      <c r="AJ27" s="145" t="s">
        <v>355</v>
      </c>
      <c r="AK27" s="80" t="s">
        <v>355</v>
      </c>
      <c r="AL27" s="80" t="s">
        <v>355</v>
      </c>
      <c r="AM27" s="80" t="s">
        <v>355</v>
      </c>
      <c r="AN27" s="145" t="s">
        <v>355</v>
      </c>
      <c r="AO27" s="81" t="s">
        <v>355</v>
      </c>
      <c r="AP27" s="81" t="s">
        <v>355</v>
      </c>
      <c r="AQ27" s="81" t="s">
        <v>355</v>
      </c>
      <c r="AR27" s="154" t="s">
        <v>355</v>
      </c>
      <c r="AS27" s="78" t="s">
        <v>355</v>
      </c>
      <c r="AT27" s="78" t="s">
        <v>355</v>
      </c>
      <c r="AU27" s="78" t="s">
        <v>355</v>
      </c>
      <c r="AV27" s="136" t="s">
        <v>355</v>
      </c>
      <c r="AW27" s="78" t="s">
        <v>355</v>
      </c>
      <c r="AX27" s="78" t="s">
        <v>355</v>
      </c>
      <c r="AY27" s="78" t="s">
        <v>355</v>
      </c>
      <c r="AZ27" s="136" t="s">
        <v>355</v>
      </c>
      <c r="BA27" s="78" t="s">
        <v>355</v>
      </c>
      <c r="BB27" s="78" t="s">
        <v>355</v>
      </c>
      <c r="BC27" s="78" t="s">
        <v>355</v>
      </c>
      <c r="BD27" s="136" t="s">
        <v>355</v>
      </c>
      <c r="BE27" s="78" t="s">
        <v>355</v>
      </c>
      <c r="BF27" s="78" t="s">
        <v>355</v>
      </c>
      <c r="BG27" s="78" t="s">
        <v>355</v>
      </c>
      <c r="BH27" s="136" t="s">
        <v>355</v>
      </c>
      <c r="BI27" s="78" t="s">
        <v>279</v>
      </c>
      <c r="BJ27" s="78" t="s">
        <v>279</v>
      </c>
      <c r="BK27" s="78" t="s">
        <v>279</v>
      </c>
      <c r="BL27" s="136" t="s">
        <v>279</v>
      </c>
      <c r="BM27" s="78" t="s">
        <v>279</v>
      </c>
      <c r="BN27" s="78" t="s">
        <v>279</v>
      </c>
      <c r="BO27" s="78" t="s">
        <v>279</v>
      </c>
      <c r="BP27" s="136" t="s">
        <v>279</v>
      </c>
      <c r="BQ27" s="78" t="s">
        <v>355</v>
      </c>
      <c r="BR27" s="78" t="s">
        <v>355</v>
      </c>
      <c r="BS27" s="78" t="s">
        <v>355</v>
      </c>
      <c r="BT27" s="136" t="s">
        <v>355</v>
      </c>
      <c r="BU27" s="79">
        <v>0</v>
      </c>
      <c r="BV27" s="79">
        <v>0</v>
      </c>
      <c r="BW27" s="79">
        <v>0</v>
      </c>
      <c r="BX27" s="163">
        <v>0</v>
      </c>
      <c r="BY27" s="80">
        <v>0</v>
      </c>
      <c r="BZ27" s="80">
        <v>0</v>
      </c>
      <c r="CA27" s="80">
        <v>0</v>
      </c>
      <c r="CB27" s="80">
        <v>0</v>
      </c>
    </row>
    <row r="28" spans="1:80" s="78" customFormat="1" x14ac:dyDescent="0.35">
      <c r="A28" s="413"/>
      <c r="B28" s="75" t="s">
        <v>439</v>
      </c>
      <c r="C28" s="82" t="s">
        <v>119</v>
      </c>
      <c r="D28" s="77" t="s">
        <v>362</v>
      </c>
      <c r="E28" s="6">
        <v>0</v>
      </c>
      <c r="F28" s="105">
        <v>0</v>
      </c>
      <c r="G28" s="117" t="s">
        <v>383</v>
      </c>
      <c r="H28" s="117" t="s">
        <v>384</v>
      </c>
      <c r="I28" s="126">
        <v>0</v>
      </c>
      <c r="J28" s="318" t="str">
        <f>B34</f>
        <v>Reactant10</v>
      </c>
      <c r="K28" s="126">
        <v>0</v>
      </c>
      <c r="L28" s="126">
        <v>0</v>
      </c>
      <c r="M28" s="126">
        <v>0</v>
      </c>
      <c r="N28" s="126">
        <v>0</v>
      </c>
      <c r="O28" s="126">
        <v>0</v>
      </c>
      <c r="P28" s="136">
        <v>0</v>
      </c>
      <c r="Q28" s="78" t="s">
        <v>355</v>
      </c>
      <c r="R28" s="78" t="s">
        <v>355</v>
      </c>
      <c r="S28" s="78" t="s">
        <v>355</v>
      </c>
      <c r="T28" s="136" t="s">
        <v>355</v>
      </c>
      <c r="U28" s="78" t="s">
        <v>355</v>
      </c>
      <c r="V28" s="78" t="s">
        <v>355</v>
      </c>
      <c r="W28" s="78" t="s">
        <v>355</v>
      </c>
      <c r="X28" s="136" t="s">
        <v>355</v>
      </c>
      <c r="Y28" s="78" t="s">
        <v>355</v>
      </c>
      <c r="Z28" s="78" t="s">
        <v>355</v>
      </c>
      <c r="AA28" s="78" t="s">
        <v>355</v>
      </c>
      <c r="AB28" s="136" t="s">
        <v>355</v>
      </c>
      <c r="AC28" s="80" t="s">
        <v>355</v>
      </c>
      <c r="AD28" s="80" t="s">
        <v>355</v>
      </c>
      <c r="AE28" s="80" t="s">
        <v>355</v>
      </c>
      <c r="AF28" s="145" t="s">
        <v>355</v>
      </c>
      <c r="AG28" s="80" t="s">
        <v>355</v>
      </c>
      <c r="AH28" s="80" t="s">
        <v>355</v>
      </c>
      <c r="AI28" s="80" t="s">
        <v>355</v>
      </c>
      <c r="AJ28" s="145" t="s">
        <v>355</v>
      </c>
      <c r="AK28" s="80" t="s">
        <v>355</v>
      </c>
      <c r="AL28" s="80" t="s">
        <v>355</v>
      </c>
      <c r="AM28" s="80" t="s">
        <v>355</v>
      </c>
      <c r="AN28" s="145" t="s">
        <v>355</v>
      </c>
      <c r="AO28" s="81" t="s">
        <v>355</v>
      </c>
      <c r="AP28" s="81" t="s">
        <v>355</v>
      </c>
      <c r="AQ28" s="81" t="s">
        <v>355</v>
      </c>
      <c r="AR28" s="154" t="s">
        <v>355</v>
      </c>
      <c r="AS28" s="78" t="s">
        <v>355</v>
      </c>
      <c r="AT28" s="78" t="s">
        <v>355</v>
      </c>
      <c r="AU28" s="78" t="s">
        <v>355</v>
      </c>
      <c r="AV28" s="136" t="s">
        <v>355</v>
      </c>
      <c r="AW28" s="78" t="s">
        <v>355</v>
      </c>
      <c r="AX28" s="78" t="s">
        <v>355</v>
      </c>
      <c r="AY28" s="78" t="s">
        <v>355</v>
      </c>
      <c r="AZ28" s="136" t="s">
        <v>355</v>
      </c>
      <c r="BA28" s="78" t="s">
        <v>355</v>
      </c>
      <c r="BB28" s="78" t="s">
        <v>355</v>
      </c>
      <c r="BC28" s="78" t="s">
        <v>355</v>
      </c>
      <c r="BD28" s="136" t="s">
        <v>355</v>
      </c>
      <c r="BE28" s="78" t="s">
        <v>355</v>
      </c>
      <c r="BF28" s="78" t="s">
        <v>355</v>
      </c>
      <c r="BG28" s="78" t="s">
        <v>355</v>
      </c>
      <c r="BH28" s="136" t="s">
        <v>355</v>
      </c>
      <c r="BI28" s="78" t="s">
        <v>279</v>
      </c>
      <c r="BJ28" s="78" t="s">
        <v>279</v>
      </c>
      <c r="BK28" s="78" t="s">
        <v>279</v>
      </c>
      <c r="BL28" s="136" t="s">
        <v>279</v>
      </c>
      <c r="BM28" s="78" t="s">
        <v>279</v>
      </c>
      <c r="BN28" s="78" t="s">
        <v>279</v>
      </c>
      <c r="BO28" s="78" t="s">
        <v>279</v>
      </c>
      <c r="BP28" s="136" t="s">
        <v>279</v>
      </c>
      <c r="BQ28" s="78" t="s">
        <v>355</v>
      </c>
      <c r="BR28" s="78" t="s">
        <v>355</v>
      </c>
      <c r="BS28" s="78" t="s">
        <v>355</v>
      </c>
      <c r="BT28" s="136" t="s">
        <v>355</v>
      </c>
      <c r="BU28" s="79">
        <v>0</v>
      </c>
      <c r="BV28" s="79">
        <v>0</v>
      </c>
      <c r="BW28" s="79">
        <v>0</v>
      </c>
      <c r="BX28" s="163">
        <v>0</v>
      </c>
      <c r="BY28" s="80">
        <v>0</v>
      </c>
      <c r="BZ28" s="80">
        <v>0</v>
      </c>
      <c r="CA28" s="80">
        <v>0</v>
      </c>
      <c r="CB28" s="80">
        <v>0</v>
      </c>
    </row>
    <row r="29" spans="1:80" s="78" customFormat="1" x14ac:dyDescent="0.35">
      <c r="A29" s="413"/>
      <c r="B29" s="75" t="s">
        <v>439</v>
      </c>
      <c r="C29" s="82" t="s">
        <v>119</v>
      </c>
      <c r="D29" s="77" t="s">
        <v>363</v>
      </c>
      <c r="E29" s="6">
        <v>0</v>
      </c>
      <c r="F29" s="105">
        <v>0</v>
      </c>
      <c r="G29" s="117" t="s">
        <v>383</v>
      </c>
      <c r="H29" s="117" t="s">
        <v>384</v>
      </c>
      <c r="I29" s="126">
        <v>0</v>
      </c>
      <c r="J29" s="318" t="str">
        <f>B34</f>
        <v>Reactant10</v>
      </c>
      <c r="K29" s="126">
        <v>0</v>
      </c>
      <c r="L29" s="126">
        <v>0</v>
      </c>
      <c r="M29" s="126">
        <v>0</v>
      </c>
      <c r="N29" s="126">
        <v>0</v>
      </c>
      <c r="O29" s="126">
        <v>0</v>
      </c>
      <c r="P29" s="136">
        <v>0</v>
      </c>
      <c r="Q29" s="78" t="s">
        <v>355</v>
      </c>
      <c r="R29" s="78" t="s">
        <v>355</v>
      </c>
      <c r="S29" s="78" t="s">
        <v>355</v>
      </c>
      <c r="T29" s="136" t="s">
        <v>355</v>
      </c>
      <c r="U29" s="78" t="s">
        <v>355</v>
      </c>
      <c r="V29" s="78" t="s">
        <v>355</v>
      </c>
      <c r="W29" s="78" t="s">
        <v>355</v>
      </c>
      <c r="X29" s="136" t="s">
        <v>355</v>
      </c>
      <c r="Y29" s="78" t="s">
        <v>355</v>
      </c>
      <c r="Z29" s="78" t="s">
        <v>355</v>
      </c>
      <c r="AA29" s="78" t="s">
        <v>355</v>
      </c>
      <c r="AB29" s="136" t="s">
        <v>355</v>
      </c>
      <c r="AC29" s="80" t="s">
        <v>355</v>
      </c>
      <c r="AD29" s="80" t="s">
        <v>355</v>
      </c>
      <c r="AE29" s="80" t="s">
        <v>355</v>
      </c>
      <c r="AF29" s="145" t="s">
        <v>355</v>
      </c>
      <c r="AG29" s="80" t="s">
        <v>355</v>
      </c>
      <c r="AH29" s="80" t="s">
        <v>355</v>
      </c>
      <c r="AI29" s="80" t="s">
        <v>355</v>
      </c>
      <c r="AJ29" s="145" t="s">
        <v>355</v>
      </c>
      <c r="AK29" s="80" t="s">
        <v>355</v>
      </c>
      <c r="AL29" s="80" t="s">
        <v>355</v>
      </c>
      <c r="AM29" s="80" t="s">
        <v>355</v>
      </c>
      <c r="AN29" s="145" t="s">
        <v>355</v>
      </c>
      <c r="AO29" s="81" t="s">
        <v>355</v>
      </c>
      <c r="AP29" s="81" t="s">
        <v>355</v>
      </c>
      <c r="AQ29" s="81" t="s">
        <v>355</v>
      </c>
      <c r="AR29" s="154" t="s">
        <v>355</v>
      </c>
      <c r="AS29" s="78" t="s">
        <v>355</v>
      </c>
      <c r="AT29" s="78" t="s">
        <v>355</v>
      </c>
      <c r="AU29" s="78" t="s">
        <v>355</v>
      </c>
      <c r="AV29" s="136" t="s">
        <v>355</v>
      </c>
      <c r="AW29" s="78" t="s">
        <v>355</v>
      </c>
      <c r="AX29" s="78" t="s">
        <v>355</v>
      </c>
      <c r="AY29" s="78" t="s">
        <v>355</v>
      </c>
      <c r="AZ29" s="136" t="s">
        <v>355</v>
      </c>
      <c r="BA29" s="78" t="s">
        <v>355</v>
      </c>
      <c r="BB29" s="78" t="s">
        <v>355</v>
      </c>
      <c r="BC29" s="78" t="s">
        <v>355</v>
      </c>
      <c r="BD29" s="136" t="s">
        <v>355</v>
      </c>
      <c r="BE29" s="78" t="s">
        <v>355</v>
      </c>
      <c r="BF29" s="78" t="s">
        <v>355</v>
      </c>
      <c r="BG29" s="78" t="s">
        <v>355</v>
      </c>
      <c r="BH29" s="136" t="s">
        <v>355</v>
      </c>
      <c r="BI29" s="78" t="s">
        <v>279</v>
      </c>
      <c r="BJ29" s="78" t="s">
        <v>279</v>
      </c>
      <c r="BK29" s="78" t="s">
        <v>279</v>
      </c>
      <c r="BL29" s="136" t="s">
        <v>279</v>
      </c>
      <c r="BM29" s="78" t="s">
        <v>279</v>
      </c>
      <c r="BN29" s="78" t="s">
        <v>279</v>
      </c>
      <c r="BO29" s="78" t="s">
        <v>279</v>
      </c>
      <c r="BP29" s="136" t="s">
        <v>279</v>
      </c>
      <c r="BQ29" s="78" t="s">
        <v>355</v>
      </c>
      <c r="BR29" s="78" t="s">
        <v>355</v>
      </c>
      <c r="BS29" s="78" t="s">
        <v>355</v>
      </c>
      <c r="BT29" s="136" t="s">
        <v>355</v>
      </c>
      <c r="BU29" s="79">
        <v>0</v>
      </c>
      <c r="BV29" s="79">
        <v>0</v>
      </c>
      <c r="BW29" s="79">
        <v>0</v>
      </c>
      <c r="BX29" s="163">
        <v>0</v>
      </c>
      <c r="BY29" s="80">
        <v>0</v>
      </c>
      <c r="BZ29" s="80">
        <v>0</v>
      </c>
      <c r="CA29" s="80">
        <v>0</v>
      </c>
      <c r="CB29" s="80">
        <v>0</v>
      </c>
    </row>
    <row r="30" spans="1:80" s="78" customFormat="1" x14ac:dyDescent="0.35">
      <c r="A30" s="413"/>
      <c r="B30" s="75" t="s">
        <v>439</v>
      </c>
      <c r="C30" s="82" t="s">
        <v>119</v>
      </c>
      <c r="D30" s="77" t="s">
        <v>364</v>
      </c>
      <c r="E30" s="6">
        <v>0</v>
      </c>
      <c r="F30" s="105">
        <v>0</v>
      </c>
      <c r="G30" s="117" t="s">
        <v>383</v>
      </c>
      <c r="H30" s="117" t="s">
        <v>384</v>
      </c>
      <c r="I30" s="126">
        <v>0</v>
      </c>
      <c r="J30" s="318" t="str">
        <f>B34</f>
        <v>Reactant10</v>
      </c>
      <c r="K30" s="126">
        <v>0</v>
      </c>
      <c r="L30" s="126">
        <v>0</v>
      </c>
      <c r="M30" s="126">
        <v>0</v>
      </c>
      <c r="N30" s="126">
        <v>0</v>
      </c>
      <c r="O30" s="126">
        <v>0</v>
      </c>
      <c r="P30" s="136">
        <v>0</v>
      </c>
      <c r="Q30" s="78" t="s">
        <v>355</v>
      </c>
      <c r="R30" s="78" t="s">
        <v>355</v>
      </c>
      <c r="S30" s="78" t="s">
        <v>355</v>
      </c>
      <c r="T30" s="136" t="s">
        <v>355</v>
      </c>
      <c r="U30" s="78" t="s">
        <v>355</v>
      </c>
      <c r="V30" s="78" t="s">
        <v>355</v>
      </c>
      <c r="W30" s="78" t="s">
        <v>355</v>
      </c>
      <c r="X30" s="136" t="s">
        <v>355</v>
      </c>
      <c r="Y30" s="78" t="s">
        <v>355</v>
      </c>
      <c r="Z30" s="78" t="s">
        <v>355</v>
      </c>
      <c r="AA30" s="78" t="s">
        <v>355</v>
      </c>
      <c r="AB30" s="136" t="s">
        <v>355</v>
      </c>
      <c r="AC30" s="80" t="s">
        <v>355</v>
      </c>
      <c r="AD30" s="80" t="s">
        <v>355</v>
      </c>
      <c r="AE30" s="80" t="s">
        <v>355</v>
      </c>
      <c r="AF30" s="145" t="s">
        <v>355</v>
      </c>
      <c r="AG30" s="80" t="s">
        <v>355</v>
      </c>
      <c r="AH30" s="80" t="s">
        <v>355</v>
      </c>
      <c r="AI30" s="80" t="s">
        <v>355</v>
      </c>
      <c r="AJ30" s="145" t="s">
        <v>355</v>
      </c>
      <c r="AK30" s="80" t="s">
        <v>355</v>
      </c>
      <c r="AL30" s="80" t="s">
        <v>355</v>
      </c>
      <c r="AM30" s="80" t="s">
        <v>355</v>
      </c>
      <c r="AN30" s="145" t="s">
        <v>355</v>
      </c>
      <c r="AO30" s="81" t="s">
        <v>355</v>
      </c>
      <c r="AP30" s="81" t="s">
        <v>355</v>
      </c>
      <c r="AQ30" s="81" t="s">
        <v>355</v>
      </c>
      <c r="AR30" s="154" t="s">
        <v>355</v>
      </c>
      <c r="AS30" s="78" t="s">
        <v>355</v>
      </c>
      <c r="AT30" s="78" t="s">
        <v>355</v>
      </c>
      <c r="AU30" s="78" t="s">
        <v>355</v>
      </c>
      <c r="AV30" s="136" t="s">
        <v>355</v>
      </c>
      <c r="AW30" s="78" t="s">
        <v>355</v>
      </c>
      <c r="AX30" s="78" t="s">
        <v>355</v>
      </c>
      <c r="AY30" s="78" t="s">
        <v>355</v>
      </c>
      <c r="AZ30" s="136" t="s">
        <v>355</v>
      </c>
      <c r="BA30" s="78" t="s">
        <v>355</v>
      </c>
      <c r="BB30" s="78" t="s">
        <v>355</v>
      </c>
      <c r="BC30" s="78" t="s">
        <v>355</v>
      </c>
      <c r="BD30" s="136" t="s">
        <v>355</v>
      </c>
      <c r="BE30" s="78" t="s">
        <v>355</v>
      </c>
      <c r="BF30" s="78" t="s">
        <v>355</v>
      </c>
      <c r="BG30" s="78" t="s">
        <v>355</v>
      </c>
      <c r="BH30" s="136" t="s">
        <v>355</v>
      </c>
      <c r="BI30" s="78" t="s">
        <v>279</v>
      </c>
      <c r="BJ30" s="78" t="s">
        <v>279</v>
      </c>
      <c r="BK30" s="78" t="s">
        <v>279</v>
      </c>
      <c r="BL30" s="136" t="s">
        <v>279</v>
      </c>
      <c r="BM30" s="78" t="s">
        <v>279</v>
      </c>
      <c r="BN30" s="78" t="s">
        <v>279</v>
      </c>
      <c r="BO30" s="78" t="s">
        <v>279</v>
      </c>
      <c r="BP30" s="136" t="s">
        <v>279</v>
      </c>
      <c r="BQ30" s="78" t="s">
        <v>355</v>
      </c>
      <c r="BR30" s="78" t="s">
        <v>355</v>
      </c>
      <c r="BS30" s="78" t="s">
        <v>355</v>
      </c>
      <c r="BT30" s="136" t="s">
        <v>355</v>
      </c>
      <c r="BU30" s="79">
        <v>0</v>
      </c>
      <c r="BV30" s="79">
        <v>0</v>
      </c>
      <c r="BW30" s="79">
        <v>0</v>
      </c>
      <c r="BX30" s="163">
        <v>0</v>
      </c>
      <c r="BY30" s="80">
        <v>0</v>
      </c>
      <c r="BZ30" s="80">
        <v>0</v>
      </c>
      <c r="CA30" s="80">
        <v>0</v>
      </c>
      <c r="CB30" s="80">
        <v>0</v>
      </c>
    </row>
    <row r="31" spans="1:80" s="87" customFormat="1" x14ac:dyDescent="0.35">
      <c r="A31" s="413"/>
      <c r="B31" s="83" t="s">
        <v>97</v>
      </c>
      <c r="C31" s="84" t="s">
        <v>119</v>
      </c>
      <c r="D31" s="85" t="s">
        <v>365</v>
      </c>
      <c r="E31" s="6">
        <v>0</v>
      </c>
      <c r="F31" s="106">
        <v>0</v>
      </c>
      <c r="G31" s="118" t="s">
        <v>385</v>
      </c>
      <c r="H31" s="118" t="s">
        <v>386</v>
      </c>
      <c r="I31" s="305">
        <v>0</v>
      </c>
      <c r="J31" s="313" t="str">
        <f>B34</f>
        <v>Reactant10</v>
      </c>
      <c r="K31" s="129">
        <v>0</v>
      </c>
      <c r="L31" s="129">
        <v>0</v>
      </c>
      <c r="M31" s="129">
        <v>0</v>
      </c>
      <c r="N31" s="129">
        <v>0</v>
      </c>
      <c r="O31" s="129">
        <v>0</v>
      </c>
      <c r="P31" s="141">
        <v>0</v>
      </c>
      <c r="Q31" s="88" t="s">
        <v>194</v>
      </c>
      <c r="R31" s="88" t="s">
        <v>190</v>
      </c>
      <c r="S31" s="88" t="s">
        <v>190</v>
      </c>
      <c r="T31" s="137" t="s">
        <v>190</v>
      </c>
      <c r="U31" s="87">
        <v>0</v>
      </c>
      <c r="V31" s="87">
        <v>0</v>
      </c>
      <c r="W31" s="87">
        <v>0</v>
      </c>
      <c r="X31" s="141">
        <v>0</v>
      </c>
      <c r="Y31" s="87">
        <v>0</v>
      </c>
      <c r="Z31" s="87">
        <v>0</v>
      </c>
      <c r="AA31" s="87">
        <v>0</v>
      </c>
      <c r="AB31" s="141">
        <v>0</v>
      </c>
      <c r="AC31" s="89" t="s">
        <v>190</v>
      </c>
      <c r="AD31" s="89" t="s">
        <v>190</v>
      </c>
      <c r="AE31" s="89" t="s">
        <v>190</v>
      </c>
      <c r="AF31" s="146" t="s">
        <v>190</v>
      </c>
      <c r="AG31" s="89" t="s">
        <v>212</v>
      </c>
      <c r="AH31" s="89" t="s">
        <v>190</v>
      </c>
      <c r="AI31" s="89" t="s">
        <v>213</v>
      </c>
      <c r="AJ31" s="146" t="s">
        <v>213</v>
      </c>
      <c r="AK31" s="89" t="s">
        <v>212</v>
      </c>
      <c r="AL31" s="89" t="s">
        <v>190</v>
      </c>
      <c r="AM31" s="89" t="s">
        <v>213</v>
      </c>
      <c r="AN31" s="146" t="s">
        <v>213</v>
      </c>
      <c r="AO31" s="87" t="s">
        <v>190</v>
      </c>
      <c r="AP31" s="87" t="s">
        <v>190</v>
      </c>
      <c r="AQ31" s="87" t="s">
        <v>190</v>
      </c>
      <c r="AR31" s="141" t="s">
        <v>190</v>
      </c>
      <c r="AS31" s="87" t="s">
        <v>349</v>
      </c>
      <c r="AT31" s="87" t="s">
        <v>349</v>
      </c>
      <c r="AU31" s="87" t="s">
        <v>349</v>
      </c>
      <c r="AV31" s="141" t="s">
        <v>349</v>
      </c>
      <c r="AW31" s="87" t="s">
        <v>254</v>
      </c>
      <c r="AX31" s="87" t="s">
        <v>254</v>
      </c>
      <c r="AY31" s="87" t="s">
        <v>254</v>
      </c>
      <c r="AZ31" s="141" t="s">
        <v>254</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261</v>
      </c>
      <c r="BR31" s="90" t="s">
        <v>261</v>
      </c>
      <c r="BS31" s="90" t="s">
        <v>261</v>
      </c>
      <c r="BT31" s="159" t="s">
        <v>261</v>
      </c>
      <c r="BU31" s="86">
        <v>0</v>
      </c>
      <c r="BV31" s="86">
        <v>0</v>
      </c>
      <c r="BW31" s="86">
        <v>0</v>
      </c>
      <c r="BX31" s="164">
        <v>0</v>
      </c>
      <c r="BY31" s="89">
        <v>0</v>
      </c>
      <c r="BZ31" s="89">
        <v>0</v>
      </c>
      <c r="CA31" s="89">
        <v>0</v>
      </c>
      <c r="CB31" s="89">
        <v>0</v>
      </c>
    </row>
    <row r="32" spans="1:80" s="87" customFormat="1" x14ac:dyDescent="0.35">
      <c r="A32" s="413"/>
      <c r="B32" s="83" t="s">
        <v>97</v>
      </c>
      <c r="C32" s="84" t="s">
        <v>119</v>
      </c>
      <c r="D32" s="85" t="s">
        <v>366</v>
      </c>
      <c r="E32" s="6">
        <v>0</v>
      </c>
      <c r="F32" s="106">
        <v>0</v>
      </c>
      <c r="G32" s="118" t="s">
        <v>385</v>
      </c>
      <c r="H32" s="118" t="s">
        <v>386</v>
      </c>
      <c r="I32" s="305">
        <v>0</v>
      </c>
      <c r="J32" s="313" t="str">
        <f>B34</f>
        <v>Reactant10</v>
      </c>
      <c r="K32" s="129">
        <v>0</v>
      </c>
      <c r="L32" s="129">
        <v>0</v>
      </c>
      <c r="M32" s="129">
        <v>0</v>
      </c>
      <c r="N32" s="129">
        <v>0</v>
      </c>
      <c r="O32" s="129">
        <v>0</v>
      </c>
      <c r="P32" s="141">
        <v>0</v>
      </c>
      <c r="Q32" s="88" t="s">
        <v>191</v>
      </c>
      <c r="R32" s="88" t="s">
        <v>190</v>
      </c>
      <c r="S32" s="88" t="s">
        <v>190</v>
      </c>
      <c r="T32" s="137" t="s">
        <v>190</v>
      </c>
      <c r="U32" s="87">
        <v>0</v>
      </c>
      <c r="V32" s="87">
        <v>0</v>
      </c>
      <c r="W32" s="87">
        <v>0</v>
      </c>
      <c r="X32" s="141">
        <v>0</v>
      </c>
      <c r="Y32" s="87">
        <v>0</v>
      </c>
      <c r="Z32" s="87">
        <v>0</v>
      </c>
      <c r="AA32" s="87">
        <v>0</v>
      </c>
      <c r="AB32" s="141">
        <v>0</v>
      </c>
      <c r="AC32" s="89" t="s">
        <v>190</v>
      </c>
      <c r="AD32" s="89" t="s">
        <v>190</v>
      </c>
      <c r="AE32" s="89" t="s">
        <v>190</v>
      </c>
      <c r="AF32" s="146" t="s">
        <v>190</v>
      </c>
      <c r="AG32" s="89" t="s">
        <v>212</v>
      </c>
      <c r="AH32" s="89" t="s">
        <v>190</v>
      </c>
      <c r="AI32" s="89" t="s">
        <v>213</v>
      </c>
      <c r="AJ32" s="146" t="s">
        <v>213</v>
      </c>
      <c r="AK32" s="89" t="s">
        <v>212</v>
      </c>
      <c r="AL32" s="89" t="s">
        <v>190</v>
      </c>
      <c r="AM32" s="89" t="s">
        <v>213</v>
      </c>
      <c r="AN32" s="146" t="s">
        <v>213</v>
      </c>
      <c r="AO32" s="87" t="s">
        <v>190</v>
      </c>
      <c r="AP32" s="87" t="s">
        <v>190</v>
      </c>
      <c r="AQ32" s="87" t="s">
        <v>190</v>
      </c>
      <c r="AR32" s="141" t="s">
        <v>190</v>
      </c>
      <c r="AS32" s="87" t="s">
        <v>349</v>
      </c>
      <c r="AT32" s="87" t="s">
        <v>349</v>
      </c>
      <c r="AU32" s="87" t="s">
        <v>349</v>
      </c>
      <c r="AV32" s="141" t="s">
        <v>349</v>
      </c>
      <c r="AW32" s="87" t="s">
        <v>254</v>
      </c>
      <c r="AX32" s="87" t="s">
        <v>254</v>
      </c>
      <c r="AY32" s="87" t="s">
        <v>254</v>
      </c>
      <c r="AZ32" s="141" t="s">
        <v>254</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261</v>
      </c>
      <c r="BR32" s="90" t="s">
        <v>261</v>
      </c>
      <c r="BS32" s="90" t="s">
        <v>261</v>
      </c>
      <c r="BT32" s="159" t="s">
        <v>261</v>
      </c>
      <c r="BU32" s="86">
        <v>0</v>
      </c>
      <c r="BV32" s="86">
        <v>0</v>
      </c>
      <c r="BW32" s="86">
        <v>0</v>
      </c>
      <c r="BX32" s="164">
        <v>0</v>
      </c>
      <c r="BY32" s="89">
        <v>0</v>
      </c>
      <c r="BZ32" s="89">
        <v>0</v>
      </c>
      <c r="CA32" s="89">
        <v>0</v>
      </c>
      <c r="CB32" s="89">
        <v>0</v>
      </c>
    </row>
    <row r="33" spans="1:80" s="91" customFormat="1" x14ac:dyDescent="0.35">
      <c r="A33" s="413"/>
      <c r="B33" s="91" t="s">
        <v>97</v>
      </c>
      <c r="C33" s="65" t="s">
        <v>119</v>
      </c>
      <c r="D33" s="92" t="s">
        <v>174</v>
      </c>
      <c r="E33" s="6">
        <v>0</v>
      </c>
      <c r="F33" s="107">
        <v>0</v>
      </c>
      <c r="G33" s="119" t="s">
        <v>387</v>
      </c>
      <c r="H33" s="119" t="s">
        <v>388</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272</v>
      </c>
      <c r="AD33" s="94" t="s">
        <v>272</v>
      </c>
      <c r="AE33" s="94" t="s">
        <v>272</v>
      </c>
      <c r="AF33" s="147" t="s">
        <v>272</v>
      </c>
      <c r="AG33" s="94" t="s">
        <v>272</v>
      </c>
      <c r="AH33" s="94" t="s">
        <v>272</v>
      </c>
      <c r="AI33" s="94" t="s">
        <v>272</v>
      </c>
      <c r="AJ33" s="147" t="s">
        <v>272</v>
      </c>
      <c r="AK33" s="94" t="s">
        <v>272</v>
      </c>
      <c r="AL33" s="94" t="s">
        <v>272</v>
      </c>
      <c r="AM33" s="94" t="s">
        <v>272</v>
      </c>
      <c r="AN33" s="147" t="s">
        <v>272</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3"/>
      <c r="B34" s="173" t="s">
        <v>440</v>
      </c>
      <c r="C34" s="65" t="s">
        <v>184</v>
      </c>
      <c r="D34" s="174" t="s">
        <v>300</v>
      </c>
      <c r="E34" s="6">
        <v>0</v>
      </c>
      <c r="F34" s="175">
        <v>0</v>
      </c>
      <c r="G34" s="176" t="s">
        <v>387</v>
      </c>
      <c r="H34" s="176" t="s">
        <v>388</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3"/>
      <c r="B35" s="194" t="s">
        <v>280</v>
      </c>
      <c r="C35" s="195" t="s">
        <v>184</v>
      </c>
      <c r="D35" s="196" t="s">
        <v>25</v>
      </c>
      <c r="E35" s="6">
        <v>0</v>
      </c>
      <c r="F35" s="197">
        <v>0</v>
      </c>
      <c r="G35" s="198" t="s">
        <v>389</v>
      </c>
      <c r="H35" s="198" t="s">
        <v>390</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230</v>
      </c>
      <c r="AP35" s="201" t="s">
        <v>230</v>
      </c>
      <c r="AQ35" s="201" t="s">
        <v>231</v>
      </c>
      <c r="AR35" s="199" t="s">
        <v>231</v>
      </c>
      <c r="AS35" s="201" t="s">
        <v>255</v>
      </c>
      <c r="AT35" s="201" t="s">
        <v>257</v>
      </c>
      <c r="AU35" s="201">
        <v>0</v>
      </c>
      <c r="AV35" s="199" t="s">
        <v>258</v>
      </c>
      <c r="AW35" s="201" t="s">
        <v>259</v>
      </c>
      <c r="AX35" s="201" t="s">
        <v>259</v>
      </c>
      <c r="AY35" s="201" t="s">
        <v>259</v>
      </c>
      <c r="AZ35" s="199" t="s">
        <v>259</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357</v>
      </c>
      <c r="BR35" s="201" t="s">
        <v>357</v>
      </c>
      <c r="BS35" s="201" t="s">
        <v>357</v>
      </c>
      <c r="BT35" s="199" t="s">
        <v>357</v>
      </c>
      <c r="BU35" s="205">
        <v>0</v>
      </c>
      <c r="BV35" s="205">
        <v>0</v>
      </c>
      <c r="BW35" s="205">
        <v>0</v>
      </c>
      <c r="BX35" s="353">
        <v>0</v>
      </c>
      <c r="BY35" s="202">
        <v>0</v>
      </c>
      <c r="BZ35" s="202">
        <v>0</v>
      </c>
      <c r="CA35" s="202">
        <v>0</v>
      </c>
      <c r="CB35" s="202">
        <v>0</v>
      </c>
    </row>
    <row r="36" spans="1:80" s="201" customFormat="1" x14ac:dyDescent="0.35">
      <c r="A36" s="413"/>
      <c r="B36" s="194" t="str">
        <f>B35</f>
        <v>Reactant11</v>
      </c>
      <c r="C36" s="195" t="s">
        <v>184</v>
      </c>
      <c r="D36" s="196" t="s">
        <v>164</v>
      </c>
      <c r="E36" s="6">
        <v>0</v>
      </c>
      <c r="F36" s="197">
        <v>0</v>
      </c>
      <c r="G36" s="198" t="s">
        <v>389</v>
      </c>
      <c r="H36" s="198" t="s">
        <v>390</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230</v>
      </c>
      <c r="AP36" s="201" t="s">
        <v>230</v>
      </c>
      <c r="AQ36" s="201" t="s">
        <v>231</v>
      </c>
      <c r="AR36" s="199" t="s">
        <v>231</v>
      </c>
      <c r="AS36" s="201" t="s">
        <v>255</v>
      </c>
      <c r="AT36" s="201" t="s">
        <v>256</v>
      </c>
      <c r="AU36" s="201">
        <v>0</v>
      </c>
      <c r="AV36" s="199" t="s">
        <v>258</v>
      </c>
      <c r="AW36" s="201" t="s">
        <v>259</v>
      </c>
      <c r="AX36" s="201" t="s">
        <v>259</v>
      </c>
      <c r="AY36" s="201" t="s">
        <v>259</v>
      </c>
      <c r="AZ36" s="199" t="s">
        <v>259</v>
      </c>
      <c r="BA36" s="201" t="s">
        <v>260</v>
      </c>
      <c r="BB36" s="201" t="s">
        <v>260</v>
      </c>
      <c r="BC36" s="201">
        <v>0</v>
      </c>
      <c r="BD36" s="199" t="s">
        <v>260</v>
      </c>
      <c r="BE36" s="201">
        <v>0</v>
      </c>
      <c r="BF36" s="201">
        <v>0</v>
      </c>
      <c r="BG36" s="201">
        <v>0</v>
      </c>
      <c r="BH36" s="199">
        <v>0</v>
      </c>
      <c r="BI36" s="204">
        <v>0</v>
      </c>
      <c r="BJ36" s="204">
        <v>0</v>
      </c>
      <c r="BK36" s="204">
        <v>0</v>
      </c>
      <c r="BL36" s="350">
        <v>0</v>
      </c>
      <c r="BM36" s="204">
        <v>0</v>
      </c>
      <c r="BN36" s="204">
        <v>0</v>
      </c>
      <c r="BO36" s="204">
        <v>0</v>
      </c>
      <c r="BP36" s="350">
        <v>0</v>
      </c>
      <c r="BQ36" s="201" t="s">
        <v>357</v>
      </c>
      <c r="BR36" s="201" t="s">
        <v>357</v>
      </c>
      <c r="BS36" s="201" t="s">
        <v>357</v>
      </c>
      <c r="BT36" s="199" t="s">
        <v>357</v>
      </c>
      <c r="BU36" s="205">
        <v>0</v>
      </c>
      <c r="BV36" s="205">
        <v>0</v>
      </c>
      <c r="BW36" s="205">
        <v>0</v>
      </c>
      <c r="BX36" s="353">
        <v>0</v>
      </c>
      <c r="BY36" s="202">
        <v>0</v>
      </c>
      <c r="BZ36" s="202">
        <v>0</v>
      </c>
      <c r="CA36" s="202">
        <v>0</v>
      </c>
      <c r="CB36" s="202">
        <v>0</v>
      </c>
    </row>
    <row r="37" spans="1:80" s="201" customFormat="1" x14ac:dyDescent="0.35">
      <c r="A37" s="413"/>
      <c r="B37" s="194" t="str">
        <f>B35</f>
        <v>Reactant11</v>
      </c>
      <c r="C37" s="195" t="s">
        <v>184</v>
      </c>
      <c r="D37" s="196" t="s">
        <v>165</v>
      </c>
      <c r="E37" s="6">
        <v>0</v>
      </c>
      <c r="F37" s="197">
        <v>0</v>
      </c>
      <c r="G37" s="198" t="s">
        <v>389</v>
      </c>
      <c r="H37" s="198" t="s">
        <v>390</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230</v>
      </c>
      <c r="AP37" s="201" t="s">
        <v>230</v>
      </c>
      <c r="AQ37" s="201" t="s">
        <v>231</v>
      </c>
      <c r="AR37" s="199" t="s">
        <v>231</v>
      </c>
      <c r="AS37" s="201" t="s">
        <v>255</v>
      </c>
      <c r="AT37" s="201" t="s">
        <v>256</v>
      </c>
      <c r="AU37" s="201">
        <v>0</v>
      </c>
      <c r="AV37" s="199" t="s">
        <v>258</v>
      </c>
      <c r="AW37" s="201" t="s">
        <v>259</v>
      </c>
      <c r="AX37" s="201" t="s">
        <v>259</v>
      </c>
      <c r="AY37" s="201" t="s">
        <v>259</v>
      </c>
      <c r="AZ37" s="199" t="s">
        <v>259</v>
      </c>
      <c r="BA37" s="201" t="s">
        <v>260</v>
      </c>
      <c r="BB37" s="201" t="s">
        <v>260</v>
      </c>
      <c r="BC37" s="201">
        <v>0</v>
      </c>
      <c r="BD37" s="199" t="s">
        <v>260</v>
      </c>
      <c r="BE37" s="201">
        <v>0</v>
      </c>
      <c r="BF37" s="201">
        <v>0</v>
      </c>
      <c r="BG37" s="201">
        <v>0</v>
      </c>
      <c r="BH37" s="199">
        <v>0</v>
      </c>
      <c r="BI37" s="204">
        <v>0</v>
      </c>
      <c r="BJ37" s="204">
        <v>0</v>
      </c>
      <c r="BK37" s="204">
        <v>0</v>
      </c>
      <c r="BL37" s="350">
        <v>0</v>
      </c>
      <c r="BM37" s="204">
        <v>0</v>
      </c>
      <c r="BN37" s="204">
        <v>0</v>
      </c>
      <c r="BO37" s="204">
        <v>0</v>
      </c>
      <c r="BP37" s="350">
        <v>0</v>
      </c>
      <c r="BQ37" s="201" t="s">
        <v>357</v>
      </c>
      <c r="BR37" s="201" t="s">
        <v>357</v>
      </c>
      <c r="BS37" s="201" t="s">
        <v>357</v>
      </c>
      <c r="BT37" s="199" t="s">
        <v>357</v>
      </c>
      <c r="BU37" s="205">
        <v>0</v>
      </c>
      <c r="BV37" s="205">
        <v>0</v>
      </c>
      <c r="BW37" s="205">
        <v>0</v>
      </c>
      <c r="BX37" s="353">
        <v>0</v>
      </c>
      <c r="BY37" s="202">
        <v>0</v>
      </c>
      <c r="BZ37" s="202">
        <v>0</v>
      </c>
      <c r="CA37" s="202">
        <v>0</v>
      </c>
      <c r="CB37" s="202">
        <v>0</v>
      </c>
    </row>
    <row r="38" spans="1:80" s="37" customFormat="1" x14ac:dyDescent="0.35">
      <c r="A38" s="413"/>
      <c r="B38" s="217" t="s">
        <v>282</v>
      </c>
      <c r="C38" s="218" t="s">
        <v>13</v>
      </c>
      <c r="D38" s="219" t="s">
        <v>166</v>
      </c>
      <c r="E38" s="6">
        <v>0</v>
      </c>
      <c r="F38" s="220">
        <v>0</v>
      </c>
      <c r="G38" s="221" t="s">
        <v>387</v>
      </c>
      <c r="H38" s="221" t="s">
        <v>388</v>
      </c>
      <c r="I38" s="224">
        <v>0</v>
      </c>
      <c r="J38" s="320" t="str">
        <f>B35</f>
        <v>Reactant11</v>
      </c>
      <c r="K38" s="224">
        <v>0</v>
      </c>
      <c r="L38" s="224">
        <v>0</v>
      </c>
      <c r="M38" s="224">
        <v>0</v>
      </c>
      <c r="N38" s="224">
        <v>0</v>
      </c>
      <c r="O38" s="224">
        <v>0</v>
      </c>
      <c r="P38" s="222">
        <v>0</v>
      </c>
      <c r="Q38" s="37" t="s">
        <v>214</v>
      </c>
      <c r="R38" s="37" t="s">
        <v>214</v>
      </c>
      <c r="S38" s="37" t="s">
        <v>214</v>
      </c>
      <c r="T38" s="222" t="s">
        <v>214</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232</v>
      </c>
      <c r="AP38" s="37" t="s">
        <v>190</v>
      </c>
      <c r="AQ38" s="37" t="s">
        <v>190</v>
      </c>
      <c r="AR38" s="222" t="s">
        <v>190</v>
      </c>
      <c r="AS38" s="37" t="s">
        <v>261</v>
      </c>
      <c r="AT38" s="37" t="s">
        <v>261</v>
      </c>
      <c r="AU38" s="37">
        <v>0</v>
      </c>
      <c r="AV38" s="222" t="s">
        <v>261</v>
      </c>
      <c r="AW38" s="37" t="s">
        <v>262</v>
      </c>
      <c r="AX38" s="37" t="s">
        <v>262</v>
      </c>
      <c r="AY38" s="37" t="s">
        <v>262</v>
      </c>
      <c r="AZ38" s="222" t="s">
        <v>262</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261</v>
      </c>
      <c r="BR38" s="227" t="s">
        <v>261</v>
      </c>
      <c r="BS38" s="227" t="s">
        <v>261</v>
      </c>
      <c r="BT38" s="228" t="s">
        <v>261</v>
      </c>
      <c r="BU38" s="229">
        <v>0</v>
      </c>
      <c r="BV38" s="229">
        <v>0</v>
      </c>
      <c r="BW38" s="229">
        <v>0</v>
      </c>
      <c r="BX38" s="223">
        <v>0</v>
      </c>
      <c r="BY38" s="225">
        <v>0</v>
      </c>
      <c r="BZ38" s="225">
        <v>0</v>
      </c>
      <c r="CA38" s="225">
        <v>0</v>
      </c>
      <c r="CB38" s="225">
        <v>0</v>
      </c>
    </row>
    <row r="39" spans="1:80" s="37" customFormat="1" x14ac:dyDescent="0.35">
      <c r="A39" s="413"/>
      <c r="B39" s="217" t="s">
        <v>282</v>
      </c>
      <c r="C39" s="218" t="s">
        <v>13</v>
      </c>
      <c r="D39" s="219" t="s">
        <v>367</v>
      </c>
      <c r="E39" s="6">
        <v>0</v>
      </c>
      <c r="F39" s="220">
        <v>0</v>
      </c>
      <c r="G39" s="221" t="s">
        <v>387</v>
      </c>
      <c r="H39" s="221" t="s">
        <v>388</v>
      </c>
      <c r="I39" s="224">
        <v>0</v>
      </c>
      <c r="J39" s="320" t="str">
        <f>B35</f>
        <v>Reactant11</v>
      </c>
      <c r="K39" s="224">
        <v>0</v>
      </c>
      <c r="L39" s="224">
        <v>0</v>
      </c>
      <c r="M39" s="224">
        <v>0</v>
      </c>
      <c r="N39" s="224">
        <v>0</v>
      </c>
      <c r="O39" s="224">
        <v>0</v>
      </c>
      <c r="P39" s="222">
        <v>0</v>
      </c>
      <c r="Q39" s="37" t="s">
        <v>214</v>
      </c>
      <c r="R39" s="37" t="s">
        <v>214</v>
      </c>
      <c r="S39" s="37" t="s">
        <v>214</v>
      </c>
      <c r="T39" s="222" t="s">
        <v>214</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270</v>
      </c>
      <c r="AP39" s="230" t="s">
        <v>190</v>
      </c>
      <c r="AQ39" s="230" t="s">
        <v>190</v>
      </c>
      <c r="AR39" s="231" t="s">
        <v>190</v>
      </c>
      <c r="AS39" s="230" t="s">
        <v>261</v>
      </c>
      <c r="AT39" s="37" t="s">
        <v>263</v>
      </c>
      <c r="AU39" s="37">
        <v>0</v>
      </c>
      <c r="AV39" s="222" t="s">
        <v>261</v>
      </c>
      <c r="AW39" s="230" t="s">
        <v>264</v>
      </c>
      <c r="AX39" s="230" t="s">
        <v>264</v>
      </c>
      <c r="AY39" s="230" t="s">
        <v>264</v>
      </c>
      <c r="AZ39" s="231" t="s">
        <v>264</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261</v>
      </c>
      <c r="BR39" s="227" t="s">
        <v>261</v>
      </c>
      <c r="BS39" s="227" t="s">
        <v>261</v>
      </c>
      <c r="BT39" s="228" t="s">
        <v>261</v>
      </c>
      <c r="BU39" s="229">
        <v>0</v>
      </c>
      <c r="BV39" s="229">
        <v>0</v>
      </c>
      <c r="BW39" s="229">
        <v>0</v>
      </c>
      <c r="BX39" s="223">
        <v>0</v>
      </c>
      <c r="BY39" s="225">
        <v>0</v>
      </c>
      <c r="BZ39" s="225">
        <v>0</v>
      </c>
      <c r="CA39" s="225">
        <v>0</v>
      </c>
      <c r="CB39" s="225">
        <v>0</v>
      </c>
    </row>
    <row r="40" spans="1:80" s="37" customFormat="1" x14ac:dyDescent="0.35">
      <c r="A40" s="413"/>
      <c r="B40" s="217" t="s">
        <v>282</v>
      </c>
      <c r="C40" s="218" t="s">
        <v>13</v>
      </c>
      <c r="D40" s="219" t="s">
        <v>368</v>
      </c>
      <c r="E40" s="6">
        <v>0</v>
      </c>
      <c r="F40" s="220">
        <v>0</v>
      </c>
      <c r="G40" s="221" t="s">
        <v>387</v>
      </c>
      <c r="H40" s="221" t="s">
        <v>388</v>
      </c>
      <c r="I40" s="224">
        <v>0</v>
      </c>
      <c r="J40" s="320" t="str">
        <f>B35</f>
        <v>Reactant11</v>
      </c>
      <c r="K40" s="224">
        <v>0</v>
      </c>
      <c r="L40" s="224">
        <v>0</v>
      </c>
      <c r="M40" s="224">
        <v>0</v>
      </c>
      <c r="N40" s="224">
        <v>0</v>
      </c>
      <c r="O40" s="224">
        <v>0</v>
      </c>
      <c r="P40" s="222">
        <v>0</v>
      </c>
      <c r="Q40" s="37" t="s">
        <v>214</v>
      </c>
      <c r="R40" s="37" t="s">
        <v>214</v>
      </c>
      <c r="S40" s="37" t="s">
        <v>214</v>
      </c>
      <c r="T40" s="222" t="s">
        <v>214</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190</v>
      </c>
      <c r="AP40" s="229" t="s">
        <v>190</v>
      </c>
      <c r="AQ40" s="230" t="s">
        <v>190</v>
      </c>
      <c r="AR40" s="222" t="s">
        <v>190</v>
      </c>
      <c r="AS40" s="230" t="s">
        <v>261</v>
      </c>
      <c r="AT40" s="37" t="s">
        <v>263</v>
      </c>
      <c r="AU40" s="37">
        <v>0</v>
      </c>
      <c r="AV40" s="222" t="s">
        <v>261</v>
      </c>
      <c r="AW40" s="230" t="s">
        <v>264</v>
      </c>
      <c r="AX40" s="230" t="s">
        <v>264</v>
      </c>
      <c r="AY40" s="230" t="s">
        <v>264</v>
      </c>
      <c r="AZ40" s="231" t="s">
        <v>264</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261</v>
      </c>
      <c r="BR40" s="227" t="s">
        <v>261</v>
      </c>
      <c r="BS40" s="227" t="s">
        <v>261</v>
      </c>
      <c r="BT40" s="228" t="s">
        <v>261</v>
      </c>
      <c r="BU40" s="229">
        <v>0</v>
      </c>
      <c r="BV40" s="229">
        <v>0</v>
      </c>
      <c r="BW40" s="229">
        <v>0</v>
      </c>
      <c r="BX40" s="223">
        <v>0</v>
      </c>
      <c r="BY40" s="225">
        <v>0</v>
      </c>
      <c r="BZ40" s="225">
        <v>0</v>
      </c>
      <c r="CA40" s="225">
        <v>0</v>
      </c>
      <c r="CB40" s="225">
        <v>0</v>
      </c>
    </row>
    <row r="41" spans="1:80" s="37" customFormat="1" x14ac:dyDescent="0.35">
      <c r="A41" s="413"/>
      <c r="B41" s="217" t="s">
        <v>282</v>
      </c>
      <c r="C41" s="218" t="s">
        <v>13</v>
      </c>
      <c r="D41" s="219" t="s">
        <v>369</v>
      </c>
      <c r="E41" s="6">
        <v>0</v>
      </c>
      <c r="F41" s="220">
        <v>0</v>
      </c>
      <c r="G41" s="221" t="s">
        <v>387</v>
      </c>
      <c r="H41" s="221" t="s">
        <v>388</v>
      </c>
      <c r="I41" s="224">
        <v>0</v>
      </c>
      <c r="J41" s="320" t="str">
        <f>B35</f>
        <v>Reactant11</v>
      </c>
      <c r="K41" s="224">
        <v>0</v>
      </c>
      <c r="L41" s="224">
        <v>0</v>
      </c>
      <c r="M41" s="224">
        <v>0</v>
      </c>
      <c r="N41" s="224">
        <v>0</v>
      </c>
      <c r="O41" s="224">
        <v>0</v>
      </c>
      <c r="P41" s="222">
        <v>0</v>
      </c>
      <c r="Q41" s="37" t="s">
        <v>214</v>
      </c>
      <c r="R41" s="37" t="s">
        <v>214</v>
      </c>
      <c r="S41" s="37" t="s">
        <v>214</v>
      </c>
      <c r="T41" s="222" t="s">
        <v>214</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261</v>
      </c>
      <c r="BR41" s="230" t="s">
        <v>261</v>
      </c>
      <c r="BS41" s="230" t="s">
        <v>261</v>
      </c>
      <c r="BT41" s="231" t="s">
        <v>261</v>
      </c>
      <c r="BU41" s="229">
        <v>0</v>
      </c>
      <c r="BV41" s="229">
        <v>0</v>
      </c>
      <c r="BW41" s="229">
        <v>0</v>
      </c>
      <c r="BX41" s="223">
        <v>0</v>
      </c>
      <c r="BY41" s="225">
        <v>0</v>
      </c>
      <c r="BZ41" s="225">
        <v>0</v>
      </c>
      <c r="CA41" s="225">
        <v>0</v>
      </c>
      <c r="CB41" s="225">
        <v>0</v>
      </c>
    </row>
    <row r="42" spans="1:80" s="37" customFormat="1" x14ac:dyDescent="0.35">
      <c r="A42" s="413"/>
      <c r="B42" s="217" t="s">
        <v>282</v>
      </c>
      <c r="C42" s="218" t="s">
        <v>13</v>
      </c>
      <c r="D42" s="219" t="s">
        <v>370</v>
      </c>
      <c r="E42" s="6">
        <v>0</v>
      </c>
      <c r="F42" s="220">
        <v>0</v>
      </c>
      <c r="G42" s="221" t="s">
        <v>387</v>
      </c>
      <c r="H42" s="221" t="s">
        <v>388</v>
      </c>
      <c r="I42" s="224">
        <v>0</v>
      </c>
      <c r="J42" s="320" t="str">
        <f>B35</f>
        <v>Reactant11</v>
      </c>
      <c r="K42" s="224">
        <v>0</v>
      </c>
      <c r="L42" s="224">
        <v>0</v>
      </c>
      <c r="M42" s="224">
        <v>0</v>
      </c>
      <c r="N42" s="224">
        <v>0</v>
      </c>
      <c r="O42" s="224">
        <v>0</v>
      </c>
      <c r="P42" s="222">
        <v>0</v>
      </c>
      <c r="Q42" s="37" t="s">
        <v>214</v>
      </c>
      <c r="R42" s="37" t="s">
        <v>214</v>
      </c>
      <c r="S42" s="37" t="s">
        <v>214</v>
      </c>
      <c r="T42" s="222" t="s">
        <v>214</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261</v>
      </c>
      <c r="BR42" s="230" t="s">
        <v>261</v>
      </c>
      <c r="BS42" s="230" t="s">
        <v>261</v>
      </c>
      <c r="BT42" s="231" t="s">
        <v>261</v>
      </c>
      <c r="BU42" s="229">
        <v>0</v>
      </c>
      <c r="BV42" s="229">
        <v>0</v>
      </c>
      <c r="BW42" s="229">
        <v>0</v>
      </c>
      <c r="BX42" s="223">
        <v>0</v>
      </c>
      <c r="BY42" s="225">
        <v>0</v>
      </c>
      <c r="BZ42" s="225">
        <v>0</v>
      </c>
      <c r="CA42" s="225">
        <v>0</v>
      </c>
      <c r="CB42" s="225">
        <v>0</v>
      </c>
    </row>
    <row r="43" spans="1:80" s="37" customFormat="1" x14ac:dyDescent="0.35">
      <c r="A43" s="413"/>
      <c r="B43" s="217" t="s">
        <v>97</v>
      </c>
      <c r="C43" s="218" t="s">
        <v>92</v>
      </c>
      <c r="D43" s="219" t="s">
        <v>28</v>
      </c>
      <c r="E43" s="6">
        <v>0</v>
      </c>
      <c r="F43" s="220">
        <v>0</v>
      </c>
      <c r="G43" s="221" t="s">
        <v>393</v>
      </c>
      <c r="H43" s="221" t="s">
        <v>394</v>
      </c>
      <c r="I43" s="224">
        <v>0</v>
      </c>
      <c r="J43" s="320" t="str">
        <f>B38</f>
        <v>Product/Reactant12</v>
      </c>
      <c r="K43" s="224">
        <v>0</v>
      </c>
      <c r="L43" s="224">
        <v>0</v>
      </c>
      <c r="M43" s="323">
        <v>0</v>
      </c>
      <c r="N43" s="224">
        <v>0</v>
      </c>
      <c r="O43" s="224">
        <v>0</v>
      </c>
      <c r="P43" s="222">
        <v>0</v>
      </c>
      <c r="Q43" s="37" t="s">
        <v>215</v>
      </c>
      <c r="R43" s="37" t="s">
        <v>215</v>
      </c>
      <c r="S43" s="37" t="s">
        <v>215</v>
      </c>
      <c r="T43" s="222" t="s">
        <v>215</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3"/>
      <c r="B44" s="75" t="s">
        <v>19</v>
      </c>
      <c r="C44" s="82" t="s">
        <v>21</v>
      </c>
      <c r="D44" s="77" t="s">
        <v>26</v>
      </c>
      <c r="E44" s="6">
        <v>0</v>
      </c>
      <c r="F44" s="105">
        <v>0</v>
      </c>
      <c r="G44" s="117" t="s">
        <v>391</v>
      </c>
      <c r="H44" s="117" t="s">
        <v>392</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3"/>
      <c r="B45" s="75" t="s">
        <v>20</v>
      </c>
      <c r="C45" s="82" t="s">
        <v>22</v>
      </c>
      <c r="D45" s="77" t="s">
        <v>27</v>
      </c>
      <c r="E45" s="6">
        <v>0</v>
      </c>
      <c r="F45" s="105">
        <v>0</v>
      </c>
      <c r="G45" s="117" t="s">
        <v>391</v>
      </c>
      <c r="H45" s="117" t="s">
        <v>392</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3"/>
      <c r="B46" s="78" t="s">
        <v>184</v>
      </c>
      <c r="C46" s="82" t="s">
        <v>286</v>
      </c>
      <c r="D46" s="77" t="s">
        <v>281</v>
      </c>
      <c r="E46" s="6">
        <v>0</v>
      </c>
      <c r="F46" s="105">
        <v>0</v>
      </c>
      <c r="G46" s="117" t="s">
        <v>391</v>
      </c>
      <c r="H46" s="117" t="s">
        <v>392</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3"/>
      <c r="B47" s="83" t="s">
        <v>14</v>
      </c>
      <c r="C47" s="241" t="s">
        <v>184</v>
      </c>
      <c r="D47" s="85" t="s">
        <v>29</v>
      </c>
      <c r="E47" s="6">
        <v>0</v>
      </c>
      <c r="F47" s="106">
        <v>0</v>
      </c>
      <c r="G47" s="118" t="s">
        <v>387</v>
      </c>
      <c r="H47" s="118" t="s">
        <v>388</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358</v>
      </c>
      <c r="AP47" s="87" t="s">
        <v>358</v>
      </c>
      <c r="AQ47" s="87" t="s">
        <v>358</v>
      </c>
      <c r="AR47" s="141" t="s">
        <v>358</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3"/>
      <c r="B48" s="83" t="s">
        <v>15</v>
      </c>
      <c r="C48" s="241" t="s">
        <v>184</v>
      </c>
      <c r="D48" s="85" t="s">
        <v>30</v>
      </c>
      <c r="E48" s="6">
        <v>0</v>
      </c>
      <c r="F48" s="106">
        <v>0</v>
      </c>
      <c r="G48" s="118" t="s">
        <v>387</v>
      </c>
      <c r="H48" s="118" t="s">
        <v>388</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3"/>
      <c r="B49" s="83" t="s">
        <v>16</v>
      </c>
      <c r="C49" s="241" t="s">
        <v>184</v>
      </c>
      <c r="D49" s="245" t="s">
        <v>31</v>
      </c>
      <c r="E49" s="6">
        <v>0</v>
      </c>
      <c r="F49" s="106">
        <v>0</v>
      </c>
      <c r="G49" s="118" t="s">
        <v>388</v>
      </c>
      <c r="H49" s="118" t="s">
        <v>388</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216</v>
      </c>
      <c r="AD49" s="89" t="s">
        <v>216</v>
      </c>
      <c r="AE49" s="89" t="s">
        <v>216</v>
      </c>
      <c r="AF49" s="146" t="s">
        <v>216</v>
      </c>
      <c r="AG49" s="89">
        <v>0</v>
      </c>
      <c r="AH49" s="89">
        <v>0</v>
      </c>
      <c r="AI49" s="89">
        <v>0</v>
      </c>
      <c r="AJ49" s="146">
        <v>0</v>
      </c>
      <c r="AK49" s="89">
        <v>0</v>
      </c>
      <c r="AL49" s="89">
        <v>0</v>
      </c>
      <c r="AM49" s="89">
        <v>0</v>
      </c>
      <c r="AN49" s="146">
        <v>0</v>
      </c>
      <c r="AO49" s="87">
        <v>0</v>
      </c>
      <c r="AP49" s="87">
        <v>0</v>
      </c>
      <c r="AQ49" s="87">
        <v>0</v>
      </c>
      <c r="AR49" s="141">
        <v>0</v>
      </c>
      <c r="AS49" s="87" t="s">
        <v>265</v>
      </c>
      <c r="AT49" s="87" t="s">
        <v>265</v>
      </c>
      <c r="AU49" s="87">
        <v>0</v>
      </c>
      <c r="AV49" s="141" t="s">
        <v>266</v>
      </c>
      <c r="AW49" s="87" t="s">
        <v>267</v>
      </c>
      <c r="AX49" s="87" t="s">
        <v>267</v>
      </c>
      <c r="AY49" s="87" t="s">
        <v>267</v>
      </c>
      <c r="AZ49" s="141" t="s">
        <v>267</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357</v>
      </c>
      <c r="BV49" s="86" t="s">
        <v>357</v>
      </c>
      <c r="BW49" s="86" t="s">
        <v>357</v>
      </c>
      <c r="BX49" s="164" t="s">
        <v>357</v>
      </c>
      <c r="BY49" s="89">
        <v>0</v>
      </c>
      <c r="BZ49" s="89">
        <v>0</v>
      </c>
      <c r="CA49" s="89">
        <v>0</v>
      </c>
      <c r="CB49" s="89">
        <v>0</v>
      </c>
    </row>
    <row r="50" spans="1:80" s="47" customFormat="1" x14ac:dyDescent="0.35">
      <c r="A50" s="413"/>
      <c r="B50" s="43" t="s">
        <v>14</v>
      </c>
      <c r="C50" s="246" t="s">
        <v>184</v>
      </c>
      <c r="D50" s="247" t="s">
        <v>111</v>
      </c>
      <c r="E50" s="6">
        <v>0</v>
      </c>
      <c r="F50" s="103">
        <v>0</v>
      </c>
      <c r="G50" s="115" t="s">
        <v>387</v>
      </c>
      <c r="H50" s="115" t="s">
        <v>388</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268</v>
      </c>
      <c r="AP50" s="47" t="s">
        <v>268</v>
      </c>
      <c r="AQ50" s="47" t="s">
        <v>268</v>
      </c>
      <c r="AR50" s="157" t="s">
        <v>268</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3"/>
      <c r="B51" s="43" t="s">
        <v>15</v>
      </c>
      <c r="C51" s="246" t="s">
        <v>184</v>
      </c>
      <c r="D51" s="247" t="s">
        <v>112</v>
      </c>
      <c r="E51" s="6">
        <v>0</v>
      </c>
      <c r="F51" s="103">
        <v>0</v>
      </c>
      <c r="G51" s="115" t="s">
        <v>387</v>
      </c>
      <c r="H51" s="115" t="s">
        <v>388</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3"/>
      <c r="B52" s="43" t="s">
        <v>16</v>
      </c>
      <c r="C52" s="246" t="s">
        <v>184</v>
      </c>
      <c r="D52" s="247" t="s">
        <v>113</v>
      </c>
      <c r="E52" s="6">
        <v>0</v>
      </c>
      <c r="F52" s="103">
        <v>0</v>
      </c>
      <c r="G52" s="115" t="s">
        <v>388</v>
      </c>
      <c r="H52" s="115" t="s">
        <v>388</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217</v>
      </c>
      <c r="AD52" s="50" t="s">
        <v>218</v>
      </c>
      <c r="AE52" s="50" t="s">
        <v>218</v>
      </c>
      <c r="AF52" s="143" t="s">
        <v>218</v>
      </c>
      <c r="AG52" s="50">
        <v>0</v>
      </c>
      <c r="AH52" s="50">
        <v>0</v>
      </c>
      <c r="AI52" s="50">
        <v>0</v>
      </c>
      <c r="AJ52" s="143">
        <v>0</v>
      </c>
      <c r="AK52" s="50">
        <v>0</v>
      </c>
      <c r="AL52" s="50">
        <v>0</v>
      </c>
      <c r="AM52" s="50">
        <v>0</v>
      </c>
      <c r="AN52" s="143">
        <v>0</v>
      </c>
      <c r="AO52" s="47">
        <v>0</v>
      </c>
      <c r="AP52" s="47">
        <v>0</v>
      </c>
      <c r="AQ52" s="47">
        <v>0</v>
      </c>
      <c r="AR52" s="157">
        <v>0</v>
      </c>
      <c r="AS52" s="47" t="s">
        <v>269</v>
      </c>
      <c r="AT52" s="47" t="s">
        <v>269</v>
      </c>
      <c r="AU52" s="47" t="s">
        <v>269</v>
      </c>
      <c r="AV52" s="157" t="s">
        <v>269</v>
      </c>
      <c r="AW52" s="47" t="s">
        <v>267</v>
      </c>
      <c r="AX52" s="47" t="s">
        <v>267</v>
      </c>
      <c r="AY52" s="47" t="s">
        <v>267</v>
      </c>
      <c r="AZ52" s="157" t="s">
        <v>267</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357</v>
      </c>
      <c r="BV52" s="46" t="s">
        <v>357</v>
      </c>
      <c r="BW52" s="46" t="s">
        <v>357</v>
      </c>
      <c r="BX52" s="168" t="s">
        <v>357</v>
      </c>
      <c r="BY52" s="50">
        <v>0</v>
      </c>
      <c r="BZ52" s="50">
        <v>0</v>
      </c>
      <c r="CA52" s="50">
        <v>0</v>
      </c>
      <c r="CB52" s="50">
        <v>0</v>
      </c>
    </row>
    <row r="53" spans="1:80" s="345" customFormat="1" ht="14.5" customHeight="1" x14ac:dyDescent="0.35">
      <c r="A53" s="413" t="s">
        <v>17</v>
      </c>
      <c r="B53" s="335" t="s">
        <v>39</v>
      </c>
      <c r="C53" s="336" t="s">
        <v>184</v>
      </c>
      <c r="D53" s="337" t="s">
        <v>36</v>
      </c>
      <c r="E53" s="6">
        <v>0</v>
      </c>
      <c r="F53" s="338">
        <v>0</v>
      </c>
      <c r="G53" s="339" t="s">
        <v>395</v>
      </c>
      <c r="H53" s="339" t="s">
        <v>396</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270</v>
      </c>
      <c r="AT53" s="345" t="s">
        <v>271</v>
      </c>
      <c r="AU53" s="345" t="s">
        <v>271</v>
      </c>
      <c r="AV53" s="342" t="s">
        <v>271</v>
      </c>
      <c r="AW53" s="345" t="s">
        <v>270</v>
      </c>
      <c r="AX53" s="345" t="s">
        <v>271</v>
      </c>
      <c r="AY53" s="345" t="s">
        <v>271</v>
      </c>
      <c r="AZ53" s="342" t="s">
        <v>271</v>
      </c>
      <c r="BA53" s="345" t="s">
        <v>270</v>
      </c>
      <c r="BB53" s="345" t="s">
        <v>271</v>
      </c>
      <c r="BC53" s="345" t="s">
        <v>271</v>
      </c>
      <c r="BD53" s="342" t="s">
        <v>271</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3"/>
      <c r="B54" s="248" t="s">
        <v>38</v>
      </c>
      <c r="C54" s="234" t="s">
        <v>184</v>
      </c>
      <c r="D54" s="249" t="s">
        <v>37</v>
      </c>
      <c r="E54" s="6">
        <v>0</v>
      </c>
      <c r="F54" s="220">
        <v>0</v>
      </c>
      <c r="G54" s="221" t="s">
        <v>395</v>
      </c>
      <c r="H54" s="221" t="s">
        <v>396</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270</v>
      </c>
      <c r="AT54" s="37" t="s">
        <v>271</v>
      </c>
      <c r="AU54" s="37" t="s">
        <v>271</v>
      </c>
      <c r="AV54" s="222" t="s">
        <v>271</v>
      </c>
      <c r="AW54" s="37" t="s">
        <v>270</v>
      </c>
      <c r="AX54" s="37" t="s">
        <v>271</v>
      </c>
      <c r="AY54" s="37" t="s">
        <v>271</v>
      </c>
      <c r="AZ54" s="222" t="s">
        <v>271</v>
      </c>
      <c r="BA54" s="37" t="s">
        <v>270</v>
      </c>
      <c r="BB54" s="37" t="s">
        <v>271</v>
      </c>
      <c r="BC54" s="37" t="s">
        <v>271</v>
      </c>
      <c r="BD54" s="222" t="s">
        <v>271</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3"/>
      <c r="B55" s="250" t="str">
        <f>CONCATENATE("RPU_"&amp;D55)</f>
        <v>RPU_ON_SP198-HH100</v>
      </c>
      <c r="C55" s="65" t="s">
        <v>184</v>
      </c>
      <c r="D55" s="174" t="s">
        <v>114</v>
      </c>
      <c r="E55" s="6">
        <v>0</v>
      </c>
      <c r="F55" s="175">
        <v>0</v>
      </c>
      <c r="G55" s="176" t="s">
        <v>395</v>
      </c>
      <c r="H55" s="176" t="s">
        <v>396</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270</v>
      </c>
      <c r="AT55" s="179" t="s">
        <v>271</v>
      </c>
      <c r="AU55" s="179" t="s">
        <v>271</v>
      </c>
      <c r="AV55" s="177" t="s">
        <v>271</v>
      </c>
      <c r="AW55" s="179" t="s">
        <v>270</v>
      </c>
      <c r="AX55" s="179" t="s">
        <v>271</v>
      </c>
      <c r="AY55" s="179" t="s">
        <v>271</v>
      </c>
      <c r="AZ55" s="177" t="s">
        <v>271</v>
      </c>
      <c r="BA55" s="179" t="s">
        <v>270</v>
      </c>
      <c r="BB55" s="179" t="s">
        <v>271</v>
      </c>
      <c r="BC55" s="179" t="s">
        <v>271</v>
      </c>
      <c r="BD55" s="177" t="s">
        <v>271</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3"/>
      <c r="B56" s="250" t="str">
        <f t="shared" ref="B56:B66" si="4">CONCATENATE("RPU_"&amp;D56)</f>
        <v>RPU_ON_SP198-HH150</v>
      </c>
      <c r="C56" s="65" t="s">
        <v>184</v>
      </c>
      <c r="D56" s="174" t="s">
        <v>40</v>
      </c>
      <c r="E56" s="6">
        <v>0</v>
      </c>
      <c r="F56" s="175">
        <v>0</v>
      </c>
      <c r="G56" s="176" t="s">
        <v>395</v>
      </c>
      <c r="H56" s="176" t="s">
        <v>396</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270</v>
      </c>
      <c r="AT56" s="179" t="s">
        <v>271</v>
      </c>
      <c r="AU56" s="179" t="s">
        <v>271</v>
      </c>
      <c r="AV56" s="177" t="s">
        <v>271</v>
      </c>
      <c r="AW56" s="179" t="s">
        <v>270</v>
      </c>
      <c r="AX56" s="179" t="s">
        <v>271</v>
      </c>
      <c r="AY56" s="179" t="s">
        <v>271</v>
      </c>
      <c r="AZ56" s="177" t="s">
        <v>271</v>
      </c>
      <c r="BA56" s="179" t="s">
        <v>270</v>
      </c>
      <c r="BB56" s="179" t="s">
        <v>271</v>
      </c>
      <c r="BC56" s="179" t="s">
        <v>271</v>
      </c>
      <c r="BD56" s="177" t="s">
        <v>271</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3"/>
      <c r="B57" s="250" t="str">
        <f t="shared" si="4"/>
        <v>RPU_ON_SP237-HH100</v>
      </c>
      <c r="C57" s="65" t="s">
        <v>184</v>
      </c>
      <c r="D57" s="174" t="s">
        <v>41</v>
      </c>
      <c r="E57" s="6">
        <v>0</v>
      </c>
      <c r="F57" s="175">
        <v>0</v>
      </c>
      <c r="G57" s="176" t="s">
        <v>395</v>
      </c>
      <c r="H57" s="176" t="s">
        <v>396</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270</v>
      </c>
      <c r="AT57" s="179" t="s">
        <v>271</v>
      </c>
      <c r="AU57" s="179" t="s">
        <v>271</v>
      </c>
      <c r="AV57" s="177" t="s">
        <v>271</v>
      </c>
      <c r="AW57" s="179" t="s">
        <v>270</v>
      </c>
      <c r="AX57" s="179" t="s">
        <v>271</v>
      </c>
      <c r="AY57" s="179" t="s">
        <v>271</v>
      </c>
      <c r="AZ57" s="177" t="s">
        <v>271</v>
      </c>
      <c r="BA57" s="179" t="s">
        <v>270</v>
      </c>
      <c r="BB57" s="179" t="s">
        <v>271</v>
      </c>
      <c r="BC57" s="179" t="s">
        <v>271</v>
      </c>
      <c r="BD57" s="177" t="s">
        <v>271</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3"/>
      <c r="B58" s="250" t="str">
        <f t="shared" si="4"/>
        <v>RPU_ON_SP237-HH150</v>
      </c>
      <c r="C58" s="65" t="s">
        <v>184</v>
      </c>
      <c r="D58" s="174" t="s">
        <v>42</v>
      </c>
      <c r="E58" s="6">
        <v>0</v>
      </c>
      <c r="F58" s="175">
        <v>0</v>
      </c>
      <c r="G58" s="176" t="s">
        <v>395</v>
      </c>
      <c r="H58" s="176" t="s">
        <v>396</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270</v>
      </c>
      <c r="AT58" s="179" t="s">
        <v>271</v>
      </c>
      <c r="AU58" s="179" t="s">
        <v>271</v>
      </c>
      <c r="AV58" s="177" t="s">
        <v>271</v>
      </c>
      <c r="AW58" s="179" t="s">
        <v>270</v>
      </c>
      <c r="AX58" s="179" t="s">
        <v>271</v>
      </c>
      <c r="AY58" s="179" t="s">
        <v>271</v>
      </c>
      <c r="AZ58" s="177" t="s">
        <v>271</v>
      </c>
      <c r="BA58" s="179" t="s">
        <v>270</v>
      </c>
      <c r="BB58" s="179" t="s">
        <v>271</v>
      </c>
      <c r="BC58" s="179" t="s">
        <v>271</v>
      </c>
      <c r="BD58" s="177" t="s">
        <v>271</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3"/>
      <c r="B59" s="250" t="str">
        <f t="shared" si="4"/>
        <v>RPU_ON_SP277-HH100</v>
      </c>
      <c r="C59" s="65" t="s">
        <v>184</v>
      </c>
      <c r="D59" s="174" t="s">
        <v>43</v>
      </c>
      <c r="E59" s="6">
        <v>0</v>
      </c>
      <c r="F59" s="175">
        <v>0</v>
      </c>
      <c r="G59" s="176" t="s">
        <v>395</v>
      </c>
      <c r="H59" s="176" t="s">
        <v>396</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270</v>
      </c>
      <c r="AT59" s="179" t="s">
        <v>271</v>
      </c>
      <c r="AU59" s="179" t="s">
        <v>271</v>
      </c>
      <c r="AV59" s="177" t="s">
        <v>271</v>
      </c>
      <c r="AW59" s="179" t="s">
        <v>270</v>
      </c>
      <c r="AX59" s="179" t="s">
        <v>271</v>
      </c>
      <c r="AY59" s="179" t="s">
        <v>271</v>
      </c>
      <c r="AZ59" s="177" t="s">
        <v>271</v>
      </c>
      <c r="BA59" s="179" t="s">
        <v>270</v>
      </c>
      <c r="BB59" s="179" t="s">
        <v>271</v>
      </c>
      <c r="BC59" s="179" t="s">
        <v>271</v>
      </c>
      <c r="BD59" s="177" t="s">
        <v>271</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3"/>
      <c r="B60" s="250" t="str">
        <f t="shared" si="4"/>
        <v>RPU_ON_SP277-HH150</v>
      </c>
      <c r="C60" s="65" t="s">
        <v>184</v>
      </c>
      <c r="D60" s="174" t="s">
        <v>44</v>
      </c>
      <c r="E60" s="6">
        <v>0</v>
      </c>
      <c r="F60" s="175">
        <v>0</v>
      </c>
      <c r="G60" s="176" t="s">
        <v>395</v>
      </c>
      <c r="H60" s="176" t="s">
        <v>396</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270</v>
      </c>
      <c r="AT60" s="179" t="s">
        <v>271</v>
      </c>
      <c r="AU60" s="179" t="s">
        <v>271</v>
      </c>
      <c r="AV60" s="177" t="s">
        <v>271</v>
      </c>
      <c r="AW60" s="179" t="s">
        <v>270</v>
      </c>
      <c r="AX60" s="179" t="s">
        <v>271</v>
      </c>
      <c r="AY60" s="179" t="s">
        <v>271</v>
      </c>
      <c r="AZ60" s="177" t="s">
        <v>271</v>
      </c>
      <c r="BA60" s="179" t="s">
        <v>270</v>
      </c>
      <c r="BB60" s="179" t="s">
        <v>271</v>
      </c>
      <c r="BC60" s="179" t="s">
        <v>271</v>
      </c>
      <c r="BD60" s="177" t="s">
        <v>271</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3"/>
      <c r="B61" s="250" t="str">
        <f t="shared" si="4"/>
        <v>RPU_ON_SP321-HH100</v>
      </c>
      <c r="C61" s="65" t="s">
        <v>184</v>
      </c>
      <c r="D61" s="174" t="s">
        <v>45</v>
      </c>
      <c r="E61" s="6">
        <v>0</v>
      </c>
      <c r="F61" s="175">
        <v>0</v>
      </c>
      <c r="G61" s="176" t="s">
        <v>395</v>
      </c>
      <c r="H61" s="176" t="s">
        <v>396</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270</v>
      </c>
      <c r="AT61" s="179" t="s">
        <v>271</v>
      </c>
      <c r="AU61" s="179" t="s">
        <v>271</v>
      </c>
      <c r="AV61" s="177" t="s">
        <v>271</v>
      </c>
      <c r="AW61" s="179" t="s">
        <v>270</v>
      </c>
      <c r="AX61" s="179" t="s">
        <v>271</v>
      </c>
      <c r="AY61" s="179" t="s">
        <v>271</v>
      </c>
      <c r="AZ61" s="177" t="s">
        <v>271</v>
      </c>
      <c r="BA61" s="179" t="s">
        <v>270</v>
      </c>
      <c r="BB61" s="179" t="s">
        <v>271</v>
      </c>
      <c r="BC61" s="179" t="s">
        <v>271</v>
      </c>
      <c r="BD61" s="177" t="s">
        <v>271</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3"/>
      <c r="B62" s="250" t="str">
        <f t="shared" si="4"/>
        <v>RPU_ON_SP321-HH150</v>
      </c>
      <c r="C62" s="65" t="s">
        <v>184</v>
      </c>
      <c r="D62" s="174" t="s">
        <v>46</v>
      </c>
      <c r="E62" s="6">
        <v>0</v>
      </c>
      <c r="F62" s="175">
        <v>0</v>
      </c>
      <c r="G62" s="176" t="s">
        <v>395</v>
      </c>
      <c r="H62" s="176" t="s">
        <v>396</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270</v>
      </c>
      <c r="AT62" s="179" t="s">
        <v>271</v>
      </c>
      <c r="AU62" s="179" t="s">
        <v>271</v>
      </c>
      <c r="AV62" s="177" t="s">
        <v>271</v>
      </c>
      <c r="AW62" s="179" t="s">
        <v>270</v>
      </c>
      <c r="AX62" s="179" t="s">
        <v>271</v>
      </c>
      <c r="AY62" s="179" t="s">
        <v>271</v>
      </c>
      <c r="AZ62" s="177" t="s">
        <v>271</v>
      </c>
      <c r="BA62" s="179" t="s">
        <v>270</v>
      </c>
      <c r="BB62" s="179" t="s">
        <v>271</v>
      </c>
      <c r="BC62" s="179" t="s">
        <v>271</v>
      </c>
      <c r="BD62" s="177" t="s">
        <v>271</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3"/>
      <c r="B63" s="252" t="str">
        <f t="shared" si="4"/>
        <v>RPU_OFF_SP379-HH100</v>
      </c>
      <c r="C63" s="184" t="s">
        <v>184</v>
      </c>
      <c r="D63" s="185" t="s">
        <v>47</v>
      </c>
      <c r="E63" s="6">
        <v>0</v>
      </c>
      <c r="F63" s="186">
        <v>0</v>
      </c>
      <c r="G63" s="253" t="s">
        <v>395</v>
      </c>
      <c r="H63" s="253" t="s">
        <v>396</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270</v>
      </c>
      <c r="AT63" s="189" t="s">
        <v>271</v>
      </c>
      <c r="AU63" s="189" t="s">
        <v>271</v>
      </c>
      <c r="AV63" s="187" t="s">
        <v>271</v>
      </c>
      <c r="AW63" s="189" t="s">
        <v>270</v>
      </c>
      <c r="AX63" s="189" t="s">
        <v>271</v>
      </c>
      <c r="AY63" s="189" t="s">
        <v>271</v>
      </c>
      <c r="AZ63" s="187" t="s">
        <v>271</v>
      </c>
      <c r="BA63" s="189" t="s">
        <v>270</v>
      </c>
      <c r="BB63" s="189" t="s">
        <v>271</v>
      </c>
      <c r="BC63" s="189" t="s">
        <v>271</v>
      </c>
      <c r="BD63" s="187" t="s">
        <v>271</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3"/>
      <c r="B64" s="252" t="str">
        <f t="shared" si="4"/>
        <v>RPU_OFF_SP379-HH150</v>
      </c>
      <c r="C64" s="184" t="s">
        <v>184</v>
      </c>
      <c r="D64" s="185" t="s">
        <v>48</v>
      </c>
      <c r="E64" s="6">
        <v>0</v>
      </c>
      <c r="F64" s="186">
        <v>0</v>
      </c>
      <c r="G64" s="253" t="s">
        <v>395</v>
      </c>
      <c r="H64" s="253" t="s">
        <v>396</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270</v>
      </c>
      <c r="AT64" s="189" t="s">
        <v>271</v>
      </c>
      <c r="AU64" s="189" t="s">
        <v>271</v>
      </c>
      <c r="AV64" s="187" t="s">
        <v>271</v>
      </c>
      <c r="AW64" s="189" t="s">
        <v>270</v>
      </c>
      <c r="AX64" s="189" t="s">
        <v>271</v>
      </c>
      <c r="AY64" s="189" t="s">
        <v>271</v>
      </c>
      <c r="AZ64" s="187" t="s">
        <v>271</v>
      </c>
      <c r="BA64" s="189" t="s">
        <v>270</v>
      </c>
      <c r="BB64" s="189" t="s">
        <v>271</v>
      </c>
      <c r="BC64" s="189" t="s">
        <v>271</v>
      </c>
      <c r="BD64" s="187" t="s">
        <v>271</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3"/>
      <c r="B65" s="252" t="str">
        <f t="shared" si="4"/>
        <v>RPU_OFF_SP450-HH100</v>
      </c>
      <c r="C65" s="184" t="s">
        <v>184</v>
      </c>
      <c r="D65" s="185" t="s">
        <v>49</v>
      </c>
      <c r="E65" s="6">
        <v>0</v>
      </c>
      <c r="F65" s="186">
        <v>0</v>
      </c>
      <c r="G65" s="253" t="s">
        <v>395</v>
      </c>
      <c r="H65" s="253" t="s">
        <v>396</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270</v>
      </c>
      <c r="AT65" s="189" t="s">
        <v>271</v>
      </c>
      <c r="AU65" s="189" t="s">
        <v>271</v>
      </c>
      <c r="AV65" s="187" t="s">
        <v>271</v>
      </c>
      <c r="AW65" s="189" t="s">
        <v>270</v>
      </c>
      <c r="AX65" s="189" t="s">
        <v>271</v>
      </c>
      <c r="AY65" s="189" t="s">
        <v>271</v>
      </c>
      <c r="AZ65" s="187" t="s">
        <v>271</v>
      </c>
      <c r="BA65" s="189" t="s">
        <v>270</v>
      </c>
      <c r="BB65" s="189" t="s">
        <v>271</v>
      </c>
      <c r="BC65" s="189" t="s">
        <v>271</v>
      </c>
      <c r="BD65" s="187" t="s">
        <v>271</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3"/>
      <c r="B66" s="252" t="str">
        <f t="shared" si="4"/>
        <v>RPU_OFF_SP450-HH150</v>
      </c>
      <c r="C66" s="184" t="s">
        <v>184</v>
      </c>
      <c r="D66" s="185" t="s">
        <v>115</v>
      </c>
      <c r="E66" s="6">
        <v>0</v>
      </c>
      <c r="F66" s="186">
        <v>0</v>
      </c>
      <c r="G66" s="253" t="s">
        <v>395</v>
      </c>
      <c r="H66" s="253" t="s">
        <v>396</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270</v>
      </c>
      <c r="AT66" s="189" t="s">
        <v>271</v>
      </c>
      <c r="AU66" s="189" t="s">
        <v>271</v>
      </c>
      <c r="AV66" s="187" t="s">
        <v>271</v>
      </c>
      <c r="AW66" s="189" t="s">
        <v>270</v>
      </c>
      <c r="AX66" s="189" t="s">
        <v>271</v>
      </c>
      <c r="AY66" s="189" t="s">
        <v>271</v>
      </c>
      <c r="AZ66" s="187" t="s">
        <v>271</v>
      </c>
      <c r="BA66" s="189" t="s">
        <v>270</v>
      </c>
      <c r="BB66" s="189" t="s">
        <v>271</v>
      </c>
      <c r="BC66" s="189" t="s">
        <v>271</v>
      </c>
      <c r="BD66" s="187" t="s">
        <v>271</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3"/>
      <c r="B67" s="256" t="s">
        <v>328</v>
      </c>
      <c r="C67" s="76" t="s">
        <v>184</v>
      </c>
      <c r="D67" s="257" t="s">
        <v>329</v>
      </c>
      <c r="E67" s="6">
        <v>0</v>
      </c>
      <c r="F67" s="105">
        <v>0</v>
      </c>
      <c r="G67" s="117" t="s">
        <v>395</v>
      </c>
      <c r="H67" s="117" t="s">
        <v>396</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359</v>
      </c>
      <c r="AD67" s="258" t="s">
        <v>359</v>
      </c>
      <c r="AE67" s="258" t="s">
        <v>359</v>
      </c>
      <c r="AF67" s="258" t="s">
        <v>359</v>
      </c>
      <c r="AG67" s="258" t="s">
        <v>359</v>
      </c>
      <c r="AH67" s="258" t="s">
        <v>359</v>
      </c>
      <c r="AI67" s="258" t="s">
        <v>359</v>
      </c>
      <c r="AJ67" s="258" t="s">
        <v>359</v>
      </c>
      <c r="AK67" s="258" t="s">
        <v>359</v>
      </c>
      <c r="AL67" s="258" t="s">
        <v>359</v>
      </c>
      <c r="AM67" s="258" t="s">
        <v>359</v>
      </c>
      <c r="AN67" s="358" t="s">
        <v>359</v>
      </c>
      <c r="AO67" s="78" t="s">
        <v>359</v>
      </c>
      <c r="AP67" s="78" t="s">
        <v>359</v>
      </c>
      <c r="AQ67" s="78" t="s">
        <v>359</v>
      </c>
      <c r="AR67" s="136" t="s">
        <v>359</v>
      </c>
      <c r="AS67" s="78" t="s">
        <v>359</v>
      </c>
      <c r="AT67" s="78" t="s">
        <v>359</v>
      </c>
      <c r="AU67" s="78" t="s">
        <v>359</v>
      </c>
      <c r="AV67" s="78" t="s">
        <v>359</v>
      </c>
      <c r="AW67" s="78" t="s">
        <v>359</v>
      </c>
      <c r="AX67" s="78" t="s">
        <v>359</v>
      </c>
      <c r="AY67" s="78" t="s">
        <v>359</v>
      </c>
      <c r="AZ67" s="78" t="s">
        <v>359</v>
      </c>
      <c r="BA67" s="78" t="s">
        <v>359</v>
      </c>
      <c r="BB67" s="78" t="s">
        <v>359</v>
      </c>
      <c r="BC67" s="78" t="s">
        <v>359</v>
      </c>
      <c r="BD67" s="78" t="s">
        <v>359</v>
      </c>
      <c r="BE67" s="78">
        <v>0</v>
      </c>
      <c r="BF67" s="78">
        <v>0</v>
      </c>
      <c r="BG67" s="78">
        <v>0</v>
      </c>
      <c r="BH67" s="136">
        <v>0</v>
      </c>
      <c r="BI67" s="78">
        <v>0</v>
      </c>
      <c r="BJ67" s="78">
        <v>0</v>
      </c>
      <c r="BK67" s="78">
        <v>0</v>
      </c>
      <c r="BL67" s="136">
        <v>0</v>
      </c>
      <c r="BM67" s="78">
        <v>0</v>
      </c>
      <c r="BN67" s="78">
        <v>0</v>
      </c>
      <c r="BO67" s="78">
        <v>0</v>
      </c>
      <c r="BP67" s="136">
        <v>0</v>
      </c>
      <c r="BQ67" s="78" t="s">
        <v>359</v>
      </c>
      <c r="BR67" s="78" t="s">
        <v>359</v>
      </c>
      <c r="BS67" s="78" t="s">
        <v>359</v>
      </c>
      <c r="BT67" s="136" t="s">
        <v>359</v>
      </c>
      <c r="BU67" s="79" t="s">
        <v>359</v>
      </c>
      <c r="BV67" s="79" t="s">
        <v>359</v>
      </c>
      <c r="BW67" s="79" t="s">
        <v>359</v>
      </c>
      <c r="BX67" s="163" t="s">
        <v>359</v>
      </c>
      <c r="BY67" s="80" t="s">
        <v>359</v>
      </c>
      <c r="BZ67" s="80" t="s">
        <v>359</v>
      </c>
      <c r="CA67" s="80" t="s">
        <v>359</v>
      </c>
      <c r="CB67" s="80" t="s">
        <v>359</v>
      </c>
    </row>
    <row r="68" spans="1:80" s="78" customFormat="1" ht="14.5" customHeight="1" x14ac:dyDescent="0.35">
      <c r="A68" s="413"/>
      <c r="B68" s="256" t="s">
        <v>330</v>
      </c>
      <c r="C68" s="76" t="s">
        <v>184</v>
      </c>
      <c r="D68" s="257" t="s">
        <v>331</v>
      </c>
      <c r="E68" s="6">
        <v>0</v>
      </c>
      <c r="F68" s="105">
        <v>0</v>
      </c>
      <c r="G68" s="117" t="s">
        <v>395</v>
      </c>
      <c r="H68" s="117" t="s">
        <v>396</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359</v>
      </c>
      <c r="AD68" s="258" t="s">
        <v>359</v>
      </c>
      <c r="AE68" s="258" t="s">
        <v>359</v>
      </c>
      <c r="AF68" s="258" t="s">
        <v>359</v>
      </c>
      <c r="AG68" s="258" t="s">
        <v>359</v>
      </c>
      <c r="AH68" s="258" t="s">
        <v>359</v>
      </c>
      <c r="AI68" s="258" t="s">
        <v>359</v>
      </c>
      <c r="AJ68" s="258" t="s">
        <v>359</v>
      </c>
      <c r="AK68" s="258" t="s">
        <v>359</v>
      </c>
      <c r="AL68" s="258" t="s">
        <v>359</v>
      </c>
      <c r="AM68" s="258" t="s">
        <v>359</v>
      </c>
      <c r="AN68" s="358" t="s">
        <v>359</v>
      </c>
      <c r="AO68" s="78" t="s">
        <v>359</v>
      </c>
      <c r="AP68" s="78" t="s">
        <v>359</v>
      </c>
      <c r="AQ68" s="78" t="s">
        <v>359</v>
      </c>
      <c r="AR68" s="136" t="s">
        <v>359</v>
      </c>
      <c r="AS68" s="78" t="s">
        <v>359</v>
      </c>
      <c r="AT68" s="78" t="s">
        <v>359</v>
      </c>
      <c r="AU68" s="78" t="s">
        <v>359</v>
      </c>
      <c r="AV68" s="78" t="s">
        <v>359</v>
      </c>
      <c r="AW68" s="78" t="s">
        <v>359</v>
      </c>
      <c r="AX68" s="78" t="s">
        <v>359</v>
      </c>
      <c r="AY68" s="78" t="s">
        <v>359</v>
      </c>
      <c r="AZ68" s="78" t="s">
        <v>359</v>
      </c>
      <c r="BA68" s="78" t="s">
        <v>359</v>
      </c>
      <c r="BB68" s="78" t="s">
        <v>359</v>
      </c>
      <c r="BC68" s="78" t="s">
        <v>359</v>
      </c>
      <c r="BD68" s="78" t="s">
        <v>359</v>
      </c>
      <c r="BE68" s="78">
        <v>0</v>
      </c>
      <c r="BF68" s="78">
        <v>0</v>
      </c>
      <c r="BG68" s="78">
        <v>0</v>
      </c>
      <c r="BH68" s="136">
        <v>0</v>
      </c>
      <c r="BI68" s="78">
        <v>0</v>
      </c>
      <c r="BJ68" s="78">
        <v>0</v>
      </c>
      <c r="BK68" s="78">
        <v>0</v>
      </c>
      <c r="BL68" s="136">
        <v>0</v>
      </c>
      <c r="BM68" s="78">
        <v>0</v>
      </c>
      <c r="BN68" s="78">
        <v>0</v>
      </c>
      <c r="BO68" s="78">
        <v>0</v>
      </c>
      <c r="BP68" s="136">
        <v>0</v>
      </c>
      <c r="BQ68" s="78" t="s">
        <v>359</v>
      </c>
      <c r="BR68" s="78" t="s">
        <v>359</v>
      </c>
      <c r="BS68" s="78" t="s">
        <v>359</v>
      </c>
      <c r="BT68" s="136" t="s">
        <v>359</v>
      </c>
      <c r="BU68" s="79" t="s">
        <v>359</v>
      </c>
      <c r="BV68" s="79" t="s">
        <v>359</v>
      </c>
      <c r="BW68" s="79" t="s">
        <v>359</v>
      </c>
      <c r="BX68" s="163" t="s">
        <v>359</v>
      </c>
      <c r="BY68" s="80" t="s">
        <v>359</v>
      </c>
      <c r="BZ68" s="80" t="s">
        <v>359</v>
      </c>
      <c r="CA68" s="80" t="s">
        <v>359</v>
      </c>
      <c r="CB68" s="80" t="s">
        <v>359</v>
      </c>
    </row>
    <row r="69" spans="1:80" s="78" customFormat="1" ht="14.5" customHeight="1" x14ac:dyDescent="0.35">
      <c r="A69" s="413"/>
      <c r="B69" s="256" t="s">
        <v>332</v>
      </c>
      <c r="C69" s="76" t="s">
        <v>184</v>
      </c>
      <c r="D69" s="257" t="s">
        <v>333</v>
      </c>
      <c r="E69" s="6">
        <v>0</v>
      </c>
      <c r="F69" s="105">
        <v>0</v>
      </c>
      <c r="G69" s="117" t="s">
        <v>395</v>
      </c>
      <c r="H69" s="117" t="s">
        <v>396</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359</v>
      </c>
      <c r="AD69" s="258" t="s">
        <v>359</v>
      </c>
      <c r="AE69" s="258" t="s">
        <v>359</v>
      </c>
      <c r="AF69" s="258" t="s">
        <v>359</v>
      </c>
      <c r="AG69" s="258" t="s">
        <v>359</v>
      </c>
      <c r="AH69" s="258" t="s">
        <v>359</v>
      </c>
      <c r="AI69" s="258" t="s">
        <v>359</v>
      </c>
      <c r="AJ69" s="258" t="s">
        <v>359</v>
      </c>
      <c r="AK69" s="258" t="s">
        <v>359</v>
      </c>
      <c r="AL69" s="258" t="s">
        <v>359</v>
      </c>
      <c r="AM69" s="258" t="s">
        <v>359</v>
      </c>
      <c r="AN69" s="358" t="s">
        <v>359</v>
      </c>
      <c r="AO69" s="78" t="s">
        <v>359</v>
      </c>
      <c r="AP69" s="78" t="s">
        <v>359</v>
      </c>
      <c r="AQ69" s="78" t="s">
        <v>359</v>
      </c>
      <c r="AR69" s="136" t="s">
        <v>359</v>
      </c>
      <c r="AS69" s="78" t="s">
        <v>359</v>
      </c>
      <c r="AT69" s="78" t="s">
        <v>359</v>
      </c>
      <c r="AU69" s="78" t="s">
        <v>359</v>
      </c>
      <c r="AV69" s="78" t="s">
        <v>359</v>
      </c>
      <c r="AW69" s="78" t="s">
        <v>359</v>
      </c>
      <c r="AX69" s="78" t="s">
        <v>359</v>
      </c>
      <c r="AY69" s="78" t="s">
        <v>359</v>
      </c>
      <c r="AZ69" s="78" t="s">
        <v>359</v>
      </c>
      <c r="BA69" s="78" t="s">
        <v>359</v>
      </c>
      <c r="BB69" s="78" t="s">
        <v>359</v>
      </c>
      <c r="BC69" s="78" t="s">
        <v>359</v>
      </c>
      <c r="BD69" s="78" t="s">
        <v>359</v>
      </c>
      <c r="BE69" s="78">
        <v>0</v>
      </c>
      <c r="BF69" s="78">
        <v>0</v>
      </c>
      <c r="BG69" s="78">
        <v>0</v>
      </c>
      <c r="BH69" s="136">
        <v>0</v>
      </c>
      <c r="BI69" s="78">
        <v>0</v>
      </c>
      <c r="BJ69" s="78">
        <v>0</v>
      </c>
      <c r="BK69" s="78">
        <v>0</v>
      </c>
      <c r="BL69" s="136">
        <v>0</v>
      </c>
      <c r="BM69" s="78">
        <v>0</v>
      </c>
      <c r="BN69" s="78">
        <v>0</v>
      </c>
      <c r="BO69" s="78">
        <v>0</v>
      </c>
      <c r="BP69" s="136">
        <v>0</v>
      </c>
      <c r="BQ69" s="78" t="s">
        <v>359</v>
      </c>
      <c r="BR69" s="78" t="s">
        <v>359</v>
      </c>
      <c r="BS69" s="78" t="s">
        <v>359</v>
      </c>
      <c r="BT69" s="136" t="s">
        <v>359</v>
      </c>
      <c r="BU69" s="79" t="s">
        <v>359</v>
      </c>
      <c r="BV69" s="79" t="s">
        <v>359</v>
      </c>
      <c r="BW69" s="79" t="s">
        <v>359</v>
      </c>
      <c r="BX69" s="163" t="s">
        <v>359</v>
      </c>
      <c r="BY69" s="80" t="s">
        <v>359</v>
      </c>
      <c r="BZ69" s="80" t="s">
        <v>359</v>
      </c>
      <c r="CA69" s="80" t="s">
        <v>359</v>
      </c>
      <c r="CB69" s="80" t="s">
        <v>359</v>
      </c>
    </row>
    <row r="70" spans="1:80" s="78" customFormat="1" ht="14.5" customHeight="1" x14ac:dyDescent="0.35">
      <c r="A70" s="413"/>
      <c r="B70" s="256" t="s">
        <v>334</v>
      </c>
      <c r="C70" s="76" t="s">
        <v>184</v>
      </c>
      <c r="D70" s="257" t="s">
        <v>335</v>
      </c>
      <c r="E70" s="6">
        <v>0</v>
      </c>
      <c r="F70" s="105">
        <v>0</v>
      </c>
      <c r="G70" s="117" t="s">
        <v>395</v>
      </c>
      <c r="H70" s="117" t="s">
        <v>396</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359</v>
      </c>
      <c r="AD70" s="258" t="s">
        <v>359</v>
      </c>
      <c r="AE70" s="258" t="s">
        <v>359</v>
      </c>
      <c r="AF70" s="258" t="s">
        <v>359</v>
      </c>
      <c r="AG70" s="258" t="s">
        <v>359</v>
      </c>
      <c r="AH70" s="258" t="s">
        <v>359</v>
      </c>
      <c r="AI70" s="258" t="s">
        <v>359</v>
      </c>
      <c r="AJ70" s="258" t="s">
        <v>359</v>
      </c>
      <c r="AK70" s="258" t="s">
        <v>359</v>
      </c>
      <c r="AL70" s="258" t="s">
        <v>359</v>
      </c>
      <c r="AM70" s="258" t="s">
        <v>359</v>
      </c>
      <c r="AN70" s="358" t="s">
        <v>359</v>
      </c>
      <c r="AO70" s="78" t="s">
        <v>359</v>
      </c>
      <c r="AP70" s="78" t="s">
        <v>359</v>
      </c>
      <c r="AQ70" s="78" t="s">
        <v>359</v>
      </c>
      <c r="AR70" s="136" t="s">
        <v>359</v>
      </c>
      <c r="AS70" s="78" t="s">
        <v>359</v>
      </c>
      <c r="AT70" s="78" t="s">
        <v>359</v>
      </c>
      <c r="AU70" s="78" t="s">
        <v>359</v>
      </c>
      <c r="AV70" s="78" t="s">
        <v>359</v>
      </c>
      <c r="AW70" s="78" t="s">
        <v>359</v>
      </c>
      <c r="AX70" s="78" t="s">
        <v>359</v>
      </c>
      <c r="AY70" s="78" t="s">
        <v>359</v>
      </c>
      <c r="AZ70" s="78" t="s">
        <v>359</v>
      </c>
      <c r="BA70" s="78" t="s">
        <v>359</v>
      </c>
      <c r="BB70" s="78" t="s">
        <v>359</v>
      </c>
      <c r="BC70" s="78" t="s">
        <v>359</v>
      </c>
      <c r="BD70" s="78" t="s">
        <v>359</v>
      </c>
      <c r="BE70" s="78">
        <v>0</v>
      </c>
      <c r="BF70" s="78">
        <v>0</v>
      </c>
      <c r="BG70" s="78">
        <v>0</v>
      </c>
      <c r="BH70" s="136">
        <v>0</v>
      </c>
      <c r="BI70" s="78">
        <v>0</v>
      </c>
      <c r="BJ70" s="78">
        <v>0</v>
      </c>
      <c r="BK70" s="78">
        <v>0</v>
      </c>
      <c r="BL70" s="136">
        <v>0</v>
      </c>
      <c r="BM70" s="78">
        <v>0</v>
      </c>
      <c r="BN70" s="78">
        <v>0</v>
      </c>
      <c r="BO70" s="78">
        <v>0</v>
      </c>
      <c r="BP70" s="136">
        <v>0</v>
      </c>
      <c r="BQ70" s="78" t="s">
        <v>359</v>
      </c>
      <c r="BR70" s="78" t="s">
        <v>359</v>
      </c>
      <c r="BS70" s="78" t="s">
        <v>359</v>
      </c>
      <c r="BT70" s="136" t="s">
        <v>359</v>
      </c>
      <c r="BU70" s="79" t="s">
        <v>359</v>
      </c>
      <c r="BV70" s="79" t="s">
        <v>359</v>
      </c>
      <c r="BW70" s="79" t="s">
        <v>359</v>
      </c>
      <c r="BX70" s="163" t="s">
        <v>359</v>
      </c>
      <c r="BY70" s="80" t="s">
        <v>359</v>
      </c>
      <c r="BZ70" s="80" t="s">
        <v>359</v>
      </c>
      <c r="CA70" s="80" t="s">
        <v>359</v>
      </c>
      <c r="CB70" s="80" t="s">
        <v>359</v>
      </c>
    </row>
    <row r="71" spans="1:80" s="266" customFormat="1" ht="14.5" customHeight="1" x14ac:dyDescent="0.35">
      <c r="A71" s="413"/>
      <c r="B71" s="259" t="s">
        <v>14</v>
      </c>
      <c r="C71" s="260" t="s">
        <v>184</v>
      </c>
      <c r="D71" s="261" t="s">
        <v>182</v>
      </c>
      <c r="E71" s="6">
        <v>0</v>
      </c>
      <c r="F71" s="262">
        <v>0</v>
      </c>
      <c r="G71" s="263" t="s">
        <v>395</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359</v>
      </c>
      <c r="AD71" s="267" t="s">
        <v>359</v>
      </c>
      <c r="AE71" s="267" t="s">
        <v>359</v>
      </c>
      <c r="AF71" s="267" t="s">
        <v>359</v>
      </c>
      <c r="AG71" s="267" t="s">
        <v>359</v>
      </c>
      <c r="AH71" s="267" t="s">
        <v>359</v>
      </c>
      <c r="AI71" s="267" t="s">
        <v>359</v>
      </c>
      <c r="AJ71" s="267" t="s">
        <v>359</v>
      </c>
      <c r="AK71" s="267" t="s">
        <v>359</v>
      </c>
      <c r="AL71" s="267" t="s">
        <v>359</v>
      </c>
      <c r="AM71" s="267" t="s">
        <v>359</v>
      </c>
      <c r="AN71" s="359" t="s">
        <v>359</v>
      </c>
      <c r="AO71" s="266" t="s">
        <v>359</v>
      </c>
      <c r="AP71" s="266" t="s">
        <v>359</v>
      </c>
      <c r="AQ71" s="266" t="s">
        <v>359</v>
      </c>
      <c r="AR71" s="264" t="s">
        <v>359</v>
      </c>
      <c r="AS71" s="266" t="s">
        <v>359</v>
      </c>
      <c r="AT71" s="266" t="s">
        <v>359</v>
      </c>
      <c r="AU71" s="266" t="s">
        <v>359</v>
      </c>
      <c r="AV71" s="266" t="s">
        <v>359</v>
      </c>
      <c r="AW71" s="266" t="s">
        <v>359</v>
      </c>
      <c r="AX71" s="266" t="s">
        <v>359</v>
      </c>
      <c r="AY71" s="266" t="s">
        <v>359</v>
      </c>
      <c r="AZ71" s="266" t="s">
        <v>359</v>
      </c>
      <c r="BA71" s="266" t="s">
        <v>359</v>
      </c>
      <c r="BB71" s="266" t="s">
        <v>359</v>
      </c>
      <c r="BC71" s="266" t="s">
        <v>359</v>
      </c>
      <c r="BD71" s="266" t="s">
        <v>359</v>
      </c>
      <c r="BE71" s="266">
        <v>0</v>
      </c>
      <c r="BF71" s="266">
        <v>0</v>
      </c>
      <c r="BG71" s="266">
        <v>0</v>
      </c>
      <c r="BH71" s="264">
        <v>0</v>
      </c>
      <c r="BI71" s="266">
        <v>0</v>
      </c>
      <c r="BJ71" s="266">
        <v>0</v>
      </c>
      <c r="BK71" s="266">
        <v>0</v>
      </c>
      <c r="BL71" s="264">
        <v>0</v>
      </c>
      <c r="BM71" s="266">
        <v>0</v>
      </c>
      <c r="BN71" s="266">
        <v>0</v>
      </c>
      <c r="BO71" s="266">
        <v>0</v>
      </c>
      <c r="BP71" s="264">
        <v>0</v>
      </c>
      <c r="BQ71" s="266" t="s">
        <v>359</v>
      </c>
      <c r="BR71" s="266" t="s">
        <v>359</v>
      </c>
      <c r="BS71" s="266" t="s">
        <v>359</v>
      </c>
      <c r="BT71" s="264" t="s">
        <v>359</v>
      </c>
      <c r="BU71" s="268" t="s">
        <v>359</v>
      </c>
      <c r="BV71" s="268" t="s">
        <v>359</v>
      </c>
      <c r="BW71" s="268" t="s">
        <v>359</v>
      </c>
      <c r="BX71" s="354" t="s">
        <v>359</v>
      </c>
      <c r="BY71" s="269" t="s">
        <v>359</v>
      </c>
      <c r="BZ71" s="269" t="s">
        <v>359</v>
      </c>
      <c r="CA71" s="269" t="s">
        <v>359</v>
      </c>
      <c r="CB71" s="269" t="s">
        <v>359</v>
      </c>
    </row>
    <row r="72" spans="1:80" s="266" customFormat="1" ht="14.5" customHeight="1" x14ac:dyDescent="0.35">
      <c r="A72" s="413"/>
      <c r="B72" s="259" t="s">
        <v>15</v>
      </c>
      <c r="C72" s="260" t="s">
        <v>184</v>
      </c>
      <c r="D72" s="261" t="s">
        <v>183</v>
      </c>
      <c r="E72" s="6">
        <v>0</v>
      </c>
      <c r="F72" s="262">
        <v>0</v>
      </c>
      <c r="G72" s="263" t="s">
        <v>395</v>
      </c>
      <c r="H72" s="263" t="s">
        <v>396</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359</v>
      </c>
      <c r="AD72" s="267" t="s">
        <v>359</v>
      </c>
      <c r="AE72" s="267" t="s">
        <v>359</v>
      </c>
      <c r="AF72" s="267" t="s">
        <v>359</v>
      </c>
      <c r="AG72" s="267" t="s">
        <v>359</v>
      </c>
      <c r="AH72" s="267" t="s">
        <v>359</v>
      </c>
      <c r="AI72" s="267" t="s">
        <v>359</v>
      </c>
      <c r="AJ72" s="267" t="s">
        <v>359</v>
      </c>
      <c r="AK72" s="267" t="s">
        <v>359</v>
      </c>
      <c r="AL72" s="267" t="s">
        <v>359</v>
      </c>
      <c r="AM72" s="267" t="s">
        <v>359</v>
      </c>
      <c r="AN72" s="359" t="s">
        <v>359</v>
      </c>
      <c r="AO72" s="266" t="s">
        <v>359</v>
      </c>
      <c r="AP72" s="266" t="s">
        <v>359</v>
      </c>
      <c r="AQ72" s="266" t="s">
        <v>359</v>
      </c>
      <c r="AR72" s="264" t="s">
        <v>359</v>
      </c>
      <c r="AS72" s="266" t="s">
        <v>359</v>
      </c>
      <c r="AT72" s="266" t="s">
        <v>359</v>
      </c>
      <c r="AU72" s="266" t="s">
        <v>359</v>
      </c>
      <c r="AV72" s="266" t="s">
        <v>359</v>
      </c>
      <c r="AW72" s="266" t="s">
        <v>359</v>
      </c>
      <c r="AX72" s="266" t="s">
        <v>359</v>
      </c>
      <c r="AY72" s="266" t="s">
        <v>359</v>
      </c>
      <c r="AZ72" s="266" t="s">
        <v>359</v>
      </c>
      <c r="BA72" s="266" t="s">
        <v>359</v>
      </c>
      <c r="BB72" s="266" t="s">
        <v>359</v>
      </c>
      <c r="BC72" s="266" t="s">
        <v>359</v>
      </c>
      <c r="BD72" s="266" t="s">
        <v>359</v>
      </c>
      <c r="BE72" s="266">
        <v>0</v>
      </c>
      <c r="BF72" s="266">
        <v>0</v>
      </c>
      <c r="BG72" s="266">
        <v>0</v>
      </c>
      <c r="BH72" s="264">
        <v>0</v>
      </c>
      <c r="BI72" s="266">
        <v>0</v>
      </c>
      <c r="BJ72" s="266">
        <v>0</v>
      </c>
      <c r="BK72" s="266">
        <v>0</v>
      </c>
      <c r="BL72" s="264">
        <v>0</v>
      </c>
      <c r="BM72" s="266">
        <v>0</v>
      </c>
      <c r="BN72" s="266">
        <v>0</v>
      </c>
      <c r="BO72" s="266">
        <v>0</v>
      </c>
      <c r="BP72" s="264">
        <v>0</v>
      </c>
      <c r="BQ72" s="266" t="s">
        <v>359</v>
      </c>
      <c r="BR72" s="266" t="s">
        <v>359</v>
      </c>
      <c r="BS72" s="266" t="s">
        <v>359</v>
      </c>
      <c r="BT72" s="264" t="s">
        <v>359</v>
      </c>
      <c r="BU72" s="268" t="s">
        <v>359</v>
      </c>
      <c r="BV72" s="268" t="s">
        <v>359</v>
      </c>
      <c r="BW72" s="268" t="s">
        <v>359</v>
      </c>
      <c r="BX72" s="354" t="s">
        <v>359</v>
      </c>
      <c r="BY72" s="269" t="s">
        <v>359</v>
      </c>
      <c r="BZ72" s="269" t="s">
        <v>359</v>
      </c>
      <c r="CA72" s="269" t="s">
        <v>359</v>
      </c>
      <c r="CB72" s="269" t="s">
        <v>359</v>
      </c>
    </row>
    <row r="73" spans="1:80" s="277" customFormat="1" ht="14.5" customHeight="1" x14ac:dyDescent="0.35">
      <c r="A73" s="413"/>
      <c r="B73" s="270" t="s">
        <v>16</v>
      </c>
      <c r="C73" s="271" t="s">
        <v>184</v>
      </c>
      <c r="D73" s="272" t="s">
        <v>336</v>
      </c>
      <c r="E73" s="6">
        <v>0</v>
      </c>
      <c r="F73" s="273">
        <v>0</v>
      </c>
      <c r="G73" s="274" t="s">
        <v>396</v>
      </c>
      <c r="H73" s="274" t="s">
        <v>396</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359</v>
      </c>
      <c r="AD73" s="278" t="s">
        <v>359</v>
      </c>
      <c r="AE73" s="278" t="s">
        <v>359</v>
      </c>
      <c r="AF73" s="278" t="s">
        <v>359</v>
      </c>
      <c r="AG73" s="278" t="s">
        <v>359</v>
      </c>
      <c r="AH73" s="278" t="s">
        <v>359</v>
      </c>
      <c r="AI73" s="278" t="s">
        <v>359</v>
      </c>
      <c r="AJ73" s="278" t="s">
        <v>359</v>
      </c>
      <c r="AK73" s="278" t="s">
        <v>359</v>
      </c>
      <c r="AL73" s="278" t="s">
        <v>359</v>
      </c>
      <c r="AM73" s="278" t="s">
        <v>359</v>
      </c>
      <c r="AN73" s="360" t="s">
        <v>359</v>
      </c>
      <c r="AO73" s="277" t="s">
        <v>359</v>
      </c>
      <c r="AP73" s="277" t="s">
        <v>359</v>
      </c>
      <c r="AQ73" s="277" t="s">
        <v>359</v>
      </c>
      <c r="AR73" s="275" t="s">
        <v>359</v>
      </c>
      <c r="AS73" s="277" t="s">
        <v>359</v>
      </c>
      <c r="AT73" s="277" t="s">
        <v>359</v>
      </c>
      <c r="AU73" s="277" t="s">
        <v>359</v>
      </c>
      <c r="AV73" s="277" t="s">
        <v>359</v>
      </c>
      <c r="AW73" s="277" t="s">
        <v>359</v>
      </c>
      <c r="AX73" s="277" t="s">
        <v>359</v>
      </c>
      <c r="AY73" s="277" t="s">
        <v>359</v>
      </c>
      <c r="AZ73" s="277" t="s">
        <v>359</v>
      </c>
      <c r="BA73" s="277" t="s">
        <v>359</v>
      </c>
      <c r="BB73" s="277" t="s">
        <v>359</v>
      </c>
      <c r="BC73" s="277" t="s">
        <v>359</v>
      </c>
      <c r="BD73" s="277" t="s">
        <v>359</v>
      </c>
      <c r="BE73" s="277">
        <v>0</v>
      </c>
      <c r="BF73" s="277">
        <v>0</v>
      </c>
      <c r="BG73" s="277">
        <v>0</v>
      </c>
      <c r="BH73" s="275">
        <v>0</v>
      </c>
      <c r="BI73" s="277">
        <v>0</v>
      </c>
      <c r="BJ73" s="277">
        <v>0</v>
      </c>
      <c r="BK73" s="277">
        <v>0</v>
      </c>
      <c r="BL73" s="275">
        <v>0</v>
      </c>
      <c r="BM73" s="277">
        <v>0</v>
      </c>
      <c r="BN73" s="277">
        <v>0</v>
      </c>
      <c r="BO73" s="277">
        <v>0</v>
      </c>
      <c r="BP73" s="275">
        <v>0</v>
      </c>
      <c r="BQ73" s="277" t="s">
        <v>359</v>
      </c>
      <c r="BR73" s="277" t="s">
        <v>359</v>
      </c>
      <c r="BS73" s="277" t="s">
        <v>359</v>
      </c>
      <c r="BT73" s="275" t="s">
        <v>359</v>
      </c>
      <c r="BU73" s="279" t="s">
        <v>359</v>
      </c>
      <c r="BV73" s="279" t="s">
        <v>359</v>
      </c>
      <c r="BW73" s="279" t="s">
        <v>359</v>
      </c>
      <c r="BX73" s="355" t="s">
        <v>359</v>
      </c>
      <c r="BY73" s="280" t="s">
        <v>359</v>
      </c>
      <c r="BZ73" s="280" t="s">
        <v>359</v>
      </c>
      <c r="CA73" s="280" t="s">
        <v>359</v>
      </c>
      <c r="CB73" s="280" t="s">
        <v>359</v>
      </c>
    </row>
    <row r="74" spans="1:80" s="277" customFormat="1" ht="14.5" customHeight="1" x14ac:dyDescent="0.35">
      <c r="A74" s="413"/>
      <c r="B74" s="270" t="s">
        <v>16</v>
      </c>
      <c r="C74" s="271" t="s">
        <v>184</v>
      </c>
      <c r="D74" s="272" t="s">
        <v>337</v>
      </c>
      <c r="E74" s="6">
        <v>0</v>
      </c>
      <c r="F74" s="273">
        <v>0</v>
      </c>
      <c r="G74" s="274" t="s">
        <v>396</v>
      </c>
      <c r="H74" s="274" t="s">
        <v>396</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359</v>
      </c>
      <c r="AD74" s="278" t="s">
        <v>359</v>
      </c>
      <c r="AE74" s="278" t="s">
        <v>359</v>
      </c>
      <c r="AF74" s="278" t="s">
        <v>359</v>
      </c>
      <c r="AG74" s="278" t="s">
        <v>359</v>
      </c>
      <c r="AH74" s="278" t="s">
        <v>359</v>
      </c>
      <c r="AI74" s="278" t="s">
        <v>359</v>
      </c>
      <c r="AJ74" s="278" t="s">
        <v>359</v>
      </c>
      <c r="AK74" s="278" t="s">
        <v>359</v>
      </c>
      <c r="AL74" s="278" t="s">
        <v>359</v>
      </c>
      <c r="AM74" s="278" t="s">
        <v>359</v>
      </c>
      <c r="AN74" s="360" t="s">
        <v>359</v>
      </c>
      <c r="AO74" s="277" t="s">
        <v>359</v>
      </c>
      <c r="AP74" s="277" t="s">
        <v>359</v>
      </c>
      <c r="AQ74" s="277" t="s">
        <v>359</v>
      </c>
      <c r="AR74" s="275" t="s">
        <v>359</v>
      </c>
      <c r="AS74" s="277" t="s">
        <v>359</v>
      </c>
      <c r="AT74" s="277" t="s">
        <v>359</v>
      </c>
      <c r="AU74" s="277" t="s">
        <v>359</v>
      </c>
      <c r="AV74" s="277" t="s">
        <v>359</v>
      </c>
      <c r="AW74" s="277" t="s">
        <v>359</v>
      </c>
      <c r="AX74" s="277" t="s">
        <v>359</v>
      </c>
      <c r="AY74" s="277" t="s">
        <v>359</v>
      </c>
      <c r="AZ74" s="277" t="s">
        <v>359</v>
      </c>
      <c r="BA74" s="277" t="s">
        <v>359</v>
      </c>
      <c r="BB74" s="277" t="s">
        <v>359</v>
      </c>
      <c r="BC74" s="277" t="s">
        <v>359</v>
      </c>
      <c r="BD74" s="277" t="s">
        <v>359</v>
      </c>
      <c r="BE74" s="277">
        <v>0</v>
      </c>
      <c r="BF74" s="277">
        <v>0</v>
      </c>
      <c r="BG74" s="277">
        <v>0</v>
      </c>
      <c r="BH74" s="275">
        <v>0</v>
      </c>
      <c r="BI74" s="277">
        <v>0</v>
      </c>
      <c r="BJ74" s="277">
        <v>0</v>
      </c>
      <c r="BK74" s="277">
        <v>0</v>
      </c>
      <c r="BL74" s="275">
        <v>0</v>
      </c>
      <c r="BM74" s="277">
        <v>0</v>
      </c>
      <c r="BN74" s="277">
        <v>0</v>
      </c>
      <c r="BO74" s="277">
        <v>0</v>
      </c>
      <c r="BP74" s="275">
        <v>0</v>
      </c>
      <c r="BQ74" s="277" t="s">
        <v>359</v>
      </c>
      <c r="BR74" s="277" t="s">
        <v>359</v>
      </c>
      <c r="BS74" s="277" t="s">
        <v>359</v>
      </c>
      <c r="BT74" s="275" t="s">
        <v>359</v>
      </c>
      <c r="BU74" s="279" t="s">
        <v>359</v>
      </c>
      <c r="BV74" s="279" t="s">
        <v>359</v>
      </c>
      <c r="BW74" s="279" t="s">
        <v>359</v>
      </c>
      <c r="BX74" s="355" t="s">
        <v>359</v>
      </c>
      <c r="BY74" s="280" t="s">
        <v>359</v>
      </c>
      <c r="BZ74" s="280" t="s">
        <v>359</v>
      </c>
      <c r="CA74" s="280" t="s">
        <v>359</v>
      </c>
      <c r="CB74" s="280" t="s">
        <v>359</v>
      </c>
    </row>
    <row r="75" spans="1:80" s="277" customFormat="1" ht="14.5" customHeight="1" x14ac:dyDescent="0.35">
      <c r="A75" s="413"/>
      <c r="B75" s="270" t="s">
        <v>16</v>
      </c>
      <c r="C75" s="271" t="s">
        <v>184</v>
      </c>
      <c r="D75" s="272" t="s">
        <v>415</v>
      </c>
      <c r="E75" s="6">
        <v>0</v>
      </c>
      <c r="F75" s="273">
        <v>0</v>
      </c>
      <c r="G75" s="274" t="s">
        <v>396</v>
      </c>
      <c r="H75" s="274" t="s">
        <v>396</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359</v>
      </c>
      <c r="AD75" s="278" t="s">
        <v>359</v>
      </c>
      <c r="AE75" s="278" t="s">
        <v>359</v>
      </c>
      <c r="AF75" s="278" t="s">
        <v>359</v>
      </c>
      <c r="AG75" s="278" t="s">
        <v>359</v>
      </c>
      <c r="AH75" s="278" t="s">
        <v>359</v>
      </c>
      <c r="AI75" s="278" t="s">
        <v>359</v>
      </c>
      <c r="AJ75" s="278" t="s">
        <v>359</v>
      </c>
      <c r="AK75" s="278" t="s">
        <v>359</v>
      </c>
      <c r="AL75" s="278" t="s">
        <v>359</v>
      </c>
      <c r="AM75" s="278" t="s">
        <v>359</v>
      </c>
      <c r="AN75" s="360" t="s">
        <v>359</v>
      </c>
      <c r="AO75" s="277" t="s">
        <v>359</v>
      </c>
      <c r="AP75" s="277" t="s">
        <v>359</v>
      </c>
      <c r="AQ75" s="277" t="s">
        <v>359</v>
      </c>
      <c r="AR75" s="275" t="s">
        <v>359</v>
      </c>
      <c r="AS75" s="277" t="s">
        <v>359</v>
      </c>
      <c r="AT75" s="277" t="s">
        <v>359</v>
      </c>
      <c r="AU75" s="277" t="s">
        <v>359</v>
      </c>
      <c r="AV75" s="277" t="s">
        <v>359</v>
      </c>
      <c r="AW75" s="277" t="s">
        <v>359</v>
      </c>
      <c r="AX75" s="277" t="s">
        <v>359</v>
      </c>
      <c r="AY75" s="277" t="s">
        <v>359</v>
      </c>
      <c r="AZ75" s="277" t="s">
        <v>359</v>
      </c>
      <c r="BA75" s="277" t="s">
        <v>359</v>
      </c>
      <c r="BB75" s="277" t="s">
        <v>359</v>
      </c>
      <c r="BC75" s="277" t="s">
        <v>359</v>
      </c>
      <c r="BD75" s="277" t="s">
        <v>359</v>
      </c>
      <c r="BE75" s="277">
        <v>0</v>
      </c>
      <c r="BF75" s="277">
        <v>0</v>
      </c>
      <c r="BG75" s="277">
        <v>0</v>
      </c>
      <c r="BH75" s="275">
        <v>0</v>
      </c>
      <c r="BI75" s="277">
        <v>0</v>
      </c>
      <c r="BJ75" s="277">
        <v>0</v>
      </c>
      <c r="BK75" s="277">
        <v>0</v>
      </c>
      <c r="BL75" s="275">
        <v>0</v>
      </c>
      <c r="BM75" s="277">
        <v>0</v>
      </c>
      <c r="BN75" s="277">
        <v>0</v>
      </c>
      <c r="BO75" s="277">
        <v>0</v>
      </c>
      <c r="BP75" s="275">
        <v>0</v>
      </c>
      <c r="BQ75" s="277" t="s">
        <v>359</v>
      </c>
      <c r="BR75" s="277" t="s">
        <v>359</v>
      </c>
      <c r="BS75" s="277" t="s">
        <v>359</v>
      </c>
      <c r="BT75" s="275" t="s">
        <v>359</v>
      </c>
      <c r="BU75" s="279" t="s">
        <v>359</v>
      </c>
      <c r="BV75" s="279" t="s">
        <v>359</v>
      </c>
      <c r="BW75" s="279" t="s">
        <v>359</v>
      </c>
      <c r="BX75" s="355" t="s">
        <v>359</v>
      </c>
      <c r="BY75" s="280" t="s">
        <v>359</v>
      </c>
      <c r="BZ75" s="280" t="s">
        <v>359</v>
      </c>
      <c r="CA75" s="280" t="s">
        <v>359</v>
      </c>
      <c r="CB75" s="280" t="s">
        <v>359</v>
      </c>
    </row>
    <row r="76" spans="1:80" s="277" customFormat="1" ht="14.5" customHeight="1" x14ac:dyDescent="0.35">
      <c r="A76" s="413"/>
      <c r="B76" s="270" t="s">
        <v>16</v>
      </c>
      <c r="C76" s="271" t="s">
        <v>184</v>
      </c>
      <c r="D76" s="272" t="s">
        <v>338</v>
      </c>
      <c r="E76" s="6">
        <v>0</v>
      </c>
      <c r="F76" s="273">
        <v>0</v>
      </c>
      <c r="G76" s="274" t="s">
        <v>396</v>
      </c>
      <c r="H76" s="274" t="s">
        <v>396</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359</v>
      </c>
      <c r="AD76" s="278" t="s">
        <v>359</v>
      </c>
      <c r="AE76" s="278" t="s">
        <v>359</v>
      </c>
      <c r="AF76" s="278" t="s">
        <v>359</v>
      </c>
      <c r="AG76" s="278" t="s">
        <v>359</v>
      </c>
      <c r="AH76" s="278" t="s">
        <v>359</v>
      </c>
      <c r="AI76" s="278" t="s">
        <v>359</v>
      </c>
      <c r="AJ76" s="278" t="s">
        <v>359</v>
      </c>
      <c r="AK76" s="278" t="s">
        <v>359</v>
      </c>
      <c r="AL76" s="278" t="s">
        <v>359</v>
      </c>
      <c r="AM76" s="278" t="s">
        <v>359</v>
      </c>
      <c r="AN76" s="360" t="s">
        <v>359</v>
      </c>
      <c r="AO76" s="277" t="s">
        <v>359</v>
      </c>
      <c r="AP76" s="277" t="s">
        <v>359</v>
      </c>
      <c r="AQ76" s="277" t="s">
        <v>359</v>
      </c>
      <c r="AR76" s="275" t="s">
        <v>359</v>
      </c>
      <c r="AS76" s="277" t="s">
        <v>359</v>
      </c>
      <c r="AT76" s="277" t="s">
        <v>359</v>
      </c>
      <c r="AU76" s="277" t="s">
        <v>359</v>
      </c>
      <c r="AV76" s="277" t="s">
        <v>359</v>
      </c>
      <c r="AW76" s="277" t="s">
        <v>359</v>
      </c>
      <c r="AX76" s="277" t="s">
        <v>359</v>
      </c>
      <c r="AY76" s="277" t="s">
        <v>359</v>
      </c>
      <c r="AZ76" s="277" t="s">
        <v>359</v>
      </c>
      <c r="BA76" s="277" t="s">
        <v>359</v>
      </c>
      <c r="BB76" s="277" t="s">
        <v>359</v>
      </c>
      <c r="BC76" s="277" t="s">
        <v>359</v>
      </c>
      <c r="BD76" s="277" t="s">
        <v>359</v>
      </c>
      <c r="BE76" s="277">
        <v>0</v>
      </c>
      <c r="BF76" s="277">
        <v>0</v>
      </c>
      <c r="BG76" s="277">
        <v>0</v>
      </c>
      <c r="BH76" s="275">
        <v>0</v>
      </c>
      <c r="BI76" s="277">
        <v>0</v>
      </c>
      <c r="BJ76" s="277">
        <v>0</v>
      </c>
      <c r="BK76" s="277">
        <v>0</v>
      </c>
      <c r="BL76" s="275">
        <v>0</v>
      </c>
      <c r="BM76" s="277">
        <v>0</v>
      </c>
      <c r="BN76" s="277">
        <v>0</v>
      </c>
      <c r="BO76" s="277">
        <v>0</v>
      </c>
      <c r="BP76" s="275">
        <v>0</v>
      </c>
      <c r="BQ76" s="277" t="s">
        <v>359</v>
      </c>
      <c r="BR76" s="277" t="s">
        <v>359</v>
      </c>
      <c r="BS76" s="277" t="s">
        <v>359</v>
      </c>
      <c r="BT76" s="275" t="s">
        <v>359</v>
      </c>
      <c r="BU76" s="279" t="s">
        <v>359</v>
      </c>
      <c r="BV76" s="279" t="s">
        <v>359</v>
      </c>
      <c r="BW76" s="279" t="s">
        <v>359</v>
      </c>
      <c r="BX76" s="355" t="s">
        <v>359</v>
      </c>
      <c r="BY76" s="280" t="s">
        <v>359</v>
      </c>
      <c r="BZ76" s="280" t="s">
        <v>359</v>
      </c>
      <c r="CA76" s="280" t="s">
        <v>359</v>
      </c>
      <c r="CB76" s="280" t="s">
        <v>359</v>
      </c>
    </row>
    <row r="77" spans="1:80" ht="14.5" customHeight="1" x14ac:dyDescent="0.35">
      <c r="A77" s="413"/>
      <c r="B77" s="171" t="s">
        <v>184</v>
      </c>
      <c r="C77" s="7" t="s">
        <v>184</v>
      </c>
      <c r="D77" s="169" t="s">
        <v>339</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359</v>
      </c>
      <c r="AD77" s="170" t="s">
        <v>359</v>
      </c>
      <c r="AE77" s="170" t="s">
        <v>359</v>
      </c>
      <c r="AF77" s="170" t="s">
        <v>359</v>
      </c>
      <c r="AG77" s="170" t="s">
        <v>359</v>
      </c>
      <c r="AH77" s="170" t="s">
        <v>359</v>
      </c>
      <c r="AI77" s="170" t="s">
        <v>359</v>
      </c>
      <c r="AJ77" s="170" t="s">
        <v>359</v>
      </c>
      <c r="AK77" s="170" t="s">
        <v>359</v>
      </c>
      <c r="AL77" s="170" t="s">
        <v>359</v>
      </c>
      <c r="AM77" s="170" t="s">
        <v>359</v>
      </c>
      <c r="AN77" s="361"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6" t="s">
        <v>359</v>
      </c>
      <c r="BY77" s="9" t="s">
        <v>359</v>
      </c>
      <c r="BZ77" s="9" t="s">
        <v>359</v>
      </c>
      <c r="CA77" s="9" t="s">
        <v>359</v>
      </c>
      <c r="CB77" s="9" t="s">
        <v>359</v>
      </c>
    </row>
    <row r="78" spans="1:80" s="213" customFormat="1" x14ac:dyDescent="0.35">
      <c r="A78" s="413"/>
      <c r="B78" s="281" t="s">
        <v>18</v>
      </c>
      <c r="C78" s="207" t="s">
        <v>23</v>
      </c>
      <c r="D78" s="282" t="s">
        <v>32</v>
      </c>
      <c r="E78" s="6">
        <v>0</v>
      </c>
      <c r="F78" s="208">
        <v>0</v>
      </c>
      <c r="G78" s="209" t="s">
        <v>395</v>
      </c>
      <c r="H78" s="209" t="s">
        <v>396</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232</v>
      </c>
      <c r="BB78" s="213" t="s">
        <v>232</v>
      </c>
      <c r="BC78" s="213" t="s">
        <v>232</v>
      </c>
      <c r="BD78" s="210" t="s">
        <v>232</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3"/>
      <c r="B79" s="281" t="s">
        <v>159</v>
      </c>
      <c r="C79" s="207" t="s">
        <v>24</v>
      </c>
      <c r="D79" s="282" t="s">
        <v>185</v>
      </c>
      <c r="E79" s="6">
        <v>0</v>
      </c>
      <c r="F79" s="208">
        <v>0</v>
      </c>
      <c r="G79" s="209" t="s">
        <v>395</v>
      </c>
      <c r="H79" s="209" t="s">
        <v>396</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3"/>
      <c r="B80" s="248" t="s">
        <v>14</v>
      </c>
      <c r="C80" s="234" t="s">
        <v>184</v>
      </c>
      <c r="D80" s="249" t="s">
        <v>33</v>
      </c>
      <c r="E80" s="6">
        <v>0</v>
      </c>
      <c r="F80" s="220">
        <v>0</v>
      </c>
      <c r="G80" s="221" t="s">
        <v>395</v>
      </c>
      <c r="H80" s="221" t="s">
        <v>396</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357</v>
      </c>
      <c r="AP80" s="37" t="s">
        <v>357</v>
      </c>
      <c r="AQ80" s="37" t="s">
        <v>357</v>
      </c>
      <c r="AR80" s="222" t="s">
        <v>357</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3"/>
      <c r="B81" s="248" t="s">
        <v>15</v>
      </c>
      <c r="C81" s="234" t="s">
        <v>184</v>
      </c>
      <c r="D81" s="249" t="s">
        <v>34</v>
      </c>
      <c r="E81" s="6">
        <v>0</v>
      </c>
      <c r="F81" s="220">
        <v>0</v>
      </c>
      <c r="G81" s="221" t="s">
        <v>395</v>
      </c>
      <c r="H81" s="221" t="s">
        <v>396</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357</v>
      </c>
      <c r="AP81" s="37" t="s">
        <v>357</v>
      </c>
      <c r="AQ81" s="37" t="s">
        <v>357</v>
      </c>
      <c r="AR81" s="222" t="s">
        <v>357</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3"/>
      <c r="B82" s="248" t="s">
        <v>16</v>
      </c>
      <c r="C82" s="234" t="s">
        <v>184</v>
      </c>
      <c r="D82" s="219" t="s">
        <v>35</v>
      </c>
      <c r="E82" s="6">
        <v>0</v>
      </c>
      <c r="F82" s="220">
        <v>0</v>
      </c>
      <c r="G82" s="221" t="s">
        <v>396</v>
      </c>
      <c r="H82" s="221" t="s">
        <v>396</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357</v>
      </c>
      <c r="AD82" s="225" t="s">
        <v>357</v>
      </c>
      <c r="AE82" s="225" t="s">
        <v>357</v>
      </c>
      <c r="AF82" s="226" t="s">
        <v>357</v>
      </c>
      <c r="AG82" s="225" t="s">
        <v>357</v>
      </c>
      <c r="AH82" s="225" t="s">
        <v>357</v>
      </c>
      <c r="AI82" s="225" t="s">
        <v>357</v>
      </c>
      <c r="AJ82" s="226" t="s">
        <v>357</v>
      </c>
      <c r="AK82" s="225" t="s">
        <v>357</v>
      </c>
      <c r="AL82" s="225" t="s">
        <v>357</v>
      </c>
      <c r="AM82" s="225" t="s">
        <v>357</v>
      </c>
      <c r="AN82" s="226" t="s">
        <v>357</v>
      </c>
      <c r="AO82" s="37" t="s">
        <v>357</v>
      </c>
      <c r="AP82" s="37" t="s">
        <v>357</v>
      </c>
      <c r="AQ82" s="37" t="s">
        <v>357</v>
      </c>
      <c r="AR82" s="222" t="s">
        <v>357</v>
      </c>
      <c r="AS82" s="37" t="s">
        <v>357</v>
      </c>
      <c r="AT82" s="37" t="s">
        <v>357</v>
      </c>
      <c r="AU82" s="37" t="s">
        <v>357</v>
      </c>
      <c r="AV82" s="222" t="s">
        <v>357</v>
      </c>
      <c r="AW82" s="37" t="s">
        <v>357</v>
      </c>
      <c r="AX82" s="37" t="s">
        <v>357</v>
      </c>
      <c r="AY82" s="37" t="s">
        <v>357</v>
      </c>
      <c r="AZ82" s="222" t="s">
        <v>357</v>
      </c>
      <c r="BA82" s="37" t="s">
        <v>357</v>
      </c>
      <c r="BB82" s="37" t="s">
        <v>357</v>
      </c>
      <c r="BC82" s="37" t="s">
        <v>357</v>
      </c>
      <c r="BD82" s="222" t="s">
        <v>357</v>
      </c>
      <c r="BE82" s="37">
        <v>0</v>
      </c>
      <c r="BF82" s="37">
        <v>0</v>
      </c>
      <c r="BG82" s="37">
        <v>0</v>
      </c>
      <c r="BH82" s="222">
        <v>0</v>
      </c>
      <c r="BI82" s="37">
        <v>0</v>
      </c>
      <c r="BJ82" s="37" t="s">
        <v>189</v>
      </c>
      <c r="BK82" s="37">
        <v>0</v>
      </c>
      <c r="BL82" s="222">
        <v>0</v>
      </c>
      <c r="BM82" s="37">
        <v>0</v>
      </c>
      <c r="BN82" s="37">
        <v>0</v>
      </c>
      <c r="BO82" s="37">
        <v>0</v>
      </c>
      <c r="BP82" s="222">
        <v>0</v>
      </c>
      <c r="BQ82" s="37">
        <v>0</v>
      </c>
      <c r="BR82" s="37">
        <v>0</v>
      </c>
      <c r="BS82" s="37">
        <v>0</v>
      </c>
      <c r="BT82" s="222">
        <v>0</v>
      </c>
      <c r="BU82" s="229" t="s">
        <v>357</v>
      </c>
      <c r="BV82" s="229" t="s">
        <v>357</v>
      </c>
      <c r="BW82" s="229" t="s">
        <v>357</v>
      </c>
      <c r="BX82" s="223" t="s">
        <v>357</v>
      </c>
      <c r="BY82" s="225">
        <v>0</v>
      </c>
      <c r="BZ82" s="225">
        <v>0</v>
      </c>
      <c r="CA82" s="225">
        <v>0</v>
      </c>
      <c r="CB82" s="225">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2025-12-10T17:37:58Z</dcterms:modified>
</cp:coreProperties>
</file>