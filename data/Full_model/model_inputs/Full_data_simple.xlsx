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codeName="ThisWorkbook" defaultThemeVersion="164011"/>
  <bookViews>
    <workbookView xWindow="0" yWindow="0" windowWidth="19200" windowHeight="7380" activeTab="3"/>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T19" i="95" l="1"/>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H4" i="99"/>
  <c r="F4" i="99"/>
  <c r="I2" i="99"/>
  <c r="I4" i="99" s="1"/>
  <c r="H2" i="99"/>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T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authors>
    <author>Author</author>
  </authors>
  <commentList>
    <comment ref="W8"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text>
        <r>
          <rPr>
            <b/>
            <sz val="9"/>
            <color indexed="81"/>
            <rFont val="Tahoma"/>
            <family val="2"/>
          </rPr>
          <t>Author:</t>
        </r>
        <r>
          <rPr>
            <sz val="9"/>
            <color indexed="81"/>
            <rFont val="Tahoma"/>
            <family val="2"/>
          </rPr>
          <t xml:space="preserve">
Based on MMZCS2023</t>
        </r>
      </text>
    </comment>
    <comment ref="S13" authorId="0" shapeId="0">
      <text>
        <r>
          <rPr>
            <b/>
            <sz val="9"/>
            <color indexed="81"/>
            <rFont val="Tahoma"/>
            <family val="2"/>
          </rPr>
          <t>Author:</t>
        </r>
        <r>
          <rPr>
            <sz val="9"/>
            <color indexed="81"/>
            <rFont val="Tahoma"/>
            <family val="2"/>
          </rPr>
          <t xml:space="preserve">
Based on MMZCS2023</t>
        </r>
      </text>
    </comment>
    <comment ref="T13" authorId="0" shapeId="0">
      <text>
        <r>
          <rPr>
            <b/>
            <sz val="9"/>
            <color indexed="81"/>
            <rFont val="Tahoma"/>
            <family val="2"/>
          </rPr>
          <t>Author:</t>
        </r>
        <r>
          <rPr>
            <sz val="9"/>
            <color indexed="81"/>
            <rFont val="Tahoma"/>
            <family val="2"/>
          </rPr>
          <t xml:space="preserve">
Based on MMZCS2023</t>
        </r>
      </text>
    </comment>
    <comment ref="U13" authorId="0" shapeId="0">
      <text>
        <r>
          <rPr>
            <b/>
            <sz val="9"/>
            <color indexed="81"/>
            <rFont val="Tahoma"/>
            <family val="2"/>
          </rPr>
          <t>Author:</t>
        </r>
        <r>
          <rPr>
            <sz val="9"/>
            <color indexed="81"/>
            <rFont val="Tahoma"/>
            <family val="2"/>
          </rPr>
          <t xml:space="preserve">
Based on MMZCS2023</t>
        </r>
      </text>
    </comment>
    <comment ref="R14" authorId="0" shapeId="0">
      <text>
        <r>
          <rPr>
            <b/>
            <sz val="9"/>
            <color indexed="81"/>
            <rFont val="Tahoma"/>
            <family val="2"/>
          </rPr>
          <t>Author:</t>
        </r>
        <r>
          <rPr>
            <sz val="9"/>
            <color indexed="81"/>
            <rFont val="Tahoma"/>
            <family val="2"/>
          </rPr>
          <t xml:space="preserve">
Based on MMZCS2023</t>
        </r>
      </text>
    </comment>
    <comment ref="S14" authorId="0" shapeId="0">
      <text>
        <r>
          <rPr>
            <b/>
            <sz val="9"/>
            <color indexed="81"/>
            <rFont val="Tahoma"/>
            <family val="2"/>
          </rPr>
          <t>Author:</t>
        </r>
        <r>
          <rPr>
            <sz val="9"/>
            <color indexed="81"/>
            <rFont val="Tahoma"/>
            <family val="2"/>
          </rPr>
          <t xml:space="preserve">
Based on MMZCS2023</t>
        </r>
      </text>
    </comment>
    <comment ref="T14" authorId="0" shapeId="0">
      <text>
        <r>
          <rPr>
            <b/>
            <sz val="9"/>
            <color indexed="81"/>
            <rFont val="Tahoma"/>
            <family val="2"/>
          </rPr>
          <t>Author:</t>
        </r>
        <r>
          <rPr>
            <sz val="9"/>
            <color indexed="81"/>
            <rFont val="Tahoma"/>
            <family val="2"/>
          </rPr>
          <t xml:space="preserve">
Based on MMZCS2023</t>
        </r>
      </text>
    </comment>
    <comment ref="U14" authorId="0" shapeId="0">
      <text>
        <r>
          <rPr>
            <b/>
            <sz val="9"/>
            <color indexed="81"/>
            <rFont val="Tahoma"/>
            <family val="2"/>
          </rPr>
          <t>Author:</t>
        </r>
        <r>
          <rPr>
            <sz val="9"/>
            <color indexed="81"/>
            <rFont val="Tahoma"/>
            <family val="2"/>
          </rPr>
          <t xml:space="preserve">
Based on MMZCS2023</t>
        </r>
      </text>
    </comment>
    <comment ref="R15" authorId="0" shapeId="0">
      <text>
        <r>
          <rPr>
            <b/>
            <sz val="9"/>
            <color indexed="81"/>
            <rFont val="Tahoma"/>
            <family val="2"/>
          </rPr>
          <t>Author:</t>
        </r>
        <r>
          <rPr>
            <sz val="9"/>
            <color indexed="81"/>
            <rFont val="Tahoma"/>
            <family val="2"/>
          </rPr>
          <t xml:space="preserve">
Based on MMZCS2023</t>
        </r>
      </text>
    </comment>
    <comment ref="S15" authorId="0" shapeId="0">
      <text>
        <r>
          <rPr>
            <b/>
            <sz val="9"/>
            <color indexed="81"/>
            <rFont val="Tahoma"/>
            <family val="2"/>
          </rPr>
          <t>Author:</t>
        </r>
        <r>
          <rPr>
            <sz val="9"/>
            <color indexed="81"/>
            <rFont val="Tahoma"/>
            <family val="2"/>
          </rPr>
          <t xml:space="preserve">
Based on MMZCS2023</t>
        </r>
      </text>
    </comment>
    <comment ref="T15" authorId="0" shapeId="0">
      <text>
        <r>
          <rPr>
            <b/>
            <sz val="9"/>
            <color indexed="81"/>
            <rFont val="Tahoma"/>
            <family val="2"/>
          </rPr>
          <t>Author:</t>
        </r>
        <r>
          <rPr>
            <sz val="9"/>
            <color indexed="81"/>
            <rFont val="Tahoma"/>
            <family val="2"/>
          </rPr>
          <t xml:space="preserve">
Based on MMZCS2023</t>
        </r>
      </text>
    </comment>
    <comment ref="U15" authorId="0" shapeId="0">
      <text>
        <r>
          <rPr>
            <b/>
            <sz val="9"/>
            <color indexed="81"/>
            <rFont val="Tahoma"/>
            <family val="2"/>
          </rPr>
          <t>Author:</t>
        </r>
        <r>
          <rPr>
            <sz val="9"/>
            <color indexed="81"/>
            <rFont val="Tahoma"/>
            <family val="2"/>
          </rPr>
          <t xml:space="preserve">
Based on MMZCS2023</t>
        </r>
      </text>
    </comment>
    <comment ref="AD15" authorId="0" shapeId="0">
      <text>
        <r>
          <rPr>
            <b/>
            <sz val="9"/>
            <color indexed="81"/>
            <rFont val="Tahoma"/>
            <family val="2"/>
          </rPr>
          <t>Author:</t>
        </r>
        <r>
          <rPr>
            <sz val="9"/>
            <color indexed="81"/>
            <rFont val="Tahoma"/>
            <family val="2"/>
          </rPr>
          <t xml:space="preserve">
Based on MMZCS2023</t>
        </r>
      </text>
    </comment>
    <comment ref="AE15" authorId="0" shapeId="0">
      <text>
        <r>
          <rPr>
            <b/>
            <sz val="9"/>
            <color indexed="81"/>
            <rFont val="Tahoma"/>
            <family val="2"/>
          </rPr>
          <t>Author:</t>
        </r>
        <r>
          <rPr>
            <sz val="9"/>
            <color indexed="81"/>
            <rFont val="Tahoma"/>
            <family val="2"/>
          </rPr>
          <t xml:space="preserve">
Based on MMZCS2023</t>
        </r>
      </text>
    </comment>
    <comment ref="AF15" authorId="0" shapeId="0">
      <text>
        <r>
          <rPr>
            <b/>
            <sz val="9"/>
            <color indexed="81"/>
            <rFont val="Tahoma"/>
            <family val="2"/>
          </rPr>
          <t>Author:</t>
        </r>
        <r>
          <rPr>
            <sz val="9"/>
            <color indexed="81"/>
            <rFont val="Tahoma"/>
            <family val="2"/>
          </rPr>
          <t xml:space="preserve">
Based on MMZCS2023</t>
        </r>
      </text>
    </comment>
    <comment ref="AG15" authorId="0" shapeId="0">
      <text>
        <r>
          <rPr>
            <b/>
            <sz val="9"/>
            <color indexed="81"/>
            <rFont val="Tahoma"/>
            <family val="2"/>
          </rPr>
          <t>Author:</t>
        </r>
        <r>
          <rPr>
            <sz val="9"/>
            <color indexed="81"/>
            <rFont val="Tahoma"/>
            <family val="2"/>
          </rPr>
          <t xml:space="preserve">
Based on MMZCS2023</t>
        </r>
      </text>
    </comment>
    <comment ref="AH15" authorId="0" shapeId="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text>
        <r>
          <rPr>
            <b/>
            <sz val="9"/>
            <color indexed="81"/>
            <rFont val="Tahoma"/>
            <family val="2"/>
          </rPr>
          <t>Author:</t>
        </r>
        <r>
          <rPr>
            <sz val="9"/>
            <color indexed="81"/>
            <rFont val="Tahoma"/>
            <family val="2"/>
          </rPr>
          <t xml:space="preserve">
Based on MMZCS2023</t>
        </r>
      </text>
    </comment>
    <comment ref="AJ15" authorId="0" shapeId="0">
      <text>
        <r>
          <rPr>
            <b/>
            <sz val="9"/>
            <color indexed="81"/>
            <rFont val="Tahoma"/>
            <family val="2"/>
          </rPr>
          <t>Author:</t>
        </r>
        <r>
          <rPr>
            <sz val="9"/>
            <color indexed="81"/>
            <rFont val="Tahoma"/>
            <family val="2"/>
          </rPr>
          <t xml:space="preserve">
Based on MMZCS2023</t>
        </r>
      </text>
    </comment>
    <comment ref="AK15" authorId="0" shapeId="0">
      <text>
        <r>
          <rPr>
            <b/>
            <sz val="9"/>
            <color indexed="81"/>
            <rFont val="Tahoma"/>
            <family val="2"/>
          </rPr>
          <t>Author:</t>
        </r>
        <r>
          <rPr>
            <sz val="9"/>
            <color indexed="81"/>
            <rFont val="Tahoma"/>
            <family val="2"/>
          </rPr>
          <t xml:space="preserve">
Based on MMZCS2023</t>
        </r>
      </text>
    </comment>
    <comment ref="AL15" authorId="0" shapeId="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text>
        <r>
          <rPr>
            <b/>
            <sz val="9"/>
            <color indexed="81"/>
            <rFont val="Tahoma"/>
            <family val="2"/>
          </rPr>
          <t>Author:</t>
        </r>
        <r>
          <rPr>
            <sz val="9"/>
            <color indexed="81"/>
            <rFont val="Tahoma"/>
            <family val="2"/>
          </rPr>
          <t xml:space="preserve">
Based on MMZCS2023</t>
        </r>
      </text>
    </comment>
    <comment ref="AN15" authorId="0" shapeId="0">
      <text>
        <r>
          <rPr>
            <b/>
            <sz val="9"/>
            <color indexed="81"/>
            <rFont val="Tahoma"/>
            <family val="2"/>
          </rPr>
          <t>Author:</t>
        </r>
        <r>
          <rPr>
            <sz val="9"/>
            <color indexed="81"/>
            <rFont val="Tahoma"/>
            <family val="2"/>
          </rPr>
          <t xml:space="preserve">
Based on MMZCS2023</t>
        </r>
      </text>
    </comment>
    <comment ref="AO15" authorId="0" shapeId="0">
      <text>
        <r>
          <rPr>
            <b/>
            <sz val="9"/>
            <color indexed="81"/>
            <rFont val="Tahoma"/>
            <family val="2"/>
          </rPr>
          <t>Author:</t>
        </r>
        <r>
          <rPr>
            <sz val="9"/>
            <color indexed="81"/>
            <rFont val="Tahoma"/>
            <family val="2"/>
          </rPr>
          <t xml:space="preserve">
Based on MMZCS2023</t>
        </r>
      </text>
    </comment>
    <comment ref="AP15" authorId="0" shapeId="0">
      <text>
        <r>
          <rPr>
            <b/>
            <sz val="9"/>
            <color indexed="81"/>
            <rFont val="Tahoma"/>
            <family val="2"/>
          </rPr>
          <t>Author:</t>
        </r>
        <r>
          <rPr>
            <sz val="9"/>
            <color indexed="81"/>
            <rFont val="Tahoma"/>
            <family val="2"/>
          </rPr>
          <t xml:space="preserve">
Based on MMZCS2023</t>
        </r>
      </text>
    </comment>
    <comment ref="AQ15" authorId="0" shapeId="0">
      <text>
        <r>
          <rPr>
            <b/>
            <sz val="9"/>
            <color indexed="81"/>
            <rFont val="Tahoma"/>
            <family val="2"/>
          </rPr>
          <t>Author:</t>
        </r>
        <r>
          <rPr>
            <sz val="9"/>
            <color indexed="81"/>
            <rFont val="Tahoma"/>
            <family val="2"/>
          </rPr>
          <t xml:space="preserve">
Based on MMZCS2023</t>
        </r>
      </text>
    </comment>
    <comment ref="AR15" authorId="0" shapeId="0">
      <text>
        <r>
          <rPr>
            <b/>
            <sz val="9"/>
            <color indexed="81"/>
            <rFont val="Tahoma"/>
            <family val="2"/>
          </rPr>
          <t>Author:</t>
        </r>
        <r>
          <rPr>
            <sz val="9"/>
            <color indexed="81"/>
            <rFont val="Tahoma"/>
            <family val="2"/>
          </rPr>
          <t xml:space="preserve">
Based on MMZCS2023</t>
        </r>
      </text>
    </comment>
    <comment ref="AS15" authorId="0" shapeId="0">
      <text>
        <r>
          <rPr>
            <b/>
            <sz val="9"/>
            <color indexed="81"/>
            <rFont val="Tahoma"/>
            <family val="2"/>
          </rPr>
          <t>Author:</t>
        </r>
        <r>
          <rPr>
            <sz val="9"/>
            <color indexed="81"/>
            <rFont val="Tahoma"/>
            <family val="2"/>
          </rPr>
          <t xml:space="preserve">
Based on MMZCS2023</t>
        </r>
      </text>
    </comment>
    <comment ref="AT15" authorId="0" shapeId="0">
      <text>
        <r>
          <rPr>
            <b/>
            <sz val="9"/>
            <color indexed="81"/>
            <rFont val="Tahoma"/>
            <family val="2"/>
          </rPr>
          <t>Author:</t>
        </r>
        <r>
          <rPr>
            <sz val="9"/>
            <color indexed="81"/>
            <rFont val="Tahoma"/>
            <family val="2"/>
          </rPr>
          <t xml:space="preserve">
Based on MMZCS2023 using a power law</t>
        </r>
      </text>
    </comment>
    <comment ref="AU15" authorId="0" shapeId="0">
      <text>
        <r>
          <rPr>
            <b/>
            <sz val="9"/>
            <color indexed="81"/>
            <rFont val="Tahoma"/>
            <family val="2"/>
          </rPr>
          <t>Author:</t>
        </r>
        <r>
          <rPr>
            <sz val="9"/>
            <color indexed="81"/>
            <rFont val="Tahoma"/>
            <family val="2"/>
          </rPr>
          <t xml:space="preserve">
Based on MMZCS2023 using a power law</t>
        </r>
      </text>
    </comment>
    <comment ref="AV15" authorId="0" shapeId="0">
      <text>
        <r>
          <rPr>
            <b/>
            <sz val="9"/>
            <color indexed="81"/>
            <rFont val="Tahoma"/>
            <family val="2"/>
          </rPr>
          <t>Author:</t>
        </r>
        <r>
          <rPr>
            <sz val="9"/>
            <color indexed="81"/>
            <rFont val="Tahoma"/>
            <family val="2"/>
          </rPr>
          <t xml:space="preserve">
Based on MMZCS2023 using a power law</t>
        </r>
      </text>
    </comment>
    <comment ref="AW15" authorId="0" shapeId="0">
      <text>
        <r>
          <rPr>
            <b/>
            <sz val="9"/>
            <color indexed="81"/>
            <rFont val="Tahoma"/>
            <family val="2"/>
          </rPr>
          <t>Author:</t>
        </r>
        <r>
          <rPr>
            <sz val="9"/>
            <color indexed="81"/>
            <rFont val="Tahoma"/>
            <family val="2"/>
          </rPr>
          <t xml:space="preserve">
Based on MMZCS2023 using a power law</t>
        </r>
      </text>
    </comment>
    <comment ref="AX15" authorId="0" shapeId="0">
      <text>
        <r>
          <rPr>
            <b/>
            <sz val="9"/>
            <color indexed="81"/>
            <rFont val="Tahoma"/>
            <family val="2"/>
          </rPr>
          <t>Author:</t>
        </r>
        <r>
          <rPr>
            <sz val="9"/>
            <color indexed="81"/>
            <rFont val="Tahoma"/>
            <family val="2"/>
          </rPr>
          <t xml:space="preserve">
4% Capex based on MMZCS2023</t>
        </r>
      </text>
    </comment>
    <comment ref="AY15" authorId="0" shapeId="0">
      <text>
        <r>
          <rPr>
            <b/>
            <sz val="9"/>
            <color indexed="81"/>
            <rFont val="Tahoma"/>
            <family val="2"/>
          </rPr>
          <t>Author:</t>
        </r>
        <r>
          <rPr>
            <sz val="9"/>
            <color indexed="81"/>
            <rFont val="Tahoma"/>
            <family val="2"/>
          </rPr>
          <t xml:space="preserve">
4% Capex based on MMZCS2023</t>
        </r>
      </text>
    </comment>
    <comment ref="AZ15" authorId="0" shapeId="0">
      <text>
        <r>
          <rPr>
            <b/>
            <sz val="9"/>
            <color indexed="81"/>
            <rFont val="Tahoma"/>
            <family val="2"/>
          </rPr>
          <t>Author:</t>
        </r>
        <r>
          <rPr>
            <sz val="9"/>
            <color indexed="81"/>
            <rFont val="Tahoma"/>
            <family val="2"/>
          </rPr>
          <t xml:space="preserve">
4% Capex based on MMZCS2023</t>
        </r>
      </text>
    </comment>
    <comment ref="BA15" authorId="0" shapeId="0">
      <text>
        <r>
          <rPr>
            <b/>
            <sz val="9"/>
            <color indexed="81"/>
            <rFont val="Tahoma"/>
            <family val="2"/>
          </rPr>
          <t>Author:</t>
        </r>
        <r>
          <rPr>
            <sz val="9"/>
            <color indexed="81"/>
            <rFont val="Tahoma"/>
            <family val="2"/>
          </rPr>
          <t xml:space="preserve">
4% Capex based on MMZCS2023</t>
        </r>
      </text>
    </comment>
    <comment ref="BR15" authorId="0" shapeId="0">
      <text>
        <r>
          <rPr>
            <b/>
            <sz val="9"/>
            <color indexed="81"/>
            <rFont val="Tahoma"/>
            <family val="2"/>
          </rPr>
          <t>Author:</t>
        </r>
        <r>
          <rPr>
            <sz val="9"/>
            <color indexed="81"/>
            <rFont val="Tahoma"/>
            <family val="2"/>
          </rPr>
          <t xml:space="preserve">
From MMZCS2023</t>
        </r>
      </text>
    </comment>
    <comment ref="BS15" authorId="0" shapeId="0">
      <text>
        <r>
          <rPr>
            <b/>
            <sz val="9"/>
            <color indexed="81"/>
            <rFont val="Tahoma"/>
            <family val="2"/>
          </rPr>
          <t>Author:</t>
        </r>
        <r>
          <rPr>
            <sz val="9"/>
            <color indexed="81"/>
            <rFont val="Tahoma"/>
            <family val="2"/>
          </rPr>
          <t xml:space="preserve">
From MMZCS2023</t>
        </r>
      </text>
    </comment>
    <comment ref="BT15" authorId="0" shapeId="0">
      <text>
        <r>
          <rPr>
            <b/>
            <sz val="9"/>
            <color indexed="81"/>
            <rFont val="Tahoma"/>
            <family val="2"/>
          </rPr>
          <t>Author:</t>
        </r>
        <r>
          <rPr>
            <sz val="9"/>
            <color indexed="81"/>
            <rFont val="Tahoma"/>
            <family val="2"/>
          </rPr>
          <t xml:space="preserve">
From MMZCS2023</t>
        </r>
      </text>
    </comment>
    <comment ref="BU15" authorId="0" shapeId="0">
      <text>
        <r>
          <rPr>
            <b/>
            <sz val="9"/>
            <color indexed="81"/>
            <rFont val="Tahoma"/>
            <family val="2"/>
          </rPr>
          <t>Author:</t>
        </r>
        <r>
          <rPr>
            <sz val="9"/>
            <color indexed="81"/>
            <rFont val="Tahoma"/>
            <family val="2"/>
          </rPr>
          <t xml:space="preserve">
From MMZCS2023</t>
        </r>
      </text>
    </comment>
    <comment ref="R16" authorId="0" shapeId="0">
      <text>
        <r>
          <rPr>
            <b/>
            <sz val="9"/>
            <color indexed="81"/>
            <rFont val="Tahoma"/>
            <family val="2"/>
          </rPr>
          <t>Author:</t>
        </r>
        <r>
          <rPr>
            <sz val="9"/>
            <color indexed="81"/>
            <rFont val="Tahoma"/>
            <family val="2"/>
          </rPr>
          <t xml:space="preserve">
Based on Butera2021</t>
        </r>
      </text>
    </comment>
    <comment ref="S16" authorId="0" shapeId="0">
      <text>
        <r>
          <rPr>
            <b/>
            <sz val="9"/>
            <color indexed="81"/>
            <rFont val="Tahoma"/>
            <family val="2"/>
          </rPr>
          <t>Author:</t>
        </r>
        <r>
          <rPr>
            <sz val="9"/>
            <color indexed="81"/>
            <rFont val="Tahoma"/>
            <family val="2"/>
          </rPr>
          <t xml:space="preserve">
Based on Butera2021</t>
        </r>
      </text>
    </comment>
    <comment ref="T16" authorId="0" shapeId="0">
      <text>
        <r>
          <rPr>
            <b/>
            <sz val="9"/>
            <color indexed="81"/>
            <rFont val="Tahoma"/>
            <family val="2"/>
          </rPr>
          <t>Author:</t>
        </r>
        <r>
          <rPr>
            <sz val="9"/>
            <color indexed="81"/>
            <rFont val="Tahoma"/>
            <family val="2"/>
          </rPr>
          <t xml:space="preserve">
Based on Butera2021</t>
        </r>
      </text>
    </comment>
    <comment ref="U16" authorId="0" shapeId="0">
      <text>
        <r>
          <rPr>
            <b/>
            <sz val="9"/>
            <color indexed="81"/>
            <rFont val="Tahoma"/>
            <family val="2"/>
          </rPr>
          <t>Author:</t>
        </r>
        <r>
          <rPr>
            <sz val="9"/>
            <color indexed="81"/>
            <rFont val="Tahoma"/>
            <family val="2"/>
          </rPr>
          <t xml:space="preserve">
Based on Butera2021</t>
        </r>
      </text>
    </comment>
    <comment ref="R17" authorId="0" shapeId="0">
      <text>
        <r>
          <rPr>
            <b/>
            <sz val="9"/>
            <color indexed="81"/>
            <rFont val="Tahoma"/>
            <family val="2"/>
          </rPr>
          <t>Author:</t>
        </r>
        <r>
          <rPr>
            <sz val="9"/>
            <color indexed="81"/>
            <rFont val="Tahoma"/>
            <family val="2"/>
          </rPr>
          <t xml:space="preserve">
Based on Butera2021</t>
        </r>
      </text>
    </comment>
    <comment ref="S17" authorId="0" shapeId="0">
      <text>
        <r>
          <rPr>
            <b/>
            <sz val="9"/>
            <color indexed="81"/>
            <rFont val="Tahoma"/>
            <family val="2"/>
          </rPr>
          <t>Author:</t>
        </r>
        <r>
          <rPr>
            <sz val="9"/>
            <color indexed="81"/>
            <rFont val="Tahoma"/>
            <family val="2"/>
          </rPr>
          <t xml:space="preserve">
Based on Butera2021</t>
        </r>
      </text>
    </comment>
    <comment ref="T17" authorId="0" shapeId="0">
      <text>
        <r>
          <rPr>
            <b/>
            <sz val="9"/>
            <color indexed="81"/>
            <rFont val="Tahoma"/>
            <family val="2"/>
          </rPr>
          <t>Author:</t>
        </r>
        <r>
          <rPr>
            <sz val="9"/>
            <color indexed="81"/>
            <rFont val="Tahoma"/>
            <family val="2"/>
          </rPr>
          <t xml:space="preserve">
Based on Butera2021</t>
        </r>
      </text>
    </comment>
    <comment ref="U17" authorId="0" shapeId="0">
      <text>
        <r>
          <rPr>
            <b/>
            <sz val="9"/>
            <color indexed="81"/>
            <rFont val="Tahoma"/>
            <family val="2"/>
          </rPr>
          <t>Author:</t>
        </r>
        <r>
          <rPr>
            <sz val="9"/>
            <color indexed="81"/>
            <rFont val="Tahoma"/>
            <family val="2"/>
          </rPr>
          <t xml:space="preserve">
Based on Butera2021</t>
        </r>
      </text>
    </comment>
    <comment ref="AD17" authorId="0" shapeId="0">
      <text>
        <r>
          <rPr>
            <b/>
            <sz val="9"/>
            <color indexed="81"/>
            <rFont val="Tahoma"/>
            <family val="2"/>
          </rPr>
          <t>Author:</t>
        </r>
        <r>
          <rPr>
            <sz val="9"/>
            <color indexed="81"/>
            <rFont val="Tahoma"/>
            <family val="2"/>
          </rPr>
          <t xml:space="preserve">
Based on MMZCS2023</t>
        </r>
      </text>
    </comment>
    <comment ref="AE17" authorId="0" shapeId="0">
      <text>
        <r>
          <rPr>
            <b/>
            <sz val="9"/>
            <color indexed="81"/>
            <rFont val="Tahoma"/>
            <family val="2"/>
          </rPr>
          <t>Author:</t>
        </r>
        <r>
          <rPr>
            <sz val="9"/>
            <color indexed="81"/>
            <rFont val="Tahoma"/>
            <family val="2"/>
          </rPr>
          <t xml:space="preserve">
Based on MMZCS2023</t>
        </r>
      </text>
    </comment>
    <comment ref="AF17" authorId="0" shapeId="0">
      <text>
        <r>
          <rPr>
            <b/>
            <sz val="9"/>
            <color indexed="81"/>
            <rFont val="Tahoma"/>
            <family val="2"/>
          </rPr>
          <t>Author:</t>
        </r>
        <r>
          <rPr>
            <sz val="9"/>
            <color indexed="81"/>
            <rFont val="Tahoma"/>
            <family val="2"/>
          </rPr>
          <t xml:space="preserve">
Based on MMZCS2023</t>
        </r>
      </text>
    </comment>
    <comment ref="AG17" authorId="0" shapeId="0">
      <text>
        <r>
          <rPr>
            <b/>
            <sz val="9"/>
            <color indexed="81"/>
            <rFont val="Tahoma"/>
            <family val="2"/>
          </rPr>
          <t>Author:</t>
        </r>
        <r>
          <rPr>
            <sz val="9"/>
            <color indexed="81"/>
            <rFont val="Tahoma"/>
            <family val="2"/>
          </rPr>
          <t xml:space="preserve">
Based on MMZCS2023</t>
        </r>
      </text>
    </comment>
    <comment ref="AH17" authorId="0" shapeId="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text>
        <r>
          <rPr>
            <b/>
            <sz val="9"/>
            <color indexed="81"/>
            <rFont val="Tahoma"/>
            <family val="2"/>
          </rPr>
          <t>Author:</t>
        </r>
        <r>
          <rPr>
            <sz val="9"/>
            <color indexed="81"/>
            <rFont val="Tahoma"/>
            <family val="2"/>
          </rPr>
          <t xml:space="preserve">
Based on MMZCS2023</t>
        </r>
      </text>
    </comment>
    <comment ref="AJ17" authorId="0" shapeId="0">
      <text>
        <r>
          <rPr>
            <b/>
            <sz val="9"/>
            <color indexed="81"/>
            <rFont val="Tahoma"/>
            <family val="2"/>
          </rPr>
          <t>Author:</t>
        </r>
        <r>
          <rPr>
            <sz val="9"/>
            <color indexed="81"/>
            <rFont val="Tahoma"/>
            <family val="2"/>
          </rPr>
          <t xml:space="preserve">
Based on MMZCS2023</t>
        </r>
      </text>
    </comment>
    <comment ref="AK17" authorId="0" shapeId="0">
      <text>
        <r>
          <rPr>
            <b/>
            <sz val="9"/>
            <color indexed="81"/>
            <rFont val="Tahoma"/>
            <family val="2"/>
          </rPr>
          <t>Author:</t>
        </r>
        <r>
          <rPr>
            <sz val="9"/>
            <color indexed="81"/>
            <rFont val="Tahoma"/>
            <family val="2"/>
          </rPr>
          <t xml:space="preserve">
Based on MMZCS2023</t>
        </r>
      </text>
    </comment>
    <comment ref="AL17" authorId="0" shapeId="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text>
        <r>
          <rPr>
            <b/>
            <sz val="9"/>
            <color indexed="81"/>
            <rFont val="Tahoma"/>
            <family val="2"/>
          </rPr>
          <t>Author:</t>
        </r>
        <r>
          <rPr>
            <sz val="9"/>
            <color indexed="81"/>
            <rFont val="Tahoma"/>
            <family val="2"/>
          </rPr>
          <t xml:space="preserve">
Based on MMZCS2023</t>
        </r>
      </text>
    </comment>
    <comment ref="AN17" authorId="0" shapeId="0">
      <text>
        <r>
          <rPr>
            <b/>
            <sz val="9"/>
            <color indexed="81"/>
            <rFont val="Tahoma"/>
            <family val="2"/>
          </rPr>
          <t>Author:</t>
        </r>
        <r>
          <rPr>
            <sz val="9"/>
            <color indexed="81"/>
            <rFont val="Tahoma"/>
            <family val="2"/>
          </rPr>
          <t xml:space="preserve">
Based on MMZCS2023</t>
        </r>
      </text>
    </comment>
    <comment ref="AO17" authorId="0" shapeId="0">
      <text>
        <r>
          <rPr>
            <b/>
            <sz val="9"/>
            <color indexed="81"/>
            <rFont val="Tahoma"/>
            <family val="2"/>
          </rPr>
          <t>Author:</t>
        </r>
        <r>
          <rPr>
            <sz val="9"/>
            <color indexed="81"/>
            <rFont val="Tahoma"/>
            <family val="2"/>
          </rPr>
          <t xml:space="preserve">
Based on MMZCS2023</t>
        </r>
      </text>
    </comment>
    <comment ref="AP17" authorId="0" shapeId="0">
      <text>
        <r>
          <rPr>
            <b/>
            <sz val="9"/>
            <color indexed="81"/>
            <rFont val="Tahoma"/>
            <family val="2"/>
          </rPr>
          <t>Author:</t>
        </r>
        <r>
          <rPr>
            <sz val="9"/>
            <color indexed="81"/>
            <rFont val="Tahoma"/>
            <family val="2"/>
          </rPr>
          <t xml:space="preserve">
Based on Butera2021</t>
        </r>
      </text>
    </comment>
    <comment ref="AQ17" authorId="0" shapeId="0">
      <text>
        <r>
          <rPr>
            <b/>
            <sz val="9"/>
            <color indexed="81"/>
            <rFont val="Tahoma"/>
            <family val="2"/>
          </rPr>
          <t>Author:</t>
        </r>
        <r>
          <rPr>
            <sz val="9"/>
            <color indexed="81"/>
            <rFont val="Tahoma"/>
            <family val="2"/>
          </rPr>
          <t xml:space="preserve">
Based on Butera2021</t>
        </r>
      </text>
    </comment>
    <comment ref="AR17" authorId="0" shapeId="0">
      <text>
        <r>
          <rPr>
            <b/>
            <sz val="9"/>
            <color indexed="81"/>
            <rFont val="Tahoma"/>
            <family val="2"/>
          </rPr>
          <t>Author:</t>
        </r>
        <r>
          <rPr>
            <sz val="9"/>
            <color indexed="81"/>
            <rFont val="Tahoma"/>
            <family val="2"/>
          </rPr>
          <t xml:space="preserve">
Based on Butera2021</t>
        </r>
      </text>
    </comment>
    <comment ref="AS17" authorId="0" shapeId="0">
      <text>
        <r>
          <rPr>
            <b/>
            <sz val="9"/>
            <color indexed="81"/>
            <rFont val="Tahoma"/>
            <family val="2"/>
          </rPr>
          <t>Author:</t>
        </r>
        <r>
          <rPr>
            <sz val="9"/>
            <color indexed="81"/>
            <rFont val="Tahoma"/>
            <family val="2"/>
          </rPr>
          <t xml:space="preserve">
Based on Butera2021</t>
        </r>
      </text>
    </comment>
    <comment ref="AT17" authorId="0" shapeId="0">
      <text>
        <r>
          <rPr>
            <b/>
            <sz val="9"/>
            <color indexed="81"/>
            <rFont val="Tahoma"/>
            <family val="2"/>
          </rPr>
          <t>Author:</t>
        </r>
        <r>
          <rPr>
            <sz val="9"/>
            <color indexed="81"/>
            <rFont val="Tahoma"/>
            <family val="2"/>
          </rPr>
          <t xml:space="preserve">
Based on Butera2021</t>
        </r>
      </text>
    </comment>
    <comment ref="AU17" authorId="0" shapeId="0">
      <text>
        <r>
          <rPr>
            <b/>
            <sz val="9"/>
            <color indexed="81"/>
            <rFont val="Tahoma"/>
            <family val="2"/>
          </rPr>
          <t>Author:</t>
        </r>
        <r>
          <rPr>
            <sz val="9"/>
            <color indexed="81"/>
            <rFont val="Tahoma"/>
            <family val="2"/>
          </rPr>
          <t xml:space="preserve">
Based on Butera2021</t>
        </r>
      </text>
    </comment>
    <comment ref="AV17" authorId="0" shapeId="0">
      <text>
        <r>
          <rPr>
            <b/>
            <sz val="9"/>
            <color indexed="81"/>
            <rFont val="Tahoma"/>
            <family val="2"/>
          </rPr>
          <t>Author:</t>
        </r>
        <r>
          <rPr>
            <sz val="9"/>
            <color indexed="81"/>
            <rFont val="Tahoma"/>
            <family val="2"/>
          </rPr>
          <t xml:space="preserve">
Based on Butera2021</t>
        </r>
      </text>
    </comment>
    <comment ref="AW17" authorId="0" shapeId="0">
      <text>
        <r>
          <rPr>
            <b/>
            <sz val="9"/>
            <color indexed="81"/>
            <rFont val="Tahoma"/>
            <family val="2"/>
          </rPr>
          <t>Author:</t>
        </r>
        <r>
          <rPr>
            <sz val="9"/>
            <color indexed="81"/>
            <rFont val="Tahoma"/>
            <family val="2"/>
          </rPr>
          <t xml:space="preserve">
Based on Butera2021</t>
        </r>
      </text>
    </comment>
    <comment ref="AX17" authorId="0" shapeId="0">
      <text>
        <r>
          <rPr>
            <b/>
            <sz val="9"/>
            <color indexed="81"/>
            <rFont val="Tahoma"/>
            <family val="2"/>
          </rPr>
          <t>Author:</t>
        </r>
        <r>
          <rPr>
            <sz val="9"/>
            <color indexed="81"/>
            <rFont val="Tahoma"/>
            <family val="2"/>
          </rPr>
          <t xml:space="preserve">
Based on DEA2023.</t>
        </r>
      </text>
    </comment>
    <comment ref="AY17" authorId="0" shapeId="0">
      <text>
        <r>
          <rPr>
            <b/>
            <sz val="9"/>
            <color indexed="81"/>
            <rFont val="Tahoma"/>
            <family val="2"/>
          </rPr>
          <t>Author:</t>
        </r>
        <r>
          <rPr>
            <sz val="9"/>
            <color indexed="81"/>
            <rFont val="Tahoma"/>
            <family val="2"/>
          </rPr>
          <t xml:space="preserve">
Based on DEA2023.</t>
        </r>
      </text>
    </comment>
    <comment ref="AZ17" authorId="0" shapeId="0">
      <text>
        <r>
          <rPr>
            <b/>
            <sz val="9"/>
            <color indexed="81"/>
            <rFont val="Tahoma"/>
            <family val="2"/>
          </rPr>
          <t>Author:</t>
        </r>
        <r>
          <rPr>
            <sz val="9"/>
            <color indexed="81"/>
            <rFont val="Tahoma"/>
            <family val="2"/>
          </rPr>
          <t xml:space="preserve">
Based on DEA2023.</t>
        </r>
      </text>
    </comment>
    <comment ref="BA17" authorId="0" shapeId="0">
      <text>
        <r>
          <rPr>
            <b/>
            <sz val="9"/>
            <color indexed="81"/>
            <rFont val="Tahoma"/>
            <family val="2"/>
          </rPr>
          <t>Author:</t>
        </r>
        <r>
          <rPr>
            <sz val="9"/>
            <color indexed="81"/>
            <rFont val="Tahoma"/>
            <family val="2"/>
          </rPr>
          <t xml:space="preserve">
Based on DEA2023.</t>
        </r>
      </text>
    </comment>
    <comment ref="BR17" authorId="0" shapeId="0">
      <text>
        <r>
          <rPr>
            <b/>
            <sz val="9"/>
            <color indexed="81"/>
            <rFont val="Tahoma"/>
            <family val="2"/>
          </rPr>
          <t>Author:</t>
        </r>
        <r>
          <rPr>
            <sz val="9"/>
            <color indexed="81"/>
            <rFont val="Tahoma"/>
            <family val="2"/>
          </rPr>
          <t xml:space="preserve">
From MMZCS2023</t>
        </r>
      </text>
    </comment>
    <comment ref="BS17" authorId="0" shapeId="0">
      <text>
        <r>
          <rPr>
            <b/>
            <sz val="9"/>
            <color indexed="81"/>
            <rFont val="Tahoma"/>
            <family val="2"/>
          </rPr>
          <t>Author:</t>
        </r>
        <r>
          <rPr>
            <sz val="9"/>
            <color indexed="81"/>
            <rFont val="Tahoma"/>
            <family val="2"/>
          </rPr>
          <t xml:space="preserve">
From MMZCS2023</t>
        </r>
      </text>
    </comment>
    <comment ref="BT17" authorId="0" shapeId="0">
      <text>
        <r>
          <rPr>
            <b/>
            <sz val="9"/>
            <color indexed="81"/>
            <rFont val="Tahoma"/>
            <family val="2"/>
          </rPr>
          <t>Author:</t>
        </r>
        <r>
          <rPr>
            <sz val="9"/>
            <color indexed="81"/>
            <rFont val="Tahoma"/>
            <family val="2"/>
          </rPr>
          <t xml:space="preserve">
From MMZCS2023</t>
        </r>
      </text>
    </comment>
    <comment ref="BU17" authorId="0" shapeId="0">
      <text>
        <r>
          <rPr>
            <b/>
            <sz val="9"/>
            <color indexed="81"/>
            <rFont val="Tahoma"/>
            <family val="2"/>
          </rPr>
          <t>Author:</t>
        </r>
        <r>
          <rPr>
            <sz val="9"/>
            <color indexed="81"/>
            <rFont val="Tahoma"/>
            <family val="2"/>
          </rPr>
          <t xml:space="preserve">
From MMZCS2023</t>
        </r>
      </text>
    </comment>
    <comment ref="R18" authorId="0" shapeId="0">
      <text>
        <r>
          <rPr>
            <b/>
            <sz val="9"/>
            <color indexed="81"/>
            <rFont val="Tahoma"/>
            <family val="2"/>
          </rPr>
          <t>Author:</t>
        </r>
        <r>
          <rPr>
            <sz val="9"/>
            <color indexed="81"/>
            <rFont val="Tahoma"/>
            <family val="2"/>
          </rPr>
          <t xml:space="preserve">
From this study </t>
        </r>
      </text>
    </comment>
    <comment ref="S18" authorId="0" shapeId="0">
      <text>
        <r>
          <rPr>
            <b/>
            <sz val="9"/>
            <color indexed="81"/>
            <rFont val="Tahoma"/>
            <family val="2"/>
          </rPr>
          <t>Author:</t>
        </r>
        <r>
          <rPr>
            <sz val="9"/>
            <color indexed="81"/>
            <rFont val="Tahoma"/>
            <family val="2"/>
          </rPr>
          <t xml:space="preserve">
From this study </t>
        </r>
      </text>
    </comment>
    <comment ref="T18" authorId="0" shapeId="0">
      <text>
        <r>
          <rPr>
            <b/>
            <sz val="9"/>
            <color indexed="81"/>
            <rFont val="Tahoma"/>
            <family val="2"/>
          </rPr>
          <t>Author:</t>
        </r>
        <r>
          <rPr>
            <sz val="9"/>
            <color indexed="81"/>
            <rFont val="Tahoma"/>
            <family val="2"/>
          </rPr>
          <t xml:space="preserve">
From this study </t>
        </r>
      </text>
    </comment>
    <comment ref="U18" authorId="0" shapeId="0">
      <text>
        <r>
          <rPr>
            <b/>
            <sz val="9"/>
            <color indexed="81"/>
            <rFont val="Tahoma"/>
            <family val="2"/>
          </rPr>
          <t>Author:</t>
        </r>
        <r>
          <rPr>
            <sz val="9"/>
            <color indexed="81"/>
            <rFont val="Tahoma"/>
            <family val="2"/>
          </rPr>
          <t xml:space="preserve">
From this study </t>
        </r>
      </text>
    </comment>
    <comment ref="BN18" authorId="0" shapeId="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text>
        <r>
          <rPr>
            <b/>
            <sz val="9"/>
            <color indexed="81"/>
            <rFont val="Tahoma"/>
            <family val="2"/>
          </rPr>
          <t>Author:</t>
        </r>
        <r>
          <rPr>
            <sz val="9"/>
            <color indexed="81"/>
            <rFont val="Tahoma"/>
            <family val="2"/>
          </rPr>
          <t xml:space="preserve">
From Paper III </t>
        </r>
      </text>
    </comment>
    <comment ref="S19" authorId="0" shapeId="0">
      <text>
        <r>
          <rPr>
            <b/>
            <sz val="9"/>
            <color indexed="81"/>
            <rFont val="Tahoma"/>
            <family val="2"/>
          </rPr>
          <t>Author:</t>
        </r>
        <r>
          <rPr>
            <sz val="9"/>
            <color indexed="81"/>
            <rFont val="Tahoma"/>
            <family val="2"/>
          </rPr>
          <t xml:space="preserve">
From Paper III </t>
        </r>
      </text>
    </comment>
    <comment ref="T19" authorId="0" shapeId="0">
      <text>
        <r>
          <rPr>
            <b/>
            <sz val="9"/>
            <color indexed="81"/>
            <rFont val="Tahoma"/>
            <family val="2"/>
          </rPr>
          <t>Author:</t>
        </r>
        <r>
          <rPr>
            <sz val="9"/>
            <color indexed="81"/>
            <rFont val="Tahoma"/>
            <family val="2"/>
          </rPr>
          <t xml:space="preserve">
From Paper III </t>
        </r>
      </text>
    </comment>
    <comment ref="U19" authorId="0" shapeId="0">
      <text>
        <r>
          <rPr>
            <b/>
            <sz val="9"/>
            <color indexed="81"/>
            <rFont val="Tahoma"/>
            <family val="2"/>
          </rPr>
          <t>Author:</t>
        </r>
        <r>
          <rPr>
            <sz val="9"/>
            <color indexed="81"/>
            <rFont val="Tahoma"/>
            <family val="2"/>
          </rPr>
          <t xml:space="preserve">
From Paper III </t>
        </r>
      </text>
    </comment>
    <comment ref="R20" authorId="0" shapeId="0">
      <text>
        <r>
          <rPr>
            <b/>
            <sz val="9"/>
            <color indexed="81"/>
            <rFont val="Tahoma"/>
            <family val="2"/>
          </rPr>
          <t>Author:</t>
        </r>
        <r>
          <rPr>
            <sz val="9"/>
            <color indexed="81"/>
            <rFont val="Tahoma"/>
            <family val="2"/>
          </rPr>
          <t xml:space="preserve">
From Paper III </t>
        </r>
      </text>
    </comment>
    <comment ref="S20" authorId="0" shapeId="0">
      <text>
        <r>
          <rPr>
            <b/>
            <sz val="9"/>
            <color indexed="81"/>
            <rFont val="Tahoma"/>
            <family val="2"/>
          </rPr>
          <t>Author:</t>
        </r>
        <r>
          <rPr>
            <sz val="9"/>
            <color indexed="81"/>
            <rFont val="Tahoma"/>
            <family val="2"/>
          </rPr>
          <t xml:space="preserve">
From Paper III </t>
        </r>
      </text>
    </comment>
    <comment ref="T20" authorId="0" shapeId="0">
      <text>
        <r>
          <rPr>
            <b/>
            <sz val="9"/>
            <color indexed="81"/>
            <rFont val="Tahoma"/>
            <family val="2"/>
          </rPr>
          <t>Author:</t>
        </r>
        <r>
          <rPr>
            <sz val="9"/>
            <color indexed="81"/>
            <rFont val="Tahoma"/>
            <family val="2"/>
          </rPr>
          <t xml:space="preserve">
From Paper III </t>
        </r>
      </text>
    </comment>
    <comment ref="U20" authorId="0" shapeId="0">
      <text>
        <r>
          <rPr>
            <b/>
            <sz val="9"/>
            <color indexed="81"/>
            <rFont val="Tahoma"/>
            <family val="2"/>
          </rPr>
          <t>Author:</t>
        </r>
        <r>
          <rPr>
            <sz val="9"/>
            <color indexed="81"/>
            <rFont val="Tahoma"/>
            <family val="2"/>
          </rPr>
          <t xml:space="preserve">
From Paper III </t>
        </r>
      </text>
    </comment>
    <comment ref="V20" authorId="0" shapeId="0">
      <text>
        <r>
          <rPr>
            <b/>
            <sz val="9"/>
            <color indexed="81"/>
            <rFont val="Tahoma"/>
            <family val="2"/>
          </rPr>
          <t>Author:</t>
        </r>
        <r>
          <rPr>
            <sz val="9"/>
            <color indexed="81"/>
            <rFont val="Tahoma"/>
            <family val="2"/>
          </rPr>
          <t xml:space="preserve">
From Paper III </t>
        </r>
      </text>
    </comment>
    <comment ref="W20" authorId="0" shapeId="0">
      <text>
        <r>
          <rPr>
            <b/>
            <sz val="9"/>
            <color indexed="81"/>
            <rFont val="Tahoma"/>
            <family val="2"/>
          </rPr>
          <t>Author:</t>
        </r>
        <r>
          <rPr>
            <sz val="9"/>
            <color indexed="81"/>
            <rFont val="Tahoma"/>
            <family val="2"/>
          </rPr>
          <t xml:space="preserve">
From Paper III </t>
        </r>
      </text>
    </comment>
    <comment ref="X20" authorId="0" shapeId="0">
      <text>
        <r>
          <rPr>
            <b/>
            <sz val="9"/>
            <color indexed="81"/>
            <rFont val="Tahoma"/>
            <family val="2"/>
          </rPr>
          <t>Author:</t>
        </r>
        <r>
          <rPr>
            <sz val="9"/>
            <color indexed="81"/>
            <rFont val="Tahoma"/>
            <family val="2"/>
          </rPr>
          <t xml:space="preserve">
From Paper III </t>
        </r>
      </text>
    </comment>
    <comment ref="Y20" authorId="0" shapeId="0">
      <text>
        <r>
          <rPr>
            <b/>
            <sz val="9"/>
            <color indexed="81"/>
            <rFont val="Tahoma"/>
            <family val="2"/>
          </rPr>
          <t>Author:</t>
        </r>
        <r>
          <rPr>
            <sz val="9"/>
            <color indexed="81"/>
            <rFont val="Tahoma"/>
            <family val="2"/>
          </rPr>
          <t xml:space="preserve">
From Paper III </t>
        </r>
      </text>
    </comment>
    <comment ref="AP20" authorId="0" shapeId="0">
      <text>
        <r>
          <rPr>
            <b/>
            <sz val="9"/>
            <color indexed="81"/>
            <rFont val="Tahoma"/>
            <family val="2"/>
          </rPr>
          <t>Author:</t>
        </r>
        <r>
          <rPr>
            <sz val="9"/>
            <color indexed="81"/>
            <rFont val="Tahoma"/>
            <family val="2"/>
          </rPr>
          <t xml:space="preserve">
From Paper III </t>
        </r>
      </text>
    </comment>
    <comment ref="AQ20" authorId="0" shapeId="0">
      <text>
        <r>
          <rPr>
            <b/>
            <sz val="9"/>
            <color indexed="81"/>
            <rFont val="Tahoma"/>
            <family val="2"/>
          </rPr>
          <t>Author:</t>
        </r>
        <r>
          <rPr>
            <sz val="9"/>
            <color indexed="81"/>
            <rFont val="Tahoma"/>
            <family val="2"/>
          </rPr>
          <t xml:space="preserve">
From Paper III </t>
        </r>
      </text>
    </comment>
    <comment ref="AR20" authorId="0" shapeId="0">
      <text>
        <r>
          <rPr>
            <b/>
            <sz val="9"/>
            <color indexed="81"/>
            <rFont val="Tahoma"/>
            <family val="2"/>
          </rPr>
          <t>Author:</t>
        </r>
        <r>
          <rPr>
            <sz val="9"/>
            <color indexed="81"/>
            <rFont val="Tahoma"/>
            <family val="2"/>
          </rPr>
          <t xml:space="preserve">
From Paper III </t>
        </r>
      </text>
    </comment>
    <comment ref="AS20" authorId="0" shapeId="0">
      <text>
        <r>
          <rPr>
            <b/>
            <sz val="9"/>
            <color indexed="81"/>
            <rFont val="Tahoma"/>
            <family val="2"/>
          </rPr>
          <t>Author:</t>
        </r>
        <r>
          <rPr>
            <sz val="9"/>
            <color indexed="81"/>
            <rFont val="Tahoma"/>
            <family val="2"/>
          </rPr>
          <t xml:space="preserve">
From Paper III </t>
        </r>
      </text>
    </comment>
    <comment ref="AT20" authorId="0" shapeId="0">
      <text>
        <r>
          <rPr>
            <b/>
            <sz val="9"/>
            <color indexed="81"/>
            <rFont val="Tahoma"/>
            <family val="2"/>
          </rPr>
          <t>Author:</t>
        </r>
        <r>
          <rPr>
            <sz val="9"/>
            <color indexed="81"/>
            <rFont val="Tahoma"/>
            <family val="2"/>
          </rPr>
          <t xml:space="preserve">
From Paper III </t>
        </r>
      </text>
    </comment>
    <comment ref="AU20" authorId="0" shapeId="0">
      <text>
        <r>
          <rPr>
            <b/>
            <sz val="9"/>
            <color indexed="81"/>
            <rFont val="Tahoma"/>
            <family val="2"/>
          </rPr>
          <t>Author:</t>
        </r>
        <r>
          <rPr>
            <sz val="9"/>
            <color indexed="81"/>
            <rFont val="Tahoma"/>
            <family val="2"/>
          </rPr>
          <t xml:space="preserve">
From Paper III </t>
        </r>
      </text>
    </comment>
    <comment ref="AV20" authorId="0" shapeId="0">
      <text>
        <r>
          <rPr>
            <b/>
            <sz val="9"/>
            <color indexed="81"/>
            <rFont val="Tahoma"/>
            <family val="2"/>
          </rPr>
          <t>Author:</t>
        </r>
        <r>
          <rPr>
            <sz val="9"/>
            <color indexed="81"/>
            <rFont val="Tahoma"/>
            <family val="2"/>
          </rPr>
          <t xml:space="preserve">
From Paper III </t>
        </r>
      </text>
    </comment>
    <comment ref="AW20" authorId="0" shapeId="0">
      <text>
        <r>
          <rPr>
            <b/>
            <sz val="9"/>
            <color indexed="81"/>
            <rFont val="Tahoma"/>
            <family val="2"/>
          </rPr>
          <t>Author:</t>
        </r>
        <r>
          <rPr>
            <sz val="9"/>
            <color indexed="81"/>
            <rFont val="Tahoma"/>
            <family val="2"/>
          </rPr>
          <t xml:space="preserve">
From Paper III </t>
        </r>
      </text>
    </comment>
    <comment ref="AX20" authorId="0" shapeId="0">
      <text>
        <r>
          <rPr>
            <b/>
            <sz val="9"/>
            <color indexed="81"/>
            <rFont val="Tahoma"/>
            <family val="2"/>
          </rPr>
          <t>Author:</t>
        </r>
        <r>
          <rPr>
            <sz val="9"/>
            <color indexed="81"/>
            <rFont val="Tahoma"/>
            <family val="2"/>
          </rPr>
          <t xml:space="preserve">
From Paper III </t>
        </r>
      </text>
    </comment>
    <comment ref="AY20" authorId="0" shapeId="0">
      <text>
        <r>
          <rPr>
            <b/>
            <sz val="9"/>
            <color indexed="81"/>
            <rFont val="Tahoma"/>
            <family val="2"/>
          </rPr>
          <t>Author:</t>
        </r>
        <r>
          <rPr>
            <sz val="9"/>
            <color indexed="81"/>
            <rFont val="Tahoma"/>
            <family val="2"/>
          </rPr>
          <t xml:space="preserve">
From Paper III </t>
        </r>
      </text>
    </comment>
    <comment ref="AZ20" authorId="0" shapeId="0">
      <text>
        <r>
          <rPr>
            <b/>
            <sz val="9"/>
            <color indexed="81"/>
            <rFont val="Tahoma"/>
            <family val="2"/>
          </rPr>
          <t>Author:</t>
        </r>
        <r>
          <rPr>
            <sz val="9"/>
            <color indexed="81"/>
            <rFont val="Tahoma"/>
            <family val="2"/>
          </rPr>
          <t xml:space="preserve">
From Paper III </t>
        </r>
      </text>
    </comment>
    <comment ref="BA20" authorId="0" shapeId="0">
      <text>
        <r>
          <rPr>
            <b/>
            <sz val="9"/>
            <color indexed="81"/>
            <rFont val="Tahoma"/>
            <family val="2"/>
          </rPr>
          <t>Author:</t>
        </r>
        <r>
          <rPr>
            <sz val="9"/>
            <color indexed="81"/>
            <rFont val="Tahoma"/>
            <family val="2"/>
          </rPr>
          <t xml:space="preserve">
From Paper III </t>
        </r>
      </text>
    </comment>
    <comment ref="BV20" authorId="0" shapeId="0">
      <text>
        <r>
          <rPr>
            <b/>
            <sz val="9"/>
            <color indexed="81"/>
            <rFont val="Tahoma"/>
            <family val="2"/>
          </rPr>
          <t>Author:</t>
        </r>
        <r>
          <rPr>
            <sz val="9"/>
            <color indexed="81"/>
            <rFont val="Tahoma"/>
            <family val="2"/>
          </rPr>
          <t xml:space="preserve">
From Letoffet2024</t>
        </r>
      </text>
    </comment>
    <comment ref="BW20" authorId="0" shapeId="0">
      <text>
        <r>
          <rPr>
            <b/>
            <sz val="9"/>
            <color indexed="81"/>
            <rFont val="Tahoma"/>
            <family val="2"/>
          </rPr>
          <t>Author:</t>
        </r>
        <r>
          <rPr>
            <sz val="9"/>
            <color indexed="81"/>
            <rFont val="Tahoma"/>
            <family val="2"/>
          </rPr>
          <t xml:space="preserve">
From Letoffet2024</t>
        </r>
      </text>
    </comment>
    <comment ref="BX20" authorId="0" shapeId="0">
      <text>
        <r>
          <rPr>
            <b/>
            <sz val="9"/>
            <color indexed="81"/>
            <rFont val="Tahoma"/>
            <family val="2"/>
          </rPr>
          <t>Author:</t>
        </r>
        <r>
          <rPr>
            <sz val="9"/>
            <color indexed="81"/>
            <rFont val="Tahoma"/>
            <family val="2"/>
          </rPr>
          <t xml:space="preserve">
From Letoffet2024</t>
        </r>
      </text>
    </comment>
    <comment ref="BY20" authorId="0" shapeId="0">
      <text>
        <r>
          <rPr>
            <b/>
            <sz val="9"/>
            <color indexed="81"/>
            <rFont val="Tahoma"/>
            <family val="2"/>
          </rPr>
          <t>Author:</t>
        </r>
        <r>
          <rPr>
            <sz val="9"/>
            <color indexed="81"/>
            <rFont val="Tahoma"/>
            <family val="2"/>
          </rPr>
          <t xml:space="preserve">
From Letoffet2024</t>
        </r>
      </text>
    </comment>
    <comment ref="R21" authorId="0" shapeId="0">
      <text>
        <r>
          <rPr>
            <b/>
            <sz val="9"/>
            <color indexed="81"/>
            <rFont val="Tahoma"/>
            <family val="2"/>
          </rPr>
          <t>Author:</t>
        </r>
        <r>
          <rPr>
            <sz val="9"/>
            <color indexed="81"/>
            <rFont val="Tahoma"/>
            <family val="2"/>
          </rPr>
          <t xml:space="preserve">
From Paper III </t>
        </r>
      </text>
    </comment>
    <comment ref="S21" authorId="0" shapeId="0">
      <text>
        <r>
          <rPr>
            <b/>
            <sz val="9"/>
            <color indexed="81"/>
            <rFont val="Tahoma"/>
            <family val="2"/>
          </rPr>
          <t>Author:</t>
        </r>
        <r>
          <rPr>
            <sz val="9"/>
            <color indexed="81"/>
            <rFont val="Tahoma"/>
            <family val="2"/>
          </rPr>
          <t xml:space="preserve">
From Paper III </t>
        </r>
      </text>
    </comment>
    <comment ref="T21" authorId="0" shapeId="0">
      <text>
        <r>
          <rPr>
            <b/>
            <sz val="9"/>
            <color indexed="81"/>
            <rFont val="Tahoma"/>
            <family val="2"/>
          </rPr>
          <t>Author:</t>
        </r>
        <r>
          <rPr>
            <sz val="9"/>
            <color indexed="81"/>
            <rFont val="Tahoma"/>
            <family val="2"/>
          </rPr>
          <t xml:space="preserve">
From Paper III </t>
        </r>
      </text>
    </comment>
    <comment ref="U21" authorId="0" shapeId="0">
      <text>
        <r>
          <rPr>
            <b/>
            <sz val="9"/>
            <color indexed="81"/>
            <rFont val="Tahoma"/>
            <family val="2"/>
          </rPr>
          <t>Author:</t>
        </r>
        <r>
          <rPr>
            <sz val="9"/>
            <color indexed="81"/>
            <rFont val="Tahoma"/>
            <family val="2"/>
          </rPr>
          <t xml:space="preserve">
From Paper III </t>
        </r>
      </text>
    </comment>
    <comment ref="AP21" authorId="0" shapeId="0">
      <text>
        <r>
          <rPr>
            <b/>
            <sz val="9"/>
            <color indexed="81"/>
            <rFont val="Tahoma"/>
            <family val="2"/>
          </rPr>
          <t>Author:</t>
        </r>
        <r>
          <rPr>
            <sz val="9"/>
            <color indexed="81"/>
            <rFont val="Tahoma"/>
            <family val="2"/>
          </rPr>
          <t xml:space="preserve">
From Paper III </t>
        </r>
      </text>
    </comment>
    <comment ref="AQ21" authorId="0" shapeId="0">
      <text>
        <r>
          <rPr>
            <b/>
            <sz val="9"/>
            <color indexed="81"/>
            <rFont val="Tahoma"/>
            <family val="2"/>
          </rPr>
          <t>Author:</t>
        </r>
        <r>
          <rPr>
            <sz val="9"/>
            <color indexed="81"/>
            <rFont val="Tahoma"/>
            <family val="2"/>
          </rPr>
          <t xml:space="preserve">
From Paper III </t>
        </r>
      </text>
    </comment>
    <comment ref="AR21" authorId="0" shapeId="0">
      <text>
        <r>
          <rPr>
            <b/>
            <sz val="9"/>
            <color indexed="81"/>
            <rFont val="Tahoma"/>
            <family val="2"/>
          </rPr>
          <t>Author:</t>
        </r>
        <r>
          <rPr>
            <sz val="9"/>
            <color indexed="81"/>
            <rFont val="Tahoma"/>
            <family val="2"/>
          </rPr>
          <t xml:space="preserve">
From Paper III </t>
        </r>
      </text>
    </comment>
    <comment ref="AS21" authorId="0" shapeId="0">
      <text>
        <r>
          <rPr>
            <b/>
            <sz val="9"/>
            <color indexed="81"/>
            <rFont val="Tahoma"/>
            <family val="2"/>
          </rPr>
          <t>Author:</t>
        </r>
        <r>
          <rPr>
            <sz val="9"/>
            <color indexed="81"/>
            <rFont val="Tahoma"/>
            <family val="2"/>
          </rPr>
          <t xml:space="preserve">
From Paper III </t>
        </r>
      </text>
    </comment>
    <comment ref="AT21" authorId="0" shapeId="0">
      <text>
        <r>
          <rPr>
            <b/>
            <sz val="9"/>
            <color indexed="81"/>
            <rFont val="Tahoma"/>
            <family val="2"/>
          </rPr>
          <t>Author:</t>
        </r>
        <r>
          <rPr>
            <sz val="9"/>
            <color indexed="81"/>
            <rFont val="Tahoma"/>
            <family val="2"/>
          </rPr>
          <t xml:space="preserve">
From Paper III </t>
        </r>
      </text>
    </comment>
    <comment ref="AU21" authorId="0" shapeId="0">
      <text>
        <r>
          <rPr>
            <b/>
            <sz val="9"/>
            <color indexed="81"/>
            <rFont val="Tahoma"/>
            <family val="2"/>
          </rPr>
          <t>Author:</t>
        </r>
        <r>
          <rPr>
            <sz val="9"/>
            <color indexed="81"/>
            <rFont val="Tahoma"/>
            <family val="2"/>
          </rPr>
          <t xml:space="preserve">
From Paper III </t>
        </r>
      </text>
    </comment>
    <comment ref="AV21" authorId="0" shapeId="0">
      <text>
        <r>
          <rPr>
            <b/>
            <sz val="9"/>
            <color indexed="81"/>
            <rFont val="Tahoma"/>
            <family val="2"/>
          </rPr>
          <t>Author:</t>
        </r>
        <r>
          <rPr>
            <sz val="9"/>
            <color indexed="81"/>
            <rFont val="Tahoma"/>
            <family val="2"/>
          </rPr>
          <t xml:space="preserve">
From Paper III </t>
        </r>
      </text>
    </comment>
    <comment ref="AW21" authorId="0" shapeId="0">
      <text>
        <r>
          <rPr>
            <b/>
            <sz val="9"/>
            <color indexed="81"/>
            <rFont val="Tahoma"/>
            <family val="2"/>
          </rPr>
          <t>Author:</t>
        </r>
        <r>
          <rPr>
            <sz val="9"/>
            <color indexed="81"/>
            <rFont val="Tahoma"/>
            <family val="2"/>
          </rPr>
          <t xml:space="preserve">
From Paper III </t>
        </r>
      </text>
    </comment>
    <comment ref="AX21" authorId="0" shapeId="0">
      <text>
        <r>
          <rPr>
            <b/>
            <sz val="9"/>
            <color indexed="81"/>
            <rFont val="Tahoma"/>
            <family val="2"/>
          </rPr>
          <t>Author:</t>
        </r>
        <r>
          <rPr>
            <sz val="9"/>
            <color indexed="81"/>
            <rFont val="Tahoma"/>
            <family val="2"/>
          </rPr>
          <t xml:space="preserve">
From Paper III </t>
        </r>
      </text>
    </comment>
    <comment ref="AY21" authorId="0" shapeId="0">
      <text>
        <r>
          <rPr>
            <b/>
            <sz val="9"/>
            <color indexed="81"/>
            <rFont val="Tahoma"/>
            <family val="2"/>
          </rPr>
          <t>Author:</t>
        </r>
        <r>
          <rPr>
            <sz val="9"/>
            <color indexed="81"/>
            <rFont val="Tahoma"/>
            <family val="2"/>
          </rPr>
          <t xml:space="preserve">
From Paper III </t>
        </r>
      </text>
    </comment>
    <comment ref="AZ21" authorId="0" shapeId="0">
      <text>
        <r>
          <rPr>
            <b/>
            <sz val="9"/>
            <color indexed="81"/>
            <rFont val="Tahoma"/>
            <family val="2"/>
          </rPr>
          <t>Author:</t>
        </r>
        <r>
          <rPr>
            <sz val="9"/>
            <color indexed="81"/>
            <rFont val="Tahoma"/>
            <family val="2"/>
          </rPr>
          <t xml:space="preserve">
From Paper III </t>
        </r>
      </text>
    </comment>
    <comment ref="BA21" authorId="0" shapeId="0">
      <text>
        <r>
          <rPr>
            <b/>
            <sz val="9"/>
            <color indexed="81"/>
            <rFont val="Tahoma"/>
            <family val="2"/>
          </rPr>
          <t>Author:</t>
        </r>
        <r>
          <rPr>
            <sz val="9"/>
            <color indexed="81"/>
            <rFont val="Tahoma"/>
            <family val="2"/>
          </rPr>
          <t xml:space="preserve">
From Paper III </t>
        </r>
      </text>
    </comment>
    <comment ref="BV21" authorId="0" shapeId="0">
      <text>
        <r>
          <rPr>
            <b/>
            <sz val="9"/>
            <color indexed="81"/>
            <rFont val="Tahoma"/>
            <family val="2"/>
          </rPr>
          <t>Author:</t>
        </r>
        <r>
          <rPr>
            <sz val="9"/>
            <color indexed="81"/>
            <rFont val="Tahoma"/>
            <family val="2"/>
          </rPr>
          <t xml:space="preserve">
From Letoffet2024</t>
        </r>
      </text>
    </comment>
    <comment ref="BW21" authorId="0" shapeId="0">
      <text>
        <r>
          <rPr>
            <b/>
            <sz val="9"/>
            <color indexed="81"/>
            <rFont val="Tahoma"/>
            <family val="2"/>
          </rPr>
          <t>Author:</t>
        </r>
        <r>
          <rPr>
            <sz val="9"/>
            <color indexed="81"/>
            <rFont val="Tahoma"/>
            <family val="2"/>
          </rPr>
          <t xml:space="preserve">
From Letoffet2024</t>
        </r>
      </text>
    </comment>
    <comment ref="BX21" authorId="0" shapeId="0">
      <text>
        <r>
          <rPr>
            <b/>
            <sz val="9"/>
            <color indexed="81"/>
            <rFont val="Tahoma"/>
            <family val="2"/>
          </rPr>
          <t>Author:</t>
        </r>
        <r>
          <rPr>
            <sz val="9"/>
            <color indexed="81"/>
            <rFont val="Tahoma"/>
            <family val="2"/>
          </rPr>
          <t xml:space="preserve">
From Letoffet2024</t>
        </r>
      </text>
    </comment>
    <comment ref="BY21" authorId="0" shapeId="0">
      <text>
        <r>
          <rPr>
            <b/>
            <sz val="9"/>
            <color indexed="81"/>
            <rFont val="Tahoma"/>
            <family val="2"/>
          </rPr>
          <t>Author:</t>
        </r>
        <r>
          <rPr>
            <sz val="9"/>
            <color indexed="81"/>
            <rFont val="Tahoma"/>
            <family val="2"/>
          </rPr>
          <t xml:space="preserve">
From Letoffet2024</t>
        </r>
      </text>
    </comment>
    <comment ref="R22" authorId="0" shapeId="0">
      <text>
        <r>
          <rPr>
            <b/>
            <sz val="9"/>
            <color indexed="81"/>
            <rFont val="Tahoma"/>
            <family val="2"/>
          </rPr>
          <t>Author:</t>
        </r>
        <r>
          <rPr>
            <sz val="9"/>
            <color indexed="81"/>
            <rFont val="Tahoma"/>
            <family val="2"/>
          </rPr>
          <t xml:space="preserve">
From Kofler2024</t>
        </r>
      </text>
    </comment>
    <comment ref="S22" authorId="0" shapeId="0">
      <text>
        <r>
          <rPr>
            <b/>
            <sz val="9"/>
            <color indexed="81"/>
            <rFont val="Tahoma"/>
            <family val="2"/>
          </rPr>
          <t>Author:</t>
        </r>
        <r>
          <rPr>
            <sz val="9"/>
            <color indexed="81"/>
            <rFont val="Tahoma"/>
            <family val="2"/>
          </rPr>
          <t xml:space="preserve">
From Kofler2024</t>
        </r>
      </text>
    </comment>
    <comment ref="T22" authorId="0" shapeId="0">
      <text>
        <r>
          <rPr>
            <b/>
            <sz val="9"/>
            <color indexed="81"/>
            <rFont val="Tahoma"/>
            <family val="2"/>
          </rPr>
          <t>Author:</t>
        </r>
        <r>
          <rPr>
            <sz val="9"/>
            <color indexed="81"/>
            <rFont val="Tahoma"/>
            <family val="2"/>
          </rPr>
          <t xml:space="preserve">
From Kofler2024</t>
        </r>
      </text>
    </comment>
    <comment ref="U22" authorId="0" shapeId="0">
      <text>
        <r>
          <rPr>
            <b/>
            <sz val="9"/>
            <color indexed="81"/>
            <rFont val="Tahoma"/>
            <family val="2"/>
          </rPr>
          <t>Author:</t>
        </r>
        <r>
          <rPr>
            <sz val="9"/>
            <color indexed="81"/>
            <rFont val="Tahoma"/>
            <family val="2"/>
          </rPr>
          <t xml:space="preserve">
From Kofler2024</t>
        </r>
      </text>
    </comment>
    <comment ref="BN22" authorId="0" shapeId="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text>
        <r>
          <rPr>
            <b/>
            <sz val="9"/>
            <color indexed="81"/>
            <rFont val="Tahoma"/>
            <family val="2"/>
          </rPr>
          <t>Author:</t>
        </r>
        <r>
          <rPr>
            <sz val="9"/>
            <color indexed="81"/>
            <rFont val="Tahoma"/>
            <family val="2"/>
          </rPr>
          <t xml:space="preserve">
From Kofler2024</t>
        </r>
      </text>
    </comment>
    <comment ref="S23" authorId="0" shapeId="0">
      <text>
        <r>
          <rPr>
            <b/>
            <sz val="9"/>
            <color indexed="81"/>
            <rFont val="Tahoma"/>
            <family val="2"/>
          </rPr>
          <t>Author:</t>
        </r>
        <r>
          <rPr>
            <sz val="9"/>
            <color indexed="81"/>
            <rFont val="Tahoma"/>
            <family val="2"/>
          </rPr>
          <t xml:space="preserve">
From Kofler2024</t>
        </r>
      </text>
    </comment>
    <comment ref="T23" authorId="0" shapeId="0">
      <text>
        <r>
          <rPr>
            <b/>
            <sz val="9"/>
            <color indexed="81"/>
            <rFont val="Tahoma"/>
            <family val="2"/>
          </rPr>
          <t>Author:</t>
        </r>
        <r>
          <rPr>
            <sz val="9"/>
            <color indexed="81"/>
            <rFont val="Tahoma"/>
            <family val="2"/>
          </rPr>
          <t xml:space="preserve">
From Kofler2024</t>
        </r>
      </text>
    </comment>
    <comment ref="U23" authorId="0" shapeId="0">
      <text>
        <r>
          <rPr>
            <b/>
            <sz val="9"/>
            <color indexed="81"/>
            <rFont val="Tahoma"/>
            <family val="2"/>
          </rPr>
          <t>Author:</t>
        </r>
        <r>
          <rPr>
            <sz val="9"/>
            <color indexed="81"/>
            <rFont val="Tahoma"/>
            <family val="2"/>
          </rPr>
          <t xml:space="preserve">
From Kofler2024</t>
        </r>
      </text>
    </comment>
    <comment ref="BB23" authorId="0" shapeId="0">
      <text>
        <r>
          <rPr>
            <b/>
            <sz val="9"/>
            <color indexed="81"/>
            <rFont val="Tahoma"/>
            <family val="2"/>
          </rPr>
          <t>Author:</t>
        </r>
        <r>
          <rPr>
            <sz val="9"/>
            <color indexed="81"/>
            <rFont val="Tahoma"/>
            <family val="2"/>
          </rPr>
          <t xml:space="preserve">
From Paper II</t>
        </r>
      </text>
    </comment>
    <comment ref="BC23" authorId="0" shapeId="0">
      <text>
        <r>
          <rPr>
            <b/>
            <sz val="9"/>
            <color indexed="81"/>
            <rFont val="Tahoma"/>
            <family val="2"/>
          </rPr>
          <t>Author:</t>
        </r>
        <r>
          <rPr>
            <sz val="9"/>
            <color indexed="81"/>
            <rFont val="Tahoma"/>
            <family val="2"/>
          </rPr>
          <t xml:space="preserve">
From Paper II</t>
        </r>
      </text>
    </comment>
    <comment ref="BD23" authorId="0" shapeId="0">
      <text>
        <r>
          <rPr>
            <b/>
            <sz val="9"/>
            <color indexed="81"/>
            <rFont val="Tahoma"/>
            <family val="2"/>
          </rPr>
          <t>Author:</t>
        </r>
        <r>
          <rPr>
            <sz val="9"/>
            <color indexed="81"/>
            <rFont val="Tahoma"/>
            <family val="2"/>
          </rPr>
          <t xml:space="preserve">
From Paper II</t>
        </r>
      </text>
    </comment>
    <comment ref="BE23" authorId="0" shapeId="0">
      <text>
        <r>
          <rPr>
            <b/>
            <sz val="9"/>
            <color indexed="81"/>
            <rFont val="Tahoma"/>
            <family val="2"/>
          </rPr>
          <t>Author:</t>
        </r>
        <r>
          <rPr>
            <sz val="9"/>
            <color indexed="81"/>
            <rFont val="Tahoma"/>
            <family val="2"/>
          </rPr>
          <t xml:space="preserve">
From Paper II</t>
        </r>
      </text>
    </comment>
    <comment ref="R24" authorId="0" shapeId="0">
      <text>
        <r>
          <rPr>
            <b/>
            <sz val="9"/>
            <color indexed="81"/>
            <rFont val="Tahoma"/>
            <family val="2"/>
          </rPr>
          <t>Author:</t>
        </r>
        <r>
          <rPr>
            <sz val="9"/>
            <color indexed="81"/>
            <rFont val="Tahoma"/>
            <family val="2"/>
          </rPr>
          <t xml:space="preserve">
From Kofler2024</t>
        </r>
      </text>
    </comment>
    <comment ref="S24" authorId="0" shapeId="0">
      <text>
        <r>
          <rPr>
            <b/>
            <sz val="9"/>
            <color indexed="81"/>
            <rFont val="Tahoma"/>
            <family val="2"/>
          </rPr>
          <t>Author:</t>
        </r>
        <r>
          <rPr>
            <sz val="9"/>
            <color indexed="81"/>
            <rFont val="Tahoma"/>
            <family val="2"/>
          </rPr>
          <t xml:space="preserve">
From Kofler2024</t>
        </r>
      </text>
    </comment>
    <comment ref="T24" authorId="0" shapeId="0">
      <text>
        <r>
          <rPr>
            <b/>
            <sz val="9"/>
            <color indexed="81"/>
            <rFont val="Tahoma"/>
            <family val="2"/>
          </rPr>
          <t>Author:</t>
        </r>
        <r>
          <rPr>
            <sz val="9"/>
            <color indexed="81"/>
            <rFont val="Tahoma"/>
            <family val="2"/>
          </rPr>
          <t xml:space="preserve">
From Kofler2024</t>
        </r>
      </text>
    </comment>
    <comment ref="U24" authorId="0" shapeId="0">
      <text>
        <r>
          <rPr>
            <b/>
            <sz val="9"/>
            <color indexed="81"/>
            <rFont val="Tahoma"/>
            <family val="2"/>
          </rPr>
          <t>Author:</t>
        </r>
        <r>
          <rPr>
            <sz val="9"/>
            <color indexed="81"/>
            <rFont val="Tahoma"/>
            <family val="2"/>
          </rPr>
          <t xml:space="preserve">
From Kofler2024</t>
        </r>
      </text>
    </comment>
    <comment ref="BB24" authorId="0" shapeId="0">
      <text>
        <r>
          <rPr>
            <b/>
            <sz val="9"/>
            <color indexed="81"/>
            <rFont val="Tahoma"/>
            <family val="2"/>
          </rPr>
          <t>Author:</t>
        </r>
        <r>
          <rPr>
            <sz val="9"/>
            <color indexed="81"/>
            <rFont val="Tahoma"/>
            <family val="2"/>
          </rPr>
          <t xml:space="preserve">
From Paper II</t>
        </r>
      </text>
    </comment>
    <comment ref="BC24" authorId="0" shapeId="0">
      <text>
        <r>
          <rPr>
            <b/>
            <sz val="9"/>
            <color indexed="81"/>
            <rFont val="Tahoma"/>
            <family val="2"/>
          </rPr>
          <t>Author:</t>
        </r>
        <r>
          <rPr>
            <sz val="9"/>
            <color indexed="81"/>
            <rFont val="Tahoma"/>
            <family val="2"/>
          </rPr>
          <t xml:space="preserve">
From Paper II</t>
        </r>
      </text>
    </comment>
    <comment ref="BD24" authorId="0" shapeId="0">
      <text>
        <r>
          <rPr>
            <b/>
            <sz val="9"/>
            <color indexed="81"/>
            <rFont val="Tahoma"/>
            <family val="2"/>
          </rPr>
          <t>Author:</t>
        </r>
        <r>
          <rPr>
            <sz val="9"/>
            <color indexed="81"/>
            <rFont val="Tahoma"/>
            <family val="2"/>
          </rPr>
          <t xml:space="preserve">
From Paper II</t>
        </r>
      </text>
    </comment>
    <comment ref="BE24" authorId="0" shapeId="0">
      <text>
        <r>
          <rPr>
            <b/>
            <sz val="9"/>
            <color indexed="81"/>
            <rFont val="Tahoma"/>
            <family val="2"/>
          </rPr>
          <t>Author:</t>
        </r>
        <r>
          <rPr>
            <sz val="9"/>
            <color indexed="81"/>
            <rFont val="Tahoma"/>
            <family val="2"/>
          </rPr>
          <t xml:space="preserve">
From Paper II</t>
        </r>
      </text>
    </comment>
    <comment ref="R25" authorId="0" shapeId="0">
      <text>
        <r>
          <rPr>
            <b/>
            <sz val="9"/>
            <color indexed="81"/>
            <rFont val="Tahoma"/>
            <family val="2"/>
          </rPr>
          <t>Author:</t>
        </r>
        <r>
          <rPr>
            <sz val="9"/>
            <color indexed="81"/>
            <rFont val="Tahoma"/>
            <family val="2"/>
          </rPr>
          <t xml:space="preserve">
From Kofler2024</t>
        </r>
      </text>
    </comment>
    <comment ref="S25" authorId="0" shapeId="0">
      <text>
        <r>
          <rPr>
            <b/>
            <sz val="9"/>
            <color indexed="81"/>
            <rFont val="Tahoma"/>
            <family val="2"/>
          </rPr>
          <t>Author:</t>
        </r>
        <r>
          <rPr>
            <sz val="9"/>
            <color indexed="81"/>
            <rFont val="Tahoma"/>
            <family val="2"/>
          </rPr>
          <t xml:space="preserve">
From Kofler2024</t>
        </r>
      </text>
    </comment>
    <comment ref="T25" authorId="0" shapeId="0">
      <text>
        <r>
          <rPr>
            <b/>
            <sz val="9"/>
            <color indexed="81"/>
            <rFont val="Tahoma"/>
            <family val="2"/>
          </rPr>
          <t>Author:</t>
        </r>
        <r>
          <rPr>
            <sz val="9"/>
            <color indexed="81"/>
            <rFont val="Tahoma"/>
            <family val="2"/>
          </rPr>
          <t xml:space="preserve">
From Kofler2024</t>
        </r>
      </text>
    </comment>
    <comment ref="U25" authorId="0" shapeId="0">
      <text>
        <r>
          <rPr>
            <b/>
            <sz val="9"/>
            <color indexed="81"/>
            <rFont val="Tahoma"/>
            <family val="2"/>
          </rPr>
          <t>Author:</t>
        </r>
        <r>
          <rPr>
            <sz val="9"/>
            <color indexed="81"/>
            <rFont val="Tahoma"/>
            <family val="2"/>
          </rPr>
          <t xml:space="preserve">
From Kofler2024</t>
        </r>
      </text>
    </comment>
    <comment ref="BB25" authorId="0" shapeId="0">
      <text>
        <r>
          <rPr>
            <b/>
            <sz val="9"/>
            <color indexed="81"/>
            <rFont val="Tahoma"/>
            <family val="2"/>
          </rPr>
          <t>Author:</t>
        </r>
        <r>
          <rPr>
            <sz val="9"/>
            <color indexed="81"/>
            <rFont val="Tahoma"/>
            <family val="2"/>
          </rPr>
          <t xml:space="preserve">
From Paper II</t>
        </r>
      </text>
    </comment>
    <comment ref="BC25" authorId="0" shapeId="0">
      <text>
        <r>
          <rPr>
            <b/>
            <sz val="9"/>
            <color indexed="81"/>
            <rFont val="Tahoma"/>
            <family val="2"/>
          </rPr>
          <t>Author:</t>
        </r>
        <r>
          <rPr>
            <sz val="9"/>
            <color indexed="81"/>
            <rFont val="Tahoma"/>
            <family val="2"/>
          </rPr>
          <t xml:space="preserve">
From Paper II</t>
        </r>
      </text>
    </comment>
    <comment ref="BD25" authorId="0" shapeId="0">
      <text>
        <r>
          <rPr>
            <b/>
            <sz val="9"/>
            <color indexed="81"/>
            <rFont val="Tahoma"/>
            <family val="2"/>
          </rPr>
          <t>Author:</t>
        </r>
        <r>
          <rPr>
            <sz val="9"/>
            <color indexed="81"/>
            <rFont val="Tahoma"/>
            <family val="2"/>
          </rPr>
          <t xml:space="preserve">
From Paper II</t>
        </r>
      </text>
    </comment>
    <comment ref="BE25" authorId="0" shapeId="0">
      <text>
        <r>
          <rPr>
            <b/>
            <sz val="9"/>
            <color indexed="81"/>
            <rFont val="Tahoma"/>
            <family val="2"/>
          </rPr>
          <t>Author:</t>
        </r>
        <r>
          <rPr>
            <sz val="9"/>
            <color indexed="81"/>
            <rFont val="Tahoma"/>
            <family val="2"/>
          </rPr>
          <t xml:space="preserve">
From Paper II</t>
        </r>
      </text>
    </comment>
    <comment ref="R26" authorId="0" shapeId="0">
      <text>
        <r>
          <rPr>
            <b/>
            <sz val="9"/>
            <color indexed="81"/>
            <rFont val="Tahoma"/>
            <family val="2"/>
          </rPr>
          <t>Author:</t>
        </r>
        <r>
          <rPr>
            <sz val="9"/>
            <color indexed="81"/>
            <rFont val="Tahoma"/>
            <family val="2"/>
          </rPr>
          <t xml:space="preserve">
From Kofler2024</t>
        </r>
      </text>
    </comment>
    <comment ref="S26" authorId="0" shapeId="0">
      <text>
        <r>
          <rPr>
            <b/>
            <sz val="9"/>
            <color indexed="81"/>
            <rFont val="Tahoma"/>
            <family val="2"/>
          </rPr>
          <t>Author:</t>
        </r>
        <r>
          <rPr>
            <sz val="9"/>
            <color indexed="81"/>
            <rFont val="Tahoma"/>
            <family val="2"/>
          </rPr>
          <t xml:space="preserve">
From Kofler2024</t>
        </r>
      </text>
    </comment>
    <comment ref="T26" authorId="0" shapeId="0">
      <text>
        <r>
          <rPr>
            <b/>
            <sz val="9"/>
            <color indexed="81"/>
            <rFont val="Tahoma"/>
            <family val="2"/>
          </rPr>
          <t>Author:</t>
        </r>
        <r>
          <rPr>
            <sz val="9"/>
            <color indexed="81"/>
            <rFont val="Tahoma"/>
            <family val="2"/>
          </rPr>
          <t xml:space="preserve">
From Kofler2024</t>
        </r>
      </text>
    </comment>
    <comment ref="U26" authorId="0" shapeId="0">
      <text>
        <r>
          <rPr>
            <b/>
            <sz val="9"/>
            <color indexed="81"/>
            <rFont val="Tahoma"/>
            <family val="2"/>
          </rPr>
          <t>Author:</t>
        </r>
        <r>
          <rPr>
            <sz val="9"/>
            <color indexed="81"/>
            <rFont val="Tahoma"/>
            <family val="2"/>
          </rPr>
          <t xml:space="preserve">
From Kofler2024</t>
        </r>
      </text>
    </comment>
    <comment ref="BB26" authorId="0" shapeId="0">
      <text>
        <r>
          <rPr>
            <b/>
            <sz val="9"/>
            <color indexed="81"/>
            <rFont val="Tahoma"/>
            <family val="2"/>
          </rPr>
          <t>Author:</t>
        </r>
        <r>
          <rPr>
            <sz val="9"/>
            <color indexed="81"/>
            <rFont val="Tahoma"/>
            <family val="2"/>
          </rPr>
          <t xml:space="preserve">
From Paper II</t>
        </r>
      </text>
    </comment>
    <comment ref="BC26" authorId="0" shapeId="0">
      <text>
        <r>
          <rPr>
            <b/>
            <sz val="9"/>
            <color indexed="81"/>
            <rFont val="Tahoma"/>
            <family val="2"/>
          </rPr>
          <t>Author:</t>
        </r>
        <r>
          <rPr>
            <sz val="9"/>
            <color indexed="81"/>
            <rFont val="Tahoma"/>
            <family val="2"/>
          </rPr>
          <t xml:space="preserve">
From Paper II</t>
        </r>
      </text>
    </comment>
    <comment ref="BD26" authorId="0" shapeId="0">
      <text>
        <r>
          <rPr>
            <b/>
            <sz val="9"/>
            <color indexed="81"/>
            <rFont val="Tahoma"/>
            <family val="2"/>
          </rPr>
          <t>Author:</t>
        </r>
        <r>
          <rPr>
            <sz val="9"/>
            <color indexed="81"/>
            <rFont val="Tahoma"/>
            <family val="2"/>
          </rPr>
          <t xml:space="preserve">
From Paper II</t>
        </r>
      </text>
    </comment>
    <comment ref="BE26" authorId="0" shapeId="0">
      <text>
        <r>
          <rPr>
            <b/>
            <sz val="9"/>
            <color indexed="81"/>
            <rFont val="Tahoma"/>
            <family val="2"/>
          </rPr>
          <t>Author:</t>
        </r>
        <r>
          <rPr>
            <sz val="9"/>
            <color indexed="81"/>
            <rFont val="Tahoma"/>
            <family val="2"/>
          </rPr>
          <t xml:space="preserve">
From Paper II</t>
        </r>
      </text>
    </comment>
    <comment ref="R27" authorId="0" shapeId="0">
      <text>
        <r>
          <rPr>
            <b/>
            <sz val="9"/>
            <color indexed="81"/>
            <rFont val="Tahoma"/>
            <family val="2"/>
          </rPr>
          <t>Author:</t>
        </r>
        <r>
          <rPr>
            <sz val="9"/>
            <color indexed="81"/>
            <rFont val="Tahoma"/>
            <family val="2"/>
          </rPr>
          <t xml:space="preserve">
From Kofler2024</t>
        </r>
      </text>
    </comment>
    <comment ref="S27" authorId="0" shapeId="0">
      <text>
        <r>
          <rPr>
            <b/>
            <sz val="9"/>
            <color indexed="81"/>
            <rFont val="Tahoma"/>
            <family val="2"/>
          </rPr>
          <t>Author:</t>
        </r>
        <r>
          <rPr>
            <sz val="9"/>
            <color indexed="81"/>
            <rFont val="Tahoma"/>
            <family val="2"/>
          </rPr>
          <t xml:space="preserve">
From Kofler2024</t>
        </r>
      </text>
    </comment>
    <comment ref="T27" authorId="0" shapeId="0">
      <text>
        <r>
          <rPr>
            <b/>
            <sz val="9"/>
            <color indexed="81"/>
            <rFont val="Tahoma"/>
            <family val="2"/>
          </rPr>
          <t>Author:</t>
        </r>
        <r>
          <rPr>
            <sz val="9"/>
            <color indexed="81"/>
            <rFont val="Tahoma"/>
            <family val="2"/>
          </rPr>
          <t xml:space="preserve">
From Kofler2024</t>
        </r>
      </text>
    </comment>
    <comment ref="U27" authorId="0" shapeId="0">
      <text>
        <r>
          <rPr>
            <b/>
            <sz val="9"/>
            <color indexed="81"/>
            <rFont val="Tahoma"/>
            <family val="2"/>
          </rPr>
          <t>Author:</t>
        </r>
        <r>
          <rPr>
            <sz val="9"/>
            <color indexed="81"/>
            <rFont val="Tahoma"/>
            <family val="2"/>
          </rPr>
          <t xml:space="preserve">
From Kofler2024</t>
        </r>
      </text>
    </comment>
    <comment ref="V27" authorId="0" shapeId="0">
      <text>
        <r>
          <rPr>
            <b/>
            <sz val="9"/>
            <color indexed="81"/>
            <rFont val="Tahoma"/>
            <family val="2"/>
          </rPr>
          <t>Author:</t>
        </r>
        <r>
          <rPr>
            <sz val="9"/>
            <color indexed="81"/>
            <rFont val="Tahoma"/>
            <family val="2"/>
          </rPr>
          <t xml:space="preserve">
From Kofler2024</t>
        </r>
      </text>
    </comment>
    <comment ref="W27" authorId="0" shapeId="0">
      <text>
        <r>
          <rPr>
            <b/>
            <sz val="9"/>
            <color indexed="81"/>
            <rFont val="Tahoma"/>
            <family val="2"/>
          </rPr>
          <t>Author:</t>
        </r>
        <r>
          <rPr>
            <sz val="9"/>
            <color indexed="81"/>
            <rFont val="Tahoma"/>
            <family val="2"/>
          </rPr>
          <t xml:space="preserve">
From Kofler2024</t>
        </r>
      </text>
    </comment>
    <comment ref="X27" authorId="0" shapeId="0">
      <text>
        <r>
          <rPr>
            <b/>
            <sz val="9"/>
            <color indexed="81"/>
            <rFont val="Tahoma"/>
            <family val="2"/>
          </rPr>
          <t>Author:</t>
        </r>
        <r>
          <rPr>
            <sz val="9"/>
            <color indexed="81"/>
            <rFont val="Tahoma"/>
            <family val="2"/>
          </rPr>
          <t xml:space="preserve">
From Kofler2024</t>
        </r>
      </text>
    </comment>
    <comment ref="Y27" authorId="0" shapeId="0">
      <text>
        <r>
          <rPr>
            <b/>
            <sz val="9"/>
            <color indexed="81"/>
            <rFont val="Tahoma"/>
            <family val="2"/>
          </rPr>
          <t>Author:</t>
        </r>
        <r>
          <rPr>
            <sz val="9"/>
            <color indexed="81"/>
            <rFont val="Tahoma"/>
            <family val="2"/>
          </rPr>
          <t xml:space="preserve">
From Kofler2024</t>
        </r>
      </text>
    </comment>
    <comment ref="Z27" authorId="0" shapeId="0">
      <text>
        <r>
          <rPr>
            <b/>
            <sz val="9"/>
            <color indexed="81"/>
            <rFont val="Tahoma"/>
            <family val="2"/>
          </rPr>
          <t>Author:</t>
        </r>
        <r>
          <rPr>
            <sz val="9"/>
            <color indexed="81"/>
            <rFont val="Tahoma"/>
            <family val="2"/>
          </rPr>
          <t xml:space="preserve">
From Kofler2024</t>
        </r>
      </text>
    </comment>
    <comment ref="AA27" authorId="0" shapeId="0">
      <text>
        <r>
          <rPr>
            <b/>
            <sz val="9"/>
            <color indexed="81"/>
            <rFont val="Tahoma"/>
            <family val="2"/>
          </rPr>
          <t>Author:</t>
        </r>
        <r>
          <rPr>
            <sz val="9"/>
            <color indexed="81"/>
            <rFont val="Tahoma"/>
            <family val="2"/>
          </rPr>
          <t xml:space="preserve">
From Kofler2024</t>
        </r>
      </text>
    </comment>
    <comment ref="AB27" authorId="0" shapeId="0">
      <text>
        <r>
          <rPr>
            <b/>
            <sz val="9"/>
            <color indexed="81"/>
            <rFont val="Tahoma"/>
            <family val="2"/>
          </rPr>
          <t>Author:</t>
        </r>
        <r>
          <rPr>
            <sz val="9"/>
            <color indexed="81"/>
            <rFont val="Tahoma"/>
            <family val="2"/>
          </rPr>
          <t xml:space="preserve">
From Kofler2024</t>
        </r>
      </text>
    </comment>
    <comment ref="AC27" authorId="0" shapeId="0">
      <text>
        <r>
          <rPr>
            <b/>
            <sz val="9"/>
            <color indexed="81"/>
            <rFont val="Tahoma"/>
            <family val="2"/>
          </rPr>
          <t>Author:</t>
        </r>
        <r>
          <rPr>
            <sz val="9"/>
            <color indexed="81"/>
            <rFont val="Tahoma"/>
            <family val="2"/>
          </rPr>
          <t xml:space="preserve">
From Kofler2024</t>
        </r>
      </text>
    </comment>
    <comment ref="AD27" authorId="0" shapeId="0">
      <text>
        <r>
          <rPr>
            <b/>
            <sz val="9"/>
            <color indexed="81"/>
            <rFont val="Tahoma"/>
            <family val="2"/>
          </rPr>
          <t>Author:</t>
        </r>
        <r>
          <rPr>
            <sz val="9"/>
            <color indexed="81"/>
            <rFont val="Tahoma"/>
            <family val="2"/>
          </rPr>
          <t xml:space="preserve">
From Kofler2024</t>
        </r>
      </text>
    </comment>
    <comment ref="AE27" authorId="0" shapeId="0">
      <text>
        <r>
          <rPr>
            <b/>
            <sz val="9"/>
            <color indexed="81"/>
            <rFont val="Tahoma"/>
            <family val="2"/>
          </rPr>
          <t>Author:</t>
        </r>
        <r>
          <rPr>
            <sz val="9"/>
            <color indexed="81"/>
            <rFont val="Tahoma"/>
            <family val="2"/>
          </rPr>
          <t xml:space="preserve">
From Kofler2024</t>
        </r>
      </text>
    </comment>
    <comment ref="AF27" authorId="0" shapeId="0">
      <text>
        <r>
          <rPr>
            <b/>
            <sz val="9"/>
            <color indexed="81"/>
            <rFont val="Tahoma"/>
            <family val="2"/>
          </rPr>
          <t>Author:</t>
        </r>
        <r>
          <rPr>
            <sz val="9"/>
            <color indexed="81"/>
            <rFont val="Tahoma"/>
            <family val="2"/>
          </rPr>
          <t xml:space="preserve">
From Kofler2024</t>
        </r>
      </text>
    </comment>
    <comment ref="AG27" authorId="0" shapeId="0">
      <text>
        <r>
          <rPr>
            <b/>
            <sz val="9"/>
            <color indexed="81"/>
            <rFont val="Tahoma"/>
            <family val="2"/>
          </rPr>
          <t>Author:</t>
        </r>
        <r>
          <rPr>
            <sz val="9"/>
            <color indexed="81"/>
            <rFont val="Tahoma"/>
            <family val="2"/>
          </rPr>
          <t xml:space="preserve">
From Kofler2024</t>
        </r>
      </text>
    </comment>
    <comment ref="AH27" authorId="0" shapeId="0">
      <text>
        <r>
          <rPr>
            <b/>
            <sz val="9"/>
            <color indexed="81"/>
            <rFont val="Tahoma"/>
            <family val="2"/>
          </rPr>
          <t>Author:</t>
        </r>
        <r>
          <rPr>
            <sz val="9"/>
            <color indexed="81"/>
            <rFont val="Tahoma"/>
            <family val="2"/>
          </rPr>
          <t xml:space="preserve">
From Kofler2024</t>
        </r>
      </text>
    </comment>
    <comment ref="AI27" authorId="0" shapeId="0">
      <text>
        <r>
          <rPr>
            <b/>
            <sz val="9"/>
            <color indexed="81"/>
            <rFont val="Tahoma"/>
            <family val="2"/>
          </rPr>
          <t>Author:</t>
        </r>
        <r>
          <rPr>
            <sz val="9"/>
            <color indexed="81"/>
            <rFont val="Tahoma"/>
            <family val="2"/>
          </rPr>
          <t xml:space="preserve">
From Kofler2024</t>
        </r>
      </text>
    </comment>
    <comment ref="AJ27" authorId="0" shapeId="0">
      <text>
        <r>
          <rPr>
            <b/>
            <sz val="9"/>
            <color indexed="81"/>
            <rFont val="Tahoma"/>
            <family val="2"/>
          </rPr>
          <t>Author:</t>
        </r>
        <r>
          <rPr>
            <sz val="9"/>
            <color indexed="81"/>
            <rFont val="Tahoma"/>
            <family val="2"/>
          </rPr>
          <t xml:space="preserve">
From Kofler2024</t>
        </r>
      </text>
    </comment>
    <comment ref="AK27" authorId="0" shapeId="0">
      <text>
        <r>
          <rPr>
            <b/>
            <sz val="9"/>
            <color indexed="81"/>
            <rFont val="Tahoma"/>
            <family val="2"/>
          </rPr>
          <t>Author:</t>
        </r>
        <r>
          <rPr>
            <sz val="9"/>
            <color indexed="81"/>
            <rFont val="Tahoma"/>
            <family val="2"/>
          </rPr>
          <t xml:space="preserve">
From Kofler2024</t>
        </r>
      </text>
    </comment>
    <comment ref="AL27" authorId="0" shapeId="0">
      <text>
        <r>
          <rPr>
            <b/>
            <sz val="9"/>
            <color indexed="81"/>
            <rFont val="Tahoma"/>
            <family val="2"/>
          </rPr>
          <t>Author:</t>
        </r>
        <r>
          <rPr>
            <sz val="9"/>
            <color indexed="81"/>
            <rFont val="Tahoma"/>
            <family val="2"/>
          </rPr>
          <t xml:space="preserve">
From Kofler2024</t>
        </r>
      </text>
    </comment>
    <comment ref="AM27" authorId="0" shapeId="0">
      <text>
        <r>
          <rPr>
            <b/>
            <sz val="9"/>
            <color indexed="81"/>
            <rFont val="Tahoma"/>
            <family val="2"/>
          </rPr>
          <t>Author:</t>
        </r>
        <r>
          <rPr>
            <sz val="9"/>
            <color indexed="81"/>
            <rFont val="Tahoma"/>
            <family val="2"/>
          </rPr>
          <t xml:space="preserve">
From Kofler2024</t>
        </r>
      </text>
    </comment>
    <comment ref="AN27" authorId="0" shapeId="0">
      <text>
        <r>
          <rPr>
            <b/>
            <sz val="9"/>
            <color indexed="81"/>
            <rFont val="Tahoma"/>
            <family val="2"/>
          </rPr>
          <t>Author:</t>
        </r>
        <r>
          <rPr>
            <sz val="9"/>
            <color indexed="81"/>
            <rFont val="Tahoma"/>
            <family val="2"/>
          </rPr>
          <t xml:space="preserve">
From Kofler2024</t>
        </r>
      </text>
    </comment>
    <comment ref="AO27" authorId="0" shapeId="0">
      <text>
        <r>
          <rPr>
            <b/>
            <sz val="9"/>
            <color indexed="81"/>
            <rFont val="Tahoma"/>
            <family val="2"/>
          </rPr>
          <t>Author:</t>
        </r>
        <r>
          <rPr>
            <sz val="9"/>
            <color indexed="81"/>
            <rFont val="Tahoma"/>
            <family val="2"/>
          </rPr>
          <t xml:space="preserve">
From Kofler2024</t>
        </r>
      </text>
    </comment>
    <comment ref="AP27" authorId="0" shapeId="0">
      <text>
        <r>
          <rPr>
            <b/>
            <sz val="9"/>
            <color indexed="81"/>
            <rFont val="Tahoma"/>
            <family val="2"/>
          </rPr>
          <t>Author:</t>
        </r>
        <r>
          <rPr>
            <sz val="9"/>
            <color indexed="81"/>
            <rFont val="Tahoma"/>
            <family val="2"/>
          </rPr>
          <t xml:space="preserve">
From Kofler2024</t>
        </r>
      </text>
    </comment>
    <comment ref="AQ27" authorId="0" shapeId="0">
      <text>
        <r>
          <rPr>
            <b/>
            <sz val="9"/>
            <color indexed="81"/>
            <rFont val="Tahoma"/>
            <family val="2"/>
          </rPr>
          <t>Author:</t>
        </r>
        <r>
          <rPr>
            <sz val="9"/>
            <color indexed="81"/>
            <rFont val="Tahoma"/>
            <family val="2"/>
          </rPr>
          <t xml:space="preserve">
From Kofler2024</t>
        </r>
      </text>
    </comment>
    <comment ref="AR27" authorId="0" shapeId="0">
      <text>
        <r>
          <rPr>
            <b/>
            <sz val="9"/>
            <color indexed="81"/>
            <rFont val="Tahoma"/>
            <family val="2"/>
          </rPr>
          <t>Author:</t>
        </r>
        <r>
          <rPr>
            <sz val="9"/>
            <color indexed="81"/>
            <rFont val="Tahoma"/>
            <family val="2"/>
          </rPr>
          <t xml:space="preserve">
From Kofler2024</t>
        </r>
      </text>
    </comment>
    <comment ref="AS27" authorId="0" shapeId="0">
      <text>
        <r>
          <rPr>
            <b/>
            <sz val="9"/>
            <color indexed="81"/>
            <rFont val="Tahoma"/>
            <family val="2"/>
          </rPr>
          <t>Author:</t>
        </r>
        <r>
          <rPr>
            <sz val="9"/>
            <color indexed="81"/>
            <rFont val="Tahoma"/>
            <family val="2"/>
          </rPr>
          <t xml:space="preserve">
From Kofler2024</t>
        </r>
      </text>
    </comment>
    <comment ref="AT27" authorId="0" shapeId="0">
      <text>
        <r>
          <rPr>
            <b/>
            <sz val="9"/>
            <color indexed="81"/>
            <rFont val="Tahoma"/>
            <family val="2"/>
          </rPr>
          <t>Author:</t>
        </r>
        <r>
          <rPr>
            <sz val="9"/>
            <color indexed="81"/>
            <rFont val="Tahoma"/>
            <family val="2"/>
          </rPr>
          <t xml:space="preserve">
From Kofler2024</t>
        </r>
      </text>
    </comment>
    <comment ref="AU27" authorId="0" shapeId="0">
      <text>
        <r>
          <rPr>
            <b/>
            <sz val="9"/>
            <color indexed="81"/>
            <rFont val="Tahoma"/>
            <family val="2"/>
          </rPr>
          <t>Author:</t>
        </r>
        <r>
          <rPr>
            <sz val="9"/>
            <color indexed="81"/>
            <rFont val="Tahoma"/>
            <family val="2"/>
          </rPr>
          <t xml:space="preserve">
From Kofler2024</t>
        </r>
      </text>
    </comment>
    <comment ref="AV27" authorId="0" shapeId="0">
      <text>
        <r>
          <rPr>
            <b/>
            <sz val="9"/>
            <color indexed="81"/>
            <rFont val="Tahoma"/>
            <family val="2"/>
          </rPr>
          <t>Author:</t>
        </r>
        <r>
          <rPr>
            <sz val="9"/>
            <color indexed="81"/>
            <rFont val="Tahoma"/>
            <family val="2"/>
          </rPr>
          <t xml:space="preserve">
From Kofler2024</t>
        </r>
      </text>
    </comment>
    <comment ref="AW27" authorId="0" shapeId="0">
      <text>
        <r>
          <rPr>
            <b/>
            <sz val="9"/>
            <color indexed="81"/>
            <rFont val="Tahoma"/>
            <family val="2"/>
          </rPr>
          <t>Author:</t>
        </r>
        <r>
          <rPr>
            <sz val="9"/>
            <color indexed="81"/>
            <rFont val="Tahoma"/>
            <family val="2"/>
          </rPr>
          <t xml:space="preserve">
From Kofler2024</t>
        </r>
      </text>
    </comment>
    <comment ref="AX27" authorId="0" shapeId="0">
      <text>
        <r>
          <rPr>
            <b/>
            <sz val="9"/>
            <color indexed="81"/>
            <rFont val="Tahoma"/>
            <family val="2"/>
          </rPr>
          <t>Author:</t>
        </r>
        <r>
          <rPr>
            <sz val="9"/>
            <color indexed="81"/>
            <rFont val="Tahoma"/>
            <family val="2"/>
          </rPr>
          <t xml:space="preserve">
From Kofler2024</t>
        </r>
      </text>
    </comment>
    <comment ref="AY27" authorId="0" shapeId="0">
      <text>
        <r>
          <rPr>
            <b/>
            <sz val="9"/>
            <color indexed="81"/>
            <rFont val="Tahoma"/>
            <family val="2"/>
          </rPr>
          <t>Author:</t>
        </r>
        <r>
          <rPr>
            <sz val="9"/>
            <color indexed="81"/>
            <rFont val="Tahoma"/>
            <family val="2"/>
          </rPr>
          <t xml:space="preserve">
From Kofler2024</t>
        </r>
      </text>
    </comment>
    <comment ref="AZ27" authorId="0" shapeId="0">
      <text>
        <r>
          <rPr>
            <b/>
            <sz val="9"/>
            <color indexed="81"/>
            <rFont val="Tahoma"/>
            <family val="2"/>
          </rPr>
          <t>Author:</t>
        </r>
        <r>
          <rPr>
            <sz val="9"/>
            <color indexed="81"/>
            <rFont val="Tahoma"/>
            <family val="2"/>
          </rPr>
          <t xml:space="preserve">
From Kofler2024</t>
        </r>
      </text>
    </comment>
    <comment ref="BA27" authorId="0" shapeId="0">
      <text>
        <r>
          <rPr>
            <b/>
            <sz val="9"/>
            <color indexed="81"/>
            <rFont val="Tahoma"/>
            <family val="2"/>
          </rPr>
          <t>Author:</t>
        </r>
        <r>
          <rPr>
            <sz val="9"/>
            <color indexed="81"/>
            <rFont val="Tahoma"/>
            <family val="2"/>
          </rPr>
          <t xml:space="preserve">
From Kofler2024</t>
        </r>
      </text>
    </comment>
    <comment ref="BB27" authorId="0" shapeId="0">
      <text>
        <r>
          <rPr>
            <b/>
            <sz val="9"/>
            <color indexed="81"/>
            <rFont val="Tahoma"/>
            <family val="2"/>
          </rPr>
          <t>Author:</t>
        </r>
        <r>
          <rPr>
            <sz val="9"/>
            <color indexed="81"/>
            <rFont val="Tahoma"/>
            <family val="2"/>
          </rPr>
          <t xml:space="preserve">
From Kofler2024</t>
        </r>
      </text>
    </comment>
    <comment ref="BC27" authorId="0" shapeId="0">
      <text>
        <r>
          <rPr>
            <b/>
            <sz val="9"/>
            <color indexed="81"/>
            <rFont val="Tahoma"/>
            <family val="2"/>
          </rPr>
          <t>Author:</t>
        </r>
        <r>
          <rPr>
            <sz val="9"/>
            <color indexed="81"/>
            <rFont val="Tahoma"/>
            <family val="2"/>
          </rPr>
          <t xml:space="preserve">
From Kofler2024</t>
        </r>
      </text>
    </comment>
    <comment ref="BD27" authorId="0" shapeId="0">
      <text>
        <r>
          <rPr>
            <b/>
            <sz val="9"/>
            <color indexed="81"/>
            <rFont val="Tahoma"/>
            <family val="2"/>
          </rPr>
          <t>Author:</t>
        </r>
        <r>
          <rPr>
            <sz val="9"/>
            <color indexed="81"/>
            <rFont val="Tahoma"/>
            <family val="2"/>
          </rPr>
          <t xml:space="preserve">
From Kofler2024</t>
        </r>
      </text>
    </comment>
    <comment ref="BE27" authorId="0" shapeId="0">
      <text>
        <r>
          <rPr>
            <b/>
            <sz val="9"/>
            <color indexed="81"/>
            <rFont val="Tahoma"/>
            <family val="2"/>
          </rPr>
          <t>Author:</t>
        </r>
        <r>
          <rPr>
            <sz val="9"/>
            <color indexed="81"/>
            <rFont val="Tahoma"/>
            <family val="2"/>
          </rPr>
          <t xml:space="preserve">
From Kofler2024</t>
        </r>
      </text>
    </comment>
    <comment ref="BF27" authorId="0" shapeId="0">
      <text>
        <r>
          <rPr>
            <b/>
            <sz val="9"/>
            <color indexed="81"/>
            <rFont val="Tahoma"/>
            <family val="2"/>
          </rPr>
          <t>Author:</t>
        </r>
        <r>
          <rPr>
            <sz val="9"/>
            <color indexed="81"/>
            <rFont val="Tahoma"/>
            <family val="2"/>
          </rPr>
          <t xml:space="preserve">
From Kofler2024</t>
        </r>
      </text>
    </comment>
    <comment ref="BG27" authorId="0" shapeId="0">
      <text>
        <r>
          <rPr>
            <b/>
            <sz val="9"/>
            <color indexed="81"/>
            <rFont val="Tahoma"/>
            <family val="2"/>
          </rPr>
          <t>Author:</t>
        </r>
        <r>
          <rPr>
            <sz val="9"/>
            <color indexed="81"/>
            <rFont val="Tahoma"/>
            <family val="2"/>
          </rPr>
          <t xml:space="preserve">
From Kofler2024</t>
        </r>
      </text>
    </comment>
    <comment ref="BH27" authorId="0" shapeId="0">
      <text>
        <r>
          <rPr>
            <b/>
            <sz val="9"/>
            <color indexed="81"/>
            <rFont val="Tahoma"/>
            <family val="2"/>
          </rPr>
          <t>Author:</t>
        </r>
        <r>
          <rPr>
            <sz val="9"/>
            <color indexed="81"/>
            <rFont val="Tahoma"/>
            <family val="2"/>
          </rPr>
          <t xml:space="preserve">
From Kofler2024</t>
        </r>
      </text>
    </comment>
    <comment ref="BI27" authorId="0" shapeId="0">
      <text>
        <r>
          <rPr>
            <b/>
            <sz val="9"/>
            <color indexed="81"/>
            <rFont val="Tahoma"/>
            <family val="2"/>
          </rPr>
          <t>Author:</t>
        </r>
        <r>
          <rPr>
            <sz val="9"/>
            <color indexed="81"/>
            <rFont val="Tahoma"/>
            <family val="2"/>
          </rPr>
          <t xml:space="preserve">
From Kofler2024</t>
        </r>
      </text>
    </comment>
    <comment ref="BJ27" authorId="0" shapeId="0">
      <text>
        <r>
          <rPr>
            <b/>
            <sz val="9"/>
            <color indexed="81"/>
            <rFont val="Tahoma"/>
            <family val="2"/>
          </rPr>
          <t>Author:</t>
        </r>
        <r>
          <rPr>
            <sz val="9"/>
            <color indexed="81"/>
            <rFont val="Tahoma"/>
            <family val="2"/>
          </rPr>
          <t xml:space="preserve">
From this study </t>
        </r>
      </text>
    </comment>
    <comment ref="BK27" authorId="0" shapeId="0">
      <text>
        <r>
          <rPr>
            <b/>
            <sz val="9"/>
            <color indexed="81"/>
            <rFont val="Tahoma"/>
            <family val="2"/>
          </rPr>
          <t>Author:</t>
        </r>
        <r>
          <rPr>
            <sz val="9"/>
            <color indexed="81"/>
            <rFont val="Tahoma"/>
            <family val="2"/>
          </rPr>
          <t xml:space="preserve">
From this study </t>
        </r>
      </text>
    </comment>
    <comment ref="BL27" authorId="0" shapeId="0">
      <text>
        <r>
          <rPr>
            <b/>
            <sz val="9"/>
            <color indexed="81"/>
            <rFont val="Tahoma"/>
            <family val="2"/>
          </rPr>
          <t>Author:</t>
        </r>
        <r>
          <rPr>
            <sz val="9"/>
            <color indexed="81"/>
            <rFont val="Tahoma"/>
            <family val="2"/>
          </rPr>
          <t xml:space="preserve">
From this study </t>
        </r>
      </text>
    </comment>
    <comment ref="BM27" authorId="0" shapeId="0">
      <text>
        <r>
          <rPr>
            <b/>
            <sz val="9"/>
            <color indexed="81"/>
            <rFont val="Tahoma"/>
            <family val="2"/>
          </rPr>
          <t>Author:</t>
        </r>
        <r>
          <rPr>
            <sz val="9"/>
            <color indexed="81"/>
            <rFont val="Tahoma"/>
            <family val="2"/>
          </rPr>
          <t xml:space="preserve">
From this study </t>
        </r>
      </text>
    </comment>
    <comment ref="BN27" authorId="0" shapeId="0">
      <text>
        <r>
          <rPr>
            <b/>
            <sz val="9"/>
            <color indexed="81"/>
            <rFont val="Tahoma"/>
            <family val="2"/>
          </rPr>
          <t>Author:</t>
        </r>
        <r>
          <rPr>
            <sz val="9"/>
            <color indexed="81"/>
            <rFont val="Tahoma"/>
            <family val="2"/>
          </rPr>
          <t xml:space="preserve">
From this study </t>
        </r>
      </text>
    </comment>
    <comment ref="BO27" authorId="0" shapeId="0">
      <text>
        <r>
          <rPr>
            <b/>
            <sz val="9"/>
            <color indexed="81"/>
            <rFont val="Tahoma"/>
            <family val="2"/>
          </rPr>
          <t>Author:</t>
        </r>
        <r>
          <rPr>
            <sz val="9"/>
            <color indexed="81"/>
            <rFont val="Tahoma"/>
            <family val="2"/>
          </rPr>
          <t xml:space="preserve">
From this study </t>
        </r>
      </text>
    </comment>
    <comment ref="BP27" authorId="0" shapeId="0">
      <text>
        <r>
          <rPr>
            <b/>
            <sz val="9"/>
            <color indexed="81"/>
            <rFont val="Tahoma"/>
            <family val="2"/>
          </rPr>
          <t>Author:</t>
        </r>
        <r>
          <rPr>
            <sz val="9"/>
            <color indexed="81"/>
            <rFont val="Tahoma"/>
            <family val="2"/>
          </rPr>
          <t xml:space="preserve">
From this study </t>
        </r>
      </text>
    </comment>
    <comment ref="BQ27" authorId="0" shapeId="0">
      <text>
        <r>
          <rPr>
            <b/>
            <sz val="9"/>
            <color indexed="81"/>
            <rFont val="Tahoma"/>
            <family val="2"/>
          </rPr>
          <t>Author:</t>
        </r>
        <r>
          <rPr>
            <sz val="9"/>
            <color indexed="81"/>
            <rFont val="Tahoma"/>
            <family val="2"/>
          </rPr>
          <t xml:space="preserve">
From this study </t>
        </r>
      </text>
    </comment>
    <comment ref="BR27" authorId="0" shapeId="0">
      <text>
        <r>
          <rPr>
            <b/>
            <sz val="9"/>
            <color indexed="81"/>
            <rFont val="Tahoma"/>
            <family val="2"/>
          </rPr>
          <t>Author:</t>
        </r>
        <r>
          <rPr>
            <sz val="9"/>
            <color indexed="81"/>
            <rFont val="Tahoma"/>
            <family val="2"/>
          </rPr>
          <t xml:space="preserve">
From Kofler2024</t>
        </r>
      </text>
    </comment>
    <comment ref="BS27" authorId="0" shapeId="0">
      <text>
        <r>
          <rPr>
            <b/>
            <sz val="9"/>
            <color indexed="81"/>
            <rFont val="Tahoma"/>
            <family val="2"/>
          </rPr>
          <t>Author:</t>
        </r>
        <r>
          <rPr>
            <sz val="9"/>
            <color indexed="81"/>
            <rFont val="Tahoma"/>
            <family val="2"/>
          </rPr>
          <t xml:space="preserve">
From Kofler2024</t>
        </r>
      </text>
    </comment>
    <comment ref="BT27" authorId="0" shapeId="0">
      <text>
        <r>
          <rPr>
            <b/>
            <sz val="9"/>
            <color indexed="81"/>
            <rFont val="Tahoma"/>
            <family val="2"/>
          </rPr>
          <t>Author:</t>
        </r>
        <r>
          <rPr>
            <sz val="9"/>
            <color indexed="81"/>
            <rFont val="Tahoma"/>
            <family val="2"/>
          </rPr>
          <t xml:space="preserve">
From Kofler2024</t>
        </r>
      </text>
    </comment>
    <comment ref="BU27" authorId="0" shapeId="0">
      <text>
        <r>
          <rPr>
            <b/>
            <sz val="9"/>
            <color indexed="81"/>
            <rFont val="Tahoma"/>
            <family val="2"/>
          </rPr>
          <t>Author:</t>
        </r>
        <r>
          <rPr>
            <sz val="9"/>
            <color indexed="81"/>
            <rFont val="Tahoma"/>
            <family val="2"/>
          </rPr>
          <t xml:space="preserve">
From Kofler2024</t>
        </r>
      </text>
    </comment>
    <comment ref="R28" authorId="0" shapeId="0">
      <text>
        <r>
          <rPr>
            <b/>
            <sz val="9"/>
            <color indexed="81"/>
            <rFont val="Tahoma"/>
            <family val="2"/>
          </rPr>
          <t>Author:</t>
        </r>
        <r>
          <rPr>
            <sz val="9"/>
            <color indexed="81"/>
            <rFont val="Tahoma"/>
            <family val="2"/>
          </rPr>
          <t xml:space="preserve">
From Kofler2024</t>
        </r>
      </text>
    </comment>
    <comment ref="S28" authorId="0" shapeId="0">
      <text>
        <r>
          <rPr>
            <b/>
            <sz val="9"/>
            <color indexed="81"/>
            <rFont val="Tahoma"/>
            <family val="2"/>
          </rPr>
          <t>Author:</t>
        </r>
        <r>
          <rPr>
            <sz val="9"/>
            <color indexed="81"/>
            <rFont val="Tahoma"/>
            <family val="2"/>
          </rPr>
          <t xml:space="preserve">
From Kofler2024</t>
        </r>
      </text>
    </comment>
    <comment ref="T28" authorId="0" shapeId="0">
      <text>
        <r>
          <rPr>
            <b/>
            <sz val="9"/>
            <color indexed="81"/>
            <rFont val="Tahoma"/>
            <family val="2"/>
          </rPr>
          <t>Author:</t>
        </r>
        <r>
          <rPr>
            <sz val="9"/>
            <color indexed="81"/>
            <rFont val="Tahoma"/>
            <family val="2"/>
          </rPr>
          <t xml:space="preserve">
From Kofler2024</t>
        </r>
      </text>
    </comment>
    <comment ref="U28" authorId="0" shapeId="0">
      <text>
        <r>
          <rPr>
            <b/>
            <sz val="9"/>
            <color indexed="81"/>
            <rFont val="Tahoma"/>
            <family val="2"/>
          </rPr>
          <t>Author:</t>
        </r>
        <r>
          <rPr>
            <sz val="9"/>
            <color indexed="81"/>
            <rFont val="Tahoma"/>
            <family val="2"/>
          </rPr>
          <t xml:space="preserve">
From Kofler2024</t>
        </r>
      </text>
    </comment>
    <comment ref="V28" authorId="0" shapeId="0">
      <text>
        <r>
          <rPr>
            <b/>
            <sz val="9"/>
            <color indexed="81"/>
            <rFont val="Tahoma"/>
            <family val="2"/>
          </rPr>
          <t>Author:</t>
        </r>
        <r>
          <rPr>
            <sz val="9"/>
            <color indexed="81"/>
            <rFont val="Tahoma"/>
            <family val="2"/>
          </rPr>
          <t xml:space="preserve">
From Kofler2024</t>
        </r>
      </text>
    </comment>
    <comment ref="W28" authorId="0" shapeId="0">
      <text>
        <r>
          <rPr>
            <b/>
            <sz val="9"/>
            <color indexed="81"/>
            <rFont val="Tahoma"/>
            <family val="2"/>
          </rPr>
          <t>Author:</t>
        </r>
        <r>
          <rPr>
            <sz val="9"/>
            <color indexed="81"/>
            <rFont val="Tahoma"/>
            <family val="2"/>
          </rPr>
          <t xml:space="preserve">
From Kofler2024</t>
        </r>
      </text>
    </comment>
    <comment ref="X28" authorId="0" shapeId="0">
      <text>
        <r>
          <rPr>
            <b/>
            <sz val="9"/>
            <color indexed="81"/>
            <rFont val="Tahoma"/>
            <family val="2"/>
          </rPr>
          <t>Author:</t>
        </r>
        <r>
          <rPr>
            <sz val="9"/>
            <color indexed="81"/>
            <rFont val="Tahoma"/>
            <family val="2"/>
          </rPr>
          <t xml:space="preserve">
From Kofler2024</t>
        </r>
      </text>
    </comment>
    <comment ref="Y28" authorId="0" shapeId="0">
      <text>
        <r>
          <rPr>
            <b/>
            <sz val="9"/>
            <color indexed="81"/>
            <rFont val="Tahoma"/>
            <family val="2"/>
          </rPr>
          <t>Author:</t>
        </r>
        <r>
          <rPr>
            <sz val="9"/>
            <color indexed="81"/>
            <rFont val="Tahoma"/>
            <family val="2"/>
          </rPr>
          <t xml:space="preserve">
From Kofler2024</t>
        </r>
      </text>
    </comment>
    <comment ref="Z28" authorId="0" shapeId="0">
      <text>
        <r>
          <rPr>
            <b/>
            <sz val="9"/>
            <color indexed="81"/>
            <rFont val="Tahoma"/>
            <family val="2"/>
          </rPr>
          <t>Author:</t>
        </r>
        <r>
          <rPr>
            <sz val="9"/>
            <color indexed="81"/>
            <rFont val="Tahoma"/>
            <family val="2"/>
          </rPr>
          <t xml:space="preserve">
From Kofler2024</t>
        </r>
      </text>
    </comment>
    <comment ref="AA28" authorId="0" shapeId="0">
      <text>
        <r>
          <rPr>
            <b/>
            <sz val="9"/>
            <color indexed="81"/>
            <rFont val="Tahoma"/>
            <family val="2"/>
          </rPr>
          <t>Author:</t>
        </r>
        <r>
          <rPr>
            <sz val="9"/>
            <color indexed="81"/>
            <rFont val="Tahoma"/>
            <family val="2"/>
          </rPr>
          <t xml:space="preserve">
From Kofler2024</t>
        </r>
      </text>
    </comment>
    <comment ref="AB28" authorId="0" shapeId="0">
      <text>
        <r>
          <rPr>
            <b/>
            <sz val="9"/>
            <color indexed="81"/>
            <rFont val="Tahoma"/>
            <family val="2"/>
          </rPr>
          <t>Author:</t>
        </r>
        <r>
          <rPr>
            <sz val="9"/>
            <color indexed="81"/>
            <rFont val="Tahoma"/>
            <family val="2"/>
          </rPr>
          <t xml:space="preserve">
From Kofler2024</t>
        </r>
      </text>
    </comment>
    <comment ref="AC28" authorId="0" shapeId="0">
      <text>
        <r>
          <rPr>
            <b/>
            <sz val="9"/>
            <color indexed="81"/>
            <rFont val="Tahoma"/>
            <family val="2"/>
          </rPr>
          <t>Author:</t>
        </r>
        <r>
          <rPr>
            <sz val="9"/>
            <color indexed="81"/>
            <rFont val="Tahoma"/>
            <family val="2"/>
          </rPr>
          <t xml:space="preserve">
From Kofler2024</t>
        </r>
      </text>
    </comment>
    <comment ref="AD28" authorId="0" shapeId="0">
      <text>
        <r>
          <rPr>
            <b/>
            <sz val="9"/>
            <color indexed="81"/>
            <rFont val="Tahoma"/>
            <family val="2"/>
          </rPr>
          <t>Author:</t>
        </r>
        <r>
          <rPr>
            <sz val="9"/>
            <color indexed="81"/>
            <rFont val="Tahoma"/>
            <family val="2"/>
          </rPr>
          <t xml:space="preserve">
From Kofler2024</t>
        </r>
      </text>
    </comment>
    <comment ref="AE28" authorId="0" shapeId="0">
      <text>
        <r>
          <rPr>
            <b/>
            <sz val="9"/>
            <color indexed="81"/>
            <rFont val="Tahoma"/>
            <family val="2"/>
          </rPr>
          <t>Author:</t>
        </r>
        <r>
          <rPr>
            <sz val="9"/>
            <color indexed="81"/>
            <rFont val="Tahoma"/>
            <family val="2"/>
          </rPr>
          <t xml:space="preserve">
From Kofler2024</t>
        </r>
      </text>
    </comment>
    <comment ref="AF28" authorId="0" shapeId="0">
      <text>
        <r>
          <rPr>
            <b/>
            <sz val="9"/>
            <color indexed="81"/>
            <rFont val="Tahoma"/>
            <family val="2"/>
          </rPr>
          <t>Author:</t>
        </r>
        <r>
          <rPr>
            <sz val="9"/>
            <color indexed="81"/>
            <rFont val="Tahoma"/>
            <family val="2"/>
          </rPr>
          <t xml:space="preserve">
From Kofler2024</t>
        </r>
      </text>
    </comment>
    <comment ref="AG28" authorId="0" shapeId="0">
      <text>
        <r>
          <rPr>
            <b/>
            <sz val="9"/>
            <color indexed="81"/>
            <rFont val="Tahoma"/>
            <family val="2"/>
          </rPr>
          <t>Author:</t>
        </r>
        <r>
          <rPr>
            <sz val="9"/>
            <color indexed="81"/>
            <rFont val="Tahoma"/>
            <family val="2"/>
          </rPr>
          <t xml:space="preserve">
From Kofler2024</t>
        </r>
      </text>
    </comment>
    <comment ref="AH28" authorId="0" shapeId="0">
      <text>
        <r>
          <rPr>
            <b/>
            <sz val="9"/>
            <color indexed="81"/>
            <rFont val="Tahoma"/>
            <family val="2"/>
          </rPr>
          <t>Author:</t>
        </r>
        <r>
          <rPr>
            <sz val="9"/>
            <color indexed="81"/>
            <rFont val="Tahoma"/>
            <family val="2"/>
          </rPr>
          <t xml:space="preserve">
From Kofler2024</t>
        </r>
      </text>
    </comment>
    <comment ref="AI28" authorId="0" shapeId="0">
      <text>
        <r>
          <rPr>
            <b/>
            <sz val="9"/>
            <color indexed="81"/>
            <rFont val="Tahoma"/>
            <family val="2"/>
          </rPr>
          <t>Author:</t>
        </r>
        <r>
          <rPr>
            <sz val="9"/>
            <color indexed="81"/>
            <rFont val="Tahoma"/>
            <family val="2"/>
          </rPr>
          <t xml:space="preserve">
From Kofler2024</t>
        </r>
      </text>
    </comment>
    <comment ref="AJ28" authorId="0" shapeId="0">
      <text>
        <r>
          <rPr>
            <b/>
            <sz val="9"/>
            <color indexed="81"/>
            <rFont val="Tahoma"/>
            <family val="2"/>
          </rPr>
          <t>Author:</t>
        </r>
        <r>
          <rPr>
            <sz val="9"/>
            <color indexed="81"/>
            <rFont val="Tahoma"/>
            <family val="2"/>
          </rPr>
          <t xml:space="preserve">
From Kofler2024</t>
        </r>
      </text>
    </comment>
    <comment ref="AK28" authorId="0" shapeId="0">
      <text>
        <r>
          <rPr>
            <b/>
            <sz val="9"/>
            <color indexed="81"/>
            <rFont val="Tahoma"/>
            <family val="2"/>
          </rPr>
          <t>Author:</t>
        </r>
        <r>
          <rPr>
            <sz val="9"/>
            <color indexed="81"/>
            <rFont val="Tahoma"/>
            <family val="2"/>
          </rPr>
          <t xml:space="preserve">
From Kofler2024</t>
        </r>
      </text>
    </comment>
    <comment ref="AL28" authorId="0" shapeId="0">
      <text>
        <r>
          <rPr>
            <b/>
            <sz val="9"/>
            <color indexed="81"/>
            <rFont val="Tahoma"/>
            <family val="2"/>
          </rPr>
          <t>Author:</t>
        </r>
        <r>
          <rPr>
            <sz val="9"/>
            <color indexed="81"/>
            <rFont val="Tahoma"/>
            <family val="2"/>
          </rPr>
          <t xml:space="preserve">
From Kofler2024</t>
        </r>
      </text>
    </comment>
    <comment ref="AM28" authorId="0" shapeId="0">
      <text>
        <r>
          <rPr>
            <b/>
            <sz val="9"/>
            <color indexed="81"/>
            <rFont val="Tahoma"/>
            <family val="2"/>
          </rPr>
          <t>Author:</t>
        </r>
        <r>
          <rPr>
            <sz val="9"/>
            <color indexed="81"/>
            <rFont val="Tahoma"/>
            <family val="2"/>
          </rPr>
          <t xml:space="preserve">
From Kofler2024</t>
        </r>
      </text>
    </comment>
    <comment ref="AN28" authorId="0" shapeId="0">
      <text>
        <r>
          <rPr>
            <b/>
            <sz val="9"/>
            <color indexed="81"/>
            <rFont val="Tahoma"/>
            <family val="2"/>
          </rPr>
          <t>Author:</t>
        </r>
        <r>
          <rPr>
            <sz val="9"/>
            <color indexed="81"/>
            <rFont val="Tahoma"/>
            <family val="2"/>
          </rPr>
          <t xml:space="preserve">
From Kofler2024</t>
        </r>
      </text>
    </comment>
    <comment ref="AO28" authorId="0" shapeId="0">
      <text>
        <r>
          <rPr>
            <b/>
            <sz val="9"/>
            <color indexed="81"/>
            <rFont val="Tahoma"/>
            <family val="2"/>
          </rPr>
          <t>Author:</t>
        </r>
        <r>
          <rPr>
            <sz val="9"/>
            <color indexed="81"/>
            <rFont val="Tahoma"/>
            <family val="2"/>
          </rPr>
          <t xml:space="preserve">
From Kofler2024</t>
        </r>
      </text>
    </comment>
    <comment ref="AP28" authorId="0" shapeId="0">
      <text>
        <r>
          <rPr>
            <b/>
            <sz val="9"/>
            <color indexed="81"/>
            <rFont val="Tahoma"/>
            <family val="2"/>
          </rPr>
          <t>Author:</t>
        </r>
        <r>
          <rPr>
            <sz val="9"/>
            <color indexed="81"/>
            <rFont val="Tahoma"/>
            <family val="2"/>
          </rPr>
          <t xml:space="preserve">
From Kofler2024</t>
        </r>
      </text>
    </comment>
    <comment ref="AQ28" authorId="0" shapeId="0">
      <text>
        <r>
          <rPr>
            <b/>
            <sz val="9"/>
            <color indexed="81"/>
            <rFont val="Tahoma"/>
            <family val="2"/>
          </rPr>
          <t>Author:</t>
        </r>
        <r>
          <rPr>
            <sz val="9"/>
            <color indexed="81"/>
            <rFont val="Tahoma"/>
            <family val="2"/>
          </rPr>
          <t xml:space="preserve">
From Kofler2024</t>
        </r>
      </text>
    </comment>
    <comment ref="AR28" authorId="0" shapeId="0">
      <text>
        <r>
          <rPr>
            <b/>
            <sz val="9"/>
            <color indexed="81"/>
            <rFont val="Tahoma"/>
            <family val="2"/>
          </rPr>
          <t>Author:</t>
        </r>
        <r>
          <rPr>
            <sz val="9"/>
            <color indexed="81"/>
            <rFont val="Tahoma"/>
            <family val="2"/>
          </rPr>
          <t xml:space="preserve">
From Kofler2024</t>
        </r>
      </text>
    </comment>
    <comment ref="AS28" authorId="0" shapeId="0">
      <text>
        <r>
          <rPr>
            <b/>
            <sz val="9"/>
            <color indexed="81"/>
            <rFont val="Tahoma"/>
            <family val="2"/>
          </rPr>
          <t>Author:</t>
        </r>
        <r>
          <rPr>
            <sz val="9"/>
            <color indexed="81"/>
            <rFont val="Tahoma"/>
            <family val="2"/>
          </rPr>
          <t xml:space="preserve">
From Kofler2024</t>
        </r>
      </text>
    </comment>
    <comment ref="AT28" authorId="0" shapeId="0">
      <text>
        <r>
          <rPr>
            <b/>
            <sz val="9"/>
            <color indexed="81"/>
            <rFont val="Tahoma"/>
            <family val="2"/>
          </rPr>
          <t>Author:</t>
        </r>
        <r>
          <rPr>
            <sz val="9"/>
            <color indexed="81"/>
            <rFont val="Tahoma"/>
            <family val="2"/>
          </rPr>
          <t xml:space="preserve">
From Kofler2024</t>
        </r>
      </text>
    </comment>
    <comment ref="AU28" authorId="0" shapeId="0">
      <text>
        <r>
          <rPr>
            <b/>
            <sz val="9"/>
            <color indexed="81"/>
            <rFont val="Tahoma"/>
            <family val="2"/>
          </rPr>
          <t>Author:</t>
        </r>
        <r>
          <rPr>
            <sz val="9"/>
            <color indexed="81"/>
            <rFont val="Tahoma"/>
            <family val="2"/>
          </rPr>
          <t xml:space="preserve">
From Kofler2024</t>
        </r>
      </text>
    </comment>
    <comment ref="AV28" authorId="0" shapeId="0">
      <text>
        <r>
          <rPr>
            <b/>
            <sz val="9"/>
            <color indexed="81"/>
            <rFont val="Tahoma"/>
            <family val="2"/>
          </rPr>
          <t>Author:</t>
        </r>
        <r>
          <rPr>
            <sz val="9"/>
            <color indexed="81"/>
            <rFont val="Tahoma"/>
            <family val="2"/>
          </rPr>
          <t xml:space="preserve">
From Kofler2024</t>
        </r>
      </text>
    </comment>
    <comment ref="AW28" authorId="0" shapeId="0">
      <text>
        <r>
          <rPr>
            <b/>
            <sz val="9"/>
            <color indexed="81"/>
            <rFont val="Tahoma"/>
            <family val="2"/>
          </rPr>
          <t>Author:</t>
        </r>
        <r>
          <rPr>
            <sz val="9"/>
            <color indexed="81"/>
            <rFont val="Tahoma"/>
            <family val="2"/>
          </rPr>
          <t xml:space="preserve">
From Kofler2024</t>
        </r>
      </text>
    </comment>
    <comment ref="AX28" authorId="0" shapeId="0">
      <text>
        <r>
          <rPr>
            <b/>
            <sz val="9"/>
            <color indexed="81"/>
            <rFont val="Tahoma"/>
            <family val="2"/>
          </rPr>
          <t>Author:</t>
        </r>
        <r>
          <rPr>
            <sz val="9"/>
            <color indexed="81"/>
            <rFont val="Tahoma"/>
            <family val="2"/>
          </rPr>
          <t xml:space="preserve">
From Kofler2024</t>
        </r>
      </text>
    </comment>
    <comment ref="AY28" authorId="0" shapeId="0">
      <text>
        <r>
          <rPr>
            <b/>
            <sz val="9"/>
            <color indexed="81"/>
            <rFont val="Tahoma"/>
            <family val="2"/>
          </rPr>
          <t>Author:</t>
        </r>
        <r>
          <rPr>
            <sz val="9"/>
            <color indexed="81"/>
            <rFont val="Tahoma"/>
            <family val="2"/>
          </rPr>
          <t xml:space="preserve">
From Kofler2024</t>
        </r>
      </text>
    </comment>
    <comment ref="AZ28" authorId="0" shapeId="0">
      <text>
        <r>
          <rPr>
            <b/>
            <sz val="9"/>
            <color indexed="81"/>
            <rFont val="Tahoma"/>
            <family val="2"/>
          </rPr>
          <t>Author:</t>
        </r>
        <r>
          <rPr>
            <sz val="9"/>
            <color indexed="81"/>
            <rFont val="Tahoma"/>
            <family val="2"/>
          </rPr>
          <t xml:space="preserve">
From Kofler2024</t>
        </r>
      </text>
    </comment>
    <comment ref="BA28" authorId="0" shapeId="0">
      <text>
        <r>
          <rPr>
            <b/>
            <sz val="9"/>
            <color indexed="81"/>
            <rFont val="Tahoma"/>
            <family val="2"/>
          </rPr>
          <t>Author:</t>
        </r>
        <r>
          <rPr>
            <sz val="9"/>
            <color indexed="81"/>
            <rFont val="Tahoma"/>
            <family val="2"/>
          </rPr>
          <t xml:space="preserve">
From Kofler2024</t>
        </r>
      </text>
    </comment>
    <comment ref="BB28" authorId="0" shapeId="0">
      <text>
        <r>
          <rPr>
            <b/>
            <sz val="9"/>
            <color indexed="81"/>
            <rFont val="Tahoma"/>
            <family val="2"/>
          </rPr>
          <t>Author:</t>
        </r>
        <r>
          <rPr>
            <sz val="9"/>
            <color indexed="81"/>
            <rFont val="Tahoma"/>
            <family val="2"/>
          </rPr>
          <t xml:space="preserve">
From Kofler2024</t>
        </r>
      </text>
    </comment>
    <comment ref="BC28" authorId="0" shapeId="0">
      <text>
        <r>
          <rPr>
            <b/>
            <sz val="9"/>
            <color indexed="81"/>
            <rFont val="Tahoma"/>
            <family val="2"/>
          </rPr>
          <t>Author:</t>
        </r>
        <r>
          <rPr>
            <sz val="9"/>
            <color indexed="81"/>
            <rFont val="Tahoma"/>
            <family val="2"/>
          </rPr>
          <t xml:space="preserve">
From Kofler2024</t>
        </r>
      </text>
    </comment>
    <comment ref="BD28" authorId="0" shapeId="0">
      <text>
        <r>
          <rPr>
            <b/>
            <sz val="9"/>
            <color indexed="81"/>
            <rFont val="Tahoma"/>
            <family val="2"/>
          </rPr>
          <t>Author:</t>
        </r>
        <r>
          <rPr>
            <sz val="9"/>
            <color indexed="81"/>
            <rFont val="Tahoma"/>
            <family val="2"/>
          </rPr>
          <t xml:space="preserve">
From Kofler2024</t>
        </r>
      </text>
    </comment>
    <comment ref="BE28" authorId="0" shapeId="0">
      <text>
        <r>
          <rPr>
            <b/>
            <sz val="9"/>
            <color indexed="81"/>
            <rFont val="Tahoma"/>
            <family val="2"/>
          </rPr>
          <t>Author:</t>
        </r>
        <r>
          <rPr>
            <sz val="9"/>
            <color indexed="81"/>
            <rFont val="Tahoma"/>
            <family val="2"/>
          </rPr>
          <t xml:space="preserve">
From Kofler2024</t>
        </r>
      </text>
    </comment>
    <comment ref="BF28" authorId="0" shapeId="0">
      <text>
        <r>
          <rPr>
            <b/>
            <sz val="9"/>
            <color indexed="81"/>
            <rFont val="Tahoma"/>
            <family val="2"/>
          </rPr>
          <t>Author:</t>
        </r>
        <r>
          <rPr>
            <sz val="9"/>
            <color indexed="81"/>
            <rFont val="Tahoma"/>
            <family val="2"/>
          </rPr>
          <t xml:space="preserve">
From Kofler2024</t>
        </r>
      </text>
    </comment>
    <comment ref="BG28" authorId="0" shapeId="0">
      <text>
        <r>
          <rPr>
            <b/>
            <sz val="9"/>
            <color indexed="81"/>
            <rFont val="Tahoma"/>
            <family val="2"/>
          </rPr>
          <t>Author:</t>
        </r>
        <r>
          <rPr>
            <sz val="9"/>
            <color indexed="81"/>
            <rFont val="Tahoma"/>
            <family val="2"/>
          </rPr>
          <t xml:space="preserve">
From Kofler2024</t>
        </r>
      </text>
    </comment>
    <comment ref="BH28" authorId="0" shapeId="0">
      <text>
        <r>
          <rPr>
            <b/>
            <sz val="9"/>
            <color indexed="81"/>
            <rFont val="Tahoma"/>
            <family val="2"/>
          </rPr>
          <t>Author:</t>
        </r>
        <r>
          <rPr>
            <sz val="9"/>
            <color indexed="81"/>
            <rFont val="Tahoma"/>
            <family val="2"/>
          </rPr>
          <t xml:space="preserve">
From Kofler2024</t>
        </r>
      </text>
    </comment>
    <comment ref="BI28" authorId="0" shapeId="0">
      <text>
        <r>
          <rPr>
            <b/>
            <sz val="9"/>
            <color indexed="81"/>
            <rFont val="Tahoma"/>
            <family val="2"/>
          </rPr>
          <t>Author:</t>
        </r>
        <r>
          <rPr>
            <sz val="9"/>
            <color indexed="81"/>
            <rFont val="Tahoma"/>
            <family val="2"/>
          </rPr>
          <t xml:space="preserve">
From Kofler2024</t>
        </r>
      </text>
    </comment>
    <comment ref="BJ28" authorId="0" shapeId="0">
      <text>
        <r>
          <rPr>
            <b/>
            <sz val="9"/>
            <color indexed="81"/>
            <rFont val="Tahoma"/>
            <family val="2"/>
          </rPr>
          <t>Author:</t>
        </r>
        <r>
          <rPr>
            <sz val="9"/>
            <color indexed="81"/>
            <rFont val="Tahoma"/>
            <family val="2"/>
          </rPr>
          <t xml:space="preserve">
From this study </t>
        </r>
      </text>
    </comment>
    <comment ref="BK28" authorId="0" shapeId="0">
      <text>
        <r>
          <rPr>
            <b/>
            <sz val="9"/>
            <color indexed="81"/>
            <rFont val="Tahoma"/>
            <family val="2"/>
          </rPr>
          <t>Author:</t>
        </r>
        <r>
          <rPr>
            <sz val="9"/>
            <color indexed="81"/>
            <rFont val="Tahoma"/>
            <family val="2"/>
          </rPr>
          <t xml:space="preserve">
From this study </t>
        </r>
      </text>
    </comment>
    <comment ref="BL28" authorId="0" shapeId="0">
      <text>
        <r>
          <rPr>
            <b/>
            <sz val="9"/>
            <color indexed="81"/>
            <rFont val="Tahoma"/>
            <family val="2"/>
          </rPr>
          <t>Author:</t>
        </r>
        <r>
          <rPr>
            <sz val="9"/>
            <color indexed="81"/>
            <rFont val="Tahoma"/>
            <family val="2"/>
          </rPr>
          <t xml:space="preserve">
From this study </t>
        </r>
      </text>
    </comment>
    <comment ref="BM28" authorId="0" shapeId="0">
      <text>
        <r>
          <rPr>
            <b/>
            <sz val="9"/>
            <color indexed="81"/>
            <rFont val="Tahoma"/>
            <family val="2"/>
          </rPr>
          <t>Author:</t>
        </r>
        <r>
          <rPr>
            <sz val="9"/>
            <color indexed="81"/>
            <rFont val="Tahoma"/>
            <family val="2"/>
          </rPr>
          <t xml:space="preserve">
From this study </t>
        </r>
      </text>
    </comment>
    <comment ref="BN28" authorId="0" shapeId="0">
      <text>
        <r>
          <rPr>
            <b/>
            <sz val="9"/>
            <color indexed="81"/>
            <rFont val="Tahoma"/>
            <family val="2"/>
          </rPr>
          <t>Author:</t>
        </r>
        <r>
          <rPr>
            <sz val="9"/>
            <color indexed="81"/>
            <rFont val="Tahoma"/>
            <family val="2"/>
          </rPr>
          <t xml:space="preserve">
From this study </t>
        </r>
      </text>
    </comment>
    <comment ref="BO28" authorId="0" shapeId="0">
      <text>
        <r>
          <rPr>
            <b/>
            <sz val="9"/>
            <color indexed="81"/>
            <rFont val="Tahoma"/>
            <family val="2"/>
          </rPr>
          <t>Author:</t>
        </r>
        <r>
          <rPr>
            <sz val="9"/>
            <color indexed="81"/>
            <rFont val="Tahoma"/>
            <family val="2"/>
          </rPr>
          <t xml:space="preserve">
From this study </t>
        </r>
      </text>
    </comment>
    <comment ref="BP28" authorId="0" shapeId="0">
      <text>
        <r>
          <rPr>
            <b/>
            <sz val="9"/>
            <color indexed="81"/>
            <rFont val="Tahoma"/>
            <family val="2"/>
          </rPr>
          <t>Author:</t>
        </r>
        <r>
          <rPr>
            <sz val="9"/>
            <color indexed="81"/>
            <rFont val="Tahoma"/>
            <family val="2"/>
          </rPr>
          <t xml:space="preserve">
From this study </t>
        </r>
      </text>
    </comment>
    <comment ref="BQ28" authorId="0" shapeId="0">
      <text>
        <r>
          <rPr>
            <b/>
            <sz val="9"/>
            <color indexed="81"/>
            <rFont val="Tahoma"/>
            <family val="2"/>
          </rPr>
          <t>Author:</t>
        </r>
        <r>
          <rPr>
            <sz val="9"/>
            <color indexed="81"/>
            <rFont val="Tahoma"/>
            <family val="2"/>
          </rPr>
          <t xml:space="preserve">
From this study </t>
        </r>
      </text>
    </comment>
    <comment ref="BR28" authorId="0" shapeId="0">
      <text>
        <r>
          <rPr>
            <b/>
            <sz val="9"/>
            <color indexed="81"/>
            <rFont val="Tahoma"/>
            <family val="2"/>
          </rPr>
          <t>Author:</t>
        </r>
        <r>
          <rPr>
            <sz val="9"/>
            <color indexed="81"/>
            <rFont val="Tahoma"/>
            <family val="2"/>
          </rPr>
          <t xml:space="preserve">
From Kofler2024</t>
        </r>
      </text>
    </comment>
    <comment ref="BS28" authorId="0" shapeId="0">
      <text>
        <r>
          <rPr>
            <b/>
            <sz val="9"/>
            <color indexed="81"/>
            <rFont val="Tahoma"/>
            <family val="2"/>
          </rPr>
          <t>Author:</t>
        </r>
        <r>
          <rPr>
            <sz val="9"/>
            <color indexed="81"/>
            <rFont val="Tahoma"/>
            <family val="2"/>
          </rPr>
          <t xml:space="preserve">
From Kofler2024</t>
        </r>
      </text>
    </comment>
    <comment ref="BT28" authorId="0" shapeId="0">
      <text>
        <r>
          <rPr>
            <b/>
            <sz val="9"/>
            <color indexed="81"/>
            <rFont val="Tahoma"/>
            <family val="2"/>
          </rPr>
          <t>Author:</t>
        </r>
        <r>
          <rPr>
            <sz val="9"/>
            <color indexed="81"/>
            <rFont val="Tahoma"/>
            <family val="2"/>
          </rPr>
          <t xml:space="preserve">
From Kofler2024</t>
        </r>
      </text>
    </comment>
    <comment ref="BU28" authorId="0" shapeId="0">
      <text>
        <r>
          <rPr>
            <b/>
            <sz val="9"/>
            <color indexed="81"/>
            <rFont val="Tahoma"/>
            <family val="2"/>
          </rPr>
          <t>Author:</t>
        </r>
        <r>
          <rPr>
            <sz val="9"/>
            <color indexed="81"/>
            <rFont val="Tahoma"/>
            <family val="2"/>
          </rPr>
          <t xml:space="preserve">
From Kofler2024</t>
        </r>
      </text>
    </comment>
    <comment ref="R29" authorId="0" shapeId="0">
      <text>
        <r>
          <rPr>
            <b/>
            <sz val="9"/>
            <color indexed="81"/>
            <rFont val="Tahoma"/>
            <family val="2"/>
          </rPr>
          <t>Author:</t>
        </r>
        <r>
          <rPr>
            <sz val="9"/>
            <color indexed="81"/>
            <rFont val="Tahoma"/>
            <family val="2"/>
          </rPr>
          <t xml:space="preserve">
From Kofler2024</t>
        </r>
      </text>
    </comment>
    <comment ref="S29" authorId="0" shapeId="0">
      <text>
        <r>
          <rPr>
            <b/>
            <sz val="9"/>
            <color indexed="81"/>
            <rFont val="Tahoma"/>
            <family val="2"/>
          </rPr>
          <t>Author:</t>
        </r>
        <r>
          <rPr>
            <sz val="9"/>
            <color indexed="81"/>
            <rFont val="Tahoma"/>
            <family val="2"/>
          </rPr>
          <t xml:space="preserve">
From Kofler2024</t>
        </r>
      </text>
    </comment>
    <comment ref="T29" authorId="0" shapeId="0">
      <text>
        <r>
          <rPr>
            <b/>
            <sz val="9"/>
            <color indexed="81"/>
            <rFont val="Tahoma"/>
            <family val="2"/>
          </rPr>
          <t>Author:</t>
        </r>
        <r>
          <rPr>
            <sz val="9"/>
            <color indexed="81"/>
            <rFont val="Tahoma"/>
            <family val="2"/>
          </rPr>
          <t xml:space="preserve">
From Kofler2024</t>
        </r>
      </text>
    </comment>
    <comment ref="U29" authorId="0" shapeId="0">
      <text>
        <r>
          <rPr>
            <b/>
            <sz val="9"/>
            <color indexed="81"/>
            <rFont val="Tahoma"/>
            <family val="2"/>
          </rPr>
          <t>Author:</t>
        </r>
        <r>
          <rPr>
            <sz val="9"/>
            <color indexed="81"/>
            <rFont val="Tahoma"/>
            <family val="2"/>
          </rPr>
          <t xml:space="preserve">
From Kofler2024</t>
        </r>
      </text>
    </comment>
    <comment ref="V29" authorId="0" shapeId="0">
      <text>
        <r>
          <rPr>
            <b/>
            <sz val="9"/>
            <color indexed="81"/>
            <rFont val="Tahoma"/>
            <family val="2"/>
          </rPr>
          <t>Author:</t>
        </r>
        <r>
          <rPr>
            <sz val="9"/>
            <color indexed="81"/>
            <rFont val="Tahoma"/>
            <family val="2"/>
          </rPr>
          <t xml:space="preserve">
From Kofler2024</t>
        </r>
      </text>
    </comment>
    <comment ref="W29" authorId="0" shapeId="0">
      <text>
        <r>
          <rPr>
            <b/>
            <sz val="9"/>
            <color indexed="81"/>
            <rFont val="Tahoma"/>
            <family val="2"/>
          </rPr>
          <t>Author:</t>
        </r>
        <r>
          <rPr>
            <sz val="9"/>
            <color indexed="81"/>
            <rFont val="Tahoma"/>
            <family val="2"/>
          </rPr>
          <t xml:space="preserve">
From Kofler2024</t>
        </r>
      </text>
    </comment>
    <comment ref="X29" authorId="0" shapeId="0">
      <text>
        <r>
          <rPr>
            <b/>
            <sz val="9"/>
            <color indexed="81"/>
            <rFont val="Tahoma"/>
            <family val="2"/>
          </rPr>
          <t>Author:</t>
        </r>
        <r>
          <rPr>
            <sz val="9"/>
            <color indexed="81"/>
            <rFont val="Tahoma"/>
            <family val="2"/>
          </rPr>
          <t xml:space="preserve">
From Kofler2024</t>
        </r>
      </text>
    </comment>
    <comment ref="Y29" authorId="0" shapeId="0">
      <text>
        <r>
          <rPr>
            <b/>
            <sz val="9"/>
            <color indexed="81"/>
            <rFont val="Tahoma"/>
            <family val="2"/>
          </rPr>
          <t>Author:</t>
        </r>
        <r>
          <rPr>
            <sz val="9"/>
            <color indexed="81"/>
            <rFont val="Tahoma"/>
            <family val="2"/>
          </rPr>
          <t xml:space="preserve">
From Kofler2024</t>
        </r>
      </text>
    </comment>
    <comment ref="Z29" authorId="0" shapeId="0">
      <text>
        <r>
          <rPr>
            <b/>
            <sz val="9"/>
            <color indexed="81"/>
            <rFont val="Tahoma"/>
            <family val="2"/>
          </rPr>
          <t>Author:</t>
        </r>
        <r>
          <rPr>
            <sz val="9"/>
            <color indexed="81"/>
            <rFont val="Tahoma"/>
            <family val="2"/>
          </rPr>
          <t xml:space="preserve">
From Kofler2024</t>
        </r>
      </text>
    </comment>
    <comment ref="AA29" authorId="0" shapeId="0">
      <text>
        <r>
          <rPr>
            <b/>
            <sz val="9"/>
            <color indexed="81"/>
            <rFont val="Tahoma"/>
            <family val="2"/>
          </rPr>
          <t>Author:</t>
        </r>
        <r>
          <rPr>
            <sz val="9"/>
            <color indexed="81"/>
            <rFont val="Tahoma"/>
            <family val="2"/>
          </rPr>
          <t xml:space="preserve">
From Kofler2024</t>
        </r>
      </text>
    </comment>
    <comment ref="AB29" authorId="0" shapeId="0">
      <text>
        <r>
          <rPr>
            <b/>
            <sz val="9"/>
            <color indexed="81"/>
            <rFont val="Tahoma"/>
            <family val="2"/>
          </rPr>
          <t>Author:</t>
        </r>
        <r>
          <rPr>
            <sz val="9"/>
            <color indexed="81"/>
            <rFont val="Tahoma"/>
            <family val="2"/>
          </rPr>
          <t xml:space="preserve">
From Kofler2024</t>
        </r>
      </text>
    </comment>
    <comment ref="AC29" authorId="0" shapeId="0">
      <text>
        <r>
          <rPr>
            <b/>
            <sz val="9"/>
            <color indexed="81"/>
            <rFont val="Tahoma"/>
            <family val="2"/>
          </rPr>
          <t>Author:</t>
        </r>
        <r>
          <rPr>
            <sz val="9"/>
            <color indexed="81"/>
            <rFont val="Tahoma"/>
            <family val="2"/>
          </rPr>
          <t xml:space="preserve">
From Kofler2024</t>
        </r>
      </text>
    </comment>
    <comment ref="AD29" authorId="0" shapeId="0">
      <text>
        <r>
          <rPr>
            <b/>
            <sz val="9"/>
            <color indexed="81"/>
            <rFont val="Tahoma"/>
            <family val="2"/>
          </rPr>
          <t>Author:</t>
        </r>
        <r>
          <rPr>
            <sz val="9"/>
            <color indexed="81"/>
            <rFont val="Tahoma"/>
            <family val="2"/>
          </rPr>
          <t xml:space="preserve">
From Kofler2024</t>
        </r>
      </text>
    </comment>
    <comment ref="AE29" authorId="0" shapeId="0">
      <text>
        <r>
          <rPr>
            <b/>
            <sz val="9"/>
            <color indexed="81"/>
            <rFont val="Tahoma"/>
            <family val="2"/>
          </rPr>
          <t>Author:</t>
        </r>
        <r>
          <rPr>
            <sz val="9"/>
            <color indexed="81"/>
            <rFont val="Tahoma"/>
            <family val="2"/>
          </rPr>
          <t xml:space="preserve">
From Kofler2024</t>
        </r>
      </text>
    </comment>
    <comment ref="AF29" authorId="0" shapeId="0">
      <text>
        <r>
          <rPr>
            <b/>
            <sz val="9"/>
            <color indexed="81"/>
            <rFont val="Tahoma"/>
            <family val="2"/>
          </rPr>
          <t>Author:</t>
        </r>
        <r>
          <rPr>
            <sz val="9"/>
            <color indexed="81"/>
            <rFont val="Tahoma"/>
            <family val="2"/>
          </rPr>
          <t xml:space="preserve">
From Kofler2024</t>
        </r>
      </text>
    </comment>
    <comment ref="AG29" authorId="0" shapeId="0">
      <text>
        <r>
          <rPr>
            <b/>
            <sz val="9"/>
            <color indexed="81"/>
            <rFont val="Tahoma"/>
            <family val="2"/>
          </rPr>
          <t>Author:</t>
        </r>
        <r>
          <rPr>
            <sz val="9"/>
            <color indexed="81"/>
            <rFont val="Tahoma"/>
            <family val="2"/>
          </rPr>
          <t xml:space="preserve">
From Kofler2024</t>
        </r>
      </text>
    </comment>
    <comment ref="AH29" authorId="0" shapeId="0">
      <text>
        <r>
          <rPr>
            <b/>
            <sz val="9"/>
            <color indexed="81"/>
            <rFont val="Tahoma"/>
            <family val="2"/>
          </rPr>
          <t>Author:</t>
        </r>
        <r>
          <rPr>
            <sz val="9"/>
            <color indexed="81"/>
            <rFont val="Tahoma"/>
            <family val="2"/>
          </rPr>
          <t xml:space="preserve">
From Kofler2024</t>
        </r>
      </text>
    </comment>
    <comment ref="AI29" authorId="0" shapeId="0">
      <text>
        <r>
          <rPr>
            <b/>
            <sz val="9"/>
            <color indexed="81"/>
            <rFont val="Tahoma"/>
            <family val="2"/>
          </rPr>
          <t>Author:</t>
        </r>
        <r>
          <rPr>
            <sz val="9"/>
            <color indexed="81"/>
            <rFont val="Tahoma"/>
            <family val="2"/>
          </rPr>
          <t xml:space="preserve">
From Kofler2024</t>
        </r>
      </text>
    </comment>
    <comment ref="AJ29" authorId="0" shapeId="0">
      <text>
        <r>
          <rPr>
            <b/>
            <sz val="9"/>
            <color indexed="81"/>
            <rFont val="Tahoma"/>
            <family val="2"/>
          </rPr>
          <t>Author:</t>
        </r>
        <r>
          <rPr>
            <sz val="9"/>
            <color indexed="81"/>
            <rFont val="Tahoma"/>
            <family val="2"/>
          </rPr>
          <t xml:space="preserve">
From Kofler2024</t>
        </r>
      </text>
    </comment>
    <comment ref="AK29" authorId="0" shapeId="0">
      <text>
        <r>
          <rPr>
            <b/>
            <sz val="9"/>
            <color indexed="81"/>
            <rFont val="Tahoma"/>
            <family val="2"/>
          </rPr>
          <t>Author:</t>
        </r>
        <r>
          <rPr>
            <sz val="9"/>
            <color indexed="81"/>
            <rFont val="Tahoma"/>
            <family val="2"/>
          </rPr>
          <t xml:space="preserve">
From Kofler2024</t>
        </r>
      </text>
    </comment>
    <comment ref="AL29" authorId="0" shapeId="0">
      <text>
        <r>
          <rPr>
            <b/>
            <sz val="9"/>
            <color indexed="81"/>
            <rFont val="Tahoma"/>
            <family val="2"/>
          </rPr>
          <t>Author:</t>
        </r>
        <r>
          <rPr>
            <sz val="9"/>
            <color indexed="81"/>
            <rFont val="Tahoma"/>
            <family val="2"/>
          </rPr>
          <t xml:space="preserve">
From Kofler2024</t>
        </r>
      </text>
    </comment>
    <comment ref="AM29" authorId="0" shapeId="0">
      <text>
        <r>
          <rPr>
            <b/>
            <sz val="9"/>
            <color indexed="81"/>
            <rFont val="Tahoma"/>
            <family val="2"/>
          </rPr>
          <t>Author:</t>
        </r>
        <r>
          <rPr>
            <sz val="9"/>
            <color indexed="81"/>
            <rFont val="Tahoma"/>
            <family val="2"/>
          </rPr>
          <t xml:space="preserve">
From Kofler2024</t>
        </r>
      </text>
    </comment>
    <comment ref="AN29" authorId="0" shapeId="0">
      <text>
        <r>
          <rPr>
            <b/>
            <sz val="9"/>
            <color indexed="81"/>
            <rFont val="Tahoma"/>
            <family val="2"/>
          </rPr>
          <t>Author:</t>
        </r>
        <r>
          <rPr>
            <sz val="9"/>
            <color indexed="81"/>
            <rFont val="Tahoma"/>
            <family val="2"/>
          </rPr>
          <t xml:space="preserve">
From Kofler2024</t>
        </r>
      </text>
    </comment>
    <comment ref="AO29" authorId="0" shapeId="0">
      <text>
        <r>
          <rPr>
            <b/>
            <sz val="9"/>
            <color indexed="81"/>
            <rFont val="Tahoma"/>
            <family val="2"/>
          </rPr>
          <t>Author:</t>
        </r>
        <r>
          <rPr>
            <sz val="9"/>
            <color indexed="81"/>
            <rFont val="Tahoma"/>
            <family val="2"/>
          </rPr>
          <t xml:space="preserve">
From Kofler2024</t>
        </r>
      </text>
    </comment>
    <comment ref="AP29" authorId="0" shapeId="0">
      <text>
        <r>
          <rPr>
            <b/>
            <sz val="9"/>
            <color indexed="81"/>
            <rFont val="Tahoma"/>
            <family val="2"/>
          </rPr>
          <t>Author:</t>
        </r>
        <r>
          <rPr>
            <sz val="9"/>
            <color indexed="81"/>
            <rFont val="Tahoma"/>
            <family val="2"/>
          </rPr>
          <t xml:space="preserve">
From Kofler2024</t>
        </r>
      </text>
    </comment>
    <comment ref="AQ29" authorId="0" shapeId="0">
      <text>
        <r>
          <rPr>
            <b/>
            <sz val="9"/>
            <color indexed="81"/>
            <rFont val="Tahoma"/>
            <family val="2"/>
          </rPr>
          <t>Author:</t>
        </r>
        <r>
          <rPr>
            <sz val="9"/>
            <color indexed="81"/>
            <rFont val="Tahoma"/>
            <family val="2"/>
          </rPr>
          <t xml:space="preserve">
From Kofler2024</t>
        </r>
      </text>
    </comment>
    <comment ref="AR29" authorId="0" shapeId="0">
      <text>
        <r>
          <rPr>
            <b/>
            <sz val="9"/>
            <color indexed="81"/>
            <rFont val="Tahoma"/>
            <family val="2"/>
          </rPr>
          <t>Author:</t>
        </r>
        <r>
          <rPr>
            <sz val="9"/>
            <color indexed="81"/>
            <rFont val="Tahoma"/>
            <family val="2"/>
          </rPr>
          <t xml:space="preserve">
From Kofler2024</t>
        </r>
      </text>
    </comment>
    <comment ref="AS29" authorId="0" shapeId="0">
      <text>
        <r>
          <rPr>
            <b/>
            <sz val="9"/>
            <color indexed="81"/>
            <rFont val="Tahoma"/>
            <family val="2"/>
          </rPr>
          <t>Author:</t>
        </r>
        <r>
          <rPr>
            <sz val="9"/>
            <color indexed="81"/>
            <rFont val="Tahoma"/>
            <family val="2"/>
          </rPr>
          <t xml:space="preserve">
From Kofler2024</t>
        </r>
      </text>
    </comment>
    <comment ref="AT29" authorId="0" shapeId="0">
      <text>
        <r>
          <rPr>
            <b/>
            <sz val="9"/>
            <color indexed="81"/>
            <rFont val="Tahoma"/>
            <family val="2"/>
          </rPr>
          <t>Author:</t>
        </r>
        <r>
          <rPr>
            <sz val="9"/>
            <color indexed="81"/>
            <rFont val="Tahoma"/>
            <family val="2"/>
          </rPr>
          <t xml:space="preserve">
From Kofler2024</t>
        </r>
      </text>
    </comment>
    <comment ref="AU29" authorId="0" shapeId="0">
      <text>
        <r>
          <rPr>
            <b/>
            <sz val="9"/>
            <color indexed="81"/>
            <rFont val="Tahoma"/>
            <family val="2"/>
          </rPr>
          <t>Author:</t>
        </r>
        <r>
          <rPr>
            <sz val="9"/>
            <color indexed="81"/>
            <rFont val="Tahoma"/>
            <family val="2"/>
          </rPr>
          <t xml:space="preserve">
From Kofler2024</t>
        </r>
      </text>
    </comment>
    <comment ref="AV29" authorId="0" shapeId="0">
      <text>
        <r>
          <rPr>
            <b/>
            <sz val="9"/>
            <color indexed="81"/>
            <rFont val="Tahoma"/>
            <family val="2"/>
          </rPr>
          <t>Author:</t>
        </r>
        <r>
          <rPr>
            <sz val="9"/>
            <color indexed="81"/>
            <rFont val="Tahoma"/>
            <family val="2"/>
          </rPr>
          <t xml:space="preserve">
From Kofler2024</t>
        </r>
      </text>
    </comment>
    <comment ref="AW29" authorId="0" shapeId="0">
      <text>
        <r>
          <rPr>
            <b/>
            <sz val="9"/>
            <color indexed="81"/>
            <rFont val="Tahoma"/>
            <family val="2"/>
          </rPr>
          <t>Author:</t>
        </r>
        <r>
          <rPr>
            <sz val="9"/>
            <color indexed="81"/>
            <rFont val="Tahoma"/>
            <family val="2"/>
          </rPr>
          <t xml:space="preserve">
From Kofler2024</t>
        </r>
      </text>
    </comment>
    <comment ref="AX29" authorId="0" shapeId="0">
      <text>
        <r>
          <rPr>
            <b/>
            <sz val="9"/>
            <color indexed="81"/>
            <rFont val="Tahoma"/>
            <family val="2"/>
          </rPr>
          <t>Author:</t>
        </r>
        <r>
          <rPr>
            <sz val="9"/>
            <color indexed="81"/>
            <rFont val="Tahoma"/>
            <family val="2"/>
          </rPr>
          <t xml:space="preserve">
From Kofler2024</t>
        </r>
      </text>
    </comment>
    <comment ref="AY29" authorId="0" shapeId="0">
      <text>
        <r>
          <rPr>
            <b/>
            <sz val="9"/>
            <color indexed="81"/>
            <rFont val="Tahoma"/>
            <family val="2"/>
          </rPr>
          <t>Author:</t>
        </r>
        <r>
          <rPr>
            <sz val="9"/>
            <color indexed="81"/>
            <rFont val="Tahoma"/>
            <family val="2"/>
          </rPr>
          <t xml:space="preserve">
From Kofler2024</t>
        </r>
      </text>
    </comment>
    <comment ref="AZ29" authorId="0" shapeId="0">
      <text>
        <r>
          <rPr>
            <b/>
            <sz val="9"/>
            <color indexed="81"/>
            <rFont val="Tahoma"/>
            <family val="2"/>
          </rPr>
          <t>Author:</t>
        </r>
        <r>
          <rPr>
            <sz val="9"/>
            <color indexed="81"/>
            <rFont val="Tahoma"/>
            <family val="2"/>
          </rPr>
          <t xml:space="preserve">
From Kofler2024</t>
        </r>
      </text>
    </comment>
    <comment ref="BA29" authorId="0" shapeId="0">
      <text>
        <r>
          <rPr>
            <b/>
            <sz val="9"/>
            <color indexed="81"/>
            <rFont val="Tahoma"/>
            <family val="2"/>
          </rPr>
          <t>Author:</t>
        </r>
        <r>
          <rPr>
            <sz val="9"/>
            <color indexed="81"/>
            <rFont val="Tahoma"/>
            <family val="2"/>
          </rPr>
          <t xml:space="preserve">
From Kofler2024</t>
        </r>
      </text>
    </comment>
    <comment ref="BB29" authorId="0" shapeId="0">
      <text>
        <r>
          <rPr>
            <b/>
            <sz val="9"/>
            <color indexed="81"/>
            <rFont val="Tahoma"/>
            <family val="2"/>
          </rPr>
          <t>Author:</t>
        </r>
        <r>
          <rPr>
            <sz val="9"/>
            <color indexed="81"/>
            <rFont val="Tahoma"/>
            <family val="2"/>
          </rPr>
          <t xml:space="preserve">
From Kofler2024</t>
        </r>
      </text>
    </comment>
    <comment ref="BC29" authorId="0" shapeId="0">
      <text>
        <r>
          <rPr>
            <b/>
            <sz val="9"/>
            <color indexed="81"/>
            <rFont val="Tahoma"/>
            <family val="2"/>
          </rPr>
          <t>Author:</t>
        </r>
        <r>
          <rPr>
            <sz val="9"/>
            <color indexed="81"/>
            <rFont val="Tahoma"/>
            <family val="2"/>
          </rPr>
          <t xml:space="preserve">
From Kofler2024</t>
        </r>
      </text>
    </comment>
    <comment ref="BD29" authorId="0" shapeId="0">
      <text>
        <r>
          <rPr>
            <b/>
            <sz val="9"/>
            <color indexed="81"/>
            <rFont val="Tahoma"/>
            <family val="2"/>
          </rPr>
          <t>Author:</t>
        </r>
        <r>
          <rPr>
            <sz val="9"/>
            <color indexed="81"/>
            <rFont val="Tahoma"/>
            <family val="2"/>
          </rPr>
          <t xml:space="preserve">
From Kofler2024</t>
        </r>
      </text>
    </comment>
    <comment ref="BE29" authorId="0" shapeId="0">
      <text>
        <r>
          <rPr>
            <b/>
            <sz val="9"/>
            <color indexed="81"/>
            <rFont val="Tahoma"/>
            <family val="2"/>
          </rPr>
          <t>Author:</t>
        </r>
        <r>
          <rPr>
            <sz val="9"/>
            <color indexed="81"/>
            <rFont val="Tahoma"/>
            <family val="2"/>
          </rPr>
          <t xml:space="preserve">
From Kofler2024</t>
        </r>
      </text>
    </comment>
    <comment ref="BF29" authorId="0" shapeId="0">
      <text>
        <r>
          <rPr>
            <b/>
            <sz val="9"/>
            <color indexed="81"/>
            <rFont val="Tahoma"/>
            <family val="2"/>
          </rPr>
          <t>Author:</t>
        </r>
        <r>
          <rPr>
            <sz val="9"/>
            <color indexed="81"/>
            <rFont val="Tahoma"/>
            <family val="2"/>
          </rPr>
          <t xml:space="preserve">
From Kofler2024</t>
        </r>
      </text>
    </comment>
    <comment ref="BG29" authorId="0" shapeId="0">
      <text>
        <r>
          <rPr>
            <b/>
            <sz val="9"/>
            <color indexed="81"/>
            <rFont val="Tahoma"/>
            <family val="2"/>
          </rPr>
          <t>Author:</t>
        </r>
        <r>
          <rPr>
            <sz val="9"/>
            <color indexed="81"/>
            <rFont val="Tahoma"/>
            <family val="2"/>
          </rPr>
          <t xml:space="preserve">
From Kofler2024</t>
        </r>
      </text>
    </comment>
    <comment ref="BH29" authorId="0" shapeId="0">
      <text>
        <r>
          <rPr>
            <b/>
            <sz val="9"/>
            <color indexed="81"/>
            <rFont val="Tahoma"/>
            <family val="2"/>
          </rPr>
          <t>Author:</t>
        </r>
        <r>
          <rPr>
            <sz val="9"/>
            <color indexed="81"/>
            <rFont val="Tahoma"/>
            <family val="2"/>
          </rPr>
          <t xml:space="preserve">
From Kofler2024</t>
        </r>
      </text>
    </comment>
    <comment ref="BI29" authorId="0" shapeId="0">
      <text>
        <r>
          <rPr>
            <b/>
            <sz val="9"/>
            <color indexed="81"/>
            <rFont val="Tahoma"/>
            <family val="2"/>
          </rPr>
          <t>Author:</t>
        </r>
        <r>
          <rPr>
            <sz val="9"/>
            <color indexed="81"/>
            <rFont val="Tahoma"/>
            <family val="2"/>
          </rPr>
          <t xml:space="preserve">
From Kofler2024</t>
        </r>
      </text>
    </comment>
    <comment ref="BJ29" authorId="0" shapeId="0">
      <text>
        <r>
          <rPr>
            <b/>
            <sz val="9"/>
            <color indexed="81"/>
            <rFont val="Tahoma"/>
            <family val="2"/>
          </rPr>
          <t>Author:</t>
        </r>
        <r>
          <rPr>
            <sz val="9"/>
            <color indexed="81"/>
            <rFont val="Tahoma"/>
            <family val="2"/>
          </rPr>
          <t xml:space="preserve">
From this study </t>
        </r>
      </text>
    </comment>
    <comment ref="BK29" authorId="0" shapeId="0">
      <text>
        <r>
          <rPr>
            <b/>
            <sz val="9"/>
            <color indexed="81"/>
            <rFont val="Tahoma"/>
            <family val="2"/>
          </rPr>
          <t>Author:</t>
        </r>
        <r>
          <rPr>
            <sz val="9"/>
            <color indexed="81"/>
            <rFont val="Tahoma"/>
            <family val="2"/>
          </rPr>
          <t xml:space="preserve">
From this study </t>
        </r>
      </text>
    </comment>
    <comment ref="BL29" authorId="0" shapeId="0">
      <text>
        <r>
          <rPr>
            <b/>
            <sz val="9"/>
            <color indexed="81"/>
            <rFont val="Tahoma"/>
            <family val="2"/>
          </rPr>
          <t>Author:</t>
        </r>
        <r>
          <rPr>
            <sz val="9"/>
            <color indexed="81"/>
            <rFont val="Tahoma"/>
            <family val="2"/>
          </rPr>
          <t xml:space="preserve">
From this study </t>
        </r>
      </text>
    </comment>
    <comment ref="BM29" authorId="0" shapeId="0">
      <text>
        <r>
          <rPr>
            <b/>
            <sz val="9"/>
            <color indexed="81"/>
            <rFont val="Tahoma"/>
            <family val="2"/>
          </rPr>
          <t>Author:</t>
        </r>
        <r>
          <rPr>
            <sz val="9"/>
            <color indexed="81"/>
            <rFont val="Tahoma"/>
            <family val="2"/>
          </rPr>
          <t xml:space="preserve">
From this study </t>
        </r>
      </text>
    </comment>
    <comment ref="BN29" authorId="0" shapeId="0">
      <text>
        <r>
          <rPr>
            <b/>
            <sz val="9"/>
            <color indexed="81"/>
            <rFont val="Tahoma"/>
            <family val="2"/>
          </rPr>
          <t>Author:</t>
        </r>
        <r>
          <rPr>
            <sz val="9"/>
            <color indexed="81"/>
            <rFont val="Tahoma"/>
            <family val="2"/>
          </rPr>
          <t xml:space="preserve">
From this study </t>
        </r>
      </text>
    </comment>
    <comment ref="BO29" authorId="0" shapeId="0">
      <text>
        <r>
          <rPr>
            <b/>
            <sz val="9"/>
            <color indexed="81"/>
            <rFont val="Tahoma"/>
            <family val="2"/>
          </rPr>
          <t>Author:</t>
        </r>
        <r>
          <rPr>
            <sz val="9"/>
            <color indexed="81"/>
            <rFont val="Tahoma"/>
            <family val="2"/>
          </rPr>
          <t xml:space="preserve">
From this study </t>
        </r>
      </text>
    </comment>
    <comment ref="BP29" authorId="0" shapeId="0">
      <text>
        <r>
          <rPr>
            <b/>
            <sz val="9"/>
            <color indexed="81"/>
            <rFont val="Tahoma"/>
            <family val="2"/>
          </rPr>
          <t>Author:</t>
        </r>
        <r>
          <rPr>
            <sz val="9"/>
            <color indexed="81"/>
            <rFont val="Tahoma"/>
            <family val="2"/>
          </rPr>
          <t xml:space="preserve">
From this study </t>
        </r>
      </text>
    </comment>
    <comment ref="BQ29" authorId="0" shapeId="0">
      <text>
        <r>
          <rPr>
            <b/>
            <sz val="9"/>
            <color indexed="81"/>
            <rFont val="Tahoma"/>
            <family val="2"/>
          </rPr>
          <t>Author:</t>
        </r>
        <r>
          <rPr>
            <sz val="9"/>
            <color indexed="81"/>
            <rFont val="Tahoma"/>
            <family val="2"/>
          </rPr>
          <t xml:space="preserve">
From this study </t>
        </r>
      </text>
    </comment>
    <comment ref="BR29" authorId="0" shapeId="0">
      <text>
        <r>
          <rPr>
            <b/>
            <sz val="9"/>
            <color indexed="81"/>
            <rFont val="Tahoma"/>
            <family val="2"/>
          </rPr>
          <t>Author:</t>
        </r>
        <r>
          <rPr>
            <sz val="9"/>
            <color indexed="81"/>
            <rFont val="Tahoma"/>
            <family val="2"/>
          </rPr>
          <t xml:space="preserve">
From Kofler2024</t>
        </r>
      </text>
    </comment>
    <comment ref="BS29" authorId="0" shapeId="0">
      <text>
        <r>
          <rPr>
            <b/>
            <sz val="9"/>
            <color indexed="81"/>
            <rFont val="Tahoma"/>
            <family val="2"/>
          </rPr>
          <t>Author:</t>
        </r>
        <r>
          <rPr>
            <sz val="9"/>
            <color indexed="81"/>
            <rFont val="Tahoma"/>
            <family val="2"/>
          </rPr>
          <t xml:space="preserve">
From Kofler2024</t>
        </r>
      </text>
    </comment>
    <comment ref="BT29" authorId="0" shapeId="0">
      <text>
        <r>
          <rPr>
            <b/>
            <sz val="9"/>
            <color indexed="81"/>
            <rFont val="Tahoma"/>
            <family val="2"/>
          </rPr>
          <t>Author:</t>
        </r>
        <r>
          <rPr>
            <sz val="9"/>
            <color indexed="81"/>
            <rFont val="Tahoma"/>
            <family val="2"/>
          </rPr>
          <t xml:space="preserve">
From Kofler2024</t>
        </r>
      </text>
    </comment>
    <comment ref="BU29" authorId="0" shapeId="0">
      <text>
        <r>
          <rPr>
            <b/>
            <sz val="9"/>
            <color indexed="81"/>
            <rFont val="Tahoma"/>
            <family val="2"/>
          </rPr>
          <t>Author:</t>
        </r>
        <r>
          <rPr>
            <sz val="9"/>
            <color indexed="81"/>
            <rFont val="Tahoma"/>
            <family val="2"/>
          </rPr>
          <t xml:space="preserve">
From Kofler2024</t>
        </r>
      </text>
    </comment>
    <comment ref="R30" authorId="0" shapeId="0">
      <text>
        <r>
          <rPr>
            <b/>
            <sz val="9"/>
            <color indexed="81"/>
            <rFont val="Tahoma"/>
            <family val="2"/>
          </rPr>
          <t>Author:</t>
        </r>
        <r>
          <rPr>
            <sz val="9"/>
            <color indexed="81"/>
            <rFont val="Tahoma"/>
            <family val="2"/>
          </rPr>
          <t xml:space="preserve">
From Kofler2024</t>
        </r>
      </text>
    </comment>
    <comment ref="S30" authorId="0" shapeId="0">
      <text>
        <r>
          <rPr>
            <b/>
            <sz val="9"/>
            <color indexed="81"/>
            <rFont val="Tahoma"/>
            <family val="2"/>
          </rPr>
          <t>Author:</t>
        </r>
        <r>
          <rPr>
            <sz val="9"/>
            <color indexed="81"/>
            <rFont val="Tahoma"/>
            <family val="2"/>
          </rPr>
          <t xml:space="preserve">
From Kofler2024</t>
        </r>
      </text>
    </comment>
    <comment ref="T30" authorId="0" shapeId="0">
      <text>
        <r>
          <rPr>
            <b/>
            <sz val="9"/>
            <color indexed="81"/>
            <rFont val="Tahoma"/>
            <family val="2"/>
          </rPr>
          <t>Author:</t>
        </r>
        <r>
          <rPr>
            <sz val="9"/>
            <color indexed="81"/>
            <rFont val="Tahoma"/>
            <family val="2"/>
          </rPr>
          <t xml:space="preserve">
From Kofler2024</t>
        </r>
      </text>
    </comment>
    <comment ref="U30" authorId="0" shapeId="0">
      <text>
        <r>
          <rPr>
            <b/>
            <sz val="9"/>
            <color indexed="81"/>
            <rFont val="Tahoma"/>
            <family val="2"/>
          </rPr>
          <t>Author:</t>
        </r>
        <r>
          <rPr>
            <sz val="9"/>
            <color indexed="81"/>
            <rFont val="Tahoma"/>
            <family val="2"/>
          </rPr>
          <t xml:space="preserve">
From Kofler2024</t>
        </r>
      </text>
    </comment>
    <comment ref="V30" authorId="0" shapeId="0">
      <text>
        <r>
          <rPr>
            <b/>
            <sz val="9"/>
            <color indexed="81"/>
            <rFont val="Tahoma"/>
            <family val="2"/>
          </rPr>
          <t>Author:</t>
        </r>
        <r>
          <rPr>
            <sz val="9"/>
            <color indexed="81"/>
            <rFont val="Tahoma"/>
            <family val="2"/>
          </rPr>
          <t xml:space="preserve">
From Kofler2024</t>
        </r>
      </text>
    </comment>
    <comment ref="W30" authorId="0" shapeId="0">
      <text>
        <r>
          <rPr>
            <b/>
            <sz val="9"/>
            <color indexed="81"/>
            <rFont val="Tahoma"/>
            <family val="2"/>
          </rPr>
          <t>Author:</t>
        </r>
        <r>
          <rPr>
            <sz val="9"/>
            <color indexed="81"/>
            <rFont val="Tahoma"/>
            <family val="2"/>
          </rPr>
          <t xml:space="preserve">
From Kofler2024</t>
        </r>
      </text>
    </comment>
    <comment ref="X30" authorId="0" shapeId="0">
      <text>
        <r>
          <rPr>
            <b/>
            <sz val="9"/>
            <color indexed="81"/>
            <rFont val="Tahoma"/>
            <family val="2"/>
          </rPr>
          <t>Author:</t>
        </r>
        <r>
          <rPr>
            <sz val="9"/>
            <color indexed="81"/>
            <rFont val="Tahoma"/>
            <family val="2"/>
          </rPr>
          <t xml:space="preserve">
From Kofler2024</t>
        </r>
      </text>
    </comment>
    <comment ref="Y30" authorId="0" shapeId="0">
      <text>
        <r>
          <rPr>
            <b/>
            <sz val="9"/>
            <color indexed="81"/>
            <rFont val="Tahoma"/>
            <family val="2"/>
          </rPr>
          <t>Author:</t>
        </r>
        <r>
          <rPr>
            <sz val="9"/>
            <color indexed="81"/>
            <rFont val="Tahoma"/>
            <family val="2"/>
          </rPr>
          <t xml:space="preserve">
From Kofler2024</t>
        </r>
      </text>
    </comment>
    <comment ref="Z30" authorId="0" shapeId="0">
      <text>
        <r>
          <rPr>
            <b/>
            <sz val="9"/>
            <color indexed="81"/>
            <rFont val="Tahoma"/>
            <family val="2"/>
          </rPr>
          <t>Author:</t>
        </r>
        <r>
          <rPr>
            <sz val="9"/>
            <color indexed="81"/>
            <rFont val="Tahoma"/>
            <family val="2"/>
          </rPr>
          <t xml:space="preserve">
From Kofler2024</t>
        </r>
      </text>
    </comment>
    <comment ref="AA30" authorId="0" shapeId="0">
      <text>
        <r>
          <rPr>
            <b/>
            <sz val="9"/>
            <color indexed="81"/>
            <rFont val="Tahoma"/>
            <family val="2"/>
          </rPr>
          <t>Author:</t>
        </r>
        <r>
          <rPr>
            <sz val="9"/>
            <color indexed="81"/>
            <rFont val="Tahoma"/>
            <family val="2"/>
          </rPr>
          <t xml:space="preserve">
From Kofler2024</t>
        </r>
      </text>
    </comment>
    <comment ref="AB30" authorId="0" shapeId="0">
      <text>
        <r>
          <rPr>
            <b/>
            <sz val="9"/>
            <color indexed="81"/>
            <rFont val="Tahoma"/>
            <family val="2"/>
          </rPr>
          <t>Author:</t>
        </r>
        <r>
          <rPr>
            <sz val="9"/>
            <color indexed="81"/>
            <rFont val="Tahoma"/>
            <family val="2"/>
          </rPr>
          <t xml:space="preserve">
From Kofler2024</t>
        </r>
      </text>
    </comment>
    <comment ref="AC30" authorId="0" shapeId="0">
      <text>
        <r>
          <rPr>
            <b/>
            <sz val="9"/>
            <color indexed="81"/>
            <rFont val="Tahoma"/>
            <family val="2"/>
          </rPr>
          <t>Author:</t>
        </r>
        <r>
          <rPr>
            <sz val="9"/>
            <color indexed="81"/>
            <rFont val="Tahoma"/>
            <family val="2"/>
          </rPr>
          <t xml:space="preserve">
From Kofler2024</t>
        </r>
      </text>
    </comment>
    <comment ref="AD30" authorId="0" shapeId="0">
      <text>
        <r>
          <rPr>
            <b/>
            <sz val="9"/>
            <color indexed="81"/>
            <rFont val="Tahoma"/>
            <family val="2"/>
          </rPr>
          <t>Author:</t>
        </r>
        <r>
          <rPr>
            <sz val="9"/>
            <color indexed="81"/>
            <rFont val="Tahoma"/>
            <family val="2"/>
          </rPr>
          <t xml:space="preserve">
From Kofler2024</t>
        </r>
      </text>
    </comment>
    <comment ref="AE30" authorId="0" shapeId="0">
      <text>
        <r>
          <rPr>
            <b/>
            <sz val="9"/>
            <color indexed="81"/>
            <rFont val="Tahoma"/>
            <family val="2"/>
          </rPr>
          <t>Author:</t>
        </r>
        <r>
          <rPr>
            <sz val="9"/>
            <color indexed="81"/>
            <rFont val="Tahoma"/>
            <family val="2"/>
          </rPr>
          <t xml:space="preserve">
From Kofler2024</t>
        </r>
      </text>
    </comment>
    <comment ref="AF30" authorId="0" shapeId="0">
      <text>
        <r>
          <rPr>
            <b/>
            <sz val="9"/>
            <color indexed="81"/>
            <rFont val="Tahoma"/>
            <family val="2"/>
          </rPr>
          <t>Author:</t>
        </r>
        <r>
          <rPr>
            <sz val="9"/>
            <color indexed="81"/>
            <rFont val="Tahoma"/>
            <family val="2"/>
          </rPr>
          <t xml:space="preserve">
From Kofler2024</t>
        </r>
      </text>
    </comment>
    <comment ref="AG30" authorId="0" shapeId="0">
      <text>
        <r>
          <rPr>
            <b/>
            <sz val="9"/>
            <color indexed="81"/>
            <rFont val="Tahoma"/>
            <family val="2"/>
          </rPr>
          <t>Author:</t>
        </r>
        <r>
          <rPr>
            <sz val="9"/>
            <color indexed="81"/>
            <rFont val="Tahoma"/>
            <family val="2"/>
          </rPr>
          <t xml:space="preserve">
From Kofler2024</t>
        </r>
      </text>
    </comment>
    <comment ref="AH30" authorId="0" shapeId="0">
      <text>
        <r>
          <rPr>
            <b/>
            <sz val="9"/>
            <color indexed="81"/>
            <rFont val="Tahoma"/>
            <family val="2"/>
          </rPr>
          <t>Author:</t>
        </r>
        <r>
          <rPr>
            <sz val="9"/>
            <color indexed="81"/>
            <rFont val="Tahoma"/>
            <family val="2"/>
          </rPr>
          <t xml:space="preserve">
From Kofler2024</t>
        </r>
      </text>
    </comment>
    <comment ref="AI30" authorId="0" shapeId="0">
      <text>
        <r>
          <rPr>
            <b/>
            <sz val="9"/>
            <color indexed="81"/>
            <rFont val="Tahoma"/>
            <family val="2"/>
          </rPr>
          <t>Author:</t>
        </r>
        <r>
          <rPr>
            <sz val="9"/>
            <color indexed="81"/>
            <rFont val="Tahoma"/>
            <family val="2"/>
          </rPr>
          <t xml:space="preserve">
From Kofler2024</t>
        </r>
      </text>
    </comment>
    <comment ref="AJ30" authorId="0" shapeId="0">
      <text>
        <r>
          <rPr>
            <b/>
            <sz val="9"/>
            <color indexed="81"/>
            <rFont val="Tahoma"/>
            <family val="2"/>
          </rPr>
          <t>Author:</t>
        </r>
        <r>
          <rPr>
            <sz val="9"/>
            <color indexed="81"/>
            <rFont val="Tahoma"/>
            <family val="2"/>
          </rPr>
          <t xml:space="preserve">
From Kofler2024</t>
        </r>
      </text>
    </comment>
    <comment ref="AK30" authorId="0" shapeId="0">
      <text>
        <r>
          <rPr>
            <b/>
            <sz val="9"/>
            <color indexed="81"/>
            <rFont val="Tahoma"/>
            <family val="2"/>
          </rPr>
          <t>Author:</t>
        </r>
        <r>
          <rPr>
            <sz val="9"/>
            <color indexed="81"/>
            <rFont val="Tahoma"/>
            <family val="2"/>
          </rPr>
          <t xml:space="preserve">
From Kofler2024</t>
        </r>
      </text>
    </comment>
    <comment ref="AL30" authorId="0" shapeId="0">
      <text>
        <r>
          <rPr>
            <b/>
            <sz val="9"/>
            <color indexed="81"/>
            <rFont val="Tahoma"/>
            <family val="2"/>
          </rPr>
          <t>Author:</t>
        </r>
        <r>
          <rPr>
            <sz val="9"/>
            <color indexed="81"/>
            <rFont val="Tahoma"/>
            <family val="2"/>
          </rPr>
          <t xml:space="preserve">
From Kofler2024</t>
        </r>
      </text>
    </comment>
    <comment ref="AM30" authorId="0" shapeId="0">
      <text>
        <r>
          <rPr>
            <b/>
            <sz val="9"/>
            <color indexed="81"/>
            <rFont val="Tahoma"/>
            <family val="2"/>
          </rPr>
          <t>Author:</t>
        </r>
        <r>
          <rPr>
            <sz val="9"/>
            <color indexed="81"/>
            <rFont val="Tahoma"/>
            <family val="2"/>
          </rPr>
          <t xml:space="preserve">
From Kofler2024</t>
        </r>
      </text>
    </comment>
    <comment ref="AN30" authorId="0" shapeId="0">
      <text>
        <r>
          <rPr>
            <b/>
            <sz val="9"/>
            <color indexed="81"/>
            <rFont val="Tahoma"/>
            <family val="2"/>
          </rPr>
          <t>Author:</t>
        </r>
        <r>
          <rPr>
            <sz val="9"/>
            <color indexed="81"/>
            <rFont val="Tahoma"/>
            <family val="2"/>
          </rPr>
          <t xml:space="preserve">
From Kofler2024</t>
        </r>
      </text>
    </comment>
    <comment ref="AO30" authorId="0" shapeId="0">
      <text>
        <r>
          <rPr>
            <b/>
            <sz val="9"/>
            <color indexed="81"/>
            <rFont val="Tahoma"/>
            <family val="2"/>
          </rPr>
          <t>Author:</t>
        </r>
        <r>
          <rPr>
            <sz val="9"/>
            <color indexed="81"/>
            <rFont val="Tahoma"/>
            <family val="2"/>
          </rPr>
          <t xml:space="preserve">
From Kofler2024</t>
        </r>
      </text>
    </comment>
    <comment ref="AP30" authorId="0" shapeId="0">
      <text>
        <r>
          <rPr>
            <b/>
            <sz val="9"/>
            <color indexed="81"/>
            <rFont val="Tahoma"/>
            <family val="2"/>
          </rPr>
          <t>Author:</t>
        </r>
        <r>
          <rPr>
            <sz val="9"/>
            <color indexed="81"/>
            <rFont val="Tahoma"/>
            <family val="2"/>
          </rPr>
          <t xml:space="preserve">
From Kofler2024</t>
        </r>
      </text>
    </comment>
    <comment ref="AQ30" authorId="0" shapeId="0">
      <text>
        <r>
          <rPr>
            <b/>
            <sz val="9"/>
            <color indexed="81"/>
            <rFont val="Tahoma"/>
            <family val="2"/>
          </rPr>
          <t>Author:</t>
        </r>
        <r>
          <rPr>
            <sz val="9"/>
            <color indexed="81"/>
            <rFont val="Tahoma"/>
            <family val="2"/>
          </rPr>
          <t xml:space="preserve">
From Kofler2024</t>
        </r>
      </text>
    </comment>
    <comment ref="AR30" authorId="0" shapeId="0">
      <text>
        <r>
          <rPr>
            <b/>
            <sz val="9"/>
            <color indexed="81"/>
            <rFont val="Tahoma"/>
            <family val="2"/>
          </rPr>
          <t>Author:</t>
        </r>
        <r>
          <rPr>
            <sz val="9"/>
            <color indexed="81"/>
            <rFont val="Tahoma"/>
            <family val="2"/>
          </rPr>
          <t xml:space="preserve">
From Kofler2024</t>
        </r>
      </text>
    </comment>
    <comment ref="AS30" authorId="0" shapeId="0">
      <text>
        <r>
          <rPr>
            <b/>
            <sz val="9"/>
            <color indexed="81"/>
            <rFont val="Tahoma"/>
            <family val="2"/>
          </rPr>
          <t>Author:</t>
        </r>
        <r>
          <rPr>
            <sz val="9"/>
            <color indexed="81"/>
            <rFont val="Tahoma"/>
            <family val="2"/>
          </rPr>
          <t xml:space="preserve">
From Kofler2024</t>
        </r>
      </text>
    </comment>
    <comment ref="AT30" authorId="0" shapeId="0">
      <text>
        <r>
          <rPr>
            <b/>
            <sz val="9"/>
            <color indexed="81"/>
            <rFont val="Tahoma"/>
            <family val="2"/>
          </rPr>
          <t>Author:</t>
        </r>
        <r>
          <rPr>
            <sz val="9"/>
            <color indexed="81"/>
            <rFont val="Tahoma"/>
            <family val="2"/>
          </rPr>
          <t xml:space="preserve">
From Kofler2024</t>
        </r>
      </text>
    </comment>
    <comment ref="AU30" authorId="0" shapeId="0">
      <text>
        <r>
          <rPr>
            <b/>
            <sz val="9"/>
            <color indexed="81"/>
            <rFont val="Tahoma"/>
            <family val="2"/>
          </rPr>
          <t>Author:</t>
        </r>
        <r>
          <rPr>
            <sz val="9"/>
            <color indexed="81"/>
            <rFont val="Tahoma"/>
            <family val="2"/>
          </rPr>
          <t xml:space="preserve">
From Kofler2024</t>
        </r>
      </text>
    </comment>
    <comment ref="AV30" authorId="0" shapeId="0">
      <text>
        <r>
          <rPr>
            <b/>
            <sz val="9"/>
            <color indexed="81"/>
            <rFont val="Tahoma"/>
            <family val="2"/>
          </rPr>
          <t>Author:</t>
        </r>
        <r>
          <rPr>
            <sz val="9"/>
            <color indexed="81"/>
            <rFont val="Tahoma"/>
            <family val="2"/>
          </rPr>
          <t xml:space="preserve">
From Kofler2024</t>
        </r>
      </text>
    </comment>
    <comment ref="AW30" authorId="0" shapeId="0">
      <text>
        <r>
          <rPr>
            <b/>
            <sz val="9"/>
            <color indexed="81"/>
            <rFont val="Tahoma"/>
            <family val="2"/>
          </rPr>
          <t>Author:</t>
        </r>
        <r>
          <rPr>
            <sz val="9"/>
            <color indexed="81"/>
            <rFont val="Tahoma"/>
            <family val="2"/>
          </rPr>
          <t xml:space="preserve">
From Kofler2024</t>
        </r>
      </text>
    </comment>
    <comment ref="AX30" authorId="0" shapeId="0">
      <text>
        <r>
          <rPr>
            <b/>
            <sz val="9"/>
            <color indexed="81"/>
            <rFont val="Tahoma"/>
            <family val="2"/>
          </rPr>
          <t>Author:</t>
        </r>
        <r>
          <rPr>
            <sz val="9"/>
            <color indexed="81"/>
            <rFont val="Tahoma"/>
            <family val="2"/>
          </rPr>
          <t xml:space="preserve">
From Kofler2024</t>
        </r>
      </text>
    </comment>
    <comment ref="AY30" authorId="0" shapeId="0">
      <text>
        <r>
          <rPr>
            <b/>
            <sz val="9"/>
            <color indexed="81"/>
            <rFont val="Tahoma"/>
            <family val="2"/>
          </rPr>
          <t>Author:</t>
        </r>
        <r>
          <rPr>
            <sz val="9"/>
            <color indexed="81"/>
            <rFont val="Tahoma"/>
            <family val="2"/>
          </rPr>
          <t xml:space="preserve">
From Kofler2024</t>
        </r>
      </text>
    </comment>
    <comment ref="AZ30" authorId="0" shapeId="0">
      <text>
        <r>
          <rPr>
            <b/>
            <sz val="9"/>
            <color indexed="81"/>
            <rFont val="Tahoma"/>
            <family val="2"/>
          </rPr>
          <t>Author:</t>
        </r>
        <r>
          <rPr>
            <sz val="9"/>
            <color indexed="81"/>
            <rFont val="Tahoma"/>
            <family val="2"/>
          </rPr>
          <t xml:space="preserve">
From Kofler2024</t>
        </r>
      </text>
    </comment>
    <comment ref="BA30" authorId="0" shapeId="0">
      <text>
        <r>
          <rPr>
            <b/>
            <sz val="9"/>
            <color indexed="81"/>
            <rFont val="Tahoma"/>
            <family val="2"/>
          </rPr>
          <t>Author:</t>
        </r>
        <r>
          <rPr>
            <sz val="9"/>
            <color indexed="81"/>
            <rFont val="Tahoma"/>
            <family val="2"/>
          </rPr>
          <t xml:space="preserve">
From Kofler2024</t>
        </r>
      </text>
    </comment>
    <comment ref="BB30" authorId="0" shapeId="0">
      <text>
        <r>
          <rPr>
            <b/>
            <sz val="9"/>
            <color indexed="81"/>
            <rFont val="Tahoma"/>
            <family val="2"/>
          </rPr>
          <t>Author:</t>
        </r>
        <r>
          <rPr>
            <sz val="9"/>
            <color indexed="81"/>
            <rFont val="Tahoma"/>
            <family val="2"/>
          </rPr>
          <t xml:space="preserve">
From Kofler2024</t>
        </r>
      </text>
    </comment>
    <comment ref="BC30" authorId="0" shapeId="0">
      <text>
        <r>
          <rPr>
            <b/>
            <sz val="9"/>
            <color indexed="81"/>
            <rFont val="Tahoma"/>
            <family val="2"/>
          </rPr>
          <t>Author:</t>
        </r>
        <r>
          <rPr>
            <sz val="9"/>
            <color indexed="81"/>
            <rFont val="Tahoma"/>
            <family val="2"/>
          </rPr>
          <t xml:space="preserve">
From Kofler2024</t>
        </r>
      </text>
    </comment>
    <comment ref="BD30" authorId="0" shapeId="0">
      <text>
        <r>
          <rPr>
            <b/>
            <sz val="9"/>
            <color indexed="81"/>
            <rFont val="Tahoma"/>
            <family val="2"/>
          </rPr>
          <t>Author:</t>
        </r>
        <r>
          <rPr>
            <sz val="9"/>
            <color indexed="81"/>
            <rFont val="Tahoma"/>
            <family val="2"/>
          </rPr>
          <t xml:space="preserve">
From Kofler2024</t>
        </r>
      </text>
    </comment>
    <comment ref="BE30" authorId="0" shapeId="0">
      <text>
        <r>
          <rPr>
            <b/>
            <sz val="9"/>
            <color indexed="81"/>
            <rFont val="Tahoma"/>
            <family val="2"/>
          </rPr>
          <t>Author:</t>
        </r>
        <r>
          <rPr>
            <sz val="9"/>
            <color indexed="81"/>
            <rFont val="Tahoma"/>
            <family val="2"/>
          </rPr>
          <t xml:space="preserve">
From Kofler2024</t>
        </r>
      </text>
    </comment>
    <comment ref="BF30" authorId="0" shapeId="0">
      <text>
        <r>
          <rPr>
            <b/>
            <sz val="9"/>
            <color indexed="81"/>
            <rFont val="Tahoma"/>
            <family val="2"/>
          </rPr>
          <t>Author:</t>
        </r>
        <r>
          <rPr>
            <sz val="9"/>
            <color indexed="81"/>
            <rFont val="Tahoma"/>
            <family val="2"/>
          </rPr>
          <t xml:space="preserve">
From Kofler2024</t>
        </r>
      </text>
    </comment>
    <comment ref="BG30" authorId="0" shapeId="0">
      <text>
        <r>
          <rPr>
            <b/>
            <sz val="9"/>
            <color indexed="81"/>
            <rFont val="Tahoma"/>
            <family val="2"/>
          </rPr>
          <t>Author:</t>
        </r>
        <r>
          <rPr>
            <sz val="9"/>
            <color indexed="81"/>
            <rFont val="Tahoma"/>
            <family val="2"/>
          </rPr>
          <t xml:space="preserve">
From Kofler2024</t>
        </r>
      </text>
    </comment>
    <comment ref="BH30" authorId="0" shapeId="0">
      <text>
        <r>
          <rPr>
            <b/>
            <sz val="9"/>
            <color indexed="81"/>
            <rFont val="Tahoma"/>
            <family val="2"/>
          </rPr>
          <t>Author:</t>
        </r>
        <r>
          <rPr>
            <sz val="9"/>
            <color indexed="81"/>
            <rFont val="Tahoma"/>
            <family val="2"/>
          </rPr>
          <t xml:space="preserve">
From Kofler2024</t>
        </r>
      </text>
    </comment>
    <comment ref="BI30" authorId="0" shapeId="0">
      <text>
        <r>
          <rPr>
            <b/>
            <sz val="9"/>
            <color indexed="81"/>
            <rFont val="Tahoma"/>
            <family val="2"/>
          </rPr>
          <t>Author:</t>
        </r>
        <r>
          <rPr>
            <sz val="9"/>
            <color indexed="81"/>
            <rFont val="Tahoma"/>
            <family val="2"/>
          </rPr>
          <t xml:space="preserve">
From Kofler2024</t>
        </r>
      </text>
    </comment>
    <comment ref="BJ30" authorId="0" shapeId="0">
      <text>
        <r>
          <rPr>
            <b/>
            <sz val="9"/>
            <color indexed="81"/>
            <rFont val="Tahoma"/>
            <family val="2"/>
          </rPr>
          <t>Author:</t>
        </r>
        <r>
          <rPr>
            <sz val="9"/>
            <color indexed="81"/>
            <rFont val="Tahoma"/>
            <family val="2"/>
          </rPr>
          <t xml:space="preserve">
From this study </t>
        </r>
      </text>
    </comment>
    <comment ref="BK30" authorId="0" shapeId="0">
      <text>
        <r>
          <rPr>
            <b/>
            <sz val="9"/>
            <color indexed="81"/>
            <rFont val="Tahoma"/>
            <family val="2"/>
          </rPr>
          <t>Author:</t>
        </r>
        <r>
          <rPr>
            <sz val="9"/>
            <color indexed="81"/>
            <rFont val="Tahoma"/>
            <family val="2"/>
          </rPr>
          <t xml:space="preserve">
From this study </t>
        </r>
      </text>
    </comment>
    <comment ref="BL30" authorId="0" shapeId="0">
      <text>
        <r>
          <rPr>
            <b/>
            <sz val="9"/>
            <color indexed="81"/>
            <rFont val="Tahoma"/>
            <family val="2"/>
          </rPr>
          <t>Author:</t>
        </r>
        <r>
          <rPr>
            <sz val="9"/>
            <color indexed="81"/>
            <rFont val="Tahoma"/>
            <family val="2"/>
          </rPr>
          <t xml:space="preserve">
From this study </t>
        </r>
      </text>
    </comment>
    <comment ref="BM30" authorId="0" shapeId="0">
      <text>
        <r>
          <rPr>
            <b/>
            <sz val="9"/>
            <color indexed="81"/>
            <rFont val="Tahoma"/>
            <family val="2"/>
          </rPr>
          <t>Author:</t>
        </r>
        <r>
          <rPr>
            <sz val="9"/>
            <color indexed="81"/>
            <rFont val="Tahoma"/>
            <family val="2"/>
          </rPr>
          <t xml:space="preserve">
From this study </t>
        </r>
      </text>
    </comment>
    <comment ref="BN30" authorId="0" shapeId="0">
      <text>
        <r>
          <rPr>
            <b/>
            <sz val="9"/>
            <color indexed="81"/>
            <rFont val="Tahoma"/>
            <family val="2"/>
          </rPr>
          <t>Author:</t>
        </r>
        <r>
          <rPr>
            <sz val="9"/>
            <color indexed="81"/>
            <rFont val="Tahoma"/>
            <family val="2"/>
          </rPr>
          <t xml:space="preserve">
From this study </t>
        </r>
      </text>
    </comment>
    <comment ref="BO30" authorId="0" shapeId="0">
      <text>
        <r>
          <rPr>
            <b/>
            <sz val="9"/>
            <color indexed="81"/>
            <rFont val="Tahoma"/>
            <family val="2"/>
          </rPr>
          <t>Author:</t>
        </r>
        <r>
          <rPr>
            <sz val="9"/>
            <color indexed="81"/>
            <rFont val="Tahoma"/>
            <family val="2"/>
          </rPr>
          <t xml:space="preserve">
From this study </t>
        </r>
      </text>
    </comment>
    <comment ref="BP30" authorId="0" shapeId="0">
      <text>
        <r>
          <rPr>
            <b/>
            <sz val="9"/>
            <color indexed="81"/>
            <rFont val="Tahoma"/>
            <family val="2"/>
          </rPr>
          <t>Author:</t>
        </r>
        <r>
          <rPr>
            <sz val="9"/>
            <color indexed="81"/>
            <rFont val="Tahoma"/>
            <family val="2"/>
          </rPr>
          <t xml:space="preserve">
From this study </t>
        </r>
      </text>
    </comment>
    <comment ref="BQ30" authorId="0" shapeId="0">
      <text>
        <r>
          <rPr>
            <b/>
            <sz val="9"/>
            <color indexed="81"/>
            <rFont val="Tahoma"/>
            <family val="2"/>
          </rPr>
          <t>Author:</t>
        </r>
        <r>
          <rPr>
            <sz val="9"/>
            <color indexed="81"/>
            <rFont val="Tahoma"/>
            <family val="2"/>
          </rPr>
          <t xml:space="preserve">
From this study </t>
        </r>
      </text>
    </comment>
    <comment ref="BR30" authorId="0" shapeId="0">
      <text>
        <r>
          <rPr>
            <b/>
            <sz val="9"/>
            <color indexed="81"/>
            <rFont val="Tahoma"/>
            <family val="2"/>
          </rPr>
          <t>Author:</t>
        </r>
        <r>
          <rPr>
            <sz val="9"/>
            <color indexed="81"/>
            <rFont val="Tahoma"/>
            <family val="2"/>
          </rPr>
          <t xml:space="preserve">
From Kofler2024</t>
        </r>
      </text>
    </comment>
    <comment ref="BS30" authorId="0" shapeId="0">
      <text>
        <r>
          <rPr>
            <b/>
            <sz val="9"/>
            <color indexed="81"/>
            <rFont val="Tahoma"/>
            <family val="2"/>
          </rPr>
          <t>Author:</t>
        </r>
        <r>
          <rPr>
            <sz val="9"/>
            <color indexed="81"/>
            <rFont val="Tahoma"/>
            <family val="2"/>
          </rPr>
          <t xml:space="preserve">
From Kofler2024</t>
        </r>
      </text>
    </comment>
    <comment ref="BT30" authorId="0" shapeId="0">
      <text>
        <r>
          <rPr>
            <b/>
            <sz val="9"/>
            <color indexed="81"/>
            <rFont val="Tahoma"/>
            <family val="2"/>
          </rPr>
          <t>Author:</t>
        </r>
        <r>
          <rPr>
            <sz val="9"/>
            <color indexed="81"/>
            <rFont val="Tahoma"/>
            <family val="2"/>
          </rPr>
          <t xml:space="preserve">
From Kofler2024</t>
        </r>
      </text>
    </comment>
    <comment ref="BU30" authorId="0" shapeId="0">
      <text>
        <r>
          <rPr>
            <b/>
            <sz val="9"/>
            <color indexed="81"/>
            <rFont val="Tahoma"/>
            <family val="2"/>
          </rPr>
          <t>Author:</t>
        </r>
        <r>
          <rPr>
            <sz val="9"/>
            <color indexed="81"/>
            <rFont val="Tahoma"/>
            <family val="2"/>
          </rPr>
          <t xml:space="preserve">
From Kofler2024</t>
        </r>
      </text>
    </comment>
    <comment ref="R31" authorId="0" shapeId="0">
      <text>
        <r>
          <rPr>
            <b/>
            <sz val="9"/>
            <color indexed="81"/>
            <rFont val="Tahoma"/>
            <family val="2"/>
          </rPr>
          <t>Author:</t>
        </r>
        <r>
          <rPr>
            <sz val="9"/>
            <color indexed="81"/>
            <rFont val="Tahoma"/>
            <family val="2"/>
          </rPr>
          <t xml:space="preserve">
Based on MMZSC2023
</t>
        </r>
      </text>
    </comment>
    <comment ref="S31" authorId="0" shapeId="0">
      <text>
        <r>
          <rPr>
            <b/>
            <sz val="9"/>
            <color indexed="81"/>
            <rFont val="Tahoma"/>
            <family val="2"/>
          </rPr>
          <t>Author:</t>
        </r>
        <r>
          <rPr>
            <sz val="9"/>
            <color indexed="81"/>
            <rFont val="Tahoma"/>
            <family val="2"/>
          </rPr>
          <t xml:space="preserve">
Based on MMZCS2023</t>
        </r>
      </text>
    </comment>
    <comment ref="T31" authorId="0" shapeId="0">
      <text>
        <r>
          <rPr>
            <b/>
            <sz val="9"/>
            <color indexed="81"/>
            <rFont val="Tahoma"/>
            <family val="2"/>
          </rPr>
          <t>Author:</t>
        </r>
        <r>
          <rPr>
            <sz val="9"/>
            <color indexed="81"/>
            <rFont val="Tahoma"/>
            <family val="2"/>
          </rPr>
          <t xml:space="preserve">
Based on MMZCS2023</t>
        </r>
      </text>
    </comment>
    <comment ref="U31" authorId="0" shapeId="0">
      <text>
        <r>
          <rPr>
            <b/>
            <sz val="9"/>
            <color indexed="81"/>
            <rFont val="Tahoma"/>
            <family val="2"/>
          </rPr>
          <t>Author:</t>
        </r>
        <r>
          <rPr>
            <sz val="9"/>
            <color indexed="81"/>
            <rFont val="Tahoma"/>
            <family val="2"/>
          </rPr>
          <t xml:space="preserve">
Based on MMZCS2023</t>
        </r>
      </text>
    </comment>
    <comment ref="AD31" authorId="0" shapeId="0">
      <text>
        <r>
          <rPr>
            <b/>
            <sz val="9"/>
            <color indexed="81"/>
            <rFont val="Tahoma"/>
            <family val="2"/>
          </rPr>
          <t>Author:</t>
        </r>
        <r>
          <rPr>
            <sz val="9"/>
            <color indexed="81"/>
            <rFont val="Tahoma"/>
            <family val="2"/>
          </rPr>
          <t xml:space="preserve">
Based on MMZCS2023</t>
        </r>
      </text>
    </comment>
    <comment ref="AE31" authorId="0" shapeId="0">
      <text>
        <r>
          <rPr>
            <b/>
            <sz val="9"/>
            <color indexed="81"/>
            <rFont val="Tahoma"/>
            <family val="2"/>
          </rPr>
          <t>Author:</t>
        </r>
        <r>
          <rPr>
            <sz val="9"/>
            <color indexed="81"/>
            <rFont val="Tahoma"/>
            <family val="2"/>
          </rPr>
          <t xml:space="preserve">
Based on MMZCS2023</t>
        </r>
      </text>
    </comment>
    <comment ref="AF31" authorId="0" shapeId="0">
      <text>
        <r>
          <rPr>
            <b/>
            <sz val="9"/>
            <color indexed="81"/>
            <rFont val="Tahoma"/>
            <family val="2"/>
          </rPr>
          <t>Author:</t>
        </r>
        <r>
          <rPr>
            <sz val="9"/>
            <color indexed="81"/>
            <rFont val="Tahoma"/>
            <family val="2"/>
          </rPr>
          <t xml:space="preserve">
Based on MMZCS2023</t>
        </r>
      </text>
    </comment>
    <comment ref="AG31" authorId="0" shapeId="0">
      <text>
        <r>
          <rPr>
            <b/>
            <sz val="9"/>
            <color indexed="81"/>
            <rFont val="Tahoma"/>
            <family val="2"/>
          </rPr>
          <t>Author:</t>
        </r>
        <r>
          <rPr>
            <sz val="9"/>
            <color indexed="81"/>
            <rFont val="Tahoma"/>
            <family val="2"/>
          </rPr>
          <t xml:space="preserve">
Based on MMZCS2023</t>
        </r>
      </text>
    </comment>
    <comment ref="AH31" authorId="0" shapeId="0">
      <text>
        <r>
          <rPr>
            <b/>
            <sz val="9"/>
            <color indexed="81"/>
            <rFont val="Tahoma"/>
            <family val="2"/>
          </rPr>
          <t>Author:</t>
        </r>
        <r>
          <rPr>
            <sz val="9"/>
            <color indexed="81"/>
            <rFont val="Tahoma"/>
            <family val="2"/>
          </rPr>
          <t xml:space="preserve">
Based on Armijo2020</t>
        </r>
      </text>
    </comment>
    <comment ref="AI31" authorId="0" shapeId="0">
      <text>
        <r>
          <rPr>
            <b/>
            <sz val="9"/>
            <color indexed="81"/>
            <rFont val="Tahoma"/>
            <family val="2"/>
          </rPr>
          <t>Author:</t>
        </r>
        <r>
          <rPr>
            <sz val="9"/>
            <color indexed="81"/>
            <rFont val="Tahoma"/>
            <family val="2"/>
          </rPr>
          <t xml:space="preserve">
Based on MMZCS2023</t>
        </r>
      </text>
    </comment>
    <comment ref="AJ31" authorId="0" shapeId="0">
      <text>
        <r>
          <rPr>
            <b/>
            <sz val="9"/>
            <color indexed="81"/>
            <rFont val="Tahoma"/>
            <family val="2"/>
          </rPr>
          <t>Author:</t>
        </r>
        <r>
          <rPr>
            <sz val="9"/>
            <color indexed="81"/>
            <rFont val="Tahoma"/>
            <family val="2"/>
          </rPr>
          <t xml:space="preserve">
Taking the best case of 2030 based on MMZCS2023</t>
        </r>
      </text>
    </comment>
    <comment ref="AK31" authorId="0" shapeId="0">
      <text>
        <r>
          <rPr>
            <b/>
            <sz val="9"/>
            <color indexed="81"/>
            <rFont val="Tahoma"/>
            <family val="2"/>
          </rPr>
          <t>Author:</t>
        </r>
        <r>
          <rPr>
            <sz val="9"/>
            <color indexed="81"/>
            <rFont val="Tahoma"/>
            <family val="2"/>
          </rPr>
          <t xml:space="preserve">
Taking the best case of 2030 based on MMZCS2023</t>
        </r>
      </text>
    </comment>
    <comment ref="AL31" authorId="0" shapeId="0">
      <text>
        <r>
          <rPr>
            <b/>
            <sz val="9"/>
            <color indexed="81"/>
            <rFont val="Tahoma"/>
            <family val="2"/>
          </rPr>
          <t>Author:</t>
        </r>
        <r>
          <rPr>
            <sz val="9"/>
            <color indexed="81"/>
            <rFont val="Tahoma"/>
            <family val="2"/>
          </rPr>
          <t xml:space="preserve">
Based on Armijo2020</t>
        </r>
      </text>
    </comment>
    <comment ref="AM31" authorId="0" shapeId="0">
      <text>
        <r>
          <rPr>
            <b/>
            <sz val="9"/>
            <color indexed="81"/>
            <rFont val="Tahoma"/>
            <family val="2"/>
          </rPr>
          <t>Author:</t>
        </r>
        <r>
          <rPr>
            <sz val="9"/>
            <color indexed="81"/>
            <rFont val="Tahoma"/>
            <family val="2"/>
          </rPr>
          <t xml:space="preserve">
Based on MMZCS2023</t>
        </r>
      </text>
    </comment>
    <comment ref="AN31" authorId="0" shapeId="0">
      <text>
        <r>
          <rPr>
            <b/>
            <sz val="9"/>
            <color indexed="81"/>
            <rFont val="Tahoma"/>
            <family val="2"/>
          </rPr>
          <t>Author:</t>
        </r>
        <r>
          <rPr>
            <sz val="9"/>
            <color indexed="81"/>
            <rFont val="Tahoma"/>
            <family val="2"/>
          </rPr>
          <t xml:space="preserve">
Taking the best case of 2030 based on MMZCS2023</t>
        </r>
      </text>
    </comment>
    <comment ref="AO31" authorId="0" shapeId="0">
      <text>
        <r>
          <rPr>
            <b/>
            <sz val="9"/>
            <color indexed="81"/>
            <rFont val="Tahoma"/>
            <family val="2"/>
          </rPr>
          <t>Author:</t>
        </r>
        <r>
          <rPr>
            <sz val="9"/>
            <color indexed="81"/>
            <rFont val="Tahoma"/>
            <family val="2"/>
          </rPr>
          <t xml:space="preserve">
Taking the best case of 2030 based on MMZCS2023</t>
        </r>
      </text>
    </comment>
    <comment ref="AP31" authorId="0" shapeId="0">
      <text>
        <r>
          <rPr>
            <b/>
            <sz val="9"/>
            <color indexed="81"/>
            <rFont val="Tahoma"/>
            <family val="2"/>
          </rPr>
          <t>Author:</t>
        </r>
        <r>
          <rPr>
            <sz val="9"/>
            <color indexed="81"/>
            <rFont val="Tahoma"/>
            <family val="2"/>
          </rPr>
          <t xml:space="preserve">
Based on MMZCS2023</t>
        </r>
      </text>
    </comment>
    <comment ref="AQ31" authorId="0" shapeId="0">
      <text>
        <r>
          <rPr>
            <b/>
            <sz val="9"/>
            <color indexed="81"/>
            <rFont val="Tahoma"/>
            <family val="2"/>
          </rPr>
          <t>Author:</t>
        </r>
        <r>
          <rPr>
            <sz val="9"/>
            <color indexed="81"/>
            <rFont val="Tahoma"/>
            <family val="2"/>
          </rPr>
          <t xml:space="preserve">
Based on MMZCS2023</t>
        </r>
      </text>
    </comment>
    <comment ref="AR31" authorId="0" shapeId="0">
      <text>
        <r>
          <rPr>
            <b/>
            <sz val="9"/>
            <color indexed="81"/>
            <rFont val="Tahoma"/>
            <family val="2"/>
          </rPr>
          <t>Author:</t>
        </r>
        <r>
          <rPr>
            <sz val="9"/>
            <color indexed="81"/>
            <rFont val="Tahoma"/>
            <family val="2"/>
          </rPr>
          <t xml:space="preserve">
Based on MMZCS2023</t>
        </r>
      </text>
    </comment>
    <comment ref="AS31" authorId="0" shapeId="0">
      <text>
        <r>
          <rPr>
            <b/>
            <sz val="9"/>
            <color indexed="81"/>
            <rFont val="Tahoma"/>
            <family val="2"/>
          </rPr>
          <t>Author:</t>
        </r>
        <r>
          <rPr>
            <sz val="9"/>
            <color indexed="81"/>
            <rFont val="Tahoma"/>
            <family val="2"/>
          </rPr>
          <t xml:space="preserve">
Based on MMZCS2023</t>
        </r>
      </text>
    </comment>
    <comment ref="AT31" authorId="0" shapeId="0">
      <text>
        <r>
          <rPr>
            <b/>
            <sz val="9"/>
            <color indexed="81"/>
            <rFont val="Tahoma"/>
            <family val="2"/>
          </rPr>
          <t>Author:</t>
        </r>
        <r>
          <rPr>
            <sz val="9"/>
            <color indexed="81"/>
            <rFont val="Tahoma"/>
            <family val="2"/>
          </rPr>
          <t xml:space="preserve">
Based on MMZCS2023 using a power law</t>
        </r>
      </text>
    </comment>
    <comment ref="AU31" authorId="0" shapeId="0">
      <text>
        <r>
          <rPr>
            <b/>
            <sz val="9"/>
            <color indexed="81"/>
            <rFont val="Tahoma"/>
            <family val="2"/>
          </rPr>
          <t>Author:</t>
        </r>
        <r>
          <rPr>
            <sz val="9"/>
            <color indexed="81"/>
            <rFont val="Tahoma"/>
            <family val="2"/>
          </rPr>
          <t xml:space="preserve">
Based on MMZCS2023 using a power law</t>
        </r>
      </text>
    </comment>
    <comment ref="AV31" authorId="0" shapeId="0">
      <text>
        <r>
          <rPr>
            <b/>
            <sz val="9"/>
            <color indexed="81"/>
            <rFont val="Tahoma"/>
            <family val="2"/>
          </rPr>
          <t>Author:</t>
        </r>
        <r>
          <rPr>
            <sz val="9"/>
            <color indexed="81"/>
            <rFont val="Tahoma"/>
            <family val="2"/>
          </rPr>
          <t xml:space="preserve">
Based on MMZCS2023 using a power law</t>
        </r>
      </text>
    </comment>
    <comment ref="AW31" authorId="0" shapeId="0">
      <text>
        <r>
          <rPr>
            <b/>
            <sz val="9"/>
            <color indexed="81"/>
            <rFont val="Tahoma"/>
            <family val="2"/>
          </rPr>
          <t>Author:</t>
        </r>
        <r>
          <rPr>
            <sz val="9"/>
            <color indexed="81"/>
            <rFont val="Tahoma"/>
            <family val="2"/>
          </rPr>
          <t xml:space="preserve">
Based on MMZCS2023 using a power law</t>
        </r>
      </text>
    </comment>
    <comment ref="AX31" authorId="0" shapeId="0">
      <text>
        <r>
          <rPr>
            <b/>
            <sz val="9"/>
            <color indexed="81"/>
            <rFont val="Tahoma"/>
            <family val="2"/>
          </rPr>
          <t>Author:</t>
        </r>
        <r>
          <rPr>
            <sz val="9"/>
            <color indexed="81"/>
            <rFont val="Tahoma"/>
            <family val="2"/>
          </rPr>
          <t xml:space="preserve">
4% Capex based on MMZCS2023</t>
        </r>
      </text>
    </comment>
    <comment ref="AY31" authorId="0" shapeId="0">
      <text>
        <r>
          <rPr>
            <b/>
            <sz val="9"/>
            <color indexed="81"/>
            <rFont val="Tahoma"/>
            <family val="2"/>
          </rPr>
          <t>Author:</t>
        </r>
        <r>
          <rPr>
            <sz val="9"/>
            <color indexed="81"/>
            <rFont val="Tahoma"/>
            <family val="2"/>
          </rPr>
          <t xml:space="preserve">
4% Capex based on MMZCS2023</t>
        </r>
      </text>
    </comment>
    <comment ref="AZ31" authorId="0" shapeId="0">
      <text>
        <r>
          <rPr>
            <b/>
            <sz val="9"/>
            <color indexed="81"/>
            <rFont val="Tahoma"/>
            <family val="2"/>
          </rPr>
          <t>Author:</t>
        </r>
        <r>
          <rPr>
            <sz val="9"/>
            <color indexed="81"/>
            <rFont val="Tahoma"/>
            <family val="2"/>
          </rPr>
          <t xml:space="preserve">
4% Capex based on MMZCS2023</t>
        </r>
      </text>
    </comment>
    <comment ref="BA31" authorId="0" shapeId="0">
      <text>
        <r>
          <rPr>
            <b/>
            <sz val="9"/>
            <color indexed="81"/>
            <rFont val="Tahoma"/>
            <family val="2"/>
          </rPr>
          <t>Author:</t>
        </r>
        <r>
          <rPr>
            <sz val="9"/>
            <color indexed="81"/>
            <rFont val="Tahoma"/>
            <family val="2"/>
          </rPr>
          <t xml:space="preserve">
4% Capex based on MMZCS2023</t>
        </r>
      </text>
    </comment>
    <comment ref="BR31" authorId="0" shapeId="0">
      <text>
        <r>
          <rPr>
            <b/>
            <sz val="9"/>
            <color indexed="81"/>
            <rFont val="Tahoma"/>
            <family val="2"/>
          </rPr>
          <t>Author:</t>
        </r>
        <r>
          <rPr>
            <sz val="9"/>
            <color indexed="81"/>
            <rFont val="Tahoma"/>
            <family val="2"/>
          </rPr>
          <t xml:space="preserve">
From MMZCS2023</t>
        </r>
      </text>
    </comment>
    <comment ref="BS31" authorId="0" shapeId="0">
      <text>
        <r>
          <rPr>
            <b/>
            <sz val="9"/>
            <color indexed="81"/>
            <rFont val="Tahoma"/>
            <family val="2"/>
          </rPr>
          <t>Author:</t>
        </r>
        <r>
          <rPr>
            <sz val="9"/>
            <color indexed="81"/>
            <rFont val="Tahoma"/>
            <family val="2"/>
          </rPr>
          <t xml:space="preserve">
From MMZCS2023</t>
        </r>
      </text>
    </comment>
    <comment ref="BT31" authorId="0" shapeId="0">
      <text>
        <r>
          <rPr>
            <b/>
            <sz val="9"/>
            <color indexed="81"/>
            <rFont val="Tahoma"/>
            <family val="2"/>
          </rPr>
          <t>Author:</t>
        </r>
        <r>
          <rPr>
            <sz val="9"/>
            <color indexed="81"/>
            <rFont val="Tahoma"/>
            <family val="2"/>
          </rPr>
          <t xml:space="preserve">
From MMZCS2023</t>
        </r>
      </text>
    </comment>
    <comment ref="BU31" authorId="0" shapeId="0">
      <text>
        <r>
          <rPr>
            <b/>
            <sz val="9"/>
            <color indexed="81"/>
            <rFont val="Tahoma"/>
            <family val="2"/>
          </rPr>
          <t>Author:</t>
        </r>
        <r>
          <rPr>
            <sz val="9"/>
            <color indexed="81"/>
            <rFont val="Tahoma"/>
            <family val="2"/>
          </rPr>
          <t xml:space="preserve">
From MMZCS2023</t>
        </r>
      </text>
    </comment>
    <comment ref="R32" authorId="0" shapeId="0">
      <text>
        <r>
          <rPr>
            <b/>
            <sz val="9"/>
            <color indexed="81"/>
            <rFont val="Tahoma"/>
            <family val="2"/>
          </rPr>
          <t>Author:</t>
        </r>
        <r>
          <rPr>
            <sz val="9"/>
            <color indexed="81"/>
            <rFont val="Tahoma"/>
            <family val="2"/>
          </rPr>
          <t xml:space="preserve">
Based on MMZCS2023 for a small scale methanol plant</t>
        </r>
      </text>
    </comment>
    <comment ref="S32" authorId="0" shapeId="0">
      <text>
        <r>
          <rPr>
            <b/>
            <sz val="9"/>
            <color indexed="81"/>
            <rFont val="Tahoma"/>
            <family val="2"/>
          </rPr>
          <t>Author:</t>
        </r>
        <r>
          <rPr>
            <sz val="9"/>
            <color indexed="81"/>
            <rFont val="Tahoma"/>
            <family val="2"/>
          </rPr>
          <t xml:space="preserve">
Based on MMZCS2023</t>
        </r>
      </text>
    </comment>
    <comment ref="T32" authorId="0" shapeId="0">
      <text>
        <r>
          <rPr>
            <b/>
            <sz val="9"/>
            <color indexed="81"/>
            <rFont val="Tahoma"/>
            <family val="2"/>
          </rPr>
          <t>Author:</t>
        </r>
        <r>
          <rPr>
            <sz val="9"/>
            <color indexed="81"/>
            <rFont val="Tahoma"/>
            <family val="2"/>
          </rPr>
          <t xml:space="preserve">
Based on MMZCS2023</t>
        </r>
      </text>
    </comment>
    <comment ref="U32" authorId="0" shapeId="0">
      <text>
        <r>
          <rPr>
            <b/>
            <sz val="9"/>
            <color indexed="81"/>
            <rFont val="Tahoma"/>
            <family val="2"/>
          </rPr>
          <t>Author:</t>
        </r>
        <r>
          <rPr>
            <sz val="9"/>
            <color indexed="81"/>
            <rFont val="Tahoma"/>
            <family val="2"/>
          </rPr>
          <t xml:space="preserve">
Based on MMZCS2023</t>
        </r>
      </text>
    </comment>
    <comment ref="AD32" authorId="0" shapeId="0">
      <text>
        <r>
          <rPr>
            <b/>
            <sz val="9"/>
            <color indexed="81"/>
            <rFont val="Tahoma"/>
            <family val="2"/>
          </rPr>
          <t>Author:</t>
        </r>
        <r>
          <rPr>
            <sz val="9"/>
            <color indexed="81"/>
            <rFont val="Tahoma"/>
            <family val="2"/>
          </rPr>
          <t xml:space="preserve">
Based on MMZCS2023</t>
        </r>
      </text>
    </comment>
    <comment ref="AE32" authorId="0" shapeId="0">
      <text>
        <r>
          <rPr>
            <b/>
            <sz val="9"/>
            <color indexed="81"/>
            <rFont val="Tahoma"/>
            <family val="2"/>
          </rPr>
          <t>Author:</t>
        </r>
        <r>
          <rPr>
            <sz val="9"/>
            <color indexed="81"/>
            <rFont val="Tahoma"/>
            <family val="2"/>
          </rPr>
          <t xml:space="preserve">
Based on MMZCS2023</t>
        </r>
      </text>
    </comment>
    <comment ref="AF32" authorId="0" shapeId="0">
      <text>
        <r>
          <rPr>
            <b/>
            <sz val="9"/>
            <color indexed="81"/>
            <rFont val="Tahoma"/>
            <family val="2"/>
          </rPr>
          <t>Author:</t>
        </r>
        <r>
          <rPr>
            <sz val="9"/>
            <color indexed="81"/>
            <rFont val="Tahoma"/>
            <family val="2"/>
          </rPr>
          <t xml:space="preserve">
Based on MMZCS2023</t>
        </r>
      </text>
    </comment>
    <comment ref="AG32" authorId="0" shapeId="0">
      <text>
        <r>
          <rPr>
            <b/>
            <sz val="9"/>
            <color indexed="81"/>
            <rFont val="Tahoma"/>
            <family val="2"/>
          </rPr>
          <t>Author:</t>
        </r>
        <r>
          <rPr>
            <sz val="9"/>
            <color indexed="81"/>
            <rFont val="Tahoma"/>
            <family val="2"/>
          </rPr>
          <t xml:space="preserve">
Based on MMZCS2023</t>
        </r>
      </text>
    </comment>
    <comment ref="AH32" authorId="0" shapeId="0">
      <text>
        <r>
          <rPr>
            <b/>
            <sz val="9"/>
            <color indexed="81"/>
            <rFont val="Tahoma"/>
            <family val="2"/>
          </rPr>
          <t>Author:</t>
        </r>
        <r>
          <rPr>
            <sz val="9"/>
            <color indexed="81"/>
            <rFont val="Tahoma"/>
            <family val="2"/>
          </rPr>
          <t xml:space="preserve">
Based on Armijo2020</t>
        </r>
      </text>
    </comment>
    <comment ref="AI32" authorId="0" shapeId="0">
      <text>
        <r>
          <rPr>
            <b/>
            <sz val="9"/>
            <color indexed="81"/>
            <rFont val="Tahoma"/>
            <family val="2"/>
          </rPr>
          <t>Author:</t>
        </r>
        <r>
          <rPr>
            <sz val="9"/>
            <color indexed="81"/>
            <rFont val="Tahoma"/>
            <family val="2"/>
          </rPr>
          <t xml:space="preserve">
Based on MMZCS2023</t>
        </r>
      </text>
    </comment>
    <comment ref="AJ32" authorId="0" shapeId="0">
      <text>
        <r>
          <rPr>
            <b/>
            <sz val="9"/>
            <color indexed="81"/>
            <rFont val="Tahoma"/>
            <family val="2"/>
          </rPr>
          <t>Author:</t>
        </r>
        <r>
          <rPr>
            <sz val="9"/>
            <color indexed="81"/>
            <rFont val="Tahoma"/>
            <family val="2"/>
          </rPr>
          <t xml:space="preserve">
Taking the best case of 2030 based on MMZCS2023</t>
        </r>
      </text>
    </comment>
    <comment ref="AK32" authorId="0" shapeId="0">
      <text>
        <r>
          <rPr>
            <b/>
            <sz val="9"/>
            <color indexed="81"/>
            <rFont val="Tahoma"/>
            <family val="2"/>
          </rPr>
          <t>Author:</t>
        </r>
        <r>
          <rPr>
            <sz val="9"/>
            <color indexed="81"/>
            <rFont val="Tahoma"/>
            <family val="2"/>
          </rPr>
          <t xml:space="preserve">
Taking the best case of 2030 based on MMZCS2023</t>
        </r>
      </text>
    </comment>
    <comment ref="AL32" authorId="0" shapeId="0">
      <text>
        <r>
          <rPr>
            <b/>
            <sz val="9"/>
            <color indexed="81"/>
            <rFont val="Tahoma"/>
            <family val="2"/>
          </rPr>
          <t>Author:</t>
        </r>
        <r>
          <rPr>
            <sz val="9"/>
            <color indexed="81"/>
            <rFont val="Tahoma"/>
            <family val="2"/>
          </rPr>
          <t xml:space="preserve">
Based on Armijo2020</t>
        </r>
      </text>
    </comment>
    <comment ref="AM32" authorId="0" shapeId="0">
      <text>
        <r>
          <rPr>
            <b/>
            <sz val="9"/>
            <color indexed="81"/>
            <rFont val="Tahoma"/>
            <family val="2"/>
          </rPr>
          <t>Author:</t>
        </r>
        <r>
          <rPr>
            <sz val="9"/>
            <color indexed="81"/>
            <rFont val="Tahoma"/>
            <family val="2"/>
          </rPr>
          <t xml:space="preserve">
Based on MMZCS2023</t>
        </r>
      </text>
    </comment>
    <comment ref="AN32" authorId="0" shapeId="0">
      <text>
        <r>
          <rPr>
            <b/>
            <sz val="9"/>
            <color indexed="81"/>
            <rFont val="Tahoma"/>
            <family val="2"/>
          </rPr>
          <t>Author:</t>
        </r>
        <r>
          <rPr>
            <sz val="9"/>
            <color indexed="81"/>
            <rFont val="Tahoma"/>
            <family val="2"/>
          </rPr>
          <t xml:space="preserve">
Taking the best case of 2030 based on MMZCS2023</t>
        </r>
      </text>
    </comment>
    <comment ref="AO32" authorId="0" shapeId="0">
      <text>
        <r>
          <rPr>
            <b/>
            <sz val="9"/>
            <color indexed="81"/>
            <rFont val="Tahoma"/>
            <family val="2"/>
          </rPr>
          <t>Author:</t>
        </r>
        <r>
          <rPr>
            <sz val="9"/>
            <color indexed="81"/>
            <rFont val="Tahoma"/>
            <family val="2"/>
          </rPr>
          <t xml:space="preserve">
Taking the best case of 2030 based on MMZCS2023</t>
        </r>
      </text>
    </comment>
    <comment ref="AP32" authorId="0" shapeId="0">
      <text>
        <r>
          <rPr>
            <b/>
            <sz val="9"/>
            <color indexed="81"/>
            <rFont val="Tahoma"/>
            <family val="2"/>
          </rPr>
          <t>Author:</t>
        </r>
        <r>
          <rPr>
            <sz val="9"/>
            <color indexed="81"/>
            <rFont val="Tahoma"/>
            <family val="2"/>
          </rPr>
          <t xml:space="preserve">
Based on MMZCS2023</t>
        </r>
      </text>
    </comment>
    <comment ref="AQ32" authorId="0" shapeId="0">
      <text>
        <r>
          <rPr>
            <b/>
            <sz val="9"/>
            <color indexed="81"/>
            <rFont val="Tahoma"/>
            <family val="2"/>
          </rPr>
          <t>Author:</t>
        </r>
        <r>
          <rPr>
            <sz val="9"/>
            <color indexed="81"/>
            <rFont val="Tahoma"/>
            <family val="2"/>
          </rPr>
          <t xml:space="preserve">
Based on MMZCS2023</t>
        </r>
      </text>
    </comment>
    <comment ref="AR32" authorId="0" shapeId="0">
      <text>
        <r>
          <rPr>
            <b/>
            <sz val="9"/>
            <color indexed="81"/>
            <rFont val="Tahoma"/>
            <family val="2"/>
          </rPr>
          <t>Author:</t>
        </r>
        <r>
          <rPr>
            <sz val="9"/>
            <color indexed="81"/>
            <rFont val="Tahoma"/>
            <family val="2"/>
          </rPr>
          <t xml:space="preserve">
Based on MMZCS2023</t>
        </r>
      </text>
    </comment>
    <comment ref="AS32" authorId="0" shapeId="0">
      <text>
        <r>
          <rPr>
            <b/>
            <sz val="9"/>
            <color indexed="81"/>
            <rFont val="Tahoma"/>
            <family val="2"/>
          </rPr>
          <t>Author:</t>
        </r>
        <r>
          <rPr>
            <sz val="9"/>
            <color indexed="81"/>
            <rFont val="Tahoma"/>
            <family val="2"/>
          </rPr>
          <t xml:space="preserve">
Based on MMZCS2023</t>
        </r>
      </text>
    </comment>
    <comment ref="AT32" authorId="0" shapeId="0">
      <text>
        <r>
          <rPr>
            <b/>
            <sz val="9"/>
            <color indexed="81"/>
            <rFont val="Tahoma"/>
            <family val="2"/>
          </rPr>
          <t>Author:</t>
        </r>
        <r>
          <rPr>
            <sz val="9"/>
            <color indexed="81"/>
            <rFont val="Tahoma"/>
            <family val="2"/>
          </rPr>
          <t xml:space="preserve">
Based on MMZCS2023 using a power law</t>
        </r>
      </text>
    </comment>
    <comment ref="AU32" authorId="0" shapeId="0">
      <text>
        <r>
          <rPr>
            <b/>
            <sz val="9"/>
            <color indexed="81"/>
            <rFont val="Tahoma"/>
            <family val="2"/>
          </rPr>
          <t>Author:</t>
        </r>
        <r>
          <rPr>
            <sz val="9"/>
            <color indexed="81"/>
            <rFont val="Tahoma"/>
            <family val="2"/>
          </rPr>
          <t xml:space="preserve">
Based on MMZCS2023 using a power law</t>
        </r>
      </text>
    </comment>
    <comment ref="AV32" authorId="0" shapeId="0">
      <text>
        <r>
          <rPr>
            <b/>
            <sz val="9"/>
            <color indexed="81"/>
            <rFont val="Tahoma"/>
            <family val="2"/>
          </rPr>
          <t>Author:</t>
        </r>
        <r>
          <rPr>
            <sz val="9"/>
            <color indexed="81"/>
            <rFont val="Tahoma"/>
            <family val="2"/>
          </rPr>
          <t xml:space="preserve">
Based on MMZCS2023 using a power law</t>
        </r>
      </text>
    </comment>
    <comment ref="AW32" authorId="0" shapeId="0">
      <text>
        <r>
          <rPr>
            <b/>
            <sz val="9"/>
            <color indexed="81"/>
            <rFont val="Tahoma"/>
            <family val="2"/>
          </rPr>
          <t>Author:</t>
        </r>
        <r>
          <rPr>
            <sz val="9"/>
            <color indexed="81"/>
            <rFont val="Tahoma"/>
            <family val="2"/>
          </rPr>
          <t xml:space="preserve">
Based on MMZCS2023 using a power law</t>
        </r>
      </text>
    </comment>
    <comment ref="AX32" authorId="0" shapeId="0">
      <text>
        <r>
          <rPr>
            <b/>
            <sz val="9"/>
            <color indexed="81"/>
            <rFont val="Tahoma"/>
            <family val="2"/>
          </rPr>
          <t>Author:</t>
        </r>
        <r>
          <rPr>
            <sz val="9"/>
            <color indexed="81"/>
            <rFont val="Tahoma"/>
            <family val="2"/>
          </rPr>
          <t xml:space="preserve">
4% Capex based on MMZCS2023</t>
        </r>
      </text>
    </comment>
    <comment ref="AY32" authorId="0" shapeId="0">
      <text>
        <r>
          <rPr>
            <b/>
            <sz val="9"/>
            <color indexed="81"/>
            <rFont val="Tahoma"/>
            <family val="2"/>
          </rPr>
          <t>Author:</t>
        </r>
        <r>
          <rPr>
            <sz val="9"/>
            <color indexed="81"/>
            <rFont val="Tahoma"/>
            <family val="2"/>
          </rPr>
          <t xml:space="preserve">
4% Capex based on MMZCS2023</t>
        </r>
      </text>
    </comment>
    <comment ref="AZ32" authorId="0" shapeId="0">
      <text>
        <r>
          <rPr>
            <b/>
            <sz val="9"/>
            <color indexed="81"/>
            <rFont val="Tahoma"/>
            <family val="2"/>
          </rPr>
          <t>Author:</t>
        </r>
        <r>
          <rPr>
            <sz val="9"/>
            <color indexed="81"/>
            <rFont val="Tahoma"/>
            <family val="2"/>
          </rPr>
          <t xml:space="preserve">
4% Capex based on MMZCS2023</t>
        </r>
      </text>
    </comment>
    <comment ref="BA32" authorId="0" shapeId="0">
      <text>
        <r>
          <rPr>
            <b/>
            <sz val="9"/>
            <color indexed="81"/>
            <rFont val="Tahoma"/>
            <family val="2"/>
          </rPr>
          <t>Author:</t>
        </r>
        <r>
          <rPr>
            <sz val="9"/>
            <color indexed="81"/>
            <rFont val="Tahoma"/>
            <family val="2"/>
          </rPr>
          <t xml:space="preserve">
4% Capex based on MMZCS2023</t>
        </r>
      </text>
    </comment>
    <comment ref="BR32" authorId="0" shapeId="0">
      <text>
        <r>
          <rPr>
            <b/>
            <sz val="9"/>
            <color indexed="81"/>
            <rFont val="Tahoma"/>
            <family val="2"/>
          </rPr>
          <t>Author:</t>
        </r>
        <r>
          <rPr>
            <sz val="9"/>
            <color indexed="81"/>
            <rFont val="Tahoma"/>
            <family val="2"/>
          </rPr>
          <t xml:space="preserve">
From MMZCS2023</t>
        </r>
      </text>
    </comment>
    <comment ref="BS32" authorId="0" shapeId="0">
      <text>
        <r>
          <rPr>
            <b/>
            <sz val="9"/>
            <color indexed="81"/>
            <rFont val="Tahoma"/>
            <family val="2"/>
          </rPr>
          <t>Author:</t>
        </r>
        <r>
          <rPr>
            <sz val="9"/>
            <color indexed="81"/>
            <rFont val="Tahoma"/>
            <family val="2"/>
          </rPr>
          <t xml:space="preserve">
From MMZCS2023</t>
        </r>
      </text>
    </comment>
    <comment ref="BT32" authorId="0" shapeId="0">
      <text>
        <r>
          <rPr>
            <b/>
            <sz val="9"/>
            <color indexed="81"/>
            <rFont val="Tahoma"/>
            <family val="2"/>
          </rPr>
          <t>Author:</t>
        </r>
        <r>
          <rPr>
            <sz val="9"/>
            <color indexed="81"/>
            <rFont val="Tahoma"/>
            <family val="2"/>
          </rPr>
          <t xml:space="preserve">
From MMZCS2023</t>
        </r>
      </text>
    </comment>
    <comment ref="BU32" authorId="0" shapeId="0">
      <text>
        <r>
          <rPr>
            <b/>
            <sz val="9"/>
            <color indexed="81"/>
            <rFont val="Tahoma"/>
            <family val="2"/>
          </rPr>
          <t>Author:</t>
        </r>
        <r>
          <rPr>
            <sz val="9"/>
            <color indexed="81"/>
            <rFont val="Tahoma"/>
            <family val="2"/>
          </rPr>
          <t xml:space="preserve">
From MMZCS2023</t>
        </r>
      </text>
    </comment>
    <comment ref="AD33" authorId="0" shapeId="0">
      <text>
        <r>
          <rPr>
            <b/>
            <sz val="9"/>
            <color indexed="81"/>
            <rFont val="Tahoma"/>
            <family val="2"/>
          </rPr>
          <t>Author:</t>
        </r>
        <r>
          <rPr>
            <sz val="9"/>
            <color indexed="81"/>
            <rFont val="Tahoma"/>
            <family val="2"/>
          </rPr>
          <t xml:space="preserve">
Based on Induspart2023</t>
        </r>
      </text>
    </comment>
    <comment ref="AE33" authorId="0" shapeId="0">
      <text>
        <r>
          <rPr>
            <b/>
            <sz val="9"/>
            <color indexed="81"/>
            <rFont val="Tahoma"/>
            <family val="2"/>
          </rPr>
          <t>Author:</t>
        </r>
        <r>
          <rPr>
            <sz val="9"/>
            <color indexed="81"/>
            <rFont val="Tahoma"/>
            <family val="2"/>
          </rPr>
          <t xml:space="preserve">
Based on Induspart2023</t>
        </r>
      </text>
    </comment>
    <comment ref="AF33" authorId="0" shapeId="0">
      <text>
        <r>
          <rPr>
            <b/>
            <sz val="9"/>
            <color indexed="81"/>
            <rFont val="Tahoma"/>
            <family val="2"/>
          </rPr>
          <t>Author:</t>
        </r>
        <r>
          <rPr>
            <sz val="9"/>
            <color indexed="81"/>
            <rFont val="Tahoma"/>
            <family val="2"/>
          </rPr>
          <t xml:space="preserve">
Based on Induspart2023</t>
        </r>
      </text>
    </comment>
    <comment ref="AG33" authorId="0" shapeId="0">
      <text>
        <r>
          <rPr>
            <b/>
            <sz val="9"/>
            <color indexed="81"/>
            <rFont val="Tahoma"/>
            <family val="2"/>
          </rPr>
          <t>Author:</t>
        </r>
        <r>
          <rPr>
            <sz val="9"/>
            <color indexed="81"/>
            <rFont val="Tahoma"/>
            <family val="2"/>
          </rPr>
          <t xml:space="preserve">
Based on Induspart2023</t>
        </r>
      </text>
    </comment>
    <comment ref="AH33" authorId="0" shapeId="0">
      <text>
        <r>
          <rPr>
            <b/>
            <sz val="9"/>
            <color indexed="81"/>
            <rFont val="Tahoma"/>
            <family val="2"/>
          </rPr>
          <t>Author:</t>
        </r>
        <r>
          <rPr>
            <sz val="9"/>
            <color indexed="81"/>
            <rFont val="Tahoma"/>
            <family val="2"/>
          </rPr>
          <t xml:space="preserve">
Based on Induspart2023</t>
        </r>
      </text>
    </comment>
    <comment ref="AI33" authorId="0" shapeId="0">
      <text>
        <r>
          <rPr>
            <b/>
            <sz val="9"/>
            <color indexed="81"/>
            <rFont val="Tahoma"/>
            <family val="2"/>
          </rPr>
          <t>Author:</t>
        </r>
        <r>
          <rPr>
            <sz val="9"/>
            <color indexed="81"/>
            <rFont val="Tahoma"/>
            <family val="2"/>
          </rPr>
          <t xml:space="preserve">
Based on Induspart2023</t>
        </r>
      </text>
    </comment>
    <comment ref="AJ33" authorId="0" shapeId="0">
      <text>
        <r>
          <rPr>
            <b/>
            <sz val="9"/>
            <color indexed="81"/>
            <rFont val="Tahoma"/>
            <family val="2"/>
          </rPr>
          <t>Author:</t>
        </r>
        <r>
          <rPr>
            <sz val="9"/>
            <color indexed="81"/>
            <rFont val="Tahoma"/>
            <family val="2"/>
          </rPr>
          <t xml:space="preserve">
Based on Induspart2023</t>
        </r>
      </text>
    </comment>
    <comment ref="AK33" authorId="0" shapeId="0">
      <text>
        <r>
          <rPr>
            <b/>
            <sz val="9"/>
            <color indexed="81"/>
            <rFont val="Tahoma"/>
            <family val="2"/>
          </rPr>
          <t>Author:</t>
        </r>
        <r>
          <rPr>
            <sz val="9"/>
            <color indexed="81"/>
            <rFont val="Tahoma"/>
            <family val="2"/>
          </rPr>
          <t xml:space="preserve">
Based on Induspart2023</t>
        </r>
      </text>
    </comment>
    <comment ref="AL33" authorId="0" shapeId="0">
      <text>
        <r>
          <rPr>
            <b/>
            <sz val="9"/>
            <color indexed="81"/>
            <rFont val="Tahoma"/>
            <family val="2"/>
          </rPr>
          <t>Author:</t>
        </r>
        <r>
          <rPr>
            <sz val="9"/>
            <color indexed="81"/>
            <rFont val="Tahoma"/>
            <family val="2"/>
          </rPr>
          <t xml:space="preserve">
Based on Induspart2023</t>
        </r>
      </text>
    </comment>
    <comment ref="AM33" authorId="0" shapeId="0">
      <text>
        <r>
          <rPr>
            <b/>
            <sz val="9"/>
            <color indexed="81"/>
            <rFont val="Tahoma"/>
            <family val="2"/>
          </rPr>
          <t>Author:</t>
        </r>
        <r>
          <rPr>
            <sz val="9"/>
            <color indexed="81"/>
            <rFont val="Tahoma"/>
            <family val="2"/>
          </rPr>
          <t xml:space="preserve">
Based on Induspart2023</t>
        </r>
      </text>
    </comment>
    <comment ref="AN33" authorId="0" shapeId="0">
      <text>
        <r>
          <rPr>
            <b/>
            <sz val="9"/>
            <color indexed="81"/>
            <rFont val="Tahoma"/>
            <family val="2"/>
          </rPr>
          <t>Author:</t>
        </r>
        <r>
          <rPr>
            <sz val="9"/>
            <color indexed="81"/>
            <rFont val="Tahoma"/>
            <family val="2"/>
          </rPr>
          <t xml:space="preserve">
Based on Induspart2023</t>
        </r>
      </text>
    </comment>
    <comment ref="AO33" authorId="0" shapeId="0">
      <text>
        <r>
          <rPr>
            <b/>
            <sz val="9"/>
            <color indexed="81"/>
            <rFont val="Tahoma"/>
            <family val="2"/>
          </rPr>
          <t>Author:</t>
        </r>
        <r>
          <rPr>
            <sz val="9"/>
            <color indexed="81"/>
            <rFont val="Tahoma"/>
            <family val="2"/>
          </rPr>
          <t xml:space="preserve">
Based on Induspart2023</t>
        </r>
      </text>
    </comment>
    <comment ref="R35"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text>
        <r>
          <rPr>
            <b/>
            <sz val="9"/>
            <color indexed="81"/>
            <rFont val="Tahoma"/>
            <family val="2"/>
          </rPr>
          <t>Author:</t>
        </r>
        <r>
          <rPr>
            <sz val="9"/>
            <color indexed="81"/>
            <rFont val="Tahoma"/>
            <family val="2"/>
          </rPr>
          <t xml:space="preserve">
From Campion2023</t>
        </r>
      </text>
    </comment>
    <comment ref="AQ35" authorId="0" shapeId="0">
      <text>
        <r>
          <rPr>
            <b/>
            <sz val="9"/>
            <color indexed="81"/>
            <rFont val="Tahoma"/>
            <family val="2"/>
          </rPr>
          <t>Author:</t>
        </r>
        <r>
          <rPr>
            <sz val="9"/>
            <color indexed="81"/>
            <rFont val="Tahoma"/>
            <family val="2"/>
          </rPr>
          <t xml:space="preserve">
Based on MMZCS2023</t>
        </r>
      </text>
    </comment>
    <comment ref="AR35" authorId="0" shapeId="0">
      <text>
        <r>
          <rPr>
            <b/>
            <sz val="9"/>
            <color indexed="81"/>
            <rFont val="Tahoma"/>
            <family val="2"/>
          </rPr>
          <t>Author:</t>
        </r>
        <r>
          <rPr>
            <sz val="9"/>
            <color indexed="81"/>
            <rFont val="Tahoma"/>
            <family val="2"/>
          </rPr>
          <t xml:space="preserve">
Based on MMZCS2023</t>
        </r>
      </text>
    </comment>
    <comment ref="AS35" authorId="0" shapeId="0">
      <text>
        <r>
          <rPr>
            <b/>
            <sz val="9"/>
            <color indexed="81"/>
            <rFont val="Tahoma"/>
            <family val="2"/>
          </rPr>
          <t>Author:</t>
        </r>
        <r>
          <rPr>
            <sz val="9"/>
            <color indexed="81"/>
            <rFont val="Tahoma"/>
            <family val="2"/>
          </rPr>
          <t xml:space="preserve">
Based on MMZCS2023</t>
        </r>
      </text>
    </comment>
    <comment ref="AT35" authorId="0" shapeId="0">
      <text>
        <r>
          <rPr>
            <b/>
            <sz val="9"/>
            <color indexed="81"/>
            <rFont val="Tahoma"/>
            <family val="2"/>
          </rPr>
          <t>Author:</t>
        </r>
        <r>
          <rPr>
            <sz val="9"/>
            <color indexed="81"/>
            <rFont val="Tahoma"/>
            <family val="2"/>
          </rPr>
          <t xml:space="preserve">
From MMZCS2023</t>
        </r>
      </text>
    </comment>
    <comment ref="AU35" authorId="0" shapeId="0">
      <text>
        <r>
          <rPr>
            <b/>
            <sz val="9"/>
            <color indexed="81"/>
            <rFont val="Tahoma"/>
            <family val="2"/>
          </rPr>
          <t>Author:</t>
        </r>
        <r>
          <rPr>
            <sz val="9"/>
            <color indexed="81"/>
            <rFont val="Tahoma"/>
            <family val="2"/>
          </rPr>
          <t xml:space="preserve">
From MMZCS2023</t>
        </r>
      </text>
    </comment>
    <comment ref="AW35" authorId="0" shapeId="0">
      <text>
        <r>
          <rPr>
            <b/>
            <sz val="9"/>
            <color indexed="81"/>
            <rFont val="Tahoma"/>
            <family val="2"/>
          </rPr>
          <t>Author:</t>
        </r>
        <r>
          <rPr>
            <sz val="9"/>
            <color indexed="81"/>
            <rFont val="Tahoma"/>
            <family val="2"/>
          </rPr>
          <t xml:space="preserve">
From MMZCS2023</t>
        </r>
      </text>
    </comment>
    <comment ref="AX35" authorId="0" shapeId="0">
      <text>
        <r>
          <rPr>
            <b/>
            <sz val="9"/>
            <color indexed="81"/>
            <rFont val="Tahoma"/>
            <family val="2"/>
          </rPr>
          <t>Author:</t>
        </r>
        <r>
          <rPr>
            <sz val="9"/>
            <color indexed="81"/>
            <rFont val="Tahoma"/>
            <family val="2"/>
          </rPr>
          <t xml:space="preserve">
Using 10% Capex based on MMZCS2023</t>
        </r>
      </text>
    </comment>
    <comment ref="AY35" authorId="0" shapeId="0">
      <text>
        <r>
          <rPr>
            <b/>
            <sz val="9"/>
            <color indexed="81"/>
            <rFont val="Tahoma"/>
            <family val="2"/>
          </rPr>
          <t>Author:</t>
        </r>
        <r>
          <rPr>
            <sz val="9"/>
            <color indexed="81"/>
            <rFont val="Tahoma"/>
            <family val="2"/>
          </rPr>
          <t xml:space="preserve">
Using 10% Capex based on MMZCS2023</t>
        </r>
      </text>
    </comment>
    <comment ref="AZ35" authorId="0" shapeId="0">
      <text>
        <r>
          <rPr>
            <b/>
            <sz val="9"/>
            <color indexed="81"/>
            <rFont val="Tahoma"/>
            <family val="2"/>
          </rPr>
          <t>Author:</t>
        </r>
        <r>
          <rPr>
            <sz val="9"/>
            <color indexed="81"/>
            <rFont val="Tahoma"/>
            <family val="2"/>
          </rPr>
          <t xml:space="preserve">
Using 10% Capex based on MMZCS2023</t>
        </r>
      </text>
    </comment>
    <comment ref="BA35" authorId="0" shapeId="0">
      <text>
        <r>
          <rPr>
            <b/>
            <sz val="9"/>
            <color indexed="81"/>
            <rFont val="Tahoma"/>
            <family val="2"/>
          </rPr>
          <t>Author:</t>
        </r>
        <r>
          <rPr>
            <sz val="9"/>
            <color indexed="81"/>
            <rFont val="Tahoma"/>
            <family val="2"/>
          </rPr>
          <t xml:space="preserve">
Using 10% Capex based on MMZCS2023</t>
        </r>
      </text>
    </comment>
    <comment ref="BR35" authorId="0" shapeId="0">
      <text>
        <r>
          <rPr>
            <b/>
            <sz val="9"/>
            <color indexed="81"/>
            <rFont val="Tahoma"/>
            <family val="2"/>
          </rPr>
          <t>Author:</t>
        </r>
        <r>
          <rPr>
            <sz val="9"/>
            <color indexed="81"/>
            <rFont val="Tahoma"/>
            <family val="2"/>
          </rPr>
          <t xml:space="preserve">
From MMZCS2023</t>
        </r>
      </text>
    </comment>
    <comment ref="BS35" authorId="0" shapeId="0">
      <text>
        <r>
          <rPr>
            <b/>
            <sz val="9"/>
            <color indexed="81"/>
            <rFont val="Tahoma"/>
            <family val="2"/>
          </rPr>
          <t>Author:</t>
        </r>
        <r>
          <rPr>
            <sz val="9"/>
            <color indexed="81"/>
            <rFont val="Tahoma"/>
            <family val="2"/>
          </rPr>
          <t xml:space="preserve">
From MMZCS2023</t>
        </r>
      </text>
    </comment>
    <comment ref="BT35" authorId="0" shapeId="0">
      <text>
        <r>
          <rPr>
            <b/>
            <sz val="9"/>
            <color indexed="81"/>
            <rFont val="Tahoma"/>
            <family val="2"/>
          </rPr>
          <t>Author:</t>
        </r>
        <r>
          <rPr>
            <sz val="9"/>
            <color indexed="81"/>
            <rFont val="Tahoma"/>
            <family val="2"/>
          </rPr>
          <t xml:space="preserve">
From MMZCS2023</t>
        </r>
      </text>
    </comment>
    <comment ref="BU35" authorId="0" shapeId="0">
      <text>
        <r>
          <rPr>
            <b/>
            <sz val="9"/>
            <color indexed="81"/>
            <rFont val="Tahoma"/>
            <family val="2"/>
          </rPr>
          <t>Author:</t>
        </r>
        <r>
          <rPr>
            <sz val="9"/>
            <color indexed="81"/>
            <rFont val="Tahoma"/>
            <family val="2"/>
          </rPr>
          <t xml:space="preserve">
From MMZCS2023</t>
        </r>
      </text>
    </comment>
    <comment ref="R36"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text>
        <r>
          <rPr>
            <b/>
            <sz val="9"/>
            <color indexed="81"/>
            <rFont val="Tahoma"/>
            <family val="2"/>
          </rPr>
          <t>Author:</t>
        </r>
        <r>
          <rPr>
            <sz val="9"/>
            <color indexed="81"/>
            <rFont val="Tahoma"/>
            <family val="2"/>
          </rPr>
          <t xml:space="preserve">
Based on Campion2023</t>
        </r>
      </text>
    </comment>
    <comment ref="AQ36" authorId="0" shapeId="0">
      <text>
        <r>
          <rPr>
            <b/>
            <sz val="9"/>
            <color indexed="81"/>
            <rFont val="Tahoma"/>
            <family val="2"/>
          </rPr>
          <t>Author:</t>
        </r>
        <r>
          <rPr>
            <sz val="9"/>
            <color indexed="81"/>
            <rFont val="Tahoma"/>
            <family val="2"/>
          </rPr>
          <t xml:space="preserve">
Based on MMZCS2023</t>
        </r>
      </text>
    </comment>
    <comment ref="AR36" authorId="0" shapeId="0">
      <text>
        <r>
          <rPr>
            <b/>
            <sz val="9"/>
            <color indexed="81"/>
            <rFont val="Tahoma"/>
            <family val="2"/>
          </rPr>
          <t>Author:</t>
        </r>
        <r>
          <rPr>
            <sz val="9"/>
            <color indexed="81"/>
            <rFont val="Tahoma"/>
            <family val="2"/>
          </rPr>
          <t xml:space="preserve">
Based on MMZCS2023</t>
        </r>
      </text>
    </comment>
    <comment ref="AS36" authorId="0" shapeId="0">
      <text>
        <r>
          <rPr>
            <b/>
            <sz val="9"/>
            <color indexed="81"/>
            <rFont val="Tahoma"/>
            <family val="2"/>
          </rPr>
          <t>Author:</t>
        </r>
        <r>
          <rPr>
            <sz val="9"/>
            <color indexed="81"/>
            <rFont val="Tahoma"/>
            <family val="2"/>
          </rPr>
          <t xml:space="preserve">
Based on MMZCS2023</t>
        </r>
      </text>
    </comment>
    <comment ref="AT36" authorId="0" shapeId="0">
      <text>
        <r>
          <rPr>
            <b/>
            <sz val="9"/>
            <color indexed="81"/>
            <rFont val="Tahoma"/>
            <family val="2"/>
          </rPr>
          <t>Author:</t>
        </r>
        <r>
          <rPr>
            <sz val="9"/>
            <color indexed="81"/>
            <rFont val="Tahoma"/>
            <family val="2"/>
          </rPr>
          <t xml:space="preserve">
From MMZCS2023</t>
        </r>
      </text>
    </comment>
    <comment ref="AU36" authorId="0" shapeId="0">
      <text>
        <r>
          <rPr>
            <b/>
            <sz val="9"/>
            <color indexed="81"/>
            <rFont val="Tahoma"/>
            <family val="2"/>
          </rPr>
          <t>Author:</t>
        </r>
        <r>
          <rPr>
            <sz val="9"/>
            <color indexed="81"/>
            <rFont val="Tahoma"/>
            <family val="2"/>
          </rPr>
          <t xml:space="preserve">
Based on NREL2020</t>
        </r>
      </text>
    </comment>
    <comment ref="AW36" authorId="0" shapeId="0">
      <text>
        <r>
          <rPr>
            <b/>
            <sz val="9"/>
            <color indexed="81"/>
            <rFont val="Tahoma"/>
            <family val="2"/>
          </rPr>
          <t>Author:</t>
        </r>
        <r>
          <rPr>
            <sz val="9"/>
            <color indexed="81"/>
            <rFont val="Tahoma"/>
            <family val="2"/>
          </rPr>
          <t xml:space="preserve">
From MMZCS2023</t>
        </r>
      </text>
    </comment>
    <comment ref="AX36" authorId="0" shapeId="0">
      <text>
        <r>
          <rPr>
            <b/>
            <sz val="9"/>
            <color indexed="81"/>
            <rFont val="Tahoma"/>
            <family val="2"/>
          </rPr>
          <t>Author:</t>
        </r>
        <r>
          <rPr>
            <sz val="9"/>
            <color indexed="81"/>
            <rFont val="Tahoma"/>
            <family val="2"/>
          </rPr>
          <t xml:space="preserve">
8.55% Capex based on NREL2020</t>
        </r>
      </text>
    </comment>
    <comment ref="AY36" authorId="0" shapeId="0">
      <text>
        <r>
          <rPr>
            <b/>
            <sz val="9"/>
            <color indexed="81"/>
            <rFont val="Tahoma"/>
            <family val="2"/>
          </rPr>
          <t>Author:</t>
        </r>
        <r>
          <rPr>
            <sz val="9"/>
            <color indexed="81"/>
            <rFont val="Tahoma"/>
            <family val="2"/>
          </rPr>
          <t xml:space="preserve">
8.55% Capex based on NREL2020</t>
        </r>
      </text>
    </comment>
    <comment ref="AZ36" authorId="0" shapeId="0">
      <text>
        <r>
          <rPr>
            <b/>
            <sz val="9"/>
            <color indexed="81"/>
            <rFont val="Tahoma"/>
            <family val="2"/>
          </rPr>
          <t>Author:</t>
        </r>
        <r>
          <rPr>
            <sz val="9"/>
            <color indexed="81"/>
            <rFont val="Tahoma"/>
            <family val="2"/>
          </rPr>
          <t xml:space="preserve">
8.55% Capex based on NREL2020</t>
        </r>
      </text>
    </comment>
    <comment ref="BA36" authorId="0" shapeId="0">
      <text>
        <r>
          <rPr>
            <b/>
            <sz val="9"/>
            <color indexed="81"/>
            <rFont val="Tahoma"/>
            <family val="2"/>
          </rPr>
          <t>Author:</t>
        </r>
        <r>
          <rPr>
            <sz val="9"/>
            <color indexed="81"/>
            <rFont val="Tahoma"/>
            <family val="2"/>
          </rPr>
          <t xml:space="preserve">
8.55% Capex based on NREL2020</t>
        </r>
      </text>
    </comment>
    <comment ref="BR36" authorId="0" shapeId="0">
      <text>
        <r>
          <rPr>
            <b/>
            <sz val="9"/>
            <color indexed="81"/>
            <rFont val="Tahoma"/>
            <family val="2"/>
          </rPr>
          <t>Author:</t>
        </r>
        <r>
          <rPr>
            <sz val="9"/>
            <color indexed="81"/>
            <rFont val="Tahoma"/>
            <family val="2"/>
          </rPr>
          <t xml:space="preserve">
From MMZCS2023</t>
        </r>
      </text>
    </comment>
    <comment ref="BS36" authorId="0" shapeId="0">
      <text>
        <r>
          <rPr>
            <b/>
            <sz val="9"/>
            <color indexed="81"/>
            <rFont val="Tahoma"/>
            <family val="2"/>
          </rPr>
          <t>Author:</t>
        </r>
        <r>
          <rPr>
            <sz val="9"/>
            <color indexed="81"/>
            <rFont val="Tahoma"/>
            <family val="2"/>
          </rPr>
          <t xml:space="preserve">
From MMZCS2023</t>
        </r>
      </text>
    </comment>
    <comment ref="BT36" authorId="0" shapeId="0">
      <text>
        <r>
          <rPr>
            <b/>
            <sz val="9"/>
            <color indexed="81"/>
            <rFont val="Tahoma"/>
            <family val="2"/>
          </rPr>
          <t>Author:</t>
        </r>
        <r>
          <rPr>
            <sz val="9"/>
            <color indexed="81"/>
            <rFont val="Tahoma"/>
            <family val="2"/>
          </rPr>
          <t xml:space="preserve">
From MMZCS2023</t>
        </r>
      </text>
    </comment>
    <comment ref="BU36" authorId="0" shapeId="0">
      <text>
        <r>
          <rPr>
            <b/>
            <sz val="9"/>
            <color indexed="81"/>
            <rFont val="Tahoma"/>
            <family val="2"/>
          </rPr>
          <t>Author:</t>
        </r>
        <r>
          <rPr>
            <sz val="9"/>
            <color indexed="81"/>
            <rFont val="Tahoma"/>
            <family val="2"/>
          </rPr>
          <t xml:space="preserve">
From MMZCS2023</t>
        </r>
      </text>
    </comment>
    <comment ref="R37"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text>
        <r>
          <rPr>
            <b/>
            <sz val="9"/>
            <color indexed="81"/>
            <rFont val="Tahoma"/>
            <family val="2"/>
          </rPr>
          <t>Author:</t>
        </r>
        <r>
          <rPr>
            <sz val="9"/>
            <color indexed="81"/>
            <rFont val="Tahoma"/>
            <family val="2"/>
          </rPr>
          <t xml:space="preserve">
Based on MMZCS2023</t>
        </r>
      </text>
    </comment>
    <comment ref="AQ37" authorId="0" shapeId="0">
      <text>
        <r>
          <rPr>
            <b/>
            <sz val="9"/>
            <color indexed="81"/>
            <rFont val="Tahoma"/>
            <family val="2"/>
          </rPr>
          <t>Author:</t>
        </r>
        <r>
          <rPr>
            <sz val="9"/>
            <color indexed="81"/>
            <rFont val="Tahoma"/>
            <family val="2"/>
          </rPr>
          <t xml:space="preserve">
Based on MMZCS2023</t>
        </r>
      </text>
    </comment>
    <comment ref="AR37" authorId="0" shapeId="0">
      <text>
        <r>
          <rPr>
            <b/>
            <sz val="9"/>
            <color indexed="81"/>
            <rFont val="Tahoma"/>
            <family val="2"/>
          </rPr>
          <t>Author:</t>
        </r>
        <r>
          <rPr>
            <sz val="9"/>
            <color indexed="81"/>
            <rFont val="Tahoma"/>
            <family val="2"/>
          </rPr>
          <t xml:space="preserve">
Based on MMZCS2023</t>
        </r>
      </text>
    </comment>
    <comment ref="AS37" authorId="0" shapeId="0">
      <text>
        <r>
          <rPr>
            <b/>
            <sz val="9"/>
            <color indexed="81"/>
            <rFont val="Tahoma"/>
            <family val="2"/>
          </rPr>
          <t>Author:</t>
        </r>
        <r>
          <rPr>
            <sz val="9"/>
            <color indexed="81"/>
            <rFont val="Tahoma"/>
            <family val="2"/>
          </rPr>
          <t xml:space="preserve">
Based on MMZCS2023</t>
        </r>
      </text>
    </comment>
    <comment ref="AT37" authorId="0" shapeId="0">
      <text>
        <r>
          <rPr>
            <b/>
            <sz val="9"/>
            <color indexed="81"/>
            <rFont val="Tahoma"/>
            <family val="2"/>
          </rPr>
          <t>Author:</t>
        </r>
        <r>
          <rPr>
            <sz val="9"/>
            <color indexed="81"/>
            <rFont val="Tahoma"/>
            <family val="2"/>
          </rPr>
          <t xml:space="preserve">
From MMZCS2023</t>
        </r>
      </text>
    </comment>
    <comment ref="AU37" authorId="0" shapeId="0">
      <text>
        <r>
          <rPr>
            <b/>
            <sz val="9"/>
            <color indexed="81"/>
            <rFont val="Tahoma"/>
            <family val="2"/>
          </rPr>
          <t>Author:</t>
        </r>
        <r>
          <rPr>
            <sz val="9"/>
            <color indexed="81"/>
            <rFont val="Tahoma"/>
            <family val="2"/>
          </rPr>
          <t xml:space="preserve">
Based on NREL2020</t>
        </r>
      </text>
    </comment>
    <comment ref="AW37" authorId="0" shapeId="0">
      <text>
        <r>
          <rPr>
            <b/>
            <sz val="9"/>
            <color indexed="81"/>
            <rFont val="Tahoma"/>
            <family val="2"/>
          </rPr>
          <t>Author:</t>
        </r>
        <r>
          <rPr>
            <sz val="9"/>
            <color indexed="81"/>
            <rFont val="Tahoma"/>
            <family val="2"/>
          </rPr>
          <t xml:space="preserve">
From MMZCS2023</t>
        </r>
      </text>
    </comment>
    <comment ref="AX37" authorId="0" shapeId="0">
      <text>
        <r>
          <rPr>
            <b/>
            <sz val="9"/>
            <color indexed="81"/>
            <rFont val="Tahoma"/>
            <family val="2"/>
          </rPr>
          <t>Author:</t>
        </r>
        <r>
          <rPr>
            <sz val="9"/>
            <color indexed="81"/>
            <rFont val="Tahoma"/>
            <family val="2"/>
          </rPr>
          <t xml:space="preserve">
8.55% Capex based on NREL2020</t>
        </r>
      </text>
    </comment>
    <comment ref="AY37" authorId="0" shapeId="0">
      <text>
        <r>
          <rPr>
            <b/>
            <sz val="9"/>
            <color indexed="81"/>
            <rFont val="Tahoma"/>
            <family val="2"/>
          </rPr>
          <t>Author:</t>
        </r>
        <r>
          <rPr>
            <sz val="9"/>
            <color indexed="81"/>
            <rFont val="Tahoma"/>
            <family val="2"/>
          </rPr>
          <t xml:space="preserve">
8.55% Capex based on NREL2020</t>
        </r>
      </text>
    </comment>
    <comment ref="AZ37" authorId="0" shapeId="0">
      <text>
        <r>
          <rPr>
            <b/>
            <sz val="9"/>
            <color indexed="81"/>
            <rFont val="Tahoma"/>
            <family val="2"/>
          </rPr>
          <t>Author:</t>
        </r>
        <r>
          <rPr>
            <sz val="9"/>
            <color indexed="81"/>
            <rFont val="Tahoma"/>
            <family val="2"/>
          </rPr>
          <t xml:space="preserve">
8.55% Capex based on NREL2020</t>
        </r>
      </text>
    </comment>
    <comment ref="BA37" authorId="0" shapeId="0">
      <text>
        <r>
          <rPr>
            <b/>
            <sz val="9"/>
            <color indexed="81"/>
            <rFont val="Tahoma"/>
            <family val="2"/>
          </rPr>
          <t>Author:</t>
        </r>
        <r>
          <rPr>
            <sz val="9"/>
            <color indexed="81"/>
            <rFont val="Tahoma"/>
            <family val="2"/>
          </rPr>
          <t xml:space="preserve">
8.55% Capex based on NREL2020</t>
        </r>
      </text>
    </comment>
    <comment ref="BR37" authorId="0" shapeId="0">
      <text>
        <r>
          <rPr>
            <b/>
            <sz val="9"/>
            <color indexed="81"/>
            <rFont val="Tahoma"/>
            <family val="2"/>
          </rPr>
          <t>Author:</t>
        </r>
        <r>
          <rPr>
            <sz val="9"/>
            <color indexed="81"/>
            <rFont val="Tahoma"/>
            <family val="2"/>
          </rPr>
          <t xml:space="preserve">
From MMZCS2023</t>
        </r>
      </text>
    </comment>
    <comment ref="BS37" authorId="0" shapeId="0">
      <text>
        <r>
          <rPr>
            <b/>
            <sz val="9"/>
            <color indexed="81"/>
            <rFont val="Tahoma"/>
            <family val="2"/>
          </rPr>
          <t>Author:</t>
        </r>
        <r>
          <rPr>
            <sz val="9"/>
            <color indexed="81"/>
            <rFont val="Tahoma"/>
            <family val="2"/>
          </rPr>
          <t xml:space="preserve">
From MMZCS2023</t>
        </r>
      </text>
    </comment>
    <comment ref="BT37" authorId="0" shapeId="0">
      <text>
        <r>
          <rPr>
            <b/>
            <sz val="9"/>
            <color indexed="81"/>
            <rFont val="Tahoma"/>
            <family val="2"/>
          </rPr>
          <t>Author:</t>
        </r>
        <r>
          <rPr>
            <sz val="9"/>
            <color indexed="81"/>
            <rFont val="Tahoma"/>
            <family val="2"/>
          </rPr>
          <t xml:space="preserve">
From MMZCS2023</t>
        </r>
      </text>
    </comment>
    <comment ref="BU37" authorId="0" shapeId="0">
      <text>
        <r>
          <rPr>
            <b/>
            <sz val="9"/>
            <color indexed="81"/>
            <rFont val="Tahoma"/>
            <family val="2"/>
          </rPr>
          <t>Author:</t>
        </r>
        <r>
          <rPr>
            <sz val="9"/>
            <color indexed="81"/>
            <rFont val="Tahoma"/>
            <family val="2"/>
          </rPr>
          <t xml:space="preserve">
From MMZCS2023</t>
        </r>
      </text>
    </comment>
    <comment ref="R38"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text>
        <r>
          <rPr>
            <b/>
            <sz val="9"/>
            <color indexed="81"/>
            <rFont val="Tahoma"/>
            <family val="2"/>
          </rPr>
          <t>Author:</t>
        </r>
        <r>
          <rPr>
            <sz val="9"/>
            <color indexed="81"/>
            <rFont val="Tahoma"/>
            <family val="2"/>
          </rPr>
          <t xml:space="preserve">
From MMZCS2023</t>
        </r>
      </text>
    </comment>
    <comment ref="BS38" authorId="0" shapeId="0">
      <text>
        <r>
          <rPr>
            <b/>
            <sz val="9"/>
            <color indexed="81"/>
            <rFont val="Tahoma"/>
            <family val="2"/>
          </rPr>
          <t>Author:</t>
        </r>
        <r>
          <rPr>
            <sz val="9"/>
            <color indexed="81"/>
            <rFont val="Tahoma"/>
            <family val="2"/>
          </rPr>
          <t xml:space="preserve">
From MMZCS2023</t>
        </r>
      </text>
    </comment>
    <comment ref="BT38" authorId="0" shapeId="0">
      <text>
        <r>
          <rPr>
            <b/>
            <sz val="9"/>
            <color indexed="81"/>
            <rFont val="Tahoma"/>
            <family val="2"/>
          </rPr>
          <t>Author:</t>
        </r>
        <r>
          <rPr>
            <sz val="9"/>
            <color indexed="81"/>
            <rFont val="Tahoma"/>
            <family val="2"/>
          </rPr>
          <t xml:space="preserve">
From MMZCS2023</t>
        </r>
      </text>
    </comment>
    <comment ref="BU38" authorId="0" shapeId="0">
      <text>
        <r>
          <rPr>
            <b/>
            <sz val="9"/>
            <color indexed="81"/>
            <rFont val="Tahoma"/>
            <family val="2"/>
          </rPr>
          <t>Author:</t>
        </r>
        <r>
          <rPr>
            <sz val="9"/>
            <color indexed="81"/>
            <rFont val="Tahoma"/>
            <family val="2"/>
          </rPr>
          <t xml:space="preserve">
From MMZCS2023</t>
        </r>
      </text>
    </comment>
    <comment ref="R39"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text>
        <r>
          <rPr>
            <b/>
            <sz val="9"/>
            <color indexed="81"/>
            <rFont val="Tahoma"/>
            <family val="2"/>
          </rPr>
          <t>Author:</t>
        </r>
        <r>
          <rPr>
            <sz val="9"/>
            <color indexed="81"/>
            <rFont val="Tahoma"/>
            <family val="2"/>
          </rPr>
          <t xml:space="preserve">
From MMZCS2023</t>
        </r>
      </text>
    </comment>
    <comment ref="BS39" authorId="0" shapeId="0">
      <text>
        <r>
          <rPr>
            <b/>
            <sz val="9"/>
            <color indexed="81"/>
            <rFont val="Tahoma"/>
            <family val="2"/>
          </rPr>
          <t>Author:</t>
        </r>
        <r>
          <rPr>
            <sz val="9"/>
            <color indexed="81"/>
            <rFont val="Tahoma"/>
            <family val="2"/>
          </rPr>
          <t xml:space="preserve">
From MMZCS2023</t>
        </r>
      </text>
    </comment>
    <comment ref="BT39" authorId="0" shapeId="0">
      <text>
        <r>
          <rPr>
            <b/>
            <sz val="9"/>
            <color indexed="81"/>
            <rFont val="Tahoma"/>
            <family val="2"/>
          </rPr>
          <t>Author:</t>
        </r>
        <r>
          <rPr>
            <sz val="9"/>
            <color indexed="81"/>
            <rFont val="Tahoma"/>
            <family val="2"/>
          </rPr>
          <t xml:space="preserve">
From MMZCS2023</t>
        </r>
      </text>
    </comment>
    <comment ref="BU39" authorId="0" shapeId="0">
      <text>
        <r>
          <rPr>
            <b/>
            <sz val="9"/>
            <color indexed="81"/>
            <rFont val="Tahoma"/>
            <family val="2"/>
          </rPr>
          <t>Author:</t>
        </r>
        <r>
          <rPr>
            <sz val="9"/>
            <color indexed="81"/>
            <rFont val="Tahoma"/>
            <family val="2"/>
          </rPr>
          <t xml:space="preserve">
From MMZCS2023</t>
        </r>
      </text>
    </comment>
    <comment ref="R40" authorId="0" shapeId="0">
      <text>
        <r>
          <rPr>
            <b/>
            <sz val="9"/>
            <color indexed="81"/>
            <rFont val="Tahoma"/>
            <family val="2"/>
          </rPr>
          <t>Author:</t>
        </r>
        <r>
          <rPr>
            <sz val="9"/>
            <color indexed="81"/>
            <rFont val="Tahoma"/>
            <family val="2"/>
          </rPr>
          <t xml:space="preserve">
Stoechiometric conversion</t>
        </r>
      </text>
    </comment>
    <comment ref="S40" authorId="0" shapeId="0">
      <text>
        <r>
          <rPr>
            <b/>
            <sz val="9"/>
            <color indexed="81"/>
            <rFont val="Tahoma"/>
            <family val="2"/>
          </rPr>
          <t>Author:</t>
        </r>
        <r>
          <rPr>
            <sz val="9"/>
            <color indexed="81"/>
            <rFont val="Tahoma"/>
            <family val="2"/>
          </rPr>
          <t xml:space="preserve">
Stoechiometric conversion</t>
        </r>
      </text>
    </comment>
    <comment ref="T40" authorId="0" shapeId="0">
      <text>
        <r>
          <rPr>
            <b/>
            <sz val="9"/>
            <color indexed="81"/>
            <rFont val="Tahoma"/>
            <family val="2"/>
          </rPr>
          <t>Author:</t>
        </r>
        <r>
          <rPr>
            <sz val="9"/>
            <color indexed="81"/>
            <rFont val="Tahoma"/>
            <family val="2"/>
          </rPr>
          <t xml:space="preserve">
Stoechiometric conversion</t>
        </r>
      </text>
    </comment>
    <comment ref="U40" authorId="0" shapeId="0">
      <text>
        <r>
          <rPr>
            <b/>
            <sz val="9"/>
            <color indexed="81"/>
            <rFont val="Tahoma"/>
            <family val="2"/>
          </rPr>
          <t>Author:</t>
        </r>
        <r>
          <rPr>
            <sz val="9"/>
            <color indexed="81"/>
            <rFont val="Tahoma"/>
            <family val="2"/>
          </rPr>
          <t xml:space="preserve">
Stoechiometric conversion</t>
        </r>
      </text>
    </comment>
    <comment ref="AP41" authorId="0" shapeId="0">
      <text>
        <r>
          <rPr>
            <b/>
            <sz val="9"/>
            <color indexed="81"/>
            <rFont val="Tahoma"/>
            <family val="2"/>
          </rPr>
          <t>Author:</t>
        </r>
        <r>
          <rPr>
            <sz val="9"/>
            <color indexed="81"/>
            <rFont val="Tahoma"/>
            <family val="2"/>
          </rPr>
          <t xml:space="preserve">
Based on BhmWP12023</t>
        </r>
      </text>
    </comment>
    <comment ref="AQ41" authorId="0" shapeId="0">
      <text>
        <r>
          <rPr>
            <b/>
            <sz val="9"/>
            <color indexed="81"/>
            <rFont val="Tahoma"/>
            <family val="2"/>
          </rPr>
          <t>Author:</t>
        </r>
        <r>
          <rPr>
            <sz val="9"/>
            <color indexed="81"/>
            <rFont val="Tahoma"/>
            <family val="2"/>
          </rPr>
          <t xml:space="preserve">
Based on BhmWP12023</t>
        </r>
      </text>
    </comment>
    <comment ref="AR41" authorId="0" shapeId="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text>
        <r>
          <rPr>
            <b/>
            <sz val="9"/>
            <color indexed="81"/>
            <rFont val="Tahoma"/>
            <family val="2"/>
          </rPr>
          <t>Author:</t>
        </r>
        <r>
          <rPr>
            <sz val="9"/>
            <color indexed="81"/>
            <rFont val="Tahoma"/>
            <family val="2"/>
          </rPr>
          <t xml:space="preserve">
From BhmWP12023</t>
        </r>
      </text>
    </comment>
    <comment ref="AU41" authorId="0" shapeId="0">
      <text>
        <r>
          <rPr>
            <b/>
            <sz val="9"/>
            <color indexed="81"/>
            <rFont val="Tahoma"/>
            <family val="2"/>
          </rPr>
          <t>Author:</t>
        </r>
        <r>
          <rPr>
            <sz val="9"/>
            <color indexed="81"/>
            <rFont val="Tahoma"/>
            <family val="2"/>
          </rPr>
          <t xml:space="preserve">
Using the 2025 best value from BhmWP12023</t>
        </r>
      </text>
    </comment>
    <comment ref="AW41" authorId="0" shapeId="0">
      <text>
        <r>
          <rPr>
            <b/>
            <sz val="9"/>
            <color indexed="81"/>
            <rFont val="Tahoma"/>
            <family val="2"/>
          </rPr>
          <t>Author:</t>
        </r>
        <r>
          <rPr>
            <sz val="9"/>
            <color indexed="81"/>
            <rFont val="Tahoma"/>
            <family val="2"/>
          </rPr>
          <t xml:space="preserve">
Using the 2025 best value based on BhmWP12023</t>
        </r>
      </text>
    </comment>
    <comment ref="AX41" authorId="0" shapeId="0">
      <text>
        <r>
          <rPr>
            <b/>
            <sz val="9"/>
            <color indexed="81"/>
            <rFont val="Tahoma"/>
            <family val="2"/>
          </rPr>
          <t>Author:</t>
        </r>
        <r>
          <rPr>
            <sz val="9"/>
            <color indexed="81"/>
            <rFont val="Tahoma"/>
            <family val="2"/>
          </rPr>
          <t xml:space="preserve">
3% Capex based on BhmWP12023</t>
        </r>
      </text>
    </comment>
    <comment ref="AY41" authorId="0" shapeId="0">
      <text>
        <r>
          <rPr>
            <b/>
            <sz val="9"/>
            <color indexed="81"/>
            <rFont val="Tahoma"/>
            <family val="2"/>
          </rPr>
          <t>Author:</t>
        </r>
        <r>
          <rPr>
            <sz val="9"/>
            <color indexed="81"/>
            <rFont val="Tahoma"/>
            <family val="2"/>
          </rPr>
          <t xml:space="preserve">
3% Capex based on BhmWP12023</t>
        </r>
      </text>
    </comment>
    <comment ref="AZ41" authorId="0" shapeId="0">
      <text>
        <r>
          <rPr>
            <b/>
            <sz val="9"/>
            <color indexed="81"/>
            <rFont val="Tahoma"/>
            <family val="2"/>
          </rPr>
          <t>Author:</t>
        </r>
        <r>
          <rPr>
            <sz val="9"/>
            <color indexed="81"/>
            <rFont val="Tahoma"/>
            <family val="2"/>
          </rPr>
          <t xml:space="preserve">
3% Capex based on BhmWP12023</t>
        </r>
      </text>
    </comment>
    <comment ref="BA41" authorId="0" shapeId="0">
      <text>
        <r>
          <rPr>
            <b/>
            <sz val="9"/>
            <color indexed="81"/>
            <rFont val="Tahoma"/>
            <family val="2"/>
          </rPr>
          <t>Author:</t>
        </r>
        <r>
          <rPr>
            <sz val="9"/>
            <color indexed="81"/>
            <rFont val="Tahoma"/>
            <family val="2"/>
          </rPr>
          <t xml:space="preserve">
3% Capex based on BhmWP12023</t>
        </r>
      </text>
    </comment>
    <comment ref="BR41" authorId="0" shapeId="0">
      <text>
        <r>
          <rPr>
            <b/>
            <sz val="9"/>
            <color indexed="81"/>
            <rFont val="Tahoma"/>
            <family val="2"/>
          </rPr>
          <t>Author:</t>
        </r>
        <r>
          <rPr>
            <sz val="9"/>
            <color indexed="81"/>
            <rFont val="Tahoma"/>
            <family val="2"/>
          </rPr>
          <t xml:space="preserve">
From Marin2023</t>
        </r>
      </text>
    </comment>
    <comment ref="BS41" authorId="0" shapeId="0">
      <text>
        <r>
          <rPr>
            <b/>
            <sz val="9"/>
            <color indexed="81"/>
            <rFont val="Tahoma"/>
            <family val="2"/>
          </rPr>
          <t>Author:</t>
        </r>
        <r>
          <rPr>
            <sz val="9"/>
            <color indexed="81"/>
            <rFont val="Tahoma"/>
            <family val="2"/>
          </rPr>
          <t xml:space="preserve">
From Marin2023</t>
        </r>
      </text>
    </comment>
    <comment ref="BT41" authorId="0" shapeId="0">
      <text>
        <r>
          <rPr>
            <b/>
            <sz val="9"/>
            <color indexed="81"/>
            <rFont val="Tahoma"/>
            <family val="2"/>
          </rPr>
          <t>Author:</t>
        </r>
        <r>
          <rPr>
            <sz val="9"/>
            <color indexed="81"/>
            <rFont val="Tahoma"/>
            <family val="2"/>
          </rPr>
          <t xml:space="preserve">
From Marin2023</t>
        </r>
      </text>
    </comment>
    <comment ref="BU41" authorId="0" shapeId="0">
      <text>
        <r>
          <rPr>
            <b/>
            <sz val="9"/>
            <color indexed="81"/>
            <rFont val="Tahoma"/>
            <family val="2"/>
          </rPr>
          <t>Author:</t>
        </r>
        <r>
          <rPr>
            <sz val="9"/>
            <color indexed="81"/>
            <rFont val="Tahoma"/>
            <family val="2"/>
          </rPr>
          <t xml:space="preserve">
From Marin2023</t>
        </r>
      </text>
    </comment>
    <comment ref="AP42" authorId="0" shapeId="0">
      <text>
        <r>
          <rPr>
            <b/>
            <sz val="9"/>
            <color indexed="81"/>
            <rFont val="Tahoma"/>
            <family val="2"/>
          </rPr>
          <t>Author:</t>
        </r>
        <r>
          <rPr>
            <sz val="9"/>
            <color indexed="81"/>
            <rFont val="Tahoma"/>
            <family val="2"/>
          </rPr>
          <t xml:space="preserve">
Based on BhmWP12023</t>
        </r>
      </text>
    </comment>
    <comment ref="AQ42" authorId="0" shapeId="0">
      <text>
        <r>
          <rPr>
            <b/>
            <sz val="9"/>
            <color indexed="81"/>
            <rFont val="Tahoma"/>
            <family val="2"/>
          </rPr>
          <t>Author:</t>
        </r>
        <r>
          <rPr>
            <sz val="9"/>
            <color indexed="81"/>
            <rFont val="Tahoma"/>
            <family val="2"/>
          </rPr>
          <t xml:space="preserve">
Based on BhmWP12023</t>
        </r>
      </text>
    </comment>
    <comment ref="AR42" authorId="0" shapeId="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text>
        <r>
          <rPr>
            <b/>
            <sz val="9"/>
            <color indexed="81"/>
            <rFont val="Tahoma"/>
            <family val="2"/>
          </rPr>
          <t>Author:</t>
        </r>
        <r>
          <rPr>
            <sz val="9"/>
            <color indexed="81"/>
            <rFont val="Tahoma"/>
            <family val="2"/>
          </rPr>
          <t xml:space="preserve">
From BhmWP12023</t>
        </r>
      </text>
    </comment>
    <comment ref="AU42" authorId="0" shapeId="0">
      <text>
        <r>
          <rPr>
            <b/>
            <sz val="9"/>
            <color indexed="81"/>
            <rFont val="Tahoma"/>
            <family val="2"/>
          </rPr>
          <t>Author:</t>
        </r>
        <r>
          <rPr>
            <sz val="9"/>
            <color indexed="81"/>
            <rFont val="Tahoma"/>
            <family val="2"/>
          </rPr>
          <t xml:space="preserve">
Using the 2025 benchmark value based on BhmWP12023</t>
        </r>
      </text>
    </comment>
    <comment ref="AW42" authorId="0" shapeId="0">
      <text>
        <r>
          <rPr>
            <b/>
            <sz val="9"/>
            <color indexed="81"/>
            <rFont val="Tahoma"/>
            <family val="2"/>
          </rPr>
          <t>Author:</t>
        </r>
        <r>
          <rPr>
            <sz val="9"/>
            <color indexed="81"/>
            <rFont val="Tahoma"/>
            <family val="2"/>
          </rPr>
          <t xml:space="preserve">
Using the 2025 best value based on BhmWP12023</t>
        </r>
      </text>
    </comment>
    <comment ref="AX42" authorId="0" shapeId="0">
      <text>
        <r>
          <rPr>
            <b/>
            <sz val="9"/>
            <color indexed="81"/>
            <rFont val="Tahoma"/>
            <family val="2"/>
          </rPr>
          <t>Author:</t>
        </r>
        <r>
          <rPr>
            <sz val="9"/>
            <color indexed="81"/>
            <rFont val="Tahoma"/>
            <family val="2"/>
          </rPr>
          <t xml:space="preserve">
3% Capex based on BhmWP12023</t>
        </r>
      </text>
    </comment>
    <comment ref="AY42" authorId="0" shapeId="0">
      <text>
        <r>
          <rPr>
            <b/>
            <sz val="9"/>
            <color indexed="81"/>
            <rFont val="Tahoma"/>
            <family val="2"/>
          </rPr>
          <t>Author:</t>
        </r>
        <r>
          <rPr>
            <sz val="9"/>
            <color indexed="81"/>
            <rFont val="Tahoma"/>
            <family val="2"/>
          </rPr>
          <t xml:space="preserve">
3% Capex based on BhmWP12023</t>
        </r>
      </text>
    </comment>
    <comment ref="AZ42" authorId="0" shapeId="0">
      <text>
        <r>
          <rPr>
            <b/>
            <sz val="9"/>
            <color indexed="81"/>
            <rFont val="Tahoma"/>
            <family val="2"/>
          </rPr>
          <t>Author:</t>
        </r>
        <r>
          <rPr>
            <sz val="9"/>
            <color indexed="81"/>
            <rFont val="Tahoma"/>
            <family val="2"/>
          </rPr>
          <t xml:space="preserve">
3% Capex based on BhmWP12023</t>
        </r>
      </text>
    </comment>
    <comment ref="BA42" authorId="0" shapeId="0">
      <text>
        <r>
          <rPr>
            <b/>
            <sz val="9"/>
            <color indexed="81"/>
            <rFont val="Tahoma"/>
            <family val="2"/>
          </rPr>
          <t>Author:</t>
        </r>
        <r>
          <rPr>
            <sz val="9"/>
            <color indexed="81"/>
            <rFont val="Tahoma"/>
            <family val="2"/>
          </rPr>
          <t xml:space="preserve">
3% Capex based on BhmWP12023</t>
        </r>
      </text>
    </comment>
    <comment ref="BB42" authorId="0" shapeId="0">
      <text>
        <r>
          <rPr>
            <b/>
            <sz val="9"/>
            <color indexed="81"/>
            <rFont val="Tahoma"/>
            <family val="2"/>
          </rPr>
          <t>Author:</t>
        </r>
        <r>
          <rPr>
            <sz val="9"/>
            <color indexed="81"/>
            <rFont val="Tahoma"/>
            <family val="2"/>
          </rPr>
          <t xml:space="preserve">
Medium water price from BhmWP12023</t>
        </r>
      </text>
    </comment>
    <comment ref="BC42" authorId="0" shapeId="0">
      <text>
        <r>
          <rPr>
            <b/>
            <sz val="9"/>
            <color indexed="81"/>
            <rFont val="Tahoma"/>
            <family val="2"/>
          </rPr>
          <t>Author:</t>
        </r>
        <r>
          <rPr>
            <sz val="9"/>
            <color indexed="81"/>
            <rFont val="Tahoma"/>
            <family val="2"/>
          </rPr>
          <t xml:space="preserve">
Medium water price from BhmWP12023</t>
        </r>
      </text>
    </comment>
    <comment ref="BE42" authorId="0" shapeId="0">
      <text>
        <r>
          <rPr>
            <b/>
            <sz val="9"/>
            <color indexed="81"/>
            <rFont val="Tahoma"/>
            <family val="2"/>
          </rPr>
          <t>Author:</t>
        </r>
        <r>
          <rPr>
            <sz val="9"/>
            <color indexed="81"/>
            <rFont val="Tahoma"/>
            <family val="2"/>
          </rPr>
          <t xml:space="preserve">
Medium water price from BhmWP12023</t>
        </r>
      </text>
    </comment>
    <comment ref="BR42" authorId="0" shapeId="0">
      <text>
        <r>
          <rPr>
            <b/>
            <sz val="9"/>
            <color indexed="81"/>
            <rFont val="Tahoma"/>
            <family val="2"/>
          </rPr>
          <t>Author:</t>
        </r>
        <r>
          <rPr>
            <sz val="9"/>
            <color indexed="81"/>
            <rFont val="Tahoma"/>
            <family val="2"/>
          </rPr>
          <t xml:space="preserve">
From Marin2023</t>
        </r>
      </text>
    </comment>
    <comment ref="BS42" authorId="0" shapeId="0">
      <text>
        <r>
          <rPr>
            <b/>
            <sz val="9"/>
            <color indexed="81"/>
            <rFont val="Tahoma"/>
            <family val="2"/>
          </rPr>
          <t>Author:</t>
        </r>
        <r>
          <rPr>
            <sz val="9"/>
            <color indexed="81"/>
            <rFont val="Tahoma"/>
            <family val="2"/>
          </rPr>
          <t xml:space="preserve">
From Marin2023</t>
        </r>
      </text>
    </comment>
    <comment ref="BT42" authorId="0" shapeId="0">
      <text>
        <r>
          <rPr>
            <b/>
            <sz val="9"/>
            <color indexed="81"/>
            <rFont val="Tahoma"/>
            <family val="2"/>
          </rPr>
          <t>Author:</t>
        </r>
        <r>
          <rPr>
            <sz val="9"/>
            <color indexed="81"/>
            <rFont val="Tahoma"/>
            <family val="2"/>
          </rPr>
          <t xml:space="preserve">
From Marin2023</t>
        </r>
      </text>
    </comment>
    <comment ref="BU42" authorId="0" shapeId="0">
      <text>
        <r>
          <rPr>
            <b/>
            <sz val="9"/>
            <color indexed="81"/>
            <rFont val="Tahoma"/>
            <family val="2"/>
          </rPr>
          <t>Author:</t>
        </r>
        <r>
          <rPr>
            <sz val="9"/>
            <color indexed="81"/>
            <rFont val="Tahoma"/>
            <family val="2"/>
          </rPr>
          <t xml:space="preserve">
From Marin2023</t>
        </r>
      </text>
    </comment>
    <comment ref="AP43" authorId="0" shapeId="0">
      <text>
        <r>
          <rPr>
            <b/>
            <sz val="9"/>
            <color indexed="81"/>
            <rFont val="Tahoma"/>
            <family val="2"/>
          </rPr>
          <t>Author:</t>
        </r>
        <r>
          <rPr>
            <sz val="9"/>
            <color indexed="81"/>
            <rFont val="Tahoma"/>
            <family val="2"/>
          </rPr>
          <t xml:space="preserve">
Based on BhmWP12023</t>
        </r>
      </text>
    </comment>
    <comment ref="AQ43" authorId="0" shapeId="0">
      <text>
        <r>
          <rPr>
            <b/>
            <sz val="9"/>
            <color indexed="81"/>
            <rFont val="Tahoma"/>
            <family val="2"/>
          </rPr>
          <t>Author:</t>
        </r>
        <r>
          <rPr>
            <sz val="9"/>
            <color indexed="81"/>
            <rFont val="Tahoma"/>
            <family val="2"/>
          </rPr>
          <t xml:space="preserve">
Based on BhmWP12023</t>
        </r>
      </text>
    </comment>
    <comment ref="AR43" authorId="0" shapeId="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text>
        <r>
          <rPr>
            <b/>
            <sz val="9"/>
            <color indexed="81"/>
            <rFont val="Tahoma"/>
            <family val="2"/>
          </rPr>
          <t>Author:</t>
        </r>
        <r>
          <rPr>
            <sz val="9"/>
            <color indexed="81"/>
            <rFont val="Tahoma"/>
            <family val="2"/>
          </rPr>
          <t xml:space="preserve">
From BhmWP12023</t>
        </r>
      </text>
    </comment>
    <comment ref="AU43" authorId="0" shapeId="0">
      <text>
        <r>
          <rPr>
            <b/>
            <sz val="9"/>
            <color indexed="81"/>
            <rFont val="Tahoma"/>
            <family val="2"/>
          </rPr>
          <t>Author:</t>
        </r>
        <r>
          <rPr>
            <sz val="9"/>
            <color indexed="81"/>
            <rFont val="Tahoma"/>
            <family val="2"/>
          </rPr>
          <t xml:space="preserve">
Using the 2025 benchmark value based on BhmWP12023</t>
        </r>
      </text>
    </comment>
    <comment ref="AW43" authorId="0" shapeId="0">
      <text>
        <r>
          <rPr>
            <b/>
            <sz val="9"/>
            <color indexed="81"/>
            <rFont val="Tahoma"/>
            <family val="2"/>
          </rPr>
          <t>Author:</t>
        </r>
        <r>
          <rPr>
            <sz val="9"/>
            <color indexed="81"/>
            <rFont val="Tahoma"/>
            <family val="2"/>
          </rPr>
          <t xml:space="preserve">
Using the 2025 best value based on BhmWP12023</t>
        </r>
      </text>
    </comment>
    <comment ref="AX43" authorId="0" shapeId="0">
      <text>
        <r>
          <rPr>
            <b/>
            <sz val="9"/>
            <color indexed="81"/>
            <rFont val="Tahoma"/>
            <family val="2"/>
          </rPr>
          <t>Author:</t>
        </r>
        <r>
          <rPr>
            <sz val="9"/>
            <color indexed="81"/>
            <rFont val="Tahoma"/>
            <family val="2"/>
          </rPr>
          <t xml:space="preserve">
3% Capex based on BhmWP12023</t>
        </r>
      </text>
    </comment>
    <comment ref="AY43" authorId="0" shapeId="0">
      <text>
        <r>
          <rPr>
            <b/>
            <sz val="9"/>
            <color indexed="81"/>
            <rFont val="Tahoma"/>
            <family val="2"/>
          </rPr>
          <t>Author:</t>
        </r>
        <r>
          <rPr>
            <sz val="9"/>
            <color indexed="81"/>
            <rFont val="Tahoma"/>
            <family val="2"/>
          </rPr>
          <t xml:space="preserve">
3% Capex based on BhmWP12023</t>
        </r>
      </text>
    </comment>
    <comment ref="AZ43" authorId="0" shapeId="0">
      <text>
        <r>
          <rPr>
            <b/>
            <sz val="9"/>
            <color indexed="81"/>
            <rFont val="Tahoma"/>
            <family val="2"/>
          </rPr>
          <t>Author:</t>
        </r>
        <r>
          <rPr>
            <sz val="9"/>
            <color indexed="81"/>
            <rFont val="Tahoma"/>
            <family val="2"/>
          </rPr>
          <t xml:space="preserve">
3% Capex based on BhmWP12023</t>
        </r>
      </text>
    </comment>
    <comment ref="BA43" authorId="0" shapeId="0">
      <text>
        <r>
          <rPr>
            <b/>
            <sz val="9"/>
            <color indexed="81"/>
            <rFont val="Tahoma"/>
            <family val="2"/>
          </rPr>
          <t>Author:</t>
        </r>
        <r>
          <rPr>
            <sz val="9"/>
            <color indexed="81"/>
            <rFont val="Tahoma"/>
            <family val="2"/>
          </rPr>
          <t xml:space="preserve">
3% Capex based on BhmWP12023</t>
        </r>
      </text>
    </comment>
    <comment ref="BB43" authorId="0" shapeId="0">
      <text>
        <r>
          <rPr>
            <b/>
            <sz val="9"/>
            <color indexed="81"/>
            <rFont val="Tahoma"/>
            <family val="2"/>
          </rPr>
          <t>Author:</t>
        </r>
        <r>
          <rPr>
            <sz val="9"/>
            <color indexed="81"/>
            <rFont val="Tahoma"/>
            <family val="2"/>
          </rPr>
          <t xml:space="preserve">
Medium water price from BhmWP12023</t>
        </r>
      </text>
    </comment>
    <comment ref="BC43" authorId="0" shapeId="0">
      <text>
        <r>
          <rPr>
            <b/>
            <sz val="9"/>
            <color indexed="81"/>
            <rFont val="Tahoma"/>
            <family val="2"/>
          </rPr>
          <t>Author:</t>
        </r>
        <r>
          <rPr>
            <sz val="9"/>
            <color indexed="81"/>
            <rFont val="Tahoma"/>
            <family val="2"/>
          </rPr>
          <t xml:space="preserve">
Medium water price from BhmWP12023</t>
        </r>
      </text>
    </comment>
    <comment ref="BE43" authorId="0" shapeId="0">
      <text>
        <r>
          <rPr>
            <b/>
            <sz val="9"/>
            <color indexed="81"/>
            <rFont val="Tahoma"/>
            <family val="2"/>
          </rPr>
          <t>Author:</t>
        </r>
        <r>
          <rPr>
            <sz val="9"/>
            <color indexed="81"/>
            <rFont val="Tahoma"/>
            <family val="2"/>
          </rPr>
          <t xml:space="preserve">
Medium water price from BhmWP12023</t>
        </r>
      </text>
    </comment>
    <comment ref="BR43" authorId="0" shapeId="0">
      <text>
        <r>
          <rPr>
            <b/>
            <sz val="9"/>
            <color indexed="81"/>
            <rFont val="Tahoma"/>
            <family val="2"/>
          </rPr>
          <t>Author:</t>
        </r>
        <r>
          <rPr>
            <sz val="9"/>
            <color indexed="81"/>
            <rFont val="Tahoma"/>
            <family val="2"/>
          </rPr>
          <t xml:space="preserve">
From Marin2023</t>
        </r>
      </text>
    </comment>
    <comment ref="BS43" authorId="0" shapeId="0">
      <text>
        <r>
          <rPr>
            <b/>
            <sz val="9"/>
            <color indexed="81"/>
            <rFont val="Tahoma"/>
            <family val="2"/>
          </rPr>
          <t>Author:</t>
        </r>
        <r>
          <rPr>
            <sz val="9"/>
            <color indexed="81"/>
            <rFont val="Tahoma"/>
            <family val="2"/>
          </rPr>
          <t xml:space="preserve">
From Marin2023</t>
        </r>
      </text>
    </comment>
    <comment ref="BT43" authorId="0" shapeId="0">
      <text>
        <r>
          <rPr>
            <b/>
            <sz val="9"/>
            <color indexed="81"/>
            <rFont val="Tahoma"/>
            <family val="2"/>
          </rPr>
          <t>Author:</t>
        </r>
        <r>
          <rPr>
            <sz val="9"/>
            <color indexed="81"/>
            <rFont val="Tahoma"/>
            <family val="2"/>
          </rPr>
          <t xml:space="preserve">
From Marin2023</t>
        </r>
      </text>
    </comment>
    <comment ref="BU43" authorId="0" shapeId="0">
      <text>
        <r>
          <rPr>
            <b/>
            <sz val="9"/>
            <color indexed="81"/>
            <rFont val="Tahoma"/>
            <family val="2"/>
          </rPr>
          <t>Author:</t>
        </r>
        <r>
          <rPr>
            <sz val="9"/>
            <color indexed="81"/>
            <rFont val="Tahoma"/>
            <family val="2"/>
          </rPr>
          <t xml:space="preserve">
From Marin2023</t>
        </r>
      </text>
    </comment>
    <comment ref="AP47" authorId="0" shapeId="0">
      <text>
        <r>
          <rPr>
            <b/>
            <sz val="9"/>
            <color indexed="81"/>
            <rFont val="Tahoma"/>
            <family val="2"/>
          </rPr>
          <t>Author:</t>
        </r>
        <r>
          <rPr>
            <sz val="9"/>
            <color indexed="81"/>
            <rFont val="Tahoma"/>
            <family val="2"/>
          </rPr>
          <t xml:space="preserve">
Compression work from 20 to 800 bars based on Induspart2023</t>
        </r>
      </text>
    </comment>
    <comment ref="AQ47" authorId="0" shapeId="0">
      <text>
        <r>
          <rPr>
            <b/>
            <sz val="9"/>
            <color indexed="81"/>
            <rFont val="Tahoma"/>
            <family val="2"/>
          </rPr>
          <t>Author:</t>
        </r>
        <r>
          <rPr>
            <sz val="9"/>
            <color indexed="81"/>
            <rFont val="Tahoma"/>
            <family val="2"/>
          </rPr>
          <t xml:space="preserve">
Compression work from 20 to 800 bars based on Induspart2023</t>
        </r>
      </text>
    </comment>
    <comment ref="AR47" authorId="0" shapeId="0">
      <text>
        <r>
          <rPr>
            <b/>
            <sz val="9"/>
            <color indexed="81"/>
            <rFont val="Tahoma"/>
            <family val="2"/>
          </rPr>
          <t>Author:</t>
        </r>
        <r>
          <rPr>
            <sz val="9"/>
            <color indexed="81"/>
            <rFont val="Tahoma"/>
            <family val="2"/>
          </rPr>
          <t xml:space="preserve">
Compression work from 20 to 800 bars based on Induspart2023</t>
        </r>
      </text>
    </comment>
    <comment ref="AS47" authorId="0" shapeId="0">
      <text>
        <r>
          <rPr>
            <b/>
            <sz val="9"/>
            <color indexed="81"/>
            <rFont val="Tahoma"/>
            <family val="2"/>
          </rPr>
          <t>Author:</t>
        </r>
        <r>
          <rPr>
            <sz val="9"/>
            <color indexed="81"/>
            <rFont val="Tahoma"/>
            <family val="2"/>
          </rPr>
          <t xml:space="preserve">
Compression work from 20 to 800 bars based on Induspart2023</t>
        </r>
      </text>
    </comment>
    <comment ref="AD49" authorId="0" shapeId="0">
      <text>
        <r>
          <rPr>
            <b/>
            <sz val="9"/>
            <color indexed="81"/>
            <rFont val="Tahoma"/>
            <family val="2"/>
          </rPr>
          <t>Author:</t>
        </r>
        <r>
          <rPr>
            <sz val="9"/>
            <color indexed="81"/>
            <rFont val="Tahoma"/>
            <family val="2"/>
          </rPr>
          <t xml:space="preserve">
Based on Adams2019</t>
        </r>
      </text>
    </comment>
    <comment ref="AE49" authorId="0" shapeId="0">
      <text>
        <r>
          <rPr>
            <b/>
            <sz val="9"/>
            <color indexed="81"/>
            <rFont val="Tahoma"/>
            <family val="2"/>
          </rPr>
          <t>Author:</t>
        </r>
        <r>
          <rPr>
            <sz val="9"/>
            <color indexed="81"/>
            <rFont val="Tahoma"/>
            <family val="2"/>
          </rPr>
          <t xml:space="preserve">
Based on Adams2019</t>
        </r>
      </text>
    </comment>
    <comment ref="AF49" authorId="0" shapeId="0">
      <text>
        <r>
          <rPr>
            <b/>
            <sz val="9"/>
            <color indexed="81"/>
            <rFont val="Tahoma"/>
            <family val="2"/>
          </rPr>
          <t>Author:</t>
        </r>
        <r>
          <rPr>
            <sz val="9"/>
            <color indexed="81"/>
            <rFont val="Tahoma"/>
            <family val="2"/>
          </rPr>
          <t xml:space="preserve">
Based on Adams2019</t>
        </r>
      </text>
    </comment>
    <comment ref="AG49" authorId="0" shapeId="0">
      <text>
        <r>
          <rPr>
            <b/>
            <sz val="9"/>
            <color indexed="81"/>
            <rFont val="Tahoma"/>
            <family val="2"/>
          </rPr>
          <t>Author:</t>
        </r>
        <r>
          <rPr>
            <sz val="9"/>
            <color indexed="81"/>
            <rFont val="Tahoma"/>
            <family val="2"/>
          </rPr>
          <t xml:space="preserve">
Based on Adams2019</t>
        </r>
      </text>
    </comment>
    <comment ref="AT49" authorId="0" shapeId="0">
      <text>
        <r>
          <rPr>
            <b/>
            <sz val="9"/>
            <color indexed="81"/>
            <rFont val="Tahoma"/>
            <family val="2"/>
          </rPr>
          <t>Author:</t>
        </r>
        <r>
          <rPr>
            <sz val="9"/>
            <color indexed="81"/>
            <rFont val="Tahoma"/>
            <family val="2"/>
          </rPr>
          <t xml:space="preserve">
Based on Induspart2023 (includes compressors)</t>
        </r>
      </text>
    </comment>
    <comment ref="AU49" authorId="0" shapeId="0">
      <text>
        <r>
          <rPr>
            <b/>
            <sz val="9"/>
            <color indexed="81"/>
            <rFont val="Tahoma"/>
            <family val="2"/>
          </rPr>
          <t>Author:</t>
        </r>
        <r>
          <rPr>
            <sz val="9"/>
            <color indexed="81"/>
            <rFont val="Tahoma"/>
            <family val="2"/>
          </rPr>
          <t xml:space="preserve">
Based on Induspart2023 (includes compressors)</t>
        </r>
      </text>
    </comment>
    <comment ref="AW49" authorId="0" shapeId="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text>
        <r>
          <rPr>
            <b/>
            <sz val="9"/>
            <color indexed="81"/>
            <rFont val="Tahoma"/>
            <family val="2"/>
          </rPr>
          <t>Author:</t>
        </r>
        <r>
          <rPr>
            <sz val="9"/>
            <color indexed="81"/>
            <rFont val="Tahoma"/>
            <family val="2"/>
          </rPr>
          <t xml:space="preserve">
3% Capex based on Induspart2023</t>
        </r>
      </text>
    </comment>
    <comment ref="AY49" authorId="0" shapeId="0">
      <text>
        <r>
          <rPr>
            <b/>
            <sz val="9"/>
            <color indexed="81"/>
            <rFont val="Tahoma"/>
            <family val="2"/>
          </rPr>
          <t>Author:</t>
        </r>
        <r>
          <rPr>
            <sz val="9"/>
            <color indexed="81"/>
            <rFont val="Tahoma"/>
            <family val="2"/>
          </rPr>
          <t xml:space="preserve">
3% Capex based on Induspart2023</t>
        </r>
      </text>
    </comment>
    <comment ref="AZ49" authorId="0" shapeId="0">
      <text>
        <r>
          <rPr>
            <b/>
            <sz val="9"/>
            <color indexed="81"/>
            <rFont val="Tahoma"/>
            <family val="2"/>
          </rPr>
          <t>Author:</t>
        </r>
        <r>
          <rPr>
            <sz val="9"/>
            <color indexed="81"/>
            <rFont val="Tahoma"/>
            <family val="2"/>
          </rPr>
          <t xml:space="preserve">
3% Capex based on Induspart2023</t>
        </r>
      </text>
    </comment>
    <comment ref="BA49" authorId="0" shapeId="0">
      <text>
        <r>
          <rPr>
            <b/>
            <sz val="9"/>
            <color indexed="81"/>
            <rFont val="Tahoma"/>
            <family val="2"/>
          </rPr>
          <t>Author:</t>
        </r>
        <r>
          <rPr>
            <sz val="9"/>
            <color indexed="81"/>
            <rFont val="Tahoma"/>
            <family val="2"/>
          </rPr>
          <t xml:space="preserve">
3% Capex based on Induspart2023</t>
        </r>
      </text>
    </comment>
    <comment ref="BV49" authorId="0" shapeId="0">
      <text>
        <r>
          <rPr>
            <b/>
            <sz val="9"/>
            <color indexed="81"/>
            <rFont val="Tahoma"/>
            <family val="2"/>
          </rPr>
          <t>Author:</t>
        </r>
        <r>
          <rPr>
            <sz val="9"/>
            <color indexed="81"/>
            <rFont val="Tahoma"/>
            <family val="2"/>
          </rPr>
          <t xml:space="preserve">
From Marin2023</t>
        </r>
      </text>
    </comment>
    <comment ref="BW49" authorId="0" shapeId="0">
      <text>
        <r>
          <rPr>
            <b/>
            <sz val="9"/>
            <color indexed="81"/>
            <rFont val="Tahoma"/>
            <family val="2"/>
          </rPr>
          <t>Author:</t>
        </r>
        <r>
          <rPr>
            <sz val="9"/>
            <color indexed="81"/>
            <rFont val="Tahoma"/>
            <family val="2"/>
          </rPr>
          <t xml:space="preserve">
From Marin2023</t>
        </r>
      </text>
    </comment>
    <comment ref="BX49" authorId="0" shapeId="0">
      <text>
        <r>
          <rPr>
            <b/>
            <sz val="9"/>
            <color indexed="81"/>
            <rFont val="Tahoma"/>
            <family val="2"/>
          </rPr>
          <t>Author:</t>
        </r>
        <r>
          <rPr>
            <sz val="9"/>
            <color indexed="81"/>
            <rFont val="Tahoma"/>
            <family val="2"/>
          </rPr>
          <t xml:space="preserve">
From Marin2023</t>
        </r>
      </text>
    </comment>
    <comment ref="BY49" authorId="0" shapeId="0">
      <text>
        <r>
          <rPr>
            <b/>
            <sz val="9"/>
            <color indexed="81"/>
            <rFont val="Tahoma"/>
            <family val="2"/>
          </rPr>
          <t>Author:</t>
        </r>
        <r>
          <rPr>
            <sz val="9"/>
            <color indexed="81"/>
            <rFont val="Tahoma"/>
            <family val="2"/>
          </rPr>
          <t xml:space="preserve">
From Marin2023</t>
        </r>
      </text>
    </comment>
    <comment ref="AP50" authorId="0" shapeId="0">
      <text>
        <r>
          <rPr>
            <b/>
            <sz val="9"/>
            <color indexed="81"/>
            <rFont val="Tahoma"/>
            <family val="2"/>
          </rPr>
          <t>Author:</t>
        </r>
        <r>
          <rPr>
            <sz val="9"/>
            <color indexed="81"/>
            <rFont val="Tahoma"/>
            <family val="2"/>
          </rPr>
          <t xml:space="preserve">
Compression work from 20 to 100 bars</t>
        </r>
      </text>
    </comment>
    <comment ref="AQ50" authorId="0" shapeId="0">
      <text>
        <r>
          <rPr>
            <b/>
            <sz val="9"/>
            <color indexed="81"/>
            <rFont val="Tahoma"/>
            <family val="2"/>
          </rPr>
          <t>Author:</t>
        </r>
        <r>
          <rPr>
            <sz val="9"/>
            <color indexed="81"/>
            <rFont val="Tahoma"/>
            <family val="2"/>
          </rPr>
          <t xml:space="preserve">
Compression work from 20 to 100 bars</t>
        </r>
      </text>
    </comment>
    <comment ref="AR50" authorId="0" shapeId="0">
      <text>
        <r>
          <rPr>
            <b/>
            <sz val="9"/>
            <color indexed="81"/>
            <rFont val="Tahoma"/>
            <family val="2"/>
          </rPr>
          <t>Author:</t>
        </r>
        <r>
          <rPr>
            <sz val="9"/>
            <color indexed="81"/>
            <rFont val="Tahoma"/>
            <family val="2"/>
          </rPr>
          <t xml:space="preserve">
Compression work from 20 to 100 bars</t>
        </r>
      </text>
    </comment>
    <comment ref="AS50" authorId="0" shapeId="0">
      <text>
        <r>
          <rPr>
            <b/>
            <sz val="9"/>
            <color indexed="81"/>
            <rFont val="Tahoma"/>
            <family val="2"/>
          </rPr>
          <t>Author:</t>
        </r>
        <r>
          <rPr>
            <sz val="9"/>
            <color indexed="81"/>
            <rFont val="Tahoma"/>
            <family val="2"/>
          </rPr>
          <t xml:space="preserve">
Compression work from 20 to 100 bars</t>
        </r>
      </text>
    </comment>
    <comment ref="AD52" authorId="0" shapeId="0">
      <text>
        <r>
          <rPr>
            <b/>
            <sz val="9"/>
            <color indexed="81"/>
            <rFont val="Tahoma"/>
            <family val="2"/>
          </rPr>
          <t>Author:</t>
        </r>
        <r>
          <rPr>
            <sz val="9"/>
            <color indexed="81"/>
            <rFont val="Tahoma"/>
            <family val="2"/>
          </rPr>
          <t xml:space="preserve">
Based on Papadias2021</t>
        </r>
      </text>
    </comment>
    <comment ref="AE52" authorId="0" shapeId="0">
      <text>
        <r>
          <rPr>
            <b/>
            <sz val="9"/>
            <color indexed="81"/>
            <rFont val="Tahoma"/>
            <family val="2"/>
          </rPr>
          <t>Author:</t>
        </r>
        <r>
          <rPr>
            <sz val="9"/>
            <color indexed="81"/>
            <rFont val="Tahoma"/>
            <family val="2"/>
          </rPr>
          <t xml:space="preserve">
Based on Papadias2021 assuming same values as of 2020</t>
        </r>
      </text>
    </comment>
    <comment ref="AF52" authorId="0" shapeId="0">
      <text>
        <r>
          <rPr>
            <b/>
            <sz val="9"/>
            <color indexed="81"/>
            <rFont val="Tahoma"/>
            <family val="2"/>
          </rPr>
          <t>Author:</t>
        </r>
        <r>
          <rPr>
            <sz val="9"/>
            <color indexed="81"/>
            <rFont val="Tahoma"/>
            <family val="2"/>
          </rPr>
          <t xml:space="preserve">
Based on Papadias2021 assuming same values as of 2020</t>
        </r>
      </text>
    </comment>
    <comment ref="AG52" authorId="0" shapeId="0">
      <text>
        <r>
          <rPr>
            <b/>
            <sz val="9"/>
            <color indexed="81"/>
            <rFont val="Tahoma"/>
            <family val="2"/>
          </rPr>
          <t>Author:</t>
        </r>
        <r>
          <rPr>
            <sz val="9"/>
            <color indexed="81"/>
            <rFont val="Tahoma"/>
            <family val="2"/>
          </rPr>
          <t xml:space="preserve">
Based on Papadias2021 assuming same values as of 2020</t>
        </r>
      </text>
    </comment>
    <comment ref="AT52" authorId="0" shapeId="0">
      <text>
        <r>
          <rPr>
            <b/>
            <sz val="9"/>
            <color indexed="81"/>
            <rFont val="Tahoma"/>
            <family val="2"/>
          </rPr>
          <t>Author:</t>
        </r>
        <r>
          <rPr>
            <sz val="9"/>
            <color indexed="81"/>
            <rFont val="Tahoma"/>
            <family val="2"/>
          </rPr>
          <t xml:space="preserve">
Based on Induspart2023 for a working pressure around 100 bars</t>
        </r>
      </text>
    </comment>
    <comment ref="AU52" authorId="0" shapeId="0">
      <text>
        <r>
          <rPr>
            <b/>
            <sz val="9"/>
            <color indexed="81"/>
            <rFont val="Tahoma"/>
            <family val="2"/>
          </rPr>
          <t>Author:</t>
        </r>
        <r>
          <rPr>
            <sz val="9"/>
            <color indexed="81"/>
            <rFont val="Tahoma"/>
            <family val="2"/>
          </rPr>
          <t xml:space="preserve">
Based on Induspart2023 for a working pressure around 100 bars</t>
        </r>
      </text>
    </comment>
    <comment ref="AV52" authorId="0" shapeId="0">
      <text>
        <r>
          <rPr>
            <b/>
            <sz val="9"/>
            <color indexed="81"/>
            <rFont val="Tahoma"/>
            <family val="2"/>
          </rPr>
          <t>Author:</t>
        </r>
        <r>
          <rPr>
            <sz val="9"/>
            <color indexed="81"/>
            <rFont val="Tahoma"/>
            <family val="2"/>
          </rPr>
          <t xml:space="preserve">
Based on Induspart2023 for a working pressure around 100 bars</t>
        </r>
      </text>
    </comment>
    <comment ref="AW52" authorId="0" shapeId="0">
      <text>
        <r>
          <rPr>
            <b/>
            <sz val="9"/>
            <color indexed="81"/>
            <rFont val="Tahoma"/>
            <family val="2"/>
          </rPr>
          <t>Author:</t>
        </r>
        <r>
          <rPr>
            <sz val="9"/>
            <color indexed="81"/>
            <rFont val="Tahoma"/>
            <family val="2"/>
          </rPr>
          <t xml:space="preserve">
Based on Induspart2023 for a working pressure around 100 bars</t>
        </r>
      </text>
    </comment>
    <comment ref="AX52" authorId="0" shapeId="0">
      <text>
        <r>
          <rPr>
            <b/>
            <sz val="9"/>
            <color indexed="81"/>
            <rFont val="Tahoma"/>
            <family val="2"/>
          </rPr>
          <t>Author:</t>
        </r>
        <r>
          <rPr>
            <sz val="9"/>
            <color indexed="81"/>
            <rFont val="Tahoma"/>
            <family val="2"/>
          </rPr>
          <t xml:space="preserve">
3% Capex based on Induspart2023</t>
        </r>
      </text>
    </comment>
    <comment ref="AY52" authorId="0" shapeId="0">
      <text>
        <r>
          <rPr>
            <b/>
            <sz val="9"/>
            <color indexed="81"/>
            <rFont val="Tahoma"/>
            <family val="2"/>
          </rPr>
          <t>Author:</t>
        </r>
        <r>
          <rPr>
            <sz val="9"/>
            <color indexed="81"/>
            <rFont val="Tahoma"/>
            <family val="2"/>
          </rPr>
          <t xml:space="preserve">
3% Capex based on Induspart2023</t>
        </r>
      </text>
    </comment>
    <comment ref="AZ52" authorId="0" shapeId="0">
      <text>
        <r>
          <rPr>
            <b/>
            <sz val="9"/>
            <color indexed="81"/>
            <rFont val="Tahoma"/>
            <family val="2"/>
          </rPr>
          <t>Author:</t>
        </r>
        <r>
          <rPr>
            <sz val="9"/>
            <color indexed="81"/>
            <rFont val="Tahoma"/>
            <family val="2"/>
          </rPr>
          <t xml:space="preserve">
3% Capex based on Induspart2023</t>
        </r>
      </text>
    </comment>
    <comment ref="BA52" authorId="0" shapeId="0">
      <text>
        <r>
          <rPr>
            <b/>
            <sz val="9"/>
            <color indexed="81"/>
            <rFont val="Tahoma"/>
            <family val="2"/>
          </rPr>
          <t>Author:</t>
        </r>
        <r>
          <rPr>
            <sz val="9"/>
            <color indexed="81"/>
            <rFont val="Tahoma"/>
            <family val="2"/>
          </rPr>
          <t xml:space="preserve">
3% Capex based on Induspart2023</t>
        </r>
      </text>
    </comment>
    <comment ref="BV52" authorId="0" shapeId="0">
      <text>
        <r>
          <rPr>
            <b/>
            <sz val="9"/>
            <color indexed="81"/>
            <rFont val="Tahoma"/>
            <family val="2"/>
          </rPr>
          <t>Author:</t>
        </r>
        <r>
          <rPr>
            <sz val="9"/>
            <color indexed="81"/>
            <rFont val="Tahoma"/>
            <family val="2"/>
          </rPr>
          <t xml:space="preserve">
From Marin2023</t>
        </r>
      </text>
    </comment>
    <comment ref="BW52" authorId="0" shapeId="0">
      <text>
        <r>
          <rPr>
            <b/>
            <sz val="9"/>
            <color indexed="81"/>
            <rFont val="Tahoma"/>
            <family val="2"/>
          </rPr>
          <t>Author:</t>
        </r>
        <r>
          <rPr>
            <sz val="9"/>
            <color indexed="81"/>
            <rFont val="Tahoma"/>
            <family val="2"/>
          </rPr>
          <t xml:space="preserve">
From Marin2023</t>
        </r>
      </text>
    </comment>
    <comment ref="BX52" authorId="0" shapeId="0">
      <text>
        <r>
          <rPr>
            <b/>
            <sz val="9"/>
            <color indexed="81"/>
            <rFont val="Tahoma"/>
            <family val="2"/>
          </rPr>
          <t>Author:</t>
        </r>
        <r>
          <rPr>
            <sz val="9"/>
            <color indexed="81"/>
            <rFont val="Tahoma"/>
            <family val="2"/>
          </rPr>
          <t xml:space="preserve">
From Marin2023</t>
        </r>
      </text>
    </comment>
    <comment ref="BY52" authorId="0" shapeId="0">
      <text>
        <r>
          <rPr>
            <b/>
            <sz val="9"/>
            <color indexed="81"/>
            <rFont val="Tahoma"/>
            <family val="2"/>
          </rPr>
          <t>Author:</t>
        </r>
        <r>
          <rPr>
            <sz val="9"/>
            <color indexed="81"/>
            <rFont val="Tahoma"/>
            <family val="2"/>
          </rPr>
          <t xml:space="preserve">
From Marin2023</t>
        </r>
      </text>
    </comment>
    <comment ref="AT53" authorId="0" shapeId="0">
      <text>
        <r>
          <rPr>
            <b/>
            <sz val="9"/>
            <color indexed="81"/>
            <rFont val="Tahoma"/>
            <family val="2"/>
          </rPr>
          <t>Author:</t>
        </r>
        <r>
          <rPr>
            <sz val="9"/>
            <color indexed="81"/>
            <rFont val="Tahoma"/>
            <family val="2"/>
          </rPr>
          <t xml:space="preserve">
Based on Campion2023</t>
        </r>
      </text>
    </comment>
    <comment ref="AU53" authorId="0" shapeId="0">
      <text>
        <r>
          <rPr>
            <b/>
            <sz val="9"/>
            <color indexed="81"/>
            <rFont val="Tahoma"/>
            <family val="2"/>
          </rPr>
          <t>Author:</t>
        </r>
        <r>
          <rPr>
            <sz val="9"/>
            <color indexed="81"/>
            <rFont val="Tahoma"/>
            <family val="2"/>
          </rPr>
          <t xml:space="preserve">
From Campion2021</t>
        </r>
      </text>
    </comment>
    <comment ref="AV53" authorId="0" shapeId="0">
      <text>
        <r>
          <rPr>
            <b/>
            <sz val="9"/>
            <color indexed="81"/>
            <rFont val="Tahoma"/>
            <family val="2"/>
          </rPr>
          <t>Author:</t>
        </r>
        <r>
          <rPr>
            <sz val="9"/>
            <color indexed="81"/>
            <rFont val="Tahoma"/>
            <family val="2"/>
          </rPr>
          <t xml:space="preserve">
From Campion2021</t>
        </r>
      </text>
    </comment>
    <comment ref="AW53" authorId="0" shapeId="0">
      <text>
        <r>
          <rPr>
            <b/>
            <sz val="9"/>
            <color indexed="81"/>
            <rFont val="Tahoma"/>
            <family val="2"/>
          </rPr>
          <t>Author:</t>
        </r>
        <r>
          <rPr>
            <sz val="9"/>
            <color indexed="81"/>
            <rFont val="Tahoma"/>
            <family val="2"/>
          </rPr>
          <t xml:space="preserve">
From Campion2021</t>
        </r>
      </text>
    </comment>
    <comment ref="AX53" authorId="0" shapeId="0">
      <text>
        <r>
          <rPr>
            <b/>
            <sz val="9"/>
            <color indexed="81"/>
            <rFont val="Tahoma"/>
            <family val="2"/>
          </rPr>
          <t>Author:</t>
        </r>
        <r>
          <rPr>
            <sz val="9"/>
            <color indexed="81"/>
            <rFont val="Tahoma"/>
            <family val="2"/>
          </rPr>
          <t xml:space="preserve">
Based on Campion2023</t>
        </r>
      </text>
    </comment>
    <comment ref="AY53" authorId="0" shapeId="0">
      <text>
        <r>
          <rPr>
            <b/>
            <sz val="9"/>
            <color indexed="81"/>
            <rFont val="Tahoma"/>
            <family val="2"/>
          </rPr>
          <t>Author:</t>
        </r>
        <r>
          <rPr>
            <sz val="9"/>
            <color indexed="81"/>
            <rFont val="Tahoma"/>
            <family val="2"/>
          </rPr>
          <t xml:space="preserve">
From Campion2021</t>
        </r>
      </text>
    </comment>
    <comment ref="AZ53" authorId="0" shapeId="0">
      <text>
        <r>
          <rPr>
            <b/>
            <sz val="9"/>
            <color indexed="81"/>
            <rFont val="Tahoma"/>
            <family val="2"/>
          </rPr>
          <t>Author:</t>
        </r>
        <r>
          <rPr>
            <sz val="9"/>
            <color indexed="81"/>
            <rFont val="Tahoma"/>
            <family val="2"/>
          </rPr>
          <t xml:space="preserve">
From Campion2021</t>
        </r>
      </text>
    </comment>
    <comment ref="BA53" authorId="0" shapeId="0">
      <text>
        <r>
          <rPr>
            <b/>
            <sz val="9"/>
            <color indexed="81"/>
            <rFont val="Tahoma"/>
            <family val="2"/>
          </rPr>
          <t>Author:</t>
        </r>
        <r>
          <rPr>
            <sz val="9"/>
            <color indexed="81"/>
            <rFont val="Tahoma"/>
            <family val="2"/>
          </rPr>
          <t xml:space="preserve">
From Campion2021</t>
        </r>
      </text>
    </comment>
    <comment ref="BB53" authorId="0" shapeId="0">
      <text>
        <r>
          <rPr>
            <b/>
            <sz val="9"/>
            <color indexed="81"/>
            <rFont val="Tahoma"/>
            <family val="2"/>
          </rPr>
          <t>Author:</t>
        </r>
        <r>
          <rPr>
            <sz val="9"/>
            <color indexed="81"/>
            <rFont val="Tahoma"/>
            <family val="2"/>
          </rPr>
          <t xml:space="preserve">
Based on Campion2023</t>
        </r>
      </text>
    </comment>
    <comment ref="BC53" authorId="0" shapeId="0">
      <text>
        <r>
          <rPr>
            <b/>
            <sz val="9"/>
            <color indexed="81"/>
            <rFont val="Tahoma"/>
            <family val="2"/>
          </rPr>
          <t>Author:</t>
        </r>
        <r>
          <rPr>
            <sz val="9"/>
            <color indexed="81"/>
            <rFont val="Tahoma"/>
            <family val="2"/>
          </rPr>
          <t xml:space="preserve">
From Campion2021</t>
        </r>
      </text>
    </comment>
    <comment ref="BD53" authorId="0" shapeId="0">
      <text>
        <r>
          <rPr>
            <b/>
            <sz val="9"/>
            <color indexed="81"/>
            <rFont val="Tahoma"/>
            <family val="2"/>
          </rPr>
          <t>Author:</t>
        </r>
        <r>
          <rPr>
            <sz val="9"/>
            <color indexed="81"/>
            <rFont val="Tahoma"/>
            <family val="2"/>
          </rPr>
          <t xml:space="preserve">
From Campion2021</t>
        </r>
      </text>
    </comment>
    <comment ref="BE53" authorId="0" shapeId="0">
      <text>
        <r>
          <rPr>
            <b/>
            <sz val="9"/>
            <color indexed="81"/>
            <rFont val="Tahoma"/>
            <family val="2"/>
          </rPr>
          <t>Author:</t>
        </r>
        <r>
          <rPr>
            <sz val="9"/>
            <color indexed="81"/>
            <rFont val="Tahoma"/>
            <family val="2"/>
          </rPr>
          <t xml:space="preserve">
From Campion2021</t>
        </r>
      </text>
    </comment>
    <comment ref="AT54" authorId="0" shapeId="0">
      <text>
        <r>
          <rPr>
            <b/>
            <sz val="9"/>
            <color indexed="81"/>
            <rFont val="Tahoma"/>
            <family val="2"/>
          </rPr>
          <t>Author:</t>
        </r>
        <r>
          <rPr>
            <sz val="9"/>
            <color indexed="81"/>
            <rFont val="Tahoma"/>
            <family val="2"/>
          </rPr>
          <t xml:space="preserve">
Based on Campion2023</t>
        </r>
      </text>
    </comment>
    <comment ref="AU54" authorId="0" shapeId="0">
      <text>
        <r>
          <rPr>
            <b/>
            <sz val="9"/>
            <color indexed="81"/>
            <rFont val="Tahoma"/>
            <family val="2"/>
          </rPr>
          <t>Author:</t>
        </r>
        <r>
          <rPr>
            <sz val="9"/>
            <color indexed="81"/>
            <rFont val="Tahoma"/>
            <family val="2"/>
          </rPr>
          <t xml:space="preserve">
From Campion2021</t>
        </r>
      </text>
    </comment>
    <comment ref="AV54" authorId="0" shapeId="0">
      <text>
        <r>
          <rPr>
            <b/>
            <sz val="9"/>
            <color indexed="81"/>
            <rFont val="Tahoma"/>
            <family val="2"/>
          </rPr>
          <t>Author:</t>
        </r>
        <r>
          <rPr>
            <sz val="9"/>
            <color indexed="81"/>
            <rFont val="Tahoma"/>
            <family val="2"/>
          </rPr>
          <t xml:space="preserve">
From Campion2021</t>
        </r>
      </text>
    </comment>
    <comment ref="AW54" authorId="0" shapeId="0">
      <text>
        <r>
          <rPr>
            <b/>
            <sz val="9"/>
            <color indexed="81"/>
            <rFont val="Tahoma"/>
            <family val="2"/>
          </rPr>
          <t>Author:</t>
        </r>
        <r>
          <rPr>
            <sz val="9"/>
            <color indexed="81"/>
            <rFont val="Tahoma"/>
            <family val="2"/>
          </rPr>
          <t xml:space="preserve">
From Campion2021</t>
        </r>
      </text>
    </comment>
    <comment ref="AX54" authorId="0" shapeId="0">
      <text>
        <r>
          <rPr>
            <b/>
            <sz val="9"/>
            <color indexed="81"/>
            <rFont val="Tahoma"/>
            <family val="2"/>
          </rPr>
          <t>Author:</t>
        </r>
        <r>
          <rPr>
            <sz val="9"/>
            <color indexed="81"/>
            <rFont val="Tahoma"/>
            <family val="2"/>
          </rPr>
          <t xml:space="preserve">
Based on Campion2023</t>
        </r>
      </text>
    </comment>
    <comment ref="AY54" authorId="0" shapeId="0">
      <text>
        <r>
          <rPr>
            <b/>
            <sz val="9"/>
            <color indexed="81"/>
            <rFont val="Tahoma"/>
            <family val="2"/>
          </rPr>
          <t>Author:</t>
        </r>
        <r>
          <rPr>
            <sz val="9"/>
            <color indexed="81"/>
            <rFont val="Tahoma"/>
            <family val="2"/>
          </rPr>
          <t xml:space="preserve">
From Campion2021</t>
        </r>
      </text>
    </comment>
    <comment ref="AZ54" authorId="0" shapeId="0">
      <text>
        <r>
          <rPr>
            <b/>
            <sz val="9"/>
            <color indexed="81"/>
            <rFont val="Tahoma"/>
            <family val="2"/>
          </rPr>
          <t>Author:</t>
        </r>
        <r>
          <rPr>
            <sz val="9"/>
            <color indexed="81"/>
            <rFont val="Tahoma"/>
            <family val="2"/>
          </rPr>
          <t xml:space="preserve">
From Campion2021</t>
        </r>
      </text>
    </comment>
    <comment ref="BA54" authorId="0" shapeId="0">
      <text>
        <r>
          <rPr>
            <b/>
            <sz val="9"/>
            <color indexed="81"/>
            <rFont val="Tahoma"/>
            <family val="2"/>
          </rPr>
          <t>Author:</t>
        </r>
        <r>
          <rPr>
            <sz val="9"/>
            <color indexed="81"/>
            <rFont val="Tahoma"/>
            <family val="2"/>
          </rPr>
          <t xml:space="preserve">
From Campion2021</t>
        </r>
      </text>
    </comment>
    <comment ref="BB54" authorId="0" shapeId="0">
      <text>
        <r>
          <rPr>
            <b/>
            <sz val="9"/>
            <color indexed="81"/>
            <rFont val="Tahoma"/>
            <family val="2"/>
          </rPr>
          <t>Author:</t>
        </r>
        <r>
          <rPr>
            <sz val="9"/>
            <color indexed="81"/>
            <rFont val="Tahoma"/>
            <family val="2"/>
          </rPr>
          <t xml:space="preserve">
Based on Campion2023</t>
        </r>
      </text>
    </comment>
    <comment ref="BC54" authorId="0" shapeId="0">
      <text>
        <r>
          <rPr>
            <b/>
            <sz val="9"/>
            <color indexed="81"/>
            <rFont val="Tahoma"/>
            <family val="2"/>
          </rPr>
          <t>Author:</t>
        </r>
        <r>
          <rPr>
            <sz val="9"/>
            <color indexed="81"/>
            <rFont val="Tahoma"/>
            <family val="2"/>
          </rPr>
          <t xml:space="preserve">
From Campion2021</t>
        </r>
      </text>
    </comment>
    <comment ref="BD54" authorId="0" shapeId="0">
      <text>
        <r>
          <rPr>
            <b/>
            <sz val="9"/>
            <color indexed="81"/>
            <rFont val="Tahoma"/>
            <family val="2"/>
          </rPr>
          <t>Author:</t>
        </r>
        <r>
          <rPr>
            <sz val="9"/>
            <color indexed="81"/>
            <rFont val="Tahoma"/>
            <family val="2"/>
          </rPr>
          <t xml:space="preserve">
From Campion2021</t>
        </r>
      </text>
    </comment>
    <comment ref="BE54" authorId="0" shapeId="0">
      <text>
        <r>
          <rPr>
            <b/>
            <sz val="9"/>
            <color indexed="81"/>
            <rFont val="Tahoma"/>
            <family val="2"/>
          </rPr>
          <t>Author:</t>
        </r>
        <r>
          <rPr>
            <sz val="9"/>
            <color indexed="81"/>
            <rFont val="Tahoma"/>
            <family val="2"/>
          </rPr>
          <t xml:space="preserve">
From Campion2021</t>
        </r>
      </text>
    </comment>
    <comment ref="AT55" authorId="0" shapeId="0">
      <text>
        <r>
          <rPr>
            <b/>
            <sz val="9"/>
            <color indexed="81"/>
            <rFont val="Tahoma"/>
            <family val="2"/>
          </rPr>
          <t>Author:</t>
        </r>
        <r>
          <rPr>
            <sz val="9"/>
            <color indexed="81"/>
            <rFont val="Tahoma"/>
            <family val="2"/>
          </rPr>
          <t xml:space="preserve">
Based on Campion2023</t>
        </r>
      </text>
    </comment>
    <comment ref="AU55" authorId="0" shapeId="0">
      <text>
        <r>
          <rPr>
            <b/>
            <sz val="9"/>
            <color indexed="81"/>
            <rFont val="Tahoma"/>
            <family val="2"/>
          </rPr>
          <t>Author:</t>
        </r>
        <r>
          <rPr>
            <sz val="9"/>
            <color indexed="81"/>
            <rFont val="Tahoma"/>
            <family val="2"/>
          </rPr>
          <t xml:space="preserve">
From Campion2021</t>
        </r>
      </text>
    </comment>
    <comment ref="AV55" authorId="0" shapeId="0">
      <text>
        <r>
          <rPr>
            <b/>
            <sz val="9"/>
            <color indexed="81"/>
            <rFont val="Tahoma"/>
            <family val="2"/>
          </rPr>
          <t>Author:</t>
        </r>
        <r>
          <rPr>
            <sz val="9"/>
            <color indexed="81"/>
            <rFont val="Tahoma"/>
            <family val="2"/>
          </rPr>
          <t xml:space="preserve">
From Campion2021</t>
        </r>
      </text>
    </comment>
    <comment ref="AW55" authorId="0" shapeId="0">
      <text>
        <r>
          <rPr>
            <b/>
            <sz val="9"/>
            <color indexed="81"/>
            <rFont val="Tahoma"/>
            <family val="2"/>
          </rPr>
          <t>Author:</t>
        </r>
        <r>
          <rPr>
            <sz val="9"/>
            <color indexed="81"/>
            <rFont val="Tahoma"/>
            <family val="2"/>
          </rPr>
          <t xml:space="preserve">
From Campion2021</t>
        </r>
      </text>
    </comment>
    <comment ref="AX55" authorId="0" shapeId="0">
      <text>
        <r>
          <rPr>
            <b/>
            <sz val="9"/>
            <color indexed="81"/>
            <rFont val="Tahoma"/>
            <family val="2"/>
          </rPr>
          <t>Author:</t>
        </r>
        <r>
          <rPr>
            <sz val="9"/>
            <color indexed="81"/>
            <rFont val="Tahoma"/>
            <family val="2"/>
          </rPr>
          <t xml:space="preserve">
Based on Campion2023</t>
        </r>
      </text>
    </comment>
    <comment ref="AY55" authorId="0" shapeId="0">
      <text>
        <r>
          <rPr>
            <b/>
            <sz val="9"/>
            <color indexed="81"/>
            <rFont val="Tahoma"/>
            <family val="2"/>
          </rPr>
          <t>Author:</t>
        </r>
        <r>
          <rPr>
            <sz val="9"/>
            <color indexed="81"/>
            <rFont val="Tahoma"/>
            <family val="2"/>
          </rPr>
          <t xml:space="preserve">
From Campion2021</t>
        </r>
      </text>
    </comment>
    <comment ref="AZ55" authorId="0" shapeId="0">
      <text>
        <r>
          <rPr>
            <b/>
            <sz val="9"/>
            <color indexed="81"/>
            <rFont val="Tahoma"/>
            <family val="2"/>
          </rPr>
          <t>Author:</t>
        </r>
        <r>
          <rPr>
            <sz val="9"/>
            <color indexed="81"/>
            <rFont val="Tahoma"/>
            <family val="2"/>
          </rPr>
          <t xml:space="preserve">
From Campion2021</t>
        </r>
      </text>
    </comment>
    <comment ref="BA55" authorId="0" shapeId="0">
      <text>
        <r>
          <rPr>
            <b/>
            <sz val="9"/>
            <color indexed="81"/>
            <rFont val="Tahoma"/>
            <family val="2"/>
          </rPr>
          <t>Author:</t>
        </r>
        <r>
          <rPr>
            <sz val="9"/>
            <color indexed="81"/>
            <rFont val="Tahoma"/>
            <family val="2"/>
          </rPr>
          <t xml:space="preserve">
From Campion2021</t>
        </r>
      </text>
    </comment>
    <comment ref="BB55" authorId="0" shapeId="0">
      <text>
        <r>
          <rPr>
            <b/>
            <sz val="9"/>
            <color indexed="81"/>
            <rFont val="Tahoma"/>
            <family val="2"/>
          </rPr>
          <t>Author:</t>
        </r>
        <r>
          <rPr>
            <sz val="9"/>
            <color indexed="81"/>
            <rFont val="Tahoma"/>
            <family val="2"/>
          </rPr>
          <t xml:space="preserve">
Based on Campion2023</t>
        </r>
      </text>
    </comment>
    <comment ref="BC55" authorId="0" shapeId="0">
      <text>
        <r>
          <rPr>
            <b/>
            <sz val="9"/>
            <color indexed="81"/>
            <rFont val="Tahoma"/>
            <family val="2"/>
          </rPr>
          <t>Author:</t>
        </r>
        <r>
          <rPr>
            <sz val="9"/>
            <color indexed="81"/>
            <rFont val="Tahoma"/>
            <family val="2"/>
          </rPr>
          <t xml:space="preserve">
From Campion2021</t>
        </r>
      </text>
    </comment>
    <comment ref="BD55" authorId="0" shapeId="0">
      <text>
        <r>
          <rPr>
            <b/>
            <sz val="9"/>
            <color indexed="81"/>
            <rFont val="Tahoma"/>
            <family val="2"/>
          </rPr>
          <t>Author:</t>
        </r>
        <r>
          <rPr>
            <sz val="9"/>
            <color indexed="81"/>
            <rFont val="Tahoma"/>
            <family val="2"/>
          </rPr>
          <t xml:space="preserve">
From Campion2021</t>
        </r>
      </text>
    </comment>
    <comment ref="BE55" authorId="0" shapeId="0">
      <text>
        <r>
          <rPr>
            <b/>
            <sz val="9"/>
            <color indexed="81"/>
            <rFont val="Tahoma"/>
            <family val="2"/>
          </rPr>
          <t>Author:</t>
        </r>
        <r>
          <rPr>
            <sz val="9"/>
            <color indexed="81"/>
            <rFont val="Tahoma"/>
            <family val="2"/>
          </rPr>
          <t xml:space="preserve">
From Campion2021</t>
        </r>
      </text>
    </comment>
    <comment ref="AT56" authorId="0" shapeId="0">
      <text>
        <r>
          <rPr>
            <b/>
            <sz val="9"/>
            <color indexed="81"/>
            <rFont val="Tahoma"/>
            <family val="2"/>
          </rPr>
          <t>Author:</t>
        </r>
        <r>
          <rPr>
            <sz val="9"/>
            <color indexed="81"/>
            <rFont val="Tahoma"/>
            <family val="2"/>
          </rPr>
          <t xml:space="preserve">
Based on Campion2023</t>
        </r>
      </text>
    </comment>
    <comment ref="AU56" authorId="0" shapeId="0">
      <text>
        <r>
          <rPr>
            <b/>
            <sz val="9"/>
            <color indexed="81"/>
            <rFont val="Tahoma"/>
            <family val="2"/>
          </rPr>
          <t>Author:</t>
        </r>
        <r>
          <rPr>
            <sz val="9"/>
            <color indexed="81"/>
            <rFont val="Tahoma"/>
            <family val="2"/>
          </rPr>
          <t xml:space="preserve">
From Campion2021</t>
        </r>
      </text>
    </comment>
    <comment ref="AV56" authorId="0" shapeId="0">
      <text>
        <r>
          <rPr>
            <b/>
            <sz val="9"/>
            <color indexed="81"/>
            <rFont val="Tahoma"/>
            <family val="2"/>
          </rPr>
          <t>Author:</t>
        </r>
        <r>
          <rPr>
            <sz val="9"/>
            <color indexed="81"/>
            <rFont val="Tahoma"/>
            <family val="2"/>
          </rPr>
          <t xml:space="preserve">
From Campion2021</t>
        </r>
      </text>
    </comment>
    <comment ref="AW56" authorId="0" shapeId="0">
      <text>
        <r>
          <rPr>
            <b/>
            <sz val="9"/>
            <color indexed="81"/>
            <rFont val="Tahoma"/>
            <family val="2"/>
          </rPr>
          <t>Author:</t>
        </r>
        <r>
          <rPr>
            <sz val="9"/>
            <color indexed="81"/>
            <rFont val="Tahoma"/>
            <family val="2"/>
          </rPr>
          <t xml:space="preserve">
From Campion2021</t>
        </r>
      </text>
    </comment>
    <comment ref="AX56" authorId="0" shapeId="0">
      <text>
        <r>
          <rPr>
            <b/>
            <sz val="9"/>
            <color indexed="81"/>
            <rFont val="Tahoma"/>
            <family val="2"/>
          </rPr>
          <t>Author:</t>
        </r>
        <r>
          <rPr>
            <sz val="9"/>
            <color indexed="81"/>
            <rFont val="Tahoma"/>
            <family val="2"/>
          </rPr>
          <t xml:space="preserve">
Based on Campion2023</t>
        </r>
      </text>
    </comment>
    <comment ref="AY56" authorId="0" shapeId="0">
      <text>
        <r>
          <rPr>
            <b/>
            <sz val="9"/>
            <color indexed="81"/>
            <rFont val="Tahoma"/>
            <family val="2"/>
          </rPr>
          <t>Author:</t>
        </r>
        <r>
          <rPr>
            <sz val="9"/>
            <color indexed="81"/>
            <rFont val="Tahoma"/>
            <family val="2"/>
          </rPr>
          <t xml:space="preserve">
From Campion2021</t>
        </r>
      </text>
    </comment>
    <comment ref="AZ56" authorId="0" shapeId="0">
      <text>
        <r>
          <rPr>
            <b/>
            <sz val="9"/>
            <color indexed="81"/>
            <rFont val="Tahoma"/>
            <family val="2"/>
          </rPr>
          <t>Author:</t>
        </r>
        <r>
          <rPr>
            <sz val="9"/>
            <color indexed="81"/>
            <rFont val="Tahoma"/>
            <family val="2"/>
          </rPr>
          <t xml:space="preserve">
From Campion2021</t>
        </r>
      </text>
    </comment>
    <comment ref="BA56" authorId="0" shapeId="0">
      <text>
        <r>
          <rPr>
            <b/>
            <sz val="9"/>
            <color indexed="81"/>
            <rFont val="Tahoma"/>
            <family val="2"/>
          </rPr>
          <t>Author:</t>
        </r>
        <r>
          <rPr>
            <sz val="9"/>
            <color indexed="81"/>
            <rFont val="Tahoma"/>
            <family val="2"/>
          </rPr>
          <t xml:space="preserve">
From Campion2021</t>
        </r>
      </text>
    </comment>
    <comment ref="BB56" authorId="0" shapeId="0">
      <text>
        <r>
          <rPr>
            <b/>
            <sz val="9"/>
            <color indexed="81"/>
            <rFont val="Tahoma"/>
            <family val="2"/>
          </rPr>
          <t>Author:</t>
        </r>
        <r>
          <rPr>
            <sz val="9"/>
            <color indexed="81"/>
            <rFont val="Tahoma"/>
            <family val="2"/>
          </rPr>
          <t xml:space="preserve">
Based on Campion2023</t>
        </r>
      </text>
    </comment>
    <comment ref="BC56" authorId="0" shapeId="0">
      <text>
        <r>
          <rPr>
            <b/>
            <sz val="9"/>
            <color indexed="81"/>
            <rFont val="Tahoma"/>
            <family val="2"/>
          </rPr>
          <t>Author:</t>
        </r>
        <r>
          <rPr>
            <sz val="9"/>
            <color indexed="81"/>
            <rFont val="Tahoma"/>
            <family val="2"/>
          </rPr>
          <t xml:space="preserve">
From Campion2021</t>
        </r>
      </text>
    </comment>
    <comment ref="BD56" authorId="0" shapeId="0">
      <text>
        <r>
          <rPr>
            <b/>
            <sz val="9"/>
            <color indexed="81"/>
            <rFont val="Tahoma"/>
            <family val="2"/>
          </rPr>
          <t>Author:</t>
        </r>
        <r>
          <rPr>
            <sz val="9"/>
            <color indexed="81"/>
            <rFont val="Tahoma"/>
            <family val="2"/>
          </rPr>
          <t xml:space="preserve">
From Campion2021</t>
        </r>
      </text>
    </comment>
    <comment ref="BE56" authorId="0" shapeId="0">
      <text>
        <r>
          <rPr>
            <b/>
            <sz val="9"/>
            <color indexed="81"/>
            <rFont val="Tahoma"/>
            <family val="2"/>
          </rPr>
          <t>Author:</t>
        </r>
        <r>
          <rPr>
            <sz val="9"/>
            <color indexed="81"/>
            <rFont val="Tahoma"/>
            <family val="2"/>
          </rPr>
          <t xml:space="preserve">
From Campion2021</t>
        </r>
      </text>
    </comment>
    <comment ref="AT57" authorId="0" shapeId="0">
      <text>
        <r>
          <rPr>
            <b/>
            <sz val="9"/>
            <color indexed="81"/>
            <rFont val="Tahoma"/>
            <family val="2"/>
          </rPr>
          <t>Author:</t>
        </r>
        <r>
          <rPr>
            <sz val="9"/>
            <color indexed="81"/>
            <rFont val="Tahoma"/>
            <family val="2"/>
          </rPr>
          <t xml:space="preserve">
Based on Campion2023</t>
        </r>
      </text>
    </comment>
    <comment ref="AU57" authorId="0" shapeId="0">
      <text>
        <r>
          <rPr>
            <b/>
            <sz val="9"/>
            <color indexed="81"/>
            <rFont val="Tahoma"/>
            <family val="2"/>
          </rPr>
          <t>Author:</t>
        </r>
        <r>
          <rPr>
            <sz val="9"/>
            <color indexed="81"/>
            <rFont val="Tahoma"/>
            <family val="2"/>
          </rPr>
          <t xml:space="preserve">
From Campion2021</t>
        </r>
      </text>
    </comment>
    <comment ref="AV57" authorId="0" shapeId="0">
      <text>
        <r>
          <rPr>
            <b/>
            <sz val="9"/>
            <color indexed="81"/>
            <rFont val="Tahoma"/>
            <family val="2"/>
          </rPr>
          <t>Author:</t>
        </r>
        <r>
          <rPr>
            <sz val="9"/>
            <color indexed="81"/>
            <rFont val="Tahoma"/>
            <family val="2"/>
          </rPr>
          <t xml:space="preserve">
From Campion2021</t>
        </r>
      </text>
    </comment>
    <comment ref="AW57" authorId="0" shapeId="0">
      <text>
        <r>
          <rPr>
            <b/>
            <sz val="9"/>
            <color indexed="81"/>
            <rFont val="Tahoma"/>
            <family val="2"/>
          </rPr>
          <t>Author:</t>
        </r>
        <r>
          <rPr>
            <sz val="9"/>
            <color indexed="81"/>
            <rFont val="Tahoma"/>
            <family val="2"/>
          </rPr>
          <t xml:space="preserve">
From Campion2021</t>
        </r>
      </text>
    </comment>
    <comment ref="AX57" authorId="0" shapeId="0">
      <text>
        <r>
          <rPr>
            <b/>
            <sz val="9"/>
            <color indexed="81"/>
            <rFont val="Tahoma"/>
            <family val="2"/>
          </rPr>
          <t>Author:</t>
        </r>
        <r>
          <rPr>
            <sz val="9"/>
            <color indexed="81"/>
            <rFont val="Tahoma"/>
            <family val="2"/>
          </rPr>
          <t xml:space="preserve">
Based on Campion2023</t>
        </r>
      </text>
    </comment>
    <comment ref="AY57" authorId="0" shapeId="0">
      <text>
        <r>
          <rPr>
            <b/>
            <sz val="9"/>
            <color indexed="81"/>
            <rFont val="Tahoma"/>
            <family val="2"/>
          </rPr>
          <t>Author:</t>
        </r>
        <r>
          <rPr>
            <sz val="9"/>
            <color indexed="81"/>
            <rFont val="Tahoma"/>
            <family val="2"/>
          </rPr>
          <t xml:space="preserve">
From Campion2021</t>
        </r>
      </text>
    </comment>
    <comment ref="AZ57" authorId="0" shapeId="0">
      <text>
        <r>
          <rPr>
            <b/>
            <sz val="9"/>
            <color indexed="81"/>
            <rFont val="Tahoma"/>
            <family val="2"/>
          </rPr>
          <t>Author:</t>
        </r>
        <r>
          <rPr>
            <sz val="9"/>
            <color indexed="81"/>
            <rFont val="Tahoma"/>
            <family val="2"/>
          </rPr>
          <t xml:space="preserve">
From Campion2021</t>
        </r>
      </text>
    </comment>
    <comment ref="BA57" authorId="0" shapeId="0">
      <text>
        <r>
          <rPr>
            <b/>
            <sz val="9"/>
            <color indexed="81"/>
            <rFont val="Tahoma"/>
            <family val="2"/>
          </rPr>
          <t>Author:</t>
        </r>
        <r>
          <rPr>
            <sz val="9"/>
            <color indexed="81"/>
            <rFont val="Tahoma"/>
            <family val="2"/>
          </rPr>
          <t xml:space="preserve">
From Campion2021</t>
        </r>
      </text>
    </comment>
    <comment ref="BB57" authorId="0" shapeId="0">
      <text>
        <r>
          <rPr>
            <b/>
            <sz val="9"/>
            <color indexed="81"/>
            <rFont val="Tahoma"/>
            <family val="2"/>
          </rPr>
          <t>Author:</t>
        </r>
        <r>
          <rPr>
            <sz val="9"/>
            <color indexed="81"/>
            <rFont val="Tahoma"/>
            <family val="2"/>
          </rPr>
          <t xml:space="preserve">
Based on Campion2023</t>
        </r>
      </text>
    </comment>
    <comment ref="BC57" authorId="0" shapeId="0">
      <text>
        <r>
          <rPr>
            <b/>
            <sz val="9"/>
            <color indexed="81"/>
            <rFont val="Tahoma"/>
            <family val="2"/>
          </rPr>
          <t>Author:</t>
        </r>
        <r>
          <rPr>
            <sz val="9"/>
            <color indexed="81"/>
            <rFont val="Tahoma"/>
            <family val="2"/>
          </rPr>
          <t xml:space="preserve">
From Campion2021</t>
        </r>
      </text>
    </comment>
    <comment ref="BD57" authorId="0" shapeId="0">
      <text>
        <r>
          <rPr>
            <b/>
            <sz val="9"/>
            <color indexed="81"/>
            <rFont val="Tahoma"/>
            <family val="2"/>
          </rPr>
          <t>Author:</t>
        </r>
        <r>
          <rPr>
            <sz val="9"/>
            <color indexed="81"/>
            <rFont val="Tahoma"/>
            <family val="2"/>
          </rPr>
          <t xml:space="preserve">
From Campion2021</t>
        </r>
      </text>
    </comment>
    <comment ref="BE57" authorId="0" shapeId="0">
      <text>
        <r>
          <rPr>
            <b/>
            <sz val="9"/>
            <color indexed="81"/>
            <rFont val="Tahoma"/>
            <family val="2"/>
          </rPr>
          <t>Author:</t>
        </r>
        <r>
          <rPr>
            <sz val="9"/>
            <color indexed="81"/>
            <rFont val="Tahoma"/>
            <family val="2"/>
          </rPr>
          <t xml:space="preserve">
From Campion2021</t>
        </r>
      </text>
    </comment>
    <comment ref="AT58" authorId="0" shapeId="0">
      <text>
        <r>
          <rPr>
            <b/>
            <sz val="9"/>
            <color indexed="81"/>
            <rFont val="Tahoma"/>
            <family val="2"/>
          </rPr>
          <t>Author:</t>
        </r>
        <r>
          <rPr>
            <sz val="9"/>
            <color indexed="81"/>
            <rFont val="Tahoma"/>
            <family val="2"/>
          </rPr>
          <t xml:space="preserve">
Based on Campion2023</t>
        </r>
      </text>
    </comment>
    <comment ref="AU58" authorId="0" shapeId="0">
      <text>
        <r>
          <rPr>
            <b/>
            <sz val="9"/>
            <color indexed="81"/>
            <rFont val="Tahoma"/>
            <family val="2"/>
          </rPr>
          <t>Author:</t>
        </r>
        <r>
          <rPr>
            <sz val="9"/>
            <color indexed="81"/>
            <rFont val="Tahoma"/>
            <family val="2"/>
          </rPr>
          <t xml:space="preserve">
From Campion2021</t>
        </r>
      </text>
    </comment>
    <comment ref="AV58" authorId="0" shapeId="0">
      <text>
        <r>
          <rPr>
            <b/>
            <sz val="9"/>
            <color indexed="81"/>
            <rFont val="Tahoma"/>
            <family val="2"/>
          </rPr>
          <t>Author:</t>
        </r>
        <r>
          <rPr>
            <sz val="9"/>
            <color indexed="81"/>
            <rFont val="Tahoma"/>
            <family val="2"/>
          </rPr>
          <t xml:space="preserve">
From Campion2021</t>
        </r>
      </text>
    </comment>
    <comment ref="AW58" authorId="0" shapeId="0">
      <text>
        <r>
          <rPr>
            <b/>
            <sz val="9"/>
            <color indexed="81"/>
            <rFont val="Tahoma"/>
            <family val="2"/>
          </rPr>
          <t>Author:</t>
        </r>
        <r>
          <rPr>
            <sz val="9"/>
            <color indexed="81"/>
            <rFont val="Tahoma"/>
            <family val="2"/>
          </rPr>
          <t xml:space="preserve">
From Campion2021</t>
        </r>
      </text>
    </comment>
    <comment ref="AX58" authorId="0" shapeId="0">
      <text>
        <r>
          <rPr>
            <b/>
            <sz val="9"/>
            <color indexed="81"/>
            <rFont val="Tahoma"/>
            <family val="2"/>
          </rPr>
          <t>Author:</t>
        </r>
        <r>
          <rPr>
            <sz val="9"/>
            <color indexed="81"/>
            <rFont val="Tahoma"/>
            <family val="2"/>
          </rPr>
          <t xml:space="preserve">
Based on Campion2023</t>
        </r>
      </text>
    </comment>
    <comment ref="AY58" authorId="0" shapeId="0">
      <text>
        <r>
          <rPr>
            <b/>
            <sz val="9"/>
            <color indexed="81"/>
            <rFont val="Tahoma"/>
            <family val="2"/>
          </rPr>
          <t>Author:</t>
        </r>
        <r>
          <rPr>
            <sz val="9"/>
            <color indexed="81"/>
            <rFont val="Tahoma"/>
            <family val="2"/>
          </rPr>
          <t xml:space="preserve">
From Campion2021</t>
        </r>
      </text>
    </comment>
    <comment ref="AZ58" authorId="0" shapeId="0">
      <text>
        <r>
          <rPr>
            <b/>
            <sz val="9"/>
            <color indexed="81"/>
            <rFont val="Tahoma"/>
            <family val="2"/>
          </rPr>
          <t>Author:</t>
        </r>
        <r>
          <rPr>
            <sz val="9"/>
            <color indexed="81"/>
            <rFont val="Tahoma"/>
            <family val="2"/>
          </rPr>
          <t xml:space="preserve">
From Campion2021</t>
        </r>
      </text>
    </comment>
    <comment ref="BA58" authorId="0" shapeId="0">
      <text>
        <r>
          <rPr>
            <b/>
            <sz val="9"/>
            <color indexed="81"/>
            <rFont val="Tahoma"/>
            <family val="2"/>
          </rPr>
          <t>Author:</t>
        </r>
        <r>
          <rPr>
            <sz val="9"/>
            <color indexed="81"/>
            <rFont val="Tahoma"/>
            <family val="2"/>
          </rPr>
          <t xml:space="preserve">
From Campion2021</t>
        </r>
      </text>
    </comment>
    <comment ref="BB58" authorId="0" shapeId="0">
      <text>
        <r>
          <rPr>
            <b/>
            <sz val="9"/>
            <color indexed="81"/>
            <rFont val="Tahoma"/>
            <family val="2"/>
          </rPr>
          <t>Author:</t>
        </r>
        <r>
          <rPr>
            <sz val="9"/>
            <color indexed="81"/>
            <rFont val="Tahoma"/>
            <family val="2"/>
          </rPr>
          <t xml:space="preserve">
Based on Campion2023</t>
        </r>
      </text>
    </comment>
    <comment ref="BC58" authorId="0" shapeId="0">
      <text>
        <r>
          <rPr>
            <b/>
            <sz val="9"/>
            <color indexed="81"/>
            <rFont val="Tahoma"/>
            <family val="2"/>
          </rPr>
          <t>Author:</t>
        </r>
        <r>
          <rPr>
            <sz val="9"/>
            <color indexed="81"/>
            <rFont val="Tahoma"/>
            <family val="2"/>
          </rPr>
          <t xml:space="preserve">
From Campion2021</t>
        </r>
      </text>
    </comment>
    <comment ref="BD58" authorId="0" shapeId="0">
      <text>
        <r>
          <rPr>
            <b/>
            <sz val="9"/>
            <color indexed="81"/>
            <rFont val="Tahoma"/>
            <family val="2"/>
          </rPr>
          <t>Author:</t>
        </r>
        <r>
          <rPr>
            <sz val="9"/>
            <color indexed="81"/>
            <rFont val="Tahoma"/>
            <family val="2"/>
          </rPr>
          <t xml:space="preserve">
From Campion2021</t>
        </r>
      </text>
    </comment>
    <comment ref="BE58" authorId="0" shapeId="0">
      <text>
        <r>
          <rPr>
            <b/>
            <sz val="9"/>
            <color indexed="81"/>
            <rFont val="Tahoma"/>
            <family val="2"/>
          </rPr>
          <t>Author:</t>
        </r>
        <r>
          <rPr>
            <sz val="9"/>
            <color indexed="81"/>
            <rFont val="Tahoma"/>
            <family val="2"/>
          </rPr>
          <t xml:space="preserve">
From Campion2021</t>
        </r>
      </text>
    </comment>
    <comment ref="AT59" authorId="0" shapeId="0">
      <text>
        <r>
          <rPr>
            <b/>
            <sz val="9"/>
            <color indexed="81"/>
            <rFont val="Tahoma"/>
            <family val="2"/>
          </rPr>
          <t>Author:</t>
        </r>
        <r>
          <rPr>
            <sz val="9"/>
            <color indexed="81"/>
            <rFont val="Tahoma"/>
            <family val="2"/>
          </rPr>
          <t xml:space="preserve">
Based on Campion2023</t>
        </r>
      </text>
    </comment>
    <comment ref="AU59" authorId="0" shapeId="0">
      <text>
        <r>
          <rPr>
            <b/>
            <sz val="9"/>
            <color indexed="81"/>
            <rFont val="Tahoma"/>
            <family val="2"/>
          </rPr>
          <t>Author:</t>
        </r>
        <r>
          <rPr>
            <sz val="9"/>
            <color indexed="81"/>
            <rFont val="Tahoma"/>
            <family val="2"/>
          </rPr>
          <t xml:space="preserve">
From Campion2021</t>
        </r>
      </text>
    </comment>
    <comment ref="AV59" authorId="0" shapeId="0">
      <text>
        <r>
          <rPr>
            <b/>
            <sz val="9"/>
            <color indexed="81"/>
            <rFont val="Tahoma"/>
            <family val="2"/>
          </rPr>
          <t>Author:</t>
        </r>
        <r>
          <rPr>
            <sz val="9"/>
            <color indexed="81"/>
            <rFont val="Tahoma"/>
            <family val="2"/>
          </rPr>
          <t xml:space="preserve">
From Campion2021</t>
        </r>
      </text>
    </comment>
    <comment ref="AW59" authorId="0" shapeId="0">
      <text>
        <r>
          <rPr>
            <b/>
            <sz val="9"/>
            <color indexed="81"/>
            <rFont val="Tahoma"/>
            <family val="2"/>
          </rPr>
          <t>Author:</t>
        </r>
        <r>
          <rPr>
            <sz val="9"/>
            <color indexed="81"/>
            <rFont val="Tahoma"/>
            <family val="2"/>
          </rPr>
          <t xml:space="preserve">
From Campion2021</t>
        </r>
      </text>
    </comment>
    <comment ref="AX59" authorId="0" shapeId="0">
      <text>
        <r>
          <rPr>
            <b/>
            <sz val="9"/>
            <color indexed="81"/>
            <rFont val="Tahoma"/>
            <family val="2"/>
          </rPr>
          <t>Author:</t>
        </r>
        <r>
          <rPr>
            <sz val="9"/>
            <color indexed="81"/>
            <rFont val="Tahoma"/>
            <family val="2"/>
          </rPr>
          <t xml:space="preserve">
Based on Campion2023</t>
        </r>
      </text>
    </comment>
    <comment ref="AY59" authorId="0" shapeId="0">
      <text>
        <r>
          <rPr>
            <b/>
            <sz val="9"/>
            <color indexed="81"/>
            <rFont val="Tahoma"/>
            <family val="2"/>
          </rPr>
          <t>Author:</t>
        </r>
        <r>
          <rPr>
            <sz val="9"/>
            <color indexed="81"/>
            <rFont val="Tahoma"/>
            <family val="2"/>
          </rPr>
          <t xml:space="preserve">
From Campion2021</t>
        </r>
      </text>
    </comment>
    <comment ref="AZ59" authorId="0" shapeId="0">
      <text>
        <r>
          <rPr>
            <b/>
            <sz val="9"/>
            <color indexed="81"/>
            <rFont val="Tahoma"/>
            <family val="2"/>
          </rPr>
          <t>Author:</t>
        </r>
        <r>
          <rPr>
            <sz val="9"/>
            <color indexed="81"/>
            <rFont val="Tahoma"/>
            <family val="2"/>
          </rPr>
          <t xml:space="preserve">
From Campion2021</t>
        </r>
      </text>
    </comment>
    <comment ref="BA59" authorId="0" shapeId="0">
      <text>
        <r>
          <rPr>
            <b/>
            <sz val="9"/>
            <color indexed="81"/>
            <rFont val="Tahoma"/>
            <family val="2"/>
          </rPr>
          <t>Author:</t>
        </r>
        <r>
          <rPr>
            <sz val="9"/>
            <color indexed="81"/>
            <rFont val="Tahoma"/>
            <family val="2"/>
          </rPr>
          <t xml:space="preserve">
From Campion2021</t>
        </r>
      </text>
    </comment>
    <comment ref="BB59" authorId="0" shapeId="0">
      <text>
        <r>
          <rPr>
            <b/>
            <sz val="9"/>
            <color indexed="81"/>
            <rFont val="Tahoma"/>
            <family val="2"/>
          </rPr>
          <t>Author:</t>
        </r>
        <r>
          <rPr>
            <sz val="9"/>
            <color indexed="81"/>
            <rFont val="Tahoma"/>
            <family val="2"/>
          </rPr>
          <t xml:space="preserve">
Based on Campion2023</t>
        </r>
      </text>
    </comment>
    <comment ref="BC59" authorId="0" shapeId="0">
      <text>
        <r>
          <rPr>
            <b/>
            <sz val="9"/>
            <color indexed="81"/>
            <rFont val="Tahoma"/>
            <family val="2"/>
          </rPr>
          <t>Author:</t>
        </r>
        <r>
          <rPr>
            <sz val="9"/>
            <color indexed="81"/>
            <rFont val="Tahoma"/>
            <family val="2"/>
          </rPr>
          <t xml:space="preserve">
From Campion2021</t>
        </r>
      </text>
    </comment>
    <comment ref="BD59" authorId="0" shapeId="0">
      <text>
        <r>
          <rPr>
            <b/>
            <sz val="9"/>
            <color indexed="81"/>
            <rFont val="Tahoma"/>
            <family val="2"/>
          </rPr>
          <t>Author:</t>
        </r>
        <r>
          <rPr>
            <sz val="9"/>
            <color indexed="81"/>
            <rFont val="Tahoma"/>
            <family val="2"/>
          </rPr>
          <t xml:space="preserve">
From Campion2021</t>
        </r>
      </text>
    </comment>
    <comment ref="BE59" authorId="0" shapeId="0">
      <text>
        <r>
          <rPr>
            <b/>
            <sz val="9"/>
            <color indexed="81"/>
            <rFont val="Tahoma"/>
            <family val="2"/>
          </rPr>
          <t>Author:</t>
        </r>
        <r>
          <rPr>
            <sz val="9"/>
            <color indexed="81"/>
            <rFont val="Tahoma"/>
            <family val="2"/>
          </rPr>
          <t xml:space="preserve">
From Campion2021</t>
        </r>
      </text>
    </comment>
    <comment ref="AT60" authorId="0" shapeId="0">
      <text>
        <r>
          <rPr>
            <b/>
            <sz val="9"/>
            <color indexed="81"/>
            <rFont val="Tahoma"/>
            <family val="2"/>
          </rPr>
          <t>Author:</t>
        </r>
        <r>
          <rPr>
            <sz val="9"/>
            <color indexed="81"/>
            <rFont val="Tahoma"/>
            <family val="2"/>
          </rPr>
          <t xml:space="preserve">
Based on Campion2023</t>
        </r>
      </text>
    </comment>
    <comment ref="AU60" authorId="0" shapeId="0">
      <text>
        <r>
          <rPr>
            <b/>
            <sz val="9"/>
            <color indexed="81"/>
            <rFont val="Tahoma"/>
            <family val="2"/>
          </rPr>
          <t>Author:</t>
        </r>
        <r>
          <rPr>
            <sz val="9"/>
            <color indexed="81"/>
            <rFont val="Tahoma"/>
            <family val="2"/>
          </rPr>
          <t xml:space="preserve">
From Campion2021</t>
        </r>
      </text>
    </comment>
    <comment ref="AV60" authorId="0" shapeId="0">
      <text>
        <r>
          <rPr>
            <b/>
            <sz val="9"/>
            <color indexed="81"/>
            <rFont val="Tahoma"/>
            <family val="2"/>
          </rPr>
          <t>Author:</t>
        </r>
        <r>
          <rPr>
            <sz val="9"/>
            <color indexed="81"/>
            <rFont val="Tahoma"/>
            <family val="2"/>
          </rPr>
          <t xml:space="preserve">
From Campion2021</t>
        </r>
      </text>
    </comment>
    <comment ref="AW60" authorId="0" shapeId="0">
      <text>
        <r>
          <rPr>
            <b/>
            <sz val="9"/>
            <color indexed="81"/>
            <rFont val="Tahoma"/>
            <family val="2"/>
          </rPr>
          <t>Author:</t>
        </r>
        <r>
          <rPr>
            <sz val="9"/>
            <color indexed="81"/>
            <rFont val="Tahoma"/>
            <family val="2"/>
          </rPr>
          <t xml:space="preserve">
From Campion2021</t>
        </r>
      </text>
    </comment>
    <comment ref="AX60" authorId="0" shapeId="0">
      <text>
        <r>
          <rPr>
            <b/>
            <sz val="9"/>
            <color indexed="81"/>
            <rFont val="Tahoma"/>
            <family val="2"/>
          </rPr>
          <t>Author:</t>
        </r>
        <r>
          <rPr>
            <sz val="9"/>
            <color indexed="81"/>
            <rFont val="Tahoma"/>
            <family val="2"/>
          </rPr>
          <t xml:space="preserve">
Based on Campion2023</t>
        </r>
      </text>
    </comment>
    <comment ref="AY60" authorId="0" shapeId="0">
      <text>
        <r>
          <rPr>
            <b/>
            <sz val="9"/>
            <color indexed="81"/>
            <rFont val="Tahoma"/>
            <family val="2"/>
          </rPr>
          <t>Author:</t>
        </r>
        <r>
          <rPr>
            <sz val="9"/>
            <color indexed="81"/>
            <rFont val="Tahoma"/>
            <family val="2"/>
          </rPr>
          <t xml:space="preserve">
From Campion2021</t>
        </r>
      </text>
    </comment>
    <comment ref="AZ60" authorId="0" shapeId="0">
      <text>
        <r>
          <rPr>
            <b/>
            <sz val="9"/>
            <color indexed="81"/>
            <rFont val="Tahoma"/>
            <family val="2"/>
          </rPr>
          <t>Author:</t>
        </r>
        <r>
          <rPr>
            <sz val="9"/>
            <color indexed="81"/>
            <rFont val="Tahoma"/>
            <family val="2"/>
          </rPr>
          <t xml:space="preserve">
From Campion2021</t>
        </r>
      </text>
    </comment>
    <comment ref="BA60" authorId="0" shapeId="0">
      <text>
        <r>
          <rPr>
            <b/>
            <sz val="9"/>
            <color indexed="81"/>
            <rFont val="Tahoma"/>
            <family val="2"/>
          </rPr>
          <t>Author:</t>
        </r>
        <r>
          <rPr>
            <sz val="9"/>
            <color indexed="81"/>
            <rFont val="Tahoma"/>
            <family val="2"/>
          </rPr>
          <t xml:space="preserve">
From Campion2021</t>
        </r>
      </text>
    </comment>
    <comment ref="BB60" authorId="0" shapeId="0">
      <text>
        <r>
          <rPr>
            <b/>
            <sz val="9"/>
            <color indexed="81"/>
            <rFont val="Tahoma"/>
            <family val="2"/>
          </rPr>
          <t>Author:</t>
        </r>
        <r>
          <rPr>
            <sz val="9"/>
            <color indexed="81"/>
            <rFont val="Tahoma"/>
            <family val="2"/>
          </rPr>
          <t xml:space="preserve">
Based on Campion2023</t>
        </r>
      </text>
    </comment>
    <comment ref="BC60" authorId="0" shapeId="0">
      <text>
        <r>
          <rPr>
            <b/>
            <sz val="9"/>
            <color indexed="81"/>
            <rFont val="Tahoma"/>
            <family val="2"/>
          </rPr>
          <t>Author:</t>
        </r>
        <r>
          <rPr>
            <sz val="9"/>
            <color indexed="81"/>
            <rFont val="Tahoma"/>
            <family val="2"/>
          </rPr>
          <t xml:space="preserve">
From Campion2021</t>
        </r>
      </text>
    </comment>
    <comment ref="BD60" authorId="0" shapeId="0">
      <text>
        <r>
          <rPr>
            <b/>
            <sz val="9"/>
            <color indexed="81"/>
            <rFont val="Tahoma"/>
            <family val="2"/>
          </rPr>
          <t>Author:</t>
        </r>
        <r>
          <rPr>
            <sz val="9"/>
            <color indexed="81"/>
            <rFont val="Tahoma"/>
            <family val="2"/>
          </rPr>
          <t xml:space="preserve">
From Campion2021</t>
        </r>
      </text>
    </comment>
    <comment ref="BE60" authorId="0" shapeId="0">
      <text>
        <r>
          <rPr>
            <b/>
            <sz val="9"/>
            <color indexed="81"/>
            <rFont val="Tahoma"/>
            <family val="2"/>
          </rPr>
          <t>Author:</t>
        </r>
        <r>
          <rPr>
            <sz val="9"/>
            <color indexed="81"/>
            <rFont val="Tahoma"/>
            <family val="2"/>
          </rPr>
          <t xml:space="preserve">
From Campion2021</t>
        </r>
      </text>
    </comment>
    <comment ref="AT61" authorId="0" shapeId="0">
      <text>
        <r>
          <rPr>
            <b/>
            <sz val="9"/>
            <color indexed="81"/>
            <rFont val="Tahoma"/>
            <family val="2"/>
          </rPr>
          <t>Author:</t>
        </r>
        <r>
          <rPr>
            <sz val="9"/>
            <color indexed="81"/>
            <rFont val="Tahoma"/>
            <family val="2"/>
          </rPr>
          <t xml:space="preserve">
Based on Campion2023</t>
        </r>
      </text>
    </comment>
    <comment ref="AU61" authorId="0" shapeId="0">
      <text>
        <r>
          <rPr>
            <b/>
            <sz val="9"/>
            <color indexed="81"/>
            <rFont val="Tahoma"/>
            <family val="2"/>
          </rPr>
          <t>Author:</t>
        </r>
        <r>
          <rPr>
            <sz val="9"/>
            <color indexed="81"/>
            <rFont val="Tahoma"/>
            <family val="2"/>
          </rPr>
          <t xml:space="preserve">
From Campion2021</t>
        </r>
      </text>
    </comment>
    <comment ref="AV61" authorId="0" shapeId="0">
      <text>
        <r>
          <rPr>
            <b/>
            <sz val="9"/>
            <color indexed="81"/>
            <rFont val="Tahoma"/>
            <family val="2"/>
          </rPr>
          <t>Author:</t>
        </r>
        <r>
          <rPr>
            <sz val="9"/>
            <color indexed="81"/>
            <rFont val="Tahoma"/>
            <family val="2"/>
          </rPr>
          <t xml:space="preserve">
From Campion2021</t>
        </r>
      </text>
    </comment>
    <comment ref="AW61" authorId="0" shapeId="0">
      <text>
        <r>
          <rPr>
            <b/>
            <sz val="9"/>
            <color indexed="81"/>
            <rFont val="Tahoma"/>
            <family val="2"/>
          </rPr>
          <t>Author:</t>
        </r>
        <r>
          <rPr>
            <sz val="9"/>
            <color indexed="81"/>
            <rFont val="Tahoma"/>
            <family val="2"/>
          </rPr>
          <t xml:space="preserve">
From Campion2021</t>
        </r>
      </text>
    </comment>
    <comment ref="AX61" authorId="0" shapeId="0">
      <text>
        <r>
          <rPr>
            <b/>
            <sz val="9"/>
            <color indexed="81"/>
            <rFont val="Tahoma"/>
            <family val="2"/>
          </rPr>
          <t>Author:</t>
        </r>
        <r>
          <rPr>
            <sz val="9"/>
            <color indexed="81"/>
            <rFont val="Tahoma"/>
            <family val="2"/>
          </rPr>
          <t xml:space="preserve">
Based on Campion2023</t>
        </r>
      </text>
    </comment>
    <comment ref="AY61" authorId="0" shapeId="0">
      <text>
        <r>
          <rPr>
            <b/>
            <sz val="9"/>
            <color indexed="81"/>
            <rFont val="Tahoma"/>
            <family val="2"/>
          </rPr>
          <t>Author:</t>
        </r>
        <r>
          <rPr>
            <sz val="9"/>
            <color indexed="81"/>
            <rFont val="Tahoma"/>
            <family val="2"/>
          </rPr>
          <t xml:space="preserve">
From Campion2021</t>
        </r>
      </text>
    </comment>
    <comment ref="AZ61" authorId="0" shapeId="0">
      <text>
        <r>
          <rPr>
            <b/>
            <sz val="9"/>
            <color indexed="81"/>
            <rFont val="Tahoma"/>
            <family val="2"/>
          </rPr>
          <t>Author:</t>
        </r>
        <r>
          <rPr>
            <sz val="9"/>
            <color indexed="81"/>
            <rFont val="Tahoma"/>
            <family val="2"/>
          </rPr>
          <t xml:space="preserve">
From Campion2021</t>
        </r>
      </text>
    </comment>
    <comment ref="BA61" authorId="0" shapeId="0">
      <text>
        <r>
          <rPr>
            <b/>
            <sz val="9"/>
            <color indexed="81"/>
            <rFont val="Tahoma"/>
            <family val="2"/>
          </rPr>
          <t>Author:</t>
        </r>
        <r>
          <rPr>
            <sz val="9"/>
            <color indexed="81"/>
            <rFont val="Tahoma"/>
            <family val="2"/>
          </rPr>
          <t xml:space="preserve">
From Campion2021</t>
        </r>
      </text>
    </comment>
    <comment ref="BB61" authorId="0" shapeId="0">
      <text>
        <r>
          <rPr>
            <b/>
            <sz val="9"/>
            <color indexed="81"/>
            <rFont val="Tahoma"/>
            <family val="2"/>
          </rPr>
          <t>Author:</t>
        </r>
        <r>
          <rPr>
            <sz val="9"/>
            <color indexed="81"/>
            <rFont val="Tahoma"/>
            <family val="2"/>
          </rPr>
          <t xml:space="preserve">
Based on Campion2023</t>
        </r>
      </text>
    </comment>
    <comment ref="BC61" authorId="0" shapeId="0">
      <text>
        <r>
          <rPr>
            <b/>
            <sz val="9"/>
            <color indexed="81"/>
            <rFont val="Tahoma"/>
            <family val="2"/>
          </rPr>
          <t>Author:</t>
        </r>
        <r>
          <rPr>
            <sz val="9"/>
            <color indexed="81"/>
            <rFont val="Tahoma"/>
            <family val="2"/>
          </rPr>
          <t xml:space="preserve">
From Campion2021</t>
        </r>
      </text>
    </comment>
    <comment ref="BD61" authorId="0" shapeId="0">
      <text>
        <r>
          <rPr>
            <b/>
            <sz val="9"/>
            <color indexed="81"/>
            <rFont val="Tahoma"/>
            <family val="2"/>
          </rPr>
          <t>Author:</t>
        </r>
        <r>
          <rPr>
            <sz val="9"/>
            <color indexed="81"/>
            <rFont val="Tahoma"/>
            <family val="2"/>
          </rPr>
          <t xml:space="preserve">
From Campion2021</t>
        </r>
      </text>
    </comment>
    <comment ref="BE61" authorId="0" shapeId="0">
      <text>
        <r>
          <rPr>
            <b/>
            <sz val="9"/>
            <color indexed="81"/>
            <rFont val="Tahoma"/>
            <family val="2"/>
          </rPr>
          <t>Author:</t>
        </r>
        <r>
          <rPr>
            <sz val="9"/>
            <color indexed="81"/>
            <rFont val="Tahoma"/>
            <family val="2"/>
          </rPr>
          <t xml:space="preserve">
From Campion2021</t>
        </r>
      </text>
    </comment>
    <comment ref="AT62" authorId="0" shapeId="0">
      <text>
        <r>
          <rPr>
            <b/>
            <sz val="9"/>
            <color indexed="81"/>
            <rFont val="Tahoma"/>
            <family val="2"/>
          </rPr>
          <t>Author:</t>
        </r>
        <r>
          <rPr>
            <sz val="9"/>
            <color indexed="81"/>
            <rFont val="Tahoma"/>
            <family val="2"/>
          </rPr>
          <t xml:space="preserve">
Based on Campion2023</t>
        </r>
      </text>
    </comment>
    <comment ref="AU62" authorId="0" shapeId="0">
      <text>
        <r>
          <rPr>
            <b/>
            <sz val="9"/>
            <color indexed="81"/>
            <rFont val="Tahoma"/>
            <family val="2"/>
          </rPr>
          <t>Author:</t>
        </r>
        <r>
          <rPr>
            <sz val="9"/>
            <color indexed="81"/>
            <rFont val="Tahoma"/>
            <family val="2"/>
          </rPr>
          <t xml:space="preserve">
From Campion2021</t>
        </r>
      </text>
    </comment>
    <comment ref="AV62" authorId="0" shapeId="0">
      <text>
        <r>
          <rPr>
            <b/>
            <sz val="9"/>
            <color indexed="81"/>
            <rFont val="Tahoma"/>
            <family val="2"/>
          </rPr>
          <t>Author:</t>
        </r>
        <r>
          <rPr>
            <sz val="9"/>
            <color indexed="81"/>
            <rFont val="Tahoma"/>
            <family val="2"/>
          </rPr>
          <t xml:space="preserve">
From Campion2021</t>
        </r>
      </text>
    </comment>
    <comment ref="AW62" authorId="0" shapeId="0">
      <text>
        <r>
          <rPr>
            <b/>
            <sz val="9"/>
            <color indexed="81"/>
            <rFont val="Tahoma"/>
            <family val="2"/>
          </rPr>
          <t>Author:</t>
        </r>
        <r>
          <rPr>
            <sz val="9"/>
            <color indexed="81"/>
            <rFont val="Tahoma"/>
            <family val="2"/>
          </rPr>
          <t xml:space="preserve">
From Campion2021</t>
        </r>
      </text>
    </comment>
    <comment ref="AX62" authorId="0" shapeId="0">
      <text>
        <r>
          <rPr>
            <b/>
            <sz val="9"/>
            <color indexed="81"/>
            <rFont val="Tahoma"/>
            <family val="2"/>
          </rPr>
          <t>Author:</t>
        </r>
        <r>
          <rPr>
            <sz val="9"/>
            <color indexed="81"/>
            <rFont val="Tahoma"/>
            <family val="2"/>
          </rPr>
          <t xml:space="preserve">
Based on Campion2023</t>
        </r>
      </text>
    </comment>
    <comment ref="AY62" authorId="0" shapeId="0">
      <text>
        <r>
          <rPr>
            <b/>
            <sz val="9"/>
            <color indexed="81"/>
            <rFont val="Tahoma"/>
            <family val="2"/>
          </rPr>
          <t>Author:</t>
        </r>
        <r>
          <rPr>
            <sz val="9"/>
            <color indexed="81"/>
            <rFont val="Tahoma"/>
            <family val="2"/>
          </rPr>
          <t xml:space="preserve">
From Campion2021</t>
        </r>
      </text>
    </comment>
    <comment ref="AZ62" authorId="0" shapeId="0">
      <text>
        <r>
          <rPr>
            <b/>
            <sz val="9"/>
            <color indexed="81"/>
            <rFont val="Tahoma"/>
            <family val="2"/>
          </rPr>
          <t>Author:</t>
        </r>
        <r>
          <rPr>
            <sz val="9"/>
            <color indexed="81"/>
            <rFont val="Tahoma"/>
            <family val="2"/>
          </rPr>
          <t xml:space="preserve">
From Campion2021</t>
        </r>
      </text>
    </comment>
    <comment ref="BA62" authorId="0" shapeId="0">
      <text>
        <r>
          <rPr>
            <b/>
            <sz val="9"/>
            <color indexed="81"/>
            <rFont val="Tahoma"/>
            <family val="2"/>
          </rPr>
          <t>Author:</t>
        </r>
        <r>
          <rPr>
            <sz val="9"/>
            <color indexed="81"/>
            <rFont val="Tahoma"/>
            <family val="2"/>
          </rPr>
          <t xml:space="preserve">
From Campion2021</t>
        </r>
      </text>
    </comment>
    <comment ref="BB62" authorId="0" shapeId="0">
      <text>
        <r>
          <rPr>
            <b/>
            <sz val="9"/>
            <color indexed="81"/>
            <rFont val="Tahoma"/>
            <family val="2"/>
          </rPr>
          <t>Author:</t>
        </r>
        <r>
          <rPr>
            <sz val="9"/>
            <color indexed="81"/>
            <rFont val="Tahoma"/>
            <family val="2"/>
          </rPr>
          <t xml:space="preserve">
Based on Campion2023</t>
        </r>
      </text>
    </comment>
    <comment ref="BC62" authorId="0" shapeId="0">
      <text>
        <r>
          <rPr>
            <b/>
            <sz val="9"/>
            <color indexed="81"/>
            <rFont val="Tahoma"/>
            <family val="2"/>
          </rPr>
          <t>Author:</t>
        </r>
        <r>
          <rPr>
            <sz val="9"/>
            <color indexed="81"/>
            <rFont val="Tahoma"/>
            <family val="2"/>
          </rPr>
          <t xml:space="preserve">
From Campion2021</t>
        </r>
      </text>
    </comment>
    <comment ref="BD62" authorId="0" shapeId="0">
      <text>
        <r>
          <rPr>
            <b/>
            <sz val="9"/>
            <color indexed="81"/>
            <rFont val="Tahoma"/>
            <family val="2"/>
          </rPr>
          <t>Author:</t>
        </r>
        <r>
          <rPr>
            <sz val="9"/>
            <color indexed="81"/>
            <rFont val="Tahoma"/>
            <family val="2"/>
          </rPr>
          <t xml:space="preserve">
From Campion2021</t>
        </r>
      </text>
    </comment>
    <comment ref="BE62" authorId="0" shapeId="0">
      <text>
        <r>
          <rPr>
            <b/>
            <sz val="9"/>
            <color indexed="81"/>
            <rFont val="Tahoma"/>
            <family val="2"/>
          </rPr>
          <t>Author:</t>
        </r>
        <r>
          <rPr>
            <sz val="9"/>
            <color indexed="81"/>
            <rFont val="Tahoma"/>
            <family val="2"/>
          </rPr>
          <t xml:space="preserve">
From Campion2021</t>
        </r>
      </text>
    </comment>
    <comment ref="AT63" authorId="0" shapeId="0">
      <text>
        <r>
          <rPr>
            <b/>
            <sz val="9"/>
            <color indexed="81"/>
            <rFont val="Tahoma"/>
            <family val="2"/>
          </rPr>
          <t>Author:</t>
        </r>
        <r>
          <rPr>
            <sz val="9"/>
            <color indexed="81"/>
            <rFont val="Tahoma"/>
            <family val="2"/>
          </rPr>
          <t xml:space="preserve">
Based on Campion2023</t>
        </r>
      </text>
    </comment>
    <comment ref="AU63" authorId="0" shapeId="0">
      <text>
        <r>
          <rPr>
            <b/>
            <sz val="9"/>
            <color indexed="81"/>
            <rFont val="Tahoma"/>
            <family val="2"/>
          </rPr>
          <t>Author:</t>
        </r>
        <r>
          <rPr>
            <sz val="9"/>
            <color indexed="81"/>
            <rFont val="Tahoma"/>
            <family val="2"/>
          </rPr>
          <t xml:space="preserve">
From Campion2021</t>
        </r>
      </text>
    </comment>
    <comment ref="AV63" authorId="0" shapeId="0">
      <text>
        <r>
          <rPr>
            <b/>
            <sz val="9"/>
            <color indexed="81"/>
            <rFont val="Tahoma"/>
            <family val="2"/>
          </rPr>
          <t>Author:</t>
        </r>
        <r>
          <rPr>
            <sz val="9"/>
            <color indexed="81"/>
            <rFont val="Tahoma"/>
            <family val="2"/>
          </rPr>
          <t xml:space="preserve">
From Campion2021</t>
        </r>
      </text>
    </comment>
    <comment ref="AW63" authorId="0" shapeId="0">
      <text>
        <r>
          <rPr>
            <b/>
            <sz val="9"/>
            <color indexed="81"/>
            <rFont val="Tahoma"/>
            <family val="2"/>
          </rPr>
          <t>Author:</t>
        </r>
        <r>
          <rPr>
            <sz val="9"/>
            <color indexed="81"/>
            <rFont val="Tahoma"/>
            <family val="2"/>
          </rPr>
          <t xml:space="preserve">
From Campion2021</t>
        </r>
      </text>
    </comment>
    <comment ref="AX63" authorId="0" shapeId="0">
      <text>
        <r>
          <rPr>
            <b/>
            <sz val="9"/>
            <color indexed="81"/>
            <rFont val="Tahoma"/>
            <family val="2"/>
          </rPr>
          <t>Author:</t>
        </r>
        <r>
          <rPr>
            <sz val="9"/>
            <color indexed="81"/>
            <rFont val="Tahoma"/>
            <family val="2"/>
          </rPr>
          <t xml:space="preserve">
Based on Campion2023</t>
        </r>
      </text>
    </comment>
    <comment ref="AY63" authorId="0" shapeId="0">
      <text>
        <r>
          <rPr>
            <b/>
            <sz val="9"/>
            <color indexed="81"/>
            <rFont val="Tahoma"/>
            <family val="2"/>
          </rPr>
          <t>Author:</t>
        </r>
        <r>
          <rPr>
            <sz val="9"/>
            <color indexed="81"/>
            <rFont val="Tahoma"/>
            <family val="2"/>
          </rPr>
          <t xml:space="preserve">
From Campion2021</t>
        </r>
      </text>
    </comment>
    <comment ref="AZ63" authorId="0" shapeId="0">
      <text>
        <r>
          <rPr>
            <b/>
            <sz val="9"/>
            <color indexed="81"/>
            <rFont val="Tahoma"/>
            <family val="2"/>
          </rPr>
          <t>Author:</t>
        </r>
        <r>
          <rPr>
            <sz val="9"/>
            <color indexed="81"/>
            <rFont val="Tahoma"/>
            <family val="2"/>
          </rPr>
          <t xml:space="preserve">
From Campion2021</t>
        </r>
      </text>
    </comment>
    <comment ref="BA63" authorId="0" shapeId="0">
      <text>
        <r>
          <rPr>
            <b/>
            <sz val="9"/>
            <color indexed="81"/>
            <rFont val="Tahoma"/>
            <family val="2"/>
          </rPr>
          <t>Author:</t>
        </r>
        <r>
          <rPr>
            <sz val="9"/>
            <color indexed="81"/>
            <rFont val="Tahoma"/>
            <family val="2"/>
          </rPr>
          <t xml:space="preserve">
From Campion2021</t>
        </r>
      </text>
    </comment>
    <comment ref="BB63" authorId="0" shapeId="0">
      <text>
        <r>
          <rPr>
            <b/>
            <sz val="9"/>
            <color indexed="81"/>
            <rFont val="Tahoma"/>
            <family val="2"/>
          </rPr>
          <t>Author:</t>
        </r>
        <r>
          <rPr>
            <sz val="9"/>
            <color indexed="81"/>
            <rFont val="Tahoma"/>
            <family val="2"/>
          </rPr>
          <t xml:space="preserve">
Based on Campion2023</t>
        </r>
      </text>
    </comment>
    <comment ref="BC63" authorId="0" shapeId="0">
      <text>
        <r>
          <rPr>
            <b/>
            <sz val="9"/>
            <color indexed="81"/>
            <rFont val="Tahoma"/>
            <family val="2"/>
          </rPr>
          <t>Author:</t>
        </r>
        <r>
          <rPr>
            <sz val="9"/>
            <color indexed="81"/>
            <rFont val="Tahoma"/>
            <family val="2"/>
          </rPr>
          <t xml:space="preserve">
From Campion2021</t>
        </r>
      </text>
    </comment>
    <comment ref="BD63" authorId="0" shapeId="0">
      <text>
        <r>
          <rPr>
            <b/>
            <sz val="9"/>
            <color indexed="81"/>
            <rFont val="Tahoma"/>
            <family val="2"/>
          </rPr>
          <t>Author:</t>
        </r>
        <r>
          <rPr>
            <sz val="9"/>
            <color indexed="81"/>
            <rFont val="Tahoma"/>
            <family val="2"/>
          </rPr>
          <t xml:space="preserve">
From Campion2021</t>
        </r>
      </text>
    </comment>
    <comment ref="BE63" authorId="0" shapeId="0">
      <text>
        <r>
          <rPr>
            <b/>
            <sz val="9"/>
            <color indexed="81"/>
            <rFont val="Tahoma"/>
            <family val="2"/>
          </rPr>
          <t>Author:</t>
        </r>
        <r>
          <rPr>
            <sz val="9"/>
            <color indexed="81"/>
            <rFont val="Tahoma"/>
            <family val="2"/>
          </rPr>
          <t xml:space="preserve">
From Campion2021</t>
        </r>
      </text>
    </comment>
    <comment ref="AT64" authorId="0" shapeId="0">
      <text>
        <r>
          <rPr>
            <b/>
            <sz val="9"/>
            <color indexed="81"/>
            <rFont val="Tahoma"/>
            <family val="2"/>
          </rPr>
          <t>Author:</t>
        </r>
        <r>
          <rPr>
            <sz val="9"/>
            <color indexed="81"/>
            <rFont val="Tahoma"/>
            <family val="2"/>
          </rPr>
          <t xml:space="preserve">
Based on Campion2023</t>
        </r>
      </text>
    </comment>
    <comment ref="AU64" authorId="0" shapeId="0">
      <text>
        <r>
          <rPr>
            <b/>
            <sz val="9"/>
            <color indexed="81"/>
            <rFont val="Tahoma"/>
            <family val="2"/>
          </rPr>
          <t>Author:</t>
        </r>
        <r>
          <rPr>
            <sz val="9"/>
            <color indexed="81"/>
            <rFont val="Tahoma"/>
            <family val="2"/>
          </rPr>
          <t xml:space="preserve">
From Campion2021</t>
        </r>
      </text>
    </comment>
    <comment ref="AV64" authorId="0" shapeId="0">
      <text>
        <r>
          <rPr>
            <b/>
            <sz val="9"/>
            <color indexed="81"/>
            <rFont val="Tahoma"/>
            <family val="2"/>
          </rPr>
          <t>Author:</t>
        </r>
        <r>
          <rPr>
            <sz val="9"/>
            <color indexed="81"/>
            <rFont val="Tahoma"/>
            <family val="2"/>
          </rPr>
          <t xml:space="preserve">
From Campion2021</t>
        </r>
      </text>
    </comment>
    <comment ref="AW64" authorId="0" shapeId="0">
      <text>
        <r>
          <rPr>
            <b/>
            <sz val="9"/>
            <color indexed="81"/>
            <rFont val="Tahoma"/>
            <family val="2"/>
          </rPr>
          <t>Author:</t>
        </r>
        <r>
          <rPr>
            <sz val="9"/>
            <color indexed="81"/>
            <rFont val="Tahoma"/>
            <family val="2"/>
          </rPr>
          <t xml:space="preserve">
From Campion2021</t>
        </r>
      </text>
    </comment>
    <comment ref="AX64" authorId="0" shapeId="0">
      <text>
        <r>
          <rPr>
            <b/>
            <sz val="9"/>
            <color indexed="81"/>
            <rFont val="Tahoma"/>
            <family val="2"/>
          </rPr>
          <t>Author:</t>
        </r>
        <r>
          <rPr>
            <sz val="9"/>
            <color indexed="81"/>
            <rFont val="Tahoma"/>
            <family val="2"/>
          </rPr>
          <t xml:space="preserve">
Based on Campion2023</t>
        </r>
      </text>
    </comment>
    <comment ref="AY64" authorId="0" shapeId="0">
      <text>
        <r>
          <rPr>
            <b/>
            <sz val="9"/>
            <color indexed="81"/>
            <rFont val="Tahoma"/>
            <family val="2"/>
          </rPr>
          <t>Author:</t>
        </r>
        <r>
          <rPr>
            <sz val="9"/>
            <color indexed="81"/>
            <rFont val="Tahoma"/>
            <family val="2"/>
          </rPr>
          <t xml:space="preserve">
From Campion2021</t>
        </r>
      </text>
    </comment>
    <comment ref="AZ64" authorId="0" shapeId="0">
      <text>
        <r>
          <rPr>
            <b/>
            <sz val="9"/>
            <color indexed="81"/>
            <rFont val="Tahoma"/>
            <family val="2"/>
          </rPr>
          <t>Author:</t>
        </r>
        <r>
          <rPr>
            <sz val="9"/>
            <color indexed="81"/>
            <rFont val="Tahoma"/>
            <family val="2"/>
          </rPr>
          <t xml:space="preserve">
From Campion2021</t>
        </r>
      </text>
    </comment>
    <comment ref="BA64" authorId="0" shapeId="0">
      <text>
        <r>
          <rPr>
            <b/>
            <sz val="9"/>
            <color indexed="81"/>
            <rFont val="Tahoma"/>
            <family val="2"/>
          </rPr>
          <t>Author:</t>
        </r>
        <r>
          <rPr>
            <sz val="9"/>
            <color indexed="81"/>
            <rFont val="Tahoma"/>
            <family val="2"/>
          </rPr>
          <t xml:space="preserve">
From Campion2021</t>
        </r>
      </text>
    </comment>
    <comment ref="BB64" authorId="0" shapeId="0">
      <text>
        <r>
          <rPr>
            <b/>
            <sz val="9"/>
            <color indexed="81"/>
            <rFont val="Tahoma"/>
            <family val="2"/>
          </rPr>
          <t>Author:</t>
        </r>
        <r>
          <rPr>
            <sz val="9"/>
            <color indexed="81"/>
            <rFont val="Tahoma"/>
            <family val="2"/>
          </rPr>
          <t xml:space="preserve">
Based on Campion2023</t>
        </r>
      </text>
    </comment>
    <comment ref="BC64" authorId="0" shapeId="0">
      <text>
        <r>
          <rPr>
            <b/>
            <sz val="9"/>
            <color indexed="81"/>
            <rFont val="Tahoma"/>
            <family val="2"/>
          </rPr>
          <t>Author:</t>
        </r>
        <r>
          <rPr>
            <sz val="9"/>
            <color indexed="81"/>
            <rFont val="Tahoma"/>
            <family val="2"/>
          </rPr>
          <t xml:space="preserve">
From Campion2021</t>
        </r>
      </text>
    </comment>
    <comment ref="BD64" authorId="0" shapeId="0">
      <text>
        <r>
          <rPr>
            <b/>
            <sz val="9"/>
            <color indexed="81"/>
            <rFont val="Tahoma"/>
            <family val="2"/>
          </rPr>
          <t>Author:</t>
        </r>
        <r>
          <rPr>
            <sz val="9"/>
            <color indexed="81"/>
            <rFont val="Tahoma"/>
            <family val="2"/>
          </rPr>
          <t xml:space="preserve">
From Campion2021</t>
        </r>
      </text>
    </comment>
    <comment ref="BE64" authorId="0" shapeId="0">
      <text>
        <r>
          <rPr>
            <b/>
            <sz val="9"/>
            <color indexed="81"/>
            <rFont val="Tahoma"/>
            <family val="2"/>
          </rPr>
          <t>Author:</t>
        </r>
        <r>
          <rPr>
            <sz val="9"/>
            <color indexed="81"/>
            <rFont val="Tahoma"/>
            <family val="2"/>
          </rPr>
          <t xml:space="preserve">
From Campion2021</t>
        </r>
      </text>
    </comment>
    <comment ref="AT65" authorId="0" shapeId="0">
      <text>
        <r>
          <rPr>
            <b/>
            <sz val="9"/>
            <color indexed="81"/>
            <rFont val="Tahoma"/>
            <family val="2"/>
          </rPr>
          <t>Author:</t>
        </r>
        <r>
          <rPr>
            <sz val="9"/>
            <color indexed="81"/>
            <rFont val="Tahoma"/>
            <family val="2"/>
          </rPr>
          <t xml:space="preserve">
Based on Campion2023</t>
        </r>
      </text>
    </comment>
    <comment ref="AU65" authorId="0" shapeId="0">
      <text>
        <r>
          <rPr>
            <b/>
            <sz val="9"/>
            <color indexed="81"/>
            <rFont val="Tahoma"/>
            <family val="2"/>
          </rPr>
          <t>Author:</t>
        </r>
        <r>
          <rPr>
            <sz val="9"/>
            <color indexed="81"/>
            <rFont val="Tahoma"/>
            <family val="2"/>
          </rPr>
          <t xml:space="preserve">
From Campion2021</t>
        </r>
      </text>
    </comment>
    <comment ref="AV65" authorId="0" shapeId="0">
      <text>
        <r>
          <rPr>
            <b/>
            <sz val="9"/>
            <color indexed="81"/>
            <rFont val="Tahoma"/>
            <family val="2"/>
          </rPr>
          <t>Author:</t>
        </r>
        <r>
          <rPr>
            <sz val="9"/>
            <color indexed="81"/>
            <rFont val="Tahoma"/>
            <family val="2"/>
          </rPr>
          <t xml:space="preserve">
From Campion2021</t>
        </r>
      </text>
    </comment>
    <comment ref="AW65" authorId="0" shapeId="0">
      <text>
        <r>
          <rPr>
            <b/>
            <sz val="9"/>
            <color indexed="81"/>
            <rFont val="Tahoma"/>
            <family val="2"/>
          </rPr>
          <t>Author:</t>
        </r>
        <r>
          <rPr>
            <sz val="9"/>
            <color indexed="81"/>
            <rFont val="Tahoma"/>
            <family val="2"/>
          </rPr>
          <t xml:space="preserve">
From Campion2021</t>
        </r>
      </text>
    </comment>
    <comment ref="AX65" authorId="0" shapeId="0">
      <text>
        <r>
          <rPr>
            <b/>
            <sz val="9"/>
            <color indexed="81"/>
            <rFont val="Tahoma"/>
            <family val="2"/>
          </rPr>
          <t>Author:</t>
        </r>
        <r>
          <rPr>
            <sz val="9"/>
            <color indexed="81"/>
            <rFont val="Tahoma"/>
            <family val="2"/>
          </rPr>
          <t xml:space="preserve">
Based on Campion2023</t>
        </r>
      </text>
    </comment>
    <comment ref="AY65" authorId="0" shapeId="0">
      <text>
        <r>
          <rPr>
            <b/>
            <sz val="9"/>
            <color indexed="81"/>
            <rFont val="Tahoma"/>
            <family val="2"/>
          </rPr>
          <t>Author:</t>
        </r>
        <r>
          <rPr>
            <sz val="9"/>
            <color indexed="81"/>
            <rFont val="Tahoma"/>
            <family val="2"/>
          </rPr>
          <t xml:space="preserve">
From Campion2021</t>
        </r>
      </text>
    </comment>
    <comment ref="AZ65" authorId="0" shapeId="0">
      <text>
        <r>
          <rPr>
            <b/>
            <sz val="9"/>
            <color indexed="81"/>
            <rFont val="Tahoma"/>
            <family val="2"/>
          </rPr>
          <t>Author:</t>
        </r>
        <r>
          <rPr>
            <sz val="9"/>
            <color indexed="81"/>
            <rFont val="Tahoma"/>
            <family val="2"/>
          </rPr>
          <t xml:space="preserve">
From Campion2021</t>
        </r>
      </text>
    </comment>
    <comment ref="BA65" authorId="0" shapeId="0">
      <text>
        <r>
          <rPr>
            <b/>
            <sz val="9"/>
            <color indexed="81"/>
            <rFont val="Tahoma"/>
            <family val="2"/>
          </rPr>
          <t>Author:</t>
        </r>
        <r>
          <rPr>
            <sz val="9"/>
            <color indexed="81"/>
            <rFont val="Tahoma"/>
            <family val="2"/>
          </rPr>
          <t xml:space="preserve">
From Campion2021</t>
        </r>
      </text>
    </comment>
    <comment ref="BB65" authorId="0" shapeId="0">
      <text>
        <r>
          <rPr>
            <b/>
            <sz val="9"/>
            <color indexed="81"/>
            <rFont val="Tahoma"/>
            <family val="2"/>
          </rPr>
          <t>Author:</t>
        </r>
        <r>
          <rPr>
            <sz val="9"/>
            <color indexed="81"/>
            <rFont val="Tahoma"/>
            <family val="2"/>
          </rPr>
          <t xml:space="preserve">
Based on Campion2023</t>
        </r>
      </text>
    </comment>
    <comment ref="BC65" authorId="0" shapeId="0">
      <text>
        <r>
          <rPr>
            <b/>
            <sz val="9"/>
            <color indexed="81"/>
            <rFont val="Tahoma"/>
            <family val="2"/>
          </rPr>
          <t>Author:</t>
        </r>
        <r>
          <rPr>
            <sz val="9"/>
            <color indexed="81"/>
            <rFont val="Tahoma"/>
            <family val="2"/>
          </rPr>
          <t xml:space="preserve">
From Campion2021</t>
        </r>
      </text>
    </comment>
    <comment ref="BD65" authorId="0" shapeId="0">
      <text>
        <r>
          <rPr>
            <b/>
            <sz val="9"/>
            <color indexed="81"/>
            <rFont val="Tahoma"/>
            <family val="2"/>
          </rPr>
          <t>Author:</t>
        </r>
        <r>
          <rPr>
            <sz val="9"/>
            <color indexed="81"/>
            <rFont val="Tahoma"/>
            <family val="2"/>
          </rPr>
          <t xml:space="preserve">
From Campion2021</t>
        </r>
      </text>
    </comment>
    <comment ref="BE65" authorId="0" shapeId="0">
      <text>
        <r>
          <rPr>
            <b/>
            <sz val="9"/>
            <color indexed="81"/>
            <rFont val="Tahoma"/>
            <family val="2"/>
          </rPr>
          <t>Author:</t>
        </r>
        <r>
          <rPr>
            <sz val="9"/>
            <color indexed="81"/>
            <rFont val="Tahoma"/>
            <family val="2"/>
          </rPr>
          <t xml:space="preserve">
From Campion2021</t>
        </r>
      </text>
    </comment>
    <comment ref="AT66" authorId="0" shapeId="0">
      <text>
        <r>
          <rPr>
            <b/>
            <sz val="9"/>
            <color indexed="81"/>
            <rFont val="Tahoma"/>
            <family val="2"/>
          </rPr>
          <t>Author:</t>
        </r>
        <r>
          <rPr>
            <sz val="9"/>
            <color indexed="81"/>
            <rFont val="Tahoma"/>
            <family val="2"/>
          </rPr>
          <t xml:space="preserve">
Based on Campion2023</t>
        </r>
      </text>
    </comment>
    <comment ref="AU66" authorId="0" shapeId="0">
      <text>
        <r>
          <rPr>
            <b/>
            <sz val="9"/>
            <color indexed="81"/>
            <rFont val="Tahoma"/>
            <family val="2"/>
          </rPr>
          <t>Author:</t>
        </r>
        <r>
          <rPr>
            <sz val="9"/>
            <color indexed="81"/>
            <rFont val="Tahoma"/>
            <family val="2"/>
          </rPr>
          <t xml:space="preserve">
From Campion2021</t>
        </r>
      </text>
    </comment>
    <comment ref="AV66" authorId="0" shapeId="0">
      <text>
        <r>
          <rPr>
            <b/>
            <sz val="9"/>
            <color indexed="81"/>
            <rFont val="Tahoma"/>
            <family val="2"/>
          </rPr>
          <t>Author:</t>
        </r>
        <r>
          <rPr>
            <sz val="9"/>
            <color indexed="81"/>
            <rFont val="Tahoma"/>
            <family val="2"/>
          </rPr>
          <t xml:space="preserve">
From Campion2021</t>
        </r>
      </text>
    </comment>
    <comment ref="AW66" authorId="0" shapeId="0">
      <text>
        <r>
          <rPr>
            <b/>
            <sz val="9"/>
            <color indexed="81"/>
            <rFont val="Tahoma"/>
            <family val="2"/>
          </rPr>
          <t>Author:</t>
        </r>
        <r>
          <rPr>
            <sz val="9"/>
            <color indexed="81"/>
            <rFont val="Tahoma"/>
            <family val="2"/>
          </rPr>
          <t xml:space="preserve">
From Campion2021</t>
        </r>
      </text>
    </comment>
    <comment ref="AX66" authorId="0" shapeId="0">
      <text>
        <r>
          <rPr>
            <b/>
            <sz val="9"/>
            <color indexed="81"/>
            <rFont val="Tahoma"/>
            <family val="2"/>
          </rPr>
          <t>Author:</t>
        </r>
        <r>
          <rPr>
            <sz val="9"/>
            <color indexed="81"/>
            <rFont val="Tahoma"/>
            <family val="2"/>
          </rPr>
          <t xml:space="preserve">
Based on Campion2023</t>
        </r>
      </text>
    </comment>
    <comment ref="AY66" authorId="0" shapeId="0">
      <text>
        <r>
          <rPr>
            <b/>
            <sz val="9"/>
            <color indexed="81"/>
            <rFont val="Tahoma"/>
            <family val="2"/>
          </rPr>
          <t>Author:</t>
        </r>
        <r>
          <rPr>
            <sz val="9"/>
            <color indexed="81"/>
            <rFont val="Tahoma"/>
            <family val="2"/>
          </rPr>
          <t xml:space="preserve">
From Campion2021</t>
        </r>
      </text>
    </comment>
    <comment ref="AZ66" authorId="0" shapeId="0">
      <text>
        <r>
          <rPr>
            <b/>
            <sz val="9"/>
            <color indexed="81"/>
            <rFont val="Tahoma"/>
            <family val="2"/>
          </rPr>
          <t>Author:</t>
        </r>
        <r>
          <rPr>
            <sz val="9"/>
            <color indexed="81"/>
            <rFont val="Tahoma"/>
            <family val="2"/>
          </rPr>
          <t xml:space="preserve">
From Campion2021</t>
        </r>
      </text>
    </comment>
    <comment ref="BA66" authorId="0" shapeId="0">
      <text>
        <r>
          <rPr>
            <b/>
            <sz val="9"/>
            <color indexed="81"/>
            <rFont val="Tahoma"/>
            <family val="2"/>
          </rPr>
          <t>Author:</t>
        </r>
        <r>
          <rPr>
            <sz val="9"/>
            <color indexed="81"/>
            <rFont val="Tahoma"/>
            <family val="2"/>
          </rPr>
          <t xml:space="preserve">
From Campion2021</t>
        </r>
      </text>
    </comment>
    <comment ref="BB66" authorId="0" shapeId="0">
      <text>
        <r>
          <rPr>
            <b/>
            <sz val="9"/>
            <color indexed="81"/>
            <rFont val="Tahoma"/>
            <family val="2"/>
          </rPr>
          <t>Author:</t>
        </r>
        <r>
          <rPr>
            <sz val="9"/>
            <color indexed="81"/>
            <rFont val="Tahoma"/>
            <family val="2"/>
          </rPr>
          <t xml:space="preserve">
Based on Campion2023</t>
        </r>
      </text>
    </comment>
    <comment ref="BC66" authorId="0" shapeId="0">
      <text>
        <r>
          <rPr>
            <b/>
            <sz val="9"/>
            <color indexed="81"/>
            <rFont val="Tahoma"/>
            <family val="2"/>
          </rPr>
          <t>Author:</t>
        </r>
        <r>
          <rPr>
            <sz val="9"/>
            <color indexed="81"/>
            <rFont val="Tahoma"/>
            <family val="2"/>
          </rPr>
          <t xml:space="preserve">
From Campion2021</t>
        </r>
      </text>
    </comment>
    <comment ref="BD66" authorId="0" shapeId="0">
      <text>
        <r>
          <rPr>
            <b/>
            <sz val="9"/>
            <color indexed="81"/>
            <rFont val="Tahoma"/>
            <family val="2"/>
          </rPr>
          <t>Author:</t>
        </r>
        <r>
          <rPr>
            <sz val="9"/>
            <color indexed="81"/>
            <rFont val="Tahoma"/>
            <family val="2"/>
          </rPr>
          <t xml:space="preserve">
From Campion2021</t>
        </r>
      </text>
    </comment>
    <comment ref="BE66" authorId="0" shapeId="0">
      <text>
        <r>
          <rPr>
            <b/>
            <sz val="9"/>
            <color indexed="81"/>
            <rFont val="Tahoma"/>
            <family val="2"/>
          </rPr>
          <t>Author:</t>
        </r>
        <r>
          <rPr>
            <sz val="9"/>
            <color indexed="81"/>
            <rFont val="Tahoma"/>
            <family val="2"/>
          </rPr>
          <t xml:space="preserve">
From Campion2021</t>
        </r>
      </text>
    </comment>
    <comment ref="AD67" authorId="0" shapeId="0">
      <text>
        <r>
          <rPr>
            <b/>
            <sz val="9"/>
            <color indexed="81"/>
            <rFont val="Tahoma"/>
            <family val="2"/>
          </rPr>
          <t>Author:</t>
        </r>
        <r>
          <rPr>
            <sz val="9"/>
            <color indexed="81"/>
            <rFont val="Tahoma"/>
            <family val="2"/>
          </rPr>
          <t xml:space="preserve">
From Campion2024</t>
        </r>
      </text>
    </comment>
    <comment ref="AE67" authorId="0" shapeId="0">
      <text>
        <r>
          <rPr>
            <b/>
            <sz val="9"/>
            <color indexed="81"/>
            <rFont val="Tahoma"/>
            <family val="2"/>
          </rPr>
          <t>Author:</t>
        </r>
        <r>
          <rPr>
            <sz val="9"/>
            <color indexed="81"/>
            <rFont val="Tahoma"/>
            <family val="2"/>
          </rPr>
          <t xml:space="preserve">
From Campion2024</t>
        </r>
      </text>
    </comment>
    <comment ref="AF67" authorId="0" shapeId="0">
      <text>
        <r>
          <rPr>
            <b/>
            <sz val="9"/>
            <color indexed="81"/>
            <rFont val="Tahoma"/>
            <family val="2"/>
          </rPr>
          <t>Author:</t>
        </r>
        <r>
          <rPr>
            <sz val="9"/>
            <color indexed="81"/>
            <rFont val="Tahoma"/>
            <family val="2"/>
          </rPr>
          <t xml:space="preserve">
From Campion2024</t>
        </r>
      </text>
    </comment>
    <comment ref="AG67" authorId="0" shapeId="0">
      <text>
        <r>
          <rPr>
            <b/>
            <sz val="9"/>
            <color indexed="81"/>
            <rFont val="Tahoma"/>
            <family val="2"/>
          </rPr>
          <t>Author:</t>
        </r>
        <r>
          <rPr>
            <sz val="9"/>
            <color indexed="81"/>
            <rFont val="Tahoma"/>
            <family val="2"/>
          </rPr>
          <t xml:space="preserve">
From Campion2024</t>
        </r>
      </text>
    </comment>
    <comment ref="AH67" authorId="0" shapeId="0">
      <text>
        <r>
          <rPr>
            <b/>
            <sz val="9"/>
            <color indexed="81"/>
            <rFont val="Tahoma"/>
            <family val="2"/>
          </rPr>
          <t>Author:</t>
        </r>
        <r>
          <rPr>
            <sz val="9"/>
            <color indexed="81"/>
            <rFont val="Tahoma"/>
            <family val="2"/>
          </rPr>
          <t xml:space="preserve">
From Campion2024</t>
        </r>
      </text>
    </comment>
    <comment ref="AI67" authorId="0" shapeId="0">
      <text>
        <r>
          <rPr>
            <b/>
            <sz val="9"/>
            <color indexed="81"/>
            <rFont val="Tahoma"/>
            <family val="2"/>
          </rPr>
          <t>Author:</t>
        </r>
        <r>
          <rPr>
            <sz val="9"/>
            <color indexed="81"/>
            <rFont val="Tahoma"/>
            <family val="2"/>
          </rPr>
          <t xml:space="preserve">
From Campion2024</t>
        </r>
      </text>
    </comment>
    <comment ref="AJ67" authorId="0" shapeId="0">
      <text>
        <r>
          <rPr>
            <b/>
            <sz val="9"/>
            <color indexed="81"/>
            <rFont val="Tahoma"/>
            <family val="2"/>
          </rPr>
          <t>Author:</t>
        </r>
        <r>
          <rPr>
            <sz val="9"/>
            <color indexed="81"/>
            <rFont val="Tahoma"/>
            <family val="2"/>
          </rPr>
          <t xml:space="preserve">
From Campion2024</t>
        </r>
      </text>
    </comment>
    <comment ref="AK67" authorId="0" shapeId="0">
      <text>
        <r>
          <rPr>
            <b/>
            <sz val="9"/>
            <color indexed="81"/>
            <rFont val="Tahoma"/>
            <family val="2"/>
          </rPr>
          <t>Author:</t>
        </r>
        <r>
          <rPr>
            <sz val="9"/>
            <color indexed="81"/>
            <rFont val="Tahoma"/>
            <family val="2"/>
          </rPr>
          <t xml:space="preserve">
From Campion2024</t>
        </r>
      </text>
    </comment>
    <comment ref="AL67" authorId="0" shapeId="0">
      <text>
        <r>
          <rPr>
            <b/>
            <sz val="9"/>
            <color indexed="81"/>
            <rFont val="Tahoma"/>
            <family val="2"/>
          </rPr>
          <t>Author:</t>
        </r>
        <r>
          <rPr>
            <sz val="9"/>
            <color indexed="81"/>
            <rFont val="Tahoma"/>
            <family val="2"/>
          </rPr>
          <t xml:space="preserve">
From Campion2024</t>
        </r>
      </text>
    </comment>
    <comment ref="AM67" authorId="0" shapeId="0">
      <text>
        <r>
          <rPr>
            <b/>
            <sz val="9"/>
            <color indexed="81"/>
            <rFont val="Tahoma"/>
            <family val="2"/>
          </rPr>
          <t>Author:</t>
        </r>
        <r>
          <rPr>
            <sz val="9"/>
            <color indexed="81"/>
            <rFont val="Tahoma"/>
            <family val="2"/>
          </rPr>
          <t xml:space="preserve">
From Campion2024</t>
        </r>
      </text>
    </comment>
    <comment ref="AN67" authorId="0" shapeId="0">
      <text>
        <r>
          <rPr>
            <b/>
            <sz val="9"/>
            <color indexed="81"/>
            <rFont val="Tahoma"/>
            <family val="2"/>
          </rPr>
          <t>Author:</t>
        </r>
        <r>
          <rPr>
            <sz val="9"/>
            <color indexed="81"/>
            <rFont val="Tahoma"/>
            <family val="2"/>
          </rPr>
          <t xml:space="preserve">
From Campion2024</t>
        </r>
      </text>
    </comment>
    <comment ref="AO67" authorId="0" shapeId="0">
      <text>
        <r>
          <rPr>
            <b/>
            <sz val="9"/>
            <color indexed="81"/>
            <rFont val="Tahoma"/>
            <family val="2"/>
          </rPr>
          <t>Author:</t>
        </r>
        <r>
          <rPr>
            <sz val="9"/>
            <color indexed="81"/>
            <rFont val="Tahoma"/>
            <family val="2"/>
          </rPr>
          <t xml:space="preserve">
From Campion2024</t>
        </r>
      </text>
    </comment>
    <comment ref="AP67" authorId="0" shapeId="0">
      <text>
        <r>
          <rPr>
            <b/>
            <sz val="9"/>
            <color indexed="81"/>
            <rFont val="Tahoma"/>
            <family val="2"/>
          </rPr>
          <t>Author:</t>
        </r>
        <r>
          <rPr>
            <sz val="9"/>
            <color indexed="81"/>
            <rFont val="Tahoma"/>
            <family val="2"/>
          </rPr>
          <t xml:space="preserve">
From Campion2024</t>
        </r>
      </text>
    </comment>
    <comment ref="AQ67" authorId="0" shapeId="0">
      <text>
        <r>
          <rPr>
            <b/>
            <sz val="9"/>
            <color indexed="81"/>
            <rFont val="Tahoma"/>
            <family val="2"/>
          </rPr>
          <t>Author:</t>
        </r>
        <r>
          <rPr>
            <sz val="9"/>
            <color indexed="81"/>
            <rFont val="Tahoma"/>
            <family val="2"/>
          </rPr>
          <t xml:space="preserve">
From Campion2024</t>
        </r>
      </text>
    </comment>
    <comment ref="AR67" authorId="0" shapeId="0">
      <text>
        <r>
          <rPr>
            <b/>
            <sz val="9"/>
            <color indexed="81"/>
            <rFont val="Tahoma"/>
            <family val="2"/>
          </rPr>
          <t>Author:</t>
        </r>
        <r>
          <rPr>
            <sz val="9"/>
            <color indexed="81"/>
            <rFont val="Tahoma"/>
            <family val="2"/>
          </rPr>
          <t xml:space="preserve">
From Campion2024</t>
        </r>
      </text>
    </comment>
    <comment ref="AS67" authorId="0" shapeId="0">
      <text>
        <r>
          <rPr>
            <b/>
            <sz val="9"/>
            <color indexed="81"/>
            <rFont val="Tahoma"/>
            <family val="2"/>
          </rPr>
          <t>Author:</t>
        </r>
        <r>
          <rPr>
            <sz val="9"/>
            <color indexed="81"/>
            <rFont val="Tahoma"/>
            <family val="2"/>
          </rPr>
          <t xml:space="preserve">
From Campion2024</t>
        </r>
      </text>
    </comment>
    <comment ref="AT67" authorId="0" shapeId="0">
      <text>
        <r>
          <rPr>
            <b/>
            <sz val="9"/>
            <color indexed="81"/>
            <rFont val="Tahoma"/>
            <family val="2"/>
          </rPr>
          <t>Author:</t>
        </r>
        <r>
          <rPr>
            <sz val="9"/>
            <color indexed="81"/>
            <rFont val="Tahoma"/>
            <family val="2"/>
          </rPr>
          <t xml:space="preserve">
From Campion2024</t>
        </r>
      </text>
    </comment>
    <comment ref="AU67" authorId="0" shapeId="0">
      <text>
        <r>
          <rPr>
            <b/>
            <sz val="9"/>
            <color indexed="81"/>
            <rFont val="Tahoma"/>
            <family val="2"/>
          </rPr>
          <t>Author:</t>
        </r>
        <r>
          <rPr>
            <sz val="9"/>
            <color indexed="81"/>
            <rFont val="Tahoma"/>
            <family val="2"/>
          </rPr>
          <t xml:space="preserve">
From Campion2024</t>
        </r>
      </text>
    </comment>
    <comment ref="AV67" authorId="0" shapeId="0">
      <text>
        <r>
          <rPr>
            <b/>
            <sz val="9"/>
            <color indexed="81"/>
            <rFont val="Tahoma"/>
            <family val="2"/>
          </rPr>
          <t>Author:</t>
        </r>
        <r>
          <rPr>
            <sz val="9"/>
            <color indexed="81"/>
            <rFont val="Tahoma"/>
            <family val="2"/>
          </rPr>
          <t xml:space="preserve">
From Campion2024</t>
        </r>
      </text>
    </comment>
    <comment ref="AW67" authorId="0" shapeId="0">
      <text>
        <r>
          <rPr>
            <b/>
            <sz val="9"/>
            <color indexed="81"/>
            <rFont val="Tahoma"/>
            <family val="2"/>
          </rPr>
          <t>Author:</t>
        </r>
        <r>
          <rPr>
            <sz val="9"/>
            <color indexed="81"/>
            <rFont val="Tahoma"/>
            <family val="2"/>
          </rPr>
          <t xml:space="preserve">
From Campion2024</t>
        </r>
      </text>
    </comment>
    <comment ref="AX67" authorId="0" shapeId="0">
      <text>
        <r>
          <rPr>
            <b/>
            <sz val="9"/>
            <color indexed="81"/>
            <rFont val="Tahoma"/>
            <family val="2"/>
          </rPr>
          <t>Author:</t>
        </r>
        <r>
          <rPr>
            <sz val="9"/>
            <color indexed="81"/>
            <rFont val="Tahoma"/>
            <family val="2"/>
          </rPr>
          <t xml:space="preserve">
From Campion2024</t>
        </r>
      </text>
    </comment>
    <comment ref="AY67" authorId="0" shapeId="0">
      <text>
        <r>
          <rPr>
            <b/>
            <sz val="9"/>
            <color indexed="81"/>
            <rFont val="Tahoma"/>
            <family val="2"/>
          </rPr>
          <t>Author:</t>
        </r>
        <r>
          <rPr>
            <sz val="9"/>
            <color indexed="81"/>
            <rFont val="Tahoma"/>
            <family val="2"/>
          </rPr>
          <t xml:space="preserve">
From Campion2024</t>
        </r>
      </text>
    </comment>
    <comment ref="AZ67" authorId="0" shapeId="0">
      <text>
        <r>
          <rPr>
            <b/>
            <sz val="9"/>
            <color indexed="81"/>
            <rFont val="Tahoma"/>
            <family val="2"/>
          </rPr>
          <t>Author:</t>
        </r>
        <r>
          <rPr>
            <sz val="9"/>
            <color indexed="81"/>
            <rFont val="Tahoma"/>
            <family val="2"/>
          </rPr>
          <t xml:space="preserve">
From Campion2024</t>
        </r>
      </text>
    </comment>
    <comment ref="BA67" authorId="0" shapeId="0">
      <text>
        <r>
          <rPr>
            <b/>
            <sz val="9"/>
            <color indexed="81"/>
            <rFont val="Tahoma"/>
            <family val="2"/>
          </rPr>
          <t>Author:</t>
        </r>
        <r>
          <rPr>
            <sz val="9"/>
            <color indexed="81"/>
            <rFont val="Tahoma"/>
            <family val="2"/>
          </rPr>
          <t xml:space="preserve">
From Campion2024</t>
        </r>
      </text>
    </comment>
    <comment ref="BB67" authorId="0" shapeId="0">
      <text>
        <r>
          <rPr>
            <b/>
            <sz val="9"/>
            <color indexed="81"/>
            <rFont val="Tahoma"/>
            <family val="2"/>
          </rPr>
          <t>Author:</t>
        </r>
        <r>
          <rPr>
            <sz val="9"/>
            <color indexed="81"/>
            <rFont val="Tahoma"/>
            <family val="2"/>
          </rPr>
          <t xml:space="preserve">
From Campion2024</t>
        </r>
      </text>
    </comment>
    <comment ref="BC67" authorId="0" shapeId="0">
      <text>
        <r>
          <rPr>
            <b/>
            <sz val="9"/>
            <color indexed="81"/>
            <rFont val="Tahoma"/>
            <family val="2"/>
          </rPr>
          <t>Author:</t>
        </r>
        <r>
          <rPr>
            <sz val="9"/>
            <color indexed="81"/>
            <rFont val="Tahoma"/>
            <family val="2"/>
          </rPr>
          <t xml:space="preserve">
From Campion2024</t>
        </r>
      </text>
    </comment>
    <comment ref="BD67" authorId="0" shapeId="0">
      <text>
        <r>
          <rPr>
            <b/>
            <sz val="9"/>
            <color indexed="81"/>
            <rFont val="Tahoma"/>
            <family val="2"/>
          </rPr>
          <t>Author:</t>
        </r>
        <r>
          <rPr>
            <sz val="9"/>
            <color indexed="81"/>
            <rFont val="Tahoma"/>
            <family val="2"/>
          </rPr>
          <t xml:space="preserve">
From Campion2024</t>
        </r>
      </text>
    </comment>
    <comment ref="BE67" authorId="0" shapeId="0">
      <text>
        <r>
          <rPr>
            <b/>
            <sz val="9"/>
            <color indexed="81"/>
            <rFont val="Tahoma"/>
            <family val="2"/>
          </rPr>
          <t>Author:</t>
        </r>
        <r>
          <rPr>
            <sz val="9"/>
            <color indexed="81"/>
            <rFont val="Tahoma"/>
            <family val="2"/>
          </rPr>
          <t xml:space="preserve">
From Campion2024</t>
        </r>
      </text>
    </comment>
    <comment ref="BR67" authorId="0" shapeId="0">
      <text>
        <r>
          <rPr>
            <b/>
            <sz val="9"/>
            <color indexed="81"/>
            <rFont val="Tahoma"/>
            <family val="2"/>
          </rPr>
          <t>Author:</t>
        </r>
        <r>
          <rPr>
            <sz val="9"/>
            <color indexed="81"/>
            <rFont val="Tahoma"/>
            <family val="2"/>
          </rPr>
          <t xml:space="preserve">
From Campion2024</t>
        </r>
      </text>
    </comment>
    <comment ref="BS67" authorId="0" shapeId="0">
      <text>
        <r>
          <rPr>
            <b/>
            <sz val="9"/>
            <color indexed="81"/>
            <rFont val="Tahoma"/>
            <family val="2"/>
          </rPr>
          <t>Author:</t>
        </r>
        <r>
          <rPr>
            <sz val="9"/>
            <color indexed="81"/>
            <rFont val="Tahoma"/>
            <family val="2"/>
          </rPr>
          <t xml:space="preserve">
From Campion2024</t>
        </r>
      </text>
    </comment>
    <comment ref="BT67" authorId="0" shapeId="0">
      <text>
        <r>
          <rPr>
            <b/>
            <sz val="9"/>
            <color indexed="81"/>
            <rFont val="Tahoma"/>
            <family val="2"/>
          </rPr>
          <t>Author:</t>
        </r>
        <r>
          <rPr>
            <sz val="9"/>
            <color indexed="81"/>
            <rFont val="Tahoma"/>
            <family val="2"/>
          </rPr>
          <t xml:space="preserve">
From Campion2024</t>
        </r>
      </text>
    </comment>
    <comment ref="BU67" authorId="0" shapeId="0">
      <text>
        <r>
          <rPr>
            <b/>
            <sz val="9"/>
            <color indexed="81"/>
            <rFont val="Tahoma"/>
            <family val="2"/>
          </rPr>
          <t>Author:</t>
        </r>
        <r>
          <rPr>
            <sz val="9"/>
            <color indexed="81"/>
            <rFont val="Tahoma"/>
            <family val="2"/>
          </rPr>
          <t xml:space="preserve">
From Campion2024</t>
        </r>
      </text>
    </comment>
    <comment ref="BV67" authorId="0" shapeId="0">
      <text>
        <r>
          <rPr>
            <b/>
            <sz val="9"/>
            <color indexed="81"/>
            <rFont val="Tahoma"/>
            <family val="2"/>
          </rPr>
          <t>Author:</t>
        </r>
        <r>
          <rPr>
            <sz val="9"/>
            <color indexed="81"/>
            <rFont val="Tahoma"/>
            <family val="2"/>
          </rPr>
          <t xml:space="preserve">
From Campion2024</t>
        </r>
      </text>
    </comment>
    <comment ref="BW67" authorId="0" shapeId="0">
      <text>
        <r>
          <rPr>
            <b/>
            <sz val="9"/>
            <color indexed="81"/>
            <rFont val="Tahoma"/>
            <family val="2"/>
          </rPr>
          <t>Author:</t>
        </r>
        <r>
          <rPr>
            <sz val="9"/>
            <color indexed="81"/>
            <rFont val="Tahoma"/>
            <family val="2"/>
          </rPr>
          <t xml:space="preserve">
From Campion2024</t>
        </r>
      </text>
    </comment>
    <comment ref="BX67" authorId="0" shapeId="0">
      <text>
        <r>
          <rPr>
            <b/>
            <sz val="9"/>
            <color indexed="81"/>
            <rFont val="Tahoma"/>
            <family val="2"/>
          </rPr>
          <t>Author:</t>
        </r>
        <r>
          <rPr>
            <sz val="9"/>
            <color indexed="81"/>
            <rFont val="Tahoma"/>
            <family val="2"/>
          </rPr>
          <t xml:space="preserve">
From Campion2024</t>
        </r>
      </text>
    </comment>
    <comment ref="BY67" authorId="0" shapeId="0">
      <text>
        <r>
          <rPr>
            <b/>
            <sz val="9"/>
            <color indexed="81"/>
            <rFont val="Tahoma"/>
            <family val="2"/>
          </rPr>
          <t>Author:</t>
        </r>
        <r>
          <rPr>
            <sz val="9"/>
            <color indexed="81"/>
            <rFont val="Tahoma"/>
            <family val="2"/>
          </rPr>
          <t xml:space="preserve">
From Campion2024</t>
        </r>
      </text>
    </comment>
    <comment ref="BZ67" authorId="0" shapeId="0">
      <text>
        <r>
          <rPr>
            <b/>
            <sz val="9"/>
            <color indexed="81"/>
            <rFont val="Tahoma"/>
            <family val="2"/>
          </rPr>
          <t>Author:</t>
        </r>
        <r>
          <rPr>
            <sz val="9"/>
            <color indexed="81"/>
            <rFont val="Tahoma"/>
            <family val="2"/>
          </rPr>
          <t xml:space="preserve">
From Campion2024</t>
        </r>
      </text>
    </comment>
    <comment ref="CA67" authorId="0" shapeId="0">
      <text>
        <r>
          <rPr>
            <b/>
            <sz val="9"/>
            <color indexed="81"/>
            <rFont val="Tahoma"/>
            <family val="2"/>
          </rPr>
          <t>Author:</t>
        </r>
        <r>
          <rPr>
            <sz val="9"/>
            <color indexed="81"/>
            <rFont val="Tahoma"/>
            <family val="2"/>
          </rPr>
          <t xml:space="preserve">
From Campion2024</t>
        </r>
      </text>
    </comment>
    <comment ref="CB67" authorId="0" shapeId="0">
      <text>
        <r>
          <rPr>
            <b/>
            <sz val="9"/>
            <color indexed="81"/>
            <rFont val="Tahoma"/>
            <family val="2"/>
          </rPr>
          <t>Author:</t>
        </r>
        <r>
          <rPr>
            <sz val="9"/>
            <color indexed="81"/>
            <rFont val="Tahoma"/>
            <family val="2"/>
          </rPr>
          <t xml:space="preserve">
From Campion2024</t>
        </r>
      </text>
    </comment>
    <comment ref="CC67" authorId="0" shapeId="0">
      <text>
        <r>
          <rPr>
            <b/>
            <sz val="9"/>
            <color indexed="81"/>
            <rFont val="Tahoma"/>
            <family val="2"/>
          </rPr>
          <t>Author:</t>
        </r>
        <r>
          <rPr>
            <sz val="9"/>
            <color indexed="81"/>
            <rFont val="Tahoma"/>
            <family val="2"/>
          </rPr>
          <t xml:space="preserve">
From Campion2024</t>
        </r>
      </text>
    </comment>
    <comment ref="AD68" authorId="0" shapeId="0">
      <text>
        <r>
          <rPr>
            <b/>
            <sz val="9"/>
            <color indexed="81"/>
            <rFont val="Tahoma"/>
            <family val="2"/>
          </rPr>
          <t>Author:</t>
        </r>
        <r>
          <rPr>
            <sz val="9"/>
            <color indexed="81"/>
            <rFont val="Tahoma"/>
            <family val="2"/>
          </rPr>
          <t xml:space="preserve">
From Campion2024</t>
        </r>
      </text>
    </comment>
    <comment ref="AE68" authorId="0" shapeId="0">
      <text>
        <r>
          <rPr>
            <b/>
            <sz val="9"/>
            <color indexed="81"/>
            <rFont val="Tahoma"/>
            <family val="2"/>
          </rPr>
          <t>Author:</t>
        </r>
        <r>
          <rPr>
            <sz val="9"/>
            <color indexed="81"/>
            <rFont val="Tahoma"/>
            <family val="2"/>
          </rPr>
          <t xml:space="preserve">
From Campion2024</t>
        </r>
      </text>
    </comment>
    <comment ref="AF68" authorId="0" shapeId="0">
      <text>
        <r>
          <rPr>
            <b/>
            <sz val="9"/>
            <color indexed="81"/>
            <rFont val="Tahoma"/>
            <family val="2"/>
          </rPr>
          <t>Author:</t>
        </r>
        <r>
          <rPr>
            <sz val="9"/>
            <color indexed="81"/>
            <rFont val="Tahoma"/>
            <family val="2"/>
          </rPr>
          <t xml:space="preserve">
From Campion2024</t>
        </r>
      </text>
    </comment>
    <comment ref="AG68" authorId="0" shapeId="0">
      <text>
        <r>
          <rPr>
            <b/>
            <sz val="9"/>
            <color indexed="81"/>
            <rFont val="Tahoma"/>
            <family val="2"/>
          </rPr>
          <t>Author:</t>
        </r>
        <r>
          <rPr>
            <sz val="9"/>
            <color indexed="81"/>
            <rFont val="Tahoma"/>
            <family val="2"/>
          </rPr>
          <t xml:space="preserve">
From Campion2024</t>
        </r>
      </text>
    </comment>
    <comment ref="AH68" authorId="0" shapeId="0">
      <text>
        <r>
          <rPr>
            <b/>
            <sz val="9"/>
            <color indexed="81"/>
            <rFont val="Tahoma"/>
            <family val="2"/>
          </rPr>
          <t>Author:</t>
        </r>
        <r>
          <rPr>
            <sz val="9"/>
            <color indexed="81"/>
            <rFont val="Tahoma"/>
            <family val="2"/>
          </rPr>
          <t xml:space="preserve">
From Campion2024</t>
        </r>
      </text>
    </comment>
    <comment ref="AI68" authorId="0" shapeId="0">
      <text>
        <r>
          <rPr>
            <b/>
            <sz val="9"/>
            <color indexed="81"/>
            <rFont val="Tahoma"/>
            <family val="2"/>
          </rPr>
          <t>Author:</t>
        </r>
        <r>
          <rPr>
            <sz val="9"/>
            <color indexed="81"/>
            <rFont val="Tahoma"/>
            <family val="2"/>
          </rPr>
          <t xml:space="preserve">
From Campion2024</t>
        </r>
      </text>
    </comment>
    <comment ref="AJ68" authorId="0" shapeId="0">
      <text>
        <r>
          <rPr>
            <b/>
            <sz val="9"/>
            <color indexed="81"/>
            <rFont val="Tahoma"/>
            <family val="2"/>
          </rPr>
          <t>Author:</t>
        </r>
        <r>
          <rPr>
            <sz val="9"/>
            <color indexed="81"/>
            <rFont val="Tahoma"/>
            <family val="2"/>
          </rPr>
          <t xml:space="preserve">
From Campion2024</t>
        </r>
      </text>
    </comment>
    <comment ref="AK68" authorId="0" shapeId="0">
      <text>
        <r>
          <rPr>
            <b/>
            <sz val="9"/>
            <color indexed="81"/>
            <rFont val="Tahoma"/>
            <family val="2"/>
          </rPr>
          <t>Author:</t>
        </r>
        <r>
          <rPr>
            <sz val="9"/>
            <color indexed="81"/>
            <rFont val="Tahoma"/>
            <family val="2"/>
          </rPr>
          <t xml:space="preserve">
From Campion2024</t>
        </r>
      </text>
    </comment>
    <comment ref="AL68" authorId="0" shapeId="0">
      <text>
        <r>
          <rPr>
            <b/>
            <sz val="9"/>
            <color indexed="81"/>
            <rFont val="Tahoma"/>
            <family val="2"/>
          </rPr>
          <t>Author:</t>
        </r>
        <r>
          <rPr>
            <sz val="9"/>
            <color indexed="81"/>
            <rFont val="Tahoma"/>
            <family val="2"/>
          </rPr>
          <t xml:space="preserve">
From Campion2024</t>
        </r>
      </text>
    </comment>
    <comment ref="AM68" authorId="0" shapeId="0">
      <text>
        <r>
          <rPr>
            <b/>
            <sz val="9"/>
            <color indexed="81"/>
            <rFont val="Tahoma"/>
            <family val="2"/>
          </rPr>
          <t>Author:</t>
        </r>
        <r>
          <rPr>
            <sz val="9"/>
            <color indexed="81"/>
            <rFont val="Tahoma"/>
            <family val="2"/>
          </rPr>
          <t xml:space="preserve">
From Campion2024</t>
        </r>
      </text>
    </comment>
    <comment ref="AN68" authorId="0" shapeId="0">
      <text>
        <r>
          <rPr>
            <b/>
            <sz val="9"/>
            <color indexed="81"/>
            <rFont val="Tahoma"/>
            <family val="2"/>
          </rPr>
          <t>Author:</t>
        </r>
        <r>
          <rPr>
            <sz val="9"/>
            <color indexed="81"/>
            <rFont val="Tahoma"/>
            <family val="2"/>
          </rPr>
          <t xml:space="preserve">
From Campion2024</t>
        </r>
      </text>
    </comment>
    <comment ref="AO68" authorId="0" shapeId="0">
      <text>
        <r>
          <rPr>
            <b/>
            <sz val="9"/>
            <color indexed="81"/>
            <rFont val="Tahoma"/>
            <family val="2"/>
          </rPr>
          <t>Author:</t>
        </r>
        <r>
          <rPr>
            <sz val="9"/>
            <color indexed="81"/>
            <rFont val="Tahoma"/>
            <family val="2"/>
          </rPr>
          <t xml:space="preserve">
From Campion2024</t>
        </r>
      </text>
    </comment>
    <comment ref="AP68" authorId="0" shapeId="0">
      <text>
        <r>
          <rPr>
            <b/>
            <sz val="9"/>
            <color indexed="81"/>
            <rFont val="Tahoma"/>
            <family val="2"/>
          </rPr>
          <t>Author:</t>
        </r>
        <r>
          <rPr>
            <sz val="9"/>
            <color indexed="81"/>
            <rFont val="Tahoma"/>
            <family val="2"/>
          </rPr>
          <t xml:space="preserve">
From Campion2024</t>
        </r>
      </text>
    </comment>
    <comment ref="AQ68" authorId="0" shapeId="0">
      <text>
        <r>
          <rPr>
            <b/>
            <sz val="9"/>
            <color indexed="81"/>
            <rFont val="Tahoma"/>
            <family val="2"/>
          </rPr>
          <t>Author:</t>
        </r>
        <r>
          <rPr>
            <sz val="9"/>
            <color indexed="81"/>
            <rFont val="Tahoma"/>
            <family val="2"/>
          </rPr>
          <t xml:space="preserve">
From Campion2024</t>
        </r>
      </text>
    </comment>
    <comment ref="AR68" authorId="0" shapeId="0">
      <text>
        <r>
          <rPr>
            <b/>
            <sz val="9"/>
            <color indexed="81"/>
            <rFont val="Tahoma"/>
            <family val="2"/>
          </rPr>
          <t>Author:</t>
        </r>
        <r>
          <rPr>
            <sz val="9"/>
            <color indexed="81"/>
            <rFont val="Tahoma"/>
            <family val="2"/>
          </rPr>
          <t xml:space="preserve">
From Campion2024</t>
        </r>
      </text>
    </comment>
    <comment ref="AS68" authorId="0" shapeId="0">
      <text>
        <r>
          <rPr>
            <b/>
            <sz val="9"/>
            <color indexed="81"/>
            <rFont val="Tahoma"/>
            <family val="2"/>
          </rPr>
          <t>Author:</t>
        </r>
        <r>
          <rPr>
            <sz val="9"/>
            <color indexed="81"/>
            <rFont val="Tahoma"/>
            <family val="2"/>
          </rPr>
          <t xml:space="preserve">
From Campion2024</t>
        </r>
      </text>
    </comment>
    <comment ref="AT68" authorId="0" shapeId="0">
      <text>
        <r>
          <rPr>
            <b/>
            <sz val="9"/>
            <color indexed="81"/>
            <rFont val="Tahoma"/>
            <family val="2"/>
          </rPr>
          <t>Author:</t>
        </r>
        <r>
          <rPr>
            <sz val="9"/>
            <color indexed="81"/>
            <rFont val="Tahoma"/>
            <family val="2"/>
          </rPr>
          <t xml:space="preserve">
From Campion2024</t>
        </r>
      </text>
    </comment>
    <comment ref="AU68" authorId="0" shapeId="0">
      <text>
        <r>
          <rPr>
            <b/>
            <sz val="9"/>
            <color indexed="81"/>
            <rFont val="Tahoma"/>
            <family val="2"/>
          </rPr>
          <t>Author:</t>
        </r>
        <r>
          <rPr>
            <sz val="9"/>
            <color indexed="81"/>
            <rFont val="Tahoma"/>
            <family val="2"/>
          </rPr>
          <t xml:space="preserve">
From Campion2024</t>
        </r>
      </text>
    </comment>
    <comment ref="AV68" authorId="0" shapeId="0">
      <text>
        <r>
          <rPr>
            <b/>
            <sz val="9"/>
            <color indexed="81"/>
            <rFont val="Tahoma"/>
            <family val="2"/>
          </rPr>
          <t>Author:</t>
        </r>
        <r>
          <rPr>
            <sz val="9"/>
            <color indexed="81"/>
            <rFont val="Tahoma"/>
            <family val="2"/>
          </rPr>
          <t xml:space="preserve">
From Campion2024</t>
        </r>
      </text>
    </comment>
    <comment ref="AW68" authorId="0" shapeId="0">
      <text>
        <r>
          <rPr>
            <b/>
            <sz val="9"/>
            <color indexed="81"/>
            <rFont val="Tahoma"/>
            <family val="2"/>
          </rPr>
          <t>Author:</t>
        </r>
        <r>
          <rPr>
            <sz val="9"/>
            <color indexed="81"/>
            <rFont val="Tahoma"/>
            <family val="2"/>
          </rPr>
          <t xml:space="preserve">
From Campion2024</t>
        </r>
      </text>
    </comment>
    <comment ref="AX68" authorId="0" shapeId="0">
      <text>
        <r>
          <rPr>
            <b/>
            <sz val="9"/>
            <color indexed="81"/>
            <rFont val="Tahoma"/>
            <family val="2"/>
          </rPr>
          <t>Author:</t>
        </r>
        <r>
          <rPr>
            <sz val="9"/>
            <color indexed="81"/>
            <rFont val="Tahoma"/>
            <family val="2"/>
          </rPr>
          <t xml:space="preserve">
From Campion2024</t>
        </r>
      </text>
    </comment>
    <comment ref="AY68" authorId="0" shapeId="0">
      <text>
        <r>
          <rPr>
            <b/>
            <sz val="9"/>
            <color indexed="81"/>
            <rFont val="Tahoma"/>
            <family val="2"/>
          </rPr>
          <t>Author:</t>
        </r>
        <r>
          <rPr>
            <sz val="9"/>
            <color indexed="81"/>
            <rFont val="Tahoma"/>
            <family val="2"/>
          </rPr>
          <t xml:space="preserve">
From Campion2024</t>
        </r>
      </text>
    </comment>
    <comment ref="AZ68" authorId="0" shapeId="0">
      <text>
        <r>
          <rPr>
            <b/>
            <sz val="9"/>
            <color indexed="81"/>
            <rFont val="Tahoma"/>
            <family val="2"/>
          </rPr>
          <t>Author:</t>
        </r>
        <r>
          <rPr>
            <sz val="9"/>
            <color indexed="81"/>
            <rFont val="Tahoma"/>
            <family val="2"/>
          </rPr>
          <t xml:space="preserve">
From Campion2024</t>
        </r>
      </text>
    </comment>
    <comment ref="BA68" authorId="0" shapeId="0">
      <text>
        <r>
          <rPr>
            <b/>
            <sz val="9"/>
            <color indexed="81"/>
            <rFont val="Tahoma"/>
            <family val="2"/>
          </rPr>
          <t>Author:</t>
        </r>
        <r>
          <rPr>
            <sz val="9"/>
            <color indexed="81"/>
            <rFont val="Tahoma"/>
            <family val="2"/>
          </rPr>
          <t xml:space="preserve">
From Campion2024</t>
        </r>
      </text>
    </comment>
    <comment ref="BB68" authorId="0" shapeId="0">
      <text>
        <r>
          <rPr>
            <b/>
            <sz val="9"/>
            <color indexed="81"/>
            <rFont val="Tahoma"/>
            <family val="2"/>
          </rPr>
          <t>Author:</t>
        </r>
        <r>
          <rPr>
            <sz val="9"/>
            <color indexed="81"/>
            <rFont val="Tahoma"/>
            <family val="2"/>
          </rPr>
          <t xml:space="preserve">
From Campion2024</t>
        </r>
      </text>
    </comment>
    <comment ref="BC68" authorId="0" shapeId="0">
      <text>
        <r>
          <rPr>
            <b/>
            <sz val="9"/>
            <color indexed="81"/>
            <rFont val="Tahoma"/>
            <family val="2"/>
          </rPr>
          <t>Author:</t>
        </r>
        <r>
          <rPr>
            <sz val="9"/>
            <color indexed="81"/>
            <rFont val="Tahoma"/>
            <family val="2"/>
          </rPr>
          <t xml:space="preserve">
From Campion2024</t>
        </r>
      </text>
    </comment>
    <comment ref="BD68" authorId="0" shapeId="0">
      <text>
        <r>
          <rPr>
            <b/>
            <sz val="9"/>
            <color indexed="81"/>
            <rFont val="Tahoma"/>
            <family val="2"/>
          </rPr>
          <t>Author:</t>
        </r>
        <r>
          <rPr>
            <sz val="9"/>
            <color indexed="81"/>
            <rFont val="Tahoma"/>
            <family val="2"/>
          </rPr>
          <t xml:space="preserve">
From Campion2024</t>
        </r>
      </text>
    </comment>
    <comment ref="BE68" authorId="0" shapeId="0">
      <text>
        <r>
          <rPr>
            <b/>
            <sz val="9"/>
            <color indexed="81"/>
            <rFont val="Tahoma"/>
            <family val="2"/>
          </rPr>
          <t>Author:</t>
        </r>
        <r>
          <rPr>
            <sz val="9"/>
            <color indexed="81"/>
            <rFont val="Tahoma"/>
            <family val="2"/>
          </rPr>
          <t xml:space="preserve">
From Campion2024</t>
        </r>
      </text>
    </comment>
    <comment ref="BR68" authorId="0" shapeId="0">
      <text>
        <r>
          <rPr>
            <b/>
            <sz val="9"/>
            <color indexed="81"/>
            <rFont val="Tahoma"/>
            <family val="2"/>
          </rPr>
          <t>Author:</t>
        </r>
        <r>
          <rPr>
            <sz val="9"/>
            <color indexed="81"/>
            <rFont val="Tahoma"/>
            <family val="2"/>
          </rPr>
          <t xml:space="preserve">
From Campion2024</t>
        </r>
      </text>
    </comment>
    <comment ref="BS68" authorId="0" shapeId="0">
      <text>
        <r>
          <rPr>
            <b/>
            <sz val="9"/>
            <color indexed="81"/>
            <rFont val="Tahoma"/>
            <family val="2"/>
          </rPr>
          <t>Author:</t>
        </r>
        <r>
          <rPr>
            <sz val="9"/>
            <color indexed="81"/>
            <rFont val="Tahoma"/>
            <family val="2"/>
          </rPr>
          <t xml:space="preserve">
From Campion2024</t>
        </r>
      </text>
    </comment>
    <comment ref="BT68" authorId="0" shapeId="0">
      <text>
        <r>
          <rPr>
            <b/>
            <sz val="9"/>
            <color indexed="81"/>
            <rFont val="Tahoma"/>
            <family val="2"/>
          </rPr>
          <t>Author:</t>
        </r>
        <r>
          <rPr>
            <sz val="9"/>
            <color indexed="81"/>
            <rFont val="Tahoma"/>
            <family val="2"/>
          </rPr>
          <t xml:space="preserve">
From Campion2024</t>
        </r>
      </text>
    </comment>
    <comment ref="BU68" authorId="0" shapeId="0">
      <text>
        <r>
          <rPr>
            <b/>
            <sz val="9"/>
            <color indexed="81"/>
            <rFont val="Tahoma"/>
            <family val="2"/>
          </rPr>
          <t>Author:</t>
        </r>
        <r>
          <rPr>
            <sz val="9"/>
            <color indexed="81"/>
            <rFont val="Tahoma"/>
            <family val="2"/>
          </rPr>
          <t xml:space="preserve">
From Campion2024</t>
        </r>
      </text>
    </comment>
    <comment ref="BV68" authorId="0" shapeId="0">
      <text>
        <r>
          <rPr>
            <b/>
            <sz val="9"/>
            <color indexed="81"/>
            <rFont val="Tahoma"/>
            <family val="2"/>
          </rPr>
          <t>Author:</t>
        </r>
        <r>
          <rPr>
            <sz val="9"/>
            <color indexed="81"/>
            <rFont val="Tahoma"/>
            <family val="2"/>
          </rPr>
          <t xml:space="preserve">
From Campion2024</t>
        </r>
      </text>
    </comment>
    <comment ref="BW68" authorId="0" shapeId="0">
      <text>
        <r>
          <rPr>
            <b/>
            <sz val="9"/>
            <color indexed="81"/>
            <rFont val="Tahoma"/>
            <family val="2"/>
          </rPr>
          <t>Author:</t>
        </r>
        <r>
          <rPr>
            <sz val="9"/>
            <color indexed="81"/>
            <rFont val="Tahoma"/>
            <family val="2"/>
          </rPr>
          <t xml:space="preserve">
From Campion2024</t>
        </r>
      </text>
    </comment>
    <comment ref="BX68" authorId="0" shapeId="0">
      <text>
        <r>
          <rPr>
            <b/>
            <sz val="9"/>
            <color indexed="81"/>
            <rFont val="Tahoma"/>
            <family val="2"/>
          </rPr>
          <t>Author:</t>
        </r>
        <r>
          <rPr>
            <sz val="9"/>
            <color indexed="81"/>
            <rFont val="Tahoma"/>
            <family val="2"/>
          </rPr>
          <t xml:space="preserve">
From Campion2024</t>
        </r>
      </text>
    </comment>
    <comment ref="BY68" authorId="0" shapeId="0">
      <text>
        <r>
          <rPr>
            <b/>
            <sz val="9"/>
            <color indexed="81"/>
            <rFont val="Tahoma"/>
            <family val="2"/>
          </rPr>
          <t>Author:</t>
        </r>
        <r>
          <rPr>
            <sz val="9"/>
            <color indexed="81"/>
            <rFont val="Tahoma"/>
            <family val="2"/>
          </rPr>
          <t xml:space="preserve">
From Campion2024</t>
        </r>
      </text>
    </comment>
    <comment ref="BZ68" authorId="0" shapeId="0">
      <text>
        <r>
          <rPr>
            <b/>
            <sz val="9"/>
            <color indexed="81"/>
            <rFont val="Tahoma"/>
            <family val="2"/>
          </rPr>
          <t>Author:</t>
        </r>
        <r>
          <rPr>
            <sz val="9"/>
            <color indexed="81"/>
            <rFont val="Tahoma"/>
            <family val="2"/>
          </rPr>
          <t xml:space="preserve">
From Campion2024</t>
        </r>
      </text>
    </comment>
    <comment ref="CA68" authorId="0" shapeId="0">
      <text>
        <r>
          <rPr>
            <b/>
            <sz val="9"/>
            <color indexed="81"/>
            <rFont val="Tahoma"/>
            <family val="2"/>
          </rPr>
          <t>Author:</t>
        </r>
        <r>
          <rPr>
            <sz val="9"/>
            <color indexed="81"/>
            <rFont val="Tahoma"/>
            <family val="2"/>
          </rPr>
          <t xml:space="preserve">
From Campion2024</t>
        </r>
      </text>
    </comment>
    <comment ref="CB68" authorId="0" shapeId="0">
      <text>
        <r>
          <rPr>
            <b/>
            <sz val="9"/>
            <color indexed="81"/>
            <rFont val="Tahoma"/>
            <family val="2"/>
          </rPr>
          <t>Author:</t>
        </r>
        <r>
          <rPr>
            <sz val="9"/>
            <color indexed="81"/>
            <rFont val="Tahoma"/>
            <family val="2"/>
          </rPr>
          <t xml:space="preserve">
From Campion2024</t>
        </r>
      </text>
    </comment>
    <comment ref="CC68" authorId="0" shapeId="0">
      <text>
        <r>
          <rPr>
            <b/>
            <sz val="9"/>
            <color indexed="81"/>
            <rFont val="Tahoma"/>
            <family val="2"/>
          </rPr>
          <t>Author:</t>
        </r>
        <r>
          <rPr>
            <sz val="9"/>
            <color indexed="81"/>
            <rFont val="Tahoma"/>
            <family val="2"/>
          </rPr>
          <t xml:space="preserve">
From Campion2024</t>
        </r>
      </text>
    </comment>
    <comment ref="AD69" authorId="0" shapeId="0">
      <text>
        <r>
          <rPr>
            <b/>
            <sz val="9"/>
            <color indexed="81"/>
            <rFont val="Tahoma"/>
            <family val="2"/>
          </rPr>
          <t>Author:</t>
        </r>
        <r>
          <rPr>
            <sz val="9"/>
            <color indexed="81"/>
            <rFont val="Tahoma"/>
            <family val="2"/>
          </rPr>
          <t xml:space="preserve">
From Campion2024</t>
        </r>
      </text>
    </comment>
    <comment ref="AE69" authorId="0" shapeId="0">
      <text>
        <r>
          <rPr>
            <b/>
            <sz val="9"/>
            <color indexed="81"/>
            <rFont val="Tahoma"/>
            <family val="2"/>
          </rPr>
          <t>Author:</t>
        </r>
        <r>
          <rPr>
            <sz val="9"/>
            <color indexed="81"/>
            <rFont val="Tahoma"/>
            <family val="2"/>
          </rPr>
          <t xml:space="preserve">
From Campion2024</t>
        </r>
      </text>
    </comment>
    <comment ref="AF69" authorId="0" shapeId="0">
      <text>
        <r>
          <rPr>
            <b/>
            <sz val="9"/>
            <color indexed="81"/>
            <rFont val="Tahoma"/>
            <family val="2"/>
          </rPr>
          <t>Author:</t>
        </r>
        <r>
          <rPr>
            <sz val="9"/>
            <color indexed="81"/>
            <rFont val="Tahoma"/>
            <family val="2"/>
          </rPr>
          <t xml:space="preserve">
From Campion2024</t>
        </r>
      </text>
    </comment>
    <comment ref="AG69" authorId="0" shapeId="0">
      <text>
        <r>
          <rPr>
            <b/>
            <sz val="9"/>
            <color indexed="81"/>
            <rFont val="Tahoma"/>
            <family val="2"/>
          </rPr>
          <t>Author:</t>
        </r>
        <r>
          <rPr>
            <sz val="9"/>
            <color indexed="81"/>
            <rFont val="Tahoma"/>
            <family val="2"/>
          </rPr>
          <t xml:space="preserve">
From Campion2024</t>
        </r>
      </text>
    </comment>
    <comment ref="AH69" authorId="0" shapeId="0">
      <text>
        <r>
          <rPr>
            <b/>
            <sz val="9"/>
            <color indexed="81"/>
            <rFont val="Tahoma"/>
            <family val="2"/>
          </rPr>
          <t>Author:</t>
        </r>
        <r>
          <rPr>
            <sz val="9"/>
            <color indexed="81"/>
            <rFont val="Tahoma"/>
            <family val="2"/>
          </rPr>
          <t xml:space="preserve">
From Campion2024</t>
        </r>
      </text>
    </comment>
    <comment ref="AI69" authorId="0" shapeId="0">
      <text>
        <r>
          <rPr>
            <b/>
            <sz val="9"/>
            <color indexed="81"/>
            <rFont val="Tahoma"/>
            <family val="2"/>
          </rPr>
          <t>Author:</t>
        </r>
        <r>
          <rPr>
            <sz val="9"/>
            <color indexed="81"/>
            <rFont val="Tahoma"/>
            <family val="2"/>
          </rPr>
          <t xml:space="preserve">
From Campion2024</t>
        </r>
      </text>
    </comment>
    <comment ref="AJ69" authorId="0" shapeId="0">
      <text>
        <r>
          <rPr>
            <b/>
            <sz val="9"/>
            <color indexed="81"/>
            <rFont val="Tahoma"/>
            <family val="2"/>
          </rPr>
          <t>Author:</t>
        </r>
        <r>
          <rPr>
            <sz val="9"/>
            <color indexed="81"/>
            <rFont val="Tahoma"/>
            <family val="2"/>
          </rPr>
          <t xml:space="preserve">
From Campion2024</t>
        </r>
      </text>
    </comment>
    <comment ref="AK69" authorId="0" shapeId="0">
      <text>
        <r>
          <rPr>
            <b/>
            <sz val="9"/>
            <color indexed="81"/>
            <rFont val="Tahoma"/>
            <family val="2"/>
          </rPr>
          <t>Author:</t>
        </r>
        <r>
          <rPr>
            <sz val="9"/>
            <color indexed="81"/>
            <rFont val="Tahoma"/>
            <family val="2"/>
          </rPr>
          <t xml:space="preserve">
From Campion2024</t>
        </r>
      </text>
    </comment>
    <comment ref="AL69" authorId="0" shapeId="0">
      <text>
        <r>
          <rPr>
            <b/>
            <sz val="9"/>
            <color indexed="81"/>
            <rFont val="Tahoma"/>
            <family val="2"/>
          </rPr>
          <t>Author:</t>
        </r>
        <r>
          <rPr>
            <sz val="9"/>
            <color indexed="81"/>
            <rFont val="Tahoma"/>
            <family val="2"/>
          </rPr>
          <t xml:space="preserve">
From Campion2024</t>
        </r>
      </text>
    </comment>
    <comment ref="AM69" authorId="0" shapeId="0">
      <text>
        <r>
          <rPr>
            <b/>
            <sz val="9"/>
            <color indexed="81"/>
            <rFont val="Tahoma"/>
            <family val="2"/>
          </rPr>
          <t>Author:</t>
        </r>
        <r>
          <rPr>
            <sz val="9"/>
            <color indexed="81"/>
            <rFont val="Tahoma"/>
            <family val="2"/>
          </rPr>
          <t xml:space="preserve">
From Campion2024</t>
        </r>
      </text>
    </comment>
    <comment ref="AN69" authorId="0" shapeId="0">
      <text>
        <r>
          <rPr>
            <b/>
            <sz val="9"/>
            <color indexed="81"/>
            <rFont val="Tahoma"/>
            <family val="2"/>
          </rPr>
          <t>Author:</t>
        </r>
        <r>
          <rPr>
            <sz val="9"/>
            <color indexed="81"/>
            <rFont val="Tahoma"/>
            <family val="2"/>
          </rPr>
          <t xml:space="preserve">
From Campion2024</t>
        </r>
      </text>
    </comment>
    <comment ref="AO69" authorId="0" shapeId="0">
      <text>
        <r>
          <rPr>
            <b/>
            <sz val="9"/>
            <color indexed="81"/>
            <rFont val="Tahoma"/>
            <family val="2"/>
          </rPr>
          <t>Author:</t>
        </r>
        <r>
          <rPr>
            <sz val="9"/>
            <color indexed="81"/>
            <rFont val="Tahoma"/>
            <family val="2"/>
          </rPr>
          <t xml:space="preserve">
From Campion2024</t>
        </r>
      </text>
    </comment>
    <comment ref="AP69" authorId="0" shapeId="0">
      <text>
        <r>
          <rPr>
            <b/>
            <sz val="9"/>
            <color indexed="81"/>
            <rFont val="Tahoma"/>
            <family val="2"/>
          </rPr>
          <t>Author:</t>
        </r>
        <r>
          <rPr>
            <sz val="9"/>
            <color indexed="81"/>
            <rFont val="Tahoma"/>
            <family val="2"/>
          </rPr>
          <t xml:space="preserve">
From Campion2024</t>
        </r>
      </text>
    </comment>
    <comment ref="AQ69" authorId="0" shapeId="0">
      <text>
        <r>
          <rPr>
            <b/>
            <sz val="9"/>
            <color indexed="81"/>
            <rFont val="Tahoma"/>
            <family val="2"/>
          </rPr>
          <t>Author:</t>
        </r>
        <r>
          <rPr>
            <sz val="9"/>
            <color indexed="81"/>
            <rFont val="Tahoma"/>
            <family val="2"/>
          </rPr>
          <t xml:space="preserve">
From Campion2024</t>
        </r>
      </text>
    </comment>
    <comment ref="AR69" authorId="0" shapeId="0">
      <text>
        <r>
          <rPr>
            <b/>
            <sz val="9"/>
            <color indexed="81"/>
            <rFont val="Tahoma"/>
            <family val="2"/>
          </rPr>
          <t>Author:</t>
        </r>
        <r>
          <rPr>
            <sz val="9"/>
            <color indexed="81"/>
            <rFont val="Tahoma"/>
            <family val="2"/>
          </rPr>
          <t xml:space="preserve">
From Campion2024</t>
        </r>
      </text>
    </comment>
    <comment ref="AS69" authorId="0" shapeId="0">
      <text>
        <r>
          <rPr>
            <b/>
            <sz val="9"/>
            <color indexed="81"/>
            <rFont val="Tahoma"/>
            <family val="2"/>
          </rPr>
          <t>Author:</t>
        </r>
        <r>
          <rPr>
            <sz val="9"/>
            <color indexed="81"/>
            <rFont val="Tahoma"/>
            <family val="2"/>
          </rPr>
          <t xml:space="preserve">
From Campion2024</t>
        </r>
      </text>
    </comment>
    <comment ref="AT69" authorId="0" shapeId="0">
      <text>
        <r>
          <rPr>
            <b/>
            <sz val="9"/>
            <color indexed="81"/>
            <rFont val="Tahoma"/>
            <family val="2"/>
          </rPr>
          <t>Author:</t>
        </r>
        <r>
          <rPr>
            <sz val="9"/>
            <color indexed="81"/>
            <rFont val="Tahoma"/>
            <family val="2"/>
          </rPr>
          <t xml:space="preserve">
From Campion2024</t>
        </r>
      </text>
    </comment>
    <comment ref="AU69" authorId="0" shapeId="0">
      <text>
        <r>
          <rPr>
            <b/>
            <sz val="9"/>
            <color indexed="81"/>
            <rFont val="Tahoma"/>
            <family val="2"/>
          </rPr>
          <t>Author:</t>
        </r>
        <r>
          <rPr>
            <sz val="9"/>
            <color indexed="81"/>
            <rFont val="Tahoma"/>
            <family val="2"/>
          </rPr>
          <t xml:space="preserve">
From Campion2024</t>
        </r>
      </text>
    </comment>
    <comment ref="AV69" authorId="0" shapeId="0">
      <text>
        <r>
          <rPr>
            <b/>
            <sz val="9"/>
            <color indexed="81"/>
            <rFont val="Tahoma"/>
            <family val="2"/>
          </rPr>
          <t>Author:</t>
        </r>
        <r>
          <rPr>
            <sz val="9"/>
            <color indexed="81"/>
            <rFont val="Tahoma"/>
            <family val="2"/>
          </rPr>
          <t xml:space="preserve">
From Campion2024</t>
        </r>
      </text>
    </comment>
    <comment ref="AW69" authorId="0" shapeId="0">
      <text>
        <r>
          <rPr>
            <b/>
            <sz val="9"/>
            <color indexed="81"/>
            <rFont val="Tahoma"/>
            <family val="2"/>
          </rPr>
          <t>Author:</t>
        </r>
        <r>
          <rPr>
            <sz val="9"/>
            <color indexed="81"/>
            <rFont val="Tahoma"/>
            <family val="2"/>
          </rPr>
          <t xml:space="preserve">
From Campion2024</t>
        </r>
      </text>
    </comment>
    <comment ref="AX69" authorId="0" shapeId="0">
      <text>
        <r>
          <rPr>
            <b/>
            <sz val="9"/>
            <color indexed="81"/>
            <rFont val="Tahoma"/>
            <family val="2"/>
          </rPr>
          <t>Author:</t>
        </r>
        <r>
          <rPr>
            <sz val="9"/>
            <color indexed="81"/>
            <rFont val="Tahoma"/>
            <family val="2"/>
          </rPr>
          <t xml:space="preserve">
From Campion2024</t>
        </r>
      </text>
    </comment>
    <comment ref="AY69" authorId="0" shapeId="0">
      <text>
        <r>
          <rPr>
            <b/>
            <sz val="9"/>
            <color indexed="81"/>
            <rFont val="Tahoma"/>
            <family val="2"/>
          </rPr>
          <t>Author:</t>
        </r>
        <r>
          <rPr>
            <sz val="9"/>
            <color indexed="81"/>
            <rFont val="Tahoma"/>
            <family val="2"/>
          </rPr>
          <t xml:space="preserve">
From Campion2024</t>
        </r>
      </text>
    </comment>
    <comment ref="AZ69" authorId="0" shapeId="0">
      <text>
        <r>
          <rPr>
            <b/>
            <sz val="9"/>
            <color indexed="81"/>
            <rFont val="Tahoma"/>
            <family val="2"/>
          </rPr>
          <t>Author:</t>
        </r>
        <r>
          <rPr>
            <sz val="9"/>
            <color indexed="81"/>
            <rFont val="Tahoma"/>
            <family val="2"/>
          </rPr>
          <t xml:space="preserve">
From Campion2024</t>
        </r>
      </text>
    </comment>
    <comment ref="BA69" authorId="0" shapeId="0">
      <text>
        <r>
          <rPr>
            <b/>
            <sz val="9"/>
            <color indexed="81"/>
            <rFont val="Tahoma"/>
            <family val="2"/>
          </rPr>
          <t>Author:</t>
        </r>
        <r>
          <rPr>
            <sz val="9"/>
            <color indexed="81"/>
            <rFont val="Tahoma"/>
            <family val="2"/>
          </rPr>
          <t xml:space="preserve">
From Campion2024</t>
        </r>
      </text>
    </comment>
    <comment ref="BB69" authorId="0" shapeId="0">
      <text>
        <r>
          <rPr>
            <b/>
            <sz val="9"/>
            <color indexed="81"/>
            <rFont val="Tahoma"/>
            <family val="2"/>
          </rPr>
          <t>Author:</t>
        </r>
        <r>
          <rPr>
            <sz val="9"/>
            <color indexed="81"/>
            <rFont val="Tahoma"/>
            <family val="2"/>
          </rPr>
          <t xml:space="preserve">
From Campion2024</t>
        </r>
      </text>
    </comment>
    <comment ref="BC69" authorId="0" shapeId="0">
      <text>
        <r>
          <rPr>
            <b/>
            <sz val="9"/>
            <color indexed="81"/>
            <rFont val="Tahoma"/>
            <family val="2"/>
          </rPr>
          <t>Author:</t>
        </r>
        <r>
          <rPr>
            <sz val="9"/>
            <color indexed="81"/>
            <rFont val="Tahoma"/>
            <family val="2"/>
          </rPr>
          <t xml:space="preserve">
From Campion2024</t>
        </r>
      </text>
    </comment>
    <comment ref="BD69" authorId="0" shapeId="0">
      <text>
        <r>
          <rPr>
            <b/>
            <sz val="9"/>
            <color indexed="81"/>
            <rFont val="Tahoma"/>
            <family val="2"/>
          </rPr>
          <t>Author:</t>
        </r>
        <r>
          <rPr>
            <sz val="9"/>
            <color indexed="81"/>
            <rFont val="Tahoma"/>
            <family val="2"/>
          </rPr>
          <t xml:space="preserve">
From Campion2024</t>
        </r>
      </text>
    </comment>
    <comment ref="BE69" authorId="0" shapeId="0">
      <text>
        <r>
          <rPr>
            <b/>
            <sz val="9"/>
            <color indexed="81"/>
            <rFont val="Tahoma"/>
            <family val="2"/>
          </rPr>
          <t>Author:</t>
        </r>
        <r>
          <rPr>
            <sz val="9"/>
            <color indexed="81"/>
            <rFont val="Tahoma"/>
            <family val="2"/>
          </rPr>
          <t xml:space="preserve">
From Campion2024</t>
        </r>
      </text>
    </comment>
    <comment ref="BR69" authorId="0" shapeId="0">
      <text>
        <r>
          <rPr>
            <b/>
            <sz val="9"/>
            <color indexed="81"/>
            <rFont val="Tahoma"/>
            <family val="2"/>
          </rPr>
          <t>Author:</t>
        </r>
        <r>
          <rPr>
            <sz val="9"/>
            <color indexed="81"/>
            <rFont val="Tahoma"/>
            <family val="2"/>
          </rPr>
          <t xml:space="preserve">
From Campion2024</t>
        </r>
      </text>
    </comment>
    <comment ref="BS69" authorId="0" shapeId="0">
      <text>
        <r>
          <rPr>
            <b/>
            <sz val="9"/>
            <color indexed="81"/>
            <rFont val="Tahoma"/>
            <family val="2"/>
          </rPr>
          <t>Author:</t>
        </r>
        <r>
          <rPr>
            <sz val="9"/>
            <color indexed="81"/>
            <rFont val="Tahoma"/>
            <family val="2"/>
          </rPr>
          <t xml:space="preserve">
From Campion2024</t>
        </r>
      </text>
    </comment>
    <comment ref="BT69" authorId="0" shapeId="0">
      <text>
        <r>
          <rPr>
            <b/>
            <sz val="9"/>
            <color indexed="81"/>
            <rFont val="Tahoma"/>
            <family val="2"/>
          </rPr>
          <t>Author:</t>
        </r>
        <r>
          <rPr>
            <sz val="9"/>
            <color indexed="81"/>
            <rFont val="Tahoma"/>
            <family val="2"/>
          </rPr>
          <t xml:space="preserve">
From Campion2024</t>
        </r>
      </text>
    </comment>
    <comment ref="BU69" authorId="0" shapeId="0">
      <text>
        <r>
          <rPr>
            <b/>
            <sz val="9"/>
            <color indexed="81"/>
            <rFont val="Tahoma"/>
            <family val="2"/>
          </rPr>
          <t>Author:</t>
        </r>
        <r>
          <rPr>
            <sz val="9"/>
            <color indexed="81"/>
            <rFont val="Tahoma"/>
            <family val="2"/>
          </rPr>
          <t xml:space="preserve">
From Campion2024</t>
        </r>
      </text>
    </comment>
    <comment ref="BV69" authorId="0" shapeId="0">
      <text>
        <r>
          <rPr>
            <b/>
            <sz val="9"/>
            <color indexed="81"/>
            <rFont val="Tahoma"/>
            <family val="2"/>
          </rPr>
          <t>Author:</t>
        </r>
        <r>
          <rPr>
            <sz val="9"/>
            <color indexed="81"/>
            <rFont val="Tahoma"/>
            <family val="2"/>
          </rPr>
          <t xml:space="preserve">
From Campion2024</t>
        </r>
      </text>
    </comment>
    <comment ref="BW69" authorId="0" shapeId="0">
      <text>
        <r>
          <rPr>
            <b/>
            <sz val="9"/>
            <color indexed="81"/>
            <rFont val="Tahoma"/>
            <family val="2"/>
          </rPr>
          <t>Author:</t>
        </r>
        <r>
          <rPr>
            <sz val="9"/>
            <color indexed="81"/>
            <rFont val="Tahoma"/>
            <family val="2"/>
          </rPr>
          <t xml:space="preserve">
From Campion2024</t>
        </r>
      </text>
    </comment>
    <comment ref="BX69" authorId="0" shapeId="0">
      <text>
        <r>
          <rPr>
            <b/>
            <sz val="9"/>
            <color indexed="81"/>
            <rFont val="Tahoma"/>
            <family val="2"/>
          </rPr>
          <t>Author:</t>
        </r>
        <r>
          <rPr>
            <sz val="9"/>
            <color indexed="81"/>
            <rFont val="Tahoma"/>
            <family val="2"/>
          </rPr>
          <t xml:space="preserve">
From Campion2024</t>
        </r>
      </text>
    </comment>
    <comment ref="BY69" authorId="0" shapeId="0">
      <text>
        <r>
          <rPr>
            <b/>
            <sz val="9"/>
            <color indexed="81"/>
            <rFont val="Tahoma"/>
            <family val="2"/>
          </rPr>
          <t>Author:</t>
        </r>
        <r>
          <rPr>
            <sz val="9"/>
            <color indexed="81"/>
            <rFont val="Tahoma"/>
            <family val="2"/>
          </rPr>
          <t xml:space="preserve">
From Campion2024</t>
        </r>
      </text>
    </comment>
    <comment ref="BZ69" authorId="0" shapeId="0">
      <text>
        <r>
          <rPr>
            <b/>
            <sz val="9"/>
            <color indexed="81"/>
            <rFont val="Tahoma"/>
            <family val="2"/>
          </rPr>
          <t>Author:</t>
        </r>
        <r>
          <rPr>
            <sz val="9"/>
            <color indexed="81"/>
            <rFont val="Tahoma"/>
            <family val="2"/>
          </rPr>
          <t xml:space="preserve">
From Campion2024</t>
        </r>
      </text>
    </comment>
    <comment ref="CA69" authorId="0" shapeId="0">
      <text>
        <r>
          <rPr>
            <b/>
            <sz val="9"/>
            <color indexed="81"/>
            <rFont val="Tahoma"/>
            <family val="2"/>
          </rPr>
          <t>Author:</t>
        </r>
        <r>
          <rPr>
            <sz val="9"/>
            <color indexed="81"/>
            <rFont val="Tahoma"/>
            <family val="2"/>
          </rPr>
          <t xml:space="preserve">
From Campion2024</t>
        </r>
      </text>
    </comment>
    <comment ref="CB69" authorId="0" shapeId="0">
      <text>
        <r>
          <rPr>
            <b/>
            <sz val="9"/>
            <color indexed="81"/>
            <rFont val="Tahoma"/>
            <family val="2"/>
          </rPr>
          <t>Author:</t>
        </r>
        <r>
          <rPr>
            <sz val="9"/>
            <color indexed="81"/>
            <rFont val="Tahoma"/>
            <family val="2"/>
          </rPr>
          <t xml:space="preserve">
From Campion2024</t>
        </r>
      </text>
    </comment>
    <comment ref="CC69" authorId="0" shapeId="0">
      <text>
        <r>
          <rPr>
            <b/>
            <sz val="9"/>
            <color indexed="81"/>
            <rFont val="Tahoma"/>
            <family val="2"/>
          </rPr>
          <t>Author:</t>
        </r>
        <r>
          <rPr>
            <sz val="9"/>
            <color indexed="81"/>
            <rFont val="Tahoma"/>
            <family val="2"/>
          </rPr>
          <t xml:space="preserve">
From Campion2024</t>
        </r>
      </text>
    </comment>
    <comment ref="AD70" authorId="0" shapeId="0">
      <text>
        <r>
          <rPr>
            <b/>
            <sz val="9"/>
            <color indexed="81"/>
            <rFont val="Tahoma"/>
            <family val="2"/>
          </rPr>
          <t>Author:</t>
        </r>
        <r>
          <rPr>
            <sz val="9"/>
            <color indexed="81"/>
            <rFont val="Tahoma"/>
            <family val="2"/>
          </rPr>
          <t xml:space="preserve">
From Campion2024</t>
        </r>
      </text>
    </comment>
    <comment ref="AE70" authorId="0" shapeId="0">
      <text>
        <r>
          <rPr>
            <b/>
            <sz val="9"/>
            <color indexed="81"/>
            <rFont val="Tahoma"/>
            <family val="2"/>
          </rPr>
          <t>Author:</t>
        </r>
        <r>
          <rPr>
            <sz val="9"/>
            <color indexed="81"/>
            <rFont val="Tahoma"/>
            <family val="2"/>
          </rPr>
          <t xml:space="preserve">
From Campion2024</t>
        </r>
      </text>
    </comment>
    <comment ref="AF70" authorId="0" shapeId="0">
      <text>
        <r>
          <rPr>
            <b/>
            <sz val="9"/>
            <color indexed="81"/>
            <rFont val="Tahoma"/>
            <family val="2"/>
          </rPr>
          <t>Author:</t>
        </r>
        <r>
          <rPr>
            <sz val="9"/>
            <color indexed="81"/>
            <rFont val="Tahoma"/>
            <family val="2"/>
          </rPr>
          <t xml:space="preserve">
From Campion2024</t>
        </r>
      </text>
    </comment>
    <comment ref="AG70" authorId="0" shapeId="0">
      <text>
        <r>
          <rPr>
            <b/>
            <sz val="9"/>
            <color indexed="81"/>
            <rFont val="Tahoma"/>
            <family val="2"/>
          </rPr>
          <t>Author:</t>
        </r>
        <r>
          <rPr>
            <sz val="9"/>
            <color indexed="81"/>
            <rFont val="Tahoma"/>
            <family val="2"/>
          </rPr>
          <t xml:space="preserve">
From Campion2024</t>
        </r>
      </text>
    </comment>
    <comment ref="AH70" authorId="0" shapeId="0">
      <text>
        <r>
          <rPr>
            <b/>
            <sz val="9"/>
            <color indexed="81"/>
            <rFont val="Tahoma"/>
            <family val="2"/>
          </rPr>
          <t>Author:</t>
        </r>
        <r>
          <rPr>
            <sz val="9"/>
            <color indexed="81"/>
            <rFont val="Tahoma"/>
            <family val="2"/>
          </rPr>
          <t xml:space="preserve">
From Campion2024</t>
        </r>
      </text>
    </comment>
    <comment ref="AI70" authorId="0" shapeId="0">
      <text>
        <r>
          <rPr>
            <b/>
            <sz val="9"/>
            <color indexed="81"/>
            <rFont val="Tahoma"/>
            <family val="2"/>
          </rPr>
          <t>Author:</t>
        </r>
        <r>
          <rPr>
            <sz val="9"/>
            <color indexed="81"/>
            <rFont val="Tahoma"/>
            <family val="2"/>
          </rPr>
          <t xml:space="preserve">
From Campion2024</t>
        </r>
      </text>
    </comment>
    <comment ref="AJ70" authorId="0" shapeId="0">
      <text>
        <r>
          <rPr>
            <b/>
            <sz val="9"/>
            <color indexed="81"/>
            <rFont val="Tahoma"/>
            <family val="2"/>
          </rPr>
          <t>Author:</t>
        </r>
        <r>
          <rPr>
            <sz val="9"/>
            <color indexed="81"/>
            <rFont val="Tahoma"/>
            <family val="2"/>
          </rPr>
          <t xml:space="preserve">
From Campion2024</t>
        </r>
      </text>
    </comment>
    <comment ref="AK70" authorId="0" shapeId="0">
      <text>
        <r>
          <rPr>
            <b/>
            <sz val="9"/>
            <color indexed="81"/>
            <rFont val="Tahoma"/>
            <family val="2"/>
          </rPr>
          <t>Author:</t>
        </r>
        <r>
          <rPr>
            <sz val="9"/>
            <color indexed="81"/>
            <rFont val="Tahoma"/>
            <family val="2"/>
          </rPr>
          <t xml:space="preserve">
From Campion2024</t>
        </r>
      </text>
    </comment>
    <comment ref="AL70" authorId="0" shapeId="0">
      <text>
        <r>
          <rPr>
            <b/>
            <sz val="9"/>
            <color indexed="81"/>
            <rFont val="Tahoma"/>
            <family val="2"/>
          </rPr>
          <t>Author:</t>
        </r>
        <r>
          <rPr>
            <sz val="9"/>
            <color indexed="81"/>
            <rFont val="Tahoma"/>
            <family val="2"/>
          </rPr>
          <t xml:space="preserve">
From Campion2024</t>
        </r>
      </text>
    </comment>
    <comment ref="AM70" authorId="0" shapeId="0">
      <text>
        <r>
          <rPr>
            <b/>
            <sz val="9"/>
            <color indexed="81"/>
            <rFont val="Tahoma"/>
            <family val="2"/>
          </rPr>
          <t>Author:</t>
        </r>
        <r>
          <rPr>
            <sz val="9"/>
            <color indexed="81"/>
            <rFont val="Tahoma"/>
            <family val="2"/>
          </rPr>
          <t xml:space="preserve">
From Campion2024</t>
        </r>
      </text>
    </comment>
    <comment ref="AN70" authorId="0" shapeId="0">
      <text>
        <r>
          <rPr>
            <b/>
            <sz val="9"/>
            <color indexed="81"/>
            <rFont val="Tahoma"/>
            <family val="2"/>
          </rPr>
          <t>Author:</t>
        </r>
        <r>
          <rPr>
            <sz val="9"/>
            <color indexed="81"/>
            <rFont val="Tahoma"/>
            <family val="2"/>
          </rPr>
          <t xml:space="preserve">
From Campion2024</t>
        </r>
      </text>
    </comment>
    <comment ref="AO70" authorId="0" shapeId="0">
      <text>
        <r>
          <rPr>
            <b/>
            <sz val="9"/>
            <color indexed="81"/>
            <rFont val="Tahoma"/>
            <family val="2"/>
          </rPr>
          <t>Author:</t>
        </r>
        <r>
          <rPr>
            <sz val="9"/>
            <color indexed="81"/>
            <rFont val="Tahoma"/>
            <family val="2"/>
          </rPr>
          <t xml:space="preserve">
From Campion2024</t>
        </r>
      </text>
    </comment>
    <comment ref="AP70" authorId="0" shapeId="0">
      <text>
        <r>
          <rPr>
            <b/>
            <sz val="9"/>
            <color indexed="81"/>
            <rFont val="Tahoma"/>
            <family val="2"/>
          </rPr>
          <t>Author:</t>
        </r>
        <r>
          <rPr>
            <sz val="9"/>
            <color indexed="81"/>
            <rFont val="Tahoma"/>
            <family val="2"/>
          </rPr>
          <t xml:space="preserve">
From Campion2024</t>
        </r>
      </text>
    </comment>
    <comment ref="AQ70" authorId="0" shapeId="0">
      <text>
        <r>
          <rPr>
            <b/>
            <sz val="9"/>
            <color indexed="81"/>
            <rFont val="Tahoma"/>
            <family val="2"/>
          </rPr>
          <t>Author:</t>
        </r>
        <r>
          <rPr>
            <sz val="9"/>
            <color indexed="81"/>
            <rFont val="Tahoma"/>
            <family val="2"/>
          </rPr>
          <t xml:space="preserve">
From Campion2024</t>
        </r>
      </text>
    </comment>
    <comment ref="AR70" authorId="0" shapeId="0">
      <text>
        <r>
          <rPr>
            <b/>
            <sz val="9"/>
            <color indexed="81"/>
            <rFont val="Tahoma"/>
            <family val="2"/>
          </rPr>
          <t>Author:</t>
        </r>
        <r>
          <rPr>
            <sz val="9"/>
            <color indexed="81"/>
            <rFont val="Tahoma"/>
            <family val="2"/>
          </rPr>
          <t xml:space="preserve">
From Campion2024</t>
        </r>
      </text>
    </comment>
    <comment ref="AS70" authorId="0" shapeId="0">
      <text>
        <r>
          <rPr>
            <b/>
            <sz val="9"/>
            <color indexed="81"/>
            <rFont val="Tahoma"/>
            <family val="2"/>
          </rPr>
          <t>Author:</t>
        </r>
        <r>
          <rPr>
            <sz val="9"/>
            <color indexed="81"/>
            <rFont val="Tahoma"/>
            <family val="2"/>
          </rPr>
          <t xml:space="preserve">
From Campion2024</t>
        </r>
      </text>
    </comment>
    <comment ref="AT70" authorId="0" shapeId="0">
      <text>
        <r>
          <rPr>
            <b/>
            <sz val="9"/>
            <color indexed="81"/>
            <rFont val="Tahoma"/>
            <family val="2"/>
          </rPr>
          <t>Author:</t>
        </r>
        <r>
          <rPr>
            <sz val="9"/>
            <color indexed="81"/>
            <rFont val="Tahoma"/>
            <family val="2"/>
          </rPr>
          <t xml:space="preserve">
From Campion2024</t>
        </r>
      </text>
    </comment>
    <comment ref="AU70" authorId="0" shapeId="0">
      <text>
        <r>
          <rPr>
            <b/>
            <sz val="9"/>
            <color indexed="81"/>
            <rFont val="Tahoma"/>
            <family val="2"/>
          </rPr>
          <t>Author:</t>
        </r>
        <r>
          <rPr>
            <sz val="9"/>
            <color indexed="81"/>
            <rFont val="Tahoma"/>
            <family val="2"/>
          </rPr>
          <t xml:space="preserve">
From Campion2024</t>
        </r>
      </text>
    </comment>
    <comment ref="AV70" authorId="0" shapeId="0">
      <text>
        <r>
          <rPr>
            <b/>
            <sz val="9"/>
            <color indexed="81"/>
            <rFont val="Tahoma"/>
            <family val="2"/>
          </rPr>
          <t>Author:</t>
        </r>
        <r>
          <rPr>
            <sz val="9"/>
            <color indexed="81"/>
            <rFont val="Tahoma"/>
            <family val="2"/>
          </rPr>
          <t xml:space="preserve">
From Campion2024</t>
        </r>
      </text>
    </comment>
    <comment ref="AW70" authorId="0" shapeId="0">
      <text>
        <r>
          <rPr>
            <b/>
            <sz val="9"/>
            <color indexed="81"/>
            <rFont val="Tahoma"/>
            <family val="2"/>
          </rPr>
          <t>Author:</t>
        </r>
        <r>
          <rPr>
            <sz val="9"/>
            <color indexed="81"/>
            <rFont val="Tahoma"/>
            <family val="2"/>
          </rPr>
          <t xml:space="preserve">
From Campion2024</t>
        </r>
      </text>
    </comment>
    <comment ref="AX70" authorId="0" shapeId="0">
      <text>
        <r>
          <rPr>
            <b/>
            <sz val="9"/>
            <color indexed="81"/>
            <rFont val="Tahoma"/>
            <family val="2"/>
          </rPr>
          <t>Author:</t>
        </r>
        <r>
          <rPr>
            <sz val="9"/>
            <color indexed="81"/>
            <rFont val="Tahoma"/>
            <family val="2"/>
          </rPr>
          <t xml:space="preserve">
From Campion2024</t>
        </r>
      </text>
    </comment>
    <comment ref="AY70" authorId="0" shapeId="0">
      <text>
        <r>
          <rPr>
            <b/>
            <sz val="9"/>
            <color indexed="81"/>
            <rFont val="Tahoma"/>
            <family val="2"/>
          </rPr>
          <t>Author:</t>
        </r>
        <r>
          <rPr>
            <sz val="9"/>
            <color indexed="81"/>
            <rFont val="Tahoma"/>
            <family val="2"/>
          </rPr>
          <t xml:space="preserve">
From Campion2024</t>
        </r>
      </text>
    </comment>
    <comment ref="AZ70" authorId="0" shapeId="0">
      <text>
        <r>
          <rPr>
            <b/>
            <sz val="9"/>
            <color indexed="81"/>
            <rFont val="Tahoma"/>
            <family val="2"/>
          </rPr>
          <t>Author:</t>
        </r>
        <r>
          <rPr>
            <sz val="9"/>
            <color indexed="81"/>
            <rFont val="Tahoma"/>
            <family val="2"/>
          </rPr>
          <t xml:space="preserve">
From Campion2024</t>
        </r>
      </text>
    </comment>
    <comment ref="BA70" authorId="0" shapeId="0">
      <text>
        <r>
          <rPr>
            <b/>
            <sz val="9"/>
            <color indexed="81"/>
            <rFont val="Tahoma"/>
            <family val="2"/>
          </rPr>
          <t>Author:</t>
        </r>
        <r>
          <rPr>
            <sz val="9"/>
            <color indexed="81"/>
            <rFont val="Tahoma"/>
            <family val="2"/>
          </rPr>
          <t xml:space="preserve">
From Campion2024</t>
        </r>
      </text>
    </comment>
    <comment ref="BB70" authorId="0" shapeId="0">
      <text>
        <r>
          <rPr>
            <b/>
            <sz val="9"/>
            <color indexed="81"/>
            <rFont val="Tahoma"/>
            <family val="2"/>
          </rPr>
          <t>Author:</t>
        </r>
        <r>
          <rPr>
            <sz val="9"/>
            <color indexed="81"/>
            <rFont val="Tahoma"/>
            <family val="2"/>
          </rPr>
          <t xml:space="preserve">
From Campion2024</t>
        </r>
      </text>
    </comment>
    <comment ref="BC70" authorId="0" shapeId="0">
      <text>
        <r>
          <rPr>
            <b/>
            <sz val="9"/>
            <color indexed="81"/>
            <rFont val="Tahoma"/>
            <family val="2"/>
          </rPr>
          <t>Author:</t>
        </r>
        <r>
          <rPr>
            <sz val="9"/>
            <color indexed="81"/>
            <rFont val="Tahoma"/>
            <family val="2"/>
          </rPr>
          <t xml:space="preserve">
From Campion2024</t>
        </r>
      </text>
    </comment>
    <comment ref="BD70" authorId="0" shapeId="0">
      <text>
        <r>
          <rPr>
            <b/>
            <sz val="9"/>
            <color indexed="81"/>
            <rFont val="Tahoma"/>
            <family val="2"/>
          </rPr>
          <t>Author:</t>
        </r>
        <r>
          <rPr>
            <sz val="9"/>
            <color indexed="81"/>
            <rFont val="Tahoma"/>
            <family val="2"/>
          </rPr>
          <t xml:space="preserve">
From Campion2024</t>
        </r>
      </text>
    </comment>
    <comment ref="BE70" authorId="0" shapeId="0">
      <text>
        <r>
          <rPr>
            <b/>
            <sz val="9"/>
            <color indexed="81"/>
            <rFont val="Tahoma"/>
            <family val="2"/>
          </rPr>
          <t>Author:</t>
        </r>
        <r>
          <rPr>
            <sz val="9"/>
            <color indexed="81"/>
            <rFont val="Tahoma"/>
            <family val="2"/>
          </rPr>
          <t xml:space="preserve">
From Campion2024</t>
        </r>
      </text>
    </comment>
    <comment ref="BR70" authorId="0" shapeId="0">
      <text>
        <r>
          <rPr>
            <b/>
            <sz val="9"/>
            <color indexed="81"/>
            <rFont val="Tahoma"/>
            <family val="2"/>
          </rPr>
          <t>Author:</t>
        </r>
        <r>
          <rPr>
            <sz val="9"/>
            <color indexed="81"/>
            <rFont val="Tahoma"/>
            <family val="2"/>
          </rPr>
          <t xml:space="preserve">
From Campion2024</t>
        </r>
      </text>
    </comment>
    <comment ref="BS70" authorId="0" shapeId="0">
      <text>
        <r>
          <rPr>
            <b/>
            <sz val="9"/>
            <color indexed="81"/>
            <rFont val="Tahoma"/>
            <family val="2"/>
          </rPr>
          <t>Author:</t>
        </r>
        <r>
          <rPr>
            <sz val="9"/>
            <color indexed="81"/>
            <rFont val="Tahoma"/>
            <family val="2"/>
          </rPr>
          <t xml:space="preserve">
From Campion2024</t>
        </r>
      </text>
    </comment>
    <comment ref="BT70" authorId="0" shapeId="0">
      <text>
        <r>
          <rPr>
            <b/>
            <sz val="9"/>
            <color indexed="81"/>
            <rFont val="Tahoma"/>
            <family val="2"/>
          </rPr>
          <t>Author:</t>
        </r>
        <r>
          <rPr>
            <sz val="9"/>
            <color indexed="81"/>
            <rFont val="Tahoma"/>
            <family val="2"/>
          </rPr>
          <t xml:space="preserve">
From Campion2024</t>
        </r>
      </text>
    </comment>
    <comment ref="BU70" authorId="0" shapeId="0">
      <text>
        <r>
          <rPr>
            <b/>
            <sz val="9"/>
            <color indexed="81"/>
            <rFont val="Tahoma"/>
            <family val="2"/>
          </rPr>
          <t>Author:</t>
        </r>
        <r>
          <rPr>
            <sz val="9"/>
            <color indexed="81"/>
            <rFont val="Tahoma"/>
            <family val="2"/>
          </rPr>
          <t xml:space="preserve">
From Campion2024</t>
        </r>
      </text>
    </comment>
    <comment ref="BV70" authorId="0" shapeId="0">
      <text>
        <r>
          <rPr>
            <b/>
            <sz val="9"/>
            <color indexed="81"/>
            <rFont val="Tahoma"/>
            <family val="2"/>
          </rPr>
          <t>Author:</t>
        </r>
        <r>
          <rPr>
            <sz val="9"/>
            <color indexed="81"/>
            <rFont val="Tahoma"/>
            <family val="2"/>
          </rPr>
          <t xml:space="preserve">
From Campion2024</t>
        </r>
      </text>
    </comment>
    <comment ref="BW70" authorId="0" shapeId="0">
      <text>
        <r>
          <rPr>
            <b/>
            <sz val="9"/>
            <color indexed="81"/>
            <rFont val="Tahoma"/>
            <family val="2"/>
          </rPr>
          <t>Author:</t>
        </r>
        <r>
          <rPr>
            <sz val="9"/>
            <color indexed="81"/>
            <rFont val="Tahoma"/>
            <family val="2"/>
          </rPr>
          <t xml:space="preserve">
From Campion2024</t>
        </r>
      </text>
    </comment>
    <comment ref="BX70" authorId="0" shapeId="0">
      <text>
        <r>
          <rPr>
            <b/>
            <sz val="9"/>
            <color indexed="81"/>
            <rFont val="Tahoma"/>
            <family val="2"/>
          </rPr>
          <t>Author:</t>
        </r>
        <r>
          <rPr>
            <sz val="9"/>
            <color indexed="81"/>
            <rFont val="Tahoma"/>
            <family val="2"/>
          </rPr>
          <t xml:space="preserve">
From Campion2024</t>
        </r>
      </text>
    </comment>
    <comment ref="BY70" authorId="0" shapeId="0">
      <text>
        <r>
          <rPr>
            <b/>
            <sz val="9"/>
            <color indexed="81"/>
            <rFont val="Tahoma"/>
            <family val="2"/>
          </rPr>
          <t>Author:</t>
        </r>
        <r>
          <rPr>
            <sz val="9"/>
            <color indexed="81"/>
            <rFont val="Tahoma"/>
            <family val="2"/>
          </rPr>
          <t xml:space="preserve">
From Campion2024</t>
        </r>
      </text>
    </comment>
    <comment ref="BZ70" authorId="0" shapeId="0">
      <text>
        <r>
          <rPr>
            <b/>
            <sz val="9"/>
            <color indexed="81"/>
            <rFont val="Tahoma"/>
            <family val="2"/>
          </rPr>
          <t>Author:</t>
        </r>
        <r>
          <rPr>
            <sz val="9"/>
            <color indexed="81"/>
            <rFont val="Tahoma"/>
            <family val="2"/>
          </rPr>
          <t xml:space="preserve">
From Campion2024</t>
        </r>
      </text>
    </comment>
    <comment ref="CA70" authorId="0" shapeId="0">
      <text>
        <r>
          <rPr>
            <b/>
            <sz val="9"/>
            <color indexed="81"/>
            <rFont val="Tahoma"/>
            <family val="2"/>
          </rPr>
          <t>Author:</t>
        </r>
        <r>
          <rPr>
            <sz val="9"/>
            <color indexed="81"/>
            <rFont val="Tahoma"/>
            <family val="2"/>
          </rPr>
          <t xml:space="preserve">
From Campion2024</t>
        </r>
      </text>
    </comment>
    <comment ref="CB70" authorId="0" shapeId="0">
      <text>
        <r>
          <rPr>
            <b/>
            <sz val="9"/>
            <color indexed="81"/>
            <rFont val="Tahoma"/>
            <family val="2"/>
          </rPr>
          <t>Author:</t>
        </r>
        <r>
          <rPr>
            <sz val="9"/>
            <color indexed="81"/>
            <rFont val="Tahoma"/>
            <family val="2"/>
          </rPr>
          <t xml:space="preserve">
From Campion2024</t>
        </r>
      </text>
    </comment>
    <comment ref="CC70" authorId="0" shapeId="0">
      <text>
        <r>
          <rPr>
            <b/>
            <sz val="9"/>
            <color indexed="81"/>
            <rFont val="Tahoma"/>
            <family val="2"/>
          </rPr>
          <t>Author:</t>
        </r>
        <r>
          <rPr>
            <sz val="9"/>
            <color indexed="81"/>
            <rFont val="Tahoma"/>
            <family val="2"/>
          </rPr>
          <t xml:space="preserve">
From Campion2024</t>
        </r>
      </text>
    </comment>
    <comment ref="AD71" authorId="0" shapeId="0">
      <text>
        <r>
          <rPr>
            <b/>
            <sz val="9"/>
            <color indexed="81"/>
            <rFont val="Tahoma"/>
            <family val="2"/>
          </rPr>
          <t>Author:</t>
        </r>
        <r>
          <rPr>
            <sz val="9"/>
            <color indexed="81"/>
            <rFont val="Tahoma"/>
            <family val="2"/>
          </rPr>
          <t xml:space="preserve">
From Campion2024</t>
        </r>
      </text>
    </comment>
    <comment ref="AE71" authorId="0" shapeId="0">
      <text>
        <r>
          <rPr>
            <b/>
            <sz val="9"/>
            <color indexed="81"/>
            <rFont val="Tahoma"/>
            <family val="2"/>
          </rPr>
          <t>Author:</t>
        </r>
        <r>
          <rPr>
            <sz val="9"/>
            <color indexed="81"/>
            <rFont val="Tahoma"/>
            <family val="2"/>
          </rPr>
          <t xml:space="preserve">
From Campion2024</t>
        </r>
      </text>
    </comment>
    <comment ref="AF71" authorId="0" shapeId="0">
      <text>
        <r>
          <rPr>
            <b/>
            <sz val="9"/>
            <color indexed="81"/>
            <rFont val="Tahoma"/>
            <family val="2"/>
          </rPr>
          <t>Author:</t>
        </r>
        <r>
          <rPr>
            <sz val="9"/>
            <color indexed="81"/>
            <rFont val="Tahoma"/>
            <family val="2"/>
          </rPr>
          <t xml:space="preserve">
From Campion2024</t>
        </r>
      </text>
    </comment>
    <comment ref="AG71" authorId="0" shapeId="0">
      <text>
        <r>
          <rPr>
            <b/>
            <sz val="9"/>
            <color indexed="81"/>
            <rFont val="Tahoma"/>
            <family val="2"/>
          </rPr>
          <t>Author:</t>
        </r>
        <r>
          <rPr>
            <sz val="9"/>
            <color indexed="81"/>
            <rFont val="Tahoma"/>
            <family val="2"/>
          </rPr>
          <t xml:space="preserve">
From Campion2024</t>
        </r>
      </text>
    </comment>
    <comment ref="AH71" authorId="0" shapeId="0">
      <text>
        <r>
          <rPr>
            <b/>
            <sz val="9"/>
            <color indexed="81"/>
            <rFont val="Tahoma"/>
            <family val="2"/>
          </rPr>
          <t>Author:</t>
        </r>
        <r>
          <rPr>
            <sz val="9"/>
            <color indexed="81"/>
            <rFont val="Tahoma"/>
            <family val="2"/>
          </rPr>
          <t xml:space="preserve">
From Campion2024</t>
        </r>
      </text>
    </comment>
    <comment ref="AI71" authorId="0" shapeId="0">
      <text>
        <r>
          <rPr>
            <b/>
            <sz val="9"/>
            <color indexed="81"/>
            <rFont val="Tahoma"/>
            <family val="2"/>
          </rPr>
          <t>Author:</t>
        </r>
        <r>
          <rPr>
            <sz val="9"/>
            <color indexed="81"/>
            <rFont val="Tahoma"/>
            <family val="2"/>
          </rPr>
          <t xml:space="preserve">
From Campion2024</t>
        </r>
      </text>
    </comment>
    <comment ref="AJ71" authorId="0" shapeId="0">
      <text>
        <r>
          <rPr>
            <b/>
            <sz val="9"/>
            <color indexed="81"/>
            <rFont val="Tahoma"/>
            <family val="2"/>
          </rPr>
          <t>Author:</t>
        </r>
        <r>
          <rPr>
            <sz val="9"/>
            <color indexed="81"/>
            <rFont val="Tahoma"/>
            <family val="2"/>
          </rPr>
          <t xml:space="preserve">
From Campion2024</t>
        </r>
      </text>
    </comment>
    <comment ref="AK71" authorId="0" shapeId="0">
      <text>
        <r>
          <rPr>
            <b/>
            <sz val="9"/>
            <color indexed="81"/>
            <rFont val="Tahoma"/>
            <family val="2"/>
          </rPr>
          <t>Author:</t>
        </r>
        <r>
          <rPr>
            <sz val="9"/>
            <color indexed="81"/>
            <rFont val="Tahoma"/>
            <family val="2"/>
          </rPr>
          <t xml:space="preserve">
From Campion2024</t>
        </r>
      </text>
    </comment>
    <comment ref="AL71" authorId="0" shapeId="0">
      <text>
        <r>
          <rPr>
            <b/>
            <sz val="9"/>
            <color indexed="81"/>
            <rFont val="Tahoma"/>
            <family val="2"/>
          </rPr>
          <t>Author:</t>
        </r>
        <r>
          <rPr>
            <sz val="9"/>
            <color indexed="81"/>
            <rFont val="Tahoma"/>
            <family val="2"/>
          </rPr>
          <t xml:space="preserve">
From Campion2024</t>
        </r>
      </text>
    </comment>
    <comment ref="AM71" authorId="0" shapeId="0">
      <text>
        <r>
          <rPr>
            <b/>
            <sz val="9"/>
            <color indexed="81"/>
            <rFont val="Tahoma"/>
            <family val="2"/>
          </rPr>
          <t>Author:</t>
        </r>
        <r>
          <rPr>
            <sz val="9"/>
            <color indexed="81"/>
            <rFont val="Tahoma"/>
            <family val="2"/>
          </rPr>
          <t xml:space="preserve">
From Campion2024</t>
        </r>
      </text>
    </comment>
    <comment ref="AN71" authorId="0" shapeId="0">
      <text>
        <r>
          <rPr>
            <b/>
            <sz val="9"/>
            <color indexed="81"/>
            <rFont val="Tahoma"/>
            <family val="2"/>
          </rPr>
          <t>Author:</t>
        </r>
        <r>
          <rPr>
            <sz val="9"/>
            <color indexed="81"/>
            <rFont val="Tahoma"/>
            <family val="2"/>
          </rPr>
          <t xml:space="preserve">
From Campion2024</t>
        </r>
      </text>
    </comment>
    <comment ref="AO71" authorId="0" shapeId="0">
      <text>
        <r>
          <rPr>
            <b/>
            <sz val="9"/>
            <color indexed="81"/>
            <rFont val="Tahoma"/>
            <family val="2"/>
          </rPr>
          <t>Author:</t>
        </r>
        <r>
          <rPr>
            <sz val="9"/>
            <color indexed="81"/>
            <rFont val="Tahoma"/>
            <family val="2"/>
          </rPr>
          <t xml:space="preserve">
From Campion2024</t>
        </r>
      </text>
    </comment>
    <comment ref="AP71" authorId="0" shapeId="0">
      <text>
        <r>
          <rPr>
            <b/>
            <sz val="9"/>
            <color indexed="81"/>
            <rFont val="Tahoma"/>
            <family val="2"/>
          </rPr>
          <t>Author:</t>
        </r>
        <r>
          <rPr>
            <sz val="9"/>
            <color indexed="81"/>
            <rFont val="Tahoma"/>
            <family val="2"/>
          </rPr>
          <t xml:space="preserve">
From Campion2024</t>
        </r>
      </text>
    </comment>
    <comment ref="AQ71" authorId="0" shapeId="0">
      <text>
        <r>
          <rPr>
            <b/>
            <sz val="9"/>
            <color indexed="81"/>
            <rFont val="Tahoma"/>
            <family val="2"/>
          </rPr>
          <t>Author:</t>
        </r>
        <r>
          <rPr>
            <sz val="9"/>
            <color indexed="81"/>
            <rFont val="Tahoma"/>
            <family val="2"/>
          </rPr>
          <t xml:space="preserve">
From Campion2024</t>
        </r>
      </text>
    </comment>
    <comment ref="AR71" authorId="0" shapeId="0">
      <text>
        <r>
          <rPr>
            <b/>
            <sz val="9"/>
            <color indexed="81"/>
            <rFont val="Tahoma"/>
            <family val="2"/>
          </rPr>
          <t>Author:</t>
        </r>
        <r>
          <rPr>
            <sz val="9"/>
            <color indexed="81"/>
            <rFont val="Tahoma"/>
            <family val="2"/>
          </rPr>
          <t xml:space="preserve">
From Campion2024</t>
        </r>
      </text>
    </comment>
    <comment ref="AS71" authorId="0" shapeId="0">
      <text>
        <r>
          <rPr>
            <b/>
            <sz val="9"/>
            <color indexed="81"/>
            <rFont val="Tahoma"/>
            <family val="2"/>
          </rPr>
          <t>Author:</t>
        </r>
        <r>
          <rPr>
            <sz val="9"/>
            <color indexed="81"/>
            <rFont val="Tahoma"/>
            <family val="2"/>
          </rPr>
          <t xml:space="preserve">
From Campion2024</t>
        </r>
      </text>
    </comment>
    <comment ref="AT71" authorId="0" shapeId="0">
      <text>
        <r>
          <rPr>
            <b/>
            <sz val="9"/>
            <color indexed="81"/>
            <rFont val="Tahoma"/>
            <family val="2"/>
          </rPr>
          <t>Author:</t>
        </r>
        <r>
          <rPr>
            <sz val="9"/>
            <color indexed="81"/>
            <rFont val="Tahoma"/>
            <family val="2"/>
          </rPr>
          <t xml:space="preserve">
From Campion2024</t>
        </r>
      </text>
    </comment>
    <comment ref="AU71" authorId="0" shapeId="0">
      <text>
        <r>
          <rPr>
            <b/>
            <sz val="9"/>
            <color indexed="81"/>
            <rFont val="Tahoma"/>
            <family val="2"/>
          </rPr>
          <t>Author:</t>
        </r>
        <r>
          <rPr>
            <sz val="9"/>
            <color indexed="81"/>
            <rFont val="Tahoma"/>
            <family val="2"/>
          </rPr>
          <t xml:space="preserve">
From Campion2024</t>
        </r>
      </text>
    </comment>
    <comment ref="AV71" authorId="0" shapeId="0">
      <text>
        <r>
          <rPr>
            <b/>
            <sz val="9"/>
            <color indexed="81"/>
            <rFont val="Tahoma"/>
            <family val="2"/>
          </rPr>
          <t>Author:</t>
        </r>
        <r>
          <rPr>
            <sz val="9"/>
            <color indexed="81"/>
            <rFont val="Tahoma"/>
            <family val="2"/>
          </rPr>
          <t xml:space="preserve">
From Campion2024</t>
        </r>
      </text>
    </comment>
    <comment ref="AW71" authorId="0" shapeId="0">
      <text>
        <r>
          <rPr>
            <b/>
            <sz val="9"/>
            <color indexed="81"/>
            <rFont val="Tahoma"/>
            <family val="2"/>
          </rPr>
          <t>Author:</t>
        </r>
        <r>
          <rPr>
            <sz val="9"/>
            <color indexed="81"/>
            <rFont val="Tahoma"/>
            <family val="2"/>
          </rPr>
          <t xml:space="preserve">
From Campion2024</t>
        </r>
      </text>
    </comment>
    <comment ref="AX71" authorId="0" shapeId="0">
      <text>
        <r>
          <rPr>
            <b/>
            <sz val="9"/>
            <color indexed="81"/>
            <rFont val="Tahoma"/>
            <family val="2"/>
          </rPr>
          <t>Author:</t>
        </r>
        <r>
          <rPr>
            <sz val="9"/>
            <color indexed="81"/>
            <rFont val="Tahoma"/>
            <family val="2"/>
          </rPr>
          <t xml:space="preserve">
From Campion2024</t>
        </r>
      </text>
    </comment>
    <comment ref="AY71" authorId="0" shapeId="0">
      <text>
        <r>
          <rPr>
            <b/>
            <sz val="9"/>
            <color indexed="81"/>
            <rFont val="Tahoma"/>
            <family val="2"/>
          </rPr>
          <t>Author:</t>
        </r>
        <r>
          <rPr>
            <sz val="9"/>
            <color indexed="81"/>
            <rFont val="Tahoma"/>
            <family val="2"/>
          </rPr>
          <t xml:space="preserve">
From Campion2024</t>
        </r>
      </text>
    </comment>
    <comment ref="AZ71" authorId="0" shapeId="0">
      <text>
        <r>
          <rPr>
            <b/>
            <sz val="9"/>
            <color indexed="81"/>
            <rFont val="Tahoma"/>
            <family val="2"/>
          </rPr>
          <t>Author:</t>
        </r>
        <r>
          <rPr>
            <sz val="9"/>
            <color indexed="81"/>
            <rFont val="Tahoma"/>
            <family val="2"/>
          </rPr>
          <t xml:space="preserve">
From Campion2024</t>
        </r>
      </text>
    </comment>
    <comment ref="BA71" authorId="0" shapeId="0">
      <text>
        <r>
          <rPr>
            <b/>
            <sz val="9"/>
            <color indexed="81"/>
            <rFont val="Tahoma"/>
            <family val="2"/>
          </rPr>
          <t>Author:</t>
        </r>
        <r>
          <rPr>
            <sz val="9"/>
            <color indexed="81"/>
            <rFont val="Tahoma"/>
            <family val="2"/>
          </rPr>
          <t xml:space="preserve">
From Campion2024</t>
        </r>
      </text>
    </comment>
    <comment ref="BB71" authorId="0" shapeId="0">
      <text>
        <r>
          <rPr>
            <b/>
            <sz val="9"/>
            <color indexed="81"/>
            <rFont val="Tahoma"/>
            <family val="2"/>
          </rPr>
          <t>Author:</t>
        </r>
        <r>
          <rPr>
            <sz val="9"/>
            <color indexed="81"/>
            <rFont val="Tahoma"/>
            <family val="2"/>
          </rPr>
          <t xml:space="preserve">
From Campion2024</t>
        </r>
      </text>
    </comment>
    <comment ref="BC71" authorId="0" shapeId="0">
      <text>
        <r>
          <rPr>
            <b/>
            <sz val="9"/>
            <color indexed="81"/>
            <rFont val="Tahoma"/>
            <family val="2"/>
          </rPr>
          <t>Author:</t>
        </r>
        <r>
          <rPr>
            <sz val="9"/>
            <color indexed="81"/>
            <rFont val="Tahoma"/>
            <family val="2"/>
          </rPr>
          <t xml:space="preserve">
From Campion2024</t>
        </r>
      </text>
    </comment>
    <comment ref="BD71" authorId="0" shapeId="0">
      <text>
        <r>
          <rPr>
            <b/>
            <sz val="9"/>
            <color indexed="81"/>
            <rFont val="Tahoma"/>
            <family val="2"/>
          </rPr>
          <t>Author:</t>
        </r>
        <r>
          <rPr>
            <sz val="9"/>
            <color indexed="81"/>
            <rFont val="Tahoma"/>
            <family val="2"/>
          </rPr>
          <t xml:space="preserve">
From Campion2024</t>
        </r>
      </text>
    </comment>
    <comment ref="BE71" authorId="0" shapeId="0">
      <text>
        <r>
          <rPr>
            <b/>
            <sz val="9"/>
            <color indexed="81"/>
            <rFont val="Tahoma"/>
            <family val="2"/>
          </rPr>
          <t>Author:</t>
        </r>
        <r>
          <rPr>
            <sz val="9"/>
            <color indexed="81"/>
            <rFont val="Tahoma"/>
            <family val="2"/>
          </rPr>
          <t xml:space="preserve">
From Campion2024</t>
        </r>
      </text>
    </comment>
    <comment ref="BR71" authorId="0" shapeId="0">
      <text>
        <r>
          <rPr>
            <b/>
            <sz val="9"/>
            <color indexed="81"/>
            <rFont val="Tahoma"/>
            <family val="2"/>
          </rPr>
          <t>Author:</t>
        </r>
        <r>
          <rPr>
            <sz val="9"/>
            <color indexed="81"/>
            <rFont val="Tahoma"/>
            <family val="2"/>
          </rPr>
          <t xml:space="preserve">
From Campion2024</t>
        </r>
      </text>
    </comment>
    <comment ref="BS71" authorId="0" shapeId="0">
      <text>
        <r>
          <rPr>
            <b/>
            <sz val="9"/>
            <color indexed="81"/>
            <rFont val="Tahoma"/>
            <family val="2"/>
          </rPr>
          <t>Author:</t>
        </r>
        <r>
          <rPr>
            <sz val="9"/>
            <color indexed="81"/>
            <rFont val="Tahoma"/>
            <family val="2"/>
          </rPr>
          <t xml:space="preserve">
From Campion2024</t>
        </r>
      </text>
    </comment>
    <comment ref="BT71" authorId="0" shapeId="0">
      <text>
        <r>
          <rPr>
            <b/>
            <sz val="9"/>
            <color indexed="81"/>
            <rFont val="Tahoma"/>
            <family val="2"/>
          </rPr>
          <t>Author:</t>
        </r>
        <r>
          <rPr>
            <sz val="9"/>
            <color indexed="81"/>
            <rFont val="Tahoma"/>
            <family val="2"/>
          </rPr>
          <t xml:space="preserve">
From Campion2024</t>
        </r>
      </text>
    </comment>
    <comment ref="BU71" authorId="0" shapeId="0">
      <text>
        <r>
          <rPr>
            <b/>
            <sz val="9"/>
            <color indexed="81"/>
            <rFont val="Tahoma"/>
            <family val="2"/>
          </rPr>
          <t>Author:</t>
        </r>
        <r>
          <rPr>
            <sz val="9"/>
            <color indexed="81"/>
            <rFont val="Tahoma"/>
            <family val="2"/>
          </rPr>
          <t xml:space="preserve">
From Campion2024</t>
        </r>
      </text>
    </comment>
    <comment ref="BV71" authorId="0" shapeId="0">
      <text>
        <r>
          <rPr>
            <b/>
            <sz val="9"/>
            <color indexed="81"/>
            <rFont val="Tahoma"/>
            <family val="2"/>
          </rPr>
          <t>Author:</t>
        </r>
        <r>
          <rPr>
            <sz val="9"/>
            <color indexed="81"/>
            <rFont val="Tahoma"/>
            <family val="2"/>
          </rPr>
          <t xml:space="preserve">
From Campion2024</t>
        </r>
      </text>
    </comment>
    <comment ref="BW71" authorId="0" shapeId="0">
      <text>
        <r>
          <rPr>
            <b/>
            <sz val="9"/>
            <color indexed="81"/>
            <rFont val="Tahoma"/>
            <family val="2"/>
          </rPr>
          <t>Author:</t>
        </r>
        <r>
          <rPr>
            <sz val="9"/>
            <color indexed="81"/>
            <rFont val="Tahoma"/>
            <family val="2"/>
          </rPr>
          <t xml:space="preserve">
From Campion2024</t>
        </r>
      </text>
    </comment>
    <comment ref="BX71" authorId="0" shapeId="0">
      <text>
        <r>
          <rPr>
            <b/>
            <sz val="9"/>
            <color indexed="81"/>
            <rFont val="Tahoma"/>
            <family val="2"/>
          </rPr>
          <t>Author:</t>
        </r>
        <r>
          <rPr>
            <sz val="9"/>
            <color indexed="81"/>
            <rFont val="Tahoma"/>
            <family val="2"/>
          </rPr>
          <t xml:space="preserve">
From Campion2024</t>
        </r>
      </text>
    </comment>
    <comment ref="BY71" authorId="0" shapeId="0">
      <text>
        <r>
          <rPr>
            <b/>
            <sz val="9"/>
            <color indexed="81"/>
            <rFont val="Tahoma"/>
            <family val="2"/>
          </rPr>
          <t>Author:</t>
        </r>
        <r>
          <rPr>
            <sz val="9"/>
            <color indexed="81"/>
            <rFont val="Tahoma"/>
            <family val="2"/>
          </rPr>
          <t xml:space="preserve">
From Campion2024</t>
        </r>
      </text>
    </comment>
    <comment ref="BZ71" authorId="0" shapeId="0">
      <text>
        <r>
          <rPr>
            <b/>
            <sz val="9"/>
            <color indexed="81"/>
            <rFont val="Tahoma"/>
            <family val="2"/>
          </rPr>
          <t>Author:</t>
        </r>
        <r>
          <rPr>
            <sz val="9"/>
            <color indexed="81"/>
            <rFont val="Tahoma"/>
            <family val="2"/>
          </rPr>
          <t xml:space="preserve">
From Campion2024</t>
        </r>
      </text>
    </comment>
    <comment ref="CA71" authorId="0" shapeId="0">
      <text>
        <r>
          <rPr>
            <b/>
            <sz val="9"/>
            <color indexed="81"/>
            <rFont val="Tahoma"/>
            <family val="2"/>
          </rPr>
          <t>Author:</t>
        </r>
        <r>
          <rPr>
            <sz val="9"/>
            <color indexed="81"/>
            <rFont val="Tahoma"/>
            <family val="2"/>
          </rPr>
          <t xml:space="preserve">
From Campion2024</t>
        </r>
      </text>
    </comment>
    <comment ref="CB71" authorId="0" shapeId="0">
      <text>
        <r>
          <rPr>
            <b/>
            <sz val="9"/>
            <color indexed="81"/>
            <rFont val="Tahoma"/>
            <family val="2"/>
          </rPr>
          <t>Author:</t>
        </r>
        <r>
          <rPr>
            <sz val="9"/>
            <color indexed="81"/>
            <rFont val="Tahoma"/>
            <family val="2"/>
          </rPr>
          <t xml:space="preserve">
From Campion2024</t>
        </r>
      </text>
    </comment>
    <comment ref="CC71" authorId="0" shapeId="0">
      <text>
        <r>
          <rPr>
            <b/>
            <sz val="9"/>
            <color indexed="81"/>
            <rFont val="Tahoma"/>
            <family val="2"/>
          </rPr>
          <t>Author:</t>
        </r>
        <r>
          <rPr>
            <sz val="9"/>
            <color indexed="81"/>
            <rFont val="Tahoma"/>
            <family val="2"/>
          </rPr>
          <t xml:space="preserve">
From Campion2024</t>
        </r>
      </text>
    </comment>
    <comment ref="AD72" authorId="0" shapeId="0">
      <text>
        <r>
          <rPr>
            <b/>
            <sz val="9"/>
            <color indexed="81"/>
            <rFont val="Tahoma"/>
            <family val="2"/>
          </rPr>
          <t>Author:</t>
        </r>
        <r>
          <rPr>
            <sz val="9"/>
            <color indexed="81"/>
            <rFont val="Tahoma"/>
            <family val="2"/>
          </rPr>
          <t xml:space="preserve">
From Campion2024</t>
        </r>
      </text>
    </comment>
    <comment ref="AE72" authorId="0" shapeId="0">
      <text>
        <r>
          <rPr>
            <b/>
            <sz val="9"/>
            <color indexed="81"/>
            <rFont val="Tahoma"/>
            <family val="2"/>
          </rPr>
          <t>Author:</t>
        </r>
        <r>
          <rPr>
            <sz val="9"/>
            <color indexed="81"/>
            <rFont val="Tahoma"/>
            <family val="2"/>
          </rPr>
          <t xml:space="preserve">
From Campion2024</t>
        </r>
      </text>
    </comment>
    <comment ref="AF72" authorId="0" shapeId="0">
      <text>
        <r>
          <rPr>
            <b/>
            <sz val="9"/>
            <color indexed="81"/>
            <rFont val="Tahoma"/>
            <family val="2"/>
          </rPr>
          <t>Author:</t>
        </r>
        <r>
          <rPr>
            <sz val="9"/>
            <color indexed="81"/>
            <rFont val="Tahoma"/>
            <family val="2"/>
          </rPr>
          <t xml:space="preserve">
From Campion2024</t>
        </r>
      </text>
    </comment>
    <comment ref="AG72" authorId="0" shapeId="0">
      <text>
        <r>
          <rPr>
            <b/>
            <sz val="9"/>
            <color indexed="81"/>
            <rFont val="Tahoma"/>
            <family val="2"/>
          </rPr>
          <t>Author:</t>
        </r>
        <r>
          <rPr>
            <sz val="9"/>
            <color indexed="81"/>
            <rFont val="Tahoma"/>
            <family val="2"/>
          </rPr>
          <t xml:space="preserve">
From Campion2024</t>
        </r>
      </text>
    </comment>
    <comment ref="AH72" authorId="0" shapeId="0">
      <text>
        <r>
          <rPr>
            <b/>
            <sz val="9"/>
            <color indexed="81"/>
            <rFont val="Tahoma"/>
            <family val="2"/>
          </rPr>
          <t>Author:</t>
        </r>
        <r>
          <rPr>
            <sz val="9"/>
            <color indexed="81"/>
            <rFont val="Tahoma"/>
            <family val="2"/>
          </rPr>
          <t xml:space="preserve">
From Campion2024</t>
        </r>
      </text>
    </comment>
    <comment ref="AI72" authorId="0" shapeId="0">
      <text>
        <r>
          <rPr>
            <b/>
            <sz val="9"/>
            <color indexed="81"/>
            <rFont val="Tahoma"/>
            <family val="2"/>
          </rPr>
          <t>Author:</t>
        </r>
        <r>
          <rPr>
            <sz val="9"/>
            <color indexed="81"/>
            <rFont val="Tahoma"/>
            <family val="2"/>
          </rPr>
          <t xml:space="preserve">
From Campion2024</t>
        </r>
      </text>
    </comment>
    <comment ref="AJ72" authorId="0" shapeId="0">
      <text>
        <r>
          <rPr>
            <b/>
            <sz val="9"/>
            <color indexed="81"/>
            <rFont val="Tahoma"/>
            <family val="2"/>
          </rPr>
          <t>Author:</t>
        </r>
        <r>
          <rPr>
            <sz val="9"/>
            <color indexed="81"/>
            <rFont val="Tahoma"/>
            <family val="2"/>
          </rPr>
          <t xml:space="preserve">
From Campion2024</t>
        </r>
      </text>
    </comment>
    <comment ref="AK72" authorId="0" shapeId="0">
      <text>
        <r>
          <rPr>
            <b/>
            <sz val="9"/>
            <color indexed="81"/>
            <rFont val="Tahoma"/>
            <family val="2"/>
          </rPr>
          <t>Author:</t>
        </r>
        <r>
          <rPr>
            <sz val="9"/>
            <color indexed="81"/>
            <rFont val="Tahoma"/>
            <family val="2"/>
          </rPr>
          <t xml:space="preserve">
From Campion2024</t>
        </r>
      </text>
    </comment>
    <comment ref="AL72" authorId="0" shapeId="0">
      <text>
        <r>
          <rPr>
            <b/>
            <sz val="9"/>
            <color indexed="81"/>
            <rFont val="Tahoma"/>
            <family val="2"/>
          </rPr>
          <t>Author:</t>
        </r>
        <r>
          <rPr>
            <sz val="9"/>
            <color indexed="81"/>
            <rFont val="Tahoma"/>
            <family val="2"/>
          </rPr>
          <t xml:space="preserve">
From Campion2024</t>
        </r>
      </text>
    </comment>
    <comment ref="AM72" authorId="0" shapeId="0">
      <text>
        <r>
          <rPr>
            <b/>
            <sz val="9"/>
            <color indexed="81"/>
            <rFont val="Tahoma"/>
            <family val="2"/>
          </rPr>
          <t>Author:</t>
        </r>
        <r>
          <rPr>
            <sz val="9"/>
            <color indexed="81"/>
            <rFont val="Tahoma"/>
            <family val="2"/>
          </rPr>
          <t xml:space="preserve">
From Campion2024</t>
        </r>
      </text>
    </comment>
    <comment ref="AN72" authorId="0" shapeId="0">
      <text>
        <r>
          <rPr>
            <b/>
            <sz val="9"/>
            <color indexed="81"/>
            <rFont val="Tahoma"/>
            <family val="2"/>
          </rPr>
          <t>Author:</t>
        </r>
        <r>
          <rPr>
            <sz val="9"/>
            <color indexed="81"/>
            <rFont val="Tahoma"/>
            <family val="2"/>
          </rPr>
          <t xml:space="preserve">
From Campion2024</t>
        </r>
      </text>
    </comment>
    <comment ref="AO72" authorId="0" shapeId="0">
      <text>
        <r>
          <rPr>
            <b/>
            <sz val="9"/>
            <color indexed="81"/>
            <rFont val="Tahoma"/>
            <family val="2"/>
          </rPr>
          <t>Author:</t>
        </r>
        <r>
          <rPr>
            <sz val="9"/>
            <color indexed="81"/>
            <rFont val="Tahoma"/>
            <family val="2"/>
          </rPr>
          <t xml:space="preserve">
From Campion2024</t>
        </r>
      </text>
    </comment>
    <comment ref="AP72" authorId="0" shapeId="0">
      <text>
        <r>
          <rPr>
            <b/>
            <sz val="9"/>
            <color indexed="81"/>
            <rFont val="Tahoma"/>
            <family val="2"/>
          </rPr>
          <t>Author:</t>
        </r>
        <r>
          <rPr>
            <sz val="9"/>
            <color indexed="81"/>
            <rFont val="Tahoma"/>
            <family val="2"/>
          </rPr>
          <t xml:space="preserve">
From Campion2024</t>
        </r>
      </text>
    </comment>
    <comment ref="AQ72" authorId="0" shapeId="0">
      <text>
        <r>
          <rPr>
            <b/>
            <sz val="9"/>
            <color indexed="81"/>
            <rFont val="Tahoma"/>
            <family val="2"/>
          </rPr>
          <t>Author:</t>
        </r>
        <r>
          <rPr>
            <sz val="9"/>
            <color indexed="81"/>
            <rFont val="Tahoma"/>
            <family val="2"/>
          </rPr>
          <t xml:space="preserve">
From Campion2024</t>
        </r>
      </text>
    </comment>
    <comment ref="AR72" authorId="0" shapeId="0">
      <text>
        <r>
          <rPr>
            <b/>
            <sz val="9"/>
            <color indexed="81"/>
            <rFont val="Tahoma"/>
            <family val="2"/>
          </rPr>
          <t>Author:</t>
        </r>
        <r>
          <rPr>
            <sz val="9"/>
            <color indexed="81"/>
            <rFont val="Tahoma"/>
            <family val="2"/>
          </rPr>
          <t xml:space="preserve">
From Campion2024</t>
        </r>
      </text>
    </comment>
    <comment ref="AS72" authorId="0" shapeId="0">
      <text>
        <r>
          <rPr>
            <b/>
            <sz val="9"/>
            <color indexed="81"/>
            <rFont val="Tahoma"/>
            <family val="2"/>
          </rPr>
          <t>Author:</t>
        </r>
        <r>
          <rPr>
            <sz val="9"/>
            <color indexed="81"/>
            <rFont val="Tahoma"/>
            <family val="2"/>
          </rPr>
          <t xml:space="preserve">
From Campion2024</t>
        </r>
      </text>
    </comment>
    <comment ref="AT72" authorId="0" shapeId="0">
      <text>
        <r>
          <rPr>
            <b/>
            <sz val="9"/>
            <color indexed="81"/>
            <rFont val="Tahoma"/>
            <family val="2"/>
          </rPr>
          <t>Author:</t>
        </r>
        <r>
          <rPr>
            <sz val="9"/>
            <color indexed="81"/>
            <rFont val="Tahoma"/>
            <family val="2"/>
          </rPr>
          <t xml:space="preserve">
From Campion2024</t>
        </r>
      </text>
    </comment>
    <comment ref="AU72" authorId="0" shapeId="0">
      <text>
        <r>
          <rPr>
            <b/>
            <sz val="9"/>
            <color indexed="81"/>
            <rFont val="Tahoma"/>
            <family val="2"/>
          </rPr>
          <t>Author:</t>
        </r>
        <r>
          <rPr>
            <sz val="9"/>
            <color indexed="81"/>
            <rFont val="Tahoma"/>
            <family val="2"/>
          </rPr>
          <t xml:space="preserve">
From Campion2024</t>
        </r>
      </text>
    </comment>
    <comment ref="AV72" authorId="0" shapeId="0">
      <text>
        <r>
          <rPr>
            <b/>
            <sz val="9"/>
            <color indexed="81"/>
            <rFont val="Tahoma"/>
            <family val="2"/>
          </rPr>
          <t>Author:</t>
        </r>
        <r>
          <rPr>
            <sz val="9"/>
            <color indexed="81"/>
            <rFont val="Tahoma"/>
            <family val="2"/>
          </rPr>
          <t xml:space="preserve">
From Campion2024</t>
        </r>
      </text>
    </comment>
    <comment ref="AW72" authorId="0" shapeId="0">
      <text>
        <r>
          <rPr>
            <b/>
            <sz val="9"/>
            <color indexed="81"/>
            <rFont val="Tahoma"/>
            <family val="2"/>
          </rPr>
          <t>Author:</t>
        </r>
        <r>
          <rPr>
            <sz val="9"/>
            <color indexed="81"/>
            <rFont val="Tahoma"/>
            <family val="2"/>
          </rPr>
          <t xml:space="preserve">
From Campion2024</t>
        </r>
      </text>
    </comment>
    <comment ref="AX72" authorId="0" shapeId="0">
      <text>
        <r>
          <rPr>
            <b/>
            <sz val="9"/>
            <color indexed="81"/>
            <rFont val="Tahoma"/>
            <family val="2"/>
          </rPr>
          <t>Author:</t>
        </r>
        <r>
          <rPr>
            <sz val="9"/>
            <color indexed="81"/>
            <rFont val="Tahoma"/>
            <family val="2"/>
          </rPr>
          <t xml:space="preserve">
From Campion2024</t>
        </r>
      </text>
    </comment>
    <comment ref="AY72" authorId="0" shapeId="0">
      <text>
        <r>
          <rPr>
            <b/>
            <sz val="9"/>
            <color indexed="81"/>
            <rFont val="Tahoma"/>
            <family val="2"/>
          </rPr>
          <t>Author:</t>
        </r>
        <r>
          <rPr>
            <sz val="9"/>
            <color indexed="81"/>
            <rFont val="Tahoma"/>
            <family val="2"/>
          </rPr>
          <t xml:space="preserve">
From Campion2024</t>
        </r>
      </text>
    </comment>
    <comment ref="AZ72" authorId="0" shapeId="0">
      <text>
        <r>
          <rPr>
            <b/>
            <sz val="9"/>
            <color indexed="81"/>
            <rFont val="Tahoma"/>
            <family val="2"/>
          </rPr>
          <t>Author:</t>
        </r>
        <r>
          <rPr>
            <sz val="9"/>
            <color indexed="81"/>
            <rFont val="Tahoma"/>
            <family val="2"/>
          </rPr>
          <t xml:space="preserve">
From Campion2024</t>
        </r>
      </text>
    </comment>
    <comment ref="BA72" authorId="0" shapeId="0">
      <text>
        <r>
          <rPr>
            <b/>
            <sz val="9"/>
            <color indexed="81"/>
            <rFont val="Tahoma"/>
            <family val="2"/>
          </rPr>
          <t>Author:</t>
        </r>
        <r>
          <rPr>
            <sz val="9"/>
            <color indexed="81"/>
            <rFont val="Tahoma"/>
            <family val="2"/>
          </rPr>
          <t xml:space="preserve">
From Campion2024</t>
        </r>
      </text>
    </comment>
    <comment ref="BB72" authorId="0" shapeId="0">
      <text>
        <r>
          <rPr>
            <b/>
            <sz val="9"/>
            <color indexed="81"/>
            <rFont val="Tahoma"/>
            <family val="2"/>
          </rPr>
          <t>Author:</t>
        </r>
        <r>
          <rPr>
            <sz val="9"/>
            <color indexed="81"/>
            <rFont val="Tahoma"/>
            <family val="2"/>
          </rPr>
          <t xml:space="preserve">
From Campion2024</t>
        </r>
      </text>
    </comment>
    <comment ref="BC72" authorId="0" shapeId="0">
      <text>
        <r>
          <rPr>
            <b/>
            <sz val="9"/>
            <color indexed="81"/>
            <rFont val="Tahoma"/>
            <family val="2"/>
          </rPr>
          <t>Author:</t>
        </r>
        <r>
          <rPr>
            <sz val="9"/>
            <color indexed="81"/>
            <rFont val="Tahoma"/>
            <family val="2"/>
          </rPr>
          <t xml:space="preserve">
From Campion2024</t>
        </r>
      </text>
    </comment>
    <comment ref="BD72" authorId="0" shapeId="0">
      <text>
        <r>
          <rPr>
            <b/>
            <sz val="9"/>
            <color indexed="81"/>
            <rFont val="Tahoma"/>
            <family val="2"/>
          </rPr>
          <t>Author:</t>
        </r>
        <r>
          <rPr>
            <sz val="9"/>
            <color indexed="81"/>
            <rFont val="Tahoma"/>
            <family val="2"/>
          </rPr>
          <t xml:space="preserve">
From Campion2024</t>
        </r>
      </text>
    </comment>
    <comment ref="BE72" authorId="0" shapeId="0">
      <text>
        <r>
          <rPr>
            <b/>
            <sz val="9"/>
            <color indexed="81"/>
            <rFont val="Tahoma"/>
            <family val="2"/>
          </rPr>
          <t>Author:</t>
        </r>
        <r>
          <rPr>
            <sz val="9"/>
            <color indexed="81"/>
            <rFont val="Tahoma"/>
            <family val="2"/>
          </rPr>
          <t xml:space="preserve">
From Campion2024</t>
        </r>
      </text>
    </comment>
    <comment ref="BR72" authorId="0" shapeId="0">
      <text>
        <r>
          <rPr>
            <b/>
            <sz val="9"/>
            <color indexed="81"/>
            <rFont val="Tahoma"/>
            <family val="2"/>
          </rPr>
          <t>Author:</t>
        </r>
        <r>
          <rPr>
            <sz val="9"/>
            <color indexed="81"/>
            <rFont val="Tahoma"/>
            <family val="2"/>
          </rPr>
          <t xml:space="preserve">
From Campion2024</t>
        </r>
      </text>
    </comment>
    <comment ref="BS72" authorId="0" shapeId="0">
      <text>
        <r>
          <rPr>
            <b/>
            <sz val="9"/>
            <color indexed="81"/>
            <rFont val="Tahoma"/>
            <family val="2"/>
          </rPr>
          <t>Author:</t>
        </r>
        <r>
          <rPr>
            <sz val="9"/>
            <color indexed="81"/>
            <rFont val="Tahoma"/>
            <family val="2"/>
          </rPr>
          <t xml:space="preserve">
From Campion2024</t>
        </r>
      </text>
    </comment>
    <comment ref="BT72" authorId="0" shapeId="0">
      <text>
        <r>
          <rPr>
            <b/>
            <sz val="9"/>
            <color indexed="81"/>
            <rFont val="Tahoma"/>
            <family val="2"/>
          </rPr>
          <t>Author:</t>
        </r>
        <r>
          <rPr>
            <sz val="9"/>
            <color indexed="81"/>
            <rFont val="Tahoma"/>
            <family val="2"/>
          </rPr>
          <t xml:space="preserve">
From Campion2024</t>
        </r>
      </text>
    </comment>
    <comment ref="BU72" authorId="0" shapeId="0">
      <text>
        <r>
          <rPr>
            <b/>
            <sz val="9"/>
            <color indexed="81"/>
            <rFont val="Tahoma"/>
            <family val="2"/>
          </rPr>
          <t>Author:</t>
        </r>
        <r>
          <rPr>
            <sz val="9"/>
            <color indexed="81"/>
            <rFont val="Tahoma"/>
            <family val="2"/>
          </rPr>
          <t xml:space="preserve">
From Campion2024</t>
        </r>
      </text>
    </comment>
    <comment ref="BV72" authorId="0" shapeId="0">
      <text>
        <r>
          <rPr>
            <b/>
            <sz val="9"/>
            <color indexed="81"/>
            <rFont val="Tahoma"/>
            <family val="2"/>
          </rPr>
          <t>Author:</t>
        </r>
        <r>
          <rPr>
            <sz val="9"/>
            <color indexed="81"/>
            <rFont val="Tahoma"/>
            <family val="2"/>
          </rPr>
          <t xml:space="preserve">
From Campion2024</t>
        </r>
      </text>
    </comment>
    <comment ref="BW72" authorId="0" shapeId="0">
      <text>
        <r>
          <rPr>
            <b/>
            <sz val="9"/>
            <color indexed="81"/>
            <rFont val="Tahoma"/>
            <family val="2"/>
          </rPr>
          <t>Author:</t>
        </r>
        <r>
          <rPr>
            <sz val="9"/>
            <color indexed="81"/>
            <rFont val="Tahoma"/>
            <family val="2"/>
          </rPr>
          <t xml:space="preserve">
From Campion2024</t>
        </r>
      </text>
    </comment>
    <comment ref="BX72" authorId="0" shapeId="0">
      <text>
        <r>
          <rPr>
            <b/>
            <sz val="9"/>
            <color indexed="81"/>
            <rFont val="Tahoma"/>
            <family val="2"/>
          </rPr>
          <t>Author:</t>
        </r>
        <r>
          <rPr>
            <sz val="9"/>
            <color indexed="81"/>
            <rFont val="Tahoma"/>
            <family val="2"/>
          </rPr>
          <t xml:space="preserve">
From Campion2024</t>
        </r>
      </text>
    </comment>
    <comment ref="BY72" authorId="0" shapeId="0">
      <text>
        <r>
          <rPr>
            <b/>
            <sz val="9"/>
            <color indexed="81"/>
            <rFont val="Tahoma"/>
            <family val="2"/>
          </rPr>
          <t>Author:</t>
        </r>
        <r>
          <rPr>
            <sz val="9"/>
            <color indexed="81"/>
            <rFont val="Tahoma"/>
            <family val="2"/>
          </rPr>
          <t xml:space="preserve">
From Campion2024</t>
        </r>
      </text>
    </comment>
    <comment ref="BZ72" authorId="0" shapeId="0">
      <text>
        <r>
          <rPr>
            <b/>
            <sz val="9"/>
            <color indexed="81"/>
            <rFont val="Tahoma"/>
            <family val="2"/>
          </rPr>
          <t>Author:</t>
        </r>
        <r>
          <rPr>
            <sz val="9"/>
            <color indexed="81"/>
            <rFont val="Tahoma"/>
            <family val="2"/>
          </rPr>
          <t xml:space="preserve">
From Campion2024</t>
        </r>
      </text>
    </comment>
    <comment ref="CA72" authorId="0" shapeId="0">
      <text>
        <r>
          <rPr>
            <b/>
            <sz val="9"/>
            <color indexed="81"/>
            <rFont val="Tahoma"/>
            <family val="2"/>
          </rPr>
          <t>Author:</t>
        </r>
        <r>
          <rPr>
            <sz val="9"/>
            <color indexed="81"/>
            <rFont val="Tahoma"/>
            <family val="2"/>
          </rPr>
          <t xml:space="preserve">
From Campion2024</t>
        </r>
      </text>
    </comment>
    <comment ref="CB72" authorId="0" shapeId="0">
      <text>
        <r>
          <rPr>
            <b/>
            <sz val="9"/>
            <color indexed="81"/>
            <rFont val="Tahoma"/>
            <family val="2"/>
          </rPr>
          <t>Author:</t>
        </r>
        <r>
          <rPr>
            <sz val="9"/>
            <color indexed="81"/>
            <rFont val="Tahoma"/>
            <family val="2"/>
          </rPr>
          <t xml:space="preserve">
From Campion2024</t>
        </r>
      </text>
    </comment>
    <comment ref="CC72" authorId="0" shapeId="0">
      <text>
        <r>
          <rPr>
            <b/>
            <sz val="9"/>
            <color indexed="81"/>
            <rFont val="Tahoma"/>
            <family val="2"/>
          </rPr>
          <t>Author:</t>
        </r>
        <r>
          <rPr>
            <sz val="9"/>
            <color indexed="81"/>
            <rFont val="Tahoma"/>
            <family val="2"/>
          </rPr>
          <t xml:space="preserve">
From Campion2024</t>
        </r>
      </text>
    </comment>
    <comment ref="AD73" authorId="0" shapeId="0">
      <text>
        <r>
          <rPr>
            <b/>
            <sz val="9"/>
            <color indexed="81"/>
            <rFont val="Tahoma"/>
            <family val="2"/>
          </rPr>
          <t>Author:</t>
        </r>
        <r>
          <rPr>
            <sz val="9"/>
            <color indexed="81"/>
            <rFont val="Tahoma"/>
            <family val="2"/>
          </rPr>
          <t xml:space="preserve">
From Campion2024</t>
        </r>
      </text>
    </comment>
    <comment ref="AE73" authorId="0" shapeId="0">
      <text>
        <r>
          <rPr>
            <b/>
            <sz val="9"/>
            <color indexed="81"/>
            <rFont val="Tahoma"/>
            <family val="2"/>
          </rPr>
          <t>Author:</t>
        </r>
        <r>
          <rPr>
            <sz val="9"/>
            <color indexed="81"/>
            <rFont val="Tahoma"/>
            <family val="2"/>
          </rPr>
          <t xml:space="preserve">
From Campion2024</t>
        </r>
      </text>
    </comment>
    <comment ref="AF73" authorId="0" shapeId="0">
      <text>
        <r>
          <rPr>
            <b/>
            <sz val="9"/>
            <color indexed="81"/>
            <rFont val="Tahoma"/>
            <family val="2"/>
          </rPr>
          <t>Author:</t>
        </r>
        <r>
          <rPr>
            <sz val="9"/>
            <color indexed="81"/>
            <rFont val="Tahoma"/>
            <family val="2"/>
          </rPr>
          <t xml:space="preserve">
From Campion2024</t>
        </r>
      </text>
    </comment>
    <comment ref="AG73" authorId="0" shapeId="0">
      <text>
        <r>
          <rPr>
            <b/>
            <sz val="9"/>
            <color indexed="81"/>
            <rFont val="Tahoma"/>
            <family val="2"/>
          </rPr>
          <t>Author:</t>
        </r>
        <r>
          <rPr>
            <sz val="9"/>
            <color indexed="81"/>
            <rFont val="Tahoma"/>
            <family val="2"/>
          </rPr>
          <t xml:space="preserve">
From Campion2024</t>
        </r>
      </text>
    </comment>
    <comment ref="AH73" authorId="0" shapeId="0">
      <text>
        <r>
          <rPr>
            <b/>
            <sz val="9"/>
            <color indexed="81"/>
            <rFont val="Tahoma"/>
            <family val="2"/>
          </rPr>
          <t>Author:</t>
        </r>
        <r>
          <rPr>
            <sz val="9"/>
            <color indexed="81"/>
            <rFont val="Tahoma"/>
            <family val="2"/>
          </rPr>
          <t xml:space="preserve">
From Campion2024</t>
        </r>
      </text>
    </comment>
    <comment ref="AI73" authorId="0" shapeId="0">
      <text>
        <r>
          <rPr>
            <b/>
            <sz val="9"/>
            <color indexed="81"/>
            <rFont val="Tahoma"/>
            <family val="2"/>
          </rPr>
          <t>Author:</t>
        </r>
        <r>
          <rPr>
            <sz val="9"/>
            <color indexed="81"/>
            <rFont val="Tahoma"/>
            <family val="2"/>
          </rPr>
          <t xml:space="preserve">
From Campion2024</t>
        </r>
      </text>
    </comment>
    <comment ref="AJ73" authorId="0" shapeId="0">
      <text>
        <r>
          <rPr>
            <b/>
            <sz val="9"/>
            <color indexed="81"/>
            <rFont val="Tahoma"/>
            <family val="2"/>
          </rPr>
          <t>Author:</t>
        </r>
        <r>
          <rPr>
            <sz val="9"/>
            <color indexed="81"/>
            <rFont val="Tahoma"/>
            <family val="2"/>
          </rPr>
          <t xml:space="preserve">
From Campion2024</t>
        </r>
      </text>
    </comment>
    <comment ref="AK73" authorId="0" shapeId="0">
      <text>
        <r>
          <rPr>
            <b/>
            <sz val="9"/>
            <color indexed="81"/>
            <rFont val="Tahoma"/>
            <family val="2"/>
          </rPr>
          <t>Author:</t>
        </r>
        <r>
          <rPr>
            <sz val="9"/>
            <color indexed="81"/>
            <rFont val="Tahoma"/>
            <family val="2"/>
          </rPr>
          <t xml:space="preserve">
From Campion2024</t>
        </r>
      </text>
    </comment>
    <comment ref="AL73" authorId="0" shapeId="0">
      <text>
        <r>
          <rPr>
            <b/>
            <sz val="9"/>
            <color indexed="81"/>
            <rFont val="Tahoma"/>
            <family val="2"/>
          </rPr>
          <t>Author:</t>
        </r>
        <r>
          <rPr>
            <sz val="9"/>
            <color indexed="81"/>
            <rFont val="Tahoma"/>
            <family val="2"/>
          </rPr>
          <t xml:space="preserve">
From Campion2024</t>
        </r>
      </text>
    </comment>
    <comment ref="AM73" authorId="0" shapeId="0">
      <text>
        <r>
          <rPr>
            <b/>
            <sz val="9"/>
            <color indexed="81"/>
            <rFont val="Tahoma"/>
            <family val="2"/>
          </rPr>
          <t>Author:</t>
        </r>
        <r>
          <rPr>
            <sz val="9"/>
            <color indexed="81"/>
            <rFont val="Tahoma"/>
            <family val="2"/>
          </rPr>
          <t xml:space="preserve">
From Campion2024</t>
        </r>
      </text>
    </comment>
    <comment ref="AN73" authorId="0" shapeId="0">
      <text>
        <r>
          <rPr>
            <b/>
            <sz val="9"/>
            <color indexed="81"/>
            <rFont val="Tahoma"/>
            <family val="2"/>
          </rPr>
          <t>Author:</t>
        </r>
        <r>
          <rPr>
            <sz val="9"/>
            <color indexed="81"/>
            <rFont val="Tahoma"/>
            <family val="2"/>
          </rPr>
          <t xml:space="preserve">
From Campion2024</t>
        </r>
      </text>
    </comment>
    <comment ref="AO73" authorId="0" shapeId="0">
      <text>
        <r>
          <rPr>
            <b/>
            <sz val="9"/>
            <color indexed="81"/>
            <rFont val="Tahoma"/>
            <family val="2"/>
          </rPr>
          <t>Author:</t>
        </r>
        <r>
          <rPr>
            <sz val="9"/>
            <color indexed="81"/>
            <rFont val="Tahoma"/>
            <family val="2"/>
          </rPr>
          <t xml:space="preserve">
From Campion2024</t>
        </r>
      </text>
    </comment>
    <comment ref="AP73" authorId="0" shapeId="0">
      <text>
        <r>
          <rPr>
            <b/>
            <sz val="9"/>
            <color indexed="81"/>
            <rFont val="Tahoma"/>
            <family val="2"/>
          </rPr>
          <t>Author:</t>
        </r>
        <r>
          <rPr>
            <sz val="9"/>
            <color indexed="81"/>
            <rFont val="Tahoma"/>
            <family val="2"/>
          </rPr>
          <t xml:space="preserve">
From Campion2024</t>
        </r>
      </text>
    </comment>
    <comment ref="AQ73" authorId="0" shapeId="0">
      <text>
        <r>
          <rPr>
            <b/>
            <sz val="9"/>
            <color indexed="81"/>
            <rFont val="Tahoma"/>
            <family val="2"/>
          </rPr>
          <t>Author:</t>
        </r>
        <r>
          <rPr>
            <sz val="9"/>
            <color indexed="81"/>
            <rFont val="Tahoma"/>
            <family val="2"/>
          </rPr>
          <t xml:space="preserve">
From Campion2024</t>
        </r>
      </text>
    </comment>
    <comment ref="AR73" authorId="0" shapeId="0">
      <text>
        <r>
          <rPr>
            <b/>
            <sz val="9"/>
            <color indexed="81"/>
            <rFont val="Tahoma"/>
            <family val="2"/>
          </rPr>
          <t>Author:</t>
        </r>
        <r>
          <rPr>
            <sz val="9"/>
            <color indexed="81"/>
            <rFont val="Tahoma"/>
            <family val="2"/>
          </rPr>
          <t xml:space="preserve">
From Campion2024</t>
        </r>
      </text>
    </comment>
    <comment ref="AS73" authorId="0" shapeId="0">
      <text>
        <r>
          <rPr>
            <b/>
            <sz val="9"/>
            <color indexed="81"/>
            <rFont val="Tahoma"/>
            <family val="2"/>
          </rPr>
          <t>Author:</t>
        </r>
        <r>
          <rPr>
            <sz val="9"/>
            <color indexed="81"/>
            <rFont val="Tahoma"/>
            <family val="2"/>
          </rPr>
          <t xml:space="preserve">
From Campion2024</t>
        </r>
      </text>
    </comment>
    <comment ref="AT73" authorId="0" shapeId="0">
      <text>
        <r>
          <rPr>
            <b/>
            <sz val="9"/>
            <color indexed="81"/>
            <rFont val="Tahoma"/>
            <family val="2"/>
          </rPr>
          <t>Author:</t>
        </r>
        <r>
          <rPr>
            <sz val="9"/>
            <color indexed="81"/>
            <rFont val="Tahoma"/>
            <family val="2"/>
          </rPr>
          <t xml:space="preserve">
From Campion2024</t>
        </r>
      </text>
    </comment>
    <comment ref="AU73" authorId="0" shapeId="0">
      <text>
        <r>
          <rPr>
            <b/>
            <sz val="9"/>
            <color indexed="81"/>
            <rFont val="Tahoma"/>
            <family val="2"/>
          </rPr>
          <t>Author:</t>
        </r>
        <r>
          <rPr>
            <sz val="9"/>
            <color indexed="81"/>
            <rFont val="Tahoma"/>
            <family val="2"/>
          </rPr>
          <t xml:space="preserve">
From Campion2024</t>
        </r>
      </text>
    </comment>
    <comment ref="AV73" authorId="0" shapeId="0">
      <text>
        <r>
          <rPr>
            <b/>
            <sz val="9"/>
            <color indexed="81"/>
            <rFont val="Tahoma"/>
            <family val="2"/>
          </rPr>
          <t>Author:</t>
        </r>
        <r>
          <rPr>
            <sz val="9"/>
            <color indexed="81"/>
            <rFont val="Tahoma"/>
            <family val="2"/>
          </rPr>
          <t xml:space="preserve">
From Campion2024</t>
        </r>
      </text>
    </comment>
    <comment ref="AW73" authorId="0" shapeId="0">
      <text>
        <r>
          <rPr>
            <b/>
            <sz val="9"/>
            <color indexed="81"/>
            <rFont val="Tahoma"/>
            <family val="2"/>
          </rPr>
          <t>Author:</t>
        </r>
        <r>
          <rPr>
            <sz val="9"/>
            <color indexed="81"/>
            <rFont val="Tahoma"/>
            <family val="2"/>
          </rPr>
          <t xml:space="preserve">
From Campion2024</t>
        </r>
      </text>
    </comment>
    <comment ref="AX73" authorId="0" shapeId="0">
      <text>
        <r>
          <rPr>
            <b/>
            <sz val="9"/>
            <color indexed="81"/>
            <rFont val="Tahoma"/>
            <family val="2"/>
          </rPr>
          <t>Author:</t>
        </r>
        <r>
          <rPr>
            <sz val="9"/>
            <color indexed="81"/>
            <rFont val="Tahoma"/>
            <family val="2"/>
          </rPr>
          <t xml:space="preserve">
From Campion2024</t>
        </r>
      </text>
    </comment>
    <comment ref="AY73" authorId="0" shapeId="0">
      <text>
        <r>
          <rPr>
            <b/>
            <sz val="9"/>
            <color indexed="81"/>
            <rFont val="Tahoma"/>
            <family val="2"/>
          </rPr>
          <t>Author:</t>
        </r>
        <r>
          <rPr>
            <sz val="9"/>
            <color indexed="81"/>
            <rFont val="Tahoma"/>
            <family val="2"/>
          </rPr>
          <t xml:space="preserve">
From Campion2024</t>
        </r>
      </text>
    </comment>
    <comment ref="AZ73" authorId="0" shapeId="0">
      <text>
        <r>
          <rPr>
            <b/>
            <sz val="9"/>
            <color indexed="81"/>
            <rFont val="Tahoma"/>
            <family val="2"/>
          </rPr>
          <t>Author:</t>
        </r>
        <r>
          <rPr>
            <sz val="9"/>
            <color indexed="81"/>
            <rFont val="Tahoma"/>
            <family val="2"/>
          </rPr>
          <t xml:space="preserve">
From Campion2024</t>
        </r>
      </text>
    </comment>
    <comment ref="BA73" authorId="0" shapeId="0">
      <text>
        <r>
          <rPr>
            <b/>
            <sz val="9"/>
            <color indexed="81"/>
            <rFont val="Tahoma"/>
            <family val="2"/>
          </rPr>
          <t>Author:</t>
        </r>
        <r>
          <rPr>
            <sz val="9"/>
            <color indexed="81"/>
            <rFont val="Tahoma"/>
            <family val="2"/>
          </rPr>
          <t xml:space="preserve">
From Campion2024</t>
        </r>
      </text>
    </comment>
    <comment ref="BB73" authorId="0" shapeId="0">
      <text>
        <r>
          <rPr>
            <b/>
            <sz val="9"/>
            <color indexed="81"/>
            <rFont val="Tahoma"/>
            <family val="2"/>
          </rPr>
          <t>Author:</t>
        </r>
        <r>
          <rPr>
            <sz val="9"/>
            <color indexed="81"/>
            <rFont val="Tahoma"/>
            <family val="2"/>
          </rPr>
          <t xml:space="preserve">
From Campion2024</t>
        </r>
      </text>
    </comment>
    <comment ref="BC73" authorId="0" shapeId="0">
      <text>
        <r>
          <rPr>
            <b/>
            <sz val="9"/>
            <color indexed="81"/>
            <rFont val="Tahoma"/>
            <family val="2"/>
          </rPr>
          <t>Author:</t>
        </r>
        <r>
          <rPr>
            <sz val="9"/>
            <color indexed="81"/>
            <rFont val="Tahoma"/>
            <family val="2"/>
          </rPr>
          <t xml:space="preserve">
From Campion2024</t>
        </r>
      </text>
    </comment>
    <comment ref="BD73" authorId="0" shapeId="0">
      <text>
        <r>
          <rPr>
            <b/>
            <sz val="9"/>
            <color indexed="81"/>
            <rFont val="Tahoma"/>
            <family val="2"/>
          </rPr>
          <t>Author:</t>
        </r>
        <r>
          <rPr>
            <sz val="9"/>
            <color indexed="81"/>
            <rFont val="Tahoma"/>
            <family val="2"/>
          </rPr>
          <t xml:space="preserve">
From Campion2024</t>
        </r>
      </text>
    </comment>
    <comment ref="BE73" authorId="0" shapeId="0">
      <text>
        <r>
          <rPr>
            <b/>
            <sz val="9"/>
            <color indexed="81"/>
            <rFont val="Tahoma"/>
            <family val="2"/>
          </rPr>
          <t>Author:</t>
        </r>
        <r>
          <rPr>
            <sz val="9"/>
            <color indexed="81"/>
            <rFont val="Tahoma"/>
            <family val="2"/>
          </rPr>
          <t xml:space="preserve">
From Campion2024</t>
        </r>
      </text>
    </comment>
    <comment ref="BR73" authorId="0" shapeId="0">
      <text>
        <r>
          <rPr>
            <b/>
            <sz val="9"/>
            <color indexed="81"/>
            <rFont val="Tahoma"/>
            <family val="2"/>
          </rPr>
          <t>Author:</t>
        </r>
        <r>
          <rPr>
            <sz val="9"/>
            <color indexed="81"/>
            <rFont val="Tahoma"/>
            <family val="2"/>
          </rPr>
          <t xml:space="preserve">
From Campion2024</t>
        </r>
      </text>
    </comment>
    <comment ref="BS73" authorId="0" shapeId="0">
      <text>
        <r>
          <rPr>
            <b/>
            <sz val="9"/>
            <color indexed="81"/>
            <rFont val="Tahoma"/>
            <family val="2"/>
          </rPr>
          <t>Author:</t>
        </r>
        <r>
          <rPr>
            <sz val="9"/>
            <color indexed="81"/>
            <rFont val="Tahoma"/>
            <family val="2"/>
          </rPr>
          <t xml:space="preserve">
From Campion2024</t>
        </r>
      </text>
    </comment>
    <comment ref="BT73" authorId="0" shapeId="0">
      <text>
        <r>
          <rPr>
            <b/>
            <sz val="9"/>
            <color indexed="81"/>
            <rFont val="Tahoma"/>
            <family val="2"/>
          </rPr>
          <t>Author:</t>
        </r>
        <r>
          <rPr>
            <sz val="9"/>
            <color indexed="81"/>
            <rFont val="Tahoma"/>
            <family val="2"/>
          </rPr>
          <t xml:space="preserve">
From Campion2024</t>
        </r>
      </text>
    </comment>
    <comment ref="BU73" authorId="0" shapeId="0">
      <text>
        <r>
          <rPr>
            <b/>
            <sz val="9"/>
            <color indexed="81"/>
            <rFont val="Tahoma"/>
            <family val="2"/>
          </rPr>
          <t>Author:</t>
        </r>
        <r>
          <rPr>
            <sz val="9"/>
            <color indexed="81"/>
            <rFont val="Tahoma"/>
            <family val="2"/>
          </rPr>
          <t xml:space="preserve">
From Campion2024</t>
        </r>
      </text>
    </comment>
    <comment ref="BV73" authorId="0" shapeId="0">
      <text>
        <r>
          <rPr>
            <b/>
            <sz val="9"/>
            <color indexed="81"/>
            <rFont val="Tahoma"/>
            <family val="2"/>
          </rPr>
          <t>Author:</t>
        </r>
        <r>
          <rPr>
            <sz val="9"/>
            <color indexed="81"/>
            <rFont val="Tahoma"/>
            <family val="2"/>
          </rPr>
          <t xml:space="preserve">
From Campion2024</t>
        </r>
      </text>
    </comment>
    <comment ref="BW73" authorId="0" shapeId="0">
      <text>
        <r>
          <rPr>
            <b/>
            <sz val="9"/>
            <color indexed="81"/>
            <rFont val="Tahoma"/>
            <family val="2"/>
          </rPr>
          <t>Author:</t>
        </r>
        <r>
          <rPr>
            <sz val="9"/>
            <color indexed="81"/>
            <rFont val="Tahoma"/>
            <family val="2"/>
          </rPr>
          <t xml:space="preserve">
From Campion2024</t>
        </r>
      </text>
    </comment>
    <comment ref="BX73" authorId="0" shapeId="0">
      <text>
        <r>
          <rPr>
            <b/>
            <sz val="9"/>
            <color indexed="81"/>
            <rFont val="Tahoma"/>
            <family val="2"/>
          </rPr>
          <t>Author:</t>
        </r>
        <r>
          <rPr>
            <sz val="9"/>
            <color indexed="81"/>
            <rFont val="Tahoma"/>
            <family val="2"/>
          </rPr>
          <t xml:space="preserve">
From Campion2024</t>
        </r>
      </text>
    </comment>
    <comment ref="BY73" authorId="0" shapeId="0">
      <text>
        <r>
          <rPr>
            <b/>
            <sz val="9"/>
            <color indexed="81"/>
            <rFont val="Tahoma"/>
            <family val="2"/>
          </rPr>
          <t>Author:</t>
        </r>
        <r>
          <rPr>
            <sz val="9"/>
            <color indexed="81"/>
            <rFont val="Tahoma"/>
            <family val="2"/>
          </rPr>
          <t xml:space="preserve">
From Campion2024</t>
        </r>
      </text>
    </comment>
    <comment ref="BZ73" authorId="0" shapeId="0">
      <text>
        <r>
          <rPr>
            <b/>
            <sz val="9"/>
            <color indexed="81"/>
            <rFont val="Tahoma"/>
            <family val="2"/>
          </rPr>
          <t>Author:</t>
        </r>
        <r>
          <rPr>
            <sz val="9"/>
            <color indexed="81"/>
            <rFont val="Tahoma"/>
            <family val="2"/>
          </rPr>
          <t xml:space="preserve">
From Campion2024</t>
        </r>
      </text>
    </comment>
    <comment ref="CA73" authorId="0" shapeId="0">
      <text>
        <r>
          <rPr>
            <b/>
            <sz val="9"/>
            <color indexed="81"/>
            <rFont val="Tahoma"/>
            <family val="2"/>
          </rPr>
          <t>Author:</t>
        </r>
        <r>
          <rPr>
            <sz val="9"/>
            <color indexed="81"/>
            <rFont val="Tahoma"/>
            <family val="2"/>
          </rPr>
          <t xml:space="preserve">
From Campion2024</t>
        </r>
      </text>
    </comment>
    <comment ref="CB73" authorId="0" shapeId="0">
      <text>
        <r>
          <rPr>
            <b/>
            <sz val="9"/>
            <color indexed="81"/>
            <rFont val="Tahoma"/>
            <family val="2"/>
          </rPr>
          <t>Author:</t>
        </r>
        <r>
          <rPr>
            <sz val="9"/>
            <color indexed="81"/>
            <rFont val="Tahoma"/>
            <family val="2"/>
          </rPr>
          <t xml:space="preserve">
From Campion2024</t>
        </r>
      </text>
    </comment>
    <comment ref="CC73" authorId="0" shapeId="0">
      <text>
        <r>
          <rPr>
            <b/>
            <sz val="9"/>
            <color indexed="81"/>
            <rFont val="Tahoma"/>
            <family val="2"/>
          </rPr>
          <t>Author:</t>
        </r>
        <r>
          <rPr>
            <sz val="9"/>
            <color indexed="81"/>
            <rFont val="Tahoma"/>
            <family val="2"/>
          </rPr>
          <t xml:space="preserve">
From Campion2024</t>
        </r>
      </text>
    </comment>
    <comment ref="AD74" authorId="0" shapeId="0">
      <text>
        <r>
          <rPr>
            <b/>
            <sz val="9"/>
            <color indexed="81"/>
            <rFont val="Tahoma"/>
            <family val="2"/>
          </rPr>
          <t>Author:</t>
        </r>
        <r>
          <rPr>
            <sz val="9"/>
            <color indexed="81"/>
            <rFont val="Tahoma"/>
            <family val="2"/>
          </rPr>
          <t xml:space="preserve">
From Campion2024</t>
        </r>
      </text>
    </comment>
    <comment ref="AE74" authorId="0" shapeId="0">
      <text>
        <r>
          <rPr>
            <b/>
            <sz val="9"/>
            <color indexed="81"/>
            <rFont val="Tahoma"/>
            <family val="2"/>
          </rPr>
          <t>Author:</t>
        </r>
        <r>
          <rPr>
            <sz val="9"/>
            <color indexed="81"/>
            <rFont val="Tahoma"/>
            <family val="2"/>
          </rPr>
          <t xml:space="preserve">
From Campion2024</t>
        </r>
      </text>
    </comment>
    <comment ref="AF74" authorId="0" shapeId="0">
      <text>
        <r>
          <rPr>
            <b/>
            <sz val="9"/>
            <color indexed="81"/>
            <rFont val="Tahoma"/>
            <family val="2"/>
          </rPr>
          <t>Author:</t>
        </r>
        <r>
          <rPr>
            <sz val="9"/>
            <color indexed="81"/>
            <rFont val="Tahoma"/>
            <family val="2"/>
          </rPr>
          <t xml:space="preserve">
From Campion2024</t>
        </r>
      </text>
    </comment>
    <comment ref="AG74" authorId="0" shapeId="0">
      <text>
        <r>
          <rPr>
            <b/>
            <sz val="9"/>
            <color indexed="81"/>
            <rFont val="Tahoma"/>
            <family val="2"/>
          </rPr>
          <t>Author:</t>
        </r>
        <r>
          <rPr>
            <sz val="9"/>
            <color indexed="81"/>
            <rFont val="Tahoma"/>
            <family val="2"/>
          </rPr>
          <t xml:space="preserve">
From Campion2024</t>
        </r>
      </text>
    </comment>
    <comment ref="AH74" authorId="0" shapeId="0">
      <text>
        <r>
          <rPr>
            <b/>
            <sz val="9"/>
            <color indexed="81"/>
            <rFont val="Tahoma"/>
            <family val="2"/>
          </rPr>
          <t>Author:</t>
        </r>
        <r>
          <rPr>
            <sz val="9"/>
            <color indexed="81"/>
            <rFont val="Tahoma"/>
            <family val="2"/>
          </rPr>
          <t xml:space="preserve">
From Campion2024</t>
        </r>
      </text>
    </comment>
    <comment ref="AI74" authorId="0" shapeId="0">
      <text>
        <r>
          <rPr>
            <b/>
            <sz val="9"/>
            <color indexed="81"/>
            <rFont val="Tahoma"/>
            <family val="2"/>
          </rPr>
          <t>Author:</t>
        </r>
        <r>
          <rPr>
            <sz val="9"/>
            <color indexed="81"/>
            <rFont val="Tahoma"/>
            <family val="2"/>
          </rPr>
          <t xml:space="preserve">
From Campion2024</t>
        </r>
      </text>
    </comment>
    <comment ref="AJ74" authorId="0" shapeId="0">
      <text>
        <r>
          <rPr>
            <b/>
            <sz val="9"/>
            <color indexed="81"/>
            <rFont val="Tahoma"/>
            <family val="2"/>
          </rPr>
          <t>Author:</t>
        </r>
        <r>
          <rPr>
            <sz val="9"/>
            <color indexed="81"/>
            <rFont val="Tahoma"/>
            <family val="2"/>
          </rPr>
          <t xml:space="preserve">
From Campion2024</t>
        </r>
      </text>
    </comment>
    <comment ref="AK74" authorId="0" shapeId="0">
      <text>
        <r>
          <rPr>
            <b/>
            <sz val="9"/>
            <color indexed="81"/>
            <rFont val="Tahoma"/>
            <family val="2"/>
          </rPr>
          <t>Author:</t>
        </r>
        <r>
          <rPr>
            <sz val="9"/>
            <color indexed="81"/>
            <rFont val="Tahoma"/>
            <family val="2"/>
          </rPr>
          <t xml:space="preserve">
From Campion2024</t>
        </r>
      </text>
    </comment>
    <comment ref="AL74" authorId="0" shapeId="0">
      <text>
        <r>
          <rPr>
            <b/>
            <sz val="9"/>
            <color indexed="81"/>
            <rFont val="Tahoma"/>
            <family val="2"/>
          </rPr>
          <t>Author:</t>
        </r>
        <r>
          <rPr>
            <sz val="9"/>
            <color indexed="81"/>
            <rFont val="Tahoma"/>
            <family val="2"/>
          </rPr>
          <t xml:space="preserve">
From Campion2024</t>
        </r>
      </text>
    </comment>
    <comment ref="AM74" authorId="0" shapeId="0">
      <text>
        <r>
          <rPr>
            <b/>
            <sz val="9"/>
            <color indexed="81"/>
            <rFont val="Tahoma"/>
            <family val="2"/>
          </rPr>
          <t>Author:</t>
        </r>
        <r>
          <rPr>
            <sz val="9"/>
            <color indexed="81"/>
            <rFont val="Tahoma"/>
            <family val="2"/>
          </rPr>
          <t xml:space="preserve">
From Campion2024</t>
        </r>
      </text>
    </comment>
    <comment ref="AN74" authorId="0" shapeId="0">
      <text>
        <r>
          <rPr>
            <b/>
            <sz val="9"/>
            <color indexed="81"/>
            <rFont val="Tahoma"/>
            <family val="2"/>
          </rPr>
          <t>Author:</t>
        </r>
        <r>
          <rPr>
            <sz val="9"/>
            <color indexed="81"/>
            <rFont val="Tahoma"/>
            <family val="2"/>
          </rPr>
          <t xml:space="preserve">
From Campion2024</t>
        </r>
      </text>
    </comment>
    <comment ref="AO74" authorId="0" shapeId="0">
      <text>
        <r>
          <rPr>
            <b/>
            <sz val="9"/>
            <color indexed="81"/>
            <rFont val="Tahoma"/>
            <family val="2"/>
          </rPr>
          <t>Author:</t>
        </r>
        <r>
          <rPr>
            <sz val="9"/>
            <color indexed="81"/>
            <rFont val="Tahoma"/>
            <family val="2"/>
          </rPr>
          <t xml:space="preserve">
From Campion2024</t>
        </r>
      </text>
    </comment>
    <comment ref="AP74" authorId="0" shapeId="0">
      <text>
        <r>
          <rPr>
            <b/>
            <sz val="9"/>
            <color indexed="81"/>
            <rFont val="Tahoma"/>
            <family val="2"/>
          </rPr>
          <t>Author:</t>
        </r>
        <r>
          <rPr>
            <sz val="9"/>
            <color indexed="81"/>
            <rFont val="Tahoma"/>
            <family val="2"/>
          </rPr>
          <t xml:space="preserve">
From Campion2024</t>
        </r>
      </text>
    </comment>
    <comment ref="AQ74" authorId="0" shapeId="0">
      <text>
        <r>
          <rPr>
            <b/>
            <sz val="9"/>
            <color indexed="81"/>
            <rFont val="Tahoma"/>
            <family val="2"/>
          </rPr>
          <t>Author:</t>
        </r>
        <r>
          <rPr>
            <sz val="9"/>
            <color indexed="81"/>
            <rFont val="Tahoma"/>
            <family val="2"/>
          </rPr>
          <t xml:space="preserve">
From Campion2024</t>
        </r>
      </text>
    </comment>
    <comment ref="AR74" authorId="0" shapeId="0">
      <text>
        <r>
          <rPr>
            <b/>
            <sz val="9"/>
            <color indexed="81"/>
            <rFont val="Tahoma"/>
            <family val="2"/>
          </rPr>
          <t>Author:</t>
        </r>
        <r>
          <rPr>
            <sz val="9"/>
            <color indexed="81"/>
            <rFont val="Tahoma"/>
            <family val="2"/>
          </rPr>
          <t xml:space="preserve">
From Campion2024</t>
        </r>
      </text>
    </comment>
    <comment ref="AS74" authorId="0" shapeId="0">
      <text>
        <r>
          <rPr>
            <b/>
            <sz val="9"/>
            <color indexed="81"/>
            <rFont val="Tahoma"/>
            <family val="2"/>
          </rPr>
          <t>Author:</t>
        </r>
        <r>
          <rPr>
            <sz val="9"/>
            <color indexed="81"/>
            <rFont val="Tahoma"/>
            <family val="2"/>
          </rPr>
          <t xml:space="preserve">
From Campion2024</t>
        </r>
      </text>
    </comment>
    <comment ref="AT74" authorId="0" shapeId="0">
      <text>
        <r>
          <rPr>
            <b/>
            <sz val="9"/>
            <color indexed="81"/>
            <rFont val="Tahoma"/>
            <family val="2"/>
          </rPr>
          <t>Author:</t>
        </r>
        <r>
          <rPr>
            <sz val="9"/>
            <color indexed="81"/>
            <rFont val="Tahoma"/>
            <family val="2"/>
          </rPr>
          <t xml:space="preserve">
From Campion2024</t>
        </r>
      </text>
    </comment>
    <comment ref="AU74" authorId="0" shapeId="0">
      <text>
        <r>
          <rPr>
            <b/>
            <sz val="9"/>
            <color indexed="81"/>
            <rFont val="Tahoma"/>
            <family val="2"/>
          </rPr>
          <t>Author:</t>
        </r>
        <r>
          <rPr>
            <sz val="9"/>
            <color indexed="81"/>
            <rFont val="Tahoma"/>
            <family val="2"/>
          </rPr>
          <t xml:space="preserve">
From Campion2024</t>
        </r>
      </text>
    </comment>
    <comment ref="AV74" authorId="0" shapeId="0">
      <text>
        <r>
          <rPr>
            <b/>
            <sz val="9"/>
            <color indexed="81"/>
            <rFont val="Tahoma"/>
            <family val="2"/>
          </rPr>
          <t>Author:</t>
        </r>
        <r>
          <rPr>
            <sz val="9"/>
            <color indexed="81"/>
            <rFont val="Tahoma"/>
            <family val="2"/>
          </rPr>
          <t xml:space="preserve">
From Campion2024</t>
        </r>
      </text>
    </comment>
    <comment ref="AW74" authorId="0" shapeId="0">
      <text>
        <r>
          <rPr>
            <b/>
            <sz val="9"/>
            <color indexed="81"/>
            <rFont val="Tahoma"/>
            <family val="2"/>
          </rPr>
          <t>Author:</t>
        </r>
        <r>
          <rPr>
            <sz val="9"/>
            <color indexed="81"/>
            <rFont val="Tahoma"/>
            <family val="2"/>
          </rPr>
          <t xml:space="preserve">
From Campion2024</t>
        </r>
      </text>
    </comment>
    <comment ref="AX74" authorId="0" shapeId="0">
      <text>
        <r>
          <rPr>
            <b/>
            <sz val="9"/>
            <color indexed="81"/>
            <rFont val="Tahoma"/>
            <family val="2"/>
          </rPr>
          <t>Author:</t>
        </r>
        <r>
          <rPr>
            <sz val="9"/>
            <color indexed="81"/>
            <rFont val="Tahoma"/>
            <family val="2"/>
          </rPr>
          <t xml:space="preserve">
From Campion2024</t>
        </r>
      </text>
    </comment>
    <comment ref="AY74" authorId="0" shapeId="0">
      <text>
        <r>
          <rPr>
            <b/>
            <sz val="9"/>
            <color indexed="81"/>
            <rFont val="Tahoma"/>
            <family val="2"/>
          </rPr>
          <t>Author:</t>
        </r>
        <r>
          <rPr>
            <sz val="9"/>
            <color indexed="81"/>
            <rFont val="Tahoma"/>
            <family val="2"/>
          </rPr>
          <t xml:space="preserve">
From Campion2024</t>
        </r>
      </text>
    </comment>
    <comment ref="AZ74" authorId="0" shapeId="0">
      <text>
        <r>
          <rPr>
            <b/>
            <sz val="9"/>
            <color indexed="81"/>
            <rFont val="Tahoma"/>
            <family val="2"/>
          </rPr>
          <t>Author:</t>
        </r>
        <r>
          <rPr>
            <sz val="9"/>
            <color indexed="81"/>
            <rFont val="Tahoma"/>
            <family val="2"/>
          </rPr>
          <t xml:space="preserve">
From Campion2024</t>
        </r>
      </text>
    </comment>
    <comment ref="BA74" authorId="0" shapeId="0">
      <text>
        <r>
          <rPr>
            <b/>
            <sz val="9"/>
            <color indexed="81"/>
            <rFont val="Tahoma"/>
            <family val="2"/>
          </rPr>
          <t>Author:</t>
        </r>
        <r>
          <rPr>
            <sz val="9"/>
            <color indexed="81"/>
            <rFont val="Tahoma"/>
            <family val="2"/>
          </rPr>
          <t xml:space="preserve">
From Campion2024</t>
        </r>
      </text>
    </comment>
    <comment ref="BB74" authorId="0" shapeId="0">
      <text>
        <r>
          <rPr>
            <b/>
            <sz val="9"/>
            <color indexed="81"/>
            <rFont val="Tahoma"/>
            <family val="2"/>
          </rPr>
          <t>Author:</t>
        </r>
        <r>
          <rPr>
            <sz val="9"/>
            <color indexed="81"/>
            <rFont val="Tahoma"/>
            <family val="2"/>
          </rPr>
          <t xml:space="preserve">
From Campion2024</t>
        </r>
      </text>
    </comment>
    <comment ref="BC74" authorId="0" shapeId="0">
      <text>
        <r>
          <rPr>
            <b/>
            <sz val="9"/>
            <color indexed="81"/>
            <rFont val="Tahoma"/>
            <family val="2"/>
          </rPr>
          <t>Author:</t>
        </r>
        <r>
          <rPr>
            <sz val="9"/>
            <color indexed="81"/>
            <rFont val="Tahoma"/>
            <family val="2"/>
          </rPr>
          <t xml:space="preserve">
From Campion2024</t>
        </r>
      </text>
    </comment>
    <comment ref="BD74" authorId="0" shapeId="0">
      <text>
        <r>
          <rPr>
            <b/>
            <sz val="9"/>
            <color indexed="81"/>
            <rFont val="Tahoma"/>
            <family val="2"/>
          </rPr>
          <t>Author:</t>
        </r>
        <r>
          <rPr>
            <sz val="9"/>
            <color indexed="81"/>
            <rFont val="Tahoma"/>
            <family val="2"/>
          </rPr>
          <t xml:space="preserve">
From Campion2024</t>
        </r>
      </text>
    </comment>
    <comment ref="BE74" authorId="0" shapeId="0">
      <text>
        <r>
          <rPr>
            <b/>
            <sz val="9"/>
            <color indexed="81"/>
            <rFont val="Tahoma"/>
            <family val="2"/>
          </rPr>
          <t>Author:</t>
        </r>
        <r>
          <rPr>
            <sz val="9"/>
            <color indexed="81"/>
            <rFont val="Tahoma"/>
            <family val="2"/>
          </rPr>
          <t xml:space="preserve">
From Campion2024</t>
        </r>
      </text>
    </comment>
    <comment ref="BR74" authorId="0" shapeId="0">
      <text>
        <r>
          <rPr>
            <b/>
            <sz val="9"/>
            <color indexed="81"/>
            <rFont val="Tahoma"/>
            <family val="2"/>
          </rPr>
          <t>Author:</t>
        </r>
        <r>
          <rPr>
            <sz val="9"/>
            <color indexed="81"/>
            <rFont val="Tahoma"/>
            <family val="2"/>
          </rPr>
          <t xml:space="preserve">
From Campion2024</t>
        </r>
      </text>
    </comment>
    <comment ref="BS74" authorId="0" shapeId="0">
      <text>
        <r>
          <rPr>
            <b/>
            <sz val="9"/>
            <color indexed="81"/>
            <rFont val="Tahoma"/>
            <family val="2"/>
          </rPr>
          <t>Author:</t>
        </r>
        <r>
          <rPr>
            <sz val="9"/>
            <color indexed="81"/>
            <rFont val="Tahoma"/>
            <family val="2"/>
          </rPr>
          <t xml:space="preserve">
From Campion2024</t>
        </r>
      </text>
    </comment>
    <comment ref="BT74" authorId="0" shapeId="0">
      <text>
        <r>
          <rPr>
            <b/>
            <sz val="9"/>
            <color indexed="81"/>
            <rFont val="Tahoma"/>
            <family val="2"/>
          </rPr>
          <t>Author:</t>
        </r>
        <r>
          <rPr>
            <sz val="9"/>
            <color indexed="81"/>
            <rFont val="Tahoma"/>
            <family val="2"/>
          </rPr>
          <t xml:space="preserve">
From Campion2024</t>
        </r>
      </text>
    </comment>
    <comment ref="BU74" authorId="0" shapeId="0">
      <text>
        <r>
          <rPr>
            <b/>
            <sz val="9"/>
            <color indexed="81"/>
            <rFont val="Tahoma"/>
            <family val="2"/>
          </rPr>
          <t>Author:</t>
        </r>
        <r>
          <rPr>
            <sz val="9"/>
            <color indexed="81"/>
            <rFont val="Tahoma"/>
            <family val="2"/>
          </rPr>
          <t xml:space="preserve">
From Campion2024</t>
        </r>
      </text>
    </comment>
    <comment ref="BV74" authorId="0" shapeId="0">
      <text>
        <r>
          <rPr>
            <b/>
            <sz val="9"/>
            <color indexed="81"/>
            <rFont val="Tahoma"/>
            <family val="2"/>
          </rPr>
          <t>Author:</t>
        </r>
        <r>
          <rPr>
            <sz val="9"/>
            <color indexed="81"/>
            <rFont val="Tahoma"/>
            <family val="2"/>
          </rPr>
          <t xml:space="preserve">
From Campion2024</t>
        </r>
      </text>
    </comment>
    <comment ref="BW74" authorId="0" shapeId="0">
      <text>
        <r>
          <rPr>
            <b/>
            <sz val="9"/>
            <color indexed="81"/>
            <rFont val="Tahoma"/>
            <family val="2"/>
          </rPr>
          <t>Author:</t>
        </r>
        <r>
          <rPr>
            <sz val="9"/>
            <color indexed="81"/>
            <rFont val="Tahoma"/>
            <family val="2"/>
          </rPr>
          <t xml:space="preserve">
From Campion2024</t>
        </r>
      </text>
    </comment>
    <comment ref="BX74" authorId="0" shapeId="0">
      <text>
        <r>
          <rPr>
            <b/>
            <sz val="9"/>
            <color indexed="81"/>
            <rFont val="Tahoma"/>
            <family val="2"/>
          </rPr>
          <t>Author:</t>
        </r>
        <r>
          <rPr>
            <sz val="9"/>
            <color indexed="81"/>
            <rFont val="Tahoma"/>
            <family val="2"/>
          </rPr>
          <t xml:space="preserve">
From Campion2024</t>
        </r>
      </text>
    </comment>
    <comment ref="BY74" authorId="0" shapeId="0">
      <text>
        <r>
          <rPr>
            <b/>
            <sz val="9"/>
            <color indexed="81"/>
            <rFont val="Tahoma"/>
            <family val="2"/>
          </rPr>
          <t>Author:</t>
        </r>
        <r>
          <rPr>
            <sz val="9"/>
            <color indexed="81"/>
            <rFont val="Tahoma"/>
            <family val="2"/>
          </rPr>
          <t xml:space="preserve">
From Campion2024</t>
        </r>
      </text>
    </comment>
    <comment ref="BZ74" authorId="0" shapeId="0">
      <text>
        <r>
          <rPr>
            <b/>
            <sz val="9"/>
            <color indexed="81"/>
            <rFont val="Tahoma"/>
            <family val="2"/>
          </rPr>
          <t>Author:</t>
        </r>
        <r>
          <rPr>
            <sz val="9"/>
            <color indexed="81"/>
            <rFont val="Tahoma"/>
            <family val="2"/>
          </rPr>
          <t xml:space="preserve">
From Campion2024</t>
        </r>
      </text>
    </comment>
    <comment ref="CA74" authorId="0" shapeId="0">
      <text>
        <r>
          <rPr>
            <b/>
            <sz val="9"/>
            <color indexed="81"/>
            <rFont val="Tahoma"/>
            <family val="2"/>
          </rPr>
          <t>Author:</t>
        </r>
        <r>
          <rPr>
            <sz val="9"/>
            <color indexed="81"/>
            <rFont val="Tahoma"/>
            <family val="2"/>
          </rPr>
          <t xml:space="preserve">
From Campion2024</t>
        </r>
      </text>
    </comment>
    <comment ref="CB74" authorId="0" shapeId="0">
      <text>
        <r>
          <rPr>
            <b/>
            <sz val="9"/>
            <color indexed="81"/>
            <rFont val="Tahoma"/>
            <family val="2"/>
          </rPr>
          <t>Author:</t>
        </r>
        <r>
          <rPr>
            <sz val="9"/>
            <color indexed="81"/>
            <rFont val="Tahoma"/>
            <family val="2"/>
          </rPr>
          <t xml:space="preserve">
From Campion2024</t>
        </r>
      </text>
    </comment>
    <comment ref="CC74" authorId="0" shapeId="0">
      <text>
        <r>
          <rPr>
            <b/>
            <sz val="9"/>
            <color indexed="81"/>
            <rFont val="Tahoma"/>
            <family val="2"/>
          </rPr>
          <t>Author:</t>
        </r>
        <r>
          <rPr>
            <sz val="9"/>
            <color indexed="81"/>
            <rFont val="Tahoma"/>
            <family val="2"/>
          </rPr>
          <t xml:space="preserve">
From Campion2024</t>
        </r>
      </text>
    </comment>
    <comment ref="AD75" authorId="0" shapeId="0">
      <text>
        <r>
          <rPr>
            <b/>
            <sz val="9"/>
            <color indexed="81"/>
            <rFont val="Tahoma"/>
            <family val="2"/>
          </rPr>
          <t>Author:</t>
        </r>
        <r>
          <rPr>
            <sz val="9"/>
            <color indexed="81"/>
            <rFont val="Tahoma"/>
            <family val="2"/>
          </rPr>
          <t xml:space="preserve">
From Campion2024</t>
        </r>
      </text>
    </comment>
    <comment ref="AE75" authorId="0" shapeId="0">
      <text>
        <r>
          <rPr>
            <b/>
            <sz val="9"/>
            <color indexed="81"/>
            <rFont val="Tahoma"/>
            <family val="2"/>
          </rPr>
          <t>Author:</t>
        </r>
        <r>
          <rPr>
            <sz val="9"/>
            <color indexed="81"/>
            <rFont val="Tahoma"/>
            <family val="2"/>
          </rPr>
          <t xml:space="preserve">
From Campion2024</t>
        </r>
      </text>
    </comment>
    <comment ref="AF75" authorId="0" shapeId="0">
      <text>
        <r>
          <rPr>
            <b/>
            <sz val="9"/>
            <color indexed="81"/>
            <rFont val="Tahoma"/>
            <family val="2"/>
          </rPr>
          <t>Author:</t>
        </r>
        <r>
          <rPr>
            <sz val="9"/>
            <color indexed="81"/>
            <rFont val="Tahoma"/>
            <family val="2"/>
          </rPr>
          <t xml:space="preserve">
From Campion2024</t>
        </r>
      </text>
    </comment>
    <comment ref="AG75" authorId="0" shapeId="0">
      <text>
        <r>
          <rPr>
            <b/>
            <sz val="9"/>
            <color indexed="81"/>
            <rFont val="Tahoma"/>
            <family val="2"/>
          </rPr>
          <t>Author:</t>
        </r>
        <r>
          <rPr>
            <sz val="9"/>
            <color indexed="81"/>
            <rFont val="Tahoma"/>
            <family val="2"/>
          </rPr>
          <t xml:space="preserve">
From Campion2024</t>
        </r>
      </text>
    </comment>
    <comment ref="AH75" authorId="0" shapeId="0">
      <text>
        <r>
          <rPr>
            <b/>
            <sz val="9"/>
            <color indexed="81"/>
            <rFont val="Tahoma"/>
            <family val="2"/>
          </rPr>
          <t>Author:</t>
        </r>
        <r>
          <rPr>
            <sz val="9"/>
            <color indexed="81"/>
            <rFont val="Tahoma"/>
            <family val="2"/>
          </rPr>
          <t xml:space="preserve">
From Campion2024</t>
        </r>
      </text>
    </comment>
    <comment ref="AI75" authorId="0" shapeId="0">
      <text>
        <r>
          <rPr>
            <b/>
            <sz val="9"/>
            <color indexed="81"/>
            <rFont val="Tahoma"/>
            <family val="2"/>
          </rPr>
          <t>Author:</t>
        </r>
        <r>
          <rPr>
            <sz val="9"/>
            <color indexed="81"/>
            <rFont val="Tahoma"/>
            <family val="2"/>
          </rPr>
          <t xml:space="preserve">
From Campion2024</t>
        </r>
      </text>
    </comment>
    <comment ref="AJ75" authorId="0" shapeId="0">
      <text>
        <r>
          <rPr>
            <b/>
            <sz val="9"/>
            <color indexed="81"/>
            <rFont val="Tahoma"/>
            <family val="2"/>
          </rPr>
          <t>Author:</t>
        </r>
        <r>
          <rPr>
            <sz val="9"/>
            <color indexed="81"/>
            <rFont val="Tahoma"/>
            <family val="2"/>
          </rPr>
          <t xml:space="preserve">
From Campion2024</t>
        </r>
      </text>
    </comment>
    <comment ref="AK75" authorId="0" shapeId="0">
      <text>
        <r>
          <rPr>
            <b/>
            <sz val="9"/>
            <color indexed="81"/>
            <rFont val="Tahoma"/>
            <family val="2"/>
          </rPr>
          <t>Author:</t>
        </r>
        <r>
          <rPr>
            <sz val="9"/>
            <color indexed="81"/>
            <rFont val="Tahoma"/>
            <family val="2"/>
          </rPr>
          <t xml:space="preserve">
From Campion2024</t>
        </r>
      </text>
    </comment>
    <comment ref="AL75" authorId="0" shapeId="0">
      <text>
        <r>
          <rPr>
            <b/>
            <sz val="9"/>
            <color indexed="81"/>
            <rFont val="Tahoma"/>
            <family val="2"/>
          </rPr>
          <t>Author:</t>
        </r>
        <r>
          <rPr>
            <sz val="9"/>
            <color indexed="81"/>
            <rFont val="Tahoma"/>
            <family val="2"/>
          </rPr>
          <t xml:space="preserve">
From Campion2024</t>
        </r>
      </text>
    </comment>
    <comment ref="AM75" authorId="0" shapeId="0">
      <text>
        <r>
          <rPr>
            <b/>
            <sz val="9"/>
            <color indexed="81"/>
            <rFont val="Tahoma"/>
            <family val="2"/>
          </rPr>
          <t>Author:</t>
        </r>
        <r>
          <rPr>
            <sz val="9"/>
            <color indexed="81"/>
            <rFont val="Tahoma"/>
            <family val="2"/>
          </rPr>
          <t xml:space="preserve">
From Campion2024</t>
        </r>
      </text>
    </comment>
    <comment ref="AN75" authorId="0" shapeId="0">
      <text>
        <r>
          <rPr>
            <b/>
            <sz val="9"/>
            <color indexed="81"/>
            <rFont val="Tahoma"/>
            <family val="2"/>
          </rPr>
          <t>Author:</t>
        </r>
        <r>
          <rPr>
            <sz val="9"/>
            <color indexed="81"/>
            <rFont val="Tahoma"/>
            <family val="2"/>
          </rPr>
          <t xml:space="preserve">
From Campion2024</t>
        </r>
      </text>
    </comment>
    <comment ref="AO75" authorId="0" shapeId="0">
      <text>
        <r>
          <rPr>
            <b/>
            <sz val="9"/>
            <color indexed="81"/>
            <rFont val="Tahoma"/>
            <family val="2"/>
          </rPr>
          <t>Author:</t>
        </r>
        <r>
          <rPr>
            <sz val="9"/>
            <color indexed="81"/>
            <rFont val="Tahoma"/>
            <family val="2"/>
          </rPr>
          <t xml:space="preserve">
From Campion2024</t>
        </r>
      </text>
    </comment>
    <comment ref="AP75" authorId="0" shapeId="0">
      <text>
        <r>
          <rPr>
            <b/>
            <sz val="9"/>
            <color indexed="81"/>
            <rFont val="Tahoma"/>
            <family val="2"/>
          </rPr>
          <t>Author:</t>
        </r>
        <r>
          <rPr>
            <sz val="9"/>
            <color indexed="81"/>
            <rFont val="Tahoma"/>
            <family val="2"/>
          </rPr>
          <t xml:space="preserve">
From Campion2024</t>
        </r>
      </text>
    </comment>
    <comment ref="AQ75" authorId="0" shapeId="0">
      <text>
        <r>
          <rPr>
            <b/>
            <sz val="9"/>
            <color indexed="81"/>
            <rFont val="Tahoma"/>
            <family val="2"/>
          </rPr>
          <t>Author:</t>
        </r>
        <r>
          <rPr>
            <sz val="9"/>
            <color indexed="81"/>
            <rFont val="Tahoma"/>
            <family val="2"/>
          </rPr>
          <t xml:space="preserve">
From Campion2024</t>
        </r>
      </text>
    </comment>
    <comment ref="AR75" authorId="0" shapeId="0">
      <text>
        <r>
          <rPr>
            <b/>
            <sz val="9"/>
            <color indexed="81"/>
            <rFont val="Tahoma"/>
            <family val="2"/>
          </rPr>
          <t>Author:</t>
        </r>
        <r>
          <rPr>
            <sz val="9"/>
            <color indexed="81"/>
            <rFont val="Tahoma"/>
            <family val="2"/>
          </rPr>
          <t xml:space="preserve">
From Campion2024</t>
        </r>
      </text>
    </comment>
    <comment ref="AS75" authorId="0" shapeId="0">
      <text>
        <r>
          <rPr>
            <b/>
            <sz val="9"/>
            <color indexed="81"/>
            <rFont val="Tahoma"/>
            <family val="2"/>
          </rPr>
          <t>Author:</t>
        </r>
        <r>
          <rPr>
            <sz val="9"/>
            <color indexed="81"/>
            <rFont val="Tahoma"/>
            <family val="2"/>
          </rPr>
          <t xml:space="preserve">
From Campion2024</t>
        </r>
      </text>
    </comment>
    <comment ref="AT75" authorId="0" shapeId="0">
      <text>
        <r>
          <rPr>
            <b/>
            <sz val="9"/>
            <color indexed="81"/>
            <rFont val="Tahoma"/>
            <family val="2"/>
          </rPr>
          <t>Author:</t>
        </r>
        <r>
          <rPr>
            <sz val="9"/>
            <color indexed="81"/>
            <rFont val="Tahoma"/>
            <family val="2"/>
          </rPr>
          <t xml:space="preserve">
From Campion2024</t>
        </r>
      </text>
    </comment>
    <comment ref="AU75" authorId="0" shapeId="0">
      <text>
        <r>
          <rPr>
            <b/>
            <sz val="9"/>
            <color indexed="81"/>
            <rFont val="Tahoma"/>
            <family val="2"/>
          </rPr>
          <t>Author:</t>
        </r>
        <r>
          <rPr>
            <sz val="9"/>
            <color indexed="81"/>
            <rFont val="Tahoma"/>
            <family val="2"/>
          </rPr>
          <t xml:space="preserve">
From Campion2024</t>
        </r>
      </text>
    </comment>
    <comment ref="AV75" authorId="0" shapeId="0">
      <text>
        <r>
          <rPr>
            <b/>
            <sz val="9"/>
            <color indexed="81"/>
            <rFont val="Tahoma"/>
            <family val="2"/>
          </rPr>
          <t>Author:</t>
        </r>
        <r>
          <rPr>
            <sz val="9"/>
            <color indexed="81"/>
            <rFont val="Tahoma"/>
            <family val="2"/>
          </rPr>
          <t xml:space="preserve">
From Campion2024</t>
        </r>
      </text>
    </comment>
    <comment ref="AW75" authorId="0" shapeId="0">
      <text>
        <r>
          <rPr>
            <b/>
            <sz val="9"/>
            <color indexed="81"/>
            <rFont val="Tahoma"/>
            <family val="2"/>
          </rPr>
          <t>Author:</t>
        </r>
        <r>
          <rPr>
            <sz val="9"/>
            <color indexed="81"/>
            <rFont val="Tahoma"/>
            <family val="2"/>
          </rPr>
          <t xml:space="preserve">
From Campion2024</t>
        </r>
      </text>
    </comment>
    <comment ref="AX75" authorId="0" shapeId="0">
      <text>
        <r>
          <rPr>
            <b/>
            <sz val="9"/>
            <color indexed="81"/>
            <rFont val="Tahoma"/>
            <family val="2"/>
          </rPr>
          <t>Author:</t>
        </r>
        <r>
          <rPr>
            <sz val="9"/>
            <color indexed="81"/>
            <rFont val="Tahoma"/>
            <family val="2"/>
          </rPr>
          <t xml:space="preserve">
From Campion2024</t>
        </r>
      </text>
    </comment>
    <comment ref="AY75" authorId="0" shapeId="0">
      <text>
        <r>
          <rPr>
            <b/>
            <sz val="9"/>
            <color indexed="81"/>
            <rFont val="Tahoma"/>
            <family val="2"/>
          </rPr>
          <t>Author:</t>
        </r>
        <r>
          <rPr>
            <sz val="9"/>
            <color indexed="81"/>
            <rFont val="Tahoma"/>
            <family val="2"/>
          </rPr>
          <t xml:space="preserve">
From Campion2024</t>
        </r>
      </text>
    </comment>
    <comment ref="AZ75" authorId="0" shapeId="0">
      <text>
        <r>
          <rPr>
            <b/>
            <sz val="9"/>
            <color indexed="81"/>
            <rFont val="Tahoma"/>
            <family val="2"/>
          </rPr>
          <t>Author:</t>
        </r>
        <r>
          <rPr>
            <sz val="9"/>
            <color indexed="81"/>
            <rFont val="Tahoma"/>
            <family val="2"/>
          </rPr>
          <t xml:space="preserve">
From Campion2024</t>
        </r>
      </text>
    </comment>
    <comment ref="BA75" authorId="0" shapeId="0">
      <text>
        <r>
          <rPr>
            <b/>
            <sz val="9"/>
            <color indexed="81"/>
            <rFont val="Tahoma"/>
            <family val="2"/>
          </rPr>
          <t>Author:</t>
        </r>
        <r>
          <rPr>
            <sz val="9"/>
            <color indexed="81"/>
            <rFont val="Tahoma"/>
            <family val="2"/>
          </rPr>
          <t xml:space="preserve">
From Campion2024</t>
        </r>
      </text>
    </comment>
    <comment ref="BB75" authorId="0" shapeId="0">
      <text>
        <r>
          <rPr>
            <b/>
            <sz val="9"/>
            <color indexed="81"/>
            <rFont val="Tahoma"/>
            <family val="2"/>
          </rPr>
          <t>Author:</t>
        </r>
        <r>
          <rPr>
            <sz val="9"/>
            <color indexed="81"/>
            <rFont val="Tahoma"/>
            <family val="2"/>
          </rPr>
          <t xml:space="preserve">
From Campion2024</t>
        </r>
      </text>
    </comment>
    <comment ref="BC75" authorId="0" shapeId="0">
      <text>
        <r>
          <rPr>
            <b/>
            <sz val="9"/>
            <color indexed="81"/>
            <rFont val="Tahoma"/>
            <family val="2"/>
          </rPr>
          <t>Author:</t>
        </r>
        <r>
          <rPr>
            <sz val="9"/>
            <color indexed="81"/>
            <rFont val="Tahoma"/>
            <family val="2"/>
          </rPr>
          <t xml:space="preserve">
From Campion2024</t>
        </r>
      </text>
    </comment>
    <comment ref="BD75" authorId="0" shapeId="0">
      <text>
        <r>
          <rPr>
            <b/>
            <sz val="9"/>
            <color indexed="81"/>
            <rFont val="Tahoma"/>
            <family val="2"/>
          </rPr>
          <t>Author:</t>
        </r>
        <r>
          <rPr>
            <sz val="9"/>
            <color indexed="81"/>
            <rFont val="Tahoma"/>
            <family val="2"/>
          </rPr>
          <t xml:space="preserve">
From Campion2024</t>
        </r>
      </text>
    </comment>
    <comment ref="BE75" authorId="0" shapeId="0">
      <text>
        <r>
          <rPr>
            <b/>
            <sz val="9"/>
            <color indexed="81"/>
            <rFont val="Tahoma"/>
            <family val="2"/>
          </rPr>
          <t>Author:</t>
        </r>
        <r>
          <rPr>
            <sz val="9"/>
            <color indexed="81"/>
            <rFont val="Tahoma"/>
            <family val="2"/>
          </rPr>
          <t xml:space="preserve">
From Campion2024</t>
        </r>
      </text>
    </comment>
    <comment ref="BR75" authorId="0" shapeId="0">
      <text>
        <r>
          <rPr>
            <b/>
            <sz val="9"/>
            <color indexed="81"/>
            <rFont val="Tahoma"/>
            <family val="2"/>
          </rPr>
          <t>Author:</t>
        </r>
        <r>
          <rPr>
            <sz val="9"/>
            <color indexed="81"/>
            <rFont val="Tahoma"/>
            <family val="2"/>
          </rPr>
          <t xml:space="preserve">
From Campion2024</t>
        </r>
      </text>
    </comment>
    <comment ref="BS75" authorId="0" shapeId="0">
      <text>
        <r>
          <rPr>
            <b/>
            <sz val="9"/>
            <color indexed="81"/>
            <rFont val="Tahoma"/>
            <family val="2"/>
          </rPr>
          <t>Author:</t>
        </r>
        <r>
          <rPr>
            <sz val="9"/>
            <color indexed="81"/>
            <rFont val="Tahoma"/>
            <family val="2"/>
          </rPr>
          <t xml:space="preserve">
From Campion2024</t>
        </r>
      </text>
    </comment>
    <comment ref="BT75" authorId="0" shapeId="0">
      <text>
        <r>
          <rPr>
            <b/>
            <sz val="9"/>
            <color indexed="81"/>
            <rFont val="Tahoma"/>
            <family val="2"/>
          </rPr>
          <t>Author:</t>
        </r>
        <r>
          <rPr>
            <sz val="9"/>
            <color indexed="81"/>
            <rFont val="Tahoma"/>
            <family val="2"/>
          </rPr>
          <t xml:space="preserve">
From Campion2024</t>
        </r>
      </text>
    </comment>
    <comment ref="BU75" authorId="0" shapeId="0">
      <text>
        <r>
          <rPr>
            <b/>
            <sz val="9"/>
            <color indexed="81"/>
            <rFont val="Tahoma"/>
            <family val="2"/>
          </rPr>
          <t>Author:</t>
        </r>
        <r>
          <rPr>
            <sz val="9"/>
            <color indexed="81"/>
            <rFont val="Tahoma"/>
            <family val="2"/>
          </rPr>
          <t xml:space="preserve">
From Campion2024</t>
        </r>
      </text>
    </comment>
    <comment ref="BV75" authorId="0" shapeId="0">
      <text>
        <r>
          <rPr>
            <b/>
            <sz val="9"/>
            <color indexed="81"/>
            <rFont val="Tahoma"/>
            <family val="2"/>
          </rPr>
          <t>Author:</t>
        </r>
        <r>
          <rPr>
            <sz val="9"/>
            <color indexed="81"/>
            <rFont val="Tahoma"/>
            <family val="2"/>
          </rPr>
          <t xml:space="preserve">
From Campion2024</t>
        </r>
      </text>
    </comment>
    <comment ref="BW75" authorId="0" shapeId="0">
      <text>
        <r>
          <rPr>
            <b/>
            <sz val="9"/>
            <color indexed="81"/>
            <rFont val="Tahoma"/>
            <family val="2"/>
          </rPr>
          <t>Author:</t>
        </r>
        <r>
          <rPr>
            <sz val="9"/>
            <color indexed="81"/>
            <rFont val="Tahoma"/>
            <family val="2"/>
          </rPr>
          <t xml:space="preserve">
From Campion2024</t>
        </r>
      </text>
    </comment>
    <comment ref="BX75" authorId="0" shapeId="0">
      <text>
        <r>
          <rPr>
            <b/>
            <sz val="9"/>
            <color indexed="81"/>
            <rFont val="Tahoma"/>
            <family val="2"/>
          </rPr>
          <t>Author:</t>
        </r>
        <r>
          <rPr>
            <sz val="9"/>
            <color indexed="81"/>
            <rFont val="Tahoma"/>
            <family val="2"/>
          </rPr>
          <t xml:space="preserve">
From Campion2024</t>
        </r>
      </text>
    </comment>
    <comment ref="BY75" authorId="0" shapeId="0">
      <text>
        <r>
          <rPr>
            <b/>
            <sz val="9"/>
            <color indexed="81"/>
            <rFont val="Tahoma"/>
            <family val="2"/>
          </rPr>
          <t>Author:</t>
        </r>
        <r>
          <rPr>
            <sz val="9"/>
            <color indexed="81"/>
            <rFont val="Tahoma"/>
            <family val="2"/>
          </rPr>
          <t xml:space="preserve">
From Campion2024</t>
        </r>
      </text>
    </comment>
    <comment ref="BZ75" authorId="0" shapeId="0">
      <text>
        <r>
          <rPr>
            <b/>
            <sz val="9"/>
            <color indexed="81"/>
            <rFont val="Tahoma"/>
            <family val="2"/>
          </rPr>
          <t>Author:</t>
        </r>
        <r>
          <rPr>
            <sz val="9"/>
            <color indexed="81"/>
            <rFont val="Tahoma"/>
            <family val="2"/>
          </rPr>
          <t xml:space="preserve">
From Campion2024</t>
        </r>
      </text>
    </comment>
    <comment ref="CA75" authorId="0" shapeId="0">
      <text>
        <r>
          <rPr>
            <b/>
            <sz val="9"/>
            <color indexed="81"/>
            <rFont val="Tahoma"/>
            <family val="2"/>
          </rPr>
          <t>Author:</t>
        </r>
        <r>
          <rPr>
            <sz val="9"/>
            <color indexed="81"/>
            <rFont val="Tahoma"/>
            <family val="2"/>
          </rPr>
          <t xml:space="preserve">
From Campion2024</t>
        </r>
      </text>
    </comment>
    <comment ref="CB75" authorId="0" shapeId="0">
      <text>
        <r>
          <rPr>
            <b/>
            <sz val="9"/>
            <color indexed="81"/>
            <rFont val="Tahoma"/>
            <family val="2"/>
          </rPr>
          <t>Author:</t>
        </r>
        <r>
          <rPr>
            <sz val="9"/>
            <color indexed="81"/>
            <rFont val="Tahoma"/>
            <family val="2"/>
          </rPr>
          <t xml:space="preserve">
From Campion2024</t>
        </r>
      </text>
    </comment>
    <comment ref="CC75" authorId="0" shapeId="0">
      <text>
        <r>
          <rPr>
            <b/>
            <sz val="9"/>
            <color indexed="81"/>
            <rFont val="Tahoma"/>
            <family val="2"/>
          </rPr>
          <t>Author:</t>
        </r>
        <r>
          <rPr>
            <sz val="9"/>
            <color indexed="81"/>
            <rFont val="Tahoma"/>
            <family val="2"/>
          </rPr>
          <t xml:space="preserve">
From Campion2024</t>
        </r>
      </text>
    </comment>
    <comment ref="AD76" authorId="0" shapeId="0">
      <text>
        <r>
          <rPr>
            <b/>
            <sz val="9"/>
            <color indexed="81"/>
            <rFont val="Tahoma"/>
            <family val="2"/>
          </rPr>
          <t>Author:</t>
        </r>
        <r>
          <rPr>
            <sz val="9"/>
            <color indexed="81"/>
            <rFont val="Tahoma"/>
            <family val="2"/>
          </rPr>
          <t xml:space="preserve">
From Campion2024</t>
        </r>
      </text>
    </comment>
    <comment ref="AE76" authorId="0" shapeId="0">
      <text>
        <r>
          <rPr>
            <b/>
            <sz val="9"/>
            <color indexed="81"/>
            <rFont val="Tahoma"/>
            <family val="2"/>
          </rPr>
          <t>Author:</t>
        </r>
        <r>
          <rPr>
            <sz val="9"/>
            <color indexed="81"/>
            <rFont val="Tahoma"/>
            <family val="2"/>
          </rPr>
          <t xml:space="preserve">
From Campion2024</t>
        </r>
      </text>
    </comment>
    <comment ref="AF76" authorId="0" shapeId="0">
      <text>
        <r>
          <rPr>
            <b/>
            <sz val="9"/>
            <color indexed="81"/>
            <rFont val="Tahoma"/>
            <family val="2"/>
          </rPr>
          <t>Author:</t>
        </r>
        <r>
          <rPr>
            <sz val="9"/>
            <color indexed="81"/>
            <rFont val="Tahoma"/>
            <family val="2"/>
          </rPr>
          <t xml:space="preserve">
From Campion2024</t>
        </r>
      </text>
    </comment>
    <comment ref="AG76" authorId="0" shapeId="0">
      <text>
        <r>
          <rPr>
            <b/>
            <sz val="9"/>
            <color indexed="81"/>
            <rFont val="Tahoma"/>
            <family val="2"/>
          </rPr>
          <t>Author:</t>
        </r>
        <r>
          <rPr>
            <sz val="9"/>
            <color indexed="81"/>
            <rFont val="Tahoma"/>
            <family val="2"/>
          </rPr>
          <t xml:space="preserve">
From Campion2024</t>
        </r>
      </text>
    </comment>
    <comment ref="AH76" authorId="0" shapeId="0">
      <text>
        <r>
          <rPr>
            <b/>
            <sz val="9"/>
            <color indexed="81"/>
            <rFont val="Tahoma"/>
            <family val="2"/>
          </rPr>
          <t>Author:</t>
        </r>
        <r>
          <rPr>
            <sz val="9"/>
            <color indexed="81"/>
            <rFont val="Tahoma"/>
            <family val="2"/>
          </rPr>
          <t xml:space="preserve">
From Campion2024</t>
        </r>
      </text>
    </comment>
    <comment ref="AI76" authorId="0" shapeId="0">
      <text>
        <r>
          <rPr>
            <b/>
            <sz val="9"/>
            <color indexed="81"/>
            <rFont val="Tahoma"/>
            <family val="2"/>
          </rPr>
          <t>Author:</t>
        </r>
        <r>
          <rPr>
            <sz val="9"/>
            <color indexed="81"/>
            <rFont val="Tahoma"/>
            <family val="2"/>
          </rPr>
          <t xml:space="preserve">
From Campion2024</t>
        </r>
      </text>
    </comment>
    <comment ref="AJ76" authorId="0" shapeId="0">
      <text>
        <r>
          <rPr>
            <b/>
            <sz val="9"/>
            <color indexed="81"/>
            <rFont val="Tahoma"/>
            <family val="2"/>
          </rPr>
          <t>Author:</t>
        </r>
        <r>
          <rPr>
            <sz val="9"/>
            <color indexed="81"/>
            <rFont val="Tahoma"/>
            <family val="2"/>
          </rPr>
          <t xml:space="preserve">
From Campion2024</t>
        </r>
      </text>
    </comment>
    <comment ref="AK76" authorId="0" shapeId="0">
      <text>
        <r>
          <rPr>
            <b/>
            <sz val="9"/>
            <color indexed="81"/>
            <rFont val="Tahoma"/>
            <family val="2"/>
          </rPr>
          <t>Author:</t>
        </r>
        <r>
          <rPr>
            <sz val="9"/>
            <color indexed="81"/>
            <rFont val="Tahoma"/>
            <family val="2"/>
          </rPr>
          <t xml:space="preserve">
From Campion2024</t>
        </r>
      </text>
    </comment>
    <comment ref="AL76" authorId="0" shapeId="0">
      <text>
        <r>
          <rPr>
            <b/>
            <sz val="9"/>
            <color indexed="81"/>
            <rFont val="Tahoma"/>
            <family val="2"/>
          </rPr>
          <t>Author:</t>
        </r>
        <r>
          <rPr>
            <sz val="9"/>
            <color indexed="81"/>
            <rFont val="Tahoma"/>
            <family val="2"/>
          </rPr>
          <t xml:space="preserve">
From Campion2024</t>
        </r>
      </text>
    </comment>
    <comment ref="AM76" authorId="0" shapeId="0">
      <text>
        <r>
          <rPr>
            <b/>
            <sz val="9"/>
            <color indexed="81"/>
            <rFont val="Tahoma"/>
            <family val="2"/>
          </rPr>
          <t>Author:</t>
        </r>
        <r>
          <rPr>
            <sz val="9"/>
            <color indexed="81"/>
            <rFont val="Tahoma"/>
            <family val="2"/>
          </rPr>
          <t xml:space="preserve">
From Campion2024</t>
        </r>
      </text>
    </comment>
    <comment ref="AN76" authorId="0" shapeId="0">
      <text>
        <r>
          <rPr>
            <b/>
            <sz val="9"/>
            <color indexed="81"/>
            <rFont val="Tahoma"/>
            <family val="2"/>
          </rPr>
          <t>Author:</t>
        </r>
        <r>
          <rPr>
            <sz val="9"/>
            <color indexed="81"/>
            <rFont val="Tahoma"/>
            <family val="2"/>
          </rPr>
          <t xml:space="preserve">
From Campion2024</t>
        </r>
      </text>
    </comment>
    <comment ref="AO76" authorId="0" shapeId="0">
      <text>
        <r>
          <rPr>
            <b/>
            <sz val="9"/>
            <color indexed="81"/>
            <rFont val="Tahoma"/>
            <family val="2"/>
          </rPr>
          <t>Author:</t>
        </r>
        <r>
          <rPr>
            <sz val="9"/>
            <color indexed="81"/>
            <rFont val="Tahoma"/>
            <family val="2"/>
          </rPr>
          <t xml:space="preserve">
From Campion2024</t>
        </r>
      </text>
    </comment>
    <comment ref="AP76" authorId="0" shapeId="0">
      <text>
        <r>
          <rPr>
            <b/>
            <sz val="9"/>
            <color indexed="81"/>
            <rFont val="Tahoma"/>
            <family val="2"/>
          </rPr>
          <t>Author:</t>
        </r>
        <r>
          <rPr>
            <sz val="9"/>
            <color indexed="81"/>
            <rFont val="Tahoma"/>
            <family val="2"/>
          </rPr>
          <t xml:space="preserve">
From Campion2024</t>
        </r>
      </text>
    </comment>
    <comment ref="AQ76" authorId="0" shapeId="0">
      <text>
        <r>
          <rPr>
            <b/>
            <sz val="9"/>
            <color indexed="81"/>
            <rFont val="Tahoma"/>
            <family val="2"/>
          </rPr>
          <t>Author:</t>
        </r>
        <r>
          <rPr>
            <sz val="9"/>
            <color indexed="81"/>
            <rFont val="Tahoma"/>
            <family val="2"/>
          </rPr>
          <t xml:space="preserve">
From Campion2024</t>
        </r>
      </text>
    </comment>
    <comment ref="AR76" authorId="0" shapeId="0">
      <text>
        <r>
          <rPr>
            <b/>
            <sz val="9"/>
            <color indexed="81"/>
            <rFont val="Tahoma"/>
            <family val="2"/>
          </rPr>
          <t>Author:</t>
        </r>
        <r>
          <rPr>
            <sz val="9"/>
            <color indexed="81"/>
            <rFont val="Tahoma"/>
            <family val="2"/>
          </rPr>
          <t xml:space="preserve">
From Campion2024</t>
        </r>
      </text>
    </comment>
    <comment ref="AS76" authorId="0" shapeId="0">
      <text>
        <r>
          <rPr>
            <b/>
            <sz val="9"/>
            <color indexed="81"/>
            <rFont val="Tahoma"/>
            <family val="2"/>
          </rPr>
          <t>Author:</t>
        </r>
        <r>
          <rPr>
            <sz val="9"/>
            <color indexed="81"/>
            <rFont val="Tahoma"/>
            <family val="2"/>
          </rPr>
          <t xml:space="preserve">
From Campion2024</t>
        </r>
      </text>
    </comment>
    <comment ref="AT76" authorId="0" shapeId="0">
      <text>
        <r>
          <rPr>
            <b/>
            <sz val="9"/>
            <color indexed="81"/>
            <rFont val="Tahoma"/>
            <family val="2"/>
          </rPr>
          <t>Author:</t>
        </r>
        <r>
          <rPr>
            <sz val="9"/>
            <color indexed="81"/>
            <rFont val="Tahoma"/>
            <family val="2"/>
          </rPr>
          <t xml:space="preserve">
From Campion2024</t>
        </r>
      </text>
    </comment>
    <comment ref="AU76" authorId="0" shapeId="0">
      <text>
        <r>
          <rPr>
            <b/>
            <sz val="9"/>
            <color indexed="81"/>
            <rFont val="Tahoma"/>
            <family val="2"/>
          </rPr>
          <t>Author:</t>
        </r>
        <r>
          <rPr>
            <sz val="9"/>
            <color indexed="81"/>
            <rFont val="Tahoma"/>
            <family val="2"/>
          </rPr>
          <t xml:space="preserve">
From Campion2024</t>
        </r>
      </text>
    </comment>
    <comment ref="AV76" authorId="0" shapeId="0">
      <text>
        <r>
          <rPr>
            <b/>
            <sz val="9"/>
            <color indexed="81"/>
            <rFont val="Tahoma"/>
            <family val="2"/>
          </rPr>
          <t>Author:</t>
        </r>
        <r>
          <rPr>
            <sz val="9"/>
            <color indexed="81"/>
            <rFont val="Tahoma"/>
            <family val="2"/>
          </rPr>
          <t xml:space="preserve">
From Campion2024</t>
        </r>
      </text>
    </comment>
    <comment ref="AW76" authorId="0" shapeId="0">
      <text>
        <r>
          <rPr>
            <b/>
            <sz val="9"/>
            <color indexed="81"/>
            <rFont val="Tahoma"/>
            <family val="2"/>
          </rPr>
          <t>Author:</t>
        </r>
        <r>
          <rPr>
            <sz val="9"/>
            <color indexed="81"/>
            <rFont val="Tahoma"/>
            <family val="2"/>
          </rPr>
          <t xml:space="preserve">
From Campion2024</t>
        </r>
      </text>
    </comment>
    <comment ref="AX76" authorId="0" shapeId="0">
      <text>
        <r>
          <rPr>
            <b/>
            <sz val="9"/>
            <color indexed="81"/>
            <rFont val="Tahoma"/>
            <family val="2"/>
          </rPr>
          <t>Author:</t>
        </r>
        <r>
          <rPr>
            <sz val="9"/>
            <color indexed="81"/>
            <rFont val="Tahoma"/>
            <family val="2"/>
          </rPr>
          <t xml:space="preserve">
From Campion2024</t>
        </r>
      </text>
    </comment>
    <comment ref="AY76" authorId="0" shapeId="0">
      <text>
        <r>
          <rPr>
            <b/>
            <sz val="9"/>
            <color indexed="81"/>
            <rFont val="Tahoma"/>
            <family val="2"/>
          </rPr>
          <t>Author:</t>
        </r>
        <r>
          <rPr>
            <sz val="9"/>
            <color indexed="81"/>
            <rFont val="Tahoma"/>
            <family val="2"/>
          </rPr>
          <t xml:space="preserve">
From Campion2024</t>
        </r>
      </text>
    </comment>
    <comment ref="AZ76" authorId="0" shapeId="0">
      <text>
        <r>
          <rPr>
            <b/>
            <sz val="9"/>
            <color indexed="81"/>
            <rFont val="Tahoma"/>
            <family val="2"/>
          </rPr>
          <t>Author:</t>
        </r>
        <r>
          <rPr>
            <sz val="9"/>
            <color indexed="81"/>
            <rFont val="Tahoma"/>
            <family val="2"/>
          </rPr>
          <t xml:space="preserve">
From Campion2024</t>
        </r>
      </text>
    </comment>
    <comment ref="BA76" authorId="0" shapeId="0">
      <text>
        <r>
          <rPr>
            <b/>
            <sz val="9"/>
            <color indexed="81"/>
            <rFont val="Tahoma"/>
            <family val="2"/>
          </rPr>
          <t>Author:</t>
        </r>
        <r>
          <rPr>
            <sz val="9"/>
            <color indexed="81"/>
            <rFont val="Tahoma"/>
            <family val="2"/>
          </rPr>
          <t xml:space="preserve">
From Campion2024</t>
        </r>
      </text>
    </comment>
    <comment ref="BB76" authorId="0" shapeId="0">
      <text>
        <r>
          <rPr>
            <b/>
            <sz val="9"/>
            <color indexed="81"/>
            <rFont val="Tahoma"/>
            <family val="2"/>
          </rPr>
          <t>Author:</t>
        </r>
        <r>
          <rPr>
            <sz val="9"/>
            <color indexed="81"/>
            <rFont val="Tahoma"/>
            <family val="2"/>
          </rPr>
          <t xml:space="preserve">
From Campion2024</t>
        </r>
      </text>
    </comment>
    <comment ref="BC76" authorId="0" shapeId="0">
      <text>
        <r>
          <rPr>
            <b/>
            <sz val="9"/>
            <color indexed="81"/>
            <rFont val="Tahoma"/>
            <family val="2"/>
          </rPr>
          <t>Author:</t>
        </r>
        <r>
          <rPr>
            <sz val="9"/>
            <color indexed="81"/>
            <rFont val="Tahoma"/>
            <family val="2"/>
          </rPr>
          <t xml:space="preserve">
From Campion2024</t>
        </r>
      </text>
    </comment>
    <comment ref="BD76" authorId="0" shapeId="0">
      <text>
        <r>
          <rPr>
            <b/>
            <sz val="9"/>
            <color indexed="81"/>
            <rFont val="Tahoma"/>
            <family val="2"/>
          </rPr>
          <t>Author:</t>
        </r>
        <r>
          <rPr>
            <sz val="9"/>
            <color indexed="81"/>
            <rFont val="Tahoma"/>
            <family val="2"/>
          </rPr>
          <t xml:space="preserve">
From Campion2024</t>
        </r>
      </text>
    </comment>
    <comment ref="BE76" authorId="0" shapeId="0">
      <text>
        <r>
          <rPr>
            <b/>
            <sz val="9"/>
            <color indexed="81"/>
            <rFont val="Tahoma"/>
            <family val="2"/>
          </rPr>
          <t>Author:</t>
        </r>
        <r>
          <rPr>
            <sz val="9"/>
            <color indexed="81"/>
            <rFont val="Tahoma"/>
            <family val="2"/>
          </rPr>
          <t xml:space="preserve">
From Campion2024</t>
        </r>
      </text>
    </comment>
    <comment ref="BR76" authorId="0" shapeId="0">
      <text>
        <r>
          <rPr>
            <b/>
            <sz val="9"/>
            <color indexed="81"/>
            <rFont val="Tahoma"/>
            <family val="2"/>
          </rPr>
          <t>Author:</t>
        </r>
        <r>
          <rPr>
            <sz val="9"/>
            <color indexed="81"/>
            <rFont val="Tahoma"/>
            <family val="2"/>
          </rPr>
          <t xml:space="preserve">
From Campion2024</t>
        </r>
      </text>
    </comment>
    <comment ref="BS76" authorId="0" shapeId="0">
      <text>
        <r>
          <rPr>
            <b/>
            <sz val="9"/>
            <color indexed="81"/>
            <rFont val="Tahoma"/>
            <family val="2"/>
          </rPr>
          <t>Author:</t>
        </r>
        <r>
          <rPr>
            <sz val="9"/>
            <color indexed="81"/>
            <rFont val="Tahoma"/>
            <family val="2"/>
          </rPr>
          <t xml:space="preserve">
From Campion2024</t>
        </r>
      </text>
    </comment>
    <comment ref="BT76" authorId="0" shapeId="0">
      <text>
        <r>
          <rPr>
            <b/>
            <sz val="9"/>
            <color indexed="81"/>
            <rFont val="Tahoma"/>
            <family val="2"/>
          </rPr>
          <t>Author:</t>
        </r>
        <r>
          <rPr>
            <sz val="9"/>
            <color indexed="81"/>
            <rFont val="Tahoma"/>
            <family val="2"/>
          </rPr>
          <t xml:space="preserve">
From Campion2024</t>
        </r>
      </text>
    </comment>
    <comment ref="BU76" authorId="0" shapeId="0">
      <text>
        <r>
          <rPr>
            <b/>
            <sz val="9"/>
            <color indexed="81"/>
            <rFont val="Tahoma"/>
            <family val="2"/>
          </rPr>
          <t>Author:</t>
        </r>
        <r>
          <rPr>
            <sz val="9"/>
            <color indexed="81"/>
            <rFont val="Tahoma"/>
            <family val="2"/>
          </rPr>
          <t xml:space="preserve">
From Campion2024</t>
        </r>
      </text>
    </comment>
    <comment ref="BV76" authorId="0" shapeId="0">
      <text>
        <r>
          <rPr>
            <b/>
            <sz val="9"/>
            <color indexed="81"/>
            <rFont val="Tahoma"/>
            <family val="2"/>
          </rPr>
          <t>Author:</t>
        </r>
        <r>
          <rPr>
            <sz val="9"/>
            <color indexed="81"/>
            <rFont val="Tahoma"/>
            <family val="2"/>
          </rPr>
          <t xml:space="preserve">
From Campion2024</t>
        </r>
      </text>
    </comment>
    <comment ref="BW76" authorId="0" shapeId="0">
      <text>
        <r>
          <rPr>
            <b/>
            <sz val="9"/>
            <color indexed="81"/>
            <rFont val="Tahoma"/>
            <family val="2"/>
          </rPr>
          <t>Author:</t>
        </r>
        <r>
          <rPr>
            <sz val="9"/>
            <color indexed="81"/>
            <rFont val="Tahoma"/>
            <family val="2"/>
          </rPr>
          <t xml:space="preserve">
From Campion2024</t>
        </r>
      </text>
    </comment>
    <comment ref="BX76" authorId="0" shapeId="0">
      <text>
        <r>
          <rPr>
            <b/>
            <sz val="9"/>
            <color indexed="81"/>
            <rFont val="Tahoma"/>
            <family val="2"/>
          </rPr>
          <t>Author:</t>
        </r>
        <r>
          <rPr>
            <sz val="9"/>
            <color indexed="81"/>
            <rFont val="Tahoma"/>
            <family val="2"/>
          </rPr>
          <t xml:space="preserve">
From Campion2024</t>
        </r>
      </text>
    </comment>
    <comment ref="BY76" authorId="0" shapeId="0">
      <text>
        <r>
          <rPr>
            <b/>
            <sz val="9"/>
            <color indexed="81"/>
            <rFont val="Tahoma"/>
            <family val="2"/>
          </rPr>
          <t>Author:</t>
        </r>
        <r>
          <rPr>
            <sz val="9"/>
            <color indexed="81"/>
            <rFont val="Tahoma"/>
            <family val="2"/>
          </rPr>
          <t xml:space="preserve">
From Campion2024</t>
        </r>
      </text>
    </comment>
    <comment ref="BZ76" authorId="0" shapeId="0">
      <text>
        <r>
          <rPr>
            <b/>
            <sz val="9"/>
            <color indexed="81"/>
            <rFont val="Tahoma"/>
            <family val="2"/>
          </rPr>
          <t>Author:</t>
        </r>
        <r>
          <rPr>
            <sz val="9"/>
            <color indexed="81"/>
            <rFont val="Tahoma"/>
            <family val="2"/>
          </rPr>
          <t xml:space="preserve">
From Campion2024</t>
        </r>
      </text>
    </comment>
    <comment ref="CA76" authorId="0" shapeId="0">
      <text>
        <r>
          <rPr>
            <b/>
            <sz val="9"/>
            <color indexed="81"/>
            <rFont val="Tahoma"/>
            <family val="2"/>
          </rPr>
          <t>Author:</t>
        </r>
        <r>
          <rPr>
            <sz val="9"/>
            <color indexed="81"/>
            <rFont val="Tahoma"/>
            <family val="2"/>
          </rPr>
          <t xml:space="preserve">
From Campion2024</t>
        </r>
      </text>
    </comment>
    <comment ref="CB76" authorId="0" shapeId="0">
      <text>
        <r>
          <rPr>
            <b/>
            <sz val="9"/>
            <color indexed="81"/>
            <rFont val="Tahoma"/>
            <family val="2"/>
          </rPr>
          <t>Author:</t>
        </r>
        <r>
          <rPr>
            <sz val="9"/>
            <color indexed="81"/>
            <rFont val="Tahoma"/>
            <family val="2"/>
          </rPr>
          <t xml:space="preserve">
From Campion2024</t>
        </r>
      </text>
    </comment>
    <comment ref="CC76" authorId="0" shapeId="0">
      <text>
        <r>
          <rPr>
            <b/>
            <sz val="9"/>
            <color indexed="81"/>
            <rFont val="Tahoma"/>
            <family val="2"/>
          </rPr>
          <t>Author:</t>
        </r>
        <r>
          <rPr>
            <sz val="9"/>
            <color indexed="81"/>
            <rFont val="Tahoma"/>
            <family val="2"/>
          </rPr>
          <t xml:space="preserve">
From Campion2024</t>
        </r>
      </text>
    </comment>
    <comment ref="AD77" authorId="0" shapeId="0">
      <text>
        <r>
          <rPr>
            <b/>
            <sz val="9"/>
            <color indexed="81"/>
            <rFont val="Tahoma"/>
            <family val="2"/>
          </rPr>
          <t>Author:</t>
        </r>
        <r>
          <rPr>
            <sz val="9"/>
            <color indexed="81"/>
            <rFont val="Tahoma"/>
            <family val="2"/>
          </rPr>
          <t xml:space="preserve">
From Campion2024</t>
        </r>
      </text>
    </comment>
    <comment ref="AE77" authorId="0" shapeId="0">
      <text>
        <r>
          <rPr>
            <b/>
            <sz val="9"/>
            <color indexed="81"/>
            <rFont val="Tahoma"/>
            <family val="2"/>
          </rPr>
          <t>Author:</t>
        </r>
        <r>
          <rPr>
            <sz val="9"/>
            <color indexed="81"/>
            <rFont val="Tahoma"/>
            <family val="2"/>
          </rPr>
          <t xml:space="preserve">
From Campion2024</t>
        </r>
      </text>
    </comment>
    <comment ref="AF77" authorId="0" shapeId="0">
      <text>
        <r>
          <rPr>
            <b/>
            <sz val="9"/>
            <color indexed="81"/>
            <rFont val="Tahoma"/>
            <family val="2"/>
          </rPr>
          <t>Author:</t>
        </r>
        <r>
          <rPr>
            <sz val="9"/>
            <color indexed="81"/>
            <rFont val="Tahoma"/>
            <family val="2"/>
          </rPr>
          <t xml:space="preserve">
From Campion2024</t>
        </r>
      </text>
    </comment>
    <comment ref="AG77" authorId="0" shapeId="0">
      <text>
        <r>
          <rPr>
            <b/>
            <sz val="9"/>
            <color indexed="81"/>
            <rFont val="Tahoma"/>
            <family val="2"/>
          </rPr>
          <t>Author:</t>
        </r>
        <r>
          <rPr>
            <sz val="9"/>
            <color indexed="81"/>
            <rFont val="Tahoma"/>
            <family val="2"/>
          </rPr>
          <t xml:space="preserve">
From Campion2024</t>
        </r>
      </text>
    </comment>
    <comment ref="AH77" authorId="0" shapeId="0">
      <text>
        <r>
          <rPr>
            <b/>
            <sz val="9"/>
            <color indexed="81"/>
            <rFont val="Tahoma"/>
            <family val="2"/>
          </rPr>
          <t>Author:</t>
        </r>
        <r>
          <rPr>
            <sz val="9"/>
            <color indexed="81"/>
            <rFont val="Tahoma"/>
            <family val="2"/>
          </rPr>
          <t xml:space="preserve">
From Campion2024</t>
        </r>
      </text>
    </comment>
    <comment ref="AI77" authorId="0" shapeId="0">
      <text>
        <r>
          <rPr>
            <b/>
            <sz val="9"/>
            <color indexed="81"/>
            <rFont val="Tahoma"/>
            <family val="2"/>
          </rPr>
          <t>Author:</t>
        </r>
        <r>
          <rPr>
            <sz val="9"/>
            <color indexed="81"/>
            <rFont val="Tahoma"/>
            <family val="2"/>
          </rPr>
          <t xml:space="preserve">
From Campion2024</t>
        </r>
      </text>
    </comment>
    <comment ref="AJ77" authorId="0" shapeId="0">
      <text>
        <r>
          <rPr>
            <b/>
            <sz val="9"/>
            <color indexed="81"/>
            <rFont val="Tahoma"/>
            <family val="2"/>
          </rPr>
          <t>Author:</t>
        </r>
        <r>
          <rPr>
            <sz val="9"/>
            <color indexed="81"/>
            <rFont val="Tahoma"/>
            <family val="2"/>
          </rPr>
          <t xml:space="preserve">
From Campion2024</t>
        </r>
      </text>
    </comment>
    <comment ref="AK77" authorId="0" shapeId="0">
      <text>
        <r>
          <rPr>
            <b/>
            <sz val="9"/>
            <color indexed="81"/>
            <rFont val="Tahoma"/>
            <family val="2"/>
          </rPr>
          <t>Author:</t>
        </r>
        <r>
          <rPr>
            <sz val="9"/>
            <color indexed="81"/>
            <rFont val="Tahoma"/>
            <family val="2"/>
          </rPr>
          <t xml:space="preserve">
From Campion2024</t>
        </r>
      </text>
    </comment>
    <comment ref="AL77" authorId="0" shapeId="0">
      <text>
        <r>
          <rPr>
            <b/>
            <sz val="9"/>
            <color indexed="81"/>
            <rFont val="Tahoma"/>
            <family val="2"/>
          </rPr>
          <t>Author:</t>
        </r>
        <r>
          <rPr>
            <sz val="9"/>
            <color indexed="81"/>
            <rFont val="Tahoma"/>
            <family val="2"/>
          </rPr>
          <t xml:space="preserve">
From Campion2024</t>
        </r>
      </text>
    </comment>
    <comment ref="AM77" authorId="0" shapeId="0">
      <text>
        <r>
          <rPr>
            <b/>
            <sz val="9"/>
            <color indexed="81"/>
            <rFont val="Tahoma"/>
            <family val="2"/>
          </rPr>
          <t>Author:</t>
        </r>
        <r>
          <rPr>
            <sz val="9"/>
            <color indexed="81"/>
            <rFont val="Tahoma"/>
            <family val="2"/>
          </rPr>
          <t xml:space="preserve">
From Campion2024</t>
        </r>
      </text>
    </comment>
    <comment ref="AN77" authorId="0" shapeId="0">
      <text>
        <r>
          <rPr>
            <b/>
            <sz val="9"/>
            <color indexed="81"/>
            <rFont val="Tahoma"/>
            <family val="2"/>
          </rPr>
          <t>Author:</t>
        </r>
        <r>
          <rPr>
            <sz val="9"/>
            <color indexed="81"/>
            <rFont val="Tahoma"/>
            <family val="2"/>
          </rPr>
          <t xml:space="preserve">
From Campion2024</t>
        </r>
      </text>
    </comment>
    <comment ref="AO77" authorId="0" shapeId="0">
      <text>
        <r>
          <rPr>
            <b/>
            <sz val="9"/>
            <color indexed="81"/>
            <rFont val="Tahoma"/>
            <family val="2"/>
          </rPr>
          <t>Author:</t>
        </r>
        <r>
          <rPr>
            <sz val="9"/>
            <color indexed="81"/>
            <rFont val="Tahoma"/>
            <family val="2"/>
          </rPr>
          <t xml:space="preserve">
From Campion2024</t>
        </r>
      </text>
    </comment>
    <comment ref="AP77" authorId="0" shapeId="0">
      <text>
        <r>
          <rPr>
            <b/>
            <sz val="9"/>
            <color indexed="81"/>
            <rFont val="Tahoma"/>
            <family val="2"/>
          </rPr>
          <t>Author:</t>
        </r>
        <r>
          <rPr>
            <sz val="9"/>
            <color indexed="81"/>
            <rFont val="Tahoma"/>
            <family val="2"/>
          </rPr>
          <t xml:space="preserve">
From Campion2024</t>
        </r>
      </text>
    </comment>
    <comment ref="AQ77" authorId="0" shapeId="0">
      <text>
        <r>
          <rPr>
            <b/>
            <sz val="9"/>
            <color indexed="81"/>
            <rFont val="Tahoma"/>
            <family val="2"/>
          </rPr>
          <t>Author:</t>
        </r>
        <r>
          <rPr>
            <sz val="9"/>
            <color indexed="81"/>
            <rFont val="Tahoma"/>
            <family val="2"/>
          </rPr>
          <t xml:space="preserve">
From Campion2024</t>
        </r>
      </text>
    </comment>
    <comment ref="AR77" authorId="0" shapeId="0">
      <text>
        <r>
          <rPr>
            <b/>
            <sz val="9"/>
            <color indexed="81"/>
            <rFont val="Tahoma"/>
            <family val="2"/>
          </rPr>
          <t>Author:</t>
        </r>
        <r>
          <rPr>
            <sz val="9"/>
            <color indexed="81"/>
            <rFont val="Tahoma"/>
            <family val="2"/>
          </rPr>
          <t xml:space="preserve">
From Campion2024</t>
        </r>
      </text>
    </comment>
    <comment ref="AS77" authorId="0" shapeId="0">
      <text>
        <r>
          <rPr>
            <b/>
            <sz val="9"/>
            <color indexed="81"/>
            <rFont val="Tahoma"/>
            <family val="2"/>
          </rPr>
          <t>Author:</t>
        </r>
        <r>
          <rPr>
            <sz val="9"/>
            <color indexed="81"/>
            <rFont val="Tahoma"/>
            <family val="2"/>
          </rPr>
          <t xml:space="preserve">
From Campion2024</t>
        </r>
      </text>
    </comment>
    <comment ref="AT77" authorId="0" shapeId="0">
      <text>
        <r>
          <rPr>
            <b/>
            <sz val="9"/>
            <color indexed="81"/>
            <rFont val="Tahoma"/>
            <family val="2"/>
          </rPr>
          <t>Author:</t>
        </r>
        <r>
          <rPr>
            <sz val="9"/>
            <color indexed="81"/>
            <rFont val="Tahoma"/>
            <family val="2"/>
          </rPr>
          <t xml:space="preserve">
From Campion2024</t>
        </r>
      </text>
    </comment>
    <comment ref="AU77" authorId="0" shapeId="0">
      <text>
        <r>
          <rPr>
            <b/>
            <sz val="9"/>
            <color indexed="81"/>
            <rFont val="Tahoma"/>
            <family val="2"/>
          </rPr>
          <t>Author:</t>
        </r>
        <r>
          <rPr>
            <sz val="9"/>
            <color indexed="81"/>
            <rFont val="Tahoma"/>
            <family val="2"/>
          </rPr>
          <t xml:space="preserve">
From Campion2024</t>
        </r>
      </text>
    </comment>
    <comment ref="AV77" authorId="0" shapeId="0">
      <text>
        <r>
          <rPr>
            <b/>
            <sz val="9"/>
            <color indexed="81"/>
            <rFont val="Tahoma"/>
            <family val="2"/>
          </rPr>
          <t>Author:</t>
        </r>
        <r>
          <rPr>
            <sz val="9"/>
            <color indexed="81"/>
            <rFont val="Tahoma"/>
            <family val="2"/>
          </rPr>
          <t xml:space="preserve">
From Campion2024</t>
        </r>
      </text>
    </comment>
    <comment ref="AW77" authorId="0" shapeId="0">
      <text>
        <r>
          <rPr>
            <b/>
            <sz val="9"/>
            <color indexed="81"/>
            <rFont val="Tahoma"/>
            <family val="2"/>
          </rPr>
          <t>Author:</t>
        </r>
        <r>
          <rPr>
            <sz val="9"/>
            <color indexed="81"/>
            <rFont val="Tahoma"/>
            <family val="2"/>
          </rPr>
          <t xml:space="preserve">
From Campion2024</t>
        </r>
      </text>
    </comment>
    <comment ref="AX77" authorId="0" shapeId="0">
      <text>
        <r>
          <rPr>
            <b/>
            <sz val="9"/>
            <color indexed="81"/>
            <rFont val="Tahoma"/>
            <family val="2"/>
          </rPr>
          <t>Author:</t>
        </r>
        <r>
          <rPr>
            <sz val="9"/>
            <color indexed="81"/>
            <rFont val="Tahoma"/>
            <family val="2"/>
          </rPr>
          <t xml:space="preserve">
From Campion2024</t>
        </r>
      </text>
    </comment>
    <comment ref="AY77" authorId="0" shapeId="0">
      <text>
        <r>
          <rPr>
            <b/>
            <sz val="9"/>
            <color indexed="81"/>
            <rFont val="Tahoma"/>
            <family val="2"/>
          </rPr>
          <t>Author:</t>
        </r>
        <r>
          <rPr>
            <sz val="9"/>
            <color indexed="81"/>
            <rFont val="Tahoma"/>
            <family val="2"/>
          </rPr>
          <t xml:space="preserve">
From Campion2024</t>
        </r>
      </text>
    </comment>
    <comment ref="AZ77" authorId="0" shapeId="0">
      <text>
        <r>
          <rPr>
            <b/>
            <sz val="9"/>
            <color indexed="81"/>
            <rFont val="Tahoma"/>
            <family val="2"/>
          </rPr>
          <t>Author:</t>
        </r>
        <r>
          <rPr>
            <sz val="9"/>
            <color indexed="81"/>
            <rFont val="Tahoma"/>
            <family val="2"/>
          </rPr>
          <t xml:space="preserve">
From Campion2024</t>
        </r>
      </text>
    </comment>
    <comment ref="BA77" authorId="0" shapeId="0">
      <text>
        <r>
          <rPr>
            <b/>
            <sz val="9"/>
            <color indexed="81"/>
            <rFont val="Tahoma"/>
            <family val="2"/>
          </rPr>
          <t>Author:</t>
        </r>
        <r>
          <rPr>
            <sz val="9"/>
            <color indexed="81"/>
            <rFont val="Tahoma"/>
            <family val="2"/>
          </rPr>
          <t xml:space="preserve">
From Campion2024</t>
        </r>
      </text>
    </comment>
    <comment ref="BB77" authorId="0" shapeId="0">
      <text>
        <r>
          <rPr>
            <b/>
            <sz val="9"/>
            <color indexed="81"/>
            <rFont val="Tahoma"/>
            <family val="2"/>
          </rPr>
          <t>Author:</t>
        </r>
        <r>
          <rPr>
            <sz val="9"/>
            <color indexed="81"/>
            <rFont val="Tahoma"/>
            <family val="2"/>
          </rPr>
          <t xml:space="preserve">
From Campion2024</t>
        </r>
      </text>
    </comment>
    <comment ref="BC77" authorId="0" shapeId="0">
      <text>
        <r>
          <rPr>
            <b/>
            <sz val="9"/>
            <color indexed="81"/>
            <rFont val="Tahoma"/>
            <family val="2"/>
          </rPr>
          <t>Author:</t>
        </r>
        <r>
          <rPr>
            <sz val="9"/>
            <color indexed="81"/>
            <rFont val="Tahoma"/>
            <family val="2"/>
          </rPr>
          <t xml:space="preserve">
From Campion2024</t>
        </r>
      </text>
    </comment>
    <comment ref="BD77" authorId="0" shapeId="0">
      <text>
        <r>
          <rPr>
            <b/>
            <sz val="9"/>
            <color indexed="81"/>
            <rFont val="Tahoma"/>
            <family val="2"/>
          </rPr>
          <t>Author:</t>
        </r>
        <r>
          <rPr>
            <sz val="9"/>
            <color indexed="81"/>
            <rFont val="Tahoma"/>
            <family val="2"/>
          </rPr>
          <t xml:space="preserve">
From Campion2024</t>
        </r>
      </text>
    </comment>
    <comment ref="BE77" authorId="0" shapeId="0">
      <text>
        <r>
          <rPr>
            <b/>
            <sz val="9"/>
            <color indexed="81"/>
            <rFont val="Tahoma"/>
            <family val="2"/>
          </rPr>
          <t>Author:</t>
        </r>
        <r>
          <rPr>
            <sz val="9"/>
            <color indexed="81"/>
            <rFont val="Tahoma"/>
            <family val="2"/>
          </rPr>
          <t xml:space="preserve">
From Campion2024</t>
        </r>
      </text>
    </comment>
    <comment ref="BR77" authorId="0" shapeId="0">
      <text>
        <r>
          <rPr>
            <b/>
            <sz val="9"/>
            <color indexed="81"/>
            <rFont val="Tahoma"/>
            <family val="2"/>
          </rPr>
          <t>Author:</t>
        </r>
        <r>
          <rPr>
            <sz val="9"/>
            <color indexed="81"/>
            <rFont val="Tahoma"/>
            <family val="2"/>
          </rPr>
          <t xml:space="preserve">
From Campion2024</t>
        </r>
      </text>
    </comment>
    <comment ref="BS77" authorId="0" shapeId="0">
      <text>
        <r>
          <rPr>
            <b/>
            <sz val="9"/>
            <color indexed="81"/>
            <rFont val="Tahoma"/>
            <family val="2"/>
          </rPr>
          <t>Author:</t>
        </r>
        <r>
          <rPr>
            <sz val="9"/>
            <color indexed="81"/>
            <rFont val="Tahoma"/>
            <family val="2"/>
          </rPr>
          <t xml:space="preserve">
From Campion2024</t>
        </r>
      </text>
    </comment>
    <comment ref="BT77" authorId="0" shapeId="0">
      <text>
        <r>
          <rPr>
            <b/>
            <sz val="9"/>
            <color indexed="81"/>
            <rFont val="Tahoma"/>
            <family val="2"/>
          </rPr>
          <t>Author:</t>
        </r>
        <r>
          <rPr>
            <sz val="9"/>
            <color indexed="81"/>
            <rFont val="Tahoma"/>
            <family val="2"/>
          </rPr>
          <t xml:space="preserve">
From Campion2024</t>
        </r>
      </text>
    </comment>
    <comment ref="BU77" authorId="0" shapeId="0">
      <text>
        <r>
          <rPr>
            <b/>
            <sz val="9"/>
            <color indexed="81"/>
            <rFont val="Tahoma"/>
            <family val="2"/>
          </rPr>
          <t>Author:</t>
        </r>
        <r>
          <rPr>
            <sz val="9"/>
            <color indexed="81"/>
            <rFont val="Tahoma"/>
            <family val="2"/>
          </rPr>
          <t xml:space="preserve">
From Campion2024</t>
        </r>
      </text>
    </comment>
    <comment ref="BV77" authorId="0" shapeId="0">
      <text>
        <r>
          <rPr>
            <b/>
            <sz val="9"/>
            <color indexed="81"/>
            <rFont val="Tahoma"/>
            <family val="2"/>
          </rPr>
          <t>Author:</t>
        </r>
        <r>
          <rPr>
            <sz val="9"/>
            <color indexed="81"/>
            <rFont val="Tahoma"/>
            <family val="2"/>
          </rPr>
          <t xml:space="preserve">
From Campion2024</t>
        </r>
      </text>
    </comment>
    <comment ref="BW77" authorId="0" shapeId="0">
      <text>
        <r>
          <rPr>
            <b/>
            <sz val="9"/>
            <color indexed="81"/>
            <rFont val="Tahoma"/>
            <family val="2"/>
          </rPr>
          <t>Author:</t>
        </r>
        <r>
          <rPr>
            <sz val="9"/>
            <color indexed="81"/>
            <rFont val="Tahoma"/>
            <family val="2"/>
          </rPr>
          <t xml:space="preserve">
From Campion2024</t>
        </r>
      </text>
    </comment>
    <comment ref="BX77" authorId="0" shapeId="0">
      <text>
        <r>
          <rPr>
            <b/>
            <sz val="9"/>
            <color indexed="81"/>
            <rFont val="Tahoma"/>
            <family val="2"/>
          </rPr>
          <t>Author:</t>
        </r>
        <r>
          <rPr>
            <sz val="9"/>
            <color indexed="81"/>
            <rFont val="Tahoma"/>
            <family val="2"/>
          </rPr>
          <t xml:space="preserve">
From Campion2024</t>
        </r>
      </text>
    </comment>
    <comment ref="BY77" authorId="0" shapeId="0">
      <text>
        <r>
          <rPr>
            <b/>
            <sz val="9"/>
            <color indexed="81"/>
            <rFont val="Tahoma"/>
            <family val="2"/>
          </rPr>
          <t>Author:</t>
        </r>
        <r>
          <rPr>
            <sz val="9"/>
            <color indexed="81"/>
            <rFont val="Tahoma"/>
            <family val="2"/>
          </rPr>
          <t xml:space="preserve">
From Campion2024</t>
        </r>
      </text>
    </comment>
    <comment ref="BZ77" authorId="0" shapeId="0">
      <text>
        <r>
          <rPr>
            <b/>
            <sz val="9"/>
            <color indexed="81"/>
            <rFont val="Tahoma"/>
            <family val="2"/>
          </rPr>
          <t>Author:</t>
        </r>
        <r>
          <rPr>
            <sz val="9"/>
            <color indexed="81"/>
            <rFont val="Tahoma"/>
            <family val="2"/>
          </rPr>
          <t xml:space="preserve">
From Campion2024</t>
        </r>
      </text>
    </comment>
    <comment ref="CA77" authorId="0" shapeId="0">
      <text>
        <r>
          <rPr>
            <b/>
            <sz val="9"/>
            <color indexed="81"/>
            <rFont val="Tahoma"/>
            <family val="2"/>
          </rPr>
          <t>Author:</t>
        </r>
        <r>
          <rPr>
            <sz val="9"/>
            <color indexed="81"/>
            <rFont val="Tahoma"/>
            <family val="2"/>
          </rPr>
          <t xml:space="preserve">
From Campion2024</t>
        </r>
      </text>
    </comment>
    <comment ref="CB77" authorId="0" shapeId="0">
      <text>
        <r>
          <rPr>
            <b/>
            <sz val="9"/>
            <color indexed="81"/>
            <rFont val="Tahoma"/>
            <family val="2"/>
          </rPr>
          <t>Author:</t>
        </r>
        <r>
          <rPr>
            <sz val="9"/>
            <color indexed="81"/>
            <rFont val="Tahoma"/>
            <family val="2"/>
          </rPr>
          <t xml:space="preserve">
From Campion2024</t>
        </r>
      </text>
    </comment>
    <comment ref="CC77" authorId="0" shapeId="0">
      <text>
        <r>
          <rPr>
            <b/>
            <sz val="9"/>
            <color indexed="81"/>
            <rFont val="Tahoma"/>
            <family val="2"/>
          </rPr>
          <t>Author:</t>
        </r>
        <r>
          <rPr>
            <sz val="9"/>
            <color indexed="81"/>
            <rFont val="Tahoma"/>
            <family val="2"/>
          </rPr>
          <t xml:space="preserve">
From Campion2024</t>
        </r>
      </text>
    </comment>
    <comment ref="BB78" authorId="0" shapeId="0">
      <text>
        <r>
          <rPr>
            <b/>
            <sz val="9"/>
            <color indexed="81"/>
            <rFont val="Tahoma"/>
            <family val="2"/>
          </rPr>
          <t>Author:</t>
        </r>
        <r>
          <rPr>
            <sz val="9"/>
            <color indexed="81"/>
            <rFont val="Tahoma"/>
            <family val="2"/>
          </rPr>
          <t xml:space="preserve">
From Campion2023</t>
        </r>
      </text>
    </comment>
    <comment ref="BC78" authorId="0" shapeId="0">
      <text>
        <r>
          <rPr>
            <b/>
            <sz val="9"/>
            <color indexed="81"/>
            <rFont val="Tahoma"/>
            <family val="2"/>
          </rPr>
          <t>Author:</t>
        </r>
        <r>
          <rPr>
            <sz val="9"/>
            <color indexed="81"/>
            <rFont val="Tahoma"/>
            <family val="2"/>
          </rPr>
          <t xml:space="preserve">
From Campion2023</t>
        </r>
      </text>
    </comment>
    <comment ref="BD78" authorId="0" shapeId="0">
      <text>
        <r>
          <rPr>
            <b/>
            <sz val="9"/>
            <color indexed="81"/>
            <rFont val="Tahoma"/>
            <family val="2"/>
          </rPr>
          <t>Author:</t>
        </r>
        <r>
          <rPr>
            <sz val="9"/>
            <color indexed="81"/>
            <rFont val="Tahoma"/>
            <family val="2"/>
          </rPr>
          <t xml:space="preserve">
From Campion2023</t>
        </r>
      </text>
    </comment>
    <comment ref="BE78" authorId="0" shapeId="0">
      <text>
        <r>
          <rPr>
            <b/>
            <sz val="9"/>
            <color indexed="81"/>
            <rFont val="Tahoma"/>
            <family val="2"/>
          </rPr>
          <t>Author:</t>
        </r>
        <r>
          <rPr>
            <sz val="9"/>
            <color indexed="81"/>
            <rFont val="Tahoma"/>
            <family val="2"/>
          </rPr>
          <t xml:space="preserve">
From Campion2023</t>
        </r>
      </text>
    </comment>
    <comment ref="AP80" authorId="0" shapeId="0">
      <text>
        <r>
          <rPr>
            <b/>
            <sz val="9"/>
            <color indexed="81"/>
            <rFont val="Tahoma"/>
            <family val="2"/>
          </rPr>
          <t>Author:</t>
        </r>
        <r>
          <rPr>
            <sz val="9"/>
            <color indexed="81"/>
            <rFont val="Tahoma"/>
            <family val="2"/>
          </rPr>
          <t xml:space="preserve">
From Marin2023</t>
        </r>
      </text>
    </comment>
    <comment ref="AQ80" authorId="0" shapeId="0">
      <text>
        <r>
          <rPr>
            <b/>
            <sz val="9"/>
            <color indexed="81"/>
            <rFont val="Tahoma"/>
            <family val="2"/>
          </rPr>
          <t>Author:</t>
        </r>
        <r>
          <rPr>
            <sz val="9"/>
            <color indexed="81"/>
            <rFont val="Tahoma"/>
            <family val="2"/>
          </rPr>
          <t xml:space="preserve">
From Marin2023</t>
        </r>
      </text>
    </comment>
    <comment ref="AR80" authorId="0" shapeId="0">
      <text>
        <r>
          <rPr>
            <b/>
            <sz val="9"/>
            <color indexed="81"/>
            <rFont val="Tahoma"/>
            <family val="2"/>
          </rPr>
          <t>Author:</t>
        </r>
        <r>
          <rPr>
            <sz val="9"/>
            <color indexed="81"/>
            <rFont val="Tahoma"/>
            <family val="2"/>
          </rPr>
          <t xml:space="preserve">
From Marin2023</t>
        </r>
      </text>
    </comment>
    <comment ref="AS80" authorId="0" shapeId="0">
      <text>
        <r>
          <rPr>
            <b/>
            <sz val="9"/>
            <color indexed="81"/>
            <rFont val="Tahoma"/>
            <family val="2"/>
          </rPr>
          <t>Author:</t>
        </r>
        <r>
          <rPr>
            <sz val="9"/>
            <color indexed="81"/>
            <rFont val="Tahoma"/>
            <family val="2"/>
          </rPr>
          <t xml:space="preserve">
From Marin2023</t>
        </r>
      </text>
    </comment>
    <comment ref="AP81" authorId="0" shapeId="0">
      <text>
        <r>
          <rPr>
            <b/>
            <sz val="9"/>
            <color indexed="81"/>
            <rFont val="Tahoma"/>
            <family val="2"/>
          </rPr>
          <t>Author:</t>
        </r>
        <r>
          <rPr>
            <sz val="9"/>
            <color indexed="81"/>
            <rFont val="Tahoma"/>
            <family val="2"/>
          </rPr>
          <t xml:space="preserve">
From Marin2023</t>
        </r>
      </text>
    </comment>
    <comment ref="AQ81" authorId="0" shapeId="0">
      <text>
        <r>
          <rPr>
            <b/>
            <sz val="9"/>
            <color indexed="81"/>
            <rFont val="Tahoma"/>
            <family val="2"/>
          </rPr>
          <t>Author:</t>
        </r>
        <r>
          <rPr>
            <sz val="9"/>
            <color indexed="81"/>
            <rFont val="Tahoma"/>
            <family val="2"/>
          </rPr>
          <t xml:space="preserve">
From Marin2023</t>
        </r>
      </text>
    </comment>
    <comment ref="AR81" authorId="0" shapeId="0">
      <text>
        <r>
          <rPr>
            <b/>
            <sz val="9"/>
            <color indexed="81"/>
            <rFont val="Tahoma"/>
            <family val="2"/>
          </rPr>
          <t>Author:</t>
        </r>
        <r>
          <rPr>
            <sz val="9"/>
            <color indexed="81"/>
            <rFont val="Tahoma"/>
            <family val="2"/>
          </rPr>
          <t xml:space="preserve">
From Marin2023</t>
        </r>
      </text>
    </comment>
    <comment ref="AS81" authorId="0" shapeId="0">
      <text>
        <r>
          <rPr>
            <b/>
            <sz val="9"/>
            <color indexed="81"/>
            <rFont val="Tahoma"/>
            <family val="2"/>
          </rPr>
          <t>Author:</t>
        </r>
        <r>
          <rPr>
            <sz val="9"/>
            <color indexed="81"/>
            <rFont val="Tahoma"/>
            <family val="2"/>
          </rPr>
          <t xml:space="preserve">
From Marin2023</t>
        </r>
      </text>
    </comment>
    <comment ref="AD82" authorId="0" shapeId="0">
      <text>
        <r>
          <rPr>
            <b/>
            <sz val="9"/>
            <color indexed="81"/>
            <rFont val="Tahoma"/>
            <family val="2"/>
          </rPr>
          <t>Author:</t>
        </r>
        <r>
          <rPr>
            <sz val="9"/>
            <color indexed="81"/>
            <rFont val="Tahoma"/>
            <family val="2"/>
          </rPr>
          <t xml:space="preserve">
From Marin2023</t>
        </r>
      </text>
    </comment>
    <comment ref="AE82" authorId="0" shapeId="0">
      <text>
        <r>
          <rPr>
            <b/>
            <sz val="9"/>
            <color indexed="81"/>
            <rFont val="Tahoma"/>
            <family val="2"/>
          </rPr>
          <t>Author:</t>
        </r>
        <r>
          <rPr>
            <sz val="9"/>
            <color indexed="81"/>
            <rFont val="Tahoma"/>
            <family val="2"/>
          </rPr>
          <t xml:space="preserve">
From Marin2023</t>
        </r>
      </text>
    </comment>
    <comment ref="AF82" authorId="0" shapeId="0">
      <text>
        <r>
          <rPr>
            <b/>
            <sz val="9"/>
            <color indexed="81"/>
            <rFont val="Tahoma"/>
            <family val="2"/>
          </rPr>
          <t>Author:</t>
        </r>
        <r>
          <rPr>
            <sz val="9"/>
            <color indexed="81"/>
            <rFont val="Tahoma"/>
            <family val="2"/>
          </rPr>
          <t xml:space="preserve">
From Marin2023</t>
        </r>
      </text>
    </comment>
    <comment ref="AG82" authorId="0" shapeId="0">
      <text>
        <r>
          <rPr>
            <b/>
            <sz val="9"/>
            <color indexed="81"/>
            <rFont val="Tahoma"/>
            <family val="2"/>
          </rPr>
          <t>Author:</t>
        </r>
        <r>
          <rPr>
            <sz val="9"/>
            <color indexed="81"/>
            <rFont val="Tahoma"/>
            <family val="2"/>
          </rPr>
          <t xml:space="preserve">
From Marin2023</t>
        </r>
      </text>
    </comment>
    <comment ref="AH82" authorId="0" shapeId="0">
      <text>
        <r>
          <rPr>
            <b/>
            <sz val="9"/>
            <color indexed="81"/>
            <rFont val="Tahoma"/>
            <family val="2"/>
          </rPr>
          <t>Author:</t>
        </r>
        <r>
          <rPr>
            <sz val="9"/>
            <color indexed="81"/>
            <rFont val="Tahoma"/>
            <family val="2"/>
          </rPr>
          <t xml:space="preserve">
From Marin2023</t>
        </r>
      </text>
    </comment>
    <comment ref="AI82" authorId="0" shapeId="0">
      <text>
        <r>
          <rPr>
            <b/>
            <sz val="9"/>
            <color indexed="81"/>
            <rFont val="Tahoma"/>
            <family val="2"/>
          </rPr>
          <t>Author:</t>
        </r>
        <r>
          <rPr>
            <sz val="9"/>
            <color indexed="81"/>
            <rFont val="Tahoma"/>
            <family val="2"/>
          </rPr>
          <t xml:space="preserve">
From Marin2023</t>
        </r>
      </text>
    </comment>
    <comment ref="AJ82" authorId="0" shapeId="0">
      <text>
        <r>
          <rPr>
            <b/>
            <sz val="9"/>
            <color indexed="81"/>
            <rFont val="Tahoma"/>
            <family val="2"/>
          </rPr>
          <t>Author:</t>
        </r>
        <r>
          <rPr>
            <sz val="9"/>
            <color indexed="81"/>
            <rFont val="Tahoma"/>
            <family val="2"/>
          </rPr>
          <t xml:space="preserve">
From Marin2023</t>
        </r>
      </text>
    </comment>
    <comment ref="AK82" authorId="0" shapeId="0">
      <text>
        <r>
          <rPr>
            <b/>
            <sz val="9"/>
            <color indexed="81"/>
            <rFont val="Tahoma"/>
            <family val="2"/>
          </rPr>
          <t>Author:</t>
        </r>
        <r>
          <rPr>
            <sz val="9"/>
            <color indexed="81"/>
            <rFont val="Tahoma"/>
            <family val="2"/>
          </rPr>
          <t xml:space="preserve">
From Marin2023</t>
        </r>
      </text>
    </comment>
    <comment ref="AL82" authorId="0" shapeId="0">
      <text>
        <r>
          <rPr>
            <b/>
            <sz val="9"/>
            <color indexed="81"/>
            <rFont val="Tahoma"/>
            <family val="2"/>
          </rPr>
          <t>Author:</t>
        </r>
        <r>
          <rPr>
            <sz val="9"/>
            <color indexed="81"/>
            <rFont val="Tahoma"/>
            <family val="2"/>
          </rPr>
          <t xml:space="preserve">
From Marin2023</t>
        </r>
      </text>
    </comment>
    <comment ref="AM82" authorId="0" shapeId="0">
      <text>
        <r>
          <rPr>
            <b/>
            <sz val="9"/>
            <color indexed="81"/>
            <rFont val="Tahoma"/>
            <family val="2"/>
          </rPr>
          <t>Author:</t>
        </r>
        <r>
          <rPr>
            <sz val="9"/>
            <color indexed="81"/>
            <rFont val="Tahoma"/>
            <family val="2"/>
          </rPr>
          <t xml:space="preserve">
From Marin2023</t>
        </r>
      </text>
    </comment>
    <comment ref="AN82" authorId="0" shapeId="0">
      <text>
        <r>
          <rPr>
            <b/>
            <sz val="9"/>
            <color indexed="81"/>
            <rFont val="Tahoma"/>
            <family val="2"/>
          </rPr>
          <t>Author:</t>
        </r>
        <r>
          <rPr>
            <sz val="9"/>
            <color indexed="81"/>
            <rFont val="Tahoma"/>
            <family val="2"/>
          </rPr>
          <t xml:space="preserve">
From Marin2023</t>
        </r>
      </text>
    </comment>
    <comment ref="AO82" authorId="0" shapeId="0">
      <text>
        <r>
          <rPr>
            <b/>
            <sz val="9"/>
            <color indexed="81"/>
            <rFont val="Tahoma"/>
            <family val="2"/>
          </rPr>
          <t>Author:</t>
        </r>
        <r>
          <rPr>
            <sz val="9"/>
            <color indexed="81"/>
            <rFont val="Tahoma"/>
            <family val="2"/>
          </rPr>
          <t xml:space="preserve">
From Marin2023</t>
        </r>
      </text>
    </comment>
    <comment ref="AP82" authorId="0" shapeId="0">
      <text>
        <r>
          <rPr>
            <b/>
            <sz val="9"/>
            <color indexed="81"/>
            <rFont val="Tahoma"/>
            <family val="2"/>
          </rPr>
          <t>Author:</t>
        </r>
        <r>
          <rPr>
            <sz val="9"/>
            <color indexed="81"/>
            <rFont val="Tahoma"/>
            <family val="2"/>
          </rPr>
          <t xml:space="preserve">
From Marin2023</t>
        </r>
      </text>
    </comment>
    <comment ref="AQ82" authorId="0" shapeId="0">
      <text>
        <r>
          <rPr>
            <b/>
            <sz val="9"/>
            <color indexed="81"/>
            <rFont val="Tahoma"/>
            <family val="2"/>
          </rPr>
          <t>Author:</t>
        </r>
        <r>
          <rPr>
            <sz val="9"/>
            <color indexed="81"/>
            <rFont val="Tahoma"/>
            <family val="2"/>
          </rPr>
          <t xml:space="preserve">
From Marin2023</t>
        </r>
      </text>
    </comment>
    <comment ref="AR82" authorId="0" shapeId="0">
      <text>
        <r>
          <rPr>
            <b/>
            <sz val="9"/>
            <color indexed="81"/>
            <rFont val="Tahoma"/>
            <family val="2"/>
          </rPr>
          <t>Author:</t>
        </r>
        <r>
          <rPr>
            <sz val="9"/>
            <color indexed="81"/>
            <rFont val="Tahoma"/>
            <family val="2"/>
          </rPr>
          <t xml:space="preserve">
From Marin2023</t>
        </r>
      </text>
    </comment>
    <comment ref="AS82" authorId="0" shapeId="0">
      <text>
        <r>
          <rPr>
            <b/>
            <sz val="9"/>
            <color indexed="81"/>
            <rFont val="Tahoma"/>
            <family val="2"/>
          </rPr>
          <t>Author:</t>
        </r>
        <r>
          <rPr>
            <sz val="9"/>
            <color indexed="81"/>
            <rFont val="Tahoma"/>
            <family val="2"/>
          </rPr>
          <t xml:space="preserve">
From Marin2023</t>
        </r>
      </text>
    </comment>
    <comment ref="AT82" authorId="0" shapeId="0">
      <text>
        <r>
          <rPr>
            <b/>
            <sz val="9"/>
            <color indexed="81"/>
            <rFont val="Tahoma"/>
            <family val="2"/>
          </rPr>
          <t>Author:</t>
        </r>
        <r>
          <rPr>
            <sz val="9"/>
            <color indexed="81"/>
            <rFont val="Tahoma"/>
            <family val="2"/>
          </rPr>
          <t xml:space="preserve">
From Marin2023</t>
        </r>
      </text>
    </comment>
    <comment ref="AU82" authorId="0" shapeId="0">
      <text>
        <r>
          <rPr>
            <b/>
            <sz val="9"/>
            <color indexed="81"/>
            <rFont val="Tahoma"/>
            <family val="2"/>
          </rPr>
          <t>Author:</t>
        </r>
        <r>
          <rPr>
            <sz val="9"/>
            <color indexed="81"/>
            <rFont val="Tahoma"/>
            <family val="2"/>
          </rPr>
          <t xml:space="preserve">
From Marin2023</t>
        </r>
      </text>
    </comment>
    <comment ref="AV82" authorId="0" shapeId="0">
      <text>
        <r>
          <rPr>
            <b/>
            <sz val="9"/>
            <color indexed="81"/>
            <rFont val="Tahoma"/>
            <family val="2"/>
          </rPr>
          <t>Author:</t>
        </r>
        <r>
          <rPr>
            <sz val="9"/>
            <color indexed="81"/>
            <rFont val="Tahoma"/>
            <family val="2"/>
          </rPr>
          <t xml:space="preserve">
From Marin2023</t>
        </r>
      </text>
    </comment>
    <comment ref="AW82" authorId="0" shapeId="0">
      <text>
        <r>
          <rPr>
            <b/>
            <sz val="9"/>
            <color indexed="81"/>
            <rFont val="Tahoma"/>
            <family val="2"/>
          </rPr>
          <t>Author:</t>
        </r>
        <r>
          <rPr>
            <sz val="9"/>
            <color indexed="81"/>
            <rFont val="Tahoma"/>
            <family val="2"/>
          </rPr>
          <t xml:space="preserve">
From Marin2023</t>
        </r>
      </text>
    </comment>
    <comment ref="AX82" authorId="0" shapeId="0">
      <text>
        <r>
          <rPr>
            <b/>
            <sz val="9"/>
            <color indexed="81"/>
            <rFont val="Tahoma"/>
            <family val="2"/>
          </rPr>
          <t>Author:</t>
        </r>
        <r>
          <rPr>
            <sz val="9"/>
            <color indexed="81"/>
            <rFont val="Tahoma"/>
            <family val="2"/>
          </rPr>
          <t xml:space="preserve">
From Marin2023</t>
        </r>
      </text>
    </comment>
    <comment ref="AY82" authorId="0" shapeId="0">
      <text>
        <r>
          <rPr>
            <b/>
            <sz val="9"/>
            <color indexed="81"/>
            <rFont val="Tahoma"/>
            <family val="2"/>
          </rPr>
          <t>Author:</t>
        </r>
        <r>
          <rPr>
            <sz val="9"/>
            <color indexed="81"/>
            <rFont val="Tahoma"/>
            <family val="2"/>
          </rPr>
          <t xml:space="preserve">
From Marin2023</t>
        </r>
      </text>
    </comment>
    <comment ref="AZ82" authorId="0" shapeId="0">
      <text>
        <r>
          <rPr>
            <b/>
            <sz val="9"/>
            <color indexed="81"/>
            <rFont val="Tahoma"/>
            <family val="2"/>
          </rPr>
          <t>Author:</t>
        </r>
        <r>
          <rPr>
            <sz val="9"/>
            <color indexed="81"/>
            <rFont val="Tahoma"/>
            <family val="2"/>
          </rPr>
          <t xml:space="preserve">
From Marin2023</t>
        </r>
      </text>
    </comment>
    <comment ref="BA82" authorId="0" shapeId="0">
      <text>
        <r>
          <rPr>
            <b/>
            <sz val="9"/>
            <color indexed="81"/>
            <rFont val="Tahoma"/>
            <family val="2"/>
          </rPr>
          <t>Author:</t>
        </r>
        <r>
          <rPr>
            <sz val="9"/>
            <color indexed="81"/>
            <rFont val="Tahoma"/>
            <family val="2"/>
          </rPr>
          <t xml:space="preserve">
From Marin2023</t>
        </r>
      </text>
    </comment>
    <comment ref="BB82" authorId="0" shapeId="0">
      <text>
        <r>
          <rPr>
            <b/>
            <sz val="9"/>
            <color indexed="81"/>
            <rFont val="Tahoma"/>
            <family val="2"/>
          </rPr>
          <t>Author:</t>
        </r>
        <r>
          <rPr>
            <sz val="9"/>
            <color indexed="81"/>
            <rFont val="Tahoma"/>
            <family val="2"/>
          </rPr>
          <t xml:space="preserve">
From Marin2023</t>
        </r>
      </text>
    </comment>
    <comment ref="BC82" authorId="0" shapeId="0">
      <text>
        <r>
          <rPr>
            <b/>
            <sz val="9"/>
            <color indexed="81"/>
            <rFont val="Tahoma"/>
            <family val="2"/>
          </rPr>
          <t>Author:</t>
        </r>
        <r>
          <rPr>
            <sz val="9"/>
            <color indexed="81"/>
            <rFont val="Tahoma"/>
            <family val="2"/>
          </rPr>
          <t xml:space="preserve">
From Marin2023</t>
        </r>
      </text>
    </comment>
    <comment ref="BD82" authorId="0" shapeId="0">
      <text>
        <r>
          <rPr>
            <b/>
            <sz val="9"/>
            <color indexed="81"/>
            <rFont val="Tahoma"/>
            <family val="2"/>
          </rPr>
          <t>Author:</t>
        </r>
        <r>
          <rPr>
            <sz val="9"/>
            <color indexed="81"/>
            <rFont val="Tahoma"/>
            <family val="2"/>
          </rPr>
          <t xml:space="preserve">
From Marin2023</t>
        </r>
      </text>
    </comment>
    <comment ref="BE82" authorId="0" shapeId="0">
      <text>
        <r>
          <rPr>
            <b/>
            <sz val="9"/>
            <color indexed="81"/>
            <rFont val="Tahoma"/>
            <family val="2"/>
          </rPr>
          <t>Author:</t>
        </r>
        <r>
          <rPr>
            <sz val="9"/>
            <color indexed="81"/>
            <rFont val="Tahoma"/>
            <family val="2"/>
          </rPr>
          <t xml:space="preserve">
From Marin2023</t>
        </r>
      </text>
    </comment>
    <comment ref="BK82" authorId="0" shapeId="0">
      <text>
        <r>
          <rPr>
            <b/>
            <sz val="9"/>
            <color indexed="81"/>
            <rFont val="Tahoma"/>
            <family val="2"/>
          </rPr>
          <t>Author:</t>
        </r>
        <r>
          <rPr>
            <sz val="9"/>
            <color indexed="81"/>
            <rFont val="Tahoma"/>
            <family val="2"/>
          </rPr>
          <t xml:space="preserve">
No CO2 formula here, check techno-eco file</t>
        </r>
      </text>
    </comment>
    <comment ref="BV82" authorId="0" shapeId="0">
      <text>
        <r>
          <rPr>
            <b/>
            <sz val="9"/>
            <color indexed="81"/>
            <rFont val="Tahoma"/>
            <family val="2"/>
          </rPr>
          <t>Author:</t>
        </r>
        <r>
          <rPr>
            <sz val="9"/>
            <color indexed="81"/>
            <rFont val="Tahoma"/>
            <family val="2"/>
          </rPr>
          <t xml:space="preserve">
From Marin2023</t>
        </r>
      </text>
    </comment>
    <comment ref="BW82" authorId="0" shapeId="0">
      <text>
        <r>
          <rPr>
            <b/>
            <sz val="9"/>
            <color indexed="81"/>
            <rFont val="Tahoma"/>
            <family val="2"/>
          </rPr>
          <t>Author:</t>
        </r>
        <r>
          <rPr>
            <sz val="9"/>
            <color indexed="81"/>
            <rFont val="Tahoma"/>
            <family val="2"/>
          </rPr>
          <t xml:space="preserve">
From Marin2023</t>
        </r>
      </text>
    </comment>
    <comment ref="BX82" authorId="0" shapeId="0">
      <text>
        <r>
          <rPr>
            <b/>
            <sz val="9"/>
            <color indexed="81"/>
            <rFont val="Tahoma"/>
            <family val="2"/>
          </rPr>
          <t>Author:</t>
        </r>
        <r>
          <rPr>
            <sz val="9"/>
            <color indexed="81"/>
            <rFont val="Tahoma"/>
            <family val="2"/>
          </rPr>
          <t xml:space="preserve">
From Marin2023</t>
        </r>
      </text>
    </comment>
    <comment ref="BY82" authorId="0" shapeId="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authors>
    <author>Author</author>
  </authors>
  <commentList>
    <comment ref="E2" authorId="0" shapeId="0">
      <text>
        <r>
          <rPr>
            <b/>
            <sz val="9"/>
            <color indexed="81"/>
            <rFont val="Tahoma"/>
            <family val="2"/>
          </rPr>
          <t>Author:</t>
        </r>
        <r>
          <rPr>
            <sz val="9"/>
            <color indexed="81"/>
            <rFont val="Tahoma"/>
            <family val="2"/>
          </rPr>
          <t xml:space="preserve">
Point Source</t>
        </r>
      </text>
    </comment>
    <comment ref="E3" authorId="0" shapeId="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<sst xmlns="http://schemas.openxmlformats.org/spreadsheetml/2006/main" count="3799" uniqueCount="484">
  <si>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</si>
  <si>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</si>
  <si>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</si>
  <si>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</si>
  <si>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</si>
  <si>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</si>
  <si>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</si>
  <si>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</si>
  <si>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</si>
  <si>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</si>
  <si>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</si>
  <si>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</si>
  <si>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</si>
  <si>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</si>
  <si>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</si>
  <si>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</si>
  <si>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</si>
  <si>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</si>
  <si>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</si>
  <si>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</si>
  <si>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</si>
  <si>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</si>
  <si>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</si>
  <si>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</si>
  <si>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</si>
  <si>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</si>
  <si>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</si>
  <si>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</si>
  <si>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</si>
  <si>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</si>
  <si>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</si>
  <si>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</si>
  <si>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</si>
  <si>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</si>
  <si>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</si>
  <si>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</si>
  <si>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</si>
  <si>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</si>
  <si>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</si>
  <si>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</si>
  <si>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</si>
  <si>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</si>
  <si>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</si>
  <si>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</si>
  <si>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</si>
  <si>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</si>
  <si>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</si>
  <si>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</si>
  <si>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</si>
  <si>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</si>
  <si>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</si>
  <si>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</si>
  <si>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</si>
  <si>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</si>
  <si>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</si>
  <si>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</si>
  <si>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</si>
  <si>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</si>
  <si>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</si>
  <si>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</si>
  <si>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</si>
  <si>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</si>
  <si>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</si>
  <si>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</si>
  <si>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</si>
  <si>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</si>
  <si>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</si>
  <si>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</si>
  <si>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</si>
  <si>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</si>
  <si>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</si>
  <si>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</si>
  <si>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</si>
  <si>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</si>
  <si>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</si>
  <si>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</si>
  <si>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</si>
  <si>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</si>
  <si>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</si>
  <si>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</si>
  <si>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</si>
  <si>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</si>
  <si>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</si>
  <si>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</si>
  <si>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</si>
  <si>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</si>
  <si>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</si>
  <si>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</si>
  <si>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</si>
  <si>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</si>
  <si>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</si>
  <si>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</si>
  <si>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</si>
  <si>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</si>
  <si>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</si>
  <si>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</si>
  <si>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</si>
  <si>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</si>
  <si>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</si>
  <si>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</si>
  <si>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</si>
  <si>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</si>
  <si>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</si>
  <si>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</si>
  <si>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</si>
  <si>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</si>
  <si>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</si>
  <si>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</si>
  <si>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</si>
  <si>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</si>
  <si>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</si>
  <si>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</si>
  <si>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</si>
  <si>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</si>
  <si>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</si>
  <si>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</si>
  <si>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</si>
  <si>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</si>
  <si>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</si>
  <si>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</si>
  <si>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</si>
  <si>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</si>
  <si>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</si>
  <si>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</si>
  <si>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</si>
  <si>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</si>
  <si>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</si>
  <si>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</si>
  <si>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</si>
  <si>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</si>
  <si>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</si>
  <si>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</si>
  <si>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</si>
  <si>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</si>
  <si>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</si>
  <si>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</si>
  <si>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</si>
  <si>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</si>
  <si>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</si>
  <si>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</si>
  <si>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</si>
  <si>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</si>
  <si>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</si>
  <si>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</si>
  <si>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</si>
  <si>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</si>
  <si>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</si>
  <si>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</si>
  <si>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</si>
  <si>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</si>
  <si>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</si>
  <si>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</si>
  <si>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</si>
  <si>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</si>
  <si>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</si>
  <si>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</si>
  <si>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</si>
  <si>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</si>
  <si>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</si>
  <si>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</si>
  <si>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</si>
  <si>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</si>
  <si>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</si>
  <si>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</si>
  <si>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</si>
  <si>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</si>
  <si>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</si>
  <si>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</si>
  <si>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</si>
  <si>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</si>
  <si>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</si>
  <si>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</si>
  <si>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</si>
  <si>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</si>
  <si>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</si>
  <si>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</si>
  <si>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</si>
  <si>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</si>
  <si>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</si>
  <si>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</si>
  <si>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</si>
  <si>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</si>
  <si>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</si>
  <si>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</si>
  <si>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</si>
  <si>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</si>
  <si>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</si>
  <si>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</si>
  <si>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</si>
  <si>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</si>
  <si>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</si>
  <si>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</si>
  <si>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</si>
  <si>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</si>
  <si>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</si>
  <si>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</si>
  <si>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</si>
  <si>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</si>
  <si>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</si>
  <si>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</si>
  <si>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</si>
  <si>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</si>
  <si>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</si>
  <si>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</si>
  <si>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</si>
  <si>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</si>
  <si>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</si>
  <si>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</si>
  <si>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</si>
  <si>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</si>
  <si>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</si>
  <si>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</si>
  <si>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</si>
  <si>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</si>
  <si>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</si>
  <si>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</si>
  <si>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</si>
  <si>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</si>
  <si>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</si>
  <si>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</si>
  <si>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</si>
  <si>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</si>
  <si>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</si>
  <si>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</si>
  <si>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</si>
  <si>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</si>
  <si>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</si>
  <si>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</si>
  <si>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</si>
  <si>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</si>
  <si>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</si>
  <si>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</si>
  <si>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</si>
  <si>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</si>
  <si>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</si>
  <si>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</si>
  <si>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</si>
  <si>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</si>
  <si>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</si>
  <si>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</si>
  <si>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</si>
  <si>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</si>
  <si>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</si>
  <si>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</si>
  <si>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</si>
  <si>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</si>
  <si>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</si>
  <si>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</si>
  <si>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</si>
  <si>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</si>
  <si>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</si>
  <si>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</si>
  <si>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</si>
  <si>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</si>
  <si>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</si>
  <si>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</si>
  <si>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</si>
  <si>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</si>
  <si>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</si>
  <si>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</si>
  <si>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</si>
  <si>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</si>
  <si>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</si>
  <si>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</si>
  <si>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</si>
  <si>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</si>
  <si>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</si>
  <si>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</si>
  <si>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</si>
  <si>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</si>
  <si>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</si>
  <si>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</si>
  <si>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</si>
  <si>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</si>
  <si>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</si>
  <si>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</si>
  <si>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</si>
  <si>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</si>
  <si>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</si>
  <si>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</si>
  <si>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</si>
  <si>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</si>
  <si>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</si>
  <si>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</si>
  <si>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</si>
  <si>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</si>
  <si>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</si>
  <si>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</si>
  <si>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</si>
  <si>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</si>
  <si>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</si>
  <si>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</si>
  <si>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</si>
  <si>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</si>
  <si>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</si>
  <si>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</si>
  <si>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</si>
  <si>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</si>
  <si>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</si>
  <si>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</si>
  <si>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</si>
  <si>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</si>
  <si>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</si>
  <si>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</si>
  <si>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</si>
  <si>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</si>
  <si>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</si>
  <si>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</si>
  <si>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</si>
  <si>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</si>
  <si>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</si>
  <si>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</si>
  <si>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</si>
  <si>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</si>
  <si>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</si>
  <si>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</si>
  <si>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</si>
  <si>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</si>
  <si>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</si>
  <si>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</si>
  <si>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</si>
  <si>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</si>
  <si>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</si>
  <si>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</si>
  <si>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</si>
  <si>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</si>
  <si>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</si>
  <si>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</si>
  <si>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</si>
  <si>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</si>
  <si>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</si>
  <si>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</si>
  <si>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</si>
  <si>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</si>
  <si>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</si>
  <si>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</si>
  <si>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</si>
  <si>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</si>
  <si>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</si>
  <si>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</si>
  <si>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</si>
  <si>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</si>
  <si>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</si>
  <si>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</si>
  <si>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</si>
  <si>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</si>
  <si>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</si>
  <si>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</si>
  <si>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</si>
  <si>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</si>
  <si>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</si>
  <si>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</si>
  <si>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</si>
  <si>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</si>
  <si>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</si>
  <si>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</si>
  <si>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</si>
  <si>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</si>
  <si>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</si>
  <si>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</si>
  <si>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</si>
  <si>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</si>
  <si>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</si>
  <si>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</si>
  <si>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</si>
  <si>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</si>
  <si>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</si>
  <si>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</si>
  <si>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</si>
  <si>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</si>
  <si>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</si>
  <si>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</si>
  <si>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</si>
  <si>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</si>
  <si>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</si>
  <si>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</si>
  <si>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</si>
  <si>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</si>
  <si>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</si>
  <si>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</si>
  <si>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</si>
  <si>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</si>
  <si>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</si>
  <si>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</si>
  <si>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</si>
  <si>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</si>
  <si>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</si>
  <si>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</si>
  <si>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</si>
  <si>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</si>
  <si>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</si>
  <si>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</si>
  <si>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</si>
  <si>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</si>
  <si>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</si>
  <si>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</si>
  <si>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</si>
  <si>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</si>
  <si>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</si>
  <si>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</si>
  <si>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</si>
  <si>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</si>
  <si>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</si>
  <si>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</si>
  <si>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</si>
  <si>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</si>
  <si>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</si>
  <si>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</si>
  <si>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</si>
  <si>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</si>
  <si>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</si>
  <si>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</si>
  <si>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</si>
  <si>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</si>
  <si>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</si>
  <si>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</si>
  <si>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</si>
  <si>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</si>
  <si>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</si>
  <si>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</si>
  <si>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</si>
  <si>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</si>
  <si>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</si>
  <si>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</si>
  <si>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</si>
  <si>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</si>
  <si>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</si>
  <si>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</si>
  <si>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</si>
  <si>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</si>
  <si>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</si>
  <si>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</si>
  <si>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</si>
  <si>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</si>
  <si>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</si>
  <si>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</si>
  <si>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</si>
  <si>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</si>
  <si>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</si>
  <si>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</si>
  <si>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</si>
  <si>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</si>
  <si>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</si>
  <si>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</si>
  <si>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</si>
  <si>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</si>
  <si>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</si>
  <si>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</si>
  <si>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</si>
  <si>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</si>
  <si>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</si>
  <si>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</si>
  <si>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</si>
  <si>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</si>
  <si>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</si>
  <si>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</si>
  <si>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</si>
  <si>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</si>
  <si>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</si>
  <si>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</si>
  <si>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</si>
  <si>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</si>
  <si>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</si>
  <si>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</si>
  <si>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</si>
  <si>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</si>
  <si>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Elec_PV</t>
  </si>
  <si>
    <t>Fuel_NH3</t>
  </si>
  <si>
    <t>Fuel_MeOH</t>
  </si>
  <si>
    <t>Elec_Li-ion_Battery</t>
  </si>
  <si>
    <t>Elec_Wind_Onshore</t>
  </si>
  <si>
    <t>Elec_Wind_Offshore</t>
  </si>
  <si>
    <t>Fuel_Biogas</t>
  </si>
  <si>
    <t>2019_CO2</t>
  </si>
  <si>
    <t>DA</t>
  </si>
  <si>
    <t>Lcia technology tag</t>
  </si>
  <si>
    <t>Lcia data filename</t>
  </si>
  <si>
    <t>LCIA_Results_0_an</t>
  </si>
  <si>
    <t>72,4000,4876,8760</t>
  </si>
  <si>
    <t>Grid_Chile</t>
  </si>
  <si>
    <t>Test1</t>
  </si>
  <si>
    <t>Test2</t>
  </si>
  <si>
    <t>Test3</t>
  </si>
  <si>
    <t>Test4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</si>
</sst>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
  </numFmts>
  <fonts count="16"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538">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0" fillId="0" borderId="0" xfId="0" applyFont="1" applyAlignment="1">
      <alignment horizontal="center"/>
    </xf>
    <xf numFmtId="0" fontId="3" fillId="0" borderId="0" xfId="0" applyFont="1"/>
    <xf numFmtId="0" fontId="6" fillId="0" borderId="0" xfId="0" applyFont="1" applyFill="1" applyAlignment="1">
      <alignment horizontal="center" vertical="center" wrapText="1"/>
    </xf>
    <xf numFmtId="0" fontId="3" fillId="0" borderId="0" xfId="0" applyFont="1" applyBorder="1" applyAlignment="1"/>
    <xf numFmtId="0" fontId="3" fillId="0" borderId="0" xfId="0" applyFont="1" applyBorder="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applyAlignment="1"/>
    <xf numFmtId="0" fontId="0" fillId="0" borderId="0" xfId="0" applyAlignment="1">
      <alignment horizontal="right"/>
    </xf>
    <xf numFmtId="0" fontId="4" fillId="0" borderId="0" xfId="0" applyFont="1" applyAlignment="1">
      <alignment vertical="center" wrapText="1"/>
    </xf>
    <xf numFmtId="0" fontId="0" fillId="0" borderId="0" xfId="0" applyBorder="1" applyAlignment="1">
      <alignment horizontal="center"/>
    </xf>
    <xf numFmtId="0" fontId="0" fillId="0" borderId="0" xfId="0" applyFont="1" applyBorder="1" applyAlignment="1">
      <alignment horizontal="center"/>
    </xf>
    <xf numFmtId="0" fontId="0" fillId="0" borderId="0" xfId="0" applyFont="1" applyFill="1" applyBorder="1" applyAlignment="1">
      <alignment horizontal="center"/>
    </xf>
    <xf numFmtId="0" fontId="5" fillId="0" borderId="0" xfId="0" applyFont="1" applyBorder="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3" fillId="0" borderId="0" xfId="0" applyFont="1" applyBorder="1"/>
    <xf numFmtId="0" fontId="5" fillId="2" borderId="0" xfId="0" applyFont="1" applyFill="1"/>
    <xf numFmtId="0" fontId="0" fillId="0" borderId="0" xfId="0"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wrapText="1"/>
    </xf>
    <xf numFmtId="0" fontId="0" fillId="0" borderId="0" xfId="0" applyAlignment="1">
      <alignment horizontal="center" vertical="center"/>
    </xf>
    <xf numFmtId="0" fontId="0" fillId="0" borderId="0" xfId="0" applyFont="1" applyAlignment="1">
      <alignment horizontal="center" vertic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NumberFormat="1"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0" xfId="0" applyFont="1" applyAlignment="1"/>
    <xf numFmtId="0" fontId="3" fillId="0" borderId="2" xfId="0" applyFont="1" applyBorder="1" applyAlignment="1"/>
    <xf numFmtId="0" fontId="0" fillId="0" borderId="0" xfId="0"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wrapText="1"/>
    </xf>
    <xf numFmtId="0" fontId="4" fillId="0" borderId="0" xfId="2" applyFont="1"/>
    <xf numFmtId="0" fontId="0" fillId="4" borderId="0" xfId="0" applyFill="1"/>
    <xf numFmtId="0" fontId="0" fillId="0" borderId="0" xfId="0" applyFill="1" applyAlignment="1">
      <alignment horizontal="right"/>
    </xf>
    <xf numFmtId="0" fontId="0" fillId="0" borderId="0" xfId="0"/>
    <xf numFmtId="0" fontId="0" fillId="0" borderId="0" xfId="0" applyFill="1" applyAlignment="1">
      <alignment horizontal="center"/>
    </xf>
    <xf numFmtId="0" fontId="3" fillId="0" borderId="0" xfId="0" applyFont="1" applyFill="1" applyAlignment="1">
      <alignment horizontal="center"/>
    </xf>
    <xf numFmtId="0" fontId="0" fillId="0" borderId="0" xfId="0" applyFill="1"/>
    <xf numFmtId="0" fontId="0" fillId="0" borderId="0" xfId="0" applyBorder="1"/>
    <xf numFmtId="0" fontId="0" fillId="0" borderId="0" xfId="0" applyAlignment="1">
      <alignment horizontal="center" vertical="center" wrapText="1"/>
    </xf>
    <xf numFmtId="0" fontId="0" fillId="0" borderId="0" xfId="0" applyFont="1" applyAlignment="1">
      <alignment horizontal="center" vertical="center"/>
    </xf>
    <xf numFmtId="0" fontId="0" fillId="0" borderId="0" xfId="0" applyAlignment="1">
      <alignment horizontal="center" vertical="center" wrapText="1"/>
    </xf>
    <xf numFmtId="0" fontId="6" fillId="2" borderId="0" xfId="0" applyNumberFormat="1" applyFont="1" applyFill="1" applyAlignment="1">
      <alignment horizontal="left"/>
    </xf>
    <xf numFmtId="0" fontId="5" fillId="2" borderId="0" xfId="0" applyNumberFormat="1" applyFont="1" applyFill="1" applyAlignment="1">
      <alignment horizontal="center"/>
    </xf>
    <xf numFmtId="0" fontId="5" fillId="0" borderId="0" xfId="0" applyNumberFormat="1" applyFont="1"/>
    <xf numFmtId="0" fontId="5" fillId="2" borderId="0" xfId="0" applyFont="1" applyFill="1" applyAlignment="1">
      <alignment horizontal="center" vertical="center" wrapText="1"/>
    </xf>
    <xf numFmtId="0" fontId="0" fillId="0" borderId="0" xfId="0" applyFont="1"/>
    <xf numFmtId="0" fontId="4" fillId="0" borderId="0" xfId="0" applyFont="1" applyAlignment="1">
      <alignment horizontal="right"/>
    </xf>
    <xf numFmtId="0" fontId="4" fillId="0" borderId="0" xfId="0" applyFont="1" applyAlignment="1">
      <alignment horizontal="center" vertical="center"/>
    </xf>
    <xf numFmtId="0" fontId="5" fillId="0" borderId="0" xfId="0" applyFont="1" applyAlignment="1">
      <alignment horizontal="center"/>
    </xf>
    <xf numFmtId="0" fontId="3" fillId="0" borderId="0" xfId="0" applyFont="1" applyAlignment="1">
      <alignment horizontal="center"/>
    </xf>
    <xf numFmtId="0" fontId="0" fillId="0" borderId="0" xfId="0" applyBorder="1" applyAlignment="1">
      <alignment horizontal="center" wrapText="1"/>
    </xf>
    <xf numFmtId="0" fontId="3" fillId="0" borderId="0" xfId="0" applyFont="1" applyAlignment="1">
      <alignment horizontal="center"/>
    </xf>
    <xf numFmtId="0" fontId="0" fillId="0" borderId="0" xfId="0"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0" fillId="9" borderId="0" xfId="0" applyNumberFormat="1" applyFill="1"/>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0" fontId="0" fillId="10" borderId="0" xfId="0" applyNumberFormat="1" applyFill="1"/>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0"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0" fontId="4" fillId="8" borderId="0" xfId="0" applyNumberFormat="1" applyFont="1" applyFill="1"/>
    <xf numFmtId="9" fontId="4" fillId="8" borderId="0" xfId="1" applyFont="1" applyFill="1"/>
    <xf numFmtId="0" fontId="5"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wrapText="1"/>
    </xf>
    <xf numFmtId="0" fontId="0" fillId="0" borderId="0" xfId="0" applyBorder="1"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5"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wrapText="1"/>
    </xf>
    <xf numFmtId="0" fontId="0" fillId="0" borderId="0" xfId="0" applyBorder="1"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5" fillId="0" borderId="0" xfId="0" applyFont="1" applyAlignment="1">
      <alignment horizontal="center"/>
    </xf>
    <xf numFmtId="0" fontId="3" fillId="0" borderId="0" xfId="0" applyFont="1" applyAlignment="1">
      <alignment horizontal="center"/>
    </xf>
    <xf numFmtId="0" fontId="0" fillId="0" borderId="0" xfId="0"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3" fillId="0" borderId="0" xfId="0" applyFont="1" applyFill="1" applyBorder="1" applyAlignment="1"/>
    <xf numFmtId="0" fontId="0" fillId="0" borderId="0" xfId="0" applyFill="1" applyBorder="1" applyAlignment="1">
      <alignment horizontal="center"/>
    </xf>
    <xf numFmtId="0" fontId="3" fillId="0" borderId="0" xfId="0" applyFont="1" applyFill="1" applyBorder="1"/>
    <xf numFmtId="0" fontId="5" fillId="0" borderId="0" xfId="0" applyFont="1" applyFill="1" applyBorder="1" applyAlignment="1">
      <alignment horizontal="center"/>
    </xf>
    <xf numFmtId="0" fontId="3" fillId="0" borderId="0" xfId="0" applyFont="1" applyFill="1" applyBorder="1" applyAlignment="1">
      <alignment horizontal="center"/>
    </xf>
    <xf numFmtId="0" fontId="14" fillId="0" borderId="0" xfId="0" applyFont="1" applyFill="1" applyBorder="1" applyAlignment="1">
      <alignment horizontal="center" wrapText="1"/>
    </xf>
    <xf numFmtId="0" fontId="3" fillId="0" borderId="0" xfId="0" quotePrefix="1" applyNumberFormat="1" applyFont="1" applyAlignment="1">
      <alignment horizontal="center"/>
    </xf>
    <xf numFmtId="0" fontId="5" fillId="0" borderId="2" xfId="0" applyFont="1" applyFill="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NumberFormat="1" applyFont="1" applyFill="1" applyBorder="1" applyAlignment="1">
      <alignment horizontal="center" vertical="center" wrapText="1"/>
    </xf>
    <xf numFmtId="0" fontId="6" fillId="0" borderId="2" xfId="0" applyFont="1" applyFill="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Fill="1" applyBorder="1" applyAlignment="1">
      <alignment horizontal="center"/>
    </xf>
    <xf numFmtId="0" fontId="3" fillId="0" borderId="3" xfId="0" applyFont="1" applyBorder="1" applyAlignment="1">
      <alignment horizontal="center"/>
    </xf>
    <xf numFmtId="0" fontId="5" fillId="0" borderId="3" xfId="0" applyFont="1" applyFill="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NumberFormat="1" applyFont="1" applyFill="1" applyBorder="1" applyAlignment="1">
      <alignment horizontal="center" vertical="center" wrapText="1"/>
    </xf>
    <xf numFmtId="0" fontId="6" fillId="0" borderId="3" xfId="0" applyFont="1" applyFill="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Font="1" applyFill="1"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0" fillId="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3" xfId="0" applyFont="1" applyFill="1" applyBorder="1" applyAlignment="1"/>
    <xf numFmtId="0" fontId="3" fillId="0" borderId="3" xfId="0" applyNumberFormat="1" applyFont="1" applyBorder="1" applyAlignment="1">
      <alignment horizontal="center"/>
    </xf>
    <xf numFmtId="0" fontId="8" fillId="3" borderId="2" xfId="0" applyFont="1" applyFill="1" applyBorder="1" applyAlignment="1"/>
    <xf numFmtId="0" fontId="3" fillId="0" borderId="2" xfId="0" quotePrefix="1" applyNumberFormat="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0" fontId="0" fillId="9" borderId="2" xfId="0" applyNumberFormat="1" applyFill="1" applyBorder="1"/>
    <xf numFmtId="2" fontId="0" fillId="6" borderId="2" xfId="0" applyNumberFormat="1" applyFill="1" applyBorder="1"/>
    <xf numFmtId="2" fontId="0" fillId="7" borderId="2" xfId="0" applyNumberFormat="1" applyFill="1" applyBorder="1"/>
    <xf numFmtId="0" fontId="0" fillId="10" borderId="2" xfId="0" applyNumberFormat="1" applyFill="1" applyBorder="1"/>
    <xf numFmtId="0" fontId="0" fillId="11" borderId="2" xfId="0" applyNumberFormat="1" applyFill="1" applyBorder="1"/>
    <xf numFmtId="0" fontId="4" fillId="8" borderId="2" xfId="0" applyNumberFormat="1" applyFont="1" applyFill="1" applyBorder="1"/>
    <xf numFmtId="0" fontId="0" fillId="0"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0" fontId="0" fillId="11" borderId="2" xfId="0"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Fill="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8" fillId="3" borderId="2" xfId="0" applyFont="1" applyFill="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0" fontId="0" fillId="4" borderId="0" xfId="0" applyNumberFormat="1" applyFill="1"/>
    <xf numFmtId="0" fontId="0" fillId="4" borderId="2" xfId="0" applyNumberFormat="1"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0" fillId="10" borderId="0" xfId="0" applyFont="1" applyFill="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0" fillId="6" borderId="3" xfId="0" applyNumberFormat="1" applyFill="1" applyBorder="1"/>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3" xfId="0" applyFont="1" applyFill="1" applyBorder="1" applyAlignment="1">
      <alignment horizont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ont="1"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ont="1"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ont="1"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0" fillId="14" borderId="0" xfId="0" applyFill="1" applyBorder="1"/>
    <xf numFmtId="0" fontId="0" fillId="4" borderId="0" xfId="0" applyFill="1" applyBorder="1"/>
    <xf numFmtId="0" fontId="14" fillId="0" borderId="0" xfId="0" applyFont="1" applyAlignment="1">
      <alignment horizontal="center"/>
    </xf>
    <xf numFmtId="0" fontId="5" fillId="0" borderId="0" xfId="0" applyFont="1" applyFill="1" applyAlignment="1">
      <alignment horizontal="center"/>
    </xf>
    <xf numFmtId="0" fontId="15" fillId="0" borderId="0" xfId="0" applyFont="1" applyFill="1"/>
    <xf numFmtId="0" fontId="5" fillId="0" borderId="1" xfId="0" applyFont="1" applyBorder="1" applyAlignment="1">
      <alignment horizontal="center"/>
    </xf>
    <xf numFmtId="0" fontId="3" fillId="0" borderId="1" xfId="0" applyFont="1" applyBorder="1" applyAlignment="1">
      <alignment horizontal="center"/>
    </xf>
    <xf numFmtId="0" fontId="14" fillId="0" borderId="0" xfId="0" applyFont="1" applyFill="1" applyBorder="1" applyAlignment="1">
      <alignment horizontal="center" wrapText="1"/>
    </xf>
    <xf numFmtId="0" fontId="3" fillId="0" borderId="0" xfId="0" applyFont="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Font="1" applyAlignment="1">
      <alignment horizontal="center" vertical="center"/>
    </xf>
    <xf numFmtId="0" fontId="12" fillId="0" borderId="0" xfId="0" applyFont="1" applyAlignment="1">
      <alignment horizontal="center" vertical="center" wrapText="1"/>
    </xf>
    <xf numFmtId="0" fontId="0" fillId="0" borderId="0" xfId="0" applyFont="1" applyAlignment="1">
      <alignment horizontal="center" wrapText="1"/>
    </xf>
    <xf numFmtId="0" fontId="13" fillId="0" borderId="0" xfId="0" applyFont="1" applyAlignment="1">
      <alignment horizontal="center" vertical="center" wrapText="1"/>
    </xf>
    <xf numFmtId="0" fontId="14" fillId="0" borderId="0" xfId="0" applyFont="1" applyFill="1" applyBorder="1" applyAlignment="1">
      <alignment horizontal="center" wrapText="1"/>
    </xf>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0" fontId="4" fillId="10" borderId="0" xfId="0" applyFont="1" applyFill="1" applyBorder="1"/>
    <xf numFmtId="0" fontId="0" fillId="17" borderId="0" xfId="0"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applyBorder="1"/>
    <xf numFmtId="1" fontId="4" fillId="17" borderId="0" xfId="1" applyNumberFormat="1" applyFont="1" applyFill="1" applyBorder="1"/>
    <xf numFmtId="3" fontId="4" fillId="10" borderId="0" xfId="0" applyNumberFormat="1" applyFont="1" applyFill="1" applyBorder="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0" fontId="3" fillId="0" borderId="0" xfId="0" applyFont="1" applyAlignment="1">
      <alignment horizontal="center"/>
    </xf>
    <xf numFmtId="0" fontId="5" fillId="2" borderId="0" xfId="0" applyFont="1" applyFill="1" applyAlignment="1">
      <alignment horizontal="center" vertical="center" wrapText="1"/>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0" fontId="0" fillId="0"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applyBorder="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0" fontId="0" fillId="19" borderId="0" xfId="0" applyFill="1" applyBorder="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applyBorder="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center"/>
    </xf>
    <xf numFmtId="0" fontId="3" fillId="0" borderId="0" xfId="0" applyFont="1" applyAlignment="1">
      <alignment horizontal="right"/>
    </xf>
    <xf numFmtId="0" fontId="0" fillId="17" borderId="0" xfId="0" applyFont="1" applyFill="1" applyAlignment="1">
      <alignment horizontal="center" vertical="center"/>
    </xf>
    <xf numFmtId="0" fontId="0" fillId="19" borderId="0" xfId="0" applyFont="1"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ont="1"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0"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0" borderId="0" xfId="0" applyFill="1" applyAlignment="1">
      <alignment horizontal="center" vertical="center"/>
    </xf>
    <xf numFmtId="0" fontId="0" fillId="14" borderId="0" xfId="0" applyFill="1" applyAlignment="1">
      <alignment horizontal="center" vertical="center"/>
    </xf>
    <xf numFmtId="0" fontId="5" fillId="0" borderId="1" xfId="0" applyFont="1" applyBorder="1" applyAlignment="1">
      <alignment horizontal="center"/>
    </xf>
    <xf numFmtId="0" fontId="5" fillId="0" borderId="0" xfId="0" applyFont="1" applyBorder="1" applyAlignment="1">
      <alignment horizontal="center"/>
    </xf>
    <xf numFmtId="0" fontId="5" fillId="0" borderId="2" xfId="0" applyFont="1" applyBorder="1" applyAlignment="1">
      <alignment horizontal="center"/>
    </xf>
    <xf numFmtId="0" fontId="6" fillId="0" borderId="1" xfId="0" applyFont="1" applyBorder="1" applyAlignment="1">
      <alignment horizontal="center"/>
    </xf>
    <xf numFmtId="0" fontId="6" fillId="0" borderId="0" xfId="0" applyFont="1" applyBorder="1" applyAlignment="1">
      <alignment horizontal="center"/>
    </xf>
    <xf numFmtId="0" fontId="6" fillId="0" borderId="2" xfId="0" applyFont="1" applyBorder="1" applyAlignment="1">
      <alignment horizontal="center"/>
    </xf>
    <xf numFmtId="0" fontId="6" fillId="0" borderId="0" xfId="0" applyFont="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0" xfId="0" applyFont="1" applyBorder="1" applyAlignment="1">
      <alignment horizontal="center" vertical="center" textRotation="90"/>
    </xf>
    <xf numFmtId="0" fontId="7" fillId="0" borderId="7" xfId="0" applyFont="1" applyBorder="1" applyAlignment="1">
      <alignment horizontal="center" vertical="center" textRotation="90"/>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vertical="center" wrapText="1"/>
    </xf>
    <xf numFmtId="0" fontId="0" fillId="0" borderId="0" xfId="0" applyBorder="1" applyAlignment="1">
      <alignment horizontal="center" wrapText="1"/>
    </xf>
    <xf numFmtId="0" fontId="0" fillId="0" borderId="0" xfId="0" applyFont="1" applyFill="1" applyBorder="1" applyAlignment="1">
      <alignment horizontal="center" wrapText="1"/>
    </xf>
    <xf numFmtId="0" fontId="12" fillId="0" borderId="0" xfId="0" applyFont="1" applyAlignment="1">
      <alignment horizontal="center" vertical="center" wrapText="1"/>
    </xf>
    <xf numFmtId="0" fontId="0" fillId="0" borderId="0" xfId="0" applyFont="1" applyAlignment="1">
      <alignment horizontal="center" wrapText="1"/>
    </xf>
    <xf numFmtId="0" fontId="13" fillId="0" borderId="0" xfId="0" applyFont="1" applyAlignment="1">
      <alignment horizontal="center" vertical="center" wrapText="1"/>
    </xf>
    <xf numFmtId="0" fontId="14" fillId="0" borderId="0" xfId="0" applyFont="1" applyFill="1" applyBorder="1" applyAlignment="1">
      <alignment horizontal="center" wrapText="1"/>
    </xf>
  </cellXfs>
  <cellStyles count="3">
    <cellStyle name="Hyperlink" xfId="2" builtinId="8"/>
    <cellStyle name="Normal" xfId="0" builtinId="0"/>
    <cellStyle name="Percent" xfId="1" builtinId="5"/>
  </cellStyles>
  <dxfs count="3306">
    <dxf>
      <font>
        <color rgb="FFFF0000"/>
      </font>
      <fill>
        <patternFill patternType="none">
          <bgColor auto="1"/>
        </patternFill>
      </fill>
    </dxf>
    <dxf>
      <font>
        <color theme="9"/>
      </font>
      <fill>
        <patternFill patternType="none">
          <bgColor auto="1"/>
        </patternFill>
      </fill>
    </dxf>
    <dxf>
      <font>
        <color theme="9"/>
      </font>
    </dxf>
    <dxf>
      <font>
        <color rgb="FFFF0000"/>
      </font>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CC82"/>
  <sheetViews>
    <sheetView zoomScale="82" zoomScaleNormal="145" workbookViewId="0">
      <pane xSplit="6" ySplit="5" topLeftCell="K6" activePane="bottomRight" state="frozen"/>
      <selection pane="topRight" activeCell="F1" sqref="F1"/>
      <selection pane="bottomLeft" activeCell="A12" sqref="A12"/>
      <selection pane="bottomRight" activeCell="D27" sqref="D27"/>
    </sheetView>
  </sheetViews>
  <sheetFormatPr defaultColWidth="8.7265625" defaultRowHeight="14.5" x14ac:dyDescent="0.35"/>
  <cols>
    <col min="1" max="1" width="8.08984375" style="52" customWidth="1"/>
    <col min="2" max="2" width="15.6328125" style="2" customWidth="1"/>
    <col min="3" max="4" width="21" style="3" customWidth="1"/>
    <col min="5" max="5" width="19.6328125" style="497" customWidth="1"/>
    <col min="6" max="6" width="3.81640625" style="6" customWidth="1"/>
    <col min="7" max="7" width="13.1796875" style="27" customWidth="1"/>
    <col min="8" max="9" width="29.7265625" style="176" customWidth="1"/>
    <col min="10" max="10" width="24.7265625" style="189" customWidth="1"/>
    <col min="11" max="11" width="20.26953125" style="189" customWidth="1"/>
    <col min="12" max="12" width="9.54296875" style="189" customWidth="1"/>
    <col min="13" max="13" width="11.81640625" style="189" customWidth="1"/>
    <col min="14" max="14" width="12.7265625" style="189" customWidth="1"/>
    <col min="15" max="15" width="10.453125" style="189" customWidth="1"/>
    <col min="16" max="16" width="12.453125" style="189" customWidth="1"/>
    <col min="17" max="17" width="12.1796875" style="17" customWidth="1"/>
    <col min="18" max="18" width="9.7265625" style="52" customWidth="1"/>
    <col min="19" max="19" width="9.453125" style="52" customWidth="1"/>
    <col min="20" max="20" width="8.26953125" style="52" customWidth="1"/>
    <col min="21" max="21" width="10.7265625" style="17" customWidth="1"/>
    <col min="22" max="22" width="10.54296875" style="52" customWidth="1"/>
    <col min="23" max="23" width="7.90625" style="52" customWidth="1"/>
    <col min="24" max="24" width="7.54296875" style="52" customWidth="1"/>
    <col min="25" max="25" width="6.90625" style="17" customWidth="1"/>
    <col min="26" max="26" width="10.54296875" style="52" customWidth="1"/>
    <col min="27" max="27" width="7.90625" style="52" customWidth="1"/>
    <col min="28" max="28" width="7.54296875" style="52" customWidth="1"/>
    <col min="29" max="29" width="7.36328125" style="17" customWidth="1"/>
    <col min="30" max="30" width="10.54296875" style="52" customWidth="1"/>
    <col min="31" max="31" width="7.90625" style="52" customWidth="1"/>
    <col min="32" max="32" width="7.54296875" style="52" customWidth="1"/>
    <col min="33" max="33" width="6.6328125" style="17" customWidth="1"/>
    <col min="34" max="34" width="8.7265625" style="52" customWidth="1"/>
    <col min="35" max="35" width="7.90625" style="52" customWidth="1"/>
    <col min="36" max="36" width="7.54296875" style="52" customWidth="1"/>
    <col min="37" max="37" width="6.6328125" style="17" customWidth="1"/>
    <col min="38" max="38" width="9.1796875" style="52" customWidth="1"/>
    <col min="39" max="39" width="7.90625" style="52" customWidth="1"/>
    <col min="40" max="40" width="8.7265625" style="52" customWidth="1"/>
    <col min="41" max="41" width="6.6328125" style="17" customWidth="1"/>
    <col min="42" max="42" width="10.54296875" style="52" customWidth="1"/>
    <col min="43" max="43" width="7.90625" style="52" customWidth="1"/>
    <col min="44" max="44" width="7.54296875" style="52" customWidth="1"/>
    <col min="45" max="45" width="6.6328125" style="17" customWidth="1"/>
    <col min="46" max="46" width="10.54296875" style="52" customWidth="1"/>
    <col min="47" max="47" width="7.90625" style="52" customWidth="1"/>
    <col min="48" max="48" width="7.54296875" style="52" customWidth="1"/>
    <col min="49" max="49" width="8.6328125" style="17" customWidth="1"/>
    <col min="50" max="50" width="10.54296875" style="52" customWidth="1"/>
    <col min="51" max="51" width="7.90625" style="52" customWidth="1"/>
    <col min="52" max="52" width="7.54296875" style="52" customWidth="1"/>
    <col min="53" max="53" width="6.6328125" style="17" customWidth="1"/>
    <col min="54" max="54" width="7.54296875" style="52" customWidth="1"/>
    <col min="55" max="55" width="7" style="52" customWidth="1"/>
    <col min="56" max="56" width="7.54296875" style="52" customWidth="1"/>
    <col min="57" max="57" width="7.1796875" style="17" customWidth="1"/>
    <col min="58" max="58" width="8.81640625" style="52" customWidth="1"/>
    <col min="59" max="59" width="7.90625" style="52" customWidth="1"/>
    <col min="60" max="60" width="7.54296875" style="52" customWidth="1"/>
    <col min="61" max="61" width="6.6328125" style="17" customWidth="1"/>
    <col min="62" max="62" width="10.54296875" style="52" customWidth="1"/>
    <col min="63" max="63" width="11.26953125" style="52" customWidth="1"/>
    <col min="64" max="64" width="10.6328125" style="52" customWidth="1"/>
    <col min="65" max="65" width="16.6328125" style="17" customWidth="1"/>
    <col min="66" max="66" width="10.90625" style="52" customWidth="1"/>
    <col min="67" max="67" width="9.26953125" style="52" customWidth="1"/>
    <col min="68" max="68" width="8.54296875" style="52" customWidth="1"/>
    <col min="69" max="69" width="9.6328125" style="17" customWidth="1"/>
    <col min="70" max="70" width="6.7265625" style="52" customWidth="1"/>
    <col min="71" max="71" width="6.453125" style="52" customWidth="1"/>
    <col min="72" max="72" width="7.54296875" style="52" customWidth="1"/>
    <col min="73" max="73" width="7.54296875" style="17" customWidth="1"/>
    <col min="74" max="74" width="11" style="19" customWidth="1"/>
    <col min="75" max="75" width="11.1796875" style="19" customWidth="1"/>
    <col min="76" max="76" width="8.7265625" style="19"/>
    <col min="77" max="77" width="8.7265625" style="242"/>
    <col min="78" max="16384" width="8.7265625" style="52"/>
  </cols>
  <sheetData>
    <row r="1" spans="1:81" ht="16" customHeight="1" x14ac:dyDescent="0.35">
      <c r="A1" s="523" t="s">
        <v>0</v>
      </c>
      <c r="B1" s="523"/>
      <c r="C1" s="523"/>
      <c r="D1" s="493"/>
      <c r="E1" s="498"/>
      <c r="F1" s="53"/>
      <c r="G1" s="164" t="s">
        <v>93</v>
      </c>
      <c r="H1" s="177" t="s">
        <v>371</v>
      </c>
      <c r="I1" s="177" t="s">
        <v>372</v>
      </c>
      <c r="J1" s="190" t="s">
        <v>404</v>
      </c>
      <c r="K1" s="196" t="s">
        <v>2</v>
      </c>
      <c r="L1" s="190" t="s">
        <v>4</v>
      </c>
      <c r="M1" s="190" t="s">
        <v>5</v>
      </c>
      <c r="N1" s="190" t="s">
        <v>274</v>
      </c>
      <c r="O1" s="196" t="s">
        <v>3</v>
      </c>
      <c r="P1" s="196" t="s">
        <v>181</v>
      </c>
      <c r="Q1" s="248" t="s">
        <v>6</v>
      </c>
      <c r="R1" s="515" t="s">
        <v>51</v>
      </c>
      <c r="S1" s="516"/>
      <c r="T1" s="516"/>
      <c r="U1" s="517"/>
      <c r="V1" s="515" t="s">
        <v>52</v>
      </c>
      <c r="W1" s="516"/>
      <c r="X1" s="516"/>
      <c r="Y1" s="517"/>
      <c r="Z1" s="515" t="s">
        <v>273</v>
      </c>
      <c r="AA1" s="516"/>
      <c r="AB1" s="516"/>
      <c r="AC1" s="517"/>
      <c r="AD1" s="515" t="s">
        <v>53</v>
      </c>
      <c r="AE1" s="516"/>
      <c r="AF1" s="516"/>
      <c r="AG1" s="517"/>
      <c r="AH1" s="515" t="s">
        <v>54</v>
      </c>
      <c r="AI1" s="516"/>
      <c r="AJ1" s="516"/>
      <c r="AK1" s="517"/>
      <c r="AL1" s="515" t="s">
        <v>55</v>
      </c>
      <c r="AM1" s="516"/>
      <c r="AN1" s="516"/>
      <c r="AO1" s="517"/>
      <c r="AP1" s="515" t="s">
        <v>56</v>
      </c>
      <c r="AQ1" s="516"/>
      <c r="AR1" s="516"/>
      <c r="AS1" s="517"/>
      <c r="AT1" s="515" t="s">
        <v>128</v>
      </c>
      <c r="AU1" s="516"/>
      <c r="AV1" s="516"/>
      <c r="AW1" s="517"/>
      <c r="AX1" s="515" t="s">
        <v>129</v>
      </c>
      <c r="AY1" s="516"/>
      <c r="AZ1" s="516"/>
      <c r="BA1" s="517"/>
      <c r="BB1" s="515" t="s">
        <v>403</v>
      </c>
      <c r="BC1" s="516"/>
      <c r="BD1" s="516"/>
      <c r="BE1" s="517"/>
      <c r="BF1" s="515" t="s">
        <v>130</v>
      </c>
      <c r="BG1" s="516"/>
      <c r="BH1" s="516"/>
      <c r="BI1" s="517"/>
      <c r="BJ1" s="515" t="s">
        <v>464</v>
      </c>
      <c r="BK1" s="516"/>
      <c r="BL1" s="516"/>
      <c r="BM1" s="517"/>
      <c r="BN1" s="515" t="s">
        <v>465</v>
      </c>
      <c r="BO1" s="516"/>
      <c r="BP1" s="516"/>
      <c r="BQ1" s="517"/>
      <c r="BR1" s="515" t="s">
        <v>58</v>
      </c>
      <c r="BS1" s="516"/>
      <c r="BT1" s="516"/>
      <c r="BU1" s="517"/>
      <c r="BV1" s="518" t="s">
        <v>307</v>
      </c>
      <c r="BW1" s="519"/>
      <c r="BX1" s="519"/>
      <c r="BY1" s="520"/>
      <c r="BZ1" s="521" t="s">
        <v>308</v>
      </c>
      <c r="CA1" s="521"/>
      <c r="CB1" s="521"/>
      <c r="CC1" s="521"/>
    </row>
    <row r="2" spans="1:81" s="4" customFormat="1" ht="15" customHeight="1" x14ac:dyDescent="0.35">
      <c r="A2" s="29"/>
      <c r="B2" s="524" t="s">
        <v>7</v>
      </c>
      <c r="C2" s="525" t="s">
        <v>8</v>
      </c>
      <c r="D2" s="524" t="s">
        <v>9</v>
      </c>
      <c r="E2" s="524" t="s">
        <v>475</v>
      </c>
      <c r="F2" s="40" t="s">
        <v>1</v>
      </c>
      <c r="G2" s="165" t="str">
        <f>G1</f>
        <v>Used (1 or 0)</v>
      </c>
      <c r="H2" s="165" t="str">
        <f t="shared" ref="H2:L2" si="0">H1</f>
        <v>Capacity units</v>
      </c>
      <c r="I2" s="165" t="str">
        <f t="shared" si="0"/>
        <v>Output units</v>
      </c>
      <c r="J2" s="165" t="str">
        <f t="shared" si="0"/>
        <v>Yearly demand (output)</v>
      </c>
      <c r="K2" s="165" t="str">
        <f t="shared" si="0"/>
        <v>Produced from</v>
      </c>
      <c r="L2" s="165" t="str">
        <f t="shared" si="0"/>
        <v>El balance</v>
      </c>
      <c r="M2" s="165" t="str">
        <f t="shared" ref="M2" si="1">M1</f>
        <v>Heat balance</v>
      </c>
      <c r="N2" s="165" t="str">
        <f t="shared" ref="N2" si="2">N1</f>
        <v>Process heat balance</v>
      </c>
      <c r="O2" s="165" t="str">
        <f t="shared" ref="O2" si="3">O1</f>
        <v>H2 balance</v>
      </c>
      <c r="P2" s="165" t="str">
        <f t="shared" ref="P2:R2" si="4">P1</f>
        <v>CSP balance</v>
      </c>
      <c r="Q2" s="165" t="str">
        <f t="shared" si="4"/>
        <v>Max Capacity</v>
      </c>
      <c r="R2" s="165" t="str">
        <f t="shared" si="4"/>
        <v>Fuel production rate (kg output/kg input)</v>
      </c>
      <c r="S2" s="165" t="str">
        <f>R1</f>
        <v>Fuel production rate (kg output/kg input)</v>
      </c>
      <c r="T2" s="165" t="str">
        <f>R1</f>
        <v>Fuel production rate (kg output/kg input)</v>
      </c>
      <c r="U2" s="165" t="str">
        <f>R1</f>
        <v>Fuel production rate (kg output/kg input)</v>
      </c>
      <c r="V2" s="18" t="str">
        <f>V1</f>
        <v>Heat generated (kWh/output)</v>
      </c>
      <c r="W2" s="18" t="str">
        <f>V1</f>
        <v>Heat generated (kWh/output)</v>
      </c>
      <c r="X2" s="18" t="str">
        <f>V1</f>
        <v>Heat generated (kWh/output)</v>
      </c>
      <c r="Y2" s="202" t="str">
        <f>V1</f>
        <v>Heat generated (kWh/output)</v>
      </c>
      <c r="Z2" s="18" t="str">
        <f>Z1</f>
        <v>Process heat generated (kWh/output)</v>
      </c>
      <c r="AA2" s="18" t="str">
        <f>Z1</f>
        <v>Process heat generated (kWh/output)</v>
      </c>
      <c r="AB2" s="18" t="str">
        <f>Z1</f>
        <v>Process heat generated (kWh/output)</v>
      </c>
      <c r="AC2" s="202" t="str">
        <f>Z1</f>
        <v>Process heat generated (kWh/output)</v>
      </c>
      <c r="AD2" s="18" t="str">
        <f>AD1</f>
        <v>Load min (% of max capacity)</v>
      </c>
      <c r="AE2" s="18" t="str">
        <f>AD1</f>
        <v>Load min (% of max capacity)</v>
      </c>
      <c r="AF2" s="18" t="str">
        <f>AD1</f>
        <v>Load min (% of max capacity)</v>
      </c>
      <c r="AG2" s="202" t="str">
        <f>AD1</f>
        <v>Load min (% of max capacity)</v>
      </c>
      <c r="AH2" s="18" t="str">
        <f>AH1</f>
        <v>Ramp up (% of capacity /h)</v>
      </c>
      <c r="AI2" s="18" t="str">
        <f>AH1</f>
        <v>Ramp up (% of capacity /h)</v>
      </c>
      <c r="AJ2" s="18" t="str">
        <f>AH1</f>
        <v>Ramp up (% of capacity /h)</v>
      </c>
      <c r="AK2" s="202" t="str">
        <f>AH1</f>
        <v>Ramp up (% of capacity /h)</v>
      </c>
      <c r="AL2" s="18" t="str">
        <f>AL1</f>
        <v>Ramp down (% of capacity /h)</v>
      </c>
      <c r="AM2" s="18" t="str">
        <f>AL1</f>
        <v>Ramp down (% of capacity /h)</v>
      </c>
      <c r="AN2" s="18" t="str">
        <f>AL1</f>
        <v>Ramp down (% of capacity /h)</v>
      </c>
      <c r="AO2" s="202" t="str">
        <f>AL1</f>
        <v>Ramp down (% of capacity /h)</v>
      </c>
      <c r="AP2" s="18" t="str">
        <f>AP1</f>
        <v>Electrical consumption (kWh/output)</v>
      </c>
      <c r="AQ2" s="18" t="str">
        <f>AP1</f>
        <v>Electrical consumption (kWh/output)</v>
      </c>
      <c r="AR2" s="18" t="str">
        <f>AP1</f>
        <v>Electrical consumption (kWh/output)</v>
      </c>
      <c r="AS2" s="202" t="str">
        <f>AP1</f>
        <v>Electrical consumption (kWh/output)</v>
      </c>
      <c r="AT2" s="18" t="str">
        <f>AT1</f>
        <v>Investment (EUR/Capacity installed)</v>
      </c>
      <c r="AU2" s="18" t="str">
        <f>AT1</f>
        <v>Investment (EUR/Capacity installed)</v>
      </c>
      <c r="AV2" s="18" t="str">
        <f>AT1</f>
        <v>Investment (EUR/Capacity installed)</v>
      </c>
      <c r="AW2" s="202" t="str">
        <f>AT1</f>
        <v>Investment (EUR/Capacity installed)</v>
      </c>
      <c r="AX2" s="18" t="str">
        <f>AX1</f>
        <v>Fixed cost (EUR/Capacity installed/y)</v>
      </c>
      <c r="AY2" s="18" t="str">
        <f>AX1</f>
        <v>Fixed cost (EUR/Capacity installed/y)</v>
      </c>
      <c r="AZ2" s="18" t="str">
        <f>AX1</f>
        <v>Fixed cost (EUR/Capacity installed/y)</v>
      </c>
      <c r="BA2" s="202" t="str">
        <f>AX1</f>
        <v>Fixed cost (EUR/Capacity installed/y)</v>
      </c>
      <c r="BB2" s="18" t="str">
        <f>BB1</f>
        <v>Variable cost (EUR/output)</v>
      </c>
      <c r="BC2" s="18" t="str">
        <f>BB1</f>
        <v>Variable cost (EUR/output)</v>
      </c>
      <c r="BD2" s="18" t="str">
        <f>BB1</f>
        <v>Variable cost (EUR/output)</v>
      </c>
      <c r="BE2" s="18" t="str">
        <f>BB1</f>
        <v>Variable cost (EUR/output)</v>
      </c>
      <c r="BF2" s="18" t="str">
        <f>BF1</f>
        <v>Fuel selling price (EUR/output)</v>
      </c>
      <c r="BG2" s="18" t="str">
        <f>BF1</f>
        <v>Fuel selling price (EUR/output)</v>
      </c>
      <c r="BH2" s="18" t="str">
        <f>BF1</f>
        <v>Fuel selling price (EUR/output)</v>
      </c>
      <c r="BI2" s="202" t="str">
        <f>BF1</f>
        <v>Fuel selling price (EUR/output)</v>
      </c>
      <c r="BJ2" s="18" t="str">
        <f>BJ1</f>
        <v>CO2e infrastructure regulated (kg CO2e/Capacity/y)</v>
      </c>
      <c r="BK2" s="18" t="str">
        <f>BJ1</f>
        <v>CO2e infrastructure regulated (kg CO2e/Capacity/y)</v>
      </c>
      <c r="BL2" s="18" t="str">
        <f>BJ1</f>
        <v>CO2e infrastructure regulated (kg CO2e/Capacity/y)</v>
      </c>
      <c r="BM2" s="202" t="str">
        <f>BJ1</f>
        <v>CO2e infrastructure regulated (kg CO2e/Capacity/y)</v>
      </c>
      <c r="BN2" s="18" t="str">
        <f>BN1</f>
        <v>CO2e process regulated (kg CO2e/output)</v>
      </c>
      <c r="BO2" s="18" t="str">
        <f>BN1</f>
        <v>CO2e process regulated (kg CO2e/output)</v>
      </c>
      <c r="BP2" s="18" t="str">
        <f>BN1</f>
        <v>CO2e process regulated (kg CO2e/output)</v>
      </c>
      <c r="BQ2" s="202" t="str">
        <f>BN1</f>
        <v>CO2e process regulated (kg CO2e/output)</v>
      </c>
      <c r="BR2" s="18" t="str">
        <f>BR1</f>
        <v>Annuity factor</v>
      </c>
      <c r="BS2" s="18" t="str">
        <f>BR1</f>
        <v>Annuity factor</v>
      </c>
      <c r="BT2" s="18" t="str">
        <f>BR1</f>
        <v>Annuity factor</v>
      </c>
      <c r="BU2" s="202" t="str">
        <f>BR1</f>
        <v>Annuity factor</v>
      </c>
      <c r="BV2" s="236" t="str">
        <f>BV1</f>
        <v>Lifetime (years)</v>
      </c>
      <c r="BW2" s="236" t="str">
        <f>BV1</f>
        <v>Lifetime (years)</v>
      </c>
      <c r="BX2" s="236" t="str">
        <f>BV1</f>
        <v>Lifetime (years)</v>
      </c>
      <c r="BY2" s="237" t="str">
        <f>BV1</f>
        <v>Lifetime (years)</v>
      </c>
      <c r="BZ2" s="18" t="str">
        <f>BZ1</f>
        <v>Discount rate (%)</v>
      </c>
      <c r="CA2" s="18" t="str">
        <f>BZ1</f>
        <v>Discount rate (%)</v>
      </c>
      <c r="CB2" s="18" t="str">
        <f>BZ1</f>
        <v>Discount rate (%)</v>
      </c>
      <c r="CC2" s="18" t="str">
        <f>BZ1</f>
        <v>Discount rate (%)</v>
      </c>
    </row>
    <row r="3" spans="1:81" s="62" customFormat="1" ht="14" customHeight="1" x14ac:dyDescent="0.35">
      <c r="A3" s="60"/>
      <c r="B3" s="524"/>
      <c r="C3" s="525"/>
      <c r="D3" s="524"/>
      <c r="E3" s="524"/>
      <c r="F3" s="61" t="s">
        <v>66</v>
      </c>
      <c r="G3" s="166" t="s">
        <v>95</v>
      </c>
      <c r="H3" s="179" t="s">
        <v>95</v>
      </c>
      <c r="I3" s="179" t="s">
        <v>95</v>
      </c>
      <c r="J3" s="179" t="s">
        <v>95</v>
      </c>
      <c r="K3" s="179" t="s">
        <v>95</v>
      </c>
      <c r="L3" s="179" t="s">
        <v>95</v>
      </c>
      <c r="M3" s="179" t="s">
        <v>95</v>
      </c>
      <c r="N3" s="179" t="s">
        <v>95</v>
      </c>
      <c r="O3" s="201" t="s">
        <v>95</v>
      </c>
      <c r="P3" s="201" t="s">
        <v>95</v>
      </c>
      <c r="Q3" s="166" t="s">
        <v>95</v>
      </c>
      <c r="R3" s="163">
        <v>2025</v>
      </c>
      <c r="S3" s="163">
        <v>2030</v>
      </c>
      <c r="T3" s="163">
        <v>2040</v>
      </c>
      <c r="U3" s="203">
        <v>2050</v>
      </c>
      <c r="V3" s="163">
        <v>2025</v>
      </c>
      <c r="W3" s="163">
        <v>2030</v>
      </c>
      <c r="X3" s="163">
        <v>2040</v>
      </c>
      <c r="Y3" s="203">
        <v>2050</v>
      </c>
      <c r="Z3" s="163">
        <v>2025</v>
      </c>
      <c r="AA3" s="163">
        <v>2030</v>
      </c>
      <c r="AB3" s="163">
        <v>2040</v>
      </c>
      <c r="AC3" s="203">
        <v>2050</v>
      </c>
      <c r="AD3" s="163">
        <v>2025</v>
      </c>
      <c r="AE3" s="163">
        <v>2030</v>
      </c>
      <c r="AF3" s="163">
        <v>2040</v>
      </c>
      <c r="AG3" s="203">
        <v>2050</v>
      </c>
      <c r="AH3" s="163">
        <v>2025</v>
      </c>
      <c r="AI3" s="163">
        <v>2030</v>
      </c>
      <c r="AJ3" s="163">
        <v>2040</v>
      </c>
      <c r="AK3" s="203">
        <v>2050</v>
      </c>
      <c r="AL3" s="163">
        <v>2025</v>
      </c>
      <c r="AM3" s="163">
        <v>2030</v>
      </c>
      <c r="AN3" s="163">
        <v>2040</v>
      </c>
      <c r="AO3" s="203">
        <v>2050</v>
      </c>
      <c r="AP3" s="163">
        <v>2025</v>
      </c>
      <c r="AQ3" s="163">
        <v>2030</v>
      </c>
      <c r="AR3" s="163">
        <v>2040</v>
      </c>
      <c r="AS3" s="203">
        <v>2050</v>
      </c>
      <c r="AT3" s="163">
        <v>2025</v>
      </c>
      <c r="AU3" s="163">
        <v>2030</v>
      </c>
      <c r="AV3" s="163">
        <v>2040</v>
      </c>
      <c r="AW3" s="203">
        <v>2050</v>
      </c>
      <c r="AX3" s="163">
        <v>2025</v>
      </c>
      <c r="AY3" s="163">
        <v>2030</v>
      </c>
      <c r="AZ3" s="163">
        <v>2040</v>
      </c>
      <c r="BA3" s="203">
        <v>2050</v>
      </c>
      <c r="BB3" s="163">
        <v>2025</v>
      </c>
      <c r="BC3" s="163">
        <v>2030</v>
      </c>
      <c r="BD3" s="163">
        <v>2040</v>
      </c>
      <c r="BE3" s="203">
        <v>2050</v>
      </c>
      <c r="BF3" s="163">
        <v>2025</v>
      </c>
      <c r="BG3" s="163">
        <v>2030</v>
      </c>
      <c r="BH3" s="163">
        <v>2040</v>
      </c>
      <c r="BI3" s="203">
        <v>2050</v>
      </c>
      <c r="BJ3" s="163">
        <v>2025</v>
      </c>
      <c r="BK3" s="163">
        <v>2030</v>
      </c>
      <c r="BL3" s="163">
        <v>2040</v>
      </c>
      <c r="BM3" s="203">
        <v>2050</v>
      </c>
      <c r="BN3" s="163">
        <v>2025</v>
      </c>
      <c r="BO3" s="163">
        <v>2030</v>
      </c>
      <c r="BP3" s="163">
        <v>2040</v>
      </c>
      <c r="BQ3" s="203">
        <v>2050</v>
      </c>
      <c r="BR3" s="163">
        <v>2025</v>
      </c>
      <c r="BS3" s="163">
        <v>2030</v>
      </c>
      <c r="BT3" s="163">
        <v>2040</v>
      </c>
      <c r="BU3" s="203">
        <v>2050</v>
      </c>
      <c r="BV3" s="163">
        <v>2025</v>
      </c>
      <c r="BW3" s="163">
        <v>2030</v>
      </c>
      <c r="BX3" s="163">
        <v>2040</v>
      </c>
      <c r="BY3" s="203">
        <v>2050</v>
      </c>
      <c r="BZ3" s="163">
        <v>2025</v>
      </c>
      <c r="CA3" s="163">
        <v>2030</v>
      </c>
      <c r="CB3" s="163">
        <v>2040</v>
      </c>
      <c r="CC3" s="163">
        <v>2050</v>
      </c>
    </row>
    <row r="4" spans="1:81" s="4" customFormat="1" ht="5.5" customHeight="1" x14ac:dyDescent="0.35">
      <c r="A4" s="39"/>
      <c r="B4" s="524"/>
      <c r="C4" s="525"/>
      <c r="D4" s="524"/>
      <c r="E4" s="524"/>
      <c r="F4" s="40"/>
      <c r="G4" s="167" t="str">
        <f>G2&amp;G3</f>
        <v>Used (1 or 0)All</v>
      </c>
      <c r="H4" s="180" t="str">
        <f>H2&amp;H3</f>
        <v>Capacity unitsAll</v>
      </c>
      <c r="I4" s="180" t="str">
        <f>I2&amp;I3</f>
        <v>Output unitsAll</v>
      </c>
      <c r="J4" s="180" t="str">
        <f t="shared" ref="J4:BD4" si="5">J2&amp;J3</f>
        <v>Yearly demand (output)All</v>
      </c>
      <c r="K4" s="180" t="str">
        <f t="shared" si="5"/>
        <v>Produced fromAll</v>
      </c>
      <c r="L4" s="180" t="str">
        <f t="shared" si="5"/>
        <v>El balanceAll</v>
      </c>
      <c r="M4" s="180" t="str">
        <f t="shared" si="5"/>
        <v>Heat balanceAll</v>
      </c>
      <c r="N4" s="180" t="str">
        <f t="shared" si="5"/>
        <v>Process heat balanceAll</v>
      </c>
      <c r="O4" s="180" t="str">
        <f t="shared" si="5"/>
        <v>H2 balanceAll</v>
      </c>
      <c r="P4" s="180" t="str">
        <f t="shared" si="5"/>
        <v>CSP balanceAll</v>
      </c>
      <c r="Q4" s="167" t="str">
        <f t="shared" si="5"/>
        <v>Max CapacityAll</v>
      </c>
      <c r="R4" s="12" t="str">
        <f t="shared" si="5"/>
        <v>Fuel production rate (kg output/kg input)2025</v>
      </c>
      <c r="S4" s="12" t="str">
        <f t="shared" si="5"/>
        <v>Fuel production rate (kg output/kg input)2030</v>
      </c>
      <c r="T4" s="12" t="str">
        <f t="shared" si="5"/>
        <v>Fuel production rate (kg output/kg input)2040</v>
      </c>
      <c r="U4" s="167" t="str">
        <f t="shared" si="5"/>
        <v>Fuel production rate (kg output/kg input)2050</v>
      </c>
      <c r="V4" s="12" t="str">
        <f t="shared" si="5"/>
        <v>Heat generated (kWh/output)2025</v>
      </c>
      <c r="W4" s="12" t="str">
        <f t="shared" si="5"/>
        <v>Heat generated (kWh/output)2030</v>
      </c>
      <c r="X4" s="12" t="str">
        <f t="shared" si="5"/>
        <v>Heat generated (kWh/output)2040</v>
      </c>
      <c r="Y4" s="167" t="str">
        <f t="shared" si="5"/>
        <v>Heat generated (kWh/output)2050</v>
      </c>
      <c r="Z4" s="12" t="str">
        <f t="shared" si="5"/>
        <v>Process heat generated (kWh/output)2025</v>
      </c>
      <c r="AA4" s="12" t="str">
        <f t="shared" si="5"/>
        <v>Process heat generated (kWh/output)2030</v>
      </c>
      <c r="AB4" s="12" t="str">
        <f t="shared" si="5"/>
        <v>Process heat generated (kWh/output)2040</v>
      </c>
      <c r="AC4" s="167" t="str">
        <f t="shared" si="5"/>
        <v>Process heat generated (kWh/output)2050</v>
      </c>
      <c r="AD4" s="12" t="str">
        <f t="shared" si="5"/>
        <v>Load min (% of max capacity)2025</v>
      </c>
      <c r="AE4" s="12" t="str">
        <f t="shared" si="5"/>
        <v>Load min (% of max capacity)2030</v>
      </c>
      <c r="AF4" s="12" t="str">
        <f t="shared" si="5"/>
        <v>Load min (% of max capacity)2040</v>
      </c>
      <c r="AG4" s="167" t="str">
        <f t="shared" si="5"/>
        <v>Load min (% of max capacity)2050</v>
      </c>
      <c r="AH4" s="12" t="str">
        <f t="shared" si="5"/>
        <v>Ramp up (% of capacity /h)2025</v>
      </c>
      <c r="AI4" s="12" t="str">
        <f t="shared" si="5"/>
        <v>Ramp up (% of capacity /h)2030</v>
      </c>
      <c r="AJ4" s="12" t="str">
        <f t="shared" si="5"/>
        <v>Ramp up (% of capacity /h)2040</v>
      </c>
      <c r="AK4" s="167" t="str">
        <f t="shared" si="5"/>
        <v>Ramp up (% of capacity /h)2050</v>
      </c>
      <c r="AL4" s="12" t="str">
        <f t="shared" si="5"/>
        <v>Ramp down (% of capacity /h)2025</v>
      </c>
      <c r="AM4" s="12" t="str">
        <f t="shared" si="5"/>
        <v>Ramp down (% of capacity /h)2030</v>
      </c>
      <c r="AN4" s="12" t="str">
        <f t="shared" si="5"/>
        <v>Ramp down (% of capacity /h)2040</v>
      </c>
      <c r="AO4" s="167" t="str">
        <f t="shared" si="5"/>
        <v>Ramp down (% of capacity /h)2050</v>
      </c>
      <c r="AP4" s="12" t="str">
        <f t="shared" si="5"/>
        <v>Electrical consumption (kWh/output)2025</v>
      </c>
      <c r="AQ4" s="12" t="str">
        <f t="shared" si="5"/>
        <v>Electrical consumption (kWh/output)2030</v>
      </c>
      <c r="AR4" s="12" t="str">
        <f t="shared" si="5"/>
        <v>Electrical consumption (kWh/output)2040</v>
      </c>
      <c r="AS4" s="167" t="str">
        <f t="shared" si="5"/>
        <v>Electrical consumption (kWh/output)2050</v>
      </c>
      <c r="AT4" s="12" t="str">
        <f t="shared" si="5"/>
        <v>Investment (EUR/Capacity installed)2025</v>
      </c>
      <c r="AU4" s="12" t="str">
        <f t="shared" si="5"/>
        <v>Investment (EUR/Capacity installed)2030</v>
      </c>
      <c r="AV4" s="12" t="str">
        <f t="shared" si="5"/>
        <v>Investment (EUR/Capacity installed)2040</v>
      </c>
      <c r="AW4" s="167" t="str">
        <f t="shared" si="5"/>
        <v>Investment (EUR/Capacity installed)2050</v>
      </c>
      <c r="AX4" s="12" t="str">
        <f t="shared" si="5"/>
        <v>Fixed cost (EUR/Capacity installed/y)2025</v>
      </c>
      <c r="AY4" s="12" t="str">
        <f t="shared" si="5"/>
        <v>Fixed cost (EUR/Capacity installed/y)2030</v>
      </c>
      <c r="AZ4" s="12" t="str">
        <f t="shared" si="5"/>
        <v>Fixed cost (EUR/Capacity installed/y)2040</v>
      </c>
      <c r="BA4" s="167" t="str">
        <f t="shared" si="5"/>
        <v>Fixed cost (EUR/Capacity installed/y)2050</v>
      </c>
      <c r="BB4" s="12" t="str">
        <f t="shared" si="5"/>
        <v>Variable cost (EUR/output)2025</v>
      </c>
      <c r="BC4" s="12" t="str">
        <f t="shared" si="5"/>
        <v>Variable cost (EUR/output)2030</v>
      </c>
      <c r="BD4" s="12" t="str">
        <f t="shared" si="5"/>
        <v>Variable cost (EUR/output)2040</v>
      </c>
      <c r="BE4" s="167" t="str">
        <f t="shared" ref="BE4:BU4" si="6">BE2&amp;BE3</f>
        <v>Variable cost (EUR/output)2050</v>
      </c>
      <c r="BF4" s="12" t="str">
        <f t="shared" si="6"/>
        <v>Fuel selling price (EUR/output)2025</v>
      </c>
      <c r="BG4" s="12" t="str">
        <f t="shared" si="6"/>
        <v>Fuel selling price (EUR/output)2030</v>
      </c>
      <c r="BH4" s="12" t="str">
        <f t="shared" si="6"/>
        <v>Fuel selling price (EUR/output)2040</v>
      </c>
      <c r="BI4" s="167" t="str">
        <f t="shared" si="6"/>
        <v>Fuel selling price (EUR/output)2050</v>
      </c>
      <c r="BJ4" s="12" t="str">
        <f t="shared" si="6"/>
        <v>CO2e infrastructure regulated (kg CO2e/Capacity/y)2025</v>
      </c>
      <c r="BK4" s="12" t="str">
        <f t="shared" si="6"/>
        <v>CO2e infrastructure regulated (kg CO2e/Capacity/y)2030</v>
      </c>
      <c r="BL4" s="12" t="str">
        <f t="shared" si="6"/>
        <v>CO2e infrastructure regulated (kg CO2e/Capacity/y)2040</v>
      </c>
      <c r="BM4" s="167" t="str">
        <f t="shared" si="6"/>
        <v>CO2e infrastructure regulated (kg CO2e/Capacity/y)2050</v>
      </c>
      <c r="BN4" s="12" t="str">
        <f t="shared" si="6"/>
        <v>CO2e process regulated (kg CO2e/output)2025</v>
      </c>
      <c r="BO4" s="12" t="str">
        <f t="shared" si="6"/>
        <v>CO2e process regulated (kg CO2e/output)2030</v>
      </c>
      <c r="BP4" s="12" t="str">
        <f t="shared" si="6"/>
        <v>CO2e process regulated (kg CO2e/output)2040</v>
      </c>
      <c r="BQ4" s="167" t="str">
        <f t="shared" si="6"/>
        <v>CO2e process regulated (kg CO2e/output)2050</v>
      </c>
      <c r="BR4" s="12" t="str">
        <f t="shared" si="6"/>
        <v>Annuity factor2025</v>
      </c>
      <c r="BS4" s="12" t="str">
        <f t="shared" si="6"/>
        <v>Annuity factor2030</v>
      </c>
      <c r="BT4" s="12" t="str">
        <f t="shared" si="6"/>
        <v>Annuity factor2040</v>
      </c>
      <c r="BU4" s="167" t="str">
        <f t="shared" si="6"/>
        <v>Annuity factor2050</v>
      </c>
      <c r="BV4" s="12" t="str">
        <f t="shared" ref="BV4:BY4" si="7">BV2&amp;BV3</f>
        <v>Lifetime (years)2025</v>
      </c>
      <c r="BW4" s="12" t="str">
        <f t="shared" si="7"/>
        <v>Lifetime (years)2030</v>
      </c>
      <c r="BX4" s="12" t="str">
        <f t="shared" si="7"/>
        <v>Lifetime (years)2040</v>
      </c>
      <c r="BY4" s="167" t="str">
        <f t="shared" si="7"/>
        <v>Lifetime (years)2050</v>
      </c>
      <c r="BZ4" s="12" t="str">
        <f t="shared" ref="BZ4:CC4" si="8">BZ2&amp;BZ3</f>
        <v>Discount rate (%)2025</v>
      </c>
      <c r="CA4" s="12" t="str">
        <f t="shared" si="8"/>
        <v>Discount rate (%)2030</v>
      </c>
      <c r="CB4" s="12" t="str">
        <f t="shared" si="8"/>
        <v>Discount rate (%)2040</v>
      </c>
      <c r="CC4" s="12" t="str">
        <f t="shared" si="8"/>
        <v>Discount rate (%)2050</v>
      </c>
    </row>
    <row r="5" spans="1:81" s="5" customFormat="1" ht="16" customHeight="1" x14ac:dyDescent="0.35">
      <c r="B5" s="524"/>
      <c r="C5" s="525"/>
      <c r="D5" s="524"/>
      <c r="E5" s="524"/>
      <c r="F5" s="63" t="s">
        <v>10</v>
      </c>
      <c r="G5" s="168">
        <f t="shared" ref="G5:AQ5" si="9">COLUMN(G2)-COLUMN($F$5)</f>
        <v>1</v>
      </c>
      <c r="H5" s="181">
        <f t="shared" si="9"/>
        <v>2</v>
      </c>
      <c r="I5" s="181">
        <f t="shared" si="9"/>
        <v>3</v>
      </c>
      <c r="J5" s="181">
        <f t="shared" si="9"/>
        <v>4</v>
      </c>
      <c r="K5" s="181">
        <f t="shared" si="9"/>
        <v>5</v>
      </c>
      <c r="L5" s="181">
        <f t="shared" si="9"/>
        <v>6</v>
      </c>
      <c r="M5" s="181">
        <f t="shared" si="9"/>
        <v>7</v>
      </c>
      <c r="N5" s="181">
        <f t="shared" si="9"/>
        <v>8</v>
      </c>
      <c r="O5" s="181">
        <f>COLUMN(O2)-COLUMN($F$5)</f>
        <v>9</v>
      </c>
      <c r="P5" s="181">
        <f>COLUMN(P2)-COLUMN($F$5)</f>
        <v>10</v>
      </c>
      <c r="Q5" s="168">
        <f t="shared" si="9"/>
        <v>11</v>
      </c>
      <c r="R5" s="5">
        <f t="shared" si="9"/>
        <v>12</v>
      </c>
      <c r="S5" s="5">
        <f t="shared" si="9"/>
        <v>13</v>
      </c>
      <c r="T5" s="5">
        <f t="shared" si="9"/>
        <v>14</v>
      </c>
      <c r="U5" s="168">
        <f t="shared" si="9"/>
        <v>15</v>
      </c>
      <c r="V5" s="5">
        <f t="shared" si="9"/>
        <v>16</v>
      </c>
      <c r="W5" s="5">
        <f t="shared" si="9"/>
        <v>17</v>
      </c>
      <c r="X5" s="5">
        <f t="shared" si="9"/>
        <v>18</v>
      </c>
      <c r="Y5" s="168">
        <f t="shared" si="9"/>
        <v>19</v>
      </c>
      <c r="Z5" s="5">
        <f t="shared" si="9"/>
        <v>20</v>
      </c>
      <c r="AA5" s="5">
        <f t="shared" si="9"/>
        <v>21</v>
      </c>
      <c r="AB5" s="5">
        <f t="shared" si="9"/>
        <v>22</v>
      </c>
      <c r="AC5" s="168">
        <f t="shared" si="9"/>
        <v>23</v>
      </c>
      <c r="AD5" s="5">
        <f t="shared" si="9"/>
        <v>24</v>
      </c>
      <c r="AE5" s="5">
        <f t="shared" si="9"/>
        <v>25</v>
      </c>
      <c r="AF5" s="5">
        <f t="shared" si="9"/>
        <v>26</v>
      </c>
      <c r="AG5" s="168">
        <f t="shared" si="9"/>
        <v>27</v>
      </c>
      <c r="AH5" s="5">
        <f t="shared" si="9"/>
        <v>28</v>
      </c>
      <c r="AI5" s="5">
        <f t="shared" si="9"/>
        <v>29</v>
      </c>
      <c r="AJ5" s="5">
        <f t="shared" si="9"/>
        <v>30</v>
      </c>
      <c r="AK5" s="168">
        <f t="shared" si="9"/>
        <v>31</v>
      </c>
      <c r="AL5" s="5">
        <f t="shared" si="9"/>
        <v>32</v>
      </c>
      <c r="AM5" s="5">
        <f t="shared" si="9"/>
        <v>33</v>
      </c>
      <c r="AN5" s="5">
        <f t="shared" si="9"/>
        <v>34</v>
      </c>
      <c r="AO5" s="168">
        <f t="shared" si="9"/>
        <v>35</v>
      </c>
      <c r="AP5" s="5">
        <f t="shared" si="9"/>
        <v>36</v>
      </c>
      <c r="AQ5" s="5">
        <f t="shared" si="9"/>
        <v>37</v>
      </c>
      <c r="AR5" s="5">
        <f t="shared" ref="AR5:BM5" si="10">COLUMN(AR2)-COLUMN($F$5)</f>
        <v>38</v>
      </c>
      <c r="AS5" s="168">
        <f t="shared" si="10"/>
        <v>39</v>
      </c>
      <c r="AT5" s="5">
        <f t="shared" si="10"/>
        <v>40</v>
      </c>
      <c r="AU5" s="5">
        <f t="shared" si="10"/>
        <v>41</v>
      </c>
      <c r="AV5" s="5">
        <f t="shared" si="10"/>
        <v>42</v>
      </c>
      <c r="AW5" s="168">
        <f t="shared" si="10"/>
        <v>43</v>
      </c>
      <c r="AX5" s="5">
        <f t="shared" si="10"/>
        <v>44</v>
      </c>
      <c r="AY5" s="5">
        <f t="shared" si="10"/>
        <v>45</v>
      </c>
      <c r="AZ5" s="5">
        <f t="shared" si="10"/>
        <v>46</v>
      </c>
      <c r="BA5" s="168">
        <f t="shared" si="10"/>
        <v>47</v>
      </c>
      <c r="BB5" s="5">
        <f t="shared" si="10"/>
        <v>48</v>
      </c>
      <c r="BC5" s="5">
        <f t="shared" si="10"/>
        <v>49</v>
      </c>
      <c r="BD5" s="5">
        <f t="shared" si="10"/>
        <v>50</v>
      </c>
      <c r="BE5" s="168">
        <f t="shared" si="10"/>
        <v>51</v>
      </c>
      <c r="BF5" s="5">
        <f t="shared" si="10"/>
        <v>52</v>
      </c>
      <c r="BG5" s="5">
        <f t="shared" si="10"/>
        <v>53</v>
      </c>
      <c r="BH5" s="5">
        <f t="shared" si="10"/>
        <v>54</v>
      </c>
      <c r="BI5" s="168">
        <f t="shared" si="10"/>
        <v>55</v>
      </c>
      <c r="BJ5" s="5">
        <f t="shared" si="10"/>
        <v>56</v>
      </c>
      <c r="BK5" s="5">
        <f t="shared" si="10"/>
        <v>57</v>
      </c>
      <c r="BL5" s="5">
        <f t="shared" si="10"/>
        <v>58</v>
      </c>
      <c r="BM5" s="168">
        <f t="shared" si="10"/>
        <v>59</v>
      </c>
      <c r="BN5" s="5">
        <f t="shared" ref="BN5:BU5" si="11">COLUMN(BN2)-COLUMN($F$5)</f>
        <v>60</v>
      </c>
      <c r="BO5" s="5">
        <f t="shared" si="11"/>
        <v>61</v>
      </c>
      <c r="BP5" s="5">
        <f t="shared" si="11"/>
        <v>62</v>
      </c>
      <c r="BQ5" s="168">
        <f t="shared" si="11"/>
        <v>63</v>
      </c>
      <c r="BR5" s="5">
        <f t="shared" si="11"/>
        <v>64</v>
      </c>
      <c r="BS5" s="5">
        <f t="shared" si="11"/>
        <v>65</v>
      </c>
      <c r="BT5" s="5">
        <f t="shared" si="11"/>
        <v>66</v>
      </c>
      <c r="BU5" s="168">
        <f t="shared" si="11"/>
        <v>67</v>
      </c>
      <c r="BV5" s="5">
        <f t="shared" ref="BV5:BY5" si="12">COLUMN(BV2)-COLUMN($F$5)</f>
        <v>68</v>
      </c>
      <c r="BW5" s="5">
        <f t="shared" si="12"/>
        <v>69</v>
      </c>
      <c r="BX5" s="5">
        <f t="shared" si="12"/>
        <v>70</v>
      </c>
      <c r="BY5" s="168">
        <f t="shared" si="12"/>
        <v>71</v>
      </c>
      <c r="BZ5" s="5">
        <f t="shared" ref="BZ5:CC5" si="13">COLUMN(BZ2)-COLUMN($F$5)</f>
        <v>72</v>
      </c>
      <c r="CA5" s="5">
        <f t="shared" si="13"/>
        <v>73</v>
      </c>
      <c r="CB5" s="5">
        <f t="shared" si="13"/>
        <v>74</v>
      </c>
      <c r="CC5" s="5">
        <f t="shared" si="13"/>
        <v>75</v>
      </c>
    </row>
    <row r="6" spans="1:81" s="33" customFormat="1" ht="18" customHeight="1" x14ac:dyDescent="0.35">
      <c r="A6" s="526" t="s">
        <v>11</v>
      </c>
      <c r="B6" s="381" t="s">
        <v>97</v>
      </c>
      <c r="C6" s="382" t="s">
        <v>184</v>
      </c>
      <c r="D6" s="383" t="s">
        <v>425</v>
      </c>
      <c r="E6" s="495" t="s">
        <v>472</v>
      </c>
      <c r="F6" s="6">
        <f t="shared" ref="F6:F37" si="14">ROW(D5)-ROW($F$4)</f>
        <v>1</v>
      </c>
      <c r="G6" s="395">
        <v>1</v>
      </c>
      <c r="H6" s="397" t="s">
        <v>426</v>
      </c>
      <c r="I6" s="397" t="s">
        <v>427</v>
      </c>
      <c r="J6" s="399">
        <v>3443530.9496236341</v>
      </c>
      <c r="K6" s="408" t="str">
        <f>B7</f>
        <v>Product/Reactant1</v>
      </c>
      <c r="L6" s="417">
        <v>0</v>
      </c>
      <c r="M6" s="417">
        <v>0</v>
      </c>
      <c r="N6" s="417">
        <v>0</v>
      </c>
      <c r="O6" s="417">
        <v>0</v>
      </c>
      <c r="P6" s="417">
        <v>0</v>
      </c>
      <c r="Q6" s="385">
        <v>2000000</v>
      </c>
      <c r="R6" s="384">
        <v>1.7649999999999999</v>
      </c>
      <c r="S6" s="424">
        <f>R6</f>
        <v>1.7649999999999999</v>
      </c>
      <c r="T6" s="424">
        <f t="shared" ref="T6:U6" si="15">S6</f>
        <v>1.7649999999999999</v>
      </c>
      <c r="U6" s="385">
        <f t="shared" si="15"/>
        <v>1.7649999999999999</v>
      </c>
      <c r="V6" s="424">
        <v>0</v>
      </c>
      <c r="W6" s="424">
        <v>0</v>
      </c>
      <c r="X6" s="424">
        <v>0</v>
      </c>
      <c r="Y6" s="385">
        <v>0</v>
      </c>
      <c r="Z6" s="424">
        <v>0</v>
      </c>
      <c r="AA6" s="424">
        <v>0</v>
      </c>
      <c r="AB6" s="424">
        <v>0</v>
      </c>
      <c r="AC6" s="385">
        <v>0</v>
      </c>
      <c r="AD6" s="387">
        <v>0</v>
      </c>
      <c r="AE6" s="425">
        <v>0</v>
      </c>
      <c r="AF6" s="425">
        <v>0</v>
      </c>
      <c r="AG6" s="425">
        <v>0</v>
      </c>
      <c r="AH6" s="387">
        <v>1</v>
      </c>
      <c r="AI6" s="425">
        <v>1</v>
      </c>
      <c r="AJ6" s="425">
        <v>1</v>
      </c>
      <c r="AK6" s="425">
        <v>1</v>
      </c>
      <c r="AL6" s="387">
        <v>1</v>
      </c>
      <c r="AM6" s="425">
        <v>1</v>
      </c>
      <c r="AN6" s="425">
        <v>1</v>
      </c>
      <c r="AO6" s="457">
        <v>1</v>
      </c>
      <c r="AP6" s="427">
        <v>0</v>
      </c>
      <c r="AQ6" s="427">
        <v>0</v>
      </c>
      <c r="AR6" s="427">
        <v>0</v>
      </c>
      <c r="AS6" s="464">
        <v>0</v>
      </c>
      <c r="AT6" s="430">
        <v>0</v>
      </c>
      <c r="AU6" s="430">
        <v>0</v>
      </c>
      <c r="AV6" s="430">
        <v>1</v>
      </c>
      <c r="AW6" s="430">
        <v>2</v>
      </c>
      <c r="AX6" s="386">
        <v>0</v>
      </c>
      <c r="AY6" s="424">
        <v>0</v>
      </c>
      <c r="AZ6" s="424">
        <v>0</v>
      </c>
      <c r="BA6" s="424">
        <v>0</v>
      </c>
      <c r="BB6" s="388">
        <v>2.1279194466572664E-2</v>
      </c>
      <c r="BC6" s="428">
        <v>2.1279194466572664E-2</v>
      </c>
      <c r="BD6" s="428">
        <v>1.02127919446657</v>
      </c>
      <c r="BE6" s="428">
        <v>2.0212791944665698</v>
      </c>
      <c r="BF6" s="386">
        <v>0</v>
      </c>
      <c r="BG6" s="424">
        <v>0</v>
      </c>
      <c r="BH6" s="424">
        <v>0</v>
      </c>
      <c r="BI6" s="385">
        <v>0</v>
      </c>
      <c r="BJ6" s="424">
        <v>0</v>
      </c>
      <c r="BK6" s="424">
        <v>0</v>
      </c>
      <c r="BL6" s="424">
        <v>0</v>
      </c>
      <c r="BM6" s="385">
        <v>0</v>
      </c>
      <c r="BN6" s="424">
        <v>0</v>
      </c>
      <c r="BO6" s="424">
        <v>0</v>
      </c>
      <c r="BP6" s="424">
        <v>0</v>
      </c>
      <c r="BQ6" s="385">
        <v>0</v>
      </c>
      <c r="BR6" s="424">
        <v>0</v>
      </c>
      <c r="BS6" s="424">
        <v>0</v>
      </c>
      <c r="BT6" s="424">
        <v>0</v>
      </c>
      <c r="BU6" s="385">
        <v>0</v>
      </c>
      <c r="BV6" s="424">
        <v>0</v>
      </c>
      <c r="BW6" s="424">
        <v>0</v>
      </c>
      <c r="BX6" s="424">
        <v>0</v>
      </c>
      <c r="BY6" s="385">
        <v>0</v>
      </c>
      <c r="BZ6" s="424">
        <v>0</v>
      </c>
      <c r="CA6" s="424">
        <v>0</v>
      </c>
      <c r="CB6" s="424">
        <v>0</v>
      </c>
      <c r="CC6" s="424">
        <v>0</v>
      </c>
    </row>
    <row r="7" spans="1:81" x14ac:dyDescent="0.35">
      <c r="A7" s="526"/>
      <c r="B7" s="381" t="s">
        <v>96</v>
      </c>
      <c r="C7" s="382" t="s">
        <v>184</v>
      </c>
      <c r="D7" s="383" t="s">
        <v>429</v>
      </c>
      <c r="E7" s="495" t="s">
        <v>86</v>
      </c>
      <c r="F7" s="6">
        <f t="shared" si="14"/>
        <v>2</v>
      </c>
      <c r="G7" s="395">
        <v>1</v>
      </c>
      <c r="H7" s="397" t="s">
        <v>373</v>
      </c>
      <c r="I7" s="397" t="s">
        <v>374</v>
      </c>
      <c r="J7" s="400">
        <f>J6/R6</f>
        <v>1951009.036613957</v>
      </c>
      <c r="K7" s="408" t="str">
        <f>B8</f>
        <v>Product/Reactant2</v>
      </c>
      <c r="L7" s="417">
        <v>0</v>
      </c>
      <c r="M7" s="417">
        <v>0</v>
      </c>
      <c r="N7" s="417">
        <v>0</v>
      </c>
      <c r="O7" s="417">
        <v>0</v>
      </c>
      <c r="P7" s="417">
        <v>0</v>
      </c>
      <c r="Q7" s="385">
        <v>2000000</v>
      </c>
      <c r="R7" s="384">
        <v>1.3740000000000001</v>
      </c>
      <c r="S7" s="424">
        <v>1.3740000000000001</v>
      </c>
      <c r="T7" s="424">
        <v>2.3740000000000001</v>
      </c>
      <c r="U7" s="385">
        <v>3.3740000000000001</v>
      </c>
      <c r="V7" s="424">
        <v>0</v>
      </c>
      <c r="W7" s="424">
        <v>0</v>
      </c>
      <c r="X7" s="424">
        <v>0</v>
      </c>
      <c r="Y7" s="385">
        <v>0</v>
      </c>
      <c r="Z7" s="424">
        <v>0</v>
      </c>
      <c r="AA7" s="424">
        <v>0</v>
      </c>
      <c r="AB7" s="424">
        <v>0</v>
      </c>
      <c r="AC7" s="385">
        <v>0</v>
      </c>
      <c r="AD7" s="387">
        <v>0</v>
      </c>
      <c r="AE7" s="425">
        <v>0</v>
      </c>
      <c r="AF7" s="425">
        <v>0</v>
      </c>
      <c r="AG7" s="425">
        <v>0</v>
      </c>
      <c r="AH7" s="387">
        <v>1</v>
      </c>
      <c r="AI7" s="425">
        <v>1</v>
      </c>
      <c r="AJ7" s="425">
        <v>1</v>
      </c>
      <c r="AK7" s="425">
        <v>1</v>
      </c>
      <c r="AL7" s="387">
        <v>1</v>
      </c>
      <c r="AM7" s="425">
        <v>1</v>
      </c>
      <c r="AN7" s="425">
        <v>1</v>
      </c>
      <c r="AO7" s="457">
        <v>1</v>
      </c>
      <c r="AP7" s="428">
        <v>0.46</v>
      </c>
      <c r="AQ7" s="428">
        <v>0.31</v>
      </c>
      <c r="AR7" s="428">
        <v>0.31</v>
      </c>
      <c r="AS7" s="465">
        <v>0.31</v>
      </c>
      <c r="AT7" s="431">
        <v>8232</v>
      </c>
      <c r="AU7" s="431">
        <v>7608</v>
      </c>
      <c r="AV7" s="431">
        <v>7608</v>
      </c>
      <c r="AW7" s="431">
        <v>7608</v>
      </c>
      <c r="AX7" s="388">
        <v>14.97</v>
      </c>
      <c r="AY7" s="428">
        <v>14.97</v>
      </c>
      <c r="AZ7" s="428">
        <v>14.97</v>
      </c>
      <c r="BA7" s="428">
        <v>14.97</v>
      </c>
      <c r="BB7" s="388">
        <v>0.64</v>
      </c>
      <c r="BC7" s="428">
        <f>BB7</f>
        <v>0.64</v>
      </c>
      <c r="BD7" s="428">
        <f t="shared" ref="BD7:BE7" si="16">BC7</f>
        <v>0.64</v>
      </c>
      <c r="BE7" s="428">
        <f t="shared" si="16"/>
        <v>0.64</v>
      </c>
      <c r="BF7" s="386">
        <v>0</v>
      </c>
      <c r="BG7" s="424">
        <v>0</v>
      </c>
      <c r="BH7" s="424">
        <v>0</v>
      </c>
      <c r="BI7" s="385">
        <v>0</v>
      </c>
      <c r="BJ7" s="424">
        <v>0</v>
      </c>
      <c r="BK7" s="424">
        <v>0</v>
      </c>
      <c r="BL7" s="424">
        <v>0</v>
      </c>
      <c r="BM7" s="385">
        <v>0</v>
      </c>
      <c r="BN7" s="424">
        <v>0</v>
      </c>
      <c r="BO7" s="424">
        <v>0</v>
      </c>
      <c r="BP7" s="424">
        <v>0</v>
      </c>
      <c r="BQ7" s="385">
        <v>0</v>
      </c>
      <c r="BR7" s="424">
        <v>0.10004163570237409</v>
      </c>
      <c r="BS7" s="424">
        <v>0.10004163570237409</v>
      </c>
      <c r="BT7" s="424">
        <v>0.10004163570237409</v>
      </c>
      <c r="BU7" s="385">
        <v>0.10004163570237409</v>
      </c>
      <c r="BV7" s="424">
        <v>0</v>
      </c>
      <c r="BW7" s="424">
        <v>0</v>
      </c>
      <c r="BX7" s="424">
        <v>0</v>
      </c>
      <c r="BY7" s="385">
        <v>0</v>
      </c>
      <c r="BZ7" s="424">
        <v>0</v>
      </c>
      <c r="CA7" s="424">
        <v>0</v>
      </c>
      <c r="CB7" s="424">
        <v>0</v>
      </c>
      <c r="CC7" s="424">
        <v>0</v>
      </c>
    </row>
    <row r="8" spans="1:81" x14ac:dyDescent="0.35">
      <c r="A8" s="526"/>
      <c r="B8" s="381" t="s">
        <v>428</v>
      </c>
      <c r="C8" s="389" t="s">
        <v>119</v>
      </c>
      <c r="D8" s="383" t="s">
        <v>447</v>
      </c>
      <c r="E8" s="495" t="s">
        <v>468</v>
      </c>
      <c r="F8" s="6">
        <f t="shared" si="14"/>
        <v>3</v>
      </c>
      <c r="G8" s="395">
        <v>1</v>
      </c>
      <c r="H8" s="397" t="s">
        <v>375</v>
      </c>
      <c r="I8" s="397" t="s">
        <v>376</v>
      </c>
      <c r="J8" s="400">
        <f>J7/R7</f>
        <v>1419948.3527030253</v>
      </c>
      <c r="K8" s="408" t="str">
        <f>B34</f>
        <v>Reactant10</v>
      </c>
      <c r="L8" s="417">
        <v>0</v>
      </c>
      <c r="M8" s="417">
        <v>1</v>
      </c>
      <c r="N8" s="417">
        <v>0</v>
      </c>
      <c r="O8" s="417">
        <v>0</v>
      </c>
      <c r="P8" s="417">
        <v>0</v>
      </c>
      <c r="Q8" s="385">
        <v>2000000</v>
      </c>
      <c r="R8" s="384">
        <v>5.29</v>
      </c>
      <c r="S8" s="424">
        <f>R8</f>
        <v>5.29</v>
      </c>
      <c r="T8" s="424">
        <f t="shared" ref="T8:U8" si="17">S8</f>
        <v>5.29</v>
      </c>
      <c r="U8" s="385">
        <f t="shared" si="17"/>
        <v>5.29</v>
      </c>
      <c r="V8" s="424">
        <v>0.68</v>
      </c>
      <c r="W8" s="424">
        <v>0.68</v>
      </c>
      <c r="X8" s="424">
        <v>0.68</v>
      </c>
      <c r="Y8" s="385">
        <v>0.68</v>
      </c>
      <c r="Z8" s="424">
        <v>0</v>
      </c>
      <c r="AA8" s="424">
        <v>0</v>
      </c>
      <c r="AB8" s="424">
        <v>0</v>
      </c>
      <c r="AC8" s="424">
        <v>0</v>
      </c>
      <c r="AD8" s="387">
        <v>0.4</v>
      </c>
      <c r="AE8" s="425">
        <v>0.2</v>
      </c>
      <c r="AF8" s="425">
        <v>0.1</v>
      </c>
      <c r="AG8" s="425">
        <v>0.1</v>
      </c>
      <c r="AH8" s="387">
        <v>0.2</v>
      </c>
      <c r="AI8" s="425">
        <v>1</v>
      </c>
      <c r="AJ8" s="425">
        <v>1</v>
      </c>
      <c r="AK8" s="425">
        <v>1</v>
      </c>
      <c r="AL8" s="387">
        <v>0.2</v>
      </c>
      <c r="AM8" s="425">
        <v>1</v>
      </c>
      <c r="AN8" s="425">
        <v>1</v>
      </c>
      <c r="AO8" s="457">
        <v>1</v>
      </c>
      <c r="AP8" s="427">
        <v>0.316</v>
      </c>
      <c r="AQ8" s="427">
        <v>0.316</v>
      </c>
      <c r="AR8" s="427">
        <v>0.316</v>
      </c>
      <c r="AS8" s="464">
        <v>0.316</v>
      </c>
      <c r="AT8" s="430">
        <v>13924</v>
      </c>
      <c r="AU8" s="430">
        <v>84539</v>
      </c>
      <c r="AV8" s="430">
        <v>84539</v>
      </c>
      <c r="AW8" s="430">
        <v>84539</v>
      </c>
      <c r="AX8" s="386">
        <f>AT8*0.05</f>
        <v>696.2</v>
      </c>
      <c r="AY8" s="424">
        <v>696.2</v>
      </c>
      <c r="AZ8" s="424">
        <v>696.2</v>
      </c>
      <c r="BA8" s="424">
        <v>696.2</v>
      </c>
      <c r="BB8" s="388">
        <v>0</v>
      </c>
      <c r="BC8" s="428">
        <v>0</v>
      </c>
      <c r="BD8" s="428">
        <v>0</v>
      </c>
      <c r="BE8" s="428">
        <v>0</v>
      </c>
      <c r="BF8" s="386">
        <v>0</v>
      </c>
      <c r="BG8" s="424">
        <v>0</v>
      </c>
      <c r="BH8" s="424">
        <v>0</v>
      </c>
      <c r="BI8" s="385">
        <v>0</v>
      </c>
      <c r="BJ8" s="424">
        <v>0</v>
      </c>
      <c r="BK8" s="424">
        <v>0</v>
      </c>
      <c r="BL8" s="424">
        <v>0</v>
      </c>
      <c r="BM8" s="385">
        <v>0</v>
      </c>
      <c r="BN8" s="424">
        <v>0</v>
      </c>
      <c r="BO8" s="424">
        <v>0</v>
      </c>
      <c r="BP8" s="424">
        <v>0</v>
      </c>
      <c r="BQ8" s="385">
        <v>0</v>
      </c>
      <c r="BR8" s="424">
        <v>8.4125058621280738E-2</v>
      </c>
      <c r="BS8" s="424">
        <v>8.8495575221238937E-2</v>
      </c>
      <c r="BT8" s="424">
        <v>8.8495575221238937E-2</v>
      </c>
      <c r="BU8" s="385">
        <v>8.8495575221238937E-2</v>
      </c>
      <c r="BV8" s="424">
        <v>0</v>
      </c>
      <c r="BW8" s="424">
        <v>0</v>
      </c>
      <c r="BX8" s="424">
        <v>0</v>
      </c>
      <c r="BY8" s="385">
        <v>0</v>
      </c>
      <c r="BZ8" s="424">
        <v>0</v>
      </c>
      <c r="CA8" s="424">
        <v>0</v>
      </c>
      <c r="CB8" s="424">
        <v>0</v>
      </c>
      <c r="CC8" s="424">
        <v>0</v>
      </c>
    </row>
    <row r="9" spans="1:81" s="477" customFormat="1" x14ac:dyDescent="0.35">
      <c r="A9" s="526"/>
      <c r="B9" s="467" t="s">
        <v>97</v>
      </c>
      <c r="C9" s="468" t="s">
        <v>184</v>
      </c>
      <c r="D9" s="469" t="s">
        <v>430</v>
      </c>
      <c r="E9" s="496" t="s">
        <v>472</v>
      </c>
      <c r="F9" s="6">
        <f t="shared" si="14"/>
        <v>4</v>
      </c>
      <c r="G9" s="471">
        <v>1</v>
      </c>
      <c r="H9" s="472" t="s">
        <v>426</v>
      </c>
      <c r="I9" s="472" t="s">
        <v>427</v>
      </c>
      <c r="J9" s="473">
        <f>J6</f>
        <v>3443530.9496236341</v>
      </c>
      <c r="K9" s="474" t="str">
        <f>B10</f>
        <v>Product/Reactant3</v>
      </c>
      <c r="L9" s="475">
        <v>0</v>
      </c>
      <c r="M9" s="475">
        <v>0</v>
      </c>
      <c r="N9" s="475">
        <v>0</v>
      </c>
      <c r="O9" s="475">
        <v>0</v>
      </c>
      <c r="P9" s="475">
        <v>0</v>
      </c>
      <c r="Q9" s="476">
        <v>2000000</v>
      </c>
      <c r="R9" s="477">
        <v>0.77400000000000002</v>
      </c>
      <c r="S9" s="478">
        <v>0.85399999999999998</v>
      </c>
      <c r="T9" s="478">
        <v>0.85399999999999998</v>
      </c>
      <c r="U9" s="476">
        <v>0.85399999999999998</v>
      </c>
      <c r="V9" s="478">
        <v>0</v>
      </c>
      <c r="W9" s="478">
        <v>0</v>
      </c>
      <c r="X9" s="478">
        <v>0</v>
      </c>
      <c r="Y9" s="476">
        <v>0</v>
      </c>
      <c r="Z9" s="478">
        <v>0</v>
      </c>
      <c r="AA9" s="478">
        <v>0</v>
      </c>
      <c r="AB9" s="478">
        <v>0</v>
      </c>
      <c r="AC9" s="476">
        <v>0</v>
      </c>
      <c r="AD9" s="479">
        <v>0</v>
      </c>
      <c r="AE9" s="480">
        <v>0</v>
      </c>
      <c r="AF9" s="480">
        <v>0</v>
      </c>
      <c r="AG9" s="480">
        <v>0</v>
      </c>
      <c r="AH9" s="479">
        <v>1</v>
      </c>
      <c r="AI9" s="480">
        <v>1</v>
      </c>
      <c r="AJ9" s="480">
        <v>1</v>
      </c>
      <c r="AK9" s="480">
        <v>1</v>
      </c>
      <c r="AL9" s="479">
        <v>1</v>
      </c>
      <c r="AM9" s="480">
        <v>1</v>
      </c>
      <c r="AN9" s="480">
        <v>1</v>
      </c>
      <c r="AO9" s="481">
        <v>1</v>
      </c>
      <c r="AP9" s="482">
        <v>0</v>
      </c>
      <c r="AQ9" s="482">
        <v>0</v>
      </c>
      <c r="AR9" s="482">
        <v>0</v>
      </c>
      <c r="AS9" s="483">
        <v>0</v>
      </c>
      <c r="AT9" s="484">
        <v>0</v>
      </c>
      <c r="AU9" s="484">
        <v>0</v>
      </c>
      <c r="AV9" s="484">
        <v>0</v>
      </c>
      <c r="AW9" s="484">
        <v>0</v>
      </c>
      <c r="AX9" s="485">
        <v>0</v>
      </c>
      <c r="AY9" s="478">
        <v>0</v>
      </c>
      <c r="AZ9" s="478">
        <v>0</v>
      </c>
      <c r="BA9" s="478">
        <v>0</v>
      </c>
      <c r="BB9" s="486">
        <v>2.1279194466572664E-2</v>
      </c>
      <c r="BC9" s="487">
        <v>2.1279194466572664E-2</v>
      </c>
      <c r="BD9" s="487">
        <v>2.1279194466572664E-2</v>
      </c>
      <c r="BE9" s="487">
        <v>2.1279194466572664E-2</v>
      </c>
      <c r="BF9" s="485">
        <v>0</v>
      </c>
      <c r="BG9" s="478">
        <v>0</v>
      </c>
      <c r="BH9" s="478">
        <v>0</v>
      </c>
      <c r="BI9" s="476">
        <v>0</v>
      </c>
      <c r="BJ9" s="478">
        <v>0</v>
      </c>
      <c r="BK9" s="478">
        <v>0</v>
      </c>
      <c r="BL9" s="478">
        <v>0</v>
      </c>
      <c r="BM9" s="476">
        <v>0</v>
      </c>
      <c r="BN9" s="478">
        <v>0</v>
      </c>
      <c r="BO9" s="478">
        <v>0</v>
      </c>
      <c r="BP9" s="478">
        <v>0</v>
      </c>
      <c r="BQ9" s="476">
        <v>0</v>
      </c>
      <c r="BR9" s="478">
        <v>0</v>
      </c>
      <c r="BS9" s="478">
        <v>0</v>
      </c>
      <c r="BT9" s="478">
        <v>0</v>
      </c>
      <c r="BU9" s="476">
        <v>0</v>
      </c>
      <c r="BV9" s="478">
        <v>0</v>
      </c>
      <c r="BW9" s="478">
        <v>0</v>
      </c>
      <c r="BX9" s="478">
        <v>0</v>
      </c>
      <c r="BY9" s="476">
        <v>0</v>
      </c>
      <c r="BZ9" s="478">
        <v>0</v>
      </c>
      <c r="CA9" s="478">
        <v>0</v>
      </c>
      <c r="CB9" s="478">
        <v>0</v>
      </c>
      <c r="CC9" s="478">
        <v>0</v>
      </c>
    </row>
    <row r="10" spans="1:81" s="477" customFormat="1" x14ac:dyDescent="0.35">
      <c r="A10" s="526"/>
      <c r="B10" s="467" t="s">
        <v>98</v>
      </c>
      <c r="C10" s="488" t="s">
        <v>119</v>
      </c>
      <c r="D10" s="469" t="s">
        <v>448</v>
      </c>
      <c r="E10" s="496" t="s">
        <v>468</v>
      </c>
      <c r="F10" s="6">
        <f t="shared" si="14"/>
        <v>5</v>
      </c>
      <c r="G10" s="471">
        <v>1</v>
      </c>
      <c r="H10" s="472" t="s">
        <v>375</v>
      </c>
      <c r="I10" s="472" t="s">
        <v>376</v>
      </c>
      <c r="J10" s="473">
        <f>J9/R9</f>
        <v>4449006.3948625764</v>
      </c>
      <c r="K10" s="474" t="str">
        <f>B34</f>
        <v>Reactant10</v>
      </c>
      <c r="L10" s="475">
        <v>0</v>
      </c>
      <c r="M10" s="475">
        <v>1</v>
      </c>
      <c r="N10" s="475">
        <v>0</v>
      </c>
      <c r="O10" s="475">
        <v>0</v>
      </c>
      <c r="P10" s="475">
        <v>0</v>
      </c>
      <c r="Q10" s="476">
        <v>2000000</v>
      </c>
      <c r="R10" s="477">
        <v>22</v>
      </c>
      <c r="S10" s="478">
        <v>22.02</v>
      </c>
      <c r="T10" s="478">
        <v>22.02</v>
      </c>
      <c r="U10" s="476">
        <v>22.02</v>
      </c>
      <c r="V10" s="478">
        <v>1.23</v>
      </c>
      <c r="W10" s="478">
        <v>1.232</v>
      </c>
      <c r="X10" s="478">
        <v>1.232</v>
      </c>
      <c r="Y10" s="476">
        <v>1.232</v>
      </c>
      <c r="Z10" s="478">
        <v>0</v>
      </c>
      <c r="AA10" s="478">
        <v>0</v>
      </c>
      <c r="AB10" s="478">
        <v>0</v>
      </c>
      <c r="AC10" s="478">
        <v>0</v>
      </c>
      <c r="AD10" s="479">
        <v>0.4</v>
      </c>
      <c r="AE10" s="480">
        <v>0.2</v>
      </c>
      <c r="AF10" s="480">
        <v>0.1</v>
      </c>
      <c r="AG10" s="480">
        <v>0.1</v>
      </c>
      <c r="AH10" s="479">
        <v>0.2</v>
      </c>
      <c r="AI10" s="480">
        <v>1</v>
      </c>
      <c r="AJ10" s="480">
        <v>1</v>
      </c>
      <c r="AK10" s="480">
        <v>1</v>
      </c>
      <c r="AL10" s="479">
        <v>0.2</v>
      </c>
      <c r="AM10" s="480">
        <v>1</v>
      </c>
      <c r="AN10" s="480">
        <v>1</v>
      </c>
      <c r="AO10" s="481">
        <v>1</v>
      </c>
      <c r="AP10" s="482">
        <v>1.31</v>
      </c>
      <c r="AQ10" s="482">
        <v>1.31</v>
      </c>
      <c r="AR10" s="482">
        <v>1.31</v>
      </c>
      <c r="AS10" s="483">
        <v>1.31</v>
      </c>
      <c r="AT10" s="484">
        <v>11190</v>
      </c>
      <c r="AU10" s="484">
        <f>AT10</f>
        <v>11190</v>
      </c>
      <c r="AV10" s="484">
        <f t="shared" ref="AV10:AW10" si="18">AU10</f>
        <v>11190</v>
      </c>
      <c r="AW10" s="484">
        <f t="shared" si="18"/>
        <v>11190</v>
      </c>
      <c r="AX10" s="489">
        <f>AT10*0.05</f>
        <v>559.5</v>
      </c>
      <c r="AY10" s="478">
        <v>3450</v>
      </c>
      <c r="AZ10" s="478">
        <v>3450</v>
      </c>
      <c r="BA10" s="478">
        <v>3450</v>
      </c>
      <c r="BB10" s="486">
        <v>0</v>
      </c>
      <c r="BC10" s="487">
        <v>0</v>
      </c>
      <c r="BD10" s="487">
        <v>0</v>
      </c>
      <c r="BE10" s="487">
        <v>0</v>
      </c>
      <c r="BF10" s="485">
        <v>0</v>
      </c>
      <c r="BG10" s="478">
        <v>0</v>
      </c>
      <c r="BH10" s="478">
        <v>0</v>
      </c>
      <c r="BI10" s="476">
        <v>0</v>
      </c>
      <c r="BJ10" s="478">
        <v>0</v>
      </c>
      <c r="BK10" s="478">
        <v>0</v>
      </c>
      <c r="BL10" s="478">
        <v>0</v>
      </c>
      <c r="BM10" s="476">
        <v>0</v>
      </c>
      <c r="BN10" s="478">
        <v>0</v>
      </c>
      <c r="BO10" s="478">
        <v>0</v>
      </c>
      <c r="BP10" s="478">
        <v>0</v>
      </c>
      <c r="BQ10" s="476">
        <v>0</v>
      </c>
      <c r="BR10" s="478">
        <v>8.4125058621280738E-2</v>
      </c>
      <c r="BS10" s="478">
        <f>BS8</f>
        <v>8.8495575221238937E-2</v>
      </c>
      <c r="BT10" s="478">
        <f t="shared" ref="BT10:BU10" si="19">BT8</f>
        <v>8.8495575221238937E-2</v>
      </c>
      <c r="BU10" s="476">
        <f t="shared" si="19"/>
        <v>8.8495575221238937E-2</v>
      </c>
      <c r="BV10" s="478">
        <v>0</v>
      </c>
      <c r="BW10" s="478">
        <v>0</v>
      </c>
      <c r="BX10" s="478">
        <v>0</v>
      </c>
      <c r="BY10" s="476">
        <v>0</v>
      </c>
      <c r="BZ10" s="478">
        <v>0</v>
      </c>
      <c r="CA10" s="478">
        <v>0</v>
      </c>
      <c r="CB10" s="478">
        <v>0</v>
      </c>
      <c r="CC10" s="478">
        <v>0</v>
      </c>
    </row>
    <row r="11" spans="1:81" x14ac:dyDescent="0.35">
      <c r="A11" s="526"/>
      <c r="B11" s="109" t="s">
        <v>97</v>
      </c>
      <c r="C11" s="110" t="s">
        <v>184</v>
      </c>
      <c r="D11" s="111" t="s">
        <v>432</v>
      </c>
      <c r="E11" s="499" t="s">
        <v>472</v>
      </c>
      <c r="F11" s="6">
        <f t="shared" si="14"/>
        <v>6</v>
      </c>
      <c r="G11" s="396">
        <v>1</v>
      </c>
      <c r="H11" s="398" t="s">
        <v>426</v>
      </c>
      <c r="I11" s="398" t="s">
        <v>427</v>
      </c>
      <c r="J11" s="399">
        <f>J6</f>
        <v>3443530.9496236341</v>
      </c>
      <c r="K11" s="410" t="str">
        <f>B12</f>
        <v>Product/Reactant4</v>
      </c>
      <c r="L11" s="418">
        <v>0</v>
      </c>
      <c r="M11" s="418">
        <v>0</v>
      </c>
      <c r="N11" s="418">
        <v>0</v>
      </c>
      <c r="O11" s="418">
        <v>0</v>
      </c>
      <c r="P11" s="418">
        <v>0</v>
      </c>
      <c r="Q11" s="391">
        <v>2000000</v>
      </c>
      <c r="R11" s="390">
        <v>1.546</v>
      </c>
      <c r="S11" s="423">
        <f t="shared" ref="S11:U12" si="20">R11</f>
        <v>1.546</v>
      </c>
      <c r="T11" s="423">
        <f t="shared" si="20"/>
        <v>1.546</v>
      </c>
      <c r="U11" s="391">
        <f t="shared" si="20"/>
        <v>1.546</v>
      </c>
      <c r="V11" s="423">
        <v>0</v>
      </c>
      <c r="W11" s="423">
        <v>0</v>
      </c>
      <c r="X11" s="423">
        <v>0</v>
      </c>
      <c r="Y11" s="391">
        <v>0</v>
      </c>
      <c r="Z11" s="423">
        <v>0</v>
      </c>
      <c r="AA11" s="423">
        <v>0</v>
      </c>
      <c r="AB11" s="423">
        <v>0</v>
      </c>
      <c r="AC11" s="391">
        <v>0</v>
      </c>
      <c r="AD11" s="393">
        <v>0</v>
      </c>
      <c r="AE11" s="426">
        <v>0</v>
      </c>
      <c r="AF11" s="426">
        <v>0</v>
      </c>
      <c r="AG11" s="426">
        <v>0</v>
      </c>
      <c r="AH11" s="393">
        <v>1</v>
      </c>
      <c r="AI11" s="426">
        <v>1</v>
      </c>
      <c r="AJ11" s="426">
        <v>1</v>
      </c>
      <c r="AK11" s="426">
        <v>1</v>
      </c>
      <c r="AL11" s="393">
        <v>1</v>
      </c>
      <c r="AM11" s="426">
        <v>1</v>
      </c>
      <c r="AN11" s="426">
        <v>1</v>
      </c>
      <c r="AO11" s="458">
        <v>1</v>
      </c>
      <c r="AP11" s="429">
        <v>0</v>
      </c>
      <c r="AQ11" s="429">
        <v>0</v>
      </c>
      <c r="AR11" s="429">
        <v>0</v>
      </c>
      <c r="AS11" s="466">
        <v>0</v>
      </c>
      <c r="AT11" s="463">
        <v>0</v>
      </c>
      <c r="AU11" s="423">
        <v>0</v>
      </c>
      <c r="AV11" s="423">
        <v>0</v>
      </c>
      <c r="AW11" s="423">
        <v>0</v>
      </c>
      <c r="AX11" s="392">
        <v>0</v>
      </c>
      <c r="AY11" s="423">
        <v>0</v>
      </c>
      <c r="AZ11" s="423">
        <v>0</v>
      </c>
      <c r="BA11" s="423">
        <v>0</v>
      </c>
      <c r="BB11" s="394">
        <v>2.1279194466572664E-2</v>
      </c>
      <c r="BC11" s="429">
        <v>2.1279194466572664E-2</v>
      </c>
      <c r="BD11" s="429">
        <v>2.1279194466572664E-2</v>
      </c>
      <c r="BE11" s="429">
        <v>2.1279194466572664E-2</v>
      </c>
      <c r="BF11" s="392">
        <v>0</v>
      </c>
      <c r="BG11" s="423">
        <v>0</v>
      </c>
      <c r="BH11" s="423">
        <v>0</v>
      </c>
      <c r="BI11" s="391">
        <v>0</v>
      </c>
      <c r="BJ11" s="423">
        <v>0</v>
      </c>
      <c r="BK11" s="423">
        <v>0</v>
      </c>
      <c r="BL11" s="423">
        <v>0</v>
      </c>
      <c r="BM11" s="391">
        <v>0</v>
      </c>
      <c r="BN11" s="423">
        <v>0</v>
      </c>
      <c r="BO11" s="423">
        <v>0</v>
      </c>
      <c r="BP11" s="423">
        <v>0</v>
      </c>
      <c r="BQ11" s="391">
        <v>0</v>
      </c>
      <c r="BR11" s="423">
        <v>0</v>
      </c>
      <c r="BS11" s="423">
        <v>0</v>
      </c>
      <c r="BT11" s="423">
        <v>0</v>
      </c>
      <c r="BU11" s="391">
        <v>0</v>
      </c>
      <c r="BV11" s="423">
        <v>0</v>
      </c>
      <c r="BW11" s="423">
        <v>0</v>
      </c>
      <c r="BX11" s="423">
        <v>0</v>
      </c>
      <c r="BY11" s="391">
        <v>0</v>
      </c>
      <c r="BZ11" s="423">
        <v>0</v>
      </c>
      <c r="CA11" s="423">
        <v>0</v>
      </c>
      <c r="CB11" s="423">
        <v>0</v>
      </c>
      <c r="CC11" s="423">
        <v>0</v>
      </c>
    </row>
    <row r="12" spans="1:81" x14ac:dyDescent="0.35">
      <c r="A12" s="526"/>
      <c r="B12" s="109" t="s">
        <v>431</v>
      </c>
      <c r="C12" s="117" t="s">
        <v>119</v>
      </c>
      <c r="D12" s="111" t="s">
        <v>446</v>
      </c>
      <c r="E12" s="499" t="s">
        <v>468</v>
      </c>
      <c r="F12" s="6">
        <f t="shared" si="14"/>
        <v>7</v>
      </c>
      <c r="G12" s="396">
        <v>1</v>
      </c>
      <c r="H12" s="398" t="s">
        <v>434</v>
      </c>
      <c r="I12" s="398" t="s">
        <v>435</v>
      </c>
      <c r="J12" s="402">
        <f>J11/R11</f>
        <v>2227380.9505974348</v>
      </c>
      <c r="K12" s="410" t="str">
        <f>B34</f>
        <v>Reactant10</v>
      </c>
      <c r="L12" s="418">
        <v>0</v>
      </c>
      <c r="M12" s="418">
        <v>1</v>
      </c>
      <c r="N12" s="418">
        <v>0</v>
      </c>
      <c r="O12" s="418">
        <v>0</v>
      </c>
      <c r="P12" s="418">
        <v>0</v>
      </c>
      <c r="Q12" s="391">
        <v>2000000</v>
      </c>
      <c r="R12" s="392">
        <v>6.2839999999999998</v>
      </c>
      <c r="S12" s="423">
        <f t="shared" si="20"/>
        <v>6.2839999999999998</v>
      </c>
      <c r="T12" s="423">
        <f t="shared" si="20"/>
        <v>6.2839999999999998</v>
      </c>
      <c r="U12" s="391">
        <f t="shared" si="20"/>
        <v>6.2839999999999998</v>
      </c>
      <c r="V12" s="423">
        <v>0</v>
      </c>
      <c r="W12" s="423">
        <v>0</v>
      </c>
      <c r="X12" s="423">
        <v>0</v>
      </c>
      <c r="Y12" s="391">
        <v>0</v>
      </c>
      <c r="Z12" s="423">
        <v>0</v>
      </c>
      <c r="AA12" s="423">
        <v>0</v>
      </c>
      <c r="AB12" s="423">
        <v>0</v>
      </c>
      <c r="AC12" s="391">
        <v>0</v>
      </c>
      <c r="AD12" s="393">
        <v>0</v>
      </c>
      <c r="AE12" s="426">
        <v>0</v>
      </c>
      <c r="AF12" s="426">
        <v>0</v>
      </c>
      <c r="AG12" s="426">
        <v>0</v>
      </c>
      <c r="AH12" s="393">
        <v>0.2</v>
      </c>
      <c r="AI12" s="426">
        <v>1</v>
      </c>
      <c r="AJ12" s="426">
        <v>1</v>
      </c>
      <c r="AK12" s="426">
        <v>1</v>
      </c>
      <c r="AL12" s="393">
        <v>0.2</v>
      </c>
      <c r="AM12" s="426">
        <v>1</v>
      </c>
      <c r="AN12" s="426">
        <v>1</v>
      </c>
      <c r="AO12" s="458">
        <v>1</v>
      </c>
      <c r="AP12" s="429">
        <v>0.36109999999999998</v>
      </c>
      <c r="AQ12" s="429">
        <v>0.37657000000000002</v>
      </c>
      <c r="AR12" s="429">
        <v>0.37657000000000002</v>
      </c>
      <c r="AS12" s="466">
        <v>0.37657000000000002</v>
      </c>
      <c r="AT12" s="432">
        <f>10515</f>
        <v>10515</v>
      </c>
      <c r="AU12" s="432">
        <v>6592</v>
      </c>
      <c r="AV12" s="432">
        <v>6592</v>
      </c>
      <c r="AW12" s="432">
        <v>6592</v>
      </c>
      <c r="AX12" s="392">
        <f>AT12*0.02</f>
        <v>210.3</v>
      </c>
      <c r="AY12" s="423">
        <v>120</v>
      </c>
      <c r="AZ12" s="423">
        <v>120</v>
      </c>
      <c r="BA12" s="423">
        <v>120</v>
      </c>
      <c r="BB12" s="394">
        <v>0.64</v>
      </c>
      <c r="BC12" s="429">
        <v>0.64</v>
      </c>
      <c r="BD12" s="429">
        <v>0.64</v>
      </c>
      <c r="BE12" s="429">
        <v>0.64</v>
      </c>
      <c r="BF12" s="392">
        <v>0</v>
      </c>
      <c r="BG12" s="423">
        <v>0</v>
      </c>
      <c r="BH12" s="423">
        <v>0</v>
      </c>
      <c r="BI12" s="391">
        <v>0</v>
      </c>
      <c r="BJ12" s="423">
        <v>0</v>
      </c>
      <c r="BK12" s="423">
        <v>0</v>
      </c>
      <c r="BL12" s="423">
        <v>0</v>
      </c>
      <c r="BM12" s="391">
        <v>0</v>
      </c>
      <c r="BN12" s="423">
        <v>0</v>
      </c>
      <c r="BO12" s="423">
        <v>0</v>
      </c>
      <c r="BP12" s="423">
        <v>0</v>
      </c>
      <c r="BQ12" s="391">
        <v>0</v>
      </c>
      <c r="BR12" s="423">
        <v>8.4125058621280738E-2</v>
      </c>
      <c r="BS12" s="423">
        <f>BS10</f>
        <v>8.8495575221238937E-2</v>
      </c>
      <c r="BT12" s="423">
        <f>BT10</f>
        <v>8.8495575221238937E-2</v>
      </c>
      <c r="BU12" s="391">
        <f>BU10</f>
        <v>8.8495575221238937E-2</v>
      </c>
      <c r="BV12" s="423">
        <v>0</v>
      </c>
      <c r="BW12" s="423">
        <v>0</v>
      </c>
      <c r="BX12" s="423">
        <v>0</v>
      </c>
      <c r="BY12" s="391">
        <v>0</v>
      </c>
      <c r="BZ12" s="423">
        <v>0</v>
      </c>
      <c r="CA12" s="423">
        <v>0</v>
      </c>
      <c r="CB12" s="423">
        <v>0</v>
      </c>
      <c r="CC12" s="423">
        <v>0</v>
      </c>
    </row>
    <row r="13" spans="1:81" s="102" customFormat="1" ht="14.5" customHeight="1" x14ac:dyDescent="0.35">
      <c r="A13" s="526"/>
      <c r="B13" s="99" t="s">
        <v>97</v>
      </c>
      <c r="C13" s="100" t="s">
        <v>184</v>
      </c>
      <c r="D13" s="101" t="s">
        <v>50</v>
      </c>
      <c r="E13" s="500" t="s">
        <v>86</v>
      </c>
      <c r="F13" s="6">
        <f t="shared" si="14"/>
        <v>8</v>
      </c>
      <c r="G13" s="169">
        <v>1</v>
      </c>
      <c r="H13" s="182" t="s">
        <v>373</v>
      </c>
      <c r="I13" s="182" t="s">
        <v>374</v>
      </c>
      <c r="J13" s="192">
        <v>0</v>
      </c>
      <c r="K13" s="411" t="str">
        <f>B15</f>
        <v>Product/Reactant5</v>
      </c>
      <c r="L13" s="192">
        <v>0</v>
      </c>
      <c r="M13" s="192">
        <v>0</v>
      </c>
      <c r="N13" s="192">
        <v>0</v>
      </c>
      <c r="O13" s="192">
        <v>0</v>
      </c>
      <c r="P13" s="192">
        <v>0</v>
      </c>
      <c r="Q13" s="204">
        <v>40000</v>
      </c>
      <c r="R13" s="102">
        <v>1.37</v>
      </c>
      <c r="S13" s="102">
        <v>1.37</v>
      </c>
      <c r="T13" s="102">
        <v>1.37</v>
      </c>
      <c r="U13" s="204">
        <v>1.37</v>
      </c>
      <c r="V13" s="102">
        <v>0</v>
      </c>
      <c r="W13" s="102">
        <v>0</v>
      </c>
      <c r="X13" s="102">
        <v>0</v>
      </c>
      <c r="Y13" s="204">
        <v>0</v>
      </c>
      <c r="Z13" s="102">
        <v>0</v>
      </c>
      <c r="AA13" s="102">
        <v>0</v>
      </c>
      <c r="AB13" s="102">
        <v>0</v>
      </c>
      <c r="AC13" s="204">
        <v>0</v>
      </c>
      <c r="AD13" s="104">
        <v>0</v>
      </c>
      <c r="AE13" s="104">
        <v>0</v>
      </c>
      <c r="AF13" s="104">
        <v>0</v>
      </c>
      <c r="AG13" s="217">
        <v>0</v>
      </c>
      <c r="AH13" s="104">
        <v>1</v>
      </c>
      <c r="AI13" s="104">
        <v>1</v>
      </c>
      <c r="AJ13" s="104">
        <v>1</v>
      </c>
      <c r="AK13" s="217">
        <v>1</v>
      </c>
      <c r="AL13" s="104">
        <v>1</v>
      </c>
      <c r="AM13" s="104">
        <v>1</v>
      </c>
      <c r="AN13" s="104">
        <v>1</v>
      </c>
      <c r="AO13" s="217">
        <v>1</v>
      </c>
      <c r="AP13" s="105">
        <v>0.5</v>
      </c>
      <c r="AQ13" s="105">
        <v>0.47</v>
      </c>
      <c r="AR13" s="105">
        <v>0.44999999999999996</v>
      </c>
      <c r="AS13" s="223">
        <v>0.43000000000000005</v>
      </c>
      <c r="AT13" s="102">
        <v>7000</v>
      </c>
      <c r="AU13" s="102">
        <v>6000</v>
      </c>
      <c r="AV13" s="102">
        <v>5000</v>
      </c>
      <c r="AW13" s="204">
        <v>4000</v>
      </c>
      <c r="AX13" s="102">
        <v>350</v>
      </c>
      <c r="AY13" s="102">
        <v>300</v>
      </c>
      <c r="AZ13" s="102">
        <v>250</v>
      </c>
      <c r="BA13" s="204">
        <v>200</v>
      </c>
      <c r="BB13" s="102">
        <v>0</v>
      </c>
      <c r="BC13" s="102">
        <v>0</v>
      </c>
      <c r="BD13" s="102">
        <v>0</v>
      </c>
      <c r="BE13" s="204">
        <v>0</v>
      </c>
      <c r="BF13" s="102">
        <v>0</v>
      </c>
      <c r="BG13" s="102">
        <v>0</v>
      </c>
      <c r="BH13" s="102">
        <v>0</v>
      </c>
      <c r="BI13" s="204">
        <v>0</v>
      </c>
      <c r="BJ13" s="102">
        <v>0</v>
      </c>
      <c r="BK13" s="102">
        <v>0</v>
      </c>
      <c r="BL13" s="102">
        <v>0</v>
      </c>
      <c r="BM13" s="204">
        <v>0</v>
      </c>
      <c r="BN13" s="102">
        <v>0</v>
      </c>
      <c r="BO13" s="102">
        <v>0</v>
      </c>
      <c r="BP13" s="102">
        <v>0</v>
      </c>
      <c r="BQ13" s="204">
        <v>0</v>
      </c>
      <c r="BR13" s="102">
        <v>0.10185220882315059</v>
      </c>
      <c r="BS13" s="102">
        <v>0.10185220882315059</v>
      </c>
      <c r="BT13" s="102">
        <v>0.10185220882315059</v>
      </c>
      <c r="BU13" s="204">
        <v>0.10185220882315059</v>
      </c>
      <c r="BV13" s="103">
        <v>0</v>
      </c>
      <c r="BW13" s="103">
        <v>0</v>
      </c>
      <c r="BX13" s="103">
        <v>0</v>
      </c>
      <c r="BY13" s="103">
        <v>0</v>
      </c>
      <c r="BZ13" s="234">
        <v>0.08</v>
      </c>
      <c r="CA13" s="234">
        <v>0.08</v>
      </c>
      <c r="CB13" s="234">
        <v>0.08</v>
      </c>
      <c r="CC13" s="234">
        <v>0.08</v>
      </c>
    </row>
    <row r="14" spans="1:81" s="102" customFormat="1" x14ac:dyDescent="0.35">
      <c r="A14" s="526"/>
      <c r="B14" s="99" t="s">
        <v>97</v>
      </c>
      <c r="C14" s="100" t="s">
        <v>184</v>
      </c>
      <c r="D14" s="101" t="s">
        <v>61</v>
      </c>
      <c r="E14" s="500" t="s">
        <v>86</v>
      </c>
      <c r="F14" s="6">
        <f t="shared" si="14"/>
        <v>9</v>
      </c>
      <c r="G14" s="169">
        <v>1</v>
      </c>
      <c r="H14" s="182" t="s">
        <v>373</v>
      </c>
      <c r="I14" s="182" t="s">
        <v>374</v>
      </c>
      <c r="J14" s="192">
        <v>0</v>
      </c>
      <c r="K14" s="411" t="str">
        <f>B15</f>
        <v>Product/Reactant5</v>
      </c>
      <c r="L14" s="192">
        <v>0</v>
      </c>
      <c r="M14" s="192">
        <v>0</v>
      </c>
      <c r="N14" s="192">
        <v>0</v>
      </c>
      <c r="O14" s="192">
        <v>0</v>
      </c>
      <c r="P14" s="192">
        <v>0</v>
      </c>
      <c r="Q14" s="204">
        <f>Q13</f>
        <v>40000</v>
      </c>
      <c r="R14" s="102">
        <v>1.37</v>
      </c>
      <c r="S14" s="102">
        <v>1.37</v>
      </c>
      <c r="T14" s="102">
        <v>1.37</v>
      </c>
      <c r="U14" s="204">
        <v>1.37</v>
      </c>
      <c r="V14" s="102">
        <v>0</v>
      </c>
      <c r="W14" s="102">
        <v>0</v>
      </c>
      <c r="X14" s="102">
        <v>0</v>
      </c>
      <c r="Y14" s="204">
        <v>0</v>
      </c>
      <c r="Z14" s="102">
        <v>0</v>
      </c>
      <c r="AA14" s="102">
        <v>0</v>
      </c>
      <c r="AB14" s="102">
        <v>0</v>
      </c>
      <c r="AC14" s="204">
        <v>0</v>
      </c>
      <c r="AD14" s="104">
        <v>0</v>
      </c>
      <c r="AE14" s="104">
        <v>0</v>
      </c>
      <c r="AF14" s="104">
        <v>0</v>
      </c>
      <c r="AG14" s="217">
        <v>0</v>
      </c>
      <c r="AH14" s="104">
        <v>1</v>
      </c>
      <c r="AI14" s="104">
        <v>1</v>
      </c>
      <c r="AJ14" s="104">
        <v>1</v>
      </c>
      <c r="AK14" s="217">
        <v>1</v>
      </c>
      <c r="AL14" s="104">
        <v>1</v>
      </c>
      <c r="AM14" s="104">
        <v>1</v>
      </c>
      <c r="AN14" s="104">
        <v>1</v>
      </c>
      <c r="AO14" s="217">
        <v>1</v>
      </c>
      <c r="AP14" s="106">
        <v>0</v>
      </c>
      <c r="AQ14" s="106">
        <v>0</v>
      </c>
      <c r="AR14" s="106">
        <v>0</v>
      </c>
      <c r="AS14" s="224">
        <v>0</v>
      </c>
      <c r="AT14" s="106">
        <v>0</v>
      </c>
      <c r="AU14" s="106">
        <v>0</v>
      </c>
      <c r="AV14" s="106">
        <v>0</v>
      </c>
      <c r="AW14" s="224">
        <v>0</v>
      </c>
      <c r="AX14" s="106">
        <v>0</v>
      </c>
      <c r="AY14" s="106">
        <v>0</v>
      </c>
      <c r="AZ14" s="106">
        <v>0</v>
      </c>
      <c r="BA14" s="224">
        <v>0</v>
      </c>
      <c r="BB14" s="106">
        <v>0.154</v>
      </c>
      <c r="BC14" s="106">
        <v>0.13100000000000001</v>
      </c>
      <c r="BD14" s="106">
        <v>9.7500000000000003E-2</v>
      </c>
      <c r="BE14" s="224">
        <v>6.4000000000000001E-2</v>
      </c>
      <c r="BF14" s="102">
        <v>0</v>
      </c>
      <c r="BG14" s="102">
        <v>0</v>
      </c>
      <c r="BH14" s="102">
        <v>0</v>
      </c>
      <c r="BI14" s="204">
        <v>0</v>
      </c>
      <c r="BJ14" s="102">
        <v>0</v>
      </c>
      <c r="BK14" s="102">
        <v>0</v>
      </c>
      <c r="BL14" s="102">
        <v>0</v>
      </c>
      <c r="BM14" s="204">
        <v>0</v>
      </c>
      <c r="BN14" s="102">
        <v>0</v>
      </c>
      <c r="BO14" s="102">
        <v>0</v>
      </c>
      <c r="BP14" s="102">
        <v>0</v>
      </c>
      <c r="BQ14" s="204">
        <v>0</v>
      </c>
      <c r="BR14" s="102">
        <v>0</v>
      </c>
      <c r="BS14" s="102">
        <v>0</v>
      </c>
      <c r="BT14" s="102">
        <v>0</v>
      </c>
      <c r="BU14" s="204">
        <v>0</v>
      </c>
      <c r="BV14" s="103">
        <v>20</v>
      </c>
      <c r="BW14" s="103">
        <v>20</v>
      </c>
      <c r="BX14" s="103">
        <v>20</v>
      </c>
      <c r="BY14" s="243">
        <v>20</v>
      </c>
      <c r="BZ14" s="234">
        <v>0.08</v>
      </c>
      <c r="CA14" s="234">
        <v>0.08</v>
      </c>
      <c r="CB14" s="234">
        <v>0.08</v>
      </c>
      <c r="CC14" s="234">
        <v>0.08</v>
      </c>
    </row>
    <row r="15" spans="1:81" s="102" customFormat="1" x14ac:dyDescent="0.35">
      <c r="A15" s="526"/>
      <c r="B15" s="99" t="s">
        <v>433</v>
      </c>
      <c r="C15" s="107" t="s">
        <v>119</v>
      </c>
      <c r="D15" s="101" t="s">
        <v>449</v>
      </c>
      <c r="E15" s="500" t="s">
        <v>468</v>
      </c>
      <c r="F15" s="6">
        <f t="shared" si="14"/>
        <v>10</v>
      </c>
      <c r="G15" s="169">
        <v>1</v>
      </c>
      <c r="H15" s="182" t="s">
        <v>375</v>
      </c>
      <c r="I15" s="182" t="s">
        <v>376</v>
      </c>
      <c r="J15" s="403">
        <f>(2.2/(19.9/3.6))*10^9</f>
        <v>397989949.74874377</v>
      </c>
      <c r="K15" s="411" t="str">
        <f>B34</f>
        <v>Reactant10</v>
      </c>
      <c r="L15" s="192">
        <v>0</v>
      </c>
      <c r="M15" s="192">
        <v>1</v>
      </c>
      <c r="N15" s="192">
        <v>0</v>
      </c>
      <c r="O15" s="192">
        <v>0</v>
      </c>
      <c r="P15" s="192">
        <v>0</v>
      </c>
      <c r="Q15" s="204">
        <v>20000</v>
      </c>
      <c r="R15" s="102">
        <v>5.26</v>
      </c>
      <c r="S15" s="102">
        <v>5.26</v>
      </c>
      <c r="T15" s="102">
        <v>5.26</v>
      </c>
      <c r="U15" s="204">
        <v>5.26</v>
      </c>
      <c r="V15" s="108">
        <v>0.68</v>
      </c>
      <c r="W15" s="108">
        <v>0.68</v>
      </c>
      <c r="X15" s="108">
        <v>0.68</v>
      </c>
      <c r="Y15" s="210">
        <v>0.68</v>
      </c>
      <c r="Z15" s="102">
        <v>0</v>
      </c>
      <c r="AA15" s="102">
        <v>0</v>
      </c>
      <c r="AB15" s="102">
        <v>0</v>
      </c>
      <c r="AC15" s="204">
        <v>0</v>
      </c>
      <c r="AD15" s="104">
        <v>0.4</v>
      </c>
      <c r="AE15" s="104">
        <v>0.2</v>
      </c>
      <c r="AF15" s="104">
        <v>0.1</v>
      </c>
      <c r="AG15" s="217">
        <v>0.1</v>
      </c>
      <c r="AH15" s="104">
        <v>0.2</v>
      </c>
      <c r="AI15" s="104">
        <v>1</v>
      </c>
      <c r="AJ15" s="104">
        <v>1</v>
      </c>
      <c r="AK15" s="217">
        <v>1</v>
      </c>
      <c r="AL15" s="104">
        <v>0.2</v>
      </c>
      <c r="AM15" s="104">
        <v>1</v>
      </c>
      <c r="AN15" s="104">
        <v>1</v>
      </c>
      <c r="AO15" s="217">
        <v>1</v>
      </c>
      <c r="AP15" s="105">
        <v>1.7</v>
      </c>
      <c r="AQ15" s="105">
        <v>1.7</v>
      </c>
      <c r="AR15" s="105">
        <v>1.7</v>
      </c>
      <c r="AS15" s="223">
        <v>1.7</v>
      </c>
      <c r="AT15" s="108">
        <f t="shared" ref="AT15:AW15" si="21">469087*($J$15/8760)^(-0.342)</f>
        <v>11979.357938918523</v>
      </c>
      <c r="AU15" s="108">
        <f t="shared" si="21"/>
        <v>11979.357938918523</v>
      </c>
      <c r="AV15" s="108">
        <f t="shared" si="21"/>
        <v>11979.357938918523</v>
      </c>
      <c r="AW15" s="210">
        <f t="shared" si="21"/>
        <v>11979.357938918523</v>
      </c>
      <c r="AX15" s="102">
        <f>AT15*4%</f>
        <v>479.17431755674096</v>
      </c>
      <c r="AY15" s="102">
        <f>AU15*4%</f>
        <v>479.17431755674096</v>
      </c>
      <c r="AZ15" s="102">
        <f>AV15*4%</f>
        <v>479.17431755674096</v>
      </c>
      <c r="BA15" s="204">
        <f>AW15*4%</f>
        <v>479.17431755674096</v>
      </c>
      <c r="BB15" s="106">
        <v>0</v>
      </c>
      <c r="BC15" s="106">
        <v>0</v>
      </c>
      <c r="BD15" s="106">
        <v>0</v>
      </c>
      <c r="BE15" s="224">
        <v>0</v>
      </c>
      <c r="BF15" s="102">
        <v>0</v>
      </c>
      <c r="BG15" s="102">
        <v>0</v>
      </c>
      <c r="BH15" s="102">
        <v>0</v>
      </c>
      <c r="BI15" s="204">
        <v>0</v>
      </c>
      <c r="BJ15" s="102">
        <v>18.474666666666668</v>
      </c>
      <c r="BK15" s="102">
        <v>0</v>
      </c>
      <c r="BL15" s="102">
        <v>0</v>
      </c>
      <c r="BM15" s="204">
        <v>0</v>
      </c>
      <c r="BN15" s="102">
        <v>0</v>
      </c>
      <c r="BO15" s="102">
        <v>0</v>
      </c>
      <c r="BP15" s="102">
        <v>0</v>
      </c>
      <c r="BQ15" s="204">
        <v>0</v>
      </c>
      <c r="BR15" s="102">
        <f>1/11.3</f>
        <v>8.8495575221238937E-2</v>
      </c>
      <c r="BS15" s="102">
        <f t="shared" ref="BS15:BU15" si="22">1/11.3</f>
        <v>8.8495575221238937E-2</v>
      </c>
      <c r="BT15" s="102">
        <f t="shared" si="22"/>
        <v>8.8495575221238937E-2</v>
      </c>
      <c r="BU15" s="204">
        <f t="shared" si="22"/>
        <v>8.8495575221238937E-2</v>
      </c>
      <c r="BV15" s="103">
        <v>30</v>
      </c>
      <c r="BW15" s="103">
        <v>30</v>
      </c>
      <c r="BX15" s="103">
        <v>30</v>
      </c>
      <c r="BY15" s="243">
        <v>30</v>
      </c>
      <c r="BZ15" s="234">
        <v>0.08</v>
      </c>
      <c r="CA15" s="234">
        <v>0.08</v>
      </c>
      <c r="CB15" s="234">
        <v>0.08</v>
      </c>
      <c r="CC15" s="234">
        <v>0.08</v>
      </c>
    </row>
    <row r="16" spans="1:81" s="80" customFormat="1" x14ac:dyDescent="0.35">
      <c r="A16" s="526"/>
      <c r="B16" s="76" t="s">
        <v>97</v>
      </c>
      <c r="C16" s="77" t="s">
        <v>184</v>
      </c>
      <c r="D16" s="78" t="s">
        <v>296</v>
      </c>
      <c r="E16" s="501" t="s">
        <v>86</v>
      </c>
      <c r="F16" s="6">
        <f t="shared" si="14"/>
        <v>11</v>
      </c>
      <c r="G16" s="170">
        <v>1</v>
      </c>
      <c r="H16" s="183" t="s">
        <v>397</v>
      </c>
      <c r="I16" s="183" t="s">
        <v>398</v>
      </c>
      <c r="J16" s="404">
        <v>0</v>
      </c>
      <c r="K16" s="412" t="str">
        <f>B17</f>
        <v>Product/Reactant6</v>
      </c>
      <c r="L16" s="197">
        <v>0</v>
      </c>
      <c r="M16" s="197">
        <v>0</v>
      </c>
      <c r="N16" s="197">
        <v>0</v>
      </c>
      <c r="O16" s="197">
        <v>0</v>
      </c>
      <c r="P16" s="197">
        <v>0</v>
      </c>
      <c r="Q16" s="233">
        <v>40000</v>
      </c>
      <c r="R16" s="81">
        <v>1.7609999999999999</v>
      </c>
      <c r="S16" s="81">
        <v>1.7609999999999999</v>
      </c>
      <c r="T16" s="81">
        <v>1.7609999999999999</v>
      </c>
      <c r="U16" s="205">
        <v>1.7609999999999999</v>
      </c>
      <c r="V16" s="82">
        <v>0</v>
      </c>
      <c r="W16" s="82">
        <v>0</v>
      </c>
      <c r="X16" s="82">
        <v>0</v>
      </c>
      <c r="Y16" s="211">
        <v>0</v>
      </c>
      <c r="Z16" s="82">
        <v>0</v>
      </c>
      <c r="AA16" s="82">
        <v>0</v>
      </c>
      <c r="AB16" s="82">
        <v>0</v>
      </c>
      <c r="AC16" s="211">
        <v>0</v>
      </c>
      <c r="AD16" s="83">
        <v>0</v>
      </c>
      <c r="AE16" s="83">
        <v>0</v>
      </c>
      <c r="AF16" s="83">
        <v>0</v>
      </c>
      <c r="AG16" s="218">
        <v>0</v>
      </c>
      <c r="AH16" s="83">
        <v>1</v>
      </c>
      <c r="AI16" s="83">
        <v>1</v>
      </c>
      <c r="AJ16" s="83">
        <v>1</v>
      </c>
      <c r="AK16" s="218">
        <v>1</v>
      </c>
      <c r="AL16" s="83">
        <v>1</v>
      </c>
      <c r="AM16" s="83">
        <v>1</v>
      </c>
      <c r="AN16" s="83">
        <v>1</v>
      </c>
      <c r="AO16" s="218">
        <v>1</v>
      </c>
      <c r="AP16" s="86">
        <v>0</v>
      </c>
      <c r="AQ16" s="86">
        <v>0</v>
      </c>
      <c r="AR16" s="86">
        <v>0</v>
      </c>
      <c r="AS16" s="225">
        <v>0</v>
      </c>
      <c r="AT16" s="86">
        <v>0</v>
      </c>
      <c r="AU16" s="86">
        <v>0</v>
      </c>
      <c r="AV16" s="86">
        <v>0</v>
      </c>
      <c r="AW16" s="225">
        <v>0</v>
      </c>
      <c r="AX16" s="86">
        <v>0</v>
      </c>
      <c r="AY16" s="86">
        <v>0</v>
      </c>
      <c r="AZ16" s="86">
        <v>0</v>
      </c>
      <c r="BA16" s="225">
        <v>0</v>
      </c>
      <c r="BB16" s="87">
        <v>9.9959999999999993E-2</v>
      </c>
      <c r="BC16" s="87">
        <v>0.10436999999999999</v>
      </c>
      <c r="BD16" s="87">
        <v>0.11172</v>
      </c>
      <c r="BE16" s="232">
        <v>0.12053999999999998</v>
      </c>
      <c r="BF16" s="80">
        <v>0</v>
      </c>
      <c r="BG16" s="80">
        <v>0</v>
      </c>
      <c r="BH16" s="80">
        <v>0</v>
      </c>
      <c r="BI16" s="233">
        <v>0</v>
      </c>
      <c r="BJ16" s="80">
        <v>0</v>
      </c>
      <c r="BK16" s="80">
        <v>0</v>
      </c>
      <c r="BL16" s="80">
        <v>0</v>
      </c>
      <c r="BM16" s="233">
        <v>0</v>
      </c>
      <c r="BN16" s="80">
        <v>0</v>
      </c>
      <c r="BO16" s="80">
        <v>0</v>
      </c>
      <c r="BP16" s="80">
        <v>0</v>
      </c>
      <c r="BQ16" s="233">
        <v>0</v>
      </c>
      <c r="BR16" s="80">
        <v>0</v>
      </c>
      <c r="BS16" s="80">
        <v>0</v>
      </c>
      <c r="BT16" s="80">
        <v>0</v>
      </c>
      <c r="BU16" s="233">
        <v>0</v>
      </c>
      <c r="BV16" s="79">
        <v>0</v>
      </c>
      <c r="BW16" s="79">
        <v>0</v>
      </c>
      <c r="BX16" s="79">
        <v>0</v>
      </c>
      <c r="BY16" s="244">
        <v>0</v>
      </c>
      <c r="BZ16" s="83">
        <v>0.08</v>
      </c>
      <c r="CA16" s="83">
        <v>0.08</v>
      </c>
      <c r="CB16" s="83">
        <v>0.08</v>
      </c>
      <c r="CC16" s="83">
        <v>0.08</v>
      </c>
    </row>
    <row r="17" spans="1:81" s="80" customFormat="1" x14ac:dyDescent="0.35">
      <c r="A17" s="526"/>
      <c r="B17" s="76" t="s">
        <v>436</v>
      </c>
      <c r="C17" s="77" t="s">
        <v>119</v>
      </c>
      <c r="D17" s="78" t="s">
        <v>295</v>
      </c>
      <c r="E17" s="501" t="s">
        <v>468</v>
      </c>
      <c r="F17" s="6">
        <f t="shared" si="14"/>
        <v>12</v>
      </c>
      <c r="G17" s="170">
        <v>1</v>
      </c>
      <c r="H17" s="183" t="s">
        <v>375</v>
      </c>
      <c r="I17" s="183" t="s">
        <v>376</v>
      </c>
      <c r="J17" s="404">
        <f>(2.2/(19.9/3.6))*10^9</f>
        <v>397989949.74874377</v>
      </c>
      <c r="K17" s="412" t="str">
        <f>B34</f>
        <v>Reactant10</v>
      </c>
      <c r="L17" s="197">
        <v>0</v>
      </c>
      <c r="M17" s="197">
        <v>1</v>
      </c>
      <c r="N17" s="197">
        <v>1</v>
      </c>
      <c r="O17" s="197">
        <v>0</v>
      </c>
      <c r="P17" s="197">
        <v>0</v>
      </c>
      <c r="Q17" s="233">
        <v>20000</v>
      </c>
      <c r="R17" s="81">
        <v>12.288489999999999</v>
      </c>
      <c r="S17" s="81">
        <v>12.288489999999999</v>
      </c>
      <c r="T17" s="81">
        <v>12.288489999999999</v>
      </c>
      <c r="U17" s="205">
        <v>12.288489999999999</v>
      </c>
      <c r="V17" s="82">
        <v>0.84187420178799477</v>
      </c>
      <c r="W17" s="82">
        <v>0.84187420178799477</v>
      </c>
      <c r="X17" s="82">
        <v>0.84187420178799477</v>
      </c>
      <c r="Y17" s="211">
        <v>0.84187420178799477</v>
      </c>
      <c r="Z17" s="82">
        <v>0</v>
      </c>
      <c r="AA17" s="82">
        <v>0</v>
      </c>
      <c r="AB17" s="82">
        <v>0</v>
      </c>
      <c r="AC17" s="211">
        <v>0</v>
      </c>
      <c r="AD17" s="83">
        <v>0.4</v>
      </c>
      <c r="AE17" s="83">
        <v>0.2</v>
      </c>
      <c r="AF17" s="83">
        <v>0.1</v>
      </c>
      <c r="AG17" s="218">
        <v>0.1</v>
      </c>
      <c r="AH17" s="83">
        <v>0.2</v>
      </c>
      <c r="AI17" s="83">
        <v>1</v>
      </c>
      <c r="AJ17" s="83">
        <v>1</v>
      </c>
      <c r="AK17" s="218">
        <v>1</v>
      </c>
      <c r="AL17" s="83">
        <v>0.2</v>
      </c>
      <c r="AM17" s="83">
        <v>1</v>
      </c>
      <c r="AN17" s="83">
        <v>1</v>
      </c>
      <c r="AO17" s="218">
        <v>1</v>
      </c>
      <c r="AP17" s="84">
        <v>1.9322760000000001</v>
      </c>
      <c r="AQ17" s="84">
        <v>1.9322760000000001</v>
      </c>
      <c r="AR17" s="84">
        <v>1.9322760000000001</v>
      </c>
      <c r="AS17" s="226">
        <v>1.9322760000000001</v>
      </c>
      <c r="AT17" s="85">
        <f>10910.1*30976718*(($J17)/30976718)^0.69/$J17</f>
        <v>4944.1239872616607</v>
      </c>
      <c r="AU17" s="85">
        <f t="shared" ref="AU17:AW17" si="23">10910.1*30976718*(($J17)/30976718)^0.69/$J17</f>
        <v>4944.1239872616607</v>
      </c>
      <c r="AV17" s="85">
        <f t="shared" si="23"/>
        <v>4944.1239872616607</v>
      </c>
      <c r="AW17" s="231">
        <f t="shared" si="23"/>
        <v>4944.1239872616607</v>
      </c>
      <c r="AX17" s="86">
        <v>1880.02</v>
      </c>
      <c r="AY17" s="86">
        <v>1880.02</v>
      </c>
      <c r="AZ17" s="86">
        <v>1880.02</v>
      </c>
      <c r="BA17" s="225">
        <v>1880.02</v>
      </c>
      <c r="BB17" s="87">
        <v>0</v>
      </c>
      <c r="BC17" s="87">
        <v>0</v>
      </c>
      <c r="BD17" s="87">
        <v>0</v>
      </c>
      <c r="BE17" s="232">
        <v>0</v>
      </c>
      <c r="BF17" s="80">
        <v>0</v>
      </c>
      <c r="BG17" s="80">
        <v>0</v>
      </c>
      <c r="BH17" s="80">
        <v>0</v>
      </c>
      <c r="BI17" s="233">
        <v>0</v>
      </c>
      <c r="BJ17" s="80">
        <f t="shared" ref="BJ17" si="24">BJ15</f>
        <v>18.474666666666668</v>
      </c>
      <c r="BK17" s="80">
        <f>BK15</f>
        <v>0</v>
      </c>
      <c r="BL17" s="80">
        <f>BL15</f>
        <v>0</v>
      </c>
      <c r="BM17" s="233">
        <f>BM15</f>
        <v>0</v>
      </c>
      <c r="BN17" s="80">
        <v>0</v>
      </c>
      <c r="BO17" s="80">
        <v>0</v>
      </c>
      <c r="BP17" s="80">
        <v>0</v>
      </c>
      <c r="BQ17" s="233">
        <v>0</v>
      </c>
      <c r="BR17" s="80">
        <f>1/11.3</f>
        <v>8.8495575221238937E-2</v>
      </c>
      <c r="BS17" s="80">
        <f t="shared" ref="BS17:BU17" si="25">1/11.3</f>
        <v>8.8495575221238937E-2</v>
      </c>
      <c r="BT17" s="80">
        <f t="shared" si="25"/>
        <v>8.8495575221238937E-2</v>
      </c>
      <c r="BU17" s="233">
        <f t="shared" si="25"/>
        <v>8.8495575221238937E-2</v>
      </c>
      <c r="BV17" s="79">
        <v>30</v>
      </c>
      <c r="BW17" s="79">
        <v>30</v>
      </c>
      <c r="BX17" s="79">
        <v>30</v>
      </c>
      <c r="BY17" s="244">
        <v>30</v>
      </c>
      <c r="BZ17" s="83">
        <v>0.08</v>
      </c>
      <c r="CA17" s="83">
        <v>0.08</v>
      </c>
      <c r="CB17" s="83">
        <v>0.08</v>
      </c>
      <c r="CC17" s="83">
        <v>0.08</v>
      </c>
    </row>
    <row r="18" spans="1:81" s="92" customFormat="1" x14ac:dyDescent="0.35">
      <c r="A18" s="526"/>
      <c r="B18" s="88" t="s">
        <v>97</v>
      </c>
      <c r="C18" s="89" t="s">
        <v>285</v>
      </c>
      <c r="D18" s="90" t="s">
        <v>297</v>
      </c>
      <c r="E18" s="502" t="s">
        <v>86</v>
      </c>
      <c r="F18" s="6">
        <f t="shared" si="14"/>
        <v>13</v>
      </c>
      <c r="G18" s="171">
        <v>1</v>
      </c>
      <c r="H18" s="184" t="s">
        <v>381</v>
      </c>
      <c r="I18" s="184" t="s">
        <v>382</v>
      </c>
      <c r="J18" s="193">
        <v>0</v>
      </c>
      <c r="K18" s="413" t="str">
        <f>B20</f>
        <v>Product/Reactant7</v>
      </c>
      <c r="L18" s="193">
        <v>0</v>
      </c>
      <c r="M18" s="193">
        <v>0</v>
      </c>
      <c r="N18" s="193">
        <v>0</v>
      </c>
      <c r="O18" s="193">
        <v>0</v>
      </c>
      <c r="P18" s="193">
        <v>0</v>
      </c>
      <c r="Q18" s="206">
        <v>20000</v>
      </c>
      <c r="R18" s="92">
        <f t="shared" ref="R18:U18" si="26">32.5/12.3</f>
        <v>2.6422764227642275</v>
      </c>
      <c r="S18" s="92">
        <f t="shared" si="26"/>
        <v>2.6422764227642275</v>
      </c>
      <c r="T18" s="92">
        <f t="shared" si="26"/>
        <v>2.6422764227642275</v>
      </c>
      <c r="U18" s="206">
        <f t="shared" si="26"/>
        <v>2.6422764227642275</v>
      </c>
      <c r="V18" s="92">
        <v>0</v>
      </c>
      <c r="W18" s="92">
        <v>0</v>
      </c>
      <c r="X18" s="92">
        <v>0</v>
      </c>
      <c r="Y18" s="206">
        <v>0</v>
      </c>
      <c r="Z18" s="92">
        <v>0</v>
      </c>
      <c r="AA18" s="92">
        <v>0</v>
      </c>
      <c r="AB18" s="92">
        <v>0</v>
      </c>
      <c r="AC18" s="206">
        <v>0</v>
      </c>
      <c r="AD18" s="93">
        <v>0</v>
      </c>
      <c r="AE18" s="93">
        <v>0</v>
      </c>
      <c r="AF18" s="93">
        <v>0</v>
      </c>
      <c r="AG18" s="219">
        <v>0</v>
      </c>
      <c r="AH18" s="93">
        <v>1</v>
      </c>
      <c r="AI18" s="93">
        <v>1</v>
      </c>
      <c r="AJ18" s="93">
        <v>1</v>
      </c>
      <c r="AK18" s="219">
        <v>1</v>
      </c>
      <c r="AL18" s="93">
        <v>1</v>
      </c>
      <c r="AM18" s="93">
        <v>1</v>
      </c>
      <c r="AN18" s="93">
        <v>1</v>
      </c>
      <c r="AO18" s="219">
        <v>1</v>
      </c>
      <c r="AP18" s="94">
        <v>0</v>
      </c>
      <c r="AQ18" s="94">
        <v>0</v>
      </c>
      <c r="AR18" s="94">
        <v>0</v>
      </c>
      <c r="AS18" s="227">
        <v>0</v>
      </c>
      <c r="AT18" s="92">
        <v>0</v>
      </c>
      <c r="AU18" s="92">
        <v>0</v>
      </c>
      <c r="AV18" s="92">
        <v>0</v>
      </c>
      <c r="AW18" s="206">
        <v>0</v>
      </c>
      <c r="AX18" s="92">
        <v>0</v>
      </c>
      <c r="AY18" s="92">
        <v>0</v>
      </c>
      <c r="AZ18" s="92">
        <v>0</v>
      </c>
      <c r="BA18" s="206">
        <v>0</v>
      </c>
      <c r="BB18" s="92">
        <v>0</v>
      </c>
      <c r="BC18" s="92">
        <v>0</v>
      </c>
      <c r="BD18" s="92">
        <v>0</v>
      </c>
      <c r="BE18" s="206">
        <v>0</v>
      </c>
      <c r="BF18" s="92">
        <v>0.11849999999999999</v>
      </c>
      <c r="BG18" s="92">
        <v>0.11849999999999999</v>
      </c>
      <c r="BH18" s="92">
        <v>0.11849999999999999</v>
      </c>
      <c r="BI18" s="206">
        <v>0.11849999999999999</v>
      </c>
      <c r="BJ18" s="92">
        <v>0</v>
      </c>
      <c r="BK18" s="92">
        <v>0</v>
      </c>
      <c r="BL18" s="92">
        <v>0</v>
      </c>
      <c r="BM18" s="206">
        <v>0</v>
      </c>
      <c r="BN18" s="92">
        <v>0</v>
      </c>
      <c r="BO18" s="92">
        <v>0</v>
      </c>
      <c r="BP18" s="92">
        <v>0</v>
      </c>
      <c r="BQ18" s="206">
        <v>0</v>
      </c>
      <c r="BR18" s="92">
        <v>0</v>
      </c>
      <c r="BS18" s="92">
        <v>0</v>
      </c>
      <c r="BT18" s="92">
        <v>0</v>
      </c>
      <c r="BU18" s="206">
        <v>0</v>
      </c>
      <c r="BV18" s="91">
        <v>0</v>
      </c>
      <c r="BW18" s="91">
        <v>0</v>
      </c>
      <c r="BX18" s="91">
        <v>0</v>
      </c>
      <c r="BY18" s="238">
        <v>0</v>
      </c>
      <c r="BZ18" s="93">
        <v>0.08</v>
      </c>
      <c r="CA18" s="93">
        <v>0.08</v>
      </c>
      <c r="CB18" s="93">
        <v>0.08</v>
      </c>
      <c r="CC18" s="93">
        <v>0.08</v>
      </c>
    </row>
    <row r="19" spans="1:81" s="92" customFormat="1" x14ac:dyDescent="0.35">
      <c r="A19" s="526"/>
      <c r="B19" s="88" t="s">
        <v>97</v>
      </c>
      <c r="C19" s="95" t="s">
        <v>184</v>
      </c>
      <c r="D19" s="90" t="s">
        <v>302</v>
      </c>
      <c r="E19" s="502" t="s">
        <v>86</v>
      </c>
      <c r="F19" s="6">
        <f t="shared" si="14"/>
        <v>14</v>
      </c>
      <c r="G19" s="171">
        <v>1</v>
      </c>
      <c r="H19" s="184" t="s">
        <v>399</v>
      </c>
      <c r="I19" s="184" t="s">
        <v>402</v>
      </c>
      <c r="J19" s="193">
        <v>0</v>
      </c>
      <c r="K19" s="413" t="str">
        <f>B20</f>
        <v>Product/Reactant7</v>
      </c>
      <c r="L19" s="193">
        <v>0</v>
      </c>
      <c r="M19" s="193">
        <v>0</v>
      </c>
      <c r="N19" s="193">
        <v>0</v>
      </c>
      <c r="O19" s="193">
        <v>0</v>
      </c>
      <c r="P19" s="193">
        <v>0</v>
      </c>
      <c r="Q19" s="206">
        <v>20000</v>
      </c>
      <c r="R19" s="92">
        <f t="shared" ref="R19:U19" si="27">112.2/12.3</f>
        <v>9.1219512195121943</v>
      </c>
      <c r="S19" s="92">
        <f t="shared" si="27"/>
        <v>9.1219512195121943</v>
      </c>
      <c r="T19" s="92">
        <f t="shared" si="27"/>
        <v>9.1219512195121943</v>
      </c>
      <c r="U19" s="206">
        <f t="shared" si="27"/>
        <v>9.1219512195121943</v>
      </c>
      <c r="V19" s="92">
        <v>0</v>
      </c>
      <c r="W19" s="92">
        <v>0</v>
      </c>
      <c r="X19" s="92">
        <v>0</v>
      </c>
      <c r="Y19" s="206">
        <v>0</v>
      </c>
      <c r="Z19" s="92">
        <v>0</v>
      </c>
      <c r="AA19" s="92">
        <v>0</v>
      </c>
      <c r="AB19" s="92">
        <v>0</v>
      </c>
      <c r="AC19" s="206">
        <v>0</v>
      </c>
      <c r="AD19" s="93">
        <v>0</v>
      </c>
      <c r="AE19" s="93">
        <v>0</v>
      </c>
      <c r="AF19" s="93">
        <v>0</v>
      </c>
      <c r="AG19" s="219">
        <v>0</v>
      </c>
      <c r="AH19" s="93">
        <v>1</v>
      </c>
      <c r="AI19" s="93">
        <v>1</v>
      </c>
      <c r="AJ19" s="93">
        <v>1</v>
      </c>
      <c r="AK19" s="219">
        <v>1</v>
      </c>
      <c r="AL19" s="93">
        <v>1</v>
      </c>
      <c r="AM19" s="93">
        <v>1</v>
      </c>
      <c r="AN19" s="93">
        <v>1</v>
      </c>
      <c r="AO19" s="219">
        <v>1</v>
      </c>
      <c r="AP19" s="94">
        <v>0</v>
      </c>
      <c r="AQ19" s="94">
        <v>0</v>
      </c>
      <c r="AR19" s="94">
        <v>0</v>
      </c>
      <c r="AS19" s="227">
        <v>0</v>
      </c>
      <c r="AT19" s="92">
        <v>0</v>
      </c>
      <c r="AU19" s="92">
        <v>0</v>
      </c>
      <c r="AV19" s="92">
        <v>0</v>
      </c>
      <c r="AW19" s="206">
        <v>0</v>
      </c>
      <c r="AX19" s="92">
        <v>0</v>
      </c>
      <c r="AY19" s="92">
        <v>0</v>
      </c>
      <c r="AZ19" s="92">
        <v>0</v>
      </c>
      <c r="BA19" s="206">
        <v>0</v>
      </c>
      <c r="BB19" s="92">
        <v>9.2799999999999994E-2</v>
      </c>
      <c r="BC19" s="92">
        <v>9.2799999999999994E-2</v>
      </c>
      <c r="BD19" s="92">
        <v>9.2799999999999994E-2</v>
      </c>
      <c r="BE19" s="206">
        <v>9.2799999999999994E-2</v>
      </c>
      <c r="BF19" s="92">
        <v>0</v>
      </c>
      <c r="BG19" s="92">
        <v>0</v>
      </c>
      <c r="BH19" s="92">
        <v>0</v>
      </c>
      <c r="BI19" s="206">
        <v>0</v>
      </c>
      <c r="BJ19" s="92">
        <v>0</v>
      </c>
      <c r="BK19" s="92">
        <v>0</v>
      </c>
      <c r="BL19" s="92">
        <v>0</v>
      </c>
      <c r="BM19" s="206">
        <v>0</v>
      </c>
      <c r="BN19" s="92">
        <v>0</v>
      </c>
      <c r="BO19" s="92">
        <v>0</v>
      </c>
      <c r="BP19" s="92">
        <v>0</v>
      </c>
      <c r="BQ19" s="206">
        <v>0</v>
      </c>
      <c r="BR19" s="92">
        <v>0</v>
      </c>
      <c r="BS19" s="92">
        <v>0</v>
      </c>
      <c r="BT19" s="92">
        <v>0</v>
      </c>
      <c r="BU19" s="206">
        <v>0</v>
      </c>
      <c r="BV19" s="91">
        <v>0</v>
      </c>
      <c r="BW19" s="91">
        <v>0</v>
      </c>
      <c r="BX19" s="91">
        <v>0</v>
      </c>
      <c r="BY19" s="238">
        <v>0</v>
      </c>
      <c r="BZ19" s="93">
        <v>0.08</v>
      </c>
      <c r="CA19" s="93">
        <v>0.08</v>
      </c>
      <c r="CB19" s="93">
        <v>0.08</v>
      </c>
      <c r="CC19" s="93">
        <v>0.08</v>
      </c>
    </row>
    <row r="20" spans="1:81" s="92" customFormat="1" x14ac:dyDescent="0.35">
      <c r="A20" s="526"/>
      <c r="B20" s="88" t="s">
        <v>437</v>
      </c>
      <c r="C20" s="95" t="s">
        <v>184</v>
      </c>
      <c r="D20" s="90" t="s">
        <v>298</v>
      </c>
      <c r="E20" s="502" t="s">
        <v>86</v>
      </c>
      <c r="F20" s="6">
        <f t="shared" si="14"/>
        <v>15</v>
      </c>
      <c r="G20" s="171">
        <v>1</v>
      </c>
      <c r="H20" s="184" t="s">
        <v>397</v>
      </c>
      <c r="I20" s="184" t="s">
        <v>398</v>
      </c>
      <c r="J20" s="405">
        <v>0</v>
      </c>
      <c r="K20" s="413" t="str">
        <f>B21</f>
        <v>Product/Reactant8</v>
      </c>
      <c r="L20" s="193">
        <v>0</v>
      </c>
      <c r="M20" s="193">
        <v>1</v>
      </c>
      <c r="N20" s="193">
        <v>0</v>
      </c>
      <c r="O20" s="193">
        <v>0</v>
      </c>
      <c r="P20" s="193">
        <v>0</v>
      </c>
      <c r="Q20" s="206">
        <v>20000</v>
      </c>
      <c r="R20" s="92">
        <f t="shared" ref="R20:U20" si="28">12.3/7.9</f>
        <v>1.5569620253164558</v>
      </c>
      <c r="S20" s="92">
        <f t="shared" si="28"/>
        <v>1.5569620253164558</v>
      </c>
      <c r="T20" s="92">
        <f t="shared" si="28"/>
        <v>1.5569620253164558</v>
      </c>
      <c r="U20" s="206">
        <f t="shared" si="28"/>
        <v>1.5569620253164558</v>
      </c>
      <c r="V20" s="96">
        <v>0.4</v>
      </c>
      <c r="W20" s="96">
        <v>0.4</v>
      </c>
      <c r="X20" s="96">
        <v>0.4</v>
      </c>
      <c r="Y20" s="212">
        <v>0.4</v>
      </c>
      <c r="Z20" s="92">
        <v>0</v>
      </c>
      <c r="AA20" s="92">
        <v>0</v>
      </c>
      <c r="AB20" s="92">
        <v>0</v>
      </c>
      <c r="AC20" s="206">
        <v>0</v>
      </c>
      <c r="AD20" s="93">
        <v>0.2</v>
      </c>
      <c r="AE20" s="93">
        <v>0.2</v>
      </c>
      <c r="AF20" s="93">
        <v>0.2</v>
      </c>
      <c r="AG20" s="219">
        <v>0.2</v>
      </c>
      <c r="AH20" s="93">
        <v>1</v>
      </c>
      <c r="AI20" s="93">
        <v>1</v>
      </c>
      <c r="AJ20" s="93">
        <v>1</v>
      </c>
      <c r="AK20" s="219">
        <v>1</v>
      </c>
      <c r="AL20" s="93">
        <v>1</v>
      </c>
      <c r="AM20" s="93">
        <v>1</v>
      </c>
      <c r="AN20" s="93">
        <v>1</v>
      </c>
      <c r="AO20" s="219">
        <v>1</v>
      </c>
      <c r="AP20" s="97">
        <v>9.1999999999999993</v>
      </c>
      <c r="AQ20" s="97">
        <v>9.1999999999999993</v>
      </c>
      <c r="AR20" s="97">
        <v>9.1999999999999993</v>
      </c>
      <c r="AS20" s="228">
        <v>9.1999999999999993</v>
      </c>
      <c r="AT20" s="92">
        <v>13440</v>
      </c>
      <c r="AU20" s="92">
        <v>13440</v>
      </c>
      <c r="AV20" s="92">
        <v>13440</v>
      </c>
      <c r="AW20" s="206">
        <v>13440</v>
      </c>
      <c r="AX20" s="92">
        <v>1080</v>
      </c>
      <c r="AY20" s="92">
        <v>1080</v>
      </c>
      <c r="AZ20" s="92">
        <v>1080</v>
      </c>
      <c r="BA20" s="206">
        <v>1080</v>
      </c>
      <c r="BB20" s="92">
        <v>0</v>
      </c>
      <c r="BC20" s="92">
        <v>0</v>
      </c>
      <c r="BD20" s="92">
        <v>0</v>
      </c>
      <c r="BE20" s="206">
        <v>0</v>
      </c>
      <c r="BF20" s="92">
        <v>0</v>
      </c>
      <c r="BG20" s="92">
        <v>0</v>
      </c>
      <c r="BH20" s="92">
        <v>0</v>
      </c>
      <c r="BI20" s="206">
        <v>0</v>
      </c>
      <c r="BJ20" s="92">
        <v>12.323</v>
      </c>
      <c r="BK20" s="92">
        <v>0</v>
      </c>
      <c r="BL20" s="92">
        <v>0</v>
      </c>
      <c r="BM20" s="206">
        <v>0</v>
      </c>
      <c r="BN20" s="92">
        <v>0</v>
      </c>
      <c r="BO20" s="92">
        <v>0</v>
      </c>
      <c r="BP20" s="92">
        <v>0</v>
      </c>
      <c r="BQ20" s="206">
        <v>0</v>
      </c>
      <c r="BR20" s="92">
        <f>(BZ20*(1+BZ20)^BV20)/((1+BZ20)^BV20-1)</f>
        <v>9.3678779051968114E-2</v>
      </c>
      <c r="BS20" s="92">
        <f t="shared" ref="BS20:BU20" si="29">(CA20*(1+CA20)^BW20)/((1+CA20)^BW20-1)</f>
        <v>9.3678779051968114E-2</v>
      </c>
      <c r="BT20" s="92">
        <f t="shared" si="29"/>
        <v>9.3678779051968114E-2</v>
      </c>
      <c r="BU20" s="206">
        <f t="shared" si="29"/>
        <v>9.3678779051968114E-2</v>
      </c>
      <c r="BV20" s="91">
        <v>25</v>
      </c>
      <c r="BW20" s="91">
        <v>25</v>
      </c>
      <c r="BX20" s="91">
        <v>25</v>
      </c>
      <c r="BY20" s="238">
        <v>25</v>
      </c>
      <c r="BZ20" s="93">
        <v>0.08</v>
      </c>
      <c r="CA20" s="93">
        <v>0.08</v>
      </c>
      <c r="CB20" s="93">
        <v>0.08</v>
      </c>
      <c r="CC20" s="93">
        <v>0.08</v>
      </c>
    </row>
    <row r="21" spans="1:81" s="92" customFormat="1" x14ac:dyDescent="0.35">
      <c r="A21" s="526"/>
      <c r="B21" s="88" t="s">
        <v>438</v>
      </c>
      <c r="C21" s="89" t="s">
        <v>119</v>
      </c>
      <c r="D21" s="90" t="s">
        <v>301</v>
      </c>
      <c r="E21" s="502" t="s">
        <v>86</v>
      </c>
      <c r="F21" s="6">
        <f t="shared" si="14"/>
        <v>16</v>
      </c>
      <c r="G21" s="171">
        <v>1</v>
      </c>
      <c r="H21" s="184" t="s">
        <v>400</v>
      </c>
      <c r="I21" s="184" t="s">
        <v>401</v>
      </c>
      <c r="J21" s="405">
        <f>(2.2/(32.3/3.6))*10^9</f>
        <v>245201238.39009291</v>
      </c>
      <c r="K21" s="413" t="str">
        <f>B34</f>
        <v>Reactant10</v>
      </c>
      <c r="L21" s="193">
        <v>0</v>
      </c>
      <c r="M21" s="193">
        <v>0</v>
      </c>
      <c r="N21" s="193">
        <v>0</v>
      </c>
      <c r="O21" s="193">
        <v>0</v>
      </c>
      <c r="P21" s="193">
        <v>0</v>
      </c>
      <c r="Q21" s="206">
        <v>40000</v>
      </c>
      <c r="R21" s="92">
        <f t="shared" ref="R21:U21" si="30">1/0.014</f>
        <v>71.428571428571431</v>
      </c>
      <c r="S21" s="92">
        <f t="shared" si="30"/>
        <v>71.428571428571431</v>
      </c>
      <c r="T21" s="92">
        <f t="shared" si="30"/>
        <v>71.428571428571431</v>
      </c>
      <c r="U21" s="206">
        <f t="shared" si="30"/>
        <v>71.428571428571431</v>
      </c>
      <c r="V21" s="92">
        <v>0</v>
      </c>
      <c r="W21" s="92">
        <v>0</v>
      </c>
      <c r="X21" s="92">
        <v>0</v>
      </c>
      <c r="Y21" s="206">
        <v>0</v>
      </c>
      <c r="Z21" s="92">
        <v>0</v>
      </c>
      <c r="AA21" s="92">
        <v>0</v>
      </c>
      <c r="AB21" s="92">
        <v>0</v>
      </c>
      <c r="AC21" s="206">
        <v>0</v>
      </c>
      <c r="AD21" s="93">
        <v>0</v>
      </c>
      <c r="AE21" s="93">
        <v>0</v>
      </c>
      <c r="AF21" s="93">
        <v>0</v>
      </c>
      <c r="AG21" s="219">
        <v>0</v>
      </c>
      <c r="AH21" s="93">
        <v>1</v>
      </c>
      <c r="AI21" s="93">
        <v>1</v>
      </c>
      <c r="AJ21" s="93">
        <v>1</v>
      </c>
      <c r="AK21" s="219">
        <v>1</v>
      </c>
      <c r="AL21" s="93">
        <v>1</v>
      </c>
      <c r="AM21" s="93">
        <v>1</v>
      </c>
      <c r="AN21" s="93">
        <v>1</v>
      </c>
      <c r="AO21" s="219">
        <v>1</v>
      </c>
      <c r="AP21" s="94">
        <v>9.8000000000000004E-2</v>
      </c>
      <c r="AQ21" s="94">
        <v>9.8000000000000004E-2</v>
      </c>
      <c r="AR21" s="94">
        <v>9.8000000000000004E-2</v>
      </c>
      <c r="AS21" s="227">
        <v>9.8000000000000004E-2</v>
      </c>
      <c r="AT21" s="92">
        <v>3995</v>
      </c>
      <c r="AU21" s="92">
        <v>3995</v>
      </c>
      <c r="AV21" s="92">
        <v>3995</v>
      </c>
      <c r="AW21" s="206">
        <v>3995</v>
      </c>
      <c r="AX21" s="92">
        <v>799</v>
      </c>
      <c r="AY21" s="92">
        <v>799</v>
      </c>
      <c r="AZ21" s="92">
        <v>799</v>
      </c>
      <c r="BA21" s="206">
        <v>799</v>
      </c>
      <c r="BB21" s="92">
        <v>0</v>
      </c>
      <c r="BC21" s="92">
        <v>0</v>
      </c>
      <c r="BD21" s="92">
        <v>0</v>
      </c>
      <c r="BE21" s="206">
        <v>0</v>
      </c>
      <c r="BF21" s="92">
        <v>0</v>
      </c>
      <c r="BG21" s="92">
        <v>0</v>
      </c>
      <c r="BH21" s="92">
        <v>0</v>
      </c>
      <c r="BI21" s="206">
        <v>0</v>
      </c>
      <c r="BJ21" s="92">
        <v>2.3748999999999998</v>
      </c>
      <c r="BK21" s="92">
        <v>0</v>
      </c>
      <c r="BL21" s="92">
        <v>0</v>
      </c>
      <c r="BM21" s="206">
        <v>0</v>
      </c>
      <c r="BN21" s="92">
        <v>0</v>
      </c>
      <c r="BO21" s="92">
        <v>0</v>
      </c>
      <c r="BP21" s="92">
        <v>0</v>
      </c>
      <c r="BQ21" s="206">
        <v>0</v>
      </c>
      <c r="BR21" s="92">
        <f>IF(BV21&lt;&gt;0,(BZ21*(1+BZ21)^BV21)/((1+BZ21)^BV21-1),0)</f>
        <v>0.10185220882315059</v>
      </c>
      <c r="BS21" s="92">
        <f t="shared" ref="BS21:BU21" si="31">IF(BW21&lt;&gt;0,(CA21*(1+CA21)^BW21)/((1+CA21)^BW21-1),0)</f>
        <v>0.10185220882315059</v>
      </c>
      <c r="BT21" s="92">
        <f t="shared" si="31"/>
        <v>0.10185220882315059</v>
      </c>
      <c r="BU21" s="206">
        <f t="shared" si="31"/>
        <v>0.10185220882315059</v>
      </c>
      <c r="BV21" s="91">
        <v>20</v>
      </c>
      <c r="BW21" s="91">
        <v>20</v>
      </c>
      <c r="BX21" s="91">
        <v>20</v>
      </c>
      <c r="BY21" s="238">
        <v>20</v>
      </c>
      <c r="BZ21" s="93">
        <v>0.08</v>
      </c>
      <c r="CA21" s="93">
        <v>0.08</v>
      </c>
      <c r="CB21" s="93">
        <v>0.08</v>
      </c>
      <c r="CC21" s="93">
        <v>0.08</v>
      </c>
    </row>
    <row r="22" spans="1:81" s="112" customFormat="1" x14ac:dyDescent="0.35">
      <c r="A22" s="526"/>
      <c r="B22" s="109" t="s">
        <v>97</v>
      </c>
      <c r="C22" s="117" t="s">
        <v>285</v>
      </c>
      <c r="D22" s="111" t="s">
        <v>360</v>
      </c>
      <c r="E22" s="503" t="s">
        <v>86</v>
      </c>
      <c r="F22" s="6">
        <f t="shared" si="14"/>
        <v>17</v>
      </c>
      <c r="G22" s="172">
        <v>1</v>
      </c>
      <c r="H22" s="185" t="s">
        <v>381</v>
      </c>
      <c r="I22" s="185" t="s">
        <v>382</v>
      </c>
      <c r="J22" s="194">
        <v>0</v>
      </c>
      <c r="K22" s="414" t="str">
        <f>B28</f>
        <v>Product/Reactant9</v>
      </c>
      <c r="L22" s="194">
        <v>0</v>
      </c>
      <c r="M22" s="194">
        <v>0</v>
      </c>
      <c r="N22" s="194">
        <v>0</v>
      </c>
      <c r="O22" s="194">
        <v>0</v>
      </c>
      <c r="P22" s="194">
        <v>0</v>
      </c>
      <c r="Q22" s="207">
        <f>Q14</f>
        <v>40000</v>
      </c>
      <c r="R22" s="112">
        <v>0</v>
      </c>
      <c r="S22" s="112">
        <v>0</v>
      </c>
      <c r="T22" s="112">
        <v>0</v>
      </c>
      <c r="U22" s="207">
        <v>0</v>
      </c>
      <c r="V22" s="114">
        <v>0</v>
      </c>
      <c r="W22" s="114">
        <v>0</v>
      </c>
      <c r="X22" s="114">
        <v>0</v>
      </c>
      <c r="Y22" s="213">
        <v>0</v>
      </c>
      <c r="Z22" s="114">
        <v>0</v>
      </c>
      <c r="AA22" s="114">
        <v>0</v>
      </c>
      <c r="AB22" s="114">
        <v>0</v>
      </c>
      <c r="AC22" s="213">
        <v>0</v>
      </c>
      <c r="AD22" s="115">
        <v>0</v>
      </c>
      <c r="AE22" s="115">
        <v>0</v>
      </c>
      <c r="AF22" s="115">
        <v>0</v>
      </c>
      <c r="AG22" s="220">
        <v>0</v>
      </c>
      <c r="AH22" s="115">
        <v>1</v>
      </c>
      <c r="AI22" s="115">
        <v>1</v>
      </c>
      <c r="AJ22" s="115">
        <v>1</v>
      </c>
      <c r="AK22" s="220">
        <v>1</v>
      </c>
      <c r="AL22" s="115">
        <v>1</v>
      </c>
      <c r="AM22" s="115">
        <v>1</v>
      </c>
      <c r="AN22" s="115">
        <v>1</v>
      </c>
      <c r="AO22" s="220">
        <v>1</v>
      </c>
      <c r="AP22" s="116">
        <v>0</v>
      </c>
      <c r="AQ22" s="116">
        <v>0</v>
      </c>
      <c r="AR22" s="116">
        <v>0</v>
      </c>
      <c r="AS22" s="229">
        <v>0</v>
      </c>
      <c r="AT22" s="114">
        <v>0</v>
      </c>
      <c r="AU22" s="114">
        <v>0</v>
      </c>
      <c r="AV22" s="114">
        <v>0</v>
      </c>
      <c r="AW22" s="213">
        <v>0</v>
      </c>
      <c r="AX22" s="114">
        <v>0</v>
      </c>
      <c r="AY22" s="114">
        <v>0</v>
      </c>
      <c r="AZ22" s="114">
        <v>0</v>
      </c>
      <c r="BA22" s="213">
        <v>0</v>
      </c>
      <c r="BB22" s="114">
        <v>0</v>
      </c>
      <c r="BC22" s="114">
        <v>0</v>
      </c>
      <c r="BD22" s="114">
        <v>0</v>
      </c>
      <c r="BE22" s="213">
        <v>0</v>
      </c>
      <c r="BF22" s="114">
        <v>0.11849999999999999</v>
      </c>
      <c r="BG22" s="114">
        <v>0.11849999999999999</v>
      </c>
      <c r="BH22" s="114">
        <v>0.11849999999999999</v>
      </c>
      <c r="BI22" s="213">
        <v>0.11849999999999999</v>
      </c>
      <c r="BJ22" s="114">
        <v>0</v>
      </c>
      <c r="BK22" s="114">
        <v>0</v>
      </c>
      <c r="BL22" s="114">
        <v>0</v>
      </c>
      <c r="BM22" s="213">
        <v>0</v>
      </c>
      <c r="BN22" s="112">
        <v>0</v>
      </c>
      <c r="BO22" s="112">
        <v>0</v>
      </c>
      <c r="BP22" s="112">
        <v>0</v>
      </c>
      <c r="BQ22" s="207">
        <v>0</v>
      </c>
      <c r="BR22" s="112">
        <f t="shared" ref="BR22:BR24" si="32">IF(BV22&lt;&gt;0,(BZ22*(1+BZ22)^BV22)/((1+BZ22)^BV22-1),0)</f>
        <v>0</v>
      </c>
      <c r="BS22" s="112">
        <f t="shared" ref="BS22:BS24" si="33">IF(BW22&lt;&gt;0,(CA22*(1+CA22)^BW22)/((1+CA22)^BW22-1),0)</f>
        <v>0</v>
      </c>
      <c r="BT22" s="112">
        <f t="shared" ref="BT22:BT24" si="34">IF(BX22&lt;&gt;0,(CB22*(1+CB22)^BX22)/((1+CB22)^BX22-1),0)</f>
        <v>0</v>
      </c>
      <c r="BU22" s="207">
        <f t="shared" ref="BU22:BU24" si="35">IF(BY22&lt;&gt;0,(CC22*(1+CC22)^BY22)/((1+CC22)^BY22-1),0)</f>
        <v>0</v>
      </c>
      <c r="BV22" s="113">
        <v>0</v>
      </c>
      <c r="BW22" s="113">
        <v>0</v>
      </c>
      <c r="BX22" s="113">
        <v>0</v>
      </c>
      <c r="BY22" s="239">
        <v>0</v>
      </c>
      <c r="BZ22" s="113">
        <v>0</v>
      </c>
      <c r="CA22" s="113">
        <v>0</v>
      </c>
      <c r="CB22" s="113">
        <v>0</v>
      </c>
      <c r="CC22" s="113">
        <v>0</v>
      </c>
    </row>
    <row r="23" spans="1:81" s="112" customFormat="1" x14ac:dyDescent="0.35">
      <c r="A23" s="526"/>
      <c r="B23" s="109" t="s">
        <v>97</v>
      </c>
      <c r="C23" s="110" t="s">
        <v>184</v>
      </c>
      <c r="D23" s="111" t="s">
        <v>288</v>
      </c>
      <c r="E23" s="503" t="s">
        <v>86</v>
      </c>
      <c r="F23" s="6">
        <f t="shared" si="14"/>
        <v>18</v>
      </c>
      <c r="G23" s="172">
        <v>1</v>
      </c>
      <c r="H23" s="185" t="s">
        <v>377</v>
      </c>
      <c r="I23" s="185" t="s">
        <v>378</v>
      </c>
      <c r="J23" s="194">
        <v>0</v>
      </c>
      <c r="K23" s="414" t="str">
        <f>B27</f>
        <v>Product/Reactant9</v>
      </c>
      <c r="L23" s="194">
        <v>0</v>
      </c>
      <c r="M23" s="194">
        <v>0</v>
      </c>
      <c r="N23" s="194">
        <v>0</v>
      </c>
      <c r="O23" s="194">
        <v>0</v>
      </c>
      <c r="P23" s="194">
        <v>0</v>
      </c>
      <c r="Q23" s="207">
        <v>20000</v>
      </c>
      <c r="R23" s="112">
        <v>2.21</v>
      </c>
      <c r="S23" s="112">
        <v>2.21</v>
      </c>
      <c r="T23" s="112">
        <v>2.21</v>
      </c>
      <c r="U23" s="207">
        <v>2.21</v>
      </c>
      <c r="V23" s="114">
        <v>0</v>
      </c>
      <c r="W23" s="114">
        <v>0</v>
      </c>
      <c r="X23" s="114">
        <v>0</v>
      </c>
      <c r="Y23" s="213">
        <v>0</v>
      </c>
      <c r="Z23" s="114">
        <v>0</v>
      </c>
      <c r="AA23" s="114">
        <v>0</v>
      </c>
      <c r="AB23" s="114">
        <v>0</v>
      </c>
      <c r="AC23" s="213">
        <v>0</v>
      </c>
      <c r="AD23" s="115">
        <v>0</v>
      </c>
      <c r="AE23" s="115">
        <v>0</v>
      </c>
      <c r="AF23" s="115">
        <v>0</v>
      </c>
      <c r="AG23" s="220">
        <v>0</v>
      </c>
      <c r="AH23" s="115">
        <v>1</v>
      </c>
      <c r="AI23" s="115">
        <v>1</v>
      </c>
      <c r="AJ23" s="115">
        <v>1</v>
      </c>
      <c r="AK23" s="220">
        <v>1</v>
      </c>
      <c r="AL23" s="115">
        <v>1</v>
      </c>
      <c r="AM23" s="115">
        <v>1</v>
      </c>
      <c r="AN23" s="115">
        <v>1</v>
      </c>
      <c r="AO23" s="220">
        <v>1</v>
      </c>
      <c r="AP23" s="116">
        <v>0</v>
      </c>
      <c r="AQ23" s="116">
        <v>0</v>
      </c>
      <c r="AR23" s="116">
        <v>0</v>
      </c>
      <c r="AS23" s="229">
        <v>0</v>
      </c>
      <c r="AT23" s="114">
        <v>0</v>
      </c>
      <c r="AU23" s="114">
        <v>0</v>
      </c>
      <c r="AV23" s="114">
        <v>0</v>
      </c>
      <c r="AW23" s="213">
        <v>0</v>
      </c>
      <c r="AX23" s="114">
        <v>0</v>
      </c>
      <c r="AY23" s="112">
        <v>0</v>
      </c>
      <c r="AZ23" s="112">
        <v>0</v>
      </c>
      <c r="BA23" s="207">
        <v>0</v>
      </c>
      <c r="BB23" s="112">
        <v>0.14244999999999999</v>
      </c>
      <c r="BC23" s="112">
        <v>0.14244999999999999</v>
      </c>
      <c r="BD23" s="112">
        <v>0.14244999999999999</v>
      </c>
      <c r="BE23" s="207">
        <v>0.14244999999999999</v>
      </c>
      <c r="BF23" s="112">
        <v>0</v>
      </c>
      <c r="BG23" s="112">
        <v>0</v>
      </c>
      <c r="BH23" s="112">
        <v>0</v>
      </c>
      <c r="BI23" s="207">
        <v>0</v>
      </c>
      <c r="BJ23" s="112">
        <v>3.560584789265715</v>
      </c>
      <c r="BK23" s="114">
        <v>0</v>
      </c>
      <c r="BL23" s="114">
        <v>0</v>
      </c>
      <c r="BM23" s="213">
        <v>0</v>
      </c>
      <c r="BN23" s="112">
        <v>0</v>
      </c>
      <c r="BO23" s="112">
        <v>0</v>
      </c>
      <c r="BP23" s="112">
        <v>0</v>
      </c>
      <c r="BQ23" s="207">
        <v>0</v>
      </c>
      <c r="BR23" s="112">
        <f>IF(BV23&lt;&gt;0,(BZ23*(1+BZ23)^BV23)/((1+BZ23)^BV23-1),0)</f>
        <v>0</v>
      </c>
      <c r="BS23" s="112">
        <f>IF(BW23&lt;&gt;0,(CA23*(1+CA23)^BW23)/((1+CA23)^BW23-1),0)</f>
        <v>0</v>
      </c>
      <c r="BT23" s="112">
        <f>IF(BX23&lt;&gt;0,(CB23*(1+CB23)^BX23)/((1+CB23)^BX23-1),0)</f>
        <v>0</v>
      </c>
      <c r="BU23" s="207">
        <f>IF(BY23&lt;&gt;0,(CC23*(1+CC23)^BY23)/((1+CC23)^BY23-1),0)</f>
        <v>0</v>
      </c>
      <c r="BV23" s="113">
        <v>0</v>
      </c>
      <c r="BW23" s="113">
        <v>0</v>
      </c>
      <c r="BX23" s="113">
        <v>0</v>
      </c>
      <c r="BY23" s="239">
        <v>0</v>
      </c>
      <c r="BZ23" s="113">
        <v>0</v>
      </c>
      <c r="CA23" s="113">
        <v>0</v>
      </c>
      <c r="CB23" s="113">
        <v>0</v>
      </c>
      <c r="CC23" s="113">
        <v>0</v>
      </c>
    </row>
    <row r="24" spans="1:81" s="112" customFormat="1" x14ac:dyDescent="0.35">
      <c r="A24" s="526"/>
      <c r="B24" s="109" t="s">
        <v>97</v>
      </c>
      <c r="C24" s="110" t="s">
        <v>184</v>
      </c>
      <c r="D24" s="111" t="s">
        <v>287</v>
      </c>
      <c r="E24" s="503" t="s">
        <v>86</v>
      </c>
      <c r="F24" s="6">
        <f t="shared" si="14"/>
        <v>19</v>
      </c>
      <c r="G24" s="172">
        <v>1</v>
      </c>
      <c r="H24" s="185" t="s">
        <v>377</v>
      </c>
      <c r="I24" s="185" t="s">
        <v>378</v>
      </c>
      <c r="J24" s="194">
        <v>0</v>
      </c>
      <c r="K24" s="414" t="str">
        <f>B28</f>
        <v>Product/Reactant9</v>
      </c>
      <c r="L24" s="194">
        <v>0</v>
      </c>
      <c r="M24" s="194">
        <v>0</v>
      </c>
      <c r="N24" s="194">
        <v>0</v>
      </c>
      <c r="O24" s="194">
        <v>0</v>
      </c>
      <c r="P24" s="194">
        <v>0</v>
      </c>
      <c r="Q24" s="207">
        <v>20000</v>
      </c>
      <c r="R24" s="112">
        <v>1.54</v>
      </c>
      <c r="S24" s="112">
        <v>1.54</v>
      </c>
      <c r="T24" s="112">
        <v>1.54</v>
      </c>
      <c r="U24" s="207">
        <v>1.54</v>
      </c>
      <c r="V24" s="114">
        <v>0</v>
      </c>
      <c r="W24" s="114">
        <v>0</v>
      </c>
      <c r="X24" s="114">
        <v>0</v>
      </c>
      <c r="Y24" s="213">
        <v>0</v>
      </c>
      <c r="Z24" s="114">
        <v>0</v>
      </c>
      <c r="AA24" s="114">
        <v>0</v>
      </c>
      <c r="AB24" s="114">
        <v>0</v>
      </c>
      <c r="AC24" s="213">
        <v>0</v>
      </c>
      <c r="AD24" s="115">
        <v>0</v>
      </c>
      <c r="AE24" s="115">
        <v>0</v>
      </c>
      <c r="AF24" s="115">
        <v>0</v>
      </c>
      <c r="AG24" s="220">
        <v>0</v>
      </c>
      <c r="AH24" s="115">
        <v>1</v>
      </c>
      <c r="AI24" s="115">
        <v>1</v>
      </c>
      <c r="AJ24" s="115">
        <v>1</v>
      </c>
      <c r="AK24" s="220">
        <v>1</v>
      </c>
      <c r="AL24" s="115">
        <v>1</v>
      </c>
      <c r="AM24" s="115">
        <v>1</v>
      </c>
      <c r="AN24" s="115">
        <v>1</v>
      </c>
      <c r="AO24" s="220">
        <v>1</v>
      </c>
      <c r="AP24" s="116">
        <v>0</v>
      </c>
      <c r="AQ24" s="116">
        <v>0</v>
      </c>
      <c r="AR24" s="116">
        <v>0</v>
      </c>
      <c r="AS24" s="229">
        <v>0</v>
      </c>
      <c r="AT24" s="114">
        <v>0</v>
      </c>
      <c r="AU24" s="114">
        <v>0</v>
      </c>
      <c r="AV24" s="114">
        <v>0</v>
      </c>
      <c r="AW24" s="213">
        <v>0</v>
      </c>
      <c r="AX24" s="114">
        <v>0</v>
      </c>
      <c r="AY24" s="112">
        <v>0</v>
      </c>
      <c r="AZ24" s="112">
        <v>0</v>
      </c>
      <c r="BA24" s="207">
        <v>0</v>
      </c>
      <c r="BB24" s="112">
        <v>0.14244999999999999</v>
      </c>
      <c r="BC24" s="112">
        <v>0.14244999999999999</v>
      </c>
      <c r="BD24" s="112">
        <v>0.14244999999999999</v>
      </c>
      <c r="BE24" s="207">
        <v>0.14244999999999999</v>
      </c>
      <c r="BF24" s="112">
        <v>0</v>
      </c>
      <c r="BG24" s="112">
        <v>0</v>
      </c>
      <c r="BH24" s="112">
        <v>0</v>
      </c>
      <c r="BI24" s="207">
        <v>0</v>
      </c>
      <c r="BJ24" s="112">
        <v>3.560584789265715</v>
      </c>
      <c r="BK24" s="114">
        <v>0</v>
      </c>
      <c r="BL24" s="114">
        <v>0</v>
      </c>
      <c r="BM24" s="213">
        <v>0</v>
      </c>
      <c r="BN24" s="112">
        <v>0</v>
      </c>
      <c r="BO24" s="112">
        <v>0</v>
      </c>
      <c r="BP24" s="112">
        <v>0</v>
      </c>
      <c r="BQ24" s="207">
        <v>0</v>
      </c>
      <c r="BR24" s="112">
        <f t="shared" si="32"/>
        <v>0</v>
      </c>
      <c r="BS24" s="112">
        <f t="shared" si="33"/>
        <v>0</v>
      </c>
      <c r="BT24" s="112">
        <f t="shared" si="34"/>
        <v>0</v>
      </c>
      <c r="BU24" s="207">
        <f t="shared" si="35"/>
        <v>0</v>
      </c>
      <c r="BV24" s="113">
        <v>0</v>
      </c>
      <c r="BW24" s="113">
        <v>0</v>
      </c>
      <c r="BX24" s="113">
        <v>0</v>
      </c>
      <c r="BY24" s="239">
        <v>0</v>
      </c>
      <c r="BZ24" s="113">
        <v>0</v>
      </c>
      <c r="CA24" s="113">
        <v>0</v>
      </c>
      <c r="CB24" s="113">
        <v>0</v>
      </c>
      <c r="CC24" s="113">
        <v>0</v>
      </c>
    </row>
    <row r="25" spans="1:81" s="112" customFormat="1" x14ac:dyDescent="0.35">
      <c r="A25" s="526"/>
      <c r="B25" s="109" t="s">
        <v>97</v>
      </c>
      <c r="C25" s="110" t="s">
        <v>184</v>
      </c>
      <c r="D25" s="111" t="s">
        <v>290</v>
      </c>
      <c r="E25" s="503" t="s">
        <v>86</v>
      </c>
      <c r="F25" s="6">
        <f t="shared" si="14"/>
        <v>20</v>
      </c>
      <c r="G25" s="172">
        <v>1</v>
      </c>
      <c r="H25" s="185" t="s">
        <v>379</v>
      </c>
      <c r="I25" s="185" t="s">
        <v>380</v>
      </c>
      <c r="J25" s="194">
        <v>0</v>
      </c>
      <c r="K25" s="414" t="str">
        <f>B29</f>
        <v>Product/Reactant9</v>
      </c>
      <c r="L25" s="194">
        <v>0</v>
      </c>
      <c r="M25" s="194">
        <v>0</v>
      </c>
      <c r="N25" s="194">
        <v>0</v>
      </c>
      <c r="O25" s="194">
        <v>0</v>
      </c>
      <c r="P25" s="194">
        <v>0</v>
      </c>
      <c r="Q25" s="207">
        <v>20000</v>
      </c>
      <c r="R25" s="112">
        <v>2.54</v>
      </c>
      <c r="S25" s="112">
        <v>2.54</v>
      </c>
      <c r="T25" s="112">
        <v>2.54</v>
      </c>
      <c r="U25" s="207">
        <v>2.54</v>
      </c>
      <c r="V25" s="114">
        <v>0</v>
      </c>
      <c r="W25" s="114">
        <v>0</v>
      </c>
      <c r="X25" s="114">
        <v>0</v>
      </c>
      <c r="Y25" s="213">
        <v>0</v>
      </c>
      <c r="Z25" s="114">
        <v>0</v>
      </c>
      <c r="AA25" s="114">
        <v>0</v>
      </c>
      <c r="AB25" s="114">
        <v>0</v>
      </c>
      <c r="AC25" s="213">
        <v>0</v>
      </c>
      <c r="AD25" s="115">
        <v>0</v>
      </c>
      <c r="AE25" s="115">
        <v>0</v>
      </c>
      <c r="AF25" s="115">
        <v>0</v>
      </c>
      <c r="AG25" s="220">
        <v>0</v>
      </c>
      <c r="AH25" s="115">
        <v>1</v>
      </c>
      <c r="AI25" s="115">
        <v>1</v>
      </c>
      <c r="AJ25" s="115">
        <v>1</v>
      </c>
      <c r="AK25" s="220">
        <v>1</v>
      </c>
      <c r="AL25" s="115">
        <v>1</v>
      </c>
      <c r="AM25" s="115">
        <v>1</v>
      </c>
      <c r="AN25" s="115">
        <v>1</v>
      </c>
      <c r="AO25" s="220">
        <v>1</v>
      </c>
      <c r="AP25" s="116">
        <v>0</v>
      </c>
      <c r="AQ25" s="116">
        <v>0</v>
      </c>
      <c r="AR25" s="116">
        <v>0</v>
      </c>
      <c r="AS25" s="229">
        <v>0</v>
      </c>
      <c r="AT25" s="114">
        <v>0</v>
      </c>
      <c r="AU25" s="114">
        <v>0</v>
      </c>
      <c r="AV25" s="114">
        <v>0</v>
      </c>
      <c r="AW25" s="213">
        <v>0</v>
      </c>
      <c r="AX25" s="114">
        <v>0</v>
      </c>
      <c r="AY25" s="112">
        <v>0</v>
      </c>
      <c r="AZ25" s="112">
        <v>0</v>
      </c>
      <c r="BA25" s="207">
        <v>0</v>
      </c>
      <c r="BB25" s="112">
        <v>9.2799999999999994E-2</v>
      </c>
      <c r="BC25" s="112">
        <v>9.2799999999999994E-2</v>
      </c>
      <c r="BD25" s="112">
        <v>9.2799999999999994E-2</v>
      </c>
      <c r="BE25" s="207">
        <v>9.2799999999999994E-2</v>
      </c>
      <c r="BF25" s="112">
        <v>0</v>
      </c>
      <c r="BG25" s="112">
        <v>0</v>
      </c>
      <c r="BH25" s="112">
        <v>0</v>
      </c>
      <c r="BI25" s="207">
        <v>0</v>
      </c>
      <c r="BJ25" s="112">
        <v>3.560584789265715</v>
      </c>
      <c r="BK25" s="114">
        <v>0</v>
      </c>
      <c r="BL25" s="114">
        <v>0</v>
      </c>
      <c r="BM25" s="213">
        <v>0</v>
      </c>
      <c r="BN25" s="112">
        <v>0</v>
      </c>
      <c r="BO25" s="112">
        <v>0</v>
      </c>
      <c r="BP25" s="112">
        <v>0</v>
      </c>
      <c r="BQ25" s="207">
        <v>0</v>
      </c>
      <c r="BR25" s="112">
        <f>IF(BV25&lt;&gt;0,(BZ25*(1+BZ25)^BV25)/((1+BZ25)^BV25-1),0)</f>
        <v>0</v>
      </c>
      <c r="BS25" s="112">
        <f>IF(BW25&lt;&gt;0,(CA25*(1+CA25)^BW25)/((1+CA25)^BW25-1),0)</f>
        <v>0</v>
      </c>
      <c r="BT25" s="112">
        <f>IF(BX25&lt;&gt;0,(CB25*(1+CB25)^BX25)/((1+CB25)^BX25-1),0)</f>
        <v>0</v>
      </c>
      <c r="BU25" s="207">
        <f>IF(BY25&lt;&gt;0,(CC25*(1+CC25)^BY25)/((1+CC25)^BY25-1),0)</f>
        <v>0</v>
      </c>
      <c r="BV25" s="113">
        <v>0</v>
      </c>
      <c r="BW25" s="113">
        <v>0</v>
      </c>
      <c r="BX25" s="113">
        <v>0</v>
      </c>
      <c r="BY25" s="239">
        <v>0</v>
      </c>
      <c r="BZ25" s="113">
        <v>0</v>
      </c>
      <c r="CA25" s="113">
        <v>0</v>
      </c>
      <c r="CB25" s="113">
        <v>0</v>
      </c>
      <c r="CC25" s="113">
        <v>0</v>
      </c>
    </row>
    <row r="26" spans="1:81" s="112" customFormat="1" x14ac:dyDescent="0.35">
      <c r="A26" s="526"/>
      <c r="B26" s="109" t="s">
        <v>97</v>
      </c>
      <c r="C26" s="110" t="s">
        <v>184</v>
      </c>
      <c r="D26" s="111" t="s">
        <v>289</v>
      </c>
      <c r="E26" s="503" t="s">
        <v>86</v>
      </c>
      <c r="F26" s="6">
        <f t="shared" si="14"/>
        <v>21</v>
      </c>
      <c r="G26" s="172">
        <v>1</v>
      </c>
      <c r="H26" s="185" t="s">
        <v>379</v>
      </c>
      <c r="I26" s="185" t="s">
        <v>380</v>
      </c>
      <c r="J26" s="194">
        <v>0</v>
      </c>
      <c r="K26" s="414" t="str">
        <f t="shared" ref="K26" si="36">B30</f>
        <v>Product/Reactant9</v>
      </c>
      <c r="L26" s="194">
        <v>0</v>
      </c>
      <c r="M26" s="194">
        <v>0</v>
      </c>
      <c r="N26" s="194">
        <v>0</v>
      </c>
      <c r="O26" s="194">
        <v>0</v>
      </c>
      <c r="P26" s="194">
        <v>0</v>
      </c>
      <c r="Q26" s="207">
        <v>20000</v>
      </c>
      <c r="R26" s="112">
        <v>1.82</v>
      </c>
      <c r="S26" s="112">
        <v>1.82</v>
      </c>
      <c r="T26" s="112">
        <v>1.82</v>
      </c>
      <c r="U26" s="207">
        <v>1.82</v>
      </c>
      <c r="V26" s="114">
        <v>0</v>
      </c>
      <c r="W26" s="114">
        <v>0</v>
      </c>
      <c r="X26" s="114">
        <v>0</v>
      </c>
      <c r="Y26" s="213">
        <v>0</v>
      </c>
      <c r="Z26" s="114">
        <v>0</v>
      </c>
      <c r="AA26" s="114">
        <v>0</v>
      </c>
      <c r="AB26" s="114">
        <v>0</v>
      </c>
      <c r="AC26" s="213">
        <v>0</v>
      </c>
      <c r="AD26" s="115">
        <v>0</v>
      </c>
      <c r="AE26" s="115">
        <v>0</v>
      </c>
      <c r="AF26" s="115">
        <v>0</v>
      </c>
      <c r="AG26" s="220">
        <v>0</v>
      </c>
      <c r="AH26" s="115">
        <v>1</v>
      </c>
      <c r="AI26" s="115">
        <v>1</v>
      </c>
      <c r="AJ26" s="115">
        <v>1</v>
      </c>
      <c r="AK26" s="220">
        <v>1</v>
      </c>
      <c r="AL26" s="115">
        <v>1</v>
      </c>
      <c r="AM26" s="115">
        <v>1</v>
      </c>
      <c r="AN26" s="115">
        <v>1</v>
      </c>
      <c r="AO26" s="220">
        <v>1</v>
      </c>
      <c r="AP26" s="116">
        <v>0</v>
      </c>
      <c r="AQ26" s="116">
        <v>0</v>
      </c>
      <c r="AR26" s="116">
        <v>0</v>
      </c>
      <c r="AS26" s="229">
        <v>0</v>
      </c>
      <c r="AT26" s="114">
        <v>0</v>
      </c>
      <c r="AU26" s="114">
        <v>0</v>
      </c>
      <c r="AV26" s="114">
        <v>0</v>
      </c>
      <c r="AW26" s="213">
        <v>0</v>
      </c>
      <c r="AX26" s="114">
        <v>0</v>
      </c>
      <c r="AY26" s="112">
        <v>0</v>
      </c>
      <c r="AZ26" s="112">
        <v>0</v>
      </c>
      <c r="BA26" s="207">
        <v>0</v>
      </c>
      <c r="BB26" s="112">
        <v>9.2799999999999994E-2</v>
      </c>
      <c r="BC26" s="112">
        <v>9.2799999999999994E-2</v>
      </c>
      <c r="BD26" s="112">
        <v>9.2799999999999994E-2</v>
      </c>
      <c r="BE26" s="207">
        <v>9.2799999999999994E-2</v>
      </c>
      <c r="BF26" s="112">
        <v>0</v>
      </c>
      <c r="BG26" s="112">
        <v>0</v>
      </c>
      <c r="BH26" s="112">
        <v>0</v>
      </c>
      <c r="BI26" s="207">
        <v>0</v>
      </c>
      <c r="BJ26" s="112">
        <v>3.560584789265715</v>
      </c>
      <c r="BK26" s="114">
        <v>0</v>
      </c>
      <c r="BL26" s="114">
        <v>0</v>
      </c>
      <c r="BM26" s="213">
        <v>0</v>
      </c>
      <c r="BN26" s="112">
        <v>0</v>
      </c>
      <c r="BO26" s="112">
        <v>0</v>
      </c>
      <c r="BP26" s="112">
        <v>0</v>
      </c>
      <c r="BQ26" s="207">
        <v>0</v>
      </c>
      <c r="BR26" s="112">
        <f t="shared" ref="BR26:BR28" si="37">IF(BV26&lt;&gt;0,(BZ26*(1+BZ26)^BV26)/((1+BZ26)^BV26-1),0)</f>
        <v>0</v>
      </c>
      <c r="BS26" s="112">
        <f t="shared" ref="BS26:BS28" si="38">IF(BW26&lt;&gt;0,(CA26*(1+CA26)^BW26)/((1+CA26)^BW26-1),0)</f>
        <v>0</v>
      </c>
      <c r="BT26" s="112">
        <f t="shared" ref="BT26:BT28" si="39">IF(BX26&lt;&gt;0,(CB26*(1+CB26)^BX26)/((1+CB26)^BX26-1),0)</f>
        <v>0</v>
      </c>
      <c r="BU26" s="207">
        <f t="shared" ref="BU26:BU28" si="40">IF(BY26&lt;&gt;0,(CC26*(1+CC26)^BY26)/((1+CC26)^BY26-1),0)</f>
        <v>0</v>
      </c>
      <c r="BV26" s="113">
        <v>0</v>
      </c>
      <c r="BW26" s="113">
        <v>0</v>
      </c>
      <c r="BX26" s="113">
        <v>0</v>
      </c>
      <c r="BY26" s="239">
        <v>0</v>
      </c>
      <c r="BZ26" s="113">
        <v>0</v>
      </c>
      <c r="CA26" s="113">
        <v>0</v>
      </c>
      <c r="CB26" s="113">
        <v>0</v>
      </c>
      <c r="CC26" s="113">
        <v>0</v>
      </c>
    </row>
    <row r="27" spans="1:81" s="112" customFormat="1" x14ac:dyDescent="0.35">
      <c r="A27" s="526"/>
      <c r="B27" s="109" t="s">
        <v>439</v>
      </c>
      <c r="C27" s="117" t="s">
        <v>119</v>
      </c>
      <c r="D27" s="111" t="s">
        <v>361</v>
      </c>
      <c r="E27" s="503" t="s">
        <v>468</v>
      </c>
      <c r="F27" s="6">
        <f t="shared" si="14"/>
        <v>22</v>
      </c>
      <c r="G27" s="172">
        <v>1</v>
      </c>
      <c r="H27" s="185" t="s">
        <v>383</v>
      </c>
      <c r="I27" s="185" t="s">
        <v>384</v>
      </c>
      <c r="J27" s="194">
        <f t="shared" ref="J27:J30" si="41">(2.2/(28.8/3.6))*10^9</f>
        <v>275000000</v>
      </c>
      <c r="K27" s="414" t="str">
        <f>B34</f>
        <v>Reactant10</v>
      </c>
      <c r="L27" s="194">
        <v>0</v>
      </c>
      <c r="M27" s="194">
        <v>1</v>
      </c>
      <c r="N27" s="194">
        <v>1</v>
      </c>
      <c r="O27" s="194">
        <v>0</v>
      </c>
      <c r="P27" s="194">
        <v>0</v>
      </c>
      <c r="Q27" s="207">
        <f>Q28</f>
        <v>20000</v>
      </c>
      <c r="R27" s="112">
        <v>11.91</v>
      </c>
      <c r="S27" s="112">
        <v>11.91</v>
      </c>
      <c r="T27" s="112">
        <v>11.91</v>
      </c>
      <c r="U27" s="207">
        <v>11.91</v>
      </c>
      <c r="V27" s="114">
        <v>0.51</v>
      </c>
      <c r="W27" s="114">
        <v>0.51</v>
      </c>
      <c r="X27" s="114">
        <v>0.51</v>
      </c>
      <c r="Y27" s="213">
        <v>0.51</v>
      </c>
      <c r="Z27" s="114">
        <v>1.43</v>
      </c>
      <c r="AA27" s="114">
        <v>1.43</v>
      </c>
      <c r="AB27" s="114">
        <v>1.43</v>
      </c>
      <c r="AC27" s="213">
        <v>1.43</v>
      </c>
      <c r="AD27" s="115">
        <v>0.5</v>
      </c>
      <c r="AE27" s="115">
        <v>0.5</v>
      </c>
      <c r="AF27" s="115">
        <v>0.5</v>
      </c>
      <c r="AG27" s="220">
        <v>0.5</v>
      </c>
      <c r="AH27" s="115">
        <v>1</v>
      </c>
      <c r="AI27" s="115">
        <v>1</v>
      </c>
      <c r="AJ27" s="115">
        <v>1</v>
      </c>
      <c r="AK27" s="220">
        <v>1</v>
      </c>
      <c r="AL27" s="115">
        <v>1</v>
      </c>
      <c r="AM27" s="115">
        <v>1</v>
      </c>
      <c r="AN27" s="115">
        <v>1</v>
      </c>
      <c r="AO27" s="220">
        <v>1</v>
      </c>
      <c r="AP27" s="116">
        <v>0.32</v>
      </c>
      <c r="AQ27" s="116">
        <v>0.32</v>
      </c>
      <c r="AR27" s="116">
        <v>0.32</v>
      </c>
      <c r="AS27" s="229">
        <v>0.32</v>
      </c>
      <c r="AT27" s="114">
        <v>12905</v>
      </c>
      <c r="AU27" s="114">
        <v>12905</v>
      </c>
      <c r="AV27" s="114">
        <v>12789.46</v>
      </c>
      <c r="AW27" s="213">
        <v>12905</v>
      </c>
      <c r="AX27" s="112">
        <v>1216.44</v>
      </c>
      <c r="AY27" s="112">
        <v>1209.51</v>
      </c>
      <c r="AZ27" s="112">
        <v>1209.51</v>
      </c>
      <c r="BA27" s="207">
        <v>1209.51</v>
      </c>
      <c r="BB27" s="112">
        <f t="shared" ref="BB27:BE27" si="42">9.3267946332186/1000</f>
        <v>9.3267946332186002E-3</v>
      </c>
      <c r="BC27" s="112">
        <f t="shared" si="42"/>
        <v>9.3267946332186002E-3</v>
      </c>
      <c r="BD27" s="112">
        <f t="shared" si="42"/>
        <v>9.3267946332186002E-3</v>
      </c>
      <c r="BE27" s="207">
        <f t="shared" si="42"/>
        <v>9.3267946332186002E-3</v>
      </c>
      <c r="BF27" s="112">
        <v>0</v>
      </c>
      <c r="BG27" s="112">
        <v>0</v>
      </c>
      <c r="BH27" s="112">
        <v>0</v>
      </c>
      <c r="BI27" s="207">
        <v>0</v>
      </c>
      <c r="BJ27" s="112">
        <v>18.474666666666668</v>
      </c>
      <c r="BK27" s="114">
        <v>0</v>
      </c>
      <c r="BL27" s="114">
        <v>0</v>
      </c>
      <c r="BM27" s="213">
        <v>0</v>
      </c>
      <c r="BN27" s="112">
        <v>0</v>
      </c>
      <c r="BO27" s="112">
        <v>0</v>
      </c>
      <c r="BP27" s="112">
        <v>0</v>
      </c>
      <c r="BQ27" s="207">
        <v>0</v>
      </c>
      <c r="BR27" s="112">
        <f>IF(BV27&lt;&gt;0,(BZ27*(1+BZ27)^BV27)/((1+BZ27)^BV27-1),0)</f>
        <v>9.3678779051968114E-2</v>
      </c>
      <c r="BS27" s="112">
        <f>IF(BW27&lt;&gt;0,(CA27*(1+CA27)^BW27)/((1+CA27)^BW27-1),0)</f>
        <v>9.3678779051968114E-2</v>
      </c>
      <c r="BT27" s="112">
        <f>IF(BX27&lt;&gt;0,(CB27*(1+CB27)^BX27)/((1+CB27)^BX27-1),0)</f>
        <v>9.3678779051968114E-2</v>
      </c>
      <c r="BU27" s="207">
        <f>IF(BY27&lt;&gt;0,(CC27*(1+CC27)^BY27)/((1+CC27)^BY27-1),0)</f>
        <v>9.3678779051968114E-2</v>
      </c>
      <c r="BV27" s="113">
        <v>25</v>
      </c>
      <c r="BW27" s="113">
        <v>25</v>
      </c>
      <c r="BX27" s="113">
        <v>25</v>
      </c>
      <c r="BY27" s="239">
        <v>25</v>
      </c>
      <c r="BZ27" s="115">
        <v>0.08</v>
      </c>
      <c r="CA27" s="115">
        <v>0.08</v>
      </c>
      <c r="CB27" s="115">
        <v>0.08</v>
      </c>
      <c r="CC27" s="115">
        <v>0.08</v>
      </c>
    </row>
    <row r="28" spans="1:81" s="112" customFormat="1" x14ac:dyDescent="0.35">
      <c r="A28" s="526"/>
      <c r="B28" s="109" t="s">
        <v>439</v>
      </c>
      <c r="C28" s="117" t="s">
        <v>119</v>
      </c>
      <c r="D28" s="111" t="s">
        <v>362</v>
      </c>
      <c r="E28" s="503" t="s">
        <v>468</v>
      </c>
      <c r="F28" s="6">
        <f t="shared" si="14"/>
        <v>23</v>
      </c>
      <c r="G28" s="172">
        <v>1</v>
      </c>
      <c r="H28" s="185" t="s">
        <v>383</v>
      </c>
      <c r="I28" s="185" t="s">
        <v>384</v>
      </c>
      <c r="J28" s="194">
        <f>(2.2/(28.8/3.6))*10^9</f>
        <v>275000000</v>
      </c>
      <c r="K28" s="414" t="str">
        <f>B34</f>
        <v>Reactant10</v>
      </c>
      <c r="L28" s="194">
        <v>0</v>
      </c>
      <c r="M28" s="194">
        <v>1</v>
      </c>
      <c r="N28" s="194">
        <v>1</v>
      </c>
      <c r="O28" s="194">
        <v>0</v>
      </c>
      <c r="P28" s="194">
        <v>0</v>
      </c>
      <c r="Q28" s="207">
        <f>Q15</f>
        <v>20000</v>
      </c>
      <c r="R28" s="112">
        <v>7.28</v>
      </c>
      <c r="S28" s="112">
        <v>7.28</v>
      </c>
      <c r="T28" s="112">
        <v>7.28</v>
      </c>
      <c r="U28" s="207">
        <v>7.28</v>
      </c>
      <c r="V28" s="114">
        <v>1.54</v>
      </c>
      <c r="W28" s="114">
        <v>1.54</v>
      </c>
      <c r="X28" s="114">
        <v>1.54</v>
      </c>
      <c r="Y28" s="213">
        <v>1.54</v>
      </c>
      <c r="Z28" s="114">
        <v>0.21</v>
      </c>
      <c r="AA28" s="114">
        <v>0.21</v>
      </c>
      <c r="AB28" s="114">
        <v>0.21</v>
      </c>
      <c r="AC28" s="213">
        <v>0.21</v>
      </c>
      <c r="AD28" s="115">
        <v>0.5</v>
      </c>
      <c r="AE28" s="115">
        <v>0.5</v>
      </c>
      <c r="AF28" s="115">
        <v>0.5</v>
      </c>
      <c r="AG28" s="220">
        <v>0.5</v>
      </c>
      <c r="AH28" s="115">
        <v>1</v>
      </c>
      <c r="AI28" s="115">
        <v>1</v>
      </c>
      <c r="AJ28" s="115">
        <v>1</v>
      </c>
      <c r="AK28" s="220">
        <v>1</v>
      </c>
      <c r="AL28" s="115">
        <v>1</v>
      </c>
      <c r="AM28" s="115">
        <v>1</v>
      </c>
      <c r="AN28" s="115">
        <v>1</v>
      </c>
      <c r="AO28" s="220">
        <v>1</v>
      </c>
      <c r="AP28" s="116">
        <v>0.18</v>
      </c>
      <c r="AQ28" s="116">
        <v>0.18</v>
      </c>
      <c r="AR28" s="116">
        <v>0.18</v>
      </c>
      <c r="AS28" s="229">
        <v>0.18</v>
      </c>
      <c r="AT28" s="114">
        <v>9955.92</v>
      </c>
      <c r="AU28" s="114">
        <v>9955.92</v>
      </c>
      <c r="AV28" s="114">
        <v>9955.92</v>
      </c>
      <c r="AW28" s="213">
        <v>9955.92</v>
      </c>
      <c r="AX28" s="112">
        <v>1036.6600000000001</v>
      </c>
      <c r="AY28" s="112">
        <v>1036.6600000000001</v>
      </c>
      <c r="AZ28" s="112">
        <v>1036.6600000000001</v>
      </c>
      <c r="BA28" s="207">
        <v>1036.6600000000001</v>
      </c>
      <c r="BB28" s="112">
        <f t="shared" ref="BB28:BE28" si="43">3.95121089093762/1000</f>
        <v>3.9512108909376198E-3</v>
      </c>
      <c r="BC28" s="112">
        <f t="shared" si="43"/>
        <v>3.9512108909376198E-3</v>
      </c>
      <c r="BD28" s="112">
        <f t="shared" si="43"/>
        <v>3.9512108909376198E-3</v>
      </c>
      <c r="BE28" s="207">
        <f t="shared" si="43"/>
        <v>3.9512108909376198E-3</v>
      </c>
      <c r="BF28" s="112">
        <v>0</v>
      </c>
      <c r="BG28" s="112">
        <v>0</v>
      </c>
      <c r="BH28" s="112">
        <v>0</v>
      </c>
      <c r="BI28" s="207">
        <v>0</v>
      </c>
      <c r="BJ28" s="112">
        <v>18.474666666666668</v>
      </c>
      <c r="BK28" s="114">
        <v>0</v>
      </c>
      <c r="BL28" s="114">
        <v>0</v>
      </c>
      <c r="BM28" s="213">
        <v>0</v>
      </c>
      <c r="BN28" s="112">
        <v>0</v>
      </c>
      <c r="BO28" s="112">
        <v>0</v>
      </c>
      <c r="BP28" s="112">
        <v>0</v>
      </c>
      <c r="BQ28" s="207">
        <v>0</v>
      </c>
      <c r="BR28" s="112">
        <f t="shared" si="37"/>
        <v>9.3678779051968114E-2</v>
      </c>
      <c r="BS28" s="112">
        <f t="shared" si="38"/>
        <v>9.3678779051968114E-2</v>
      </c>
      <c r="BT28" s="112">
        <f t="shared" si="39"/>
        <v>9.3678779051968114E-2</v>
      </c>
      <c r="BU28" s="207">
        <f t="shared" si="40"/>
        <v>9.3678779051968114E-2</v>
      </c>
      <c r="BV28" s="113">
        <v>25</v>
      </c>
      <c r="BW28" s="113">
        <v>25</v>
      </c>
      <c r="BX28" s="113">
        <v>25</v>
      </c>
      <c r="BY28" s="239">
        <v>25</v>
      </c>
      <c r="BZ28" s="115">
        <v>0.08</v>
      </c>
      <c r="CA28" s="115">
        <v>0.08</v>
      </c>
      <c r="CB28" s="115">
        <v>0.08</v>
      </c>
      <c r="CC28" s="115">
        <v>0.08</v>
      </c>
    </row>
    <row r="29" spans="1:81" s="112" customFormat="1" x14ac:dyDescent="0.35">
      <c r="A29" s="526"/>
      <c r="B29" s="109" t="s">
        <v>439</v>
      </c>
      <c r="C29" s="117" t="s">
        <v>119</v>
      </c>
      <c r="D29" s="111" t="s">
        <v>363</v>
      </c>
      <c r="E29" s="503" t="s">
        <v>468</v>
      </c>
      <c r="F29" s="6">
        <f t="shared" si="14"/>
        <v>24</v>
      </c>
      <c r="G29" s="172">
        <v>1</v>
      </c>
      <c r="H29" s="185" t="s">
        <v>383</v>
      </c>
      <c r="I29" s="185" t="s">
        <v>384</v>
      </c>
      <c r="J29" s="194">
        <f t="shared" si="41"/>
        <v>275000000</v>
      </c>
      <c r="K29" s="414" t="str">
        <f>B34</f>
        <v>Reactant10</v>
      </c>
      <c r="L29" s="194">
        <v>0</v>
      </c>
      <c r="M29" s="194">
        <v>1</v>
      </c>
      <c r="N29" s="194">
        <v>1</v>
      </c>
      <c r="O29" s="194">
        <v>0</v>
      </c>
      <c r="P29" s="194">
        <v>0</v>
      </c>
      <c r="Q29" s="207">
        <f>Q30</f>
        <v>20000</v>
      </c>
      <c r="R29" s="112">
        <v>8.5399999999999991</v>
      </c>
      <c r="S29" s="112">
        <v>8.5399999999999991</v>
      </c>
      <c r="T29" s="112">
        <v>8.5399999999999991</v>
      </c>
      <c r="U29" s="207">
        <v>8.5399999999999991</v>
      </c>
      <c r="V29" s="114">
        <v>0.9</v>
      </c>
      <c r="W29" s="114">
        <v>0.9</v>
      </c>
      <c r="X29" s="114">
        <v>0.9</v>
      </c>
      <c r="Y29" s="213">
        <v>0.9</v>
      </c>
      <c r="Z29" s="114">
        <v>2.6</v>
      </c>
      <c r="AA29" s="114">
        <v>2.6</v>
      </c>
      <c r="AB29" s="114">
        <v>2.6</v>
      </c>
      <c r="AC29" s="213">
        <v>2.6</v>
      </c>
      <c r="AD29" s="115">
        <v>0.5</v>
      </c>
      <c r="AE29" s="115">
        <v>0.5</v>
      </c>
      <c r="AF29" s="115">
        <v>0.5</v>
      </c>
      <c r="AG29" s="220">
        <v>0.5</v>
      </c>
      <c r="AH29" s="115">
        <v>1</v>
      </c>
      <c r="AI29" s="115">
        <v>1</v>
      </c>
      <c r="AJ29" s="115">
        <v>1</v>
      </c>
      <c r="AK29" s="220">
        <v>1</v>
      </c>
      <c r="AL29" s="115">
        <v>1</v>
      </c>
      <c r="AM29" s="115">
        <v>1</v>
      </c>
      <c r="AN29" s="115">
        <v>1</v>
      </c>
      <c r="AO29" s="220">
        <v>1</v>
      </c>
      <c r="AP29" s="116">
        <v>0.83</v>
      </c>
      <c r="AQ29" s="116">
        <v>0.83</v>
      </c>
      <c r="AR29" s="116">
        <v>0.83</v>
      </c>
      <c r="AS29" s="229">
        <v>0.83</v>
      </c>
      <c r="AT29" s="114">
        <v>16688.490000000002</v>
      </c>
      <c r="AU29" s="114">
        <v>16688.490000000002</v>
      </c>
      <c r="AV29" s="114">
        <v>16688.490000000002</v>
      </c>
      <c r="AW29" s="213">
        <v>16688.490000000002</v>
      </c>
      <c r="AX29" s="112">
        <v>1448.53</v>
      </c>
      <c r="AY29" s="112">
        <v>1448.53</v>
      </c>
      <c r="AZ29" s="112">
        <v>1448.53</v>
      </c>
      <c r="BA29" s="207">
        <v>1448.53</v>
      </c>
      <c r="BB29" s="112">
        <f t="shared" ref="BB29:BE29" si="44">12.2828620590846/1000</f>
        <v>1.22828620590846E-2</v>
      </c>
      <c r="BC29" s="112">
        <f t="shared" si="44"/>
        <v>1.22828620590846E-2</v>
      </c>
      <c r="BD29" s="112">
        <f t="shared" si="44"/>
        <v>1.22828620590846E-2</v>
      </c>
      <c r="BE29" s="207">
        <f t="shared" si="44"/>
        <v>1.22828620590846E-2</v>
      </c>
      <c r="BF29" s="112">
        <v>0</v>
      </c>
      <c r="BG29" s="112">
        <v>0</v>
      </c>
      <c r="BH29" s="112">
        <v>0</v>
      </c>
      <c r="BI29" s="207">
        <v>0</v>
      </c>
      <c r="BJ29" s="112">
        <v>18.474666666666668</v>
      </c>
      <c r="BK29" s="114">
        <v>0</v>
      </c>
      <c r="BL29" s="114">
        <v>0</v>
      </c>
      <c r="BM29" s="213">
        <v>0</v>
      </c>
      <c r="BN29" s="112">
        <v>0</v>
      </c>
      <c r="BO29" s="112">
        <v>0</v>
      </c>
      <c r="BP29" s="112">
        <v>0</v>
      </c>
      <c r="BQ29" s="207">
        <v>0</v>
      </c>
      <c r="BR29" s="112">
        <f>IF(BV29&lt;&gt;0,(BZ29*(1+BZ29)^BV29)/((1+BZ29)^BV29-1),0)</f>
        <v>9.3678779051968114E-2</v>
      </c>
      <c r="BS29" s="112">
        <f>IF(BW29&lt;&gt;0,(CA29*(1+CA29)^BW29)/((1+CA29)^BW29-1),0)</f>
        <v>9.3678779051968114E-2</v>
      </c>
      <c r="BT29" s="112">
        <f>IF(BX29&lt;&gt;0,(CB29*(1+CB29)^BX29)/((1+CB29)^BX29-1),0)</f>
        <v>9.3678779051968114E-2</v>
      </c>
      <c r="BU29" s="207">
        <f>IF(BY29&lt;&gt;0,(CC29*(1+CC29)^BY29)/((1+CC29)^BY29-1),0)</f>
        <v>9.3678779051968114E-2</v>
      </c>
      <c r="BV29" s="113">
        <v>25</v>
      </c>
      <c r="BW29" s="113">
        <v>25</v>
      </c>
      <c r="BX29" s="113">
        <v>25</v>
      </c>
      <c r="BY29" s="239">
        <v>25</v>
      </c>
      <c r="BZ29" s="115">
        <v>0.08</v>
      </c>
      <c r="CA29" s="115">
        <v>0.08</v>
      </c>
      <c r="CB29" s="115">
        <v>0.08</v>
      </c>
      <c r="CC29" s="115">
        <v>0.08</v>
      </c>
    </row>
    <row r="30" spans="1:81" s="112" customFormat="1" x14ac:dyDescent="0.35">
      <c r="A30" s="526"/>
      <c r="B30" s="109" t="s">
        <v>439</v>
      </c>
      <c r="C30" s="117" t="s">
        <v>119</v>
      </c>
      <c r="D30" s="111" t="s">
        <v>364</v>
      </c>
      <c r="E30" s="503" t="s">
        <v>468</v>
      </c>
      <c r="F30" s="6">
        <f t="shared" si="14"/>
        <v>25</v>
      </c>
      <c r="G30" s="172">
        <v>1</v>
      </c>
      <c r="H30" s="185" t="s">
        <v>383</v>
      </c>
      <c r="I30" s="185" t="s">
        <v>384</v>
      </c>
      <c r="J30" s="194">
        <f t="shared" si="41"/>
        <v>275000000</v>
      </c>
      <c r="K30" s="414" t="str">
        <f>B34</f>
        <v>Reactant10</v>
      </c>
      <c r="L30" s="194">
        <v>0</v>
      </c>
      <c r="M30" s="194">
        <v>1</v>
      </c>
      <c r="N30" s="194">
        <v>1</v>
      </c>
      <c r="O30" s="194">
        <v>0</v>
      </c>
      <c r="P30" s="194">
        <v>0</v>
      </c>
      <c r="Q30" s="207">
        <f>Q27</f>
        <v>20000</v>
      </c>
      <c r="R30" s="112">
        <v>6.57</v>
      </c>
      <c r="S30" s="112">
        <v>6.57</v>
      </c>
      <c r="T30" s="112">
        <v>6.57</v>
      </c>
      <c r="U30" s="207">
        <v>6.57</v>
      </c>
      <c r="V30" s="114">
        <v>1.66</v>
      </c>
      <c r="W30" s="114">
        <v>1.66</v>
      </c>
      <c r="X30" s="114">
        <v>1.66</v>
      </c>
      <c r="Y30" s="213">
        <v>1.66</v>
      </c>
      <c r="Z30" s="114">
        <v>1.1000000000000001</v>
      </c>
      <c r="AA30" s="114">
        <v>1.1000000000000001</v>
      </c>
      <c r="AB30" s="114">
        <v>1.1000000000000001</v>
      </c>
      <c r="AC30" s="213">
        <v>1.1000000000000001</v>
      </c>
      <c r="AD30" s="115">
        <v>0.5</v>
      </c>
      <c r="AE30" s="115">
        <v>0.5</v>
      </c>
      <c r="AF30" s="115">
        <v>0.5</v>
      </c>
      <c r="AG30" s="220">
        <v>0.5</v>
      </c>
      <c r="AH30" s="115">
        <v>1</v>
      </c>
      <c r="AI30" s="115">
        <v>1</v>
      </c>
      <c r="AJ30" s="115">
        <v>1</v>
      </c>
      <c r="AK30" s="220">
        <v>1</v>
      </c>
      <c r="AL30" s="115">
        <v>1</v>
      </c>
      <c r="AM30" s="115">
        <v>1</v>
      </c>
      <c r="AN30" s="115">
        <v>1</v>
      </c>
      <c r="AO30" s="220">
        <v>1</v>
      </c>
      <c r="AP30" s="116">
        <v>0.64</v>
      </c>
      <c r="AQ30" s="116">
        <v>0.64</v>
      </c>
      <c r="AR30" s="116">
        <v>0.64</v>
      </c>
      <c r="AS30" s="229">
        <v>0.64</v>
      </c>
      <c r="AT30" s="114">
        <v>12113.81</v>
      </c>
      <c r="AU30" s="114">
        <v>12113.81</v>
      </c>
      <c r="AV30" s="114">
        <v>12113.81</v>
      </c>
      <c r="AW30" s="213">
        <v>12113.81</v>
      </c>
      <c r="AX30" s="112">
        <v>1167.05</v>
      </c>
      <c r="AY30" s="112">
        <v>1167.05</v>
      </c>
      <c r="AZ30" s="112">
        <v>1167.05</v>
      </c>
      <c r="BA30" s="207">
        <v>1167.05</v>
      </c>
      <c r="BB30" s="112">
        <f t="shared" ref="BB30:BE30" si="45">4.04937222588/1000</f>
        <v>4.0493722258800003E-3</v>
      </c>
      <c r="BC30" s="112">
        <f t="shared" si="45"/>
        <v>4.0493722258800003E-3</v>
      </c>
      <c r="BD30" s="112">
        <f t="shared" si="45"/>
        <v>4.0493722258800003E-3</v>
      </c>
      <c r="BE30" s="207">
        <f t="shared" si="45"/>
        <v>4.0493722258800003E-3</v>
      </c>
      <c r="BF30" s="112">
        <v>0</v>
      </c>
      <c r="BG30" s="112">
        <v>0</v>
      </c>
      <c r="BH30" s="112">
        <v>0</v>
      </c>
      <c r="BI30" s="207">
        <v>0</v>
      </c>
      <c r="BJ30" s="112">
        <v>18.474666666666668</v>
      </c>
      <c r="BK30" s="114">
        <v>0</v>
      </c>
      <c r="BL30" s="114">
        <v>0</v>
      </c>
      <c r="BM30" s="213">
        <v>0</v>
      </c>
      <c r="BN30" s="112">
        <v>0</v>
      </c>
      <c r="BO30" s="112">
        <v>0</v>
      </c>
      <c r="BP30" s="112">
        <v>0</v>
      </c>
      <c r="BQ30" s="207">
        <v>0</v>
      </c>
      <c r="BR30" s="112">
        <f t="shared" ref="BR30" si="46">IF(BV30&lt;&gt;0,(BZ30*(1+BZ30)^BV30)/((1+BZ30)^BV30-1),0)</f>
        <v>9.3678779051968114E-2</v>
      </c>
      <c r="BS30" s="112">
        <f t="shared" ref="BS30" si="47">IF(BW30&lt;&gt;0,(CA30*(1+CA30)^BW30)/((1+CA30)^BW30-1),0)</f>
        <v>9.3678779051968114E-2</v>
      </c>
      <c r="BT30" s="112">
        <f t="shared" ref="BT30" si="48">IF(BX30&lt;&gt;0,(CB30*(1+CB30)^BX30)/((1+CB30)^BX30-1),0)</f>
        <v>9.3678779051968114E-2</v>
      </c>
      <c r="BU30" s="207">
        <f t="shared" ref="BU30" si="49">IF(BY30&lt;&gt;0,(CC30*(1+CC30)^BY30)/((1+CC30)^BY30-1),0)</f>
        <v>9.3678779051968114E-2</v>
      </c>
      <c r="BV30" s="113">
        <v>25</v>
      </c>
      <c r="BW30" s="113">
        <v>25</v>
      </c>
      <c r="BX30" s="113">
        <v>25</v>
      </c>
      <c r="BY30" s="239">
        <v>25</v>
      </c>
      <c r="BZ30" s="115">
        <v>0.08</v>
      </c>
      <c r="CA30" s="115">
        <v>0.08</v>
      </c>
      <c r="CB30" s="115">
        <v>0.08</v>
      </c>
      <c r="CC30" s="115">
        <v>0.08</v>
      </c>
    </row>
    <row r="31" spans="1:81" s="122" customFormat="1" x14ac:dyDescent="0.35">
      <c r="A31" s="526"/>
      <c r="B31" s="118" t="s">
        <v>97</v>
      </c>
      <c r="C31" s="119" t="s">
        <v>119</v>
      </c>
      <c r="D31" s="120" t="s">
        <v>365</v>
      </c>
      <c r="E31" s="504" t="s">
        <v>467</v>
      </c>
      <c r="F31" s="6">
        <f t="shared" si="14"/>
        <v>26</v>
      </c>
      <c r="G31" s="173">
        <v>1</v>
      </c>
      <c r="H31" s="186" t="s">
        <v>385</v>
      </c>
      <c r="I31" s="186" t="s">
        <v>386</v>
      </c>
      <c r="J31" s="401">
        <f>(2.2/(18.6/3.6))*10^9</f>
        <v>425806451.61290324</v>
      </c>
      <c r="K31" s="409" t="str">
        <f>B34</f>
        <v>Reactant10</v>
      </c>
      <c r="L31" s="198">
        <v>0</v>
      </c>
      <c r="M31" s="198">
        <v>1</v>
      </c>
      <c r="N31" s="198">
        <v>0</v>
      </c>
      <c r="O31" s="198">
        <v>0</v>
      </c>
      <c r="P31" s="198">
        <v>0</v>
      </c>
      <c r="Q31" s="230">
        <v>20000</v>
      </c>
      <c r="R31" s="123">
        <f>1/0.18</f>
        <v>5.5555555555555554</v>
      </c>
      <c r="S31" s="123">
        <f t="shared" ref="S31:U32" si="50">1/0.18</f>
        <v>5.5555555555555554</v>
      </c>
      <c r="T31" s="123">
        <f t="shared" si="50"/>
        <v>5.5555555555555554</v>
      </c>
      <c r="U31" s="208">
        <f t="shared" si="50"/>
        <v>5.5555555555555554</v>
      </c>
      <c r="V31" s="124">
        <v>0</v>
      </c>
      <c r="W31" s="124">
        <v>0</v>
      </c>
      <c r="X31" s="124">
        <v>0</v>
      </c>
      <c r="Y31" s="214">
        <v>0</v>
      </c>
      <c r="Z31" s="124">
        <v>0</v>
      </c>
      <c r="AA31" s="124">
        <v>0</v>
      </c>
      <c r="AB31" s="124">
        <v>0</v>
      </c>
      <c r="AC31" s="214">
        <v>0</v>
      </c>
      <c r="AD31" s="125">
        <v>0.4</v>
      </c>
      <c r="AE31" s="125">
        <v>0.2</v>
      </c>
      <c r="AF31" s="125">
        <v>0.1</v>
      </c>
      <c r="AG31" s="221">
        <v>0.1</v>
      </c>
      <c r="AH31" s="125">
        <v>0.2</v>
      </c>
      <c r="AI31" s="125">
        <v>1</v>
      </c>
      <c r="AJ31" s="125">
        <v>1</v>
      </c>
      <c r="AK31" s="221">
        <v>1</v>
      </c>
      <c r="AL31" s="125">
        <v>0.2</v>
      </c>
      <c r="AM31" s="125">
        <v>1</v>
      </c>
      <c r="AN31" s="125">
        <v>1</v>
      </c>
      <c r="AO31" s="221">
        <v>1</v>
      </c>
      <c r="AP31" s="122">
        <v>0.47</v>
      </c>
      <c r="AQ31" s="122">
        <v>0.45</v>
      </c>
      <c r="AR31" s="122">
        <v>0.45</v>
      </c>
      <c r="AS31" s="230">
        <v>0.45</v>
      </c>
      <c r="AT31" s="122">
        <f t="shared" ref="AT31:AW31" si="51">890709*($J$31/8760)^(-0.426)</f>
        <v>8978.384014858857</v>
      </c>
      <c r="AU31" s="122">
        <f t="shared" si="51"/>
        <v>8978.384014858857</v>
      </c>
      <c r="AV31" s="122">
        <f t="shared" si="51"/>
        <v>8978.384014858857</v>
      </c>
      <c r="AW31" s="230">
        <f t="shared" si="51"/>
        <v>8978.384014858857</v>
      </c>
      <c r="AX31" s="122">
        <f t="shared" ref="AX31:BA32" si="52">AT31*4%</f>
        <v>359.13536059435427</v>
      </c>
      <c r="AY31" s="122">
        <f t="shared" si="52"/>
        <v>359.13536059435427</v>
      </c>
      <c r="AZ31" s="122">
        <f t="shared" si="52"/>
        <v>359.13536059435427</v>
      </c>
      <c r="BA31" s="230">
        <f t="shared" si="52"/>
        <v>359.13536059435427</v>
      </c>
      <c r="BB31" s="122">
        <v>0</v>
      </c>
      <c r="BC31" s="122">
        <v>0</v>
      </c>
      <c r="BD31" s="122">
        <v>0</v>
      </c>
      <c r="BE31" s="230">
        <v>0</v>
      </c>
      <c r="BF31" s="122">
        <v>0</v>
      </c>
      <c r="BG31" s="122">
        <v>0</v>
      </c>
      <c r="BH31" s="122">
        <v>0</v>
      </c>
      <c r="BI31" s="230">
        <v>0</v>
      </c>
      <c r="BJ31" s="122">
        <v>22.714018844166699</v>
      </c>
      <c r="BK31" s="122">
        <v>0</v>
      </c>
      <c r="BL31" s="122">
        <v>0</v>
      </c>
      <c r="BM31" s="230">
        <v>0</v>
      </c>
      <c r="BN31" s="122">
        <v>0</v>
      </c>
      <c r="BO31" s="122">
        <v>0</v>
      </c>
      <c r="BP31" s="122">
        <v>0</v>
      </c>
      <c r="BQ31" s="230">
        <v>0</v>
      </c>
      <c r="BR31" s="126">
        <f t="shared" ref="BR31:BU32" si="53">1/11.3</f>
        <v>8.8495575221238937E-2</v>
      </c>
      <c r="BS31" s="126">
        <f t="shared" si="53"/>
        <v>8.8495575221238937E-2</v>
      </c>
      <c r="BT31" s="126">
        <f t="shared" si="53"/>
        <v>8.8495575221238937E-2</v>
      </c>
      <c r="BU31" s="235">
        <f t="shared" si="53"/>
        <v>8.8495575221238937E-2</v>
      </c>
      <c r="BV31" s="121">
        <v>30</v>
      </c>
      <c r="BW31" s="121">
        <v>30</v>
      </c>
      <c r="BX31" s="121">
        <v>30</v>
      </c>
      <c r="BY31" s="240">
        <v>30</v>
      </c>
      <c r="BZ31" s="125">
        <v>0.08</v>
      </c>
      <c r="CA31" s="125">
        <v>0.08</v>
      </c>
      <c r="CB31" s="125">
        <v>0.08</v>
      </c>
      <c r="CC31" s="125">
        <v>0.08</v>
      </c>
    </row>
    <row r="32" spans="1:81" s="122" customFormat="1" x14ac:dyDescent="0.35">
      <c r="A32" s="526"/>
      <c r="B32" s="118" t="s">
        <v>97</v>
      </c>
      <c r="C32" s="119" t="s">
        <v>119</v>
      </c>
      <c r="D32" s="120" t="s">
        <v>366</v>
      </c>
      <c r="E32" s="504" t="s">
        <v>467</v>
      </c>
      <c r="F32" s="6">
        <f t="shared" si="14"/>
        <v>27</v>
      </c>
      <c r="G32" s="173">
        <v>1</v>
      </c>
      <c r="H32" s="186" t="s">
        <v>385</v>
      </c>
      <c r="I32" s="186" t="s">
        <v>386</v>
      </c>
      <c r="J32" s="401">
        <f>(2.2/(18.6/3.6))*10^9</f>
        <v>425806451.61290324</v>
      </c>
      <c r="K32" s="409" t="str">
        <f>B34</f>
        <v>Reactant10</v>
      </c>
      <c r="L32" s="198">
        <v>0</v>
      </c>
      <c r="M32" s="198">
        <v>1</v>
      </c>
      <c r="N32" s="198">
        <v>0</v>
      </c>
      <c r="O32" s="198">
        <v>0</v>
      </c>
      <c r="P32" s="198">
        <v>0</v>
      </c>
      <c r="Q32" s="230">
        <f>Q31</f>
        <v>20000</v>
      </c>
      <c r="R32" s="123">
        <f t="shared" ref="R32" si="54">1/0.18</f>
        <v>5.5555555555555554</v>
      </c>
      <c r="S32" s="123">
        <f t="shared" si="50"/>
        <v>5.5555555555555554</v>
      </c>
      <c r="T32" s="123">
        <f t="shared" si="50"/>
        <v>5.5555555555555554</v>
      </c>
      <c r="U32" s="208">
        <f t="shared" si="50"/>
        <v>5.5555555555555554</v>
      </c>
      <c r="V32" s="124">
        <v>0</v>
      </c>
      <c r="W32" s="124">
        <v>0</v>
      </c>
      <c r="X32" s="124">
        <v>0</v>
      </c>
      <c r="Y32" s="214">
        <v>0</v>
      </c>
      <c r="Z32" s="124">
        <v>0</v>
      </c>
      <c r="AA32" s="124">
        <v>0</v>
      </c>
      <c r="AB32" s="124">
        <v>0</v>
      </c>
      <c r="AC32" s="214">
        <v>0</v>
      </c>
      <c r="AD32" s="125">
        <v>0.4</v>
      </c>
      <c r="AE32" s="125">
        <v>0.2</v>
      </c>
      <c r="AF32" s="125">
        <v>0.1</v>
      </c>
      <c r="AG32" s="221">
        <v>0.1</v>
      </c>
      <c r="AH32" s="125">
        <v>0.2</v>
      </c>
      <c r="AI32" s="125">
        <v>1</v>
      </c>
      <c r="AJ32" s="125">
        <v>1</v>
      </c>
      <c r="AK32" s="221">
        <v>1</v>
      </c>
      <c r="AL32" s="125">
        <v>0.2</v>
      </c>
      <c r="AM32" s="125">
        <v>1</v>
      </c>
      <c r="AN32" s="125">
        <v>1</v>
      </c>
      <c r="AO32" s="221">
        <v>1</v>
      </c>
      <c r="AP32" s="122">
        <v>0.61</v>
      </c>
      <c r="AQ32" s="122">
        <v>0.59</v>
      </c>
      <c r="AR32" s="122">
        <v>0.59</v>
      </c>
      <c r="AS32" s="230">
        <v>0.59</v>
      </c>
      <c r="AT32" s="122">
        <f>890709*($J$32/8760)^(-0.426)</f>
        <v>8978.384014858857</v>
      </c>
      <c r="AU32" s="122">
        <f>890709*($J$32/8760)^(-0.426)</f>
        <v>8978.384014858857</v>
      </c>
      <c r="AV32" s="122">
        <f>890709*($J$32/8760)^(-0.426)</f>
        <v>8978.384014858857</v>
      </c>
      <c r="AW32" s="230">
        <f>890709*($J$32/8760)^(-0.426)</f>
        <v>8978.384014858857</v>
      </c>
      <c r="AX32" s="122">
        <f t="shared" si="52"/>
        <v>359.13536059435427</v>
      </c>
      <c r="AY32" s="122">
        <f t="shared" si="52"/>
        <v>359.13536059435427</v>
      </c>
      <c r="AZ32" s="122">
        <f t="shared" si="52"/>
        <v>359.13536059435427</v>
      </c>
      <c r="BA32" s="230">
        <f t="shared" si="52"/>
        <v>359.13536059435427</v>
      </c>
      <c r="BB32" s="122">
        <v>0</v>
      </c>
      <c r="BC32" s="122">
        <v>0</v>
      </c>
      <c r="BD32" s="122">
        <v>0</v>
      </c>
      <c r="BE32" s="230">
        <v>0</v>
      </c>
      <c r="BF32" s="122">
        <v>0</v>
      </c>
      <c r="BG32" s="122">
        <v>0</v>
      </c>
      <c r="BH32" s="122">
        <v>0</v>
      </c>
      <c r="BI32" s="230">
        <v>0</v>
      </c>
      <c r="BJ32" s="122">
        <v>22.714018844166699</v>
      </c>
      <c r="BK32" s="122">
        <v>0</v>
      </c>
      <c r="BL32" s="122">
        <v>0</v>
      </c>
      <c r="BM32" s="230">
        <v>0</v>
      </c>
      <c r="BN32" s="122">
        <v>0</v>
      </c>
      <c r="BO32" s="122">
        <v>0</v>
      </c>
      <c r="BP32" s="122">
        <v>0</v>
      </c>
      <c r="BQ32" s="230">
        <v>0</v>
      </c>
      <c r="BR32" s="126">
        <f t="shared" si="53"/>
        <v>8.8495575221238937E-2</v>
      </c>
      <c r="BS32" s="126">
        <f t="shared" si="53"/>
        <v>8.8495575221238937E-2</v>
      </c>
      <c r="BT32" s="126">
        <f t="shared" si="53"/>
        <v>8.8495575221238937E-2</v>
      </c>
      <c r="BU32" s="235">
        <f t="shared" si="53"/>
        <v>8.8495575221238937E-2</v>
      </c>
      <c r="BV32" s="121">
        <v>30</v>
      </c>
      <c r="BW32" s="121">
        <v>30</v>
      </c>
      <c r="BX32" s="121">
        <v>30</v>
      </c>
      <c r="BY32" s="240">
        <v>30</v>
      </c>
      <c r="BZ32" s="125">
        <v>0.08</v>
      </c>
      <c r="CA32" s="125">
        <v>0.08</v>
      </c>
      <c r="CB32" s="125">
        <v>0.08</v>
      </c>
      <c r="CC32" s="125">
        <v>0.08</v>
      </c>
    </row>
    <row r="33" spans="1:81" s="127" customFormat="1" x14ac:dyDescent="0.35">
      <c r="A33" s="526"/>
      <c r="B33" s="127" t="s">
        <v>97</v>
      </c>
      <c r="C33" s="98" t="s">
        <v>119</v>
      </c>
      <c r="D33" s="128" t="s">
        <v>174</v>
      </c>
      <c r="E33" s="505" t="s">
        <v>86</v>
      </c>
      <c r="F33" s="6">
        <f t="shared" si="14"/>
        <v>28</v>
      </c>
      <c r="G33" s="174">
        <v>1</v>
      </c>
      <c r="H33" s="187" t="s">
        <v>387</v>
      </c>
      <c r="I33" s="187" t="s">
        <v>388</v>
      </c>
      <c r="J33" s="406">
        <f>(2.2/(120/3.6))*10^9</f>
        <v>66000000</v>
      </c>
      <c r="K33" s="415" t="str">
        <f>B34</f>
        <v>Reactant10</v>
      </c>
      <c r="L33" s="199">
        <v>0</v>
      </c>
      <c r="M33" s="199">
        <v>1</v>
      </c>
      <c r="N33" s="199">
        <v>0</v>
      </c>
      <c r="O33" s="199">
        <v>0</v>
      </c>
      <c r="P33" s="199">
        <v>0</v>
      </c>
      <c r="Q33" s="209">
        <f>Q32</f>
        <v>20000</v>
      </c>
      <c r="R33" s="127">
        <v>1</v>
      </c>
      <c r="S33" s="127">
        <v>1</v>
      </c>
      <c r="T33" s="127">
        <v>1</v>
      </c>
      <c r="U33" s="209">
        <v>1</v>
      </c>
      <c r="V33" s="130">
        <v>0</v>
      </c>
      <c r="W33" s="130">
        <v>0</v>
      </c>
      <c r="X33" s="130">
        <v>0</v>
      </c>
      <c r="Y33" s="215">
        <v>0</v>
      </c>
      <c r="Z33" s="130">
        <v>0</v>
      </c>
      <c r="AA33" s="130">
        <v>0</v>
      </c>
      <c r="AB33" s="130">
        <v>0</v>
      </c>
      <c r="AC33" s="215">
        <v>0</v>
      </c>
      <c r="AD33" s="131">
        <v>0</v>
      </c>
      <c r="AE33" s="131">
        <v>0</v>
      </c>
      <c r="AF33" s="131">
        <v>0</v>
      </c>
      <c r="AG33" s="222">
        <v>0</v>
      </c>
      <c r="AH33" s="131">
        <v>1</v>
      </c>
      <c r="AI33" s="131">
        <v>1</v>
      </c>
      <c r="AJ33" s="131">
        <v>1</v>
      </c>
      <c r="AK33" s="222">
        <v>1</v>
      </c>
      <c r="AL33" s="131">
        <v>1</v>
      </c>
      <c r="AM33" s="131">
        <v>1</v>
      </c>
      <c r="AN33" s="131">
        <v>1</v>
      </c>
      <c r="AO33" s="222">
        <v>1</v>
      </c>
      <c r="AP33" s="127">
        <v>0</v>
      </c>
      <c r="AQ33" s="127">
        <v>0</v>
      </c>
      <c r="AR33" s="127">
        <v>0</v>
      </c>
      <c r="AS33" s="209">
        <v>0</v>
      </c>
      <c r="AT33" s="127">
        <v>0</v>
      </c>
      <c r="AU33" s="127">
        <v>0</v>
      </c>
      <c r="AV33" s="127">
        <v>0</v>
      </c>
      <c r="AW33" s="209">
        <v>0</v>
      </c>
      <c r="AX33" s="127">
        <v>0</v>
      </c>
      <c r="AY33" s="127">
        <v>0</v>
      </c>
      <c r="AZ33" s="127">
        <v>0</v>
      </c>
      <c r="BA33" s="209">
        <v>0</v>
      </c>
      <c r="BB33" s="127">
        <v>0</v>
      </c>
      <c r="BC33" s="127">
        <v>0</v>
      </c>
      <c r="BD33" s="127">
        <v>0</v>
      </c>
      <c r="BE33" s="209">
        <v>0</v>
      </c>
      <c r="BF33" s="127">
        <v>0</v>
      </c>
      <c r="BG33" s="127">
        <v>0</v>
      </c>
      <c r="BH33" s="127">
        <v>0</v>
      </c>
      <c r="BI33" s="209">
        <v>0</v>
      </c>
      <c r="BJ33" s="127">
        <v>0</v>
      </c>
      <c r="BK33" s="127">
        <v>0</v>
      </c>
      <c r="BL33" s="127">
        <v>0</v>
      </c>
      <c r="BM33" s="209">
        <v>0</v>
      </c>
      <c r="BN33" s="127">
        <v>0</v>
      </c>
      <c r="BO33" s="127">
        <v>0</v>
      </c>
      <c r="BP33" s="127">
        <v>0</v>
      </c>
      <c r="BQ33" s="209">
        <v>0</v>
      </c>
      <c r="BR33" s="127">
        <v>0</v>
      </c>
      <c r="BS33" s="127">
        <v>0</v>
      </c>
      <c r="BT33" s="127">
        <v>0</v>
      </c>
      <c r="BU33" s="209">
        <v>0</v>
      </c>
      <c r="BV33" s="129">
        <v>0</v>
      </c>
      <c r="BW33" s="129">
        <v>0</v>
      </c>
      <c r="BX33" s="129">
        <v>0</v>
      </c>
      <c r="BY33" s="241">
        <v>0</v>
      </c>
      <c r="BZ33" s="131">
        <v>0.08</v>
      </c>
      <c r="CA33" s="131">
        <v>0.08</v>
      </c>
      <c r="CB33" s="131">
        <v>0.08</v>
      </c>
      <c r="CC33" s="131">
        <v>0.08</v>
      </c>
    </row>
    <row r="34" spans="1:81" s="256" customFormat="1" x14ac:dyDescent="0.35">
      <c r="A34" s="526"/>
      <c r="B34" s="250" t="s">
        <v>440</v>
      </c>
      <c r="C34" s="98" t="s">
        <v>184</v>
      </c>
      <c r="D34" s="251" t="s">
        <v>300</v>
      </c>
      <c r="E34" s="506" t="s">
        <v>86</v>
      </c>
      <c r="F34" s="6">
        <f t="shared" si="14"/>
        <v>29</v>
      </c>
      <c r="G34" s="252">
        <v>1</v>
      </c>
      <c r="H34" s="253" t="s">
        <v>387</v>
      </c>
      <c r="I34" s="253" t="s">
        <v>388</v>
      </c>
      <c r="J34" s="407">
        <v>0</v>
      </c>
      <c r="K34" s="253" t="s">
        <v>12</v>
      </c>
      <c r="L34" s="255">
        <v>0</v>
      </c>
      <c r="M34" s="255">
        <v>0</v>
      </c>
      <c r="N34" s="255">
        <v>0</v>
      </c>
      <c r="O34" s="255">
        <v>-1</v>
      </c>
      <c r="P34" s="255">
        <v>0</v>
      </c>
      <c r="Q34" s="254">
        <f>Q38</f>
        <v>20000</v>
      </c>
      <c r="R34" s="260">
        <v>0</v>
      </c>
      <c r="S34" s="260">
        <v>0</v>
      </c>
      <c r="T34" s="260">
        <v>0</v>
      </c>
      <c r="U34" s="316">
        <v>0</v>
      </c>
      <c r="V34" s="256">
        <v>0</v>
      </c>
      <c r="W34" s="256">
        <v>0</v>
      </c>
      <c r="X34" s="256">
        <v>0</v>
      </c>
      <c r="Y34" s="254">
        <v>0</v>
      </c>
      <c r="Z34" s="256">
        <v>0</v>
      </c>
      <c r="AA34" s="256">
        <v>0</v>
      </c>
      <c r="AB34" s="256">
        <v>0</v>
      </c>
      <c r="AC34" s="254">
        <v>0</v>
      </c>
      <c r="AD34" s="257">
        <v>0</v>
      </c>
      <c r="AE34" s="257">
        <v>0</v>
      </c>
      <c r="AF34" s="257">
        <v>0</v>
      </c>
      <c r="AG34" s="258">
        <v>0</v>
      </c>
      <c r="AH34" s="257">
        <v>1</v>
      </c>
      <c r="AI34" s="257">
        <v>1</v>
      </c>
      <c r="AJ34" s="257">
        <v>1</v>
      </c>
      <c r="AK34" s="258">
        <v>1</v>
      </c>
      <c r="AL34" s="257">
        <v>1</v>
      </c>
      <c r="AM34" s="257">
        <v>1</v>
      </c>
      <c r="AN34" s="257">
        <v>1</v>
      </c>
      <c r="AO34" s="258">
        <v>1</v>
      </c>
      <c r="AP34" s="260">
        <v>0</v>
      </c>
      <c r="AQ34" s="260">
        <v>0</v>
      </c>
      <c r="AR34" s="260">
        <v>0</v>
      </c>
      <c r="AS34" s="316">
        <v>0</v>
      </c>
      <c r="AT34" s="260">
        <v>0</v>
      </c>
      <c r="AU34" s="260">
        <v>0</v>
      </c>
      <c r="AV34" s="260">
        <v>0</v>
      </c>
      <c r="AW34" s="316">
        <v>0</v>
      </c>
      <c r="AX34" s="260">
        <v>0</v>
      </c>
      <c r="AY34" s="260">
        <v>0</v>
      </c>
      <c r="AZ34" s="260">
        <v>0</v>
      </c>
      <c r="BA34" s="316">
        <v>0</v>
      </c>
      <c r="BB34" s="260">
        <v>0</v>
      </c>
      <c r="BC34" s="260">
        <v>0</v>
      </c>
      <c r="BD34" s="260">
        <v>0</v>
      </c>
      <c r="BE34" s="316">
        <v>0</v>
      </c>
      <c r="BF34" s="260">
        <v>0</v>
      </c>
      <c r="BG34" s="260">
        <v>0</v>
      </c>
      <c r="BH34" s="260">
        <v>0</v>
      </c>
      <c r="BI34" s="316">
        <v>0</v>
      </c>
      <c r="BJ34" s="127">
        <v>0</v>
      </c>
      <c r="BK34" s="127">
        <v>0</v>
      </c>
      <c r="BL34" s="127">
        <v>0</v>
      </c>
      <c r="BM34" s="209">
        <v>0</v>
      </c>
      <c r="BN34" s="260">
        <v>0</v>
      </c>
      <c r="BO34" s="260">
        <v>0</v>
      </c>
      <c r="BP34" s="260">
        <v>0</v>
      </c>
      <c r="BQ34" s="316">
        <v>0</v>
      </c>
      <c r="BR34" s="260">
        <v>0</v>
      </c>
      <c r="BS34" s="260">
        <v>0</v>
      </c>
      <c r="BT34" s="260">
        <v>0</v>
      </c>
      <c r="BU34" s="316">
        <v>0</v>
      </c>
      <c r="BV34" s="259">
        <v>0</v>
      </c>
      <c r="BW34" s="259">
        <v>0</v>
      </c>
      <c r="BX34" s="259">
        <v>0</v>
      </c>
      <c r="BY34" s="333">
        <v>0</v>
      </c>
      <c r="BZ34" s="257">
        <v>0.08</v>
      </c>
      <c r="CA34" s="257">
        <v>0.08</v>
      </c>
      <c r="CB34" s="257">
        <v>0.08</v>
      </c>
      <c r="CC34" s="257">
        <v>0.08</v>
      </c>
    </row>
    <row r="35" spans="1:81" s="50" customFormat="1" x14ac:dyDescent="0.35">
      <c r="A35" s="526"/>
      <c r="B35" s="294" t="s">
        <v>282</v>
      </c>
      <c r="C35" s="295" t="s">
        <v>13</v>
      </c>
      <c r="D35" s="296" t="s">
        <v>166</v>
      </c>
      <c r="E35" s="507" t="s">
        <v>86</v>
      </c>
      <c r="F35" s="6">
        <f t="shared" si="14"/>
        <v>30</v>
      </c>
      <c r="G35" s="297">
        <v>1</v>
      </c>
      <c r="H35" s="298" t="s">
        <v>387</v>
      </c>
      <c r="I35" s="298" t="s">
        <v>388</v>
      </c>
      <c r="J35" s="301">
        <v>0</v>
      </c>
      <c r="K35" s="416" t="str">
        <f>B41</f>
        <v>Reactant11</v>
      </c>
      <c r="L35" s="301">
        <v>0</v>
      </c>
      <c r="M35" s="301">
        <v>1</v>
      </c>
      <c r="N35" s="301">
        <v>0</v>
      </c>
      <c r="O35" s="301">
        <v>1</v>
      </c>
      <c r="P35" s="301">
        <v>0</v>
      </c>
      <c r="Q35" s="299">
        <v>20000</v>
      </c>
      <c r="R35" s="50">
        <f t="shared" ref="R35:U39" si="55">(1/9)*0.8</f>
        <v>8.8888888888888892E-2</v>
      </c>
      <c r="S35" s="50">
        <f t="shared" si="55"/>
        <v>8.8888888888888892E-2</v>
      </c>
      <c r="T35" s="50">
        <f t="shared" si="55"/>
        <v>8.8888888888888892E-2</v>
      </c>
      <c r="U35" s="299">
        <f t="shared" si="55"/>
        <v>8.8888888888888892E-2</v>
      </c>
      <c r="V35" s="302">
        <v>7.07</v>
      </c>
      <c r="W35" s="302">
        <v>5.6759999999999993</v>
      </c>
      <c r="X35" s="302">
        <v>4.6150000000000002</v>
      </c>
      <c r="Y35" s="303">
        <v>3.6</v>
      </c>
      <c r="Z35" s="50">
        <v>0</v>
      </c>
      <c r="AA35" s="50">
        <v>0</v>
      </c>
      <c r="AB35" s="50">
        <v>0</v>
      </c>
      <c r="AC35" s="299">
        <v>0</v>
      </c>
      <c r="AD35" s="304">
        <v>0</v>
      </c>
      <c r="AE35" s="304">
        <v>0</v>
      </c>
      <c r="AF35" s="304">
        <v>0</v>
      </c>
      <c r="AG35" s="305">
        <v>0</v>
      </c>
      <c r="AH35" s="304">
        <v>1</v>
      </c>
      <c r="AI35" s="304">
        <v>1</v>
      </c>
      <c r="AJ35" s="304">
        <v>1</v>
      </c>
      <c r="AK35" s="305">
        <v>1</v>
      </c>
      <c r="AL35" s="304">
        <v>1</v>
      </c>
      <c r="AM35" s="304">
        <v>1</v>
      </c>
      <c r="AN35" s="304">
        <v>1</v>
      </c>
      <c r="AO35" s="305">
        <v>1</v>
      </c>
      <c r="AP35" s="50">
        <v>51.5</v>
      </c>
      <c r="AQ35" s="50">
        <v>49.8</v>
      </c>
      <c r="AR35" s="50">
        <f>(AQ35+AS35)/2</f>
        <v>49.4</v>
      </c>
      <c r="AS35" s="299">
        <v>49</v>
      </c>
      <c r="AT35" s="50">
        <v>55000</v>
      </c>
      <c r="AU35" s="50">
        <v>39840</v>
      </c>
      <c r="AV35" s="50">
        <f>(AU35+AW35)/2</f>
        <v>32370</v>
      </c>
      <c r="AW35" s="299">
        <v>24900</v>
      </c>
      <c r="AX35" s="50">
        <f>10%*AT35</f>
        <v>5500</v>
      </c>
      <c r="AY35" s="50">
        <f>10%*AU35</f>
        <v>3984</v>
      </c>
      <c r="AZ35" s="50">
        <f>10%*AV35</f>
        <v>3237</v>
      </c>
      <c r="BA35" s="299">
        <f>10%*AW35</f>
        <v>2490</v>
      </c>
      <c r="BB35" s="50">
        <v>0</v>
      </c>
      <c r="BC35" s="50">
        <v>0</v>
      </c>
      <c r="BD35" s="50">
        <v>0</v>
      </c>
      <c r="BE35" s="299">
        <v>0</v>
      </c>
      <c r="BF35" s="50">
        <v>0</v>
      </c>
      <c r="BG35" s="50">
        <v>0</v>
      </c>
      <c r="BH35" s="50">
        <v>0</v>
      </c>
      <c r="BI35" s="299">
        <v>0</v>
      </c>
      <c r="BJ35" s="50">
        <v>115.4145399442897</v>
      </c>
      <c r="BK35" s="50">
        <v>0</v>
      </c>
      <c r="BL35" s="50">
        <v>0</v>
      </c>
      <c r="BM35" s="299">
        <v>0</v>
      </c>
      <c r="BN35" s="50">
        <v>0</v>
      </c>
      <c r="BO35" s="50">
        <v>0</v>
      </c>
      <c r="BP35" s="50">
        <v>0</v>
      </c>
      <c r="BQ35" s="299">
        <v>0</v>
      </c>
      <c r="BR35" s="306">
        <f t="shared" ref="BR35:BU37" si="56">1/11.3</f>
        <v>8.8495575221238937E-2</v>
      </c>
      <c r="BS35" s="306">
        <f t="shared" si="56"/>
        <v>8.8495575221238937E-2</v>
      </c>
      <c r="BT35" s="306">
        <f t="shared" si="56"/>
        <v>8.8495575221238937E-2</v>
      </c>
      <c r="BU35" s="307">
        <f t="shared" si="56"/>
        <v>8.8495575221238937E-2</v>
      </c>
      <c r="BV35" s="308">
        <v>30</v>
      </c>
      <c r="BW35" s="308">
        <v>30</v>
      </c>
      <c r="BX35" s="308">
        <v>30</v>
      </c>
      <c r="BY35" s="300">
        <v>30</v>
      </c>
      <c r="BZ35" s="304">
        <v>0.08</v>
      </c>
      <c r="CA35" s="304">
        <v>0.08</v>
      </c>
      <c r="CB35" s="304">
        <v>0.08</v>
      </c>
      <c r="CC35" s="304">
        <v>0.08</v>
      </c>
    </row>
    <row r="36" spans="1:81" s="50" customFormat="1" x14ac:dyDescent="0.35">
      <c r="A36" s="526"/>
      <c r="B36" s="294" t="s">
        <v>282</v>
      </c>
      <c r="C36" s="295" t="s">
        <v>13</v>
      </c>
      <c r="D36" s="296" t="s">
        <v>367</v>
      </c>
      <c r="E36" s="507" t="s">
        <v>86</v>
      </c>
      <c r="F36" s="6">
        <f t="shared" si="14"/>
        <v>31</v>
      </c>
      <c r="G36" s="297">
        <v>1</v>
      </c>
      <c r="H36" s="298" t="s">
        <v>387</v>
      </c>
      <c r="I36" s="298" t="s">
        <v>388</v>
      </c>
      <c r="J36" s="301">
        <v>0</v>
      </c>
      <c r="K36" s="416" t="str">
        <f>B41</f>
        <v>Reactant11</v>
      </c>
      <c r="L36" s="301">
        <v>0</v>
      </c>
      <c r="M36" s="301">
        <v>1</v>
      </c>
      <c r="N36" s="301">
        <v>0</v>
      </c>
      <c r="O36" s="301">
        <v>1</v>
      </c>
      <c r="P36" s="301">
        <v>0</v>
      </c>
      <c r="Q36" s="299">
        <f>Q35</f>
        <v>20000</v>
      </c>
      <c r="R36" s="50">
        <f t="shared" si="55"/>
        <v>8.8888888888888892E-2</v>
      </c>
      <c r="S36" s="50">
        <f t="shared" si="55"/>
        <v>8.8888888888888892E-2</v>
      </c>
      <c r="T36" s="50">
        <f t="shared" si="55"/>
        <v>8.8888888888888892E-2</v>
      </c>
      <c r="U36" s="299">
        <f t="shared" si="55"/>
        <v>8.8888888888888892E-2</v>
      </c>
      <c r="V36" s="302">
        <v>0</v>
      </c>
      <c r="W36" s="302">
        <v>0</v>
      </c>
      <c r="X36" s="302">
        <v>0</v>
      </c>
      <c r="Y36" s="303">
        <v>0</v>
      </c>
      <c r="Z36" s="50">
        <v>0</v>
      </c>
      <c r="AA36" s="50">
        <v>0</v>
      </c>
      <c r="AB36" s="50">
        <v>0</v>
      </c>
      <c r="AC36" s="299">
        <v>0</v>
      </c>
      <c r="AD36" s="304">
        <v>0</v>
      </c>
      <c r="AE36" s="304">
        <v>0</v>
      </c>
      <c r="AF36" s="304">
        <v>0</v>
      </c>
      <c r="AG36" s="305">
        <v>0</v>
      </c>
      <c r="AH36" s="304">
        <v>1</v>
      </c>
      <c r="AI36" s="304">
        <v>1</v>
      </c>
      <c r="AJ36" s="304">
        <v>1</v>
      </c>
      <c r="AK36" s="305">
        <v>1</v>
      </c>
      <c r="AL36" s="304">
        <v>1</v>
      </c>
      <c r="AM36" s="304">
        <v>1</v>
      </c>
      <c r="AN36" s="304">
        <v>1</v>
      </c>
      <c r="AO36" s="305">
        <v>1</v>
      </c>
      <c r="AP36" s="309">
        <v>38</v>
      </c>
      <c r="AQ36" s="309">
        <v>38</v>
      </c>
      <c r="AR36" s="309">
        <v>38</v>
      </c>
      <c r="AS36" s="310">
        <v>38</v>
      </c>
      <c r="AT36" s="309">
        <v>105260</v>
      </c>
      <c r="AU36" s="50">
        <v>39583.978111776618</v>
      </c>
      <c r="AV36" s="50">
        <f>(AU36+AW36)/2</f>
        <v>27391.989055888309</v>
      </c>
      <c r="AW36" s="299">
        <v>15200</v>
      </c>
      <c r="AX36" s="309">
        <f t="shared" ref="AX36:BA37" si="57">8.55%*AT36</f>
        <v>8999.7300000000014</v>
      </c>
      <c r="AY36" s="309">
        <f t="shared" si="57"/>
        <v>3384.4301285569013</v>
      </c>
      <c r="AZ36" s="309">
        <f t="shared" si="57"/>
        <v>2342.0150642784506</v>
      </c>
      <c r="BA36" s="310">
        <f t="shared" si="57"/>
        <v>1299.6000000000001</v>
      </c>
      <c r="BB36" s="50">
        <v>0</v>
      </c>
      <c r="BC36" s="50">
        <v>0</v>
      </c>
      <c r="BD36" s="50">
        <v>0</v>
      </c>
      <c r="BE36" s="299">
        <v>0</v>
      </c>
      <c r="BF36" s="50">
        <v>0</v>
      </c>
      <c r="BG36" s="50">
        <v>0</v>
      </c>
      <c r="BH36" s="50">
        <v>0</v>
      </c>
      <c r="BI36" s="299">
        <v>0</v>
      </c>
      <c r="BJ36" s="490">
        <v>120.74318234482759</v>
      </c>
      <c r="BK36" s="50">
        <v>0</v>
      </c>
      <c r="BL36" s="50">
        <v>0</v>
      </c>
      <c r="BM36" s="299">
        <v>0</v>
      </c>
      <c r="BN36" s="50">
        <v>0</v>
      </c>
      <c r="BO36" s="50">
        <v>0</v>
      </c>
      <c r="BP36" s="50">
        <v>0</v>
      </c>
      <c r="BQ36" s="299">
        <v>0</v>
      </c>
      <c r="BR36" s="306">
        <f t="shared" si="56"/>
        <v>8.8495575221238937E-2</v>
      </c>
      <c r="BS36" s="306">
        <f t="shared" si="56"/>
        <v>8.8495575221238937E-2</v>
      </c>
      <c r="BT36" s="306">
        <f t="shared" si="56"/>
        <v>8.8495575221238937E-2</v>
      </c>
      <c r="BU36" s="307">
        <f t="shared" si="56"/>
        <v>8.8495575221238937E-2</v>
      </c>
      <c r="BV36" s="308">
        <v>30</v>
      </c>
      <c r="BW36" s="308">
        <v>30</v>
      </c>
      <c r="BX36" s="308">
        <v>30</v>
      </c>
      <c r="BY36" s="300">
        <v>30</v>
      </c>
      <c r="BZ36" s="304">
        <v>0.08</v>
      </c>
      <c r="CA36" s="304">
        <v>0.08</v>
      </c>
      <c r="CB36" s="304">
        <v>0.08</v>
      </c>
      <c r="CC36" s="304">
        <v>0.08</v>
      </c>
    </row>
    <row r="37" spans="1:81" s="50" customFormat="1" x14ac:dyDescent="0.35">
      <c r="A37" s="526"/>
      <c r="B37" s="294" t="s">
        <v>282</v>
      </c>
      <c r="C37" s="295" t="s">
        <v>13</v>
      </c>
      <c r="D37" s="296" t="s">
        <v>368</v>
      </c>
      <c r="E37" s="507" t="s">
        <v>86</v>
      </c>
      <c r="F37" s="6">
        <f t="shared" si="14"/>
        <v>32</v>
      </c>
      <c r="G37" s="297">
        <v>1</v>
      </c>
      <c r="H37" s="298" t="s">
        <v>387</v>
      </c>
      <c r="I37" s="298" t="s">
        <v>388</v>
      </c>
      <c r="J37" s="301">
        <v>0</v>
      </c>
      <c r="K37" s="416" t="str">
        <f>B41</f>
        <v>Reactant11</v>
      </c>
      <c r="L37" s="301">
        <v>0</v>
      </c>
      <c r="M37" s="301">
        <v>1</v>
      </c>
      <c r="N37" s="301">
        <v>0</v>
      </c>
      <c r="O37" s="301">
        <v>1</v>
      </c>
      <c r="P37" s="301">
        <v>0</v>
      </c>
      <c r="Q37" s="299">
        <f>Q36</f>
        <v>20000</v>
      </c>
      <c r="R37" s="50">
        <f t="shared" si="55"/>
        <v>8.8888888888888892E-2</v>
      </c>
      <c r="S37" s="50">
        <f t="shared" si="55"/>
        <v>8.8888888888888892E-2</v>
      </c>
      <c r="T37" s="50">
        <f t="shared" si="55"/>
        <v>8.8888888888888892E-2</v>
      </c>
      <c r="U37" s="299">
        <f t="shared" si="55"/>
        <v>8.8888888888888892E-2</v>
      </c>
      <c r="V37" s="302">
        <v>0</v>
      </c>
      <c r="W37" s="302">
        <v>0</v>
      </c>
      <c r="X37" s="302">
        <v>0</v>
      </c>
      <c r="Y37" s="303">
        <v>0</v>
      </c>
      <c r="Z37" s="50">
        <v>0</v>
      </c>
      <c r="AA37" s="50">
        <v>0</v>
      </c>
      <c r="AB37" s="50">
        <v>0</v>
      </c>
      <c r="AC37" s="299">
        <v>0</v>
      </c>
      <c r="AD37" s="304">
        <v>0</v>
      </c>
      <c r="AE37" s="304">
        <v>0</v>
      </c>
      <c r="AF37" s="304">
        <v>0</v>
      </c>
      <c r="AG37" s="305">
        <v>0</v>
      </c>
      <c r="AH37" s="304">
        <v>1</v>
      </c>
      <c r="AI37" s="304">
        <v>1</v>
      </c>
      <c r="AJ37" s="304">
        <v>1</v>
      </c>
      <c r="AK37" s="305">
        <v>1</v>
      </c>
      <c r="AL37" s="304">
        <v>1</v>
      </c>
      <c r="AM37" s="304">
        <v>1</v>
      </c>
      <c r="AN37" s="304">
        <v>1</v>
      </c>
      <c r="AO37" s="305">
        <v>1</v>
      </c>
      <c r="AP37" s="309">
        <v>44</v>
      </c>
      <c r="AQ37" s="308">
        <v>43.2</v>
      </c>
      <c r="AR37" s="309">
        <f>(AQ37+AS37)/2</f>
        <v>41.6</v>
      </c>
      <c r="AS37" s="299">
        <v>40</v>
      </c>
      <c r="AT37" s="309">
        <v>105260</v>
      </c>
      <c r="AU37" s="50">
        <v>39583.978111776618</v>
      </c>
      <c r="AV37" s="50">
        <f>(AU37+AW37)/2</f>
        <v>27391.989055888309</v>
      </c>
      <c r="AW37" s="299">
        <v>15200</v>
      </c>
      <c r="AX37" s="309">
        <f t="shared" si="57"/>
        <v>8999.7300000000014</v>
      </c>
      <c r="AY37" s="309">
        <f t="shared" si="57"/>
        <v>3384.4301285569013</v>
      </c>
      <c r="AZ37" s="309">
        <f t="shared" si="57"/>
        <v>2342.0150642784506</v>
      </c>
      <c r="BA37" s="310">
        <f t="shared" si="57"/>
        <v>1299.6000000000001</v>
      </c>
      <c r="BB37" s="50">
        <v>0</v>
      </c>
      <c r="BC37" s="50">
        <v>0</v>
      </c>
      <c r="BD37" s="50">
        <v>0</v>
      </c>
      <c r="BE37" s="299">
        <v>0</v>
      </c>
      <c r="BF37" s="50">
        <v>0</v>
      </c>
      <c r="BG37" s="50">
        <v>0</v>
      </c>
      <c r="BH37" s="50">
        <v>0</v>
      </c>
      <c r="BI37" s="299">
        <v>0</v>
      </c>
      <c r="BJ37" s="490">
        <v>120.74318234482759</v>
      </c>
      <c r="BK37" s="50">
        <v>0</v>
      </c>
      <c r="BL37" s="50">
        <v>0</v>
      </c>
      <c r="BM37" s="299">
        <v>0</v>
      </c>
      <c r="BN37" s="50">
        <v>0</v>
      </c>
      <c r="BO37" s="50">
        <v>0</v>
      </c>
      <c r="BP37" s="50">
        <v>0</v>
      </c>
      <c r="BQ37" s="299">
        <v>0</v>
      </c>
      <c r="BR37" s="306">
        <f t="shared" si="56"/>
        <v>8.8495575221238937E-2</v>
      </c>
      <c r="BS37" s="306">
        <f t="shared" si="56"/>
        <v>8.8495575221238937E-2</v>
      </c>
      <c r="BT37" s="306">
        <f t="shared" si="56"/>
        <v>8.8495575221238937E-2</v>
      </c>
      <c r="BU37" s="307">
        <f t="shared" si="56"/>
        <v>8.8495575221238937E-2</v>
      </c>
      <c r="BV37" s="308">
        <v>30</v>
      </c>
      <c r="BW37" s="308">
        <v>30</v>
      </c>
      <c r="BX37" s="308">
        <v>30</v>
      </c>
      <c r="BY37" s="300">
        <v>30</v>
      </c>
      <c r="BZ37" s="304">
        <v>0.08</v>
      </c>
      <c r="CA37" s="304">
        <v>0.08</v>
      </c>
      <c r="CB37" s="304">
        <v>0.08</v>
      </c>
      <c r="CC37" s="304">
        <v>0.08</v>
      </c>
    </row>
    <row r="38" spans="1:81" s="50" customFormat="1" x14ac:dyDescent="0.35">
      <c r="A38" s="526"/>
      <c r="B38" s="294" t="s">
        <v>282</v>
      </c>
      <c r="C38" s="295" t="s">
        <v>13</v>
      </c>
      <c r="D38" s="296" t="s">
        <v>369</v>
      </c>
      <c r="E38" s="507" t="s">
        <v>86</v>
      </c>
      <c r="F38" s="6">
        <f t="shared" ref="F38:F69" si="58">ROW(D37)-ROW($F$4)</f>
        <v>33</v>
      </c>
      <c r="G38" s="297">
        <v>1</v>
      </c>
      <c r="H38" s="298" t="s">
        <v>387</v>
      </c>
      <c r="I38" s="298" t="s">
        <v>388</v>
      </c>
      <c r="J38" s="301">
        <v>0</v>
      </c>
      <c r="K38" s="416" t="str">
        <f>B41</f>
        <v>Reactant11</v>
      </c>
      <c r="L38" s="301">
        <v>0</v>
      </c>
      <c r="M38" s="301">
        <v>1</v>
      </c>
      <c r="N38" s="301">
        <v>0</v>
      </c>
      <c r="O38" s="301">
        <v>1</v>
      </c>
      <c r="P38" s="301">
        <v>0</v>
      </c>
      <c r="Q38" s="299">
        <f>Q36</f>
        <v>20000</v>
      </c>
      <c r="R38" s="50">
        <f t="shared" si="55"/>
        <v>8.8888888888888892E-2</v>
      </c>
      <c r="S38" s="50">
        <f t="shared" si="55"/>
        <v>8.8888888888888892E-2</v>
      </c>
      <c r="T38" s="50">
        <f t="shared" si="55"/>
        <v>8.8888888888888892E-2</v>
      </c>
      <c r="U38" s="299">
        <f t="shared" si="55"/>
        <v>8.8888888888888892E-2</v>
      </c>
      <c r="V38" s="302">
        <f t="shared" ref="V38:Y38" si="59">V35*0.75</f>
        <v>5.3025000000000002</v>
      </c>
      <c r="W38" s="302">
        <f t="shared" si="59"/>
        <v>4.2569999999999997</v>
      </c>
      <c r="X38" s="302">
        <f t="shared" si="59"/>
        <v>3.4612500000000002</v>
      </c>
      <c r="Y38" s="303">
        <f t="shared" si="59"/>
        <v>2.7</v>
      </c>
      <c r="Z38" s="50">
        <v>0</v>
      </c>
      <c r="AA38" s="50">
        <v>0</v>
      </c>
      <c r="AB38" s="50">
        <v>0</v>
      </c>
      <c r="AC38" s="299">
        <v>0</v>
      </c>
      <c r="AD38" s="304">
        <v>0</v>
      </c>
      <c r="AE38" s="304">
        <v>0</v>
      </c>
      <c r="AF38" s="304">
        <v>0</v>
      </c>
      <c r="AG38" s="305">
        <v>0</v>
      </c>
      <c r="AH38" s="304">
        <v>1</v>
      </c>
      <c r="AI38" s="304">
        <v>1</v>
      </c>
      <c r="AJ38" s="304">
        <v>1</v>
      </c>
      <c r="AK38" s="305">
        <v>1</v>
      </c>
      <c r="AL38" s="304">
        <v>1</v>
      </c>
      <c r="AM38" s="304">
        <v>1</v>
      </c>
      <c r="AN38" s="304">
        <v>1</v>
      </c>
      <c r="AO38" s="305">
        <v>1</v>
      </c>
      <c r="AP38" s="309">
        <f t="shared" ref="AP38:AS38" si="60">AP35*0.75+AP36*0.25</f>
        <v>48.125</v>
      </c>
      <c r="AQ38" s="309">
        <f t="shared" si="60"/>
        <v>46.849999999999994</v>
      </c>
      <c r="AR38" s="309">
        <f t="shared" si="60"/>
        <v>46.55</v>
      </c>
      <c r="AS38" s="310">
        <f t="shared" si="60"/>
        <v>46.25</v>
      </c>
      <c r="AT38" s="309">
        <f t="shared" ref="AT38" si="61">AT35*0.75+AT36*0.25</f>
        <v>67565</v>
      </c>
      <c r="AU38" s="309">
        <f t="shared" ref="AU38" si="62">AU35*0.75+AU36*0.25</f>
        <v>39775.994527944153</v>
      </c>
      <c r="AV38" s="309">
        <f t="shared" ref="AV38" si="63">AV35*0.75+AV36*0.25</f>
        <v>31125.497263972076</v>
      </c>
      <c r="AW38" s="310">
        <f t="shared" ref="AW38" si="64">AW35*0.75+AW36*0.25</f>
        <v>22475</v>
      </c>
      <c r="AX38" s="309">
        <f t="shared" ref="AX38" si="65">AX35*0.75+AX36*0.25</f>
        <v>6374.9325000000008</v>
      </c>
      <c r="AY38" s="309">
        <f t="shared" ref="AY38" si="66">AY35*0.75+AY36*0.25</f>
        <v>3834.1075321392254</v>
      </c>
      <c r="AZ38" s="309">
        <f t="shared" ref="AZ38" si="67">AZ35*0.75+AZ36*0.25</f>
        <v>3013.2537660696125</v>
      </c>
      <c r="BA38" s="310">
        <f t="shared" ref="BA38" si="68">BA35*0.75+BA36*0.25</f>
        <v>2192.4</v>
      </c>
      <c r="BB38" s="309">
        <f t="shared" ref="BB38" si="69">BB35*0.75+BB36*0.25</f>
        <v>0</v>
      </c>
      <c r="BC38" s="309">
        <f t="shared" ref="BC38" si="70">BC35*0.75+BC36*0.25</f>
        <v>0</v>
      </c>
      <c r="BD38" s="309">
        <f t="shared" ref="BD38" si="71">BD35*0.75+BD36*0.25</f>
        <v>0</v>
      </c>
      <c r="BE38" s="310">
        <f t="shared" ref="BE38" si="72">BE35*0.75+BE36*0.25</f>
        <v>0</v>
      </c>
      <c r="BF38" s="309">
        <f t="shared" ref="BF38" si="73">BF35*0.75+BF36*0.25</f>
        <v>0</v>
      </c>
      <c r="BG38" s="309">
        <f t="shared" ref="BG38" si="74">BG35*0.75+BG36*0.25</f>
        <v>0</v>
      </c>
      <c r="BH38" s="309">
        <f t="shared" ref="BH38" si="75">BH35*0.75+BH36*0.25</f>
        <v>0</v>
      </c>
      <c r="BI38" s="310">
        <f t="shared" ref="BI38:BJ38" si="76">BI35*0.75+BI36*0.25</f>
        <v>0</v>
      </c>
      <c r="BJ38" s="309">
        <f t="shared" si="76"/>
        <v>116.74670054442417</v>
      </c>
      <c r="BK38" s="50">
        <v>0</v>
      </c>
      <c r="BL38" s="50">
        <v>0</v>
      </c>
      <c r="BM38" s="299">
        <v>0</v>
      </c>
      <c r="BN38" s="309">
        <f t="shared" ref="BN38:BQ38" si="77">BN35*0.75+BN36*0.25</f>
        <v>0</v>
      </c>
      <c r="BO38" s="309">
        <f t="shared" si="77"/>
        <v>0</v>
      </c>
      <c r="BP38" s="309">
        <f t="shared" si="77"/>
        <v>0</v>
      </c>
      <c r="BQ38" s="310">
        <f t="shared" si="77"/>
        <v>0</v>
      </c>
      <c r="BR38" s="309">
        <f t="shared" ref="BR38" si="78">BR35*0.75+BR36*0.25</f>
        <v>8.8495575221238937E-2</v>
      </c>
      <c r="BS38" s="309">
        <f t="shared" ref="BS38" si="79">BS35*0.75+BS36*0.25</f>
        <v>8.8495575221238937E-2</v>
      </c>
      <c r="BT38" s="309">
        <f t="shared" ref="BT38" si="80">BT35*0.75+BT36*0.25</f>
        <v>8.8495575221238937E-2</v>
      </c>
      <c r="BU38" s="310">
        <f t="shared" ref="BU38" si="81">BU35*0.75+BU36*0.25</f>
        <v>8.8495575221238937E-2</v>
      </c>
      <c r="BV38" s="308">
        <v>30</v>
      </c>
      <c r="BW38" s="308">
        <v>30</v>
      </c>
      <c r="BX38" s="308">
        <v>30</v>
      </c>
      <c r="BY38" s="300">
        <v>30</v>
      </c>
      <c r="BZ38" s="304">
        <v>0.08</v>
      </c>
      <c r="CA38" s="304">
        <v>0.08</v>
      </c>
      <c r="CB38" s="304">
        <v>0.08</v>
      </c>
      <c r="CC38" s="304">
        <v>0.08</v>
      </c>
    </row>
    <row r="39" spans="1:81" s="50" customFormat="1" x14ac:dyDescent="0.35">
      <c r="A39" s="526"/>
      <c r="B39" s="294" t="s">
        <v>282</v>
      </c>
      <c r="C39" s="295" t="s">
        <v>13</v>
      </c>
      <c r="D39" s="296" t="s">
        <v>370</v>
      </c>
      <c r="E39" s="507" t="s">
        <v>86</v>
      </c>
      <c r="F39" s="6">
        <f t="shared" si="58"/>
        <v>34</v>
      </c>
      <c r="G39" s="297">
        <v>1</v>
      </c>
      <c r="H39" s="298" t="s">
        <v>387</v>
      </c>
      <c r="I39" s="298" t="s">
        <v>388</v>
      </c>
      <c r="J39" s="301">
        <v>0</v>
      </c>
      <c r="K39" s="416" t="str">
        <f>B41</f>
        <v>Reactant11</v>
      </c>
      <c r="L39" s="301">
        <v>0</v>
      </c>
      <c r="M39" s="301">
        <v>1</v>
      </c>
      <c r="N39" s="301">
        <v>0</v>
      </c>
      <c r="O39" s="301">
        <v>1</v>
      </c>
      <c r="P39" s="301">
        <v>0</v>
      </c>
      <c r="Q39" s="299">
        <f>Q37</f>
        <v>20000</v>
      </c>
      <c r="R39" s="50">
        <f t="shared" si="55"/>
        <v>8.8888888888888892E-2</v>
      </c>
      <c r="S39" s="50">
        <f t="shared" si="55"/>
        <v>8.8888888888888892E-2</v>
      </c>
      <c r="T39" s="50">
        <f t="shared" si="55"/>
        <v>8.8888888888888892E-2</v>
      </c>
      <c r="U39" s="299">
        <f t="shared" si="55"/>
        <v>8.8888888888888892E-2</v>
      </c>
      <c r="V39" s="302">
        <f t="shared" ref="V39:X39" si="82">V35*0.75</f>
        <v>5.3025000000000002</v>
      </c>
      <c r="W39" s="302">
        <f t="shared" si="82"/>
        <v>4.2569999999999997</v>
      </c>
      <c r="X39" s="302">
        <f t="shared" si="82"/>
        <v>3.4612500000000002</v>
      </c>
      <c r="Y39" s="303">
        <f>Y35*0.75</f>
        <v>2.7</v>
      </c>
      <c r="Z39" s="50">
        <v>0</v>
      </c>
      <c r="AA39" s="50">
        <v>0</v>
      </c>
      <c r="AB39" s="50">
        <v>0</v>
      </c>
      <c r="AC39" s="299">
        <v>0</v>
      </c>
      <c r="AD39" s="304">
        <v>0</v>
      </c>
      <c r="AE39" s="304">
        <v>0</v>
      </c>
      <c r="AF39" s="304">
        <v>0</v>
      </c>
      <c r="AG39" s="305">
        <v>0</v>
      </c>
      <c r="AH39" s="304">
        <v>1</v>
      </c>
      <c r="AI39" s="304">
        <v>1</v>
      </c>
      <c r="AJ39" s="304">
        <v>1</v>
      </c>
      <c r="AK39" s="305">
        <v>1</v>
      </c>
      <c r="AL39" s="304">
        <v>1</v>
      </c>
      <c r="AM39" s="304">
        <v>1</v>
      </c>
      <c r="AN39" s="304">
        <v>1</v>
      </c>
      <c r="AO39" s="305">
        <v>1</v>
      </c>
      <c r="AP39" s="309">
        <f t="shared" ref="AP39:AS39" si="83">AP35*0.75+0.25*AP37</f>
        <v>49.625</v>
      </c>
      <c r="AQ39" s="309">
        <f t="shared" si="83"/>
        <v>48.149999999999991</v>
      </c>
      <c r="AR39" s="309">
        <f t="shared" si="83"/>
        <v>47.449999999999996</v>
      </c>
      <c r="AS39" s="310">
        <f t="shared" si="83"/>
        <v>46.75</v>
      </c>
      <c r="AT39" s="309">
        <f t="shared" ref="AT39:AW39" si="84">AT35*0.75+AT37*0.25</f>
        <v>67565</v>
      </c>
      <c r="AU39" s="309">
        <f t="shared" si="84"/>
        <v>39775.994527944153</v>
      </c>
      <c r="AV39" s="309">
        <f t="shared" si="84"/>
        <v>31125.497263972076</v>
      </c>
      <c r="AW39" s="310">
        <f t="shared" si="84"/>
        <v>22475</v>
      </c>
      <c r="AX39" s="309">
        <f t="shared" ref="AX39:BT39" si="85">AX35*0.75+AX37*0.25</f>
        <v>6374.9325000000008</v>
      </c>
      <c r="AY39" s="309">
        <f t="shared" si="85"/>
        <v>3834.1075321392254</v>
      </c>
      <c r="AZ39" s="309">
        <f t="shared" si="85"/>
        <v>3013.2537660696125</v>
      </c>
      <c r="BA39" s="310">
        <f t="shared" si="85"/>
        <v>2192.4</v>
      </c>
      <c r="BB39" s="309">
        <f t="shared" si="85"/>
        <v>0</v>
      </c>
      <c r="BC39" s="309">
        <f t="shared" si="85"/>
        <v>0</v>
      </c>
      <c r="BD39" s="309">
        <f t="shared" si="85"/>
        <v>0</v>
      </c>
      <c r="BE39" s="310">
        <f t="shared" si="85"/>
        <v>0</v>
      </c>
      <c r="BF39" s="309">
        <f t="shared" si="85"/>
        <v>0</v>
      </c>
      <c r="BG39" s="309">
        <f t="shared" si="85"/>
        <v>0</v>
      </c>
      <c r="BH39" s="309">
        <f t="shared" si="85"/>
        <v>0</v>
      </c>
      <c r="BI39" s="310">
        <f t="shared" si="85"/>
        <v>0</v>
      </c>
      <c r="BJ39" s="309">
        <f t="shared" si="85"/>
        <v>116.74670054442417</v>
      </c>
      <c r="BK39" s="50">
        <v>0</v>
      </c>
      <c r="BL39" s="50">
        <v>0</v>
      </c>
      <c r="BM39" s="299">
        <v>0</v>
      </c>
      <c r="BN39" s="309">
        <f t="shared" si="85"/>
        <v>0</v>
      </c>
      <c r="BO39" s="309">
        <f t="shared" ref="BO39:BQ40" si="86">BO35*0.75+BO37*0.25</f>
        <v>0</v>
      </c>
      <c r="BP39" s="309">
        <f t="shared" si="86"/>
        <v>0</v>
      </c>
      <c r="BQ39" s="310">
        <f t="shared" si="86"/>
        <v>0</v>
      </c>
      <c r="BR39" s="309">
        <f t="shared" si="85"/>
        <v>8.8495575221238937E-2</v>
      </c>
      <c r="BS39" s="309">
        <f t="shared" si="85"/>
        <v>8.8495575221238937E-2</v>
      </c>
      <c r="BT39" s="309">
        <f t="shared" si="85"/>
        <v>8.8495575221238937E-2</v>
      </c>
      <c r="BU39" s="310">
        <f t="shared" ref="BU39" si="87">BU35*0.75+BU37*0.25</f>
        <v>8.8495575221238937E-2</v>
      </c>
      <c r="BV39" s="308">
        <v>30</v>
      </c>
      <c r="BW39" s="308">
        <v>30</v>
      </c>
      <c r="BX39" s="308">
        <v>30</v>
      </c>
      <c r="BY39" s="300">
        <v>30</v>
      </c>
      <c r="BZ39" s="304">
        <v>0.08</v>
      </c>
      <c r="CA39" s="304">
        <v>0.08</v>
      </c>
      <c r="CB39" s="304">
        <v>0.08</v>
      </c>
      <c r="CC39" s="304">
        <v>0.08</v>
      </c>
    </row>
    <row r="40" spans="1:81" s="50" customFormat="1" x14ac:dyDescent="0.35">
      <c r="A40" s="526"/>
      <c r="B40" s="294" t="s">
        <v>97</v>
      </c>
      <c r="C40" s="295" t="s">
        <v>92</v>
      </c>
      <c r="D40" s="296" t="s">
        <v>28</v>
      </c>
      <c r="E40" s="507" t="s">
        <v>86</v>
      </c>
      <c r="F40" s="6">
        <f t="shared" si="58"/>
        <v>35</v>
      </c>
      <c r="G40" s="297">
        <v>1</v>
      </c>
      <c r="H40" s="298" t="s">
        <v>393</v>
      </c>
      <c r="I40" s="298" t="s">
        <v>394</v>
      </c>
      <c r="J40" s="301">
        <v>0</v>
      </c>
      <c r="K40" s="416" t="str">
        <f>B35</f>
        <v>Product/Reactant12</v>
      </c>
      <c r="L40" s="301">
        <v>0</v>
      </c>
      <c r="M40" s="301">
        <v>0</v>
      </c>
      <c r="N40" s="419">
        <v>0</v>
      </c>
      <c r="O40" s="301">
        <v>0</v>
      </c>
      <c r="P40" s="301">
        <v>0</v>
      </c>
      <c r="Q40" s="299">
        <f>9*Q35</f>
        <v>180000</v>
      </c>
      <c r="R40" s="50">
        <v>8</v>
      </c>
      <c r="S40" s="50">
        <v>8</v>
      </c>
      <c r="T40" s="50">
        <v>8</v>
      </c>
      <c r="U40" s="299">
        <v>8</v>
      </c>
      <c r="V40" s="50">
        <v>0</v>
      </c>
      <c r="W40" s="50">
        <v>0</v>
      </c>
      <c r="X40" s="50">
        <v>0</v>
      </c>
      <c r="Y40" s="299">
        <v>0</v>
      </c>
      <c r="Z40" s="50">
        <v>0</v>
      </c>
      <c r="AA40" s="50">
        <v>0</v>
      </c>
      <c r="AB40" s="50">
        <v>0</v>
      </c>
      <c r="AC40" s="299">
        <v>0</v>
      </c>
      <c r="AD40" s="304">
        <v>0</v>
      </c>
      <c r="AE40" s="304">
        <v>0</v>
      </c>
      <c r="AF40" s="304">
        <v>0</v>
      </c>
      <c r="AG40" s="305">
        <v>0</v>
      </c>
      <c r="AH40" s="304">
        <v>1</v>
      </c>
      <c r="AI40" s="304">
        <v>1</v>
      </c>
      <c r="AJ40" s="304">
        <v>1</v>
      </c>
      <c r="AK40" s="305">
        <v>1</v>
      </c>
      <c r="AL40" s="304">
        <v>1</v>
      </c>
      <c r="AM40" s="304">
        <v>1</v>
      </c>
      <c r="AN40" s="304">
        <v>1</v>
      </c>
      <c r="AO40" s="305">
        <v>1</v>
      </c>
      <c r="AP40" s="50">
        <v>0</v>
      </c>
      <c r="AQ40" s="50">
        <v>0</v>
      </c>
      <c r="AR40" s="50">
        <v>0</v>
      </c>
      <c r="AS40" s="299">
        <v>0</v>
      </c>
      <c r="AT40" s="50">
        <v>0</v>
      </c>
      <c r="AU40" s="50">
        <v>0</v>
      </c>
      <c r="AV40" s="50">
        <v>0</v>
      </c>
      <c r="AW40" s="299">
        <v>0</v>
      </c>
      <c r="AX40" s="50">
        <v>0</v>
      </c>
      <c r="AY40" s="50">
        <v>0</v>
      </c>
      <c r="AZ40" s="50">
        <v>0</v>
      </c>
      <c r="BA40" s="299">
        <v>0</v>
      </c>
      <c r="BB40" s="50">
        <v>0</v>
      </c>
      <c r="BC40" s="50">
        <v>0</v>
      </c>
      <c r="BD40" s="50">
        <v>0</v>
      </c>
      <c r="BE40" s="299">
        <v>0</v>
      </c>
      <c r="BF40" s="50">
        <v>0.05</v>
      </c>
      <c r="BG40" s="50">
        <v>2.7E-2</v>
      </c>
      <c r="BH40" s="50">
        <v>2.7E-2</v>
      </c>
      <c r="BI40" s="299">
        <v>2.7E-2</v>
      </c>
      <c r="BJ40" s="50">
        <v>0</v>
      </c>
      <c r="BK40" s="50">
        <v>0</v>
      </c>
      <c r="BL40" s="50">
        <v>0</v>
      </c>
      <c r="BM40" s="299">
        <v>0</v>
      </c>
      <c r="BN40" s="315">
        <v>0</v>
      </c>
      <c r="BO40" s="309">
        <f t="shared" si="86"/>
        <v>0</v>
      </c>
      <c r="BP40" s="309">
        <f t="shared" si="86"/>
        <v>0</v>
      </c>
      <c r="BQ40" s="310">
        <f t="shared" si="86"/>
        <v>0</v>
      </c>
      <c r="BR40" s="50">
        <v>0</v>
      </c>
      <c r="BS40" s="50">
        <v>0</v>
      </c>
      <c r="BT40" s="50">
        <v>0</v>
      </c>
      <c r="BU40" s="299">
        <v>0</v>
      </c>
      <c r="BV40" s="308">
        <v>0</v>
      </c>
      <c r="BW40" s="308">
        <v>0</v>
      </c>
      <c r="BX40" s="308">
        <v>0</v>
      </c>
      <c r="BY40" s="300">
        <v>0</v>
      </c>
      <c r="BZ40" s="304">
        <v>0.08</v>
      </c>
      <c r="CA40" s="304">
        <v>0.08</v>
      </c>
      <c r="CB40" s="304">
        <v>0.08</v>
      </c>
      <c r="CC40" s="304">
        <v>0.08</v>
      </c>
    </row>
    <row r="41" spans="1:81" s="278" customFormat="1" x14ac:dyDescent="0.35">
      <c r="A41" s="526"/>
      <c r="B41" s="271" t="s">
        <v>280</v>
      </c>
      <c r="C41" s="272" t="s">
        <v>184</v>
      </c>
      <c r="D41" s="273" t="s">
        <v>25</v>
      </c>
      <c r="E41" s="508" t="s">
        <v>86</v>
      </c>
      <c r="F41" s="6">
        <f t="shared" si="58"/>
        <v>36</v>
      </c>
      <c r="G41" s="274">
        <v>1</v>
      </c>
      <c r="H41" s="275" t="s">
        <v>389</v>
      </c>
      <c r="I41" s="275" t="s">
        <v>390</v>
      </c>
      <c r="J41" s="277">
        <v>0</v>
      </c>
      <c r="K41" s="275" t="s">
        <v>12</v>
      </c>
      <c r="L41" s="277">
        <v>0</v>
      </c>
      <c r="M41" s="277">
        <v>0</v>
      </c>
      <c r="N41" s="277">
        <v>0</v>
      </c>
      <c r="O41" s="277">
        <v>0</v>
      </c>
      <c r="P41" s="277">
        <v>0</v>
      </c>
      <c r="Q41" s="276">
        <v>400000</v>
      </c>
      <c r="R41" s="278">
        <v>0</v>
      </c>
      <c r="S41" s="278">
        <v>0</v>
      </c>
      <c r="T41" s="278">
        <v>0</v>
      </c>
      <c r="U41" s="276">
        <v>0</v>
      </c>
      <c r="V41" s="278">
        <v>0</v>
      </c>
      <c r="W41" s="278">
        <v>0</v>
      </c>
      <c r="X41" s="278">
        <v>0</v>
      </c>
      <c r="Y41" s="276">
        <v>0</v>
      </c>
      <c r="Z41" s="278">
        <v>0</v>
      </c>
      <c r="AA41" s="278">
        <v>0</v>
      </c>
      <c r="AB41" s="278">
        <v>0</v>
      </c>
      <c r="AC41" s="276">
        <v>0</v>
      </c>
      <c r="AD41" s="279">
        <v>0</v>
      </c>
      <c r="AE41" s="279">
        <v>0</v>
      </c>
      <c r="AF41" s="279">
        <v>0</v>
      </c>
      <c r="AG41" s="280">
        <v>0</v>
      </c>
      <c r="AH41" s="279">
        <v>1</v>
      </c>
      <c r="AI41" s="279">
        <v>1</v>
      </c>
      <c r="AJ41" s="279">
        <v>1</v>
      </c>
      <c r="AK41" s="280">
        <v>1</v>
      </c>
      <c r="AL41" s="279">
        <v>1</v>
      </c>
      <c r="AM41" s="279">
        <v>1</v>
      </c>
      <c r="AN41" s="279">
        <v>1</v>
      </c>
      <c r="AO41" s="280">
        <v>1</v>
      </c>
      <c r="AP41" s="278">
        <v>6.7499999999999991E-3</v>
      </c>
      <c r="AQ41" s="278">
        <v>6.7499999999999991E-3</v>
      </c>
      <c r="AR41" s="278">
        <v>4.4999999999999997E-3</v>
      </c>
      <c r="AS41" s="276">
        <v>4.4999999999999997E-3</v>
      </c>
      <c r="AT41" s="278">
        <v>147.87739999999999</v>
      </c>
      <c r="AU41" s="278">
        <v>134.434</v>
      </c>
      <c r="AV41" s="278">
        <v>134.434</v>
      </c>
      <c r="AW41" s="276">
        <v>134.434</v>
      </c>
      <c r="AX41" s="278">
        <f t="shared" ref="AX41:BA43" si="88">AT41*0.03</f>
        <v>4.4363219999999997</v>
      </c>
      <c r="AY41" s="278">
        <f t="shared" si="88"/>
        <v>4.0330199999999996</v>
      </c>
      <c r="AZ41" s="278">
        <f t="shared" si="88"/>
        <v>4.0330199999999996</v>
      </c>
      <c r="BA41" s="276">
        <f t="shared" si="88"/>
        <v>4.0330199999999996</v>
      </c>
      <c r="BB41" s="278">
        <v>0</v>
      </c>
      <c r="BC41" s="278">
        <v>0</v>
      </c>
      <c r="BD41" s="278">
        <v>0</v>
      </c>
      <c r="BE41" s="276">
        <v>0</v>
      </c>
      <c r="BF41" s="278">
        <v>0</v>
      </c>
      <c r="BG41" s="278">
        <v>0</v>
      </c>
      <c r="BH41" s="278">
        <v>0</v>
      </c>
      <c r="BI41" s="276">
        <v>0</v>
      </c>
      <c r="BJ41" s="281">
        <v>0</v>
      </c>
      <c r="BK41" s="281">
        <v>0</v>
      </c>
      <c r="BL41" s="281">
        <v>0</v>
      </c>
      <c r="BM41" s="450">
        <v>0</v>
      </c>
      <c r="BN41" s="281">
        <v>0</v>
      </c>
      <c r="BO41" s="281">
        <v>0</v>
      </c>
      <c r="BP41" s="281">
        <v>0</v>
      </c>
      <c r="BQ41" s="450">
        <v>0</v>
      </c>
      <c r="BR41" s="278">
        <f>IF(BV41&lt;&gt;0,(BZ41*(1+BZ41)^BV41)/((1+BZ41)^BV41-1),0)</f>
        <v>0.11682954493601999</v>
      </c>
      <c r="BS41" s="278">
        <f t="shared" ref="BS41:BU41" si="89">IF(BW41&lt;&gt;0,(CA41*(1+CA41)^BW41)/((1+CA41)^BW41-1),0)</f>
        <v>0.11682954493601999</v>
      </c>
      <c r="BT41" s="278">
        <f t="shared" si="89"/>
        <v>0.10185220882315059</v>
      </c>
      <c r="BU41" s="276">
        <f t="shared" si="89"/>
        <v>0.10185220882315059</v>
      </c>
      <c r="BV41" s="282">
        <v>15</v>
      </c>
      <c r="BW41" s="282">
        <v>15</v>
      </c>
      <c r="BX41" s="282">
        <v>20</v>
      </c>
      <c r="BY41" s="453">
        <v>20</v>
      </c>
      <c r="BZ41" s="279">
        <v>0.08</v>
      </c>
      <c r="CA41" s="279">
        <v>0.08</v>
      </c>
      <c r="CB41" s="279">
        <v>0.08</v>
      </c>
      <c r="CC41" s="279">
        <v>0.08</v>
      </c>
    </row>
    <row r="42" spans="1:81" s="278" customFormat="1" x14ac:dyDescent="0.35">
      <c r="A42" s="526"/>
      <c r="B42" s="271" t="str">
        <f>B41</f>
        <v>Reactant11</v>
      </c>
      <c r="C42" s="272" t="s">
        <v>184</v>
      </c>
      <c r="D42" s="273" t="s">
        <v>164</v>
      </c>
      <c r="E42" s="508" t="s">
        <v>86</v>
      </c>
      <c r="F42" s="6">
        <f t="shared" si="58"/>
        <v>37</v>
      </c>
      <c r="G42" s="274">
        <v>1</v>
      </c>
      <c r="H42" s="275" t="s">
        <v>389</v>
      </c>
      <c r="I42" s="275" t="s">
        <v>390</v>
      </c>
      <c r="J42" s="277">
        <v>0</v>
      </c>
      <c r="K42" s="275" t="s">
        <v>12</v>
      </c>
      <c r="L42" s="277">
        <v>0</v>
      </c>
      <c r="M42" s="277">
        <v>0</v>
      </c>
      <c r="N42" s="277">
        <v>0</v>
      </c>
      <c r="O42" s="277">
        <v>0</v>
      </c>
      <c r="P42" s="277">
        <v>0</v>
      </c>
      <c r="Q42" s="276">
        <v>400000</v>
      </c>
      <c r="R42" s="278">
        <v>0</v>
      </c>
      <c r="S42" s="278">
        <v>0</v>
      </c>
      <c r="T42" s="278">
        <v>0</v>
      </c>
      <c r="U42" s="276">
        <v>0</v>
      </c>
      <c r="V42" s="278">
        <v>0</v>
      </c>
      <c r="W42" s="278">
        <v>0</v>
      </c>
      <c r="X42" s="278">
        <v>0</v>
      </c>
      <c r="Y42" s="276">
        <v>0</v>
      </c>
      <c r="Z42" s="278">
        <v>0</v>
      </c>
      <c r="AA42" s="278">
        <v>0</v>
      </c>
      <c r="AB42" s="278">
        <v>0</v>
      </c>
      <c r="AC42" s="276">
        <v>0</v>
      </c>
      <c r="AD42" s="279">
        <v>0</v>
      </c>
      <c r="AE42" s="279">
        <v>0</v>
      </c>
      <c r="AF42" s="279">
        <v>0</v>
      </c>
      <c r="AG42" s="280">
        <v>0</v>
      </c>
      <c r="AH42" s="279">
        <v>1</v>
      </c>
      <c r="AI42" s="279">
        <v>1</v>
      </c>
      <c r="AJ42" s="279">
        <v>1</v>
      </c>
      <c r="AK42" s="280">
        <v>1</v>
      </c>
      <c r="AL42" s="279">
        <v>1</v>
      </c>
      <c r="AM42" s="279">
        <v>1</v>
      </c>
      <c r="AN42" s="279">
        <v>1</v>
      </c>
      <c r="AO42" s="280">
        <v>1</v>
      </c>
      <c r="AP42" s="283">
        <v>2.5000000000000001E-3</v>
      </c>
      <c r="AQ42" s="278">
        <v>2.5000000000000001E-3</v>
      </c>
      <c r="AR42" s="278">
        <v>1E-3</v>
      </c>
      <c r="AS42" s="276">
        <v>1E-3</v>
      </c>
      <c r="AT42" s="278">
        <v>120.99315999999999</v>
      </c>
      <c r="AU42" s="278">
        <v>107.55231999999999</v>
      </c>
      <c r="AV42" s="278">
        <v>107.55231999999999</v>
      </c>
      <c r="AW42" s="276">
        <v>107.55231999999999</v>
      </c>
      <c r="AX42" s="278">
        <f t="shared" si="88"/>
        <v>3.6297947999999995</v>
      </c>
      <c r="AY42" s="278">
        <f t="shared" si="88"/>
        <v>3.2265695999999999</v>
      </c>
      <c r="AZ42" s="278">
        <f t="shared" si="88"/>
        <v>3.2265695999999999</v>
      </c>
      <c r="BA42" s="276">
        <f t="shared" si="88"/>
        <v>3.2265695999999999</v>
      </c>
      <c r="BB42" s="278">
        <v>6.5000000000000008E-5</v>
      </c>
      <c r="BC42" s="278">
        <v>6.5000000000000008E-5</v>
      </c>
      <c r="BD42" s="278">
        <v>0</v>
      </c>
      <c r="BE42" s="276">
        <v>6.5000000000000008E-5</v>
      </c>
      <c r="BF42" s="278">
        <v>0</v>
      </c>
      <c r="BG42" s="278">
        <v>0</v>
      </c>
      <c r="BH42" s="278">
        <v>0</v>
      </c>
      <c r="BI42" s="276">
        <v>0</v>
      </c>
      <c r="BJ42" s="281">
        <v>0</v>
      </c>
      <c r="BK42" s="281">
        <v>0</v>
      </c>
      <c r="BL42" s="281">
        <v>0</v>
      </c>
      <c r="BM42" s="450">
        <v>0</v>
      </c>
      <c r="BN42" s="281">
        <v>0</v>
      </c>
      <c r="BO42" s="281">
        <v>0</v>
      </c>
      <c r="BP42" s="281">
        <v>0</v>
      </c>
      <c r="BQ42" s="450">
        <v>0</v>
      </c>
      <c r="BR42" s="278">
        <v>0.11682954493601999</v>
      </c>
      <c r="BS42" s="278">
        <v>0.11682954493601999</v>
      </c>
      <c r="BT42" s="278">
        <v>0.10185220882315059</v>
      </c>
      <c r="BU42" s="276">
        <v>0.10185220882315059</v>
      </c>
      <c r="BV42" s="282">
        <v>15</v>
      </c>
      <c r="BW42" s="282">
        <v>15</v>
      </c>
      <c r="BX42" s="282">
        <v>20</v>
      </c>
      <c r="BY42" s="453">
        <v>20</v>
      </c>
      <c r="BZ42" s="279">
        <v>0.08</v>
      </c>
      <c r="CA42" s="279">
        <v>0.08</v>
      </c>
      <c r="CB42" s="279">
        <v>0.08</v>
      </c>
      <c r="CC42" s="279">
        <v>0.08</v>
      </c>
    </row>
    <row r="43" spans="1:81" s="278" customFormat="1" x14ac:dyDescent="0.35">
      <c r="A43" s="526"/>
      <c r="B43" s="271" t="str">
        <f>B41</f>
        <v>Reactant11</v>
      </c>
      <c r="C43" s="272" t="s">
        <v>184</v>
      </c>
      <c r="D43" s="273" t="s">
        <v>165</v>
      </c>
      <c r="E43" s="508" t="s">
        <v>86</v>
      </c>
      <c r="F43" s="6">
        <f t="shared" si="58"/>
        <v>38</v>
      </c>
      <c r="G43" s="274">
        <v>1</v>
      </c>
      <c r="H43" s="275" t="s">
        <v>389</v>
      </c>
      <c r="I43" s="275" t="s">
        <v>390</v>
      </c>
      <c r="J43" s="277">
        <v>0</v>
      </c>
      <c r="K43" s="275" t="s">
        <v>12</v>
      </c>
      <c r="L43" s="277">
        <v>0</v>
      </c>
      <c r="M43" s="277">
        <v>0</v>
      </c>
      <c r="N43" s="277">
        <v>0</v>
      </c>
      <c r="O43" s="277">
        <v>0</v>
      </c>
      <c r="P43" s="277">
        <v>0</v>
      </c>
      <c r="Q43" s="276">
        <v>400000</v>
      </c>
      <c r="R43" s="278">
        <v>0</v>
      </c>
      <c r="S43" s="278">
        <v>0</v>
      </c>
      <c r="T43" s="278">
        <v>0</v>
      </c>
      <c r="U43" s="276">
        <v>0</v>
      </c>
      <c r="V43" s="278">
        <v>0</v>
      </c>
      <c r="W43" s="278">
        <v>0</v>
      </c>
      <c r="X43" s="278">
        <v>0</v>
      </c>
      <c r="Y43" s="276">
        <v>0</v>
      </c>
      <c r="Z43" s="278">
        <v>0</v>
      </c>
      <c r="AA43" s="278">
        <v>0</v>
      </c>
      <c r="AB43" s="278">
        <v>0</v>
      </c>
      <c r="AC43" s="276">
        <v>0</v>
      </c>
      <c r="AD43" s="279">
        <v>0</v>
      </c>
      <c r="AE43" s="279">
        <v>0</v>
      </c>
      <c r="AF43" s="279">
        <v>0</v>
      </c>
      <c r="AG43" s="280">
        <v>0</v>
      </c>
      <c r="AH43" s="279">
        <v>1</v>
      </c>
      <c r="AI43" s="279">
        <v>1</v>
      </c>
      <c r="AJ43" s="279">
        <v>1</v>
      </c>
      <c r="AK43" s="280">
        <v>1</v>
      </c>
      <c r="AL43" s="279">
        <v>1</v>
      </c>
      <c r="AM43" s="279">
        <v>1</v>
      </c>
      <c r="AN43" s="279">
        <v>1</v>
      </c>
      <c r="AO43" s="280">
        <v>1</v>
      </c>
      <c r="AP43" s="278">
        <v>2.7499999999999998E-3</v>
      </c>
      <c r="AQ43" s="278">
        <v>2.7499999999999998E-3</v>
      </c>
      <c r="AR43" s="278">
        <f>1/1000</f>
        <v>1E-3</v>
      </c>
      <c r="AS43" s="276">
        <f>1/1000</f>
        <v>1E-3</v>
      </c>
      <c r="AT43" s="278">
        <v>72.597820000000013</v>
      </c>
      <c r="AU43" s="278">
        <v>64.531400000000005</v>
      </c>
      <c r="AV43" s="278">
        <v>64.531400000000005</v>
      </c>
      <c r="AW43" s="276">
        <v>64.531400000000005</v>
      </c>
      <c r="AX43" s="278">
        <f t="shared" si="88"/>
        <v>2.1779346000000004</v>
      </c>
      <c r="AY43" s="278">
        <f t="shared" si="88"/>
        <v>1.9359420000000001</v>
      </c>
      <c r="AZ43" s="278">
        <f t="shared" si="88"/>
        <v>1.9359420000000001</v>
      </c>
      <c r="BA43" s="276">
        <f t="shared" si="88"/>
        <v>1.9359420000000001</v>
      </c>
      <c r="BB43" s="278">
        <v>2.0000000000000001E-4</v>
      </c>
      <c r="BC43" s="278">
        <v>2.0000000000000001E-4</v>
      </c>
      <c r="BD43" s="278">
        <v>2.0000000000000001E-4</v>
      </c>
      <c r="BE43" s="276">
        <v>2.0000000000000001E-4</v>
      </c>
      <c r="BF43" s="278">
        <v>0</v>
      </c>
      <c r="BG43" s="278">
        <v>0</v>
      </c>
      <c r="BH43" s="278">
        <v>0</v>
      </c>
      <c r="BI43" s="276">
        <v>0</v>
      </c>
      <c r="BJ43" s="281">
        <v>0</v>
      </c>
      <c r="BK43" s="281">
        <v>0</v>
      </c>
      <c r="BL43" s="281">
        <v>0</v>
      </c>
      <c r="BM43" s="450">
        <v>0</v>
      </c>
      <c r="BN43" s="281">
        <v>0</v>
      </c>
      <c r="BO43" s="281">
        <v>0</v>
      </c>
      <c r="BP43" s="281">
        <v>0</v>
      </c>
      <c r="BQ43" s="450">
        <v>0</v>
      </c>
      <c r="BR43" s="278">
        <v>0.11682954493601999</v>
      </c>
      <c r="BS43" s="278">
        <v>0.11682954493601999</v>
      </c>
      <c r="BT43" s="278">
        <v>0.10185220882315059</v>
      </c>
      <c r="BU43" s="276">
        <v>0.10185220882315059</v>
      </c>
      <c r="BV43" s="282">
        <v>15</v>
      </c>
      <c r="BW43" s="282">
        <v>15</v>
      </c>
      <c r="BX43" s="282">
        <v>20</v>
      </c>
      <c r="BY43" s="453">
        <v>20</v>
      </c>
      <c r="BZ43" s="279">
        <v>0.08</v>
      </c>
      <c r="CA43" s="279">
        <v>0.08</v>
      </c>
      <c r="CB43" s="279">
        <v>0.08</v>
      </c>
      <c r="CC43" s="279">
        <v>0.08</v>
      </c>
    </row>
    <row r="44" spans="1:81" s="112" customFormat="1" x14ac:dyDescent="0.35">
      <c r="A44" s="526"/>
      <c r="B44" s="109" t="s">
        <v>19</v>
      </c>
      <c r="C44" s="117" t="s">
        <v>21</v>
      </c>
      <c r="D44" s="111" t="s">
        <v>26</v>
      </c>
      <c r="E44" s="503" t="s">
        <v>86</v>
      </c>
      <c r="F44" s="6">
        <f t="shared" si="58"/>
        <v>39</v>
      </c>
      <c r="G44" s="172">
        <v>1</v>
      </c>
      <c r="H44" s="185" t="s">
        <v>391</v>
      </c>
      <c r="I44" s="185" t="s">
        <v>392</v>
      </c>
      <c r="J44" s="317">
        <v>0</v>
      </c>
      <c r="K44" s="194" t="s">
        <v>12</v>
      </c>
      <c r="L44" s="194">
        <v>0</v>
      </c>
      <c r="M44" s="194">
        <v>1</v>
      </c>
      <c r="N44" s="194">
        <v>0</v>
      </c>
      <c r="O44" s="194">
        <v>0</v>
      </c>
      <c r="P44" s="194">
        <v>0</v>
      </c>
      <c r="Q44" s="207">
        <f>Q53</f>
        <v>2000000</v>
      </c>
      <c r="R44" s="116">
        <v>0</v>
      </c>
      <c r="S44" s="116">
        <v>0</v>
      </c>
      <c r="T44" s="116">
        <v>0</v>
      </c>
      <c r="U44" s="229">
        <v>0</v>
      </c>
      <c r="V44" s="112">
        <v>0</v>
      </c>
      <c r="W44" s="112">
        <v>0</v>
      </c>
      <c r="X44" s="112">
        <v>0</v>
      </c>
      <c r="Y44" s="207">
        <v>0</v>
      </c>
      <c r="Z44" s="112">
        <v>0</v>
      </c>
      <c r="AA44" s="112">
        <v>0</v>
      </c>
      <c r="AB44" s="112">
        <v>0</v>
      </c>
      <c r="AC44" s="207">
        <v>0</v>
      </c>
      <c r="AD44" s="115">
        <v>0</v>
      </c>
      <c r="AE44" s="115">
        <v>0</v>
      </c>
      <c r="AF44" s="115">
        <v>0</v>
      </c>
      <c r="AG44" s="220">
        <v>0</v>
      </c>
      <c r="AH44" s="115">
        <v>1</v>
      </c>
      <c r="AI44" s="115">
        <v>1</v>
      </c>
      <c r="AJ44" s="115">
        <v>1</v>
      </c>
      <c r="AK44" s="220">
        <v>1</v>
      </c>
      <c r="AL44" s="115">
        <v>1</v>
      </c>
      <c r="AM44" s="115">
        <v>1</v>
      </c>
      <c r="AN44" s="115">
        <v>1</v>
      </c>
      <c r="AO44" s="220">
        <v>1</v>
      </c>
      <c r="AP44" s="116">
        <v>0</v>
      </c>
      <c r="AQ44" s="116">
        <v>0</v>
      </c>
      <c r="AR44" s="116">
        <v>0</v>
      </c>
      <c r="AS44" s="229">
        <v>0</v>
      </c>
      <c r="AT44" s="116">
        <v>0</v>
      </c>
      <c r="AU44" s="116">
        <v>0</v>
      </c>
      <c r="AV44" s="116">
        <v>0</v>
      </c>
      <c r="AW44" s="229">
        <v>0</v>
      </c>
      <c r="AX44" s="116">
        <v>0</v>
      </c>
      <c r="AY44" s="116">
        <v>0</v>
      </c>
      <c r="AZ44" s="116">
        <v>0</v>
      </c>
      <c r="BA44" s="229">
        <v>0</v>
      </c>
      <c r="BB44" s="116">
        <v>0</v>
      </c>
      <c r="BC44" s="116">
        <v>0</v>
      </c>
      <c r="BD44" s="116">
        <v>0</v>
      </c>
      <c r="BE44" s="229">
        <v>0</v>
      </c>
      <c r="BF44" s="116">
        <v>0</v>
      </c>
      <c r="BG44" s="116">
        <v>0</v>
      </c>
      <c r="BH44" s="116">
        <v>0</v>
      </c>
      <c r="BI44" s="229">
        <v>0</v>
      </c>
      <c r="BJ44" s="116">
        <v>0</v>
      </c>
      <c r="BK44" s="116">
        <v>0</v>
      </c>
      <c r="BL44" s="116">
        <v>0</v>
      </c>
      <c r="BM44" s="229">
        <v>0</v>
      </c>
      <c r="BN44" s="116">
        <v>0</v>
      </c>
      <c r="BO44" s="116">
        <v>0</v>
      </c>
      <c r="BP44" s="116">
        <v>0</v>
      </c>
      <c r="BQ44" s="229">
        <v>0</v>
      </c>
      <c r="BR44" s="116">
        <v>0</v>
      </c>
      <c r="BS44" s="116">
        <v>0</v>
      </c>
      <c r="BT44" s="116">
        <v>0</v>
      </c>
      <c r="BU44" s="229">
        <v>0</v>
      </c>
      <c r="BV44" s="113">
        <v>0</v>
      </c>
      <c r="BW44" s="113">
        <v>0</v>
      </c>
      <c r="BX44" s="113">
        <v>0</v>
      </c>
      <c r="BY44" s="239">
        <v>0</v>
      </c>
      <c r="BZ44" s="115">
        <v>0.08</v>
      </c>
      <c r="CA44" s="115">
        <v>0.08</v>
      </c>
      <c r="CB44" s="115">
        <v>0.08</v>
      </c>
      <c r="CC44" s="115">
        <v>0.08</v>
      </c>
    </row>
    <row r="45" spans="1:81" s="112" customFormat="1" x14ac:dyDescent="0.35">
      <c r="A45" s="526"/>
      <c r="B45" s="109" t="s">
        <v>20</v>
      </c>
      <c r="C45" s="117" t="s">
        <v>22</v>
      </c>
      <c r="D45" s="111" t="s">
        <v>27</v>
      </c>
      <c r="E45" s="503" t="s">
        <v>86</v>
      </c>
      <c r="F45" s="6">
        <f t="shared" si="58"/>
        <v>40</v>
      </c>
      <c r="G45" s="172">
        <v>1</v>
      </c>
      <c r="H45" s="185" t="s">
        <v>391</v>
      </c>
      <c r="I45" s="185" t="s">
        <v>392</v>
      </c>
      <c r="J45" s="317">
        <v>0</v>
      </c>
      <c r="K45" s="194" t="s">
        <v>12</v>
      </c>
      <c r="L45" s="317">
        <v>0</v>
      </c>
      <c r="M45" s="194">
        <v>-1</v>
      </c>
      <c r="N45" s="194">
        <v>0</v>
      </c>
      <c r="O45" s="317">
        <v>0</v>
      </c>
      <c r="P45" s="194">
        <v>0</v>
      </c>
      <c r="Q45" s="207">
        <f>Q53</f>
        <v>2000000</v>
      </c>
      <c r="R45" s="116">
        <v>0</v>
      </c>
      <c r="S45" s="116">
        <v>0</v>
      </c>
      <c r="T45" s="116">
        <v>0</v>
      </c>
      <c r="U45" s="229">
        <v>0</v>
      </c>
      <c r="V45" s="112">
        <v>1</v>
      </c>
      <c r="W45" s="112">
        <v>1</v>
      </c>
      <c r="X45" s="112">
        <v>1</v>
      </c>
      <c r="Y45" s="207">
        <v>1</v>
      </c>
      <c r="Z45" s="112">
        <v>0</v>
      </c>
      <c r="AA45" s="112">
        <v>0</v>
      </c>
      <c r="AB45" s="112">
        <v>0</v>
      </c>
      <c r="AC45" s="207">
        <v>0</v>
      </c>
      <c r="AD45" s="115">
        <v>0</v>
      </c>
      <c r="AE45" s="115">
        <v>0</v>
      </c>
      <c r="AF45" s="115">
        <v>0</v>
      </c>
      <c r="AG45" s="220">
        <v>0</v>
      </c>
      <c r="AH45" s="115">
        <v>1</v>
      </c>
      <c r="AI45" s="115">
        <v>1</v>
      </c>
      <c r="AJ45" s="115">
        <v>1</v>
      </c>
      <c r="AK45" s="220">
        <v>1</v>
      </c>
      <c r="AL45" s="115">
        <v>1</v>
      </c>
      <c r="AM45" s="115">
        <v>1</v>
      </c>
      <c r="AN45" s="115">
        <v>1</v>
      </c>
      <c r="AO45" s="220">
        <v>1</v>
      </c>
      <c r="AP45" s="116">
        <v>0</v>
      </c>
      <c r="AQ45" s="116">
        <v>0</v>
      </c>
      <c r="AR45" s="116">
        <v>0</v>
      </c>
      <c r="AS45" s="229">
        <v>0</v>
      </c>
      <c r="AT45" s="116">
        <v>0</v>
      </c>
      <c r="AU45" s="116">
        <v>0</v>
      </c>
      <c r="AV45" s="116">
        <v>0</v>
      </c>
      <c r="AW45" s="229">
        <v>0</v>
      </c>
      <c r="AX45" s="116">
        <v>0</v>
      </c>
      <c r="AY45" s="116">
        <v>0</v>
      </c>
      <c r="AZ45" s="116">
        <v>0</v>
      </c>
      <c r="BA45" s="229">
        <v>0</v>
      </c>
      <c r="BB45" s="116">
        <v>0</v>
      </c>
      <c r="BC45" s="116">
        <v>0</v>
      </c>
      <c r="BD45" s="116">
        <v>0</v>
      </c>
      <c r="BE45" s="229">
        <v>0</v>
      </c>
      <c r="BF45" s="318">
        <v>0.02</v>
      </c>
      <c r="BG45" s="318">
        <v>0.02</v>
      </c>
      <c r="BH45" s="116">
        <v>0.02</v>
      </c>
      <c r="BI45" s="319">
        <v>0.02</v>
      </c>
      <c r="BJ45" s="116">
        <v>0</v>
      </c>
      <c r="BK45" s="116">
        <v>0</v>
      </c>
      <c r="BL45" s="116">
        <v>0</v>
      </c>
      <c r="BM45" s="229">
        <v>0</v>
      </c>
      <c r="BN45" s="116">
        <v>0</v>
      </c>
      <c r="BO45" s="116">
        <v>0</v>
      </c>
      <c r="BP45" s="116">
        <v>0</v>
      </c>
      <c r="BQ45" s="229">
        <v>0</v>
      </c>
      <c r="BR45" s="116">
        <v>0</v>
      </c>
      <c r="BS45" s="116">
        <v>0</v>
      </c>
      <c r="BT45" s="116">
        <v>0</v>
      </c>
      <c r="BU45" s="229">
        <v>0</v>
      </c>
      <c r="BV45" s="113">
        <v>0</v>
      </c>
      <c r="BW45" s="113">
        <v>0</v>
      </c>
      <c r="BX45" s="113">
        <v>0</v>
      </c>
      <c r="BY45" s="239">
        <v>0</v>
      </c>
      <c r="BZ45" s="115">
        <v>0.08</v>
      </c>
      <c r="CA45" s="115">
        <v>0.08</v>
      </c>
      <c r="CB45" s="115">
        <v>0.08</v>
      </c>
      <c r="CC45" s="115">
        <v>0.08</v>
      </c>
    </row>
    <row r="46" spans="1:81" s="112" customFormat="1" x14ac:dyDescent="0.35">
      <c r="A46" s="526"/>
      <c r="B46" s="320" t="s">
        <v>184</v>
      </c>
      <c r="C46" s="117" t="s">
        <v>286</v>
      </c>
      <c r="D46" s="111" t="s">
        <v>281</v>
      </c>
      <c r="E46" s="503" t="s">
        <v>86</v>
      </c>
      <c r="F46" s="6">
        <f t="shared" si="58"/>
        <v>41</v>
      </c>
      <c r="G46" s="172">
        <v>1</v>
      </c>
      <c r="H46" s="185" t="s">
        <v>391</v>
      </c>
      <c r="I46" s="185" t="s">
        <v>392</v>
      </c>
      <c r="J46" s="317">
        <v>0</v>
      </c>
      <c r="K46" s="194" t="s">
        <v>12</v>
      </c>
      <c r="L46" s="317">
        <v>0</v>
      </c>
      <c r="M46" s="317">
        <v>0</v>
      </c>
      <c r="N46" s="317">
        <v>-1</v>
      </c>
      <c r="O46" s="317">
        <v>0</v>
      </c>
      <c r="P46" s="317">
        <v>0</v>
      </c>
      <c r="Q46" s="207">
        <f>Q54</f>
        <v>2000000</v>
      </c>
      <c r="R46" s="116">
        <v>0</v>
      </c>
      <c r="S46" s="116">
        <v>0</v>
      </c>
      <c r="T46" s="116">
        <v>0</v>
      </c>
      <c r="U46" s="229">
        <v>0</v>
      </c>
      <c r="V46" s="116">
        <v>0</v>
      </c>
      <c r="W46" s="116">
        <v>0</v>
      </c>
      <c r="X46" s="116">
        <v>0</v>
      </c>
      <c r="Y46" s="229">
        <v>0</v>
      </c>
      <c r="Z46" s="116">
        <v>1</v>
      </c>
      <c r="AA46" s="116">
        <v>1</v>
      </c>
      <c r="AB46" s="116">
        <v>1</v>
      </c>
      <c r="AC46" s="229">
        <v>1</v>
      </c>
      <c r="AD46" s="115">
        <v>0</v>
      </c>
      <c r="AE46" s="115">
        <v>0</v>
      </c>
      <c r="AF46" s="115">
        <v>0</v>
      </c>
      <c r="AG46" s="220">
        <v>0</v>
      </c>
      <c r="AH46" s="115">
        <v>1</v>
      </c>
      <c r="AI46" s="115">
        <v>1</v>
      </c>
      <c r="AJ46" s="115">
        <v>1</v>
      </c>
      <c r="AK46" s="220">
        <v>1</v>
      </c>
      <c r="AL46" s="115">
        <v>1</v>
      </c>
      <c r="AM46" s="115">
        <v>1</v>
      </c>
      <c r="AN46" s="115">
        <v>1</v>
      </c>
      <c r="AO46" s="220">
        <v>1</v>
      </c>
      <c r="AP46" s="116">
        <v>0</v>
      </c>
      <c r="AQ46" s="116">
        <v>0</v>
      </c>
      <c r="AR46" s="116">
        <v>0</v>
      </c>
      <c r="AS46" s="229">
        <v>0</v>
      </c>
      <c r="AT46" s="116">
        <v>0</v>
      </c>
      <c r="AU46" s="116">
        <v>0</v>
      </c>
      <c r="AV46" s="116">
        <v>0</v>
      </c>
      <c r="AW46" s="229">
        <v>0</v>
      </c>
      <c r="AX46" s="116">
        <v>0</v>
      </c>
      <c r="AY46" s="116">
        <v>0</v>
      </c>
      <c r="AZ46" s="116">
        <v>0</v>
      </c>
      <c r="BA46" s="229">
        <v>0</v>
      </c>
      <c r="BB46" s="116">
        <v>0</v>
      </c>
      <c r="BC46" s="116">
        <v>0</v>
      </c>
      <c r="BD46" s="116">
        <v>0</v>
      </c>
      <c r="BE46" s="229">
        <v>0</v>
      </c>
      <c r="BF46" s="318">
        <v>3.3500000000000002E-2</v>
      </c>
      <c r="BG46" s="318">
        <v>3.3500000000000002E-2</v>
      </c>
      <c r="BH46" s="318">
        <v>3.3500000000000002E-2</v>
      </c>
      <c r="BI46" s="319">
        <v>3.3500000000000002E-2</v>
      </c>
      <c r="BJ46" s="116">
        <v>0</v>
      </c>
      <c r="BK46" s="116">
        <v>0</v>
      </c>
      <c r="BL46" s="116">
        <v>0</v>
      </c>
      <c r="BM46" s="229">
        <v>0</v>
      </c>
      <c r="BN46" s="116">
        <v>0</v>
      </c>
      <c r="BO46" s="116">
        <v>0</v>
      </c>
      <c r="BP46" s="116">
        <v>0</v>
      </c>
      <c r="BQ46" s="229">
        <v>0</v>
      </c>
      <c r="BR46" s="116">
        <v>0</v>
      </c>
      <c r="BS46" s="116">
        <v>0</v>
      </c>
      <c r="BT46" s="116">
        <v>0</v>
      </c>
      <c r="BU46" s="229">
        <v>0</v>
      </c>
      <c r="BV46" s="113">
        <v>0</v>
      </c>
      <c r="BW46" s="113">
        <v>0</v>
      </c>
      <c r="BX46" s="113">
        <v>0</v>
      </c>
      <c r="BY46" s="239">
        <v>0</v>
      </c>
      <c r="BZ46" s="115">
        <v>0.08</v>
      </c>
      <c r="CA46" s="115">
        <v>0.08</v>
      </c>
      <c r="CB46" s="115">
        <v>0.08</v>
      </c>
      <c r="CC46" s="115">
        <v>0.08</v>
      </c>
    </row>
    <row r="47" spans="1:81" s="122" customFormat="1" x14ac:dyDescent="0.35">
      <c r="A47" s="526"/>
      <c r="B47" s="118" t="s">
        <v>14</v>
      </c>
      <c r="C47" s="321" t="s">
        <v>184</v>
      </c>
      <c r="D47" s="120" t="s">
        <v>29</v>
      </c>
      <c r="E47" s="504" t="s">
        <v>86</v>
      </c>
      <c r="F47" s="6">
        <f t="shared" si="58"/>
        <v>42</v>
      </c>
      <c r="G47" s="173">
        <v>1</v>
      </c>
      <c r="H47" s="186" t="s">
        <v>387</v>
      </c>
      <c r="I47" s="186" t="s">
        <v>388</v>
      </c>
      <c r="J47" s="198">
        <v>0</v>
      </c>
      <c r="K47" s="198" t="s">
        <v>12</v>
      </c>
      <c r="L47" s="198">
        <v>0</v>
      </c>
      <c r="M47" s="198">
        <v>0</v>
      </c>
      <c r="N47" s="323">
        <v>0</v>
      </c>
      <c r="O47" s="323">
        <v>-1</v>
      </c>
      <c r="P47" s="198">
        <v>0</v>
      </c>
      <c r="Q47" s="230">
        <v>20000</v>
      </c>
      <c r="R47" s="122">
        <v>0</v>
      </c>
      <c r="S47" s="122">
        <v>0</v>
      </c>
      <c r="T47" s="122">
        <v>0</v>
      </c>
      <c r="U47" s="230">
        <v>0</v>
      </c>
      <c r="V47" s="122">
        <v>0</v>
      </c>
      <c r="W47" s="122">
        <v>0</v>
      </c>
      <c r="X47" s="122">
        <v>0</v>
      </c>
      <c r="Y47" s="230">
        <v>0</v>
      </c>
      <c r="Z47" s="122">
        <v>0</v>
      </c>
      <c r="AA47" s="122">
        <v>0</v>
      </c>
      <c r="AB47" s="122">
        <v>0</v>
      </c>
      <c r="AC47" s="230">
        <v>0</v>
      </c>
      <c r="AD47" s="125">
        <v>0</v>
      </c>
      <c r="AE47" s="125">
        <v>0</v>
      </c>
      <c r="AF47" s="125">
        <v>0</v>
      </c>
      <c r="AG47" s="221">
        <v>0</v>
      </c>
      <c r="AH47" s="125">
        <v>1</v>
      </c>
      <c r="AI47" s="125">
        <v>1</v>
      </c>
      <c r="AJ47" s="125">
        <v>1</v>
      </c>
      <c r="AK47" s="221">
        <v>1</v>
      </c>
      <c r="AL47" s="125">
        <v>1</v>
      </c>
      <c r="AM47" s="125">
        <v>1</v>
      </c>
      <c r="AN47" s="125">
        <v>1</v>
      </c>
      <c r="AO47" s="221">
        <v>1</v>
      </c>
      <c r="AP47" s="122">
        <v>3.5</v>
      </c>
      <c r="AQ47" s="122">
        <v>3.5</v>
      </c>
      <c r="AR47" s="122">
        <v>3.5</v>
      </c>
      <c r="AS47" s="230">
        <v>3.5</v>
      </c>
      <c r="AT47" s="122">
        <v>0</v>
      </c>
      <c r="AU47" s="122">
        <v>0</v>
      </c>
      <c r="AV47" s="122">
        <v>0</v>
      </c>
      <c r="AW47" s="230">
        <v>0</v>
      </c>
      <c r="AX47" s="122">
        <v>0</v>
      </c>
      <c r="AY47" s="122">
        <v>0</v>
      </c>
      <c r="AZ47" s="122">
        <v>0</v>
      </c>
      <c r="BA47" s="230">
        <v>0</v>
      </c>
      <c r="BB47" s="122">
        <v>0</v>
      </c>
      <c r="BC47" s="122">
        <v>0</v>
      </c>
      <c r="BD47" s="122">
        <v>0</v>
      </c>
      <c r="BE47" s="230">
        <v>0</v>
      </c>
      <c r="BF47" s="122">
        <v>0</v>
      </c>
      <c r="BG47" s="122">
        <v>0</v>
      </c>
      <c r="BH47" s="122">
        <v>0</v>
      </c>
      <c r="BI47" s="230">
        <v>0</v>
      </c>
      <c r="BJ47" s="122">
        <v>0</v>
      </c>
      <c r="BK47" s="122">
        <v>0</v>
      </c>
      <c r="BL47" s="122">
        <v>0</v>
      </c>
      <c r="BM47" s="230">
        <v>0</v>
      </c>
      <c r="BN47" s="122">
        <v>0</v>
      </c>
      <c r="BO47" s="122">
        <v>0</v>
      </c>
      <c r="BP47" s="122">
        <v>0</v>
      </c>
      <c r="BQ47" s="230">
        <v>0</v>
      </c>
      <c r="BR47" s="122">
        <v>0</v>
      </c>
      <c r="BS47" s="122">
        <v>0</v>
      </c>
      <c r="BT47" s="122">
        <v>0</v>
      </c>
      <c r="BU47" s="230">
        <v>0</v>
      </c>
      <c r="BV47" s="121">
        <v>0</v>
      </c>
      <c r="BW47" s="121">
        <v>0</v>
      </c>
      <c r="BX47" s="121">
        <v>0</v>
      </c>
      <c r="BY47" s="240">
        <v>0</v>
      </c>
      <c r="BZ47" s="125">
        <v>0.08</v>
      </c>
      <c r="CA47" s="125">
        <v>0.08</v>
      </c>
      <c r="CB47" s="125">
        <v>0.08</v>
      </c>
      <c r="CC47" s="125">
        <v>0.08</v>
      </c>
    </row>
    <row r="48" spans="1:81" s="122" customFormat="1" x14ac:dyDescent="0.35">
      <c r="A48" s="526"/>
      <c r="B48" s="118" t="s">
        <v>15</v>
      </c>
      <c r="C48" s="321" t="s">
        <v>184</v>
      </c>
      <c r="D48" s="120" t="s">
        <v>30</v>
      </c>
      <c r="E48" s="504" t="s">
        <v>86</v>
      </c>
      <c r="F48" s="6">
        <f t="shared" si="58"/>
        <v>43</v>
      </c>
      <c r="G48" s="173">
        <v>1</v>
      </c>
      <c r="H48" s="186" t="s">
        <v>387</v>
      </c>
      <c r="I48" s="186" t="s">
        <v>388</v>
      </c>
      <c r="J48" s="198">
        <v>0</v>
      </c>
      <c r="K48" s="198" t="s">
        <v>12</v>
      </c>
      <c r="L48" s="198">
        <v>0</v>
      </c>
      <c r="M48" s="198">
        <v>0</v>
      </c>
      <c r="N48" s="323">
        <v>0</v>
      </c>
      <c r="O48" s="198">
        <v>1</v>
      </c>
      <c r="P48" s="198">
        <v>0</v>
      </c>
      <c r="Q48" s="230">
        <f>Q47</f>
        <v>20000</v>
      </c>
      <c r="R48" s="324">
        <v>0</v>
      </c>
      <c r="S48" s="324">
        <v>0</v>
      </c>
      <c r="T48" s="324">
        <v>0</v>
      </c>
      <c r="U48" s="322">
        <v>0</v>
      </c>
      <c r="V48" s="122">
        <v>0</v>
      </c>
      <c r="W48" s="122">
        <v>0</v>
      </c>
      <c r="X48" s="122">
        <v>0</v>
      </c>
      <c r="Y48" s="230">
        <v>0</v>
      </c>
      <c r="Z48" s="122">
        <v>0</v>
      </c>
      <c r="AA48" s="122">
        <v>0</v>
      </c>
      <c r="AB48" s="122">
        <v>0</v>
      </c>
      <c r="AC48" s="230">
        <v>0</v>
      </c>
      <c r="AD48" s="125">
        <v>0</v>
      </c>
      <c r="AE48" s="125">
        <v>0</v>
      </c>
      <c r="AF48" s="125">
        <v>0</v>
      </c>
      <c r="AG48" s="221">
        <v>0</v>
      </c>
      <c r="AH48" s="125">
        <v>1</v>
      </c>
      <c r="AI48" s="125">
        <v>1</v>
      </c>
      <c r="AJ48" s="125">
        <v>1</v>
      </c>
      <c r="AK48" s="221">
        <v>1</v>
      </c>
      <c r="AL48" s="125">
        <v>1</v>
      </c>
      <c r="AM48" s="125">
        <v>1</v>
      </c>
      <c r="AN48" s="125">
        <v>1</v>
      </c>
      <c r="AO48" s="221">
        <v>1</v>
      </c>
      <c r="AP48" s="122">
        <v>0</v>
      </c>
      <c r="AQ48" s="122">
        <v>0</v>
      </c>
      <c r="AR48" s="122">
        <v>0</v>
      </c>
      <c r="AS48" s="230">
        <v>0</v>
      </c>
      <c r="AT48" s="122">
        <v>0</v>
      </c>
      <c r="AU48" s="122">
        <v>0</v>
      </c>
      <c r="AV48" s="122">
        <v>0</v>
      </c>
      <c r="AW48" s="230">
        <v>0</v>
      </c>
      <c r="AX48" s="122">
        <v>0</v>
      </c>
      <c r="AY48" s="122">
        <v>0</v>
      </c>
      <c r="AZ48" s="122">
        <v>0</v>
      </c>
      <c r="BA48" s="230">
        <v>0</v>
      </c>
      <c r="BB48" s="122">
        <v>0</v>
      </c>
      <c r="BC48" s="122">
        <v>0</v>
      </c>
      <c r="BD48" s="122">
        <v>0</v>
      </c>
      <c r="BE48" s="230">
        <v>0</v>
      </c>
      <c r="BF48" s="122">
        <v>0</v>
      </c>
      <c r="BG48" s="122">
        <v>0</v>
      </c>
      <c r="BH48" s="122">
        <v>0</v>
      </c>
      <c r="BI48" s="230">
        <v>0</v>
      </c>
      <c r="BJ48" s="122">
        <v>0</v>
      </c>
      <c r="BK48" s="122">
        <v>0</v>
      </c>
      <c r="BL48" s="122">
        <v>0</v>
      </c>
      <c r="BM48" s="230">
        <v>0</v>
      </c>
      <c r="BN48" s="122">
        <v>0</v>
      </c>
      <c r="BO48" s="122">
        <v>0</v>
      </c>
      <c r="BP48" s="122">
        <v>0</v>
      </c>
      <c r="BQ48" s="230">
        <v>0</v>
      </c>
      <c r="BR48" s="122">
        <v>0</v>
      </c>
      <c r="BS48" s="122">
        <v>0</v>
      </c>
      <c r="BT48" s="122">
        <v>0</v>
      </c>
      <c r="BU48" s="230">
        <v>0</v>
      </c>
      <c r="BV48" s="121">
        <v>0</v>
      </c>
      <c r="BW48" s="121">
        <v>0</v>
      </c>
      <c r="BX48" s="121">
        <v>0</v>
      </c>
      <c r="BY48" s="240">
        <v>0</v>
      </c>
      <c r="BZ48" s="125">
        <v>0.08</v>
      </c>
      <c r="CA48" s="125">
        <v>0.08</v>
      </c>
      <c r="CB48" s="125">
        <v>0.08</v>
      </c>
      <c r="CC48" s="125">
        <v>0.08</v>
      </c>
    </row>
    <row r="49" spans="1:81" s="122" customFormat="1" x14ac:dyDescent="0.35">
      <c r="A49" s="526"/>
      <c r="B49" s="118" t="s">
        <v>16</v>
      </c>
      <c r="C49" s="321" t="s">
        <v>184</v>
      </c>
      <c r="D49" s="325" t="s">
        <v>31</v>
      </c>
      <c r="E49" s="504" t="s">
        <v>86</v>
      </c>
      <c r="F49" s="6">
        <f t="shared" si="58"/>
        <v>44</v>
      </c>
      <c r="G49" s="173">
        <v>1</v>
      </c>
      <c r="H49" s="186" t="s">
        <v>388</v>
      </c>
      <c r="I49" s="186" t="s">
        <v>388</v>
      </c>
      <c r="J49" s="198">
        <v>0</v>
      </c>
      <c r="K49" s="198" t="s">
        <v>12</v>
      </c>
      <c r="L49" s="198">
        <v>0</v>
      </c>
      <c r="M49" s="198">
        <v>0</v>
      </c>
      <c r="N49" s="323">
        <v>0</v>
      </c>
      <c r="O49" s="198">
        <v>0</v>
      </c>
      <c r="P49" s="198">
        <v>0</v>
      </c>
      <c r="Q49" s="230">
        <v>20000000</v>
      </c>
      <c r="R49" s="324">
        <v>0</v>
      </c>
      <c r="S49" s="324">
        <v>0</v>
      </c>
      <c r="T49" s="324">
        <v>0</v>
      </c>
      <c r="U49" s="322">
        <v>0</v>
      </c>
      <c r="V49" s="122">
        <v>0</v>
      </c>
      <c r="W49" s="122">
        <v>0</v>
      </c>
      <c r="X49" s="122">
        <v>0</v>
      </c>
      <c r="Y49" s="230">
        <v>0</v>
      </c>
      <c r="Z49" s="122">
        <v>0</v>
      </c>
      <c r="AA49" s="122">
        <v>0</v>
      </c>
      <c r="AB49" s="122">
        <v>0</v>
      </c>
      <c r="AC49" s="230">
        <v>0</v>
      </c>
      <c r="AD49" s="125">
        <v>0.03</v>
      </c>
      <c r="AE49" s="125">
        <v>0.03</v>
      </c>
      <c r="AF49" s="125">
        <v>0.03</v>
      </c>
      <c r="AG49" s="221">
        <v>0.03</v>
      </c>
      <c r="AH49" s="125">
        <v>1</v>
      </c>
      <c r="AI49" s="125">
        <v>1</v>
      </c>
      <c r="AJ49" s="125">
        <v>1</v>
      </c>
      <c r="AK49" s="221">
        <v>1</v>
      </c>
      <c r="AL49" s="125">
        <v>1</v>
      </c>
      <c r="AM49" s="125">
        <v>1</v>
      </c>
      <c r="AN49" s="125">
        <v>1</v>
      </c>
      <c r="AO49" s="221">
        <v>1</v>
      </c>
      <c r="AP49" s="122">
        <v>0</v>
      </c>
      <c r="AQ49" s="122">
        <v>0</v>
      </c>
      <c r="AR49" s="122">
        <v>0</v>
      </c>
      <c r="AS49" s="230">
        <v>0</v>
      </c>
      <c r="AT49" s="122">
        <v>900</v>
      </c>
      <c r="AU49" s="122">
        <v>800</v>
      </c>
      <c r="AV49" s="122">
        <f>(AW49+AU49)/2</f>
        <v>650</v>
      </c>
      <c r="AW49" s="230">
        <v>500</v>
      </c>
      <c r="AX49" s="122">
        <f>AT49*0.03</f>
        <v>27</v>
      </c>
      <c r="AY49" s="122">
        <f>AU49*0.03</f>
        <v>24</v>
      </c>
      <c r="AZ49" s="122">
        <f>AV49*0.03</f>
        <v>19.5</v>
      </c>
      <c r="BA49" s="230">
        <f>AW49*0.03</f>
        <v>15</v>
      </c>
      <c r="BB49" s="122">
        <v>0</v>
      </c>
      <c r="BC49" s="122">
        <v>0</v>
      </c>
      <c r="BD49" s="122">
        <v>0</v>
      </c>
      <c r="BE49" s="230">
        <v>0</v>
      </c>
      <c r="BF49" s="122">
        <v>0</v>
      </c>
      <c r="BG49" s="122">
        <v>0</v>
      </c>
      <c r="BH49" s="122">
        <v>0</v>
      </c>
      <c r="BI49" s="230">
        <v>0</v>
      </c>
      <c r="BJ49" s="122">
        <v>6.2260740740740748E-3</v>
      </c>
      <c r="BK49" s="122">
        <v>0</v>
      </c>
      <c r="BL49" s="122">
        <v>0</v>
      </c>
      <c r="BM49" s="230">
        <v>0</v>
      </c>
      <c r="BN49" s="122">
        <v>0</v>
      </c>
      <c r="BO49" s="122">
        <v>0</v>
      </c>
      <c r="BP49" s="122">
        <v>0</v>
      </c>
      <c r="BQ49" s="230">
        <v>0</v>
      </c>
      <c r="BR49" s="122">
        <f>IF(BV49&lt;&gt;0,(BZ49*(1+BZ49)^BV49)/((1+BZ49)^BV49-1),0)</f>
        <v>0.14902948869707539</v>
      </c>
      <c r="BS49" s="122">
        <f t="shared" ref="BS49:BU53" si="90">IF(BW49&lt;&gt;0,(CA49*(1+CA49)^BW49)/((1+CA49)^BW49-1),0)</f>
        <v>0.14902948869707539</v>
      </c>
      <c r="BT49" s="122">
        <f t="shared" si="90"/>
        <v>0.14902948869707539</v>
      </c>
      <c r="BU49" s="230">
        <f t="shared" si="90"/>
        <v>0.14902948869707539</v>
      </c>
      <c r="BV49" s="121">
        <v>10</v>
      </c>
      <c r="BW49" s="121">
        <v>10</v>
      </c>
      <c r="BX49" s="121">
        <v>10</v>
      </c>
      <c r="BY49" s="240">
        <v>10</v>
      </c>
      <c r="BZ49" s="125">
        <v>0.08</v>
      </c>
      <c r="CA49" s="125">
        <v>0.08</v>
      </c>
      <c r="CB49" s="125">
        <v>0.08</v>
      </c>
      <c r="CC49" s="125">
        <v>0.08</v>
      </c>
    </row>
    <row r="50" spans="1:81" s="80" customFormat="1" x14ac:dyDescent="0.35">
      <c r="A50" s="526"/>
      <c r="B50" s="76" t="s">
        <v>14</v>
      </c>
      <c r="C50" s="326" t="s">
        <v>184</v>
      </c>
      <c r="D50" s="327" t="s">
        <v>111</v>
      </c>
      <c r="E50" s="501" t="s">
        <v>86</v>
      </c>
      <c r="F50" s="6">
        <f t="shared" si="58"/>
        <v>45</v>
      </c>
      <c r="G50" s="170">
        <v>1</v>
      </c>
      <c r="H50" s="183" t="s">
        <v>387</v>
      </c>
      <c r="I50" s="183" t="s">
        <v>388</v>
      </c>
      <c r="J50" s="197">
        <v>0</v>
      </c>
      <c r="K50" s="197" t="s">
        <v>12</v>
      </c>
      <c r="L50" s="197">
        <v>0</v>
      </c>
      <c r="M50" s="197">
        <v>0</v>
      </c>
      <c r="N50" s="420">
        <v>0</v>
      </c>
      <c r="O50" s="328">
        <v>-1</v>
      </c>
      <c r="P50" s="197">
        <v>0</v>
      </c>
      <c r="Q50" s="233">
        <v>20000</v>
      </c>
      <c r="R50" s="86">
        <v>0</v>
      </c>
      <c r="S50" s="86">
        <v>0</v>
      </c>
      <c r="T50" s="86">
        <v>0</v>
      </c>
      <c r="U50" s="225">
        <v>0</v>
      </c>
      <c r="V50" s="80">
        <v>0</v>
      </c>
      <c r="W50" s="80">
        <v>0</v>
      </c>
      <c r="X50" s="80">
        <v>0</v>
      </c>
      <c r="Y50" s="233">
        <v>0</v>
      </c>
      <c r="Z50" s="80">
        <v>0</v>
      </c>
      <c r="AA50" s="80">
        <v>0</v>
      </c>
      <c r="AB50" s="80">
        <v>0</v>
      </c>
      <c r="AC50" s="233">
        <v>0</v>
      </c>
      <c r="AD50" s="83">
        <v>0</v>
      </c>
      <c r="AE50" s="83">
        <v>0</v>
      </c>
      <c r="AF50" s="83">
        <v>0</v>
      </c>
      <c r="AG50" s="218">
        <v>0</v>
      </c>
      <c r="AH50" s="83">
        <v>1</v>
      </c>
      <c r="AI50" s="83">
        <v>1</v>
      </c>
      <c r="AJ50" s="83">
        <v>1</v>
      </c>
      <c r="AK50" s="218">
        <v>1</v>
      </c>
      <c r="AL50" s="83">
        <v>1</v>
      </c>
      <c r="AM50" s="83">
        <v>1</v>
      </c>
      <c r="AN50" s="83">
        <v>1</v>
      </c>
      <c r="AO50" s="218">
        <v>1</v>
      </c>
      <c r="AP50" s="80">
        <v>0.94</v>
      </c>
      <c r="AQ50" s="80">
        <v>0.94</v>
      </c>
      <c r="AR50" s="80">
        <v>0.94</v>
      </c>
      <c r="AS50" s="233">
        <v>0.94</v>
      </c>
      <c r="AT50" s="80">
        <v>0</v>
      </c>
      <c r="AU50" s="80">
        <v>0</v>
      </c>
      <c r="AV50" s="80">
        <v>0</v>
      </c>
      <c r="AW50" s="233">
        <v>0</v>
      </c>
      <c r="AX50" s="80">
        <v>0</v>
      </c>
      <c r="AY50" s="80">
        <v>0</v>
      </c>
      <c r="AZ50" s="80">
        <v>0</v>
      </c>
      <c r="BA50" s="233">
        <v>0</v>
      </c>
      <c r="BB50" s="80">
        <v>0</v>
      </c>
      <c r="BC50" s="80">
        <v>0</v>
      </c>
      <c r="BD50" s="80">
        <v>0</v>
      </c>
      <c r="BE50" s="233">
        <v>0</v>
      </c>
      <c r="BF50" s="80">
        <v>0</v>
      </c>
      <c r="BG50" s="80">
        <v>0</v>
      </c>
      <c r="BH50" s="80">
        <v>0</v>
      </c>
      <c r="BI50" s="233">
        <v>0</v>
      </c>
      <c r="BJ50" s="80">
        <v>0</v>
      </c>
      <c r="BK50" s="80">
        <v>0</v>
      </c>
      <c r="BL50" s="80">
        <v>0</v>
      </c>
      <c r="BM50" s="233">
        <v>0</v>
      </c>
      <c r="BN50" s="80">
        <v>0</v>
      </c>
      <c r="BO50" s="80">
        <v>0</v>
      </c>
      <c r="BP50" s="80">
        <v>0</v>
      </c>
      <c r="BQ50" s="233">
        <v>0</v>
      </c>
      <c r="BR50" s="80">
        <f t="shared" ref="BR50:BR53" si="91">IF(BV50&lt;&gt;0,(BZ50*(1+BZ50)^BV50)/((1+BZ50)^BV50-1),0)</f>
        <v>0</v>
      </c>
      <c r="BS50" s="80">
        <f t="shared" si="90"/>
        <v>0</v>
      </c>
      <c r="BT50" s="80">
        <f t="shared" si="90"/>
        <v>0</v>
      </c>
      <c r="BU50" s="233">
        <f t="shared" si="90"/>
        <v>0</v>
      </c>
      <c r="BV50" s="79">
        <v>0</v>
      </c>
      <c r="BW50" s="79">
        <v>0</v>
      </c>
      <c r="BX50" s="79">
        <v>0</v>
      </c>
      <c r="BY50" s="244">
        <v>0</v>
      </c>
      <c r="BZ50" s="83">
        <v>0.08</v>
      </c>
      <c r="CA50" s="83">
        <v>0.08</v>
      </c>
      <c r="CB50" s="83">
        <v>0.08</v>
      </c>
      <c r="CC50" s="83">
        <v>0.08</v>
      </c>
    </row>
    <row r="51" spans="1:81" s="80" customFormat="1" x14ac:dyDescent="0.35">
      <c r="A51" s="526"/>
      <c r="B51" s="76" t="s">
        <v>15</v>
      </c>
      <c r="C51" s="326" t="s">
        <v>184</v>
      </c>
      <c r="D51" s="327" t="s">
        <v>112</v>
      </c>
      <c r="E51" s="501" t="s">
        <v>86</v>
      </c>
      <c r="F51" s="6">
        <f t="shared" si="58"/>
        <v>46</v>
      </c>
      <c r="G51" s="170">
        <v>1</v>
      </c>
      <c r="H51" s="183" t="s">
        <v>387</v>
      </c>
      <c r="I51" s="183" t="s">
        <v>388</v>
      </c>
      <c r="J51" s="197">
        <v>0</v>
      </c>
      <c r="K51" s="197" t="s">
        <v>12</v>
      </c>
      <c r="L51" s="197">
        <v>0</v>
      </c>
      <c r="M51" s="197">
        <v>0</v>
      </c>
      <c r="N51" s="420">
        <v>0</v>
      </c>
      <c r="O51" s="328">
        <v>1</v>
      </c>
      <c r="P51" s="197">
        <v>0</v>
      </c>
      <c r="Q51" s="233">
        <f>Q47</f>
        <v>20000</v>
      </c>
      <c r="R51" s="86">
        <v>0</v>
      </c>
      <c r="S51" s="86">
        <v>0</v>
      </c>
      <c r="T51" s="86">
        <v>0</v>
      </c>
      <c r="U51" s="225">
        <v>0</v>
      </c>
      <c r="V51" s="80">
        <v>0</v>
      </c>
      <c r="W51" s="80">
        <v>0</v>
      </c>
      <c r="X51" s="80">
        <v>0</v>
      </c>
      <c r="Y51" s="233">
        <v>0</v>
      </c>
      <c r="Z51" s="80">
        <v>0</v>
      </c>
      <c r="AA51" s="80">
        <v>0</v>
      </c>
      <c r="AB51" s="80">
        <v>0</v>
      </c>
      <c r="AC51" s="233">
        <v>0</v>
      </c>
      <c r="AD51" s="83">
        <v>0</v>
      </c>
      <c r="AE51" s="83">
        <v>0</v>
      </c>
      <c r="AF51" s="83">
        <v>0</v>
      </c>
      <c r="AG51" s="218">
        <v>0</v>
      </c>
      <c r="AH51" s="83">
        <v>1</v>
      </c>
      <c r="AI51" s="83">
        <v>1</v>
      </c>
      <c r="AJ51" s="83">
        <v>1</v>
      </c>
      <c r="AK51" s="218">
        <v>1</v>
      </c>
      <c r="AL51" s="83">
        <v>1</v>
      </c>
      <c r="AM51" s="83">
        <v>1</v>
      </c>
      <c r="AN51" s="83">
        <v>1</v>
      </c>
      <c r="AO51" s="218">
        <v>1</v>
      </c>
      <c r="AP51" s="80">
        <v>0</v>
      </c>
      <c r="AQ51" s="80">
        <v>0</v>
      </c>
      <c r="AR51" s="80">
        <v>0</v>
      </c>
      <c r="AS51" s="233">
        <v>0</v>
      </c>
      <c r="AT51" s="80">
        <v>0</v>
      </c>
      <c r="AU51" s="80">
        <v>0</v>
      </c>
      <c r="AV51" s="80">
        <v>0</v>
      </c>
      <c r="AW51" s="233">
        <v>0</v>
      </c>
      <c r="AX51" s="80">
        <v>0</v>
      </c>
      <c r="AY51" s="80">
        <v>0</v>
      </c>
      <c r="AZ51" s="80">
        <v>0</v>
      </c>
      <c r="BA51" s="233">
        <v>0</v>
      </c>
      <c r="BB51" s="80">
        <v>0</v>
      </c>
      <c r="BC51" s="80">
        <v>0</v>
      </c>
      <c r="BD51" s="80">
        <v>0</v>
      </c>
      <c r="BE51" s="233">
        <v>0</v>
      </c>
      <c r="BF51" s="80">
        <v>0</v>
      </c>
      <c r="BG51" s="80">
        <v>0</v>
      </c>
      <c r="BH51" s="80">
        <v>0</v>
      </c>
      <c r="BI51" s="233">
        <v>0</v>
      </c>
      <c r="BJ51" s="80">
        <v>0</v>
      </c>
      <c r="BK51" s="80">
        <v>0</v>
      </c>
      <c r="BL51" s="80">
        <v>0</v>
      </c>
      <c r="BM51" s="233">
        <v>0</v>
      </c>
      <c r="BN51" s="80">
        <v>0</v>
      </c>
      <c r="BO51" s="80">
        <v>0</v>
      </c>
      <c r="BP51" s="80">
        <v>0</v>
      </c>
      <c r="BQ51" s="233">
        <v>0</v>
      </c>
      <c r="BR51" s="80">
        <f t="shared" si="91"/>
        <v>0</v>
      </c>
      <c r="BS51" s="80">
        <f t="shared" si="90"/>
        <v>0</v>
      </c>
      <c r="BT51" s="80">
        <f t="shared" si="90"/>
        <v>0</v>
      </c>
      <c r="BU51" s="233">
        <f t="shared" si="90"/>
        <v>0</v>
      </c>
      <c r="BV51" s="79">
        <v>0</v>
      </c>
      <c r="BW51" s="79">
        <v>0</v>
      </c>
      <c r="BX51" s="79">
        <v>0</v>
      </c>
      <c r="BY51" s="244">
        <v>0</v>
      </c>
      <c r="BZ51" s="83">
        <v>0.08</v>
      </c>
      <c r="CA51" s="83">
        <v>0.08</v>
      </c>
      <c r="CB51" s="83">
        <v>0.08</v>
      </c>
      <c r="CC51" s="83">
        <v>0.08</v>
      </c>
    </row>
    <row r="52" spans="1:81" s="80" customFormat="1" x14ac:dyDescent="0.35">
      <c r="A52" s="527"/>
      <c r="B52" s="76" t="s">
        <v>16</v>
      </c>
      <c r="C52" s="326" t="s">
        <v>184</v>
      </c>
      <c r="D52" s="327" t="s">
        <v>113</v>
      </c>
      <c r="E52" s="501" t="s">
        <v>86</v>
      </c>
      <c r="F52" s="6">
        <f t="shared" si="58"/>
        <v>47</v>
      </c>
      <c r="G52" s="170">
        <v>1</v>
      </c>
      <c r="H52" s="183" t="s">
        <v>388</v>
      </c>
      <c r="I52" s="183" t="s">
        <v>388</v>
      </c>
      <c r="J52" s="197">
        <v>0</v>
      </c>
      <c r="K52" s="197" t="s">
        <v>12</v>
      </c>
      <c r="L52" s="197">
        <v>0</v>
      </c>
      <c r="M52" s="197">
        <v>0</v>
      </c>
      <c r="N52" s="420">
        <v>0</v>
      </c>
      <c r="O52" s="197">
        <v>0</v>
      </c>
      <c r="P52" s="197">
        <v>0</v>
      </c>
      <c r="Q52" s="233">
        <v>20000000</v>
      </c>
      <c r="R52" s="80">
        <v>0</v>
      </c>
      <c r="S52" s="80">
        <v>0</v>
      </c>
      <c r="T52" s="80">
        <v>0</v>
      </c>
      <c r="U52" s="233">
        <v>0</v>
      </c>
      <c r="V52" s="80">
        <v>0</v>
      </c>
      <c r="W52" s="80">
        <v>0</v>
      </c>
      <c r="X52" s="80">
        <v>0</v>
      </c>
      <c r="Y52" s="233">
        <v>0</v>
      </c>
      <c r="Z52" s="80">
        <v>0</v>
      </c>
      <c r="AA52" s="80">
        <v>0</v>
      </c>
      <c r="AB52" s="80">
        <v>0</v>
      </c>
      <c r="AC52" s="233">
        <v>0</v>
      </c>
      <c r="AD52" s="83">
        <v>0.09</v>
      </c>
      <c r="AE52" s="83">
        <v>0.09</v>
      </c>
      <c r="AF52" s="83">
        <v>0.09</v>
      </c>
      <c r="AG52" s="218">
        <v>0.09</v>
      </c>
      <c r="AH52" s="83">
        <v>1</v>
      </c>
      <c r="AI52" s="83">
        <v>1</v>
      </c>
      <c r="AJ52" s="83">
        <v>1</v>
      </c>
      <c r="AK52" s="218">
        <v>1</v>
      </c>
      <c r="AL52" s="83">
        <v>1</v>
      </c>
      <c r="AM52" s="83">
        <v>1</v>
      </c>
      <c r="AN52" s="83">
        <v>1</v>
      </c>
      <c r="AO52" s="218">
        <v>1</v>
      </c>
      <c r="AP52" s="80">
        <v>0</v>
      </c>
      <c r="AQ52" s="80">
        <v>0</v>
      </c>
      <c r="AR52" s="80">
        <v>0</v>
      </c>
      <c r="AS52" s="233">
        <v>0</v>
      </c>
      <c r="AT52" s="80">
        <v>250</v>
      </c>
      <c r="AU52" s="80">
        <v>250</v>
      </c>
      <c r="AV52" s="80">
        <v>250</v>
      </c>
      <c r="AW52" s="233">
        <v>250</v>
      </c>
      <c r="AX52" s="80">
        <f>0.03*AT52</f>
        <v>7.5</v>
      </c>
      <c r="AY52" s="80">
        <f>0.03*AU52</f>
        <v>7.5</v>
      </c>
      <c r="AZ52" s="80">
        <f>0.03*AV52</f>
        <v>7.5</v>
      </c>
      <c r="BA52" s="233">
        <f>0.03*AW52</f>
        <v>7.5</v>
      </c>
      <c r="BB52" s="80">
        <v>0</v>
      </c>
      <c r="BC52" s="80">
        <v>0</v>
      </c>
      <c r="BD52" s="80">
        <v>0</v>
      </c>
      <c r="BE52" s="233">
        <v>0</v>
      </c>
      <c r="BF52" s="80">
        <v>0</v>
      </c>
      <c r="BG52" s="80">
        <v>0</v>
      </c>
      <c r="BH52" s="80">
        <v>0</v>
      </c>
      <c r="BI52" s="233">
        <v>0</v>
      </c>
      <c r="BJ52" s="492">
        <v>6.2260740740740748E-3</v>
      </c>
      <c r="BK52" s="80">
        <v>0</v>
      </c>
      <c r="BL52" s="80">
        <v>0</v>
      </c>
      <c r="BM52" s="233">
        <v>0</v>
      </c>
      <c r="BN52" s="80">
        <v>0</v>
      </c>
      <c r="BO52" s="80">
        <v>0</v>
      </c>
      <c r="BP52" s="80">
        <v>0</v>
      </c>
      <c r="BQ52" s="233">
        <v>0</v>
      </c>
      <c r="BR52" s="80">
        <f t="shared" si="91"/>
        <v>8.174285816161557E-2</v>
      </c>
      <c r="BS52" s="80">
        <f t="shared" si="90"/>
        <v>8.174285816161557E-2</v>
      </c>
      <c r="BT52" s="80">
        <f t="shared" si="90"/>
        <v>8.174285816161557E-2</v>
      </c>
      <c r="BU52" s="233">
        <f t="shared" si="90"/>
        <v>8.174285816161557E-2</v>
      </c>
      <c r="BV52" s="79">
        <v>50</v>
      </c>
      <c r="BW52" s="79">
        <v>50</v>
      </c>
      <c r="BX52" s="79">
        <v>50</v>
      </c>
      <c r="BY52" s="244">
        <v>50</v>
      </c>
      <c r="BZ52" s="83">
        <v>0.08</v>
      </c>
      <c r="CA52" s="83">
        <v>0.08</v>
      </c>
      <c r="CB52" s="83">
        <v>0.08</v>
      </c>
      <c r="CC52" s="83">
        <v>0.08</v>
      </c>
    </row>
    <row r="53" spans="1:81" s="443" customFormat="1" ht="14.5" customHeight="1" x14ac:dyDescent="0.35">
      <c r="A53" s="522" t="s">
        <v>17</v>
      </c>
      <c r="B53" s="433" t="s">
        <v>39</v>
      </c>
      <c r="C53" s="434" t="s">
        <v>184</v>
      </c>
      <c r="D53" s="435" t="s">
        <v>36</v>
      </c>
      <c r="E53" s="509" t="s">
        <v>466</v>
      </c>
      <c r="F53" s="6">
        <f t="shared" si="58"/>
        <v>48</v>
      </c>
      <c r="G53" s="436">
        <v>1</v>
      </c>
      <c r="H53" s="437" t="s">
        <v>395</v>
      </c>
      <c r="I53" s="437" t="s">
        <v>396</v>
      </c>
      <c r="J53" s="438">
        <v>0</v>
      </c>
      <c r="K53" s="438" t="s">
        <v>12</v>
      </c>
      <c r="L53" s="438">
        <v>1</v>
      </c>
      <c r="M53" s="438">
        <v>0</v>
      </c>
      <c r="N53" s="439">
        <v>0</v>
      </c>
      <c r="O53" s="438">
        <v>0</v>
      </c>
      <c r="P53" s="438">
        <v>0</v>
      </c>
      <c r="Q53" s="440">
        <v>2000000</v>
      </c>
      <c r="R53" s="441">
        <v>0</v>
      </c>
      <c r="S53" s="441">
        <v>0</v>
      </c>
      <c r="T53" s="441">
        <v>0</v>
      </c>
      <c r="U53" s="442">
        <v>0</v>
      </c>
      <c r="V53" s="443">
        <v>0</v>
      </c>
      <c r="W53" s="443">
        <v>0</v>
      </c>
      <c r="X53" s="443">
        <v>0</v>
      </c>
      <c r="Y53" s="440">
        <v>0</v>
      </c>
      <c r="Z53" s="443">
        <v>0</v>
      </c>
      <c r="AA53" s="443">
        <v>0</v>
      </c>
      <c r="AB53" s="443">
        <v>0</v>
      </c>
      <c r="AC53" s="440">
        <v>0</v>
      </c>
      <c r="AD53" s="444">
        <v>0</v>
      </c>
      <c r="AE53" s="444">
        <v>0</v>
      </c>
      <c r="AF53" s="444">
        <v>0</v>
      </c>
      <c r="AG53" s="445">
        <v>0</v>
      </c>
      <c r="AH53" s="444">
        <v>1</v>
      </c>
      <c r="AI53" s="444">
        <v>1</v>
      </c>
      <c r="AJ53" s="444">
        <v>1</v>
      </c>
      <c r="AK53" s="445">
        <v>1</v>
      </c>
      <c r="AL53" s="444">
        <v>1</v>
      </c>
      <c r="AM53" s="444">
        <v>1</v>
      </c>
      <c r="AN53" s="444">
        <v>1</v>
      </c>
      <c r="AO53" s="445">
        <v>1</v>
      </c>
      <c r="AP53" s="443">
        <v>0</v>
      </c>
      <c r="AQ53" s="443">
        <v>0</v>
      </c>
      <c r="AR53" s="443">
        <v>0</v>
      </c>
      <c r="AS53" s="440">
        <v>0</v>
      </c>
      <c r="AT53" s="443">
        <v>552.67870000000005</v>
      </c>
      <c r="AU53" s="443">
        <v>396.26020000000005</v>
      </c>
      <c r="AV53" s="443">
        <v>344.12070000000006</v>
      </c>
      <c r="AW53" s="440">
        <v>312.83700000000005</v>
      </c>
      <c r="AX53" s="443">
        <v>9.1244125000000018</v>
      </c>
      <c r="AY53" s="443">
        <v>7.5602275000000008</v>
      </c>
      <c r="AZ53" s="443">
        <v>6.9084837500000003</v>
      </c>
      <c r="BA53" s="440">
        <v>6.5174375000000007</v>
      </c>
      <c r="BB53" s="443">
        <v>0</v>
      </c>
      <c r="BC53" s="443">
        <v>0</v>
      </c>
      <c r="BD53" s="443">
        <v>0</v>
      </c>
      <c r="BE53" s="440">
        <v>0</v>
      </c>
      <c r="BF53" s="443">
        <v>0</v>
      </c>
      <c r="BG53" s="443">
        <v>0</v>
      </c>
      <c r="BH53" s="443">
        <v>0</v>
      </c>
      <c r="BI53" s="440">
        <v>0</v>
      </c>
      <c r="BJ53" s="490">
        <v>90.584795321637415</v>
      </c>
      <c r="BK53" s="443">
        <v>0</v>
      </c>
      <c r="BL53" s="443">
        <v>0</v>
      </c>
      <c r="BM53" s="440">
        <v>0</v>
      </c>
      <c r="BN53" s="443">
        <v>0</v>
      </c>
      <c r="BO53" s="443">
        <v>0</v>
      </c>
      <c r="BP53" s="443">
        <v>0</v>
      </c>
      <c r="BQ53" s="440">
        <v>0</v>
      </c>
      <c r="BR53" s="443">
        <f t="shared" si="91"/>
        <v>8.5803264560679798E-2</v>
      </c>
      <c r="BS53" s="443">
        <f t="shared" si="90"/>
        <v>8.3860161500585326E-2</v>
      </c>
      <c r="BT53" s="443">
        <f t="shared" si="90"/>
        <v>8.3860161500585326E-2</v>
      </c>
      <c r="BU53" s="440">
        <f t="shared" si="90"/>
        <v>8.3860161500585326E-2</v>
      </c>
      <c r="BV53" s="446">
        <v>35</v>
      </c>
      <c r="BW53" s="446">
        <v>40</v>
      </c>
      <c r="BX53" s="446">
        <v>40</v>
      </c>
      <c r="BY53" s="447">
        <v>40</v>
      </c>
      <c r="BZ53" s="444">
        <v>0.08</v>
      </c>
      <c r="CA53" s="444">
        <v>0.08</v>
      </c>
      <c r="CB53" s="444">
        <v>0.08</v>
      </c>
      <c r="CC53" s="444">
        <v>0.08</v>
      </c>
    </row>
    <row r="54" spans="1:81" s="50" customFormat="1" ht="14.5" customHeight="1" x14ac:dyDescent="0.35">
      <c r="A54" s="522"/>
      <c r="B54" s="329" t="s">
        <v>38</v>
      </c>
      <c r="C54" s="313" t="s">
        <v>184</v>
      </c>
      <c r="D54" s="330" t="s">
        <v>37</v>
      </c>
      <c r="E54" s="507" t="s">
        <v>466</v>
      </c>
      <c r="F54" s="6">
        <f t="shared" si="58"/>
        <v>49</v>
      </c>
      <c r="G54" s="297">
        <v>1</v>
      </c>
      <c r="H54" s="298" t="s">
        <v>395</v>
      </c>
      <c r="I54" s="298" t="s">
        <v>396</v>
      </c>
      <c r="J54" s="301">
        <v>0</v>
      </c>
      <c r="K54" s="301" t="s">
        <v>12</v>
      </c>
      <c r="L54" s="301">
        <v>1</v>
      </c>
      <c r="M54" s="301">
        <v>0</v>
      </c>
      <c r="N54" s="419">
        <v>0</v>
      </c>
      <c r="O54" s="301">
        <v>0</v>
      </c>
      <c r="P54" s="301">
        <v>0</v>
      </c>
      <c r="Q54" s="299">
        <f t="shared" ref="Q54:Q78" si="92">$Q$53</f>
        <v>2000000</v>
      </c>
      <c r="R54" s="315">
        <v>0</v>
      </c>
      <c r="S54" s="315">
        <v>0</v>
      </c>
      <c r="T54" s="315">
        <v>0</v>
      </c>
      <c r="U54" s="314">
        <v>0</v>
      </c>
      <c r="V54" s="50">
        <v>0</v>
      </c>
      <c r="W54" s="50">
        <v>0</v>
      </c>
      <c r="X54" s="50">
        <v>0</v>
      </c>
      <c r="Y54" s="299">
        <v>0</v>
      </c>
      <c r="Z54" s="50">
        <v>0</v>
      </c>
      <c r="AA54" s="50">
        <v>0</v>
      </c>
      <c r="AB54" s="50">
        <v>0</v>
      </c>
      <c r="AC54" s="299">
        <v>0</v>
      </c>
      <c r="AD54" s="304">
        <v>0</v>
      </c>
      <c r="AE54" s="304">
        <v>0</v>
      </c>
      <c r="AF54" s="304">
        <v>0</v>
      </c>
      <c r="AG54" s="305">
        <v>0</v>
      </c>
      <c r="AH54" s="304">
        <v>1</v>
      </c>
      <c r="AI54" s="304">
        <v>1</v>
      </c>
      <c r="AJ54" s="304">
        <v>1</v>
      </c>
      <c r="AK54" s="305">
        <v>1</v>
      </c>
      <c r="AL54" s="304">
        <v>1</v>
      </c>
      <c r="AM54" s="304">
        <v>1</v>
      </c>
      <c r="AN54" s="304">
        <v>1</v>
      </c>
      <c r="AO54" s="305">
        <v>1</v>
      </c>
      <c r="AP54" s="50">
        <v>0</v>
      </c>
      <c r="AQ54" s="50">
        <v>0</v>
      </c>
      <c r="AR54" s="50">
        <v>0</v>
      </c>
      <c r="AS54" s="299">
        <v>0</v>
      </c>
      <c r="AT54" s="50">
        <v>646.52980000000002</v>
      </c>
      <c r="AU54" s="50">
        <v>458.82760000000007</v>
      </c>
      <c r="AV54" s="50">
        <v>406.68810000000002</v>
      </c>
      <c r="AW54" s="299">
        <v>375.40440000000001</v>
      </c>
      <c r="AX54" s="50">
        <v>11.157853000000001</v>
      </c>
      <c r="AY54" s="50">
        <v>9.2808310000000009</v>
      </c>
      <c r="AZ54" s="50">
        <v>8.5508780000000009</v>
      </c>
      <c r="BA54" s="299">
        <v>8.1337620000000008</v>
      </c>
      <c r="BB54" s="50">
        <v>0</v>
      </c>
      <c r="BC54" s="50">
        <v>0</v>
      </c>
      <c r="BD54" s="50">
        <v>0</v>
      </c>
      <c r="BE54" s="299">
        <v>0</v>
      </c>
      <c r="BF54" s="50">
        <v>0</v>
      </c>
      <c r="BG54" s="50">
        <v>0</v>
      </c>
      <c r="BH54" s="50">
        <v>0</v>
      </c>
      <c r="BI54" s="299">
        <v>0</v>
      </c>
      <c r="BJ54" s="490">
        <v>90.584795321637415</v>
      </c>
      <c r="BK54" s="366">
        <v>0</v>
      </c>
      <c r="BL54" s="366">
        <v>0</v>
      </c>
      <c r="BM54" s="299">
        <v>0</v>
      </c>
      <c r="BN54" s="50">
        <v>0</v>
      </c>
      <c r="BO54" s="50">
        <v>0</v>
      </c>
      <c r="BP54" s="50">
        <v>0</v>
      </c>
      <c r="BQ54" s="299">
        <v>0</v>
      </c>
      <c r="BR54" s="50">
        <f t="shared" ref="BR54" si="93">IF(BV54&lt;&gt;0,(BZ54*(1+BZ54)^BV54)/((1+BZ54)^BV54-1),0)</f>
        <v>8.5803264560679798E-2</v>
      </c>
      <c r="BS54" s="50">
        <f t="shared" ref="BS54" si="94">IF(BW54&lt;&gt;0,(CA54*(1+CA54)^BW54)/((1+CA54)^BW54-1),0)</f>
        <v>8.3860161500585326E-2</v>
      </c>
      <c r="BT54" s="50">
        <f t="shared" ref="BT54" si="95">IF(BX54&lt;&gt;0,(CB54*(1+CB54)^BX54)/((1+CB54)^BX54-1),0)</f>
        <v>8.3860161500585326E-2</v>
      </c>
      <c r="BU54" s="299">
        <f t="shared" ref="BU54" si="96">IF(BY54&lt;&gt;0,(CC54*(1+CC54)^BY54)/((1+CC54)^BY54-1),0)</f>
        <v>8.3860161500585326E-2</v>
      </c>
      <c r="BV54" s="308">
        <v>35</v>
      </c>
      <c r="BW54" s="308">
        <v>40</v>
      </c>
      <c r="BX54" s="308">
        <v>40</v>
      </c>
      <c r="BY54" s="300">
        <v>40</v>
      </c>
      <c r="BZ54" s="304">
        <v>0.08</v>
      </c>
      <c r="CA54" s="304">
        <v>0.08</v>
      </c>
      <c r="CB54" s="304">
        <v>0.08</v>
      </c>
      <c r="CC54" s="304">
        <v>0.08</v>
      </c>
    </row>
    <row r="55" spans="1:81" s="256" customFormat="1" x14ac:dyDescent="0.35">
      <c r="A55" s="522"/>
      <c r="B55" s="331" t="str">
        <f t="shared" ref="B55:B66" si="97">CONCATENATE("RPU_"&amp;D55)</f>
        <v>RPU_ON_SP198-HH100</v>
      </c>
      <c r="C55" s="98" t="s">
        <v>184</v>
      </c>
      <c r="D55" s="251" t="s">
        <v>114</v>
      </c>
      <c r="E55" s="506" t="s">
        <v>470</v>
      </c>
      <c r="F55" s="6">
        <f t="shared" si="58"/>
        <v>50</v>
      </c>
      <c r="G55" s="252">
        <v>1</v>
      </c>
      <c r="H55" s="332" t="s">
        <v>395</v>
      </c>
      <c r="I55" s="332" t="s">
        <v>396</v>
      </c>
      <c r="J55" s="255">
        <v>0</v>
      </c>
      <c r="K55" s="255" t="s">
        <v>12</v>
      </c>
      <c r="L55" s="255">
        <v>1</v>
      </c>
      <c r="M55" s="255">
        <v>0</v>
      </c>
      <c r="N55" s="407">
        <v>0</v>
      </c>
      <c r="O55" s="255">
        <v>0</v>
      </c>
      <c r="P55" s="255">
        <v>0</v>
      </c>
      <c r="Q55" s="254">
        <f t="shared" si="92"/>
        <v>2000000</v>
      </c>
      <c r="R55" s="260">
        <v>0</v>
      </c>
      <c r="S55" s="260">
        <v>0</v>
      </c>
      <c r="T55" s="260">
        <v>0</v>
      </c>
      <c r="U55" s="316">
        <v>0</v>
      </c>
      <c r="V55" s="256">
        <v>0</v>
      </c>
      <c r="W55" s="256">
        <v>0</v>
      </c>
      <c r="X55" s="256">
        <v>0</v>
      </c>
      <c r="Y55" s="254">
        <v>0</v>
      </c>
      <c r="Z55" s="256">
        <v>0</v>
      </c>
      <c r="AA55" s="256">
        <v>0</v>
      </c>
      <c r="AB55" s="256">
        <v>0</v>
      </c>
      <c r="AC55" s="254">
        <v>0</v>
      </c>
      <c r="AD55" s="257">
        <v>0</v>
      </c>
      <c r="AE55" s="257">
        <v>0</v>
      </c>
      <c r="AF55" s="257">
        <v>0</v>
      </c>
      <c r="AG55" s="258">
        <v>0</v>
      </c>
      <c r="AH55" s="257">
        <v>1</v>
      </c>
      <c r="AI55" s="257">
        <v>1</v>
      </c>
      <c r="AJ55" s="257">
        <v>1</v>
      </c>
      <c r="AK55" s="258">
        <v>1</v>
      </c>
      <c r="AL55" s="257">
        <v>1</v>
      </c>
      <c r="AM55" s="257">
        <v>1</v>
      </c>
      <c r="AN55" s="257">
        <v>1</v>
      </c>
      <c r="AO55" s="258">
        <v>1</v>
      </c>
      <c r="AP55" s="256">
        <v>0</v>
      </c>
      <c r="AQ55" s="256">
        <v>0</v>
      </c>
      <c r="AR55" s="256">
        <v>0</v>
      </c>
      <c r="AS55" s="254">
        <v>0</v>
      </c>
      <c r="AT55" s="256">
        <v>1758.6807528485745</v>
      </c>
      <c r="AU55" s="256">
        <v>1633.060699073676</v>
      </c>
      <c r="AV55" s="256">
        <v>1538.8456587425023</v>
      </c>
      <c r="AW55" s="254">
        <v>1507.4406452987776</v>
      </c>
      <c r="AX55" s="256">
        <v>14.599060000000001</v>
      </c>
      <c r="AY55" s="256">
        <v>13.139154000000001</v>
      </c>
      <c r="AZ55" s="256">
        <v>12.088021680000002</v>
      </c>
      <c r="BA55" s="254">
        <v>11.8252386</v>
      </c>
      <c r="BB55" s="256">
        <v>1.5641850000000001E-3</v>
      </c>
      <c r="BC55" s="256">
        <v>1.4077665000000001E-3</v>
      </c>
      <c r="BD55" s="256">
        <v>1.2930596E-3</v>
      </c>
      <c r="BE55" s="254">
        <v>1.2722038E-3</v>
      </c>
      <c r="BF55" s="256">
        <v>0</v>
      </c>
      <c r="BG55" s="256">
        <v>0</v>
      </c>
      <c r="BH55" s="256">
        <v>0</v>
      </c>
      <c r="BI55" s="254">
        <v>0</v>
      </c>
      <c r="BJ55" s="491">
        <v>55.12222222222222</v>
      </c>
      <c r="BK55" s="451">
        <v>0</v>
      </c>
      <c r="BL55" s="451">
        <v>0</v>
      </c>
      <c r="BM55" s="452">
        <v>0</v>
      </c>
      <c r="BN55" s="256">
        <v>0</v>
      </c>
      <c r="BO55" s="256">
        <v>0</v>
      </c>
      <c r="BP55" s="256">
        <v>0</v>
      </c>
      <c r="BQ55" s="254">
        <v>0</v>
      </c>
      <c r="BR55" s="256">
        <f t="shared" ref="BR55" si="98">IF(BV55&lt;&gt;0,(BZ55*(1+BZ55)^BV55)/((1+BZ55)^BV55-1),0)</f>
        <v>9.1448096207564403E-2</v>
      </c>
      <c r="BS55" s="256">
        <f t="shared" ref="BS55" si="99">IF(BW55&lt;&gt;0,(CA55*(1+CA55)^BW55)/((1+CA55)^BW55-1),0)</f>
        <v>8.8827433387272267E-2</v>
      </c>
      <c r="BT55" s="256">
        <f t="shared" ref="BT55" si="100">IF(BX55&lt;&gt;0,(CB55*(1+CB55)^BX55)/((1+CB55)^BX55-1),0)</f>
        <v>8.8827433387272267E-2</v>
      </c>
      <c r="BU55" s="254">
        <f t="shared" ref="BU55" si="101">IF(BY55&lt;&gt;0,(CC55*(1+CC55)^BY55)/((1+CC55)^BY55-1),0)</f>
        <v>8.8827433387272267E-2</v>
      </c>
      <c r="BV55" s="259">
        <v>27</v>
      </c>
      <c r="BW55" s="259">
        <v>30</v>
      </c>
      <c r="BX55" s="259">
        <v>30</v>
      </c>
      <c r="BY55" s="333">
        <v>30</v>
      </c>
      <c r="BZ55" s="257">
        <v>0.08</v>
      </c>
      <c r="CA55" s="257">
        <v>0.08</v>
      </c>
      <c r="CB55" s="257">
        <v>0.08</v>
      </c>
      <c r="CC55" s="257">
        <v>0.08</v>
      </c>
    </row>
    <row r="56" spans="1:81" s="256" customFormat="1" x14ac:dyDescent="0.35">
      <c r="A56" s="522"/>
      <c r="B56" s="331" t="str">
        <f t="shared" si="97"/>
        <v>RPU_ON_SP198-HH150</v>
      </c>
      <c r="C56" s="98" t="s">
        <v>184</v>
      </c>
      <c r="D56" s="251" t="s">
        <v>40</v>
      </c>
      <c r="E56" s="506" t="s">
        <v>470</v>
      </c>
      <c r="F56" s="6">
        <f t="shared" si="58"/>
        <v>51</v>
      </c>
      <c r="G56" s="252">
        <v>1</v>
      </c>
      <c r="H56" s="332" t="s">
        <v>395</v>
      </c>
      <c r="I56" s="332" t="s">
        <v>396</v>
      </c>
      <c r="J56" s="255">
        <v>0</v>
      </c>
      <c r="K56" s="255" t="s">
        <v>12</v>
      </c>
      <c r="L56" s="255">
        <v>1</v>
      </c>
      <c r="M56" s="255">
        <v>0</v>
      </c>
      <c r="N56" s="407">
        <v>0</v>
      </c>
      <c r="O56" s="255">
        <v>0</v>
      </c>
      <c r="P56" s="255">
        <v>0</v>
      </c>
      <c r="Q56" s="254">
        <f t="shared" si="92"/>
        <v>2000000</v>
      </c>
      <c r="R56" s="260">
        <v>0</v>
      </c>
      <c r="S56" s="260">
        <v>0</v>
      </c>
      <c r="T56" s="260">
        <v>0</v>
      </c>
      <c r="U56" s="316">
        <v>0</v>
      </c>
      <c r="V56" s="256">
        <v>0</v>
      </c>
      <c r="W56" s="256">
        <v>0</v>
      </c>
      <c r="X56" s="256">
        <v>0</v>
      </c>
      <c r="Y56" s="254">
        <v>0</v>
      </c>
      <c r="Z56" s="256">
        <v>0</v>
      </c>
      <c r="AA56" s="256">
        <v>0</v>
      </c>
      <c r="AB56" s="256">
        <v>0</v>
      </c>
      <c r="AC56" s="254">
        <v>0</v>
      </c>
      <c r="AD56" s="257">
        <v>0</v>
      </c>
      <c r="AE56" s="257">
        <v>0</v>
      </c>
      <c r="AF56" s="257">
        <v>0</v>
      </c>
      <c r="AG56" s="258">
        <v>0</v>
      </c>
      <c r="AH56" s="257">
        <v>1</v>
      </c>
      <c r="AI56" s="257">
        <v>1</v>
      </c>
      <c r="AJ56" s="257">
        <v>1</v>
      </c>
      <c r="AK56" s="258">
        <v>1</v>
      </c>
      <c r="AL56" s="257">
        <v>1</v>
      </c>
      <c r="AM56" s="257">
        <v>1</v>
      </c>
      <c r="AN56" s="257">
        <v>1</v>
      </c>
      <c r="AO56" s="258">
        <v>1</v>
      </c>
      <c r="AP56" s="256">
        <v>0</v>
      </c>
      <c r="AQ56" s="256">
        <v>0</v>
      </c>
      <c r="AR56" s="256">
        <v>0</v>
      </c>
      <c r="AS56" s="254">
        <v>0</v>
      </c>
      <c r="AT56" s="256">
        <v>2188.7934195531479</v>
      </c>
      <c r="AU56" s="256">
        <v>2032.4510324422088</v>
      </c>
      <c r="AV56" s="256">
        <v>1915.1942421090046</v>
      </c>
      <c r="AW56" s="254">
        <v>1876.1086453312696</v>
      </c>
      <c r="AX56" s="256">
        <v>14.599060000000001</v>
      </c>
      <c r="AY56" s="256">
        <v>13.139154000000001</v>
      </c>
      <c r="AZ56" s="256">
        <v>12.088021680000002</v>
      </c>
      <c r="BA56" s="254">
        <v>11.8252386</v>
      </c>
      <c r="BB56" s="256">
        <v>1.5641850000000001E-3</v>
      </c>
      <c r="BC56" s="256">
        <v>1.4077665000000001E-3</v>
      </c>
      <c r="BD56" s="256">
        <v>1.2930596E-3</v>
      </c>
      <c r="BE56" s="254">
        <v>1.2722038E-3</v>
      </c>
      <c r="BF56" s="256">
        <v>0</v>
      </c>
      <c r="BG56" s="256">
        <v>0</v>
      </c>
      <c r="BH56" s="256">
        <v>0</v>
      </c>
      <c r="BI56" s="254">
        <v>0</v>
      </c>
      <c r="BJ56" s="491">
        <v>55.12222222222222</v>
      </c>
      <c r="BK56" s="451">
        <v>0</v>
      </c>
      <c r="BL56" s="451">
        <v>0</v>
      </c>
      <c r="BM56" s="452">
        <v>0</v>
      </c>
      <c r="BN56" s="256">
        <v>0</v>
      </c>
      <c r="BO56" s="256">
        <v>0</v>
      </c>
      <c r="BP56" s="256">
        <v>0</v>
      </c>
      <c r="BQ56" s="254">
        <v>0</v>
      </c>
      <c r="BR56" s="256">
        <f t="shared" ref="BR56:BR67" si="102">IF(BV56&lt;&gt;0,(BZ56*(1+BZ56)^BV56)/((1+BZ56)^BV56-1),0)</f>
        <v>9.1448096207564403E-2</v>
      </c>
      <c r="BS56" s="256">
        <f t="shared" ref="BS56:BS67" si="103">IF(BW56&lt;&gt;0,(CA56*(1+CA56)^BW56)/((1+CA56)^BW56-1),0)</f>
        <v>8.8827433387272267E-2</v>
      </c>
      <c r="BT56" s="256">
        <f t="shared" ref="BT56:BT67" si="104">IF(BX56&lt;&gt;0,(CB56*(1+CB56)^BX56)/((1+CB56)^BX56-1),0)</f>
        <v>8.8827433387272267E-2</v>
      </c>
      <c r="BU56" s="254">
        <f t="shared" ref="BU56:BU67" si="105">IF(BY56&lt;&gt;0,(CC56*(1+CC56)^BY56)/((1+CC56)^BY56-1),0)</f>
        <v>8.8827433387272267E-2</v>
      </c>
      <c r="BV56" s="259">
        <v>27</v>
      </c>
      <c r="BW56" s="259">
        <v>30</v>
      </c>
      <c r="BX56" s="259">
        <v>30</v>
      </c>
      <c r="BY56" s="333">
        <v>30</v>
      </c>
      <c r="BZ56" s="257">
        <v>0.08</v>
      </c>
      <c r="CA56" s="257">
        <v>0.08</v>
      </c>
      <c r="CB56" s="257">
        <v>0.08</v>
      </c>
      <c r="CC56" s="257">
        <v>0.08</v>
      </c>
    </row>
    <row r="57" spans="1:81" s="256" customFormat="1" x14ac:dyDescent="0.35">
      <c r="A57" s="522"/>
      <c r="B57" s="331" t="str">
        <f t="shared" si="97"/>
        <v>RPU_ON_SP237-HH100</v>
      </c>
      <c r="C57" s="98" t="s">
        <v>184</v>
      </c>
      <c r="D57" s="251" t="s">
        <v>41</v>
      </c>
      <c r="E57" s="506" t="s">
        <v>470</v>
      </c>
      <c r="F57" s="6">
        <f t="shared" si="58"/>
        <v>52</v>
      </c>
      <c r="G57" s="252">
        <v>1</v>
      </c>
      <c r="H57" s="332" t="s">
        <v>395</v>
      </c>
      <c r="I57" s="332" t="s">
        <v>396</v>
      </c>
      <c r="J57" s="255">
        <v>0</v>
      </c>
      <c r="K57" s="255" t="s">
        <v>12</v>
      </c>
      <c r="L57" s="255">
        <v>1</v>
      </c>
      <c r="M57" s="255">
        <v>0</v>
      </c>
      <c r="N57" s="407">
        <v>0</v>
      </c>
      <c r="O57" s="255">
        <v>0</v>
      </c>
      <c r="P57" s="255">
        <v>0</v>
      </c>
      <c r="Q57" s="254">
        <f t="shared" si="92"/>
        <v>2000000</v>
      </c>
      <c r="R57" s="260">
        <v>0</v>
      </c>
      <c r="S57" s="260">
        <v>0</v>
      </c>
      <c r="T57" s="260">
        <v>0</v>
      </c>
      <c r="U57" s="316">
        <v>0</v>
      </c>
      <c r="V57" s="256">
        <v>0</v>
      </c>
      <c r="W57" s="256">
        <v>0</v>
      </c>
      <c r="X57" s="256">
        <v>0</v>
      </c>
      <c r="Y57" s="254">
        <v>0</v>
      </c>
      <c r="Z57" s="256">
        <v>0</v>
      </c>
      <c r="AA57" s="256">
        <v>0</v>
      </c>
      <c r="AB57" s="256">
        <v>0</v>
      </c>
      <c r="AC57" s="254">
        <v>0</v>
      </c>
      <c r="AD57" s="257">
        <v>0</v>
      </c>
      <c r="AE57" s="257">
        <v>0</v>
      </c>
      <c r="AF57" s="257">
        <v>0</v>
      </c>
      <c r="AG57" s="258">
        <v>0</v>
      </c>
      <c r="AH57" s="257">
        <v>1</v>
      </c>
      <c r="AI57" s="257">
        <v>1</v>
      </c>
      <c r="AJ57" s="257">
        <v>1</v>
      </c>
      <c r="AK57" s="258">
        <v>1</v>
      </c>
      <c r="AL57" s="257">
        <v>1</v>
      </c>
      <c r="AM57" s="257">
        <v>1</v>
      </c>
      <c r="AN57" s="257">
        <v>1</v>
      </c>
      <c r="AO57" s="258">
        <v>1</v>
      </c>
      <c r="AP57" s="256">
        <v>0</v>
      </c>
      <c r="AQ57" s="256">
        <v>0</v>
      </c>
      <c r="AR57" s="256">
        <v>0</v>
      </c>
      <c r="AS57" s="254">
        <v>0</v>
      </c>
      <c r="AT57" s="256">
        <v>1554.7627916706663</v>
      </c>
      <c r="AU57" s="256">
        <v>1443.7083065513327</v>
      </c>
      <c r="AV57" s="256">
        <v>1360.4174427118328</v>
      </c>
      <c r="AW57" s="254">
        <v>1332.6538214319989</v>
      </c>
      <c r="AX57" s="256">
        <v>14.599060000000001</v>
      </c>
      <c r="AY57" s="256">
        <v>13.139154000000001</v>
      </c>
      <c r="AZ57" s="256">
        <v>12.088021680000002</v>
      </c>
      <c r="BA57" s="254">
        <v>11.8252386</v>
      </c>
      <c r="BB57" s="256">
        <v>1.5641850000000001E-3</v>
      </c>
      <c r="BC57" s="256">
        <v>1.4077665000000001E-3</v>
      </c>
      <c r="BD57" s="256">
        <v>1.2930596E-3</v>
      </c>
      <c r="BE57" s="254">
        <v>1.2722038E-3</v>
      </c>
      <c r="BF57" s="256">
        <v>0</v>
      </c>
      <c r="BG57" s="256">
        <v>0</v>
      </c>
      <c r="BH57" s="256">
        <v>0</v>
      </c>
      <c r="BI57" s="254">
        <v>0</v>
      </c>
      <c r="BJ57" s="491">
        <v>55.12222222222222</v>
      </c>
      <c r="BK57" s="451">
        <v>0</v>
      </c>
      <c r="BL57" s="451">
        <v>0</v>
      </c>
      <c r="BM57" s="452">
        <v>0</v>
      </c>
      <c r="BN57" s="256">
        <v>0</v>
      </c>
      <c r="BO57" s="256">
        <v>0</v>
      </c>
      <c r="BP57" s="256">
        <v>0</v>
      </c>
      <c r="BQ57" s="254">
        <v>0</v>
      </c>
      <c r="BR57" s="256">
        <f t="shared" si="102"/>
        <v>9.1448096207564403E-2</v>
      </c>
      <c r="BS57" s="256">
        <f t="shared" si="103"/>
        <v>8.8827433387272267E-2</v>
      </c>
      <c r="BT57" s="256">
        <f t="shared" si="104"/>
        <v>8.8827433387272267E-2</v>
      </c>
      <c r="BU57" s="254">
        <f t="shared" si="105"/>
        <v>8.8827433387272267E-2</v>
      </c>
      <c r="BV57" s="259">
        <v>27</v>
      </c>
      <c r="BW57" s="259">
        <v>30</v>
      </c>
      <c r="BX57" s="259">
        <v>30</v>
      </c>
      <c r="BY57" s="333">
        <v>30</v>
      </c>
      <c r="BZ57" s="257">
        <v>0.08</v>
      </c>
      <c r="CA57" s="257">
        <v>0.08</v>
      </c>
      <c r="CB57" s="257">
        <v>0.08</v>
      </c>
      <c r="CC57" s="257">
        <v>0.08</v>
      </c>
    </row>
    <row r="58" spans="1:81" s="256" customFormat="1" x14ac:dyDescent="0.35">
      <c r="A58" s="522"/>
      <c r="B58" s="331" t="str">
        <f t="shared" si="97"/>
        <v>RPU_ON_SP237-HH150</v>
      </c>
      <c r="C58" s="98" t="s">
        <v>184</v>
      </c>
      <c r="D58" s="251" t="s">
        <v>42</v>
      </c>
      <c r="E58" s="506" t="s">
        <v>470</v>
      </c>
      <c r="F58" s="6">
        <f t="shared" si="58"/>
        <v>53</v>
      </c>
      <c r="G58" s="252">
        <v>1</v>
      </c>
      <c r="H58" s="332" t="s">
        <v>395</v>
      </c>
      <c r="I58" s="332" t="s">
        <v>396</v>
      </c>
      <c r="J58" s="255">
        <v>0</v>
      </c>
      <c r="K58" s="255" t="s">
        <v>12</v>
      </c>
      <c r="L58" s="255">
        <v>1</v>
      </c>
      <c r="M58" s="255">
        <v>0</v>
      </c>
      <c r="N58" s="407">
        <v>0</v>
      </c>
      <c r="O58" s="255">
        <v>0</v>
      </c>
      <c r="P58" s="255">
        <v>0</v>
      </c>
      <c r="Q58" s="254">
        <f t="shared" si="92"/>
        <v>2000000</v>
      </c>
      <c r="R58" s="260">
        <v>0</v>
      </c>
      <c r="S58" s="260">
        <v>0</v>
      </c>
      <c r="T58" s="260">
        <v>0</v>
      </c>
      <c r="U58" s="316">
        <v>0</v>
      </c>
      <c r="V58" s="256">
        <v>0</v>
      </c>
      <c r="W58" s="256">
        <v>0</v>
      </c>
      <c r="X58" s="256">
        <v>0</v>
      </c>
      <c r="Y58" s="254">
        <v>0</v>
      </c>
      <c r="Z58" s="256">
        <v>0</v>
      </c>
      <c r="AA58" s="256">
        <v>0</v>
      </c>
      <c r="AB58" s="256">
        <v>0</v>
      </c>
      <c r="AC58" s="254">
        <v>0</v>
      </c>
      <c r="AD58" s="257">
        <v>0</v>
      </c>
      <c r="AE58" s="257">
        <v>0</v>
      </c>
      <c r="AF58" s="257">
        <v>0</v>
      </c>
      <c r="AG58" s="258">
        <v>0</v>
      </c>
      <c r="AH58" s="257">
        <v>1</v>
      </c>
      <c r="AI58" s="257">
        <v>1</v>
      </c>
      <c r="AJ58" s="257">
        <v>1</v>
      </c>
      <c r="AK58" s="258">
        <v>1</v>
      </c>
      <c r="AL58" s="257">
        <v>1</v>
      </c>
      <c r="AM58" s="257">
        <v>1</v>
      </c>
      <c r="AN58" s="257">
        <v>1</v>
      </c>
      <c r="AO58" s="258">
        <v>1</v>
      </c>
      <c r="AP58" s="256">
        <v>0</v>
      </c>
      <c r="AQ58" s="256">
        <v>0</v>
      </c>
      <c r="AR58" s="256">
        <v>0</v>
      </c>
      <c r="AS58" s="254">
        <v>0</v>
      </c>
      <c r="AT58" s="256">
        <v>1947.4738868244795</v>
      </c>
      <c r="AU58" s="256">
        <v>1808.3686091941595</v>
      </c>
      <c r="AV58" s="256">
        <v>1704.0396509714192</v>
      </c>
      <c r="AW58" s="254">
        <v>1669.2633315638391</v>
      </c>
      <c r="AX58" s="256">
        <v>14.599060000000001</v>
      </c>
      <c r="AY58" s="256">
        <v>13.139154000000001</v>
      </c>
      <c r="AZ58" s="256">
        <v>12.088021680000002</v>
      </c>
      <c r="BA58" s="254">
        <v>11.8252386</v>
      </c>
      <c r="BB58" s="256">
        <v>1.5641850000000001E-3</v>
      </c>
      <c r="BC58" s="256">
        <v>1.4077665000000001E-3</v>
      </c>
      <c r="BD58" s="256">
        <v>1.2930596E-3</v>
      </c>
      <c r="BE58" s="254">
        <v>1.2722038E-3</v>
      </c>
      <c r="BF58" s="256">
        <v>0</v>
      </c>
      <c r="BG58" s="256">
        <v>0</v>
      </c>
      <c r="BH58" s="256">
        <v>0</v>
      </c>
      <c r="BI58" s="254">
        <v>0</v>
      </c>
      <c r="BJ58" s="491">
        <v>55.12222222222222</v>
      </c>
      <c r="BK58" s="451">
        <v>0</v>
      </c>
      <c r="BL58" s="451">
        <v>0</v>
      </c>
      <c r="BM58" s="452">
        <v>0</v>
      </c>
      <c r="BN58" s="256">
        <v>0</v>
      </c>
      <c r="BO58" s="256">
        <v>0</v>
      </c>
      <c r="BP58" s="256">
        <v>0</v>
      </c>
      <c r="BQ58" s="254">
        <v>0</v>
      </c>
      <c r="BR58" s="256">
        <f t="shared" si="102"/>
        <v>9.1448096207564403E-2</v>
      </c>
      <c r="BS58" s="256">
        <f t="shared" si="103"/>
        <v>8.8827433387272267E-2</v>
      </c>
      <c r="BT58" s="256">
        <f t="shared" si="104"/>
        <v>8.8827433387272267E-2</v>
      </c>
      <c r="BU58" s="254">
        <f t="shared" si="105"/>
        <v>8.8827433387272267E-2</v>
      </c>
      <c r="BV58" s="259">
        <v>27</v>
      </c>
      <c r="BW58" s="259">
        <v>30</v>
      </c>
      <c r="BX58" s="259">
        <v>30</v>
      </c>
      <c r="BY58" s="333">
        <v>30</v>
      </c>
      <c r="BZ58" s="257">
        <v>0.08</v>
      </c>
      <c r="CA58" s="257">
        <v>0.08</v>
      </c>
      <c r="CB58" s="257">
        <v>0.08</v>
      </c>
      <c r="CC58" s="257">
        <v>0.08</v>
      </c>
    </row>
    <row r="59" spans="1:81" s="256" customFormat="1" x14ac:dyDescent="0.35">
      <c r="A59" s="522"/>
      <c r="B59" s="331" t="str">
        <f t="shared" si="97"/>
        <v>RPU_ON_SP277-HH100</v>
      </c>
      <c r="C59" s="98" t="s">
        <v>184</v>
      </c>
      <c r="D59" s="251" t="s">
        <v>43</v>
      </c>
      <c r="E59" s="506" t="s">
        <v>470</v>
      </c>
      <c r="F59" s="6">
        <f t="shared" si="58"/>
        <v>54</v>
      </c>
      <c r="G59" s="252">
        <v>1</v>
      </c>
      <c r="H59" s="332" t="s">
        <v>395</v>
      </c>
      <c r="I59" s="332" t="s">
        <v>396</v>
      </c>
      <c r="J59" s="255">
        <v>0</v>
      </c>
      <c r="K59" s="255" t="s">
        <v>12</v>
      </c>
      <c r="L59" s="255">
        <v>1</v>
      </c>
      <c r="M59" s="255">
        <v>0</v>
      </c>
      <c r="N59" s="407">
        <v>0</v>
      </c>
      <c r="O59" s="255">
        <v>0</v>
      </c>
      <c r="P59" s="255">
        <v>0</v>
      </c>
      <c r="Q59" s="254">
        <f t="shared" si="92"/>
        <v>2000000</v>
      </c>
      <c r="R59" s="260">
        <v>0</v>
      </c>
      <c r="S59" s="260">
        <v>0</v>
      </c>
      <c r="T59" s="260">
        <v>0</v>
      </c>
      <c r="U59" s="316">
        <v>0</v>
      </c>
      <c r="V59" s="256">
        <v>0</v>
      </c>
      <c r="W59" s="256">
        <v>0</v>
      </c>
      <c r="X59" s="256">
        <v>0</v>
      </c>
      <c r="Y59" s="254">
        <v>0</v>
      </c>
      <c r="Z59" s="256">
        <v>0</v>
      </c>
      <c r="AA59" s="256">
        <v>0</v>
      </c>
      <c r="AB59" s="256">
        <v>0</v>
      </c>
      <c r="AC59" s="254">
        <v>0</v>
      </c>
      <c r="AD59" s="257">
        <v>0</v>
      </c>
      <c r="AE59" s="257">
        <v>0</v>
      </c>
      <c r="AF59" s="257">
        <v>0</v>
      </c>
      <c r="AG59" s="258">
        <v>0</v>
      </c>
      <c r="AH59" s="257">
        <v>1</v>
      </c>
      <c r="AI59" s="257">
        <v>1</v>
      </c>
      <c r="AJ59" s="257">
        <v>1</v>
      </c>
      <c r="AK59" s="258">
        <v>1</v>
      </c>
      <c r="AL59" s="257">
        <v>1</v>
      </c>
      <c r="AM59" s="257">
        <v>1</v>
      </c>
      <c r="AN59" s="257">
        <v>1</v>
      </c>
      <c r="AO59" s="258">
        <v>1</v>
      </c>
      <c r="AP59" s="256">
        <v>0</v>
      </c>
      <c r="AQ59" s="256">
        <v>0</v>
      </c>
      <c r="AR59" s="256">
        <v>0</v>
      </c>
      <c r="AS59" s="254">
        <v>0</v>
      </c>
      <c r="AT59" s="256">
        <v>1414.9828559823698</v>
      </c>
      <c r="AU59" s="256">
        <v>1313.9126519836288</v>
      </c>
      <c r="AV59" s="256">
        <v>1238.1099989845734</v>
      </c>
      <c r="AW59" s="254">
        <v>1212.8424479848879</v>
      </c>
      <c r="AX59" s="256">
        <v>14.599060000000001</v>
      </c>
      <c r="AY59" s="256">
        <v>13.139154000000001</v>
      </c>
      <c r="AZ59" s="256">
        <v>12.088021680000002</v>
      </c>
      <c r="BA59" s="254">
        <v>11.8252386</v>
      </c>
      <c r="BB59" s="256">
        <v>1.5641850000000001E-3</v>
      </c>
      <c r="BC59" s="256">
        <v>1.4077665000000001E-3</v>
      </c>
      <c r="BD59" s="256">
        <v>1.2930596E-3</v>
      </c>
      <c r="BE59" s="254">
        <v>1.2722038E-3</v>
      </c>
      <c r="BF59" s="256">
        <v>0</v>
      </c>
      <c r="BG59" s="256">
        <v>0</v>
      </c>
      <c r="BH59" s="256">
        <v>0</v>
      </c>
      <c r="BI59" s="254">
        <v>0</v>
      </c>
      <c r="BJ59" s="491">
        <v>55.12222222222222</v>
      </c>
      <c r="BK59" s="451">
        <v>0</v>
      </c>
      <c r="BL59" s="451">
        <v>0</v>
      </c>
      <c r="BM59" s="452">
        <v>0</v>
      </c>
      <c r="BN59" s="256">
        <v>0</v>
      </c>
      <c r="BO59" s="256">
        <v>0</v>
      </c>
      <c r="BP59" s="256">
        <v>0</v>
      </c>
      <c r="BQ59" s="254">
        <v>0</v>
      </c>
      <c r="BR59" s="256">
        <f t="shared" si="102"/>
        <v>9.1448096207564403E-2</v>
      </c>
      <c r="BS59" s="256">
        <f t="shared" si="103"/>
        <v>8.8827433387272267E-2</v>
      </c>
      <c r="BT59" s="256">
        <f t="shared" si="104"/>
        <v>8.8827433387272267E-2</v>
      </c>
      <c r="BU59" s="254">
        <f t="shared" si="105"/>
        <v>8.8827433387272267E-2</v>
      </c>
      <c r="BV59" s="259">
        <v>27</v>
      </c>
      <c r="BW59" s="259">
        <v>30</v>
      </c>
      <c r="BX59" s="259">
        <v>30</v>
      </c>
      <c r="BY59" s="333">
        <v>30</v>
      </c>
      <c r="BZ59" s="257">
        <v>0.08</v>
      </c>
      <c r="CA59" s="257">
        <v>0.08</v>
      </c>
      <c r="CB59" s="257">
        <v>0.08</v>
      </c>
      <c r="CC59" s="257">
        <v>0.08</v>
      </c>
    </row>
    <row r="60" spans="1:81" s="256" customFormat="1" x14ac:dyDescent="0.35">
      <c r="A60" s="522"/>
      <c r="B60" s="331" t="str">
        <f t="shared" si="97"/>
        <v>RPU_ON_SP277-HH150</v>
      </c>
      <c r="C60" s="98" t="s">
        <v>184</v>
      </c>
      <c r="D60" s="251" t="s">
        <v>44</v>
      </c>
      <c r="E60" s="506" t="s">
        <v>470</v>
      </c>
      <c r="F60" s="6">
        <f t="shared" si="58"/>
        <v>55</v>
      </c>
      <c r="G60" s="252">
        <v>1</v>
      </c>
      <c r="H60" s="332" t="s">
        <v>395</v>
      </c>
      <c r="I60" s="332" t="s">
        <v>396</v>
      </c>
      <c r="J60" s="255">
        <v>0</v>
      </c>
      <c r="K60" s="255" t="s">
        <v>12</v>
      </c>
      <c r="L60" s="255">
        <v>1</v>
      </c>
      <c r="M60" s="255">
        <v>0</v>
      </c>
      <c r="N60" s="407">
        <v>0</v>
      </c>
      <c r="O60" s="255">
        <v>0</v>
      </c>
      <c r="P60" s="255">
        <v>0</v>
      </c>
      <c r="Q60" s="254">
        <f t="shared" si="92"/>
        <v>2000000</v>
      </c>
      <c r="R60" s="260">
        <v>0</v>
      </c>
      <c r="S60" s="260">
        <v>0</v>
      </c>
      <c r="T60" s="260">
        <v>0</v>
      </c>
      <c r="U60" s="316">
        <v>0</v>
      </c>
      <c r="V60" s="256">
        <v>0</v>
      </c>
      <c r="W60" s="256">
        <v>0</v>
      </c>
      <c r="X60" s="256">
        <v>0</v>
      </c>
      <c r="Y60" s="254">
        <v>0</v>
      </c>
      <c r="Z60" s="256">
        <v>0</v>
      </c>
      <c r="AA60" s="256">
        <v>0</v>
      </c>
      <c r="AB60" s="256">
        <v>0</v>
      </c>
      <c r="AC60" s="254">
        <v>0</v>
      </c>
      <c r="AD60" s="257">
        <v>0</v>
      </c>
      <c r="AE60" s="257">
        <v>0</v>
      </c>
      <c r="AF60" s="257">
        <v>0</v>
      </c>
      <c r="AG60" s="258">
        <v>0</v>
      </c>
      <c r="AH60" s="257">
        <v>1</v>
      </c>
      <c r="AI60" s="257">
        <v>1</v>
      </c>
      <c r="AJ60" s="257">
        <v>1</v>
      </c>
      <c r="AK60" s="258">
        <v>1</v>
      </c>
      <c r="AL60" s="257">
        <v>1</v>
      </c>
      <c r="AM60" s="257">
        <v>1</v>
      </c>
      <c r="AN60" s="257">
        <v>1</v>
      </c>
      <c r="AO60" s="258">
        <v>1</v>
      </c>
      <c r="AP60" s="256">
        <v>0</v>
      </c>
      <c r="AQ60" s="256">
        <v>0</v>
      </c>
      <c r="AR60" s="256">
        <v>0</v>
      </c>
      <c r="AS60" s="254">
        <v>0</v>
      </c>
      <c r="AT60" s="256">
        <v>1807.6939511361822</v>
      </c>
      <c r="AU60" s="256">
        <v>1678.5729546264547</v>
      </c>
      <c r="AV60" s="256">
        <v>1581.7322072441593</v>
      </c>
      <c r="AW60" s="254">
        <v>1549.4519581167272</v>
      </c>
      <c r="AX60" s="256">
        <v>14.599060000000001</v>
      </c>
      <c r="AY60" s="256">
        <v>13.139154000000001</v>
      </c>
      <c r="AZ60" s="256">
        <v>12.088021680000002</v>
      </c>
      <c r="BA60" s="254">
        <v>11.8252386</v>
      </c>
      <c r="BB60" s="256">
        <v>1.5641850000000001E-3</v>
      </c>
      <c r="BC60" s="256">
        <v>1.4077665000000001E-3</v>
      </c>
      <c r="BD60" s="256">
        <v>1.2930596E-3</v>
      </c>
      <c r="BE60" s="254">
        <v>1.2722038E-3</v>
      </c>
      <c r="BF60" s="256">
        <v>0</v>
      </c>
      <c r="BG60" s="256">
        <v>0</v>
      </c>
      <c r="BH60" s="256">
        <v>0</v>
      </c>
      <c r="BI60" s="254">
        <v>0</v>
      </c>
      <c r="BJ60" s="491">
        <v>55.12222222222222</v>
      </c>
      <c r="BK60" s="451">
        <v>0</v>
      </c>
      <c r="BL60" s="451">
        <v>0</v>
      </c>
      <c r="BM60" s="452">
        <v>0</v>
      </c>
      <c r="BN60" s="256">
        <v>0</v>
      </c>
      <c r="BO60" s="256">
        <v>0</v>
      </c>
      <c r="BP60" s="256">
        <v>0</v>
      </c>
      <c r="BQ60" s="254">
        <v>0</v>
      </c>
      <c r="BR60" s="256">
        <f t="shared" si="102"/>
        <v>9.1448096207564403E-2</v>
      </c>
      <c r="BS60" s="256">
        <f t="shared" si="103"/>
        <v>8.8827433387272267E-2</v>
      </c>
      <c r="BT60" s="256">
        <f t="shared" si="104"/>
        <v>8.8827433387272267E-2</v>
      </c>
      <c r="BU60" s="254">
        <f t="shared" si="105"/>
        <v>8.8827433387272267E-2</v>
      </c>
      <c r="BV60" s="259">
        <v>27</v>
      </c>
      <c r="BW60" s="259">
        <v>30</v>
      </c>
      <c r="BX60" s="259">
        <v>30</v>
      </c>
      <c r="BY60" s="333">
        <v>30</v>
      </c>
      <c r="BZ60" s="257">
        <v>0.08</v>
      </c>
      <c r="CA60" s="257">
        <v>0.08</v>
      </c>
      <c r="CB60" s="257">
        <v>0.08</v>
      </c>
      <c r="CC60" s="257">
        <v>0.08</v>
      </c>
    </row>
    <row r="61" spans="1:81" s="256" customFormat="1" x14ac:dyDescent="0.35">
      <c r="A61" s="522"/>
      <c r="B61" s="331" t="str">
        <f t="shared" si="97"/>
        <v>RPU_ON_SP321-HH100</v>
      </c>
      <c r="C61" s="98" t="s">
        <v>184</v>
      </c>
      <c r="D61" s="251" t="s">
        <v>45</v>
      </c>
      <c r="E61" s="506" t="s">
        <v>470</v>
      </c>
      <c r="F61" s="6">
        <f t="shared" si="58"/>
        <v>56</v>
      </c>
      <c r="G61" s="252">
        <v>1</v>
      </c>
      <c r="H61" s="332" t="s">
        <v>395</v>
      </c>
      <c r="I61" s="332" t="s">
        <v>396</v>
      </c>
      <c r="J61" s="255">
        <v>0</v>
      </c>
      <c r="K61" s="255" t="s">
        <v>12</v>
      </c>
      <c r="L61" s="255">
        <v>1</v>
      </c>
      <c r="M61" s="255">
        <v>0</v>
      </c>
      <c r="N61" s="407">
        <v>0</v>
      </c>
      <c r="O61" s="255">
        <v>0</v>
      </c>
      <c r="P61" s="255">
        <v>0</v>
      </c>
      <c r="Q61" s="254">
        <f t="shared" si="92"/>
        <v>2000000</v>
      </c>
      <c r="R61" s="260">
        <v>0</v>
      </c>
      <c r="S61" s="260">
        <v>0</v>
      </c>
      <c r="T61" s="260">
        <v>0</v>
      </c>
      <c r="U61" s="316">
        <v>0</v>
      </c>
      <c r="V61" s="256">
        <v>0</v>
      </c>
      <c r="W61" s="256">
        <v>0</v>
      </c>
      <c r="X61" s="256">
        <v>0</v>
      </c>
      <c r="Y61" s="254">
        <v>0</v>
      </c>
      <c r="Z61" s="256">
        <v>0</v>
      </c>
      <c r="AA61" s="256">
        <v>0</v>
      </c>
      <c r="AB61" s="256">
        <v>0</v>
      </c>
      <c r="AC61" s="254">
        <v>0</v>
      </c>
      <c r="AD61" s="257">
        <v>0</v>
      </c>
      <c r="AE61" s="257">
        <v>0</v>
      </c>
      <c r="AF61" s="257">
        <v>0</v>
      </c>
      <c r="AG61" s="258">
        <v>0</v>
      </c>
      <c r="AH61" s="257">
        <v>1</v>
      </c>
      <c r="AI61" s="257">
        <v>1</v>
      </c>
      <c r="AJ61" s="257">
        <v>1</v>
      </c>
      <c r="AK61" s="258">
        <v>1</v>
      </c>
      <c r="AL61" s="257">
        <v>1</v>
      </c>
      <c r="AM61" s="257">
        <v>1</v>
      </c>
      <c r="AN61" s="257">
        <v>1</v>
      </c>
      <c r="AO61" s="258">
        <v>1</v>
      </c>
      <c r="AP61" s="256">
        <v>0</v>
      </c>
      <c r="AQ61" s="256">
        <v>0</v>
      </c>
      <c r="AR61" s="256">
        <v>0</v>
      </c>
      <c r="AS61" s="254">
        <v>0</v>
      </c>
      <c r="AT61" s="256">
        <v>1301.2947800734096</v>
      </c>
      <c r="AU61" s="256">
        <v>1208.3451529253089</v>
      </c>
      <c r="AV61" s="256">
        <v>1138.6329325642334</v>
      </c>
      <c r="AW61" s="254">
        <v>1115.3955257772077</v>
      </c>
      <c r="AX61" s="256">
        <v>14.599060000000001</v>
      </c>
      <c r="AY61" s="256">
        <v>13.139154000000001</v>
      </c>
      <c r="AZ61" s="256">
        <v>12.088021680000002</v>
      </c>
      <c r="BA61" s="254">
        <v>11.8252386</v>
      </c>
      <c r="BB61" s="256">
        <v>1.5641850000000001E-3</v>
      </c>
      <c r="BC61" s="256">
        <v>1.4077665000000001E-3</v>
      </c>
      <c r="BD61" s="256">
        <v>1.2930596E-3</v>
      </c>
      <c r="BE61" s="254">
        <v>1.2722038E-3</v>
      </c>
      <c r="BF61" s="256">
        <v>0</v>
      </c>
      <c r="BG61" s="256">
        <v>0</v>
      </c>
      <c r="BH61" s="256">
        <v>0</v>
      </c>
      <c r="BI61" s="254">
        <v>0</v>
      </c>
      <c r="BJ61" s="491">
        <v>55.12222222222222</v>
      </c>
      <c r="BK61" s="451">
        <v>0</v>
      </c>
      <c r="BL61" s="451">
        <v>0</v>
      </c>
      <c r="BM61" s="452">
        <v>0</v>
      </c>
      <c r="BN61" s="256">
        <v>0</v>
      </c>
      <c r="BO61" s="256">
        <v>0</v>
      </c>
      <c r="BP61" s="256">
        <v>0</v>
      </c>
      <c r="BQ61" s="254">
        <v>0</v>
      </c>
      <c r="BR61" s="256">
        <f t="shared" si="102"/>
        <v>9.1448096207564403E-2</v>
      </c>
      <c r="BS61" s="256">
        <f t="shared" si="103"/>
        <v>8.8827433387272267E-2</v>
      </c>
      <c r="BT61" s="256">
        <f t="shared" si="104"/>
        <v>8.8827433387272267E-2</v>
      </c>
      <c r="BU61" s="254">
        <f t="shared" si="105"/>
        <v>8.8827433387272267E-2</v>
      </c>
      <c r="BV61" s="259">
        <v>27</v>
      </c>
      <c r="BW61" s="259">
        <v>30</v>
      </c>
      <c r="BX61" s="259">
        <v>30</v>
      </c>
      <c r="BY61" s="333">
        <v>30</v>
      </c>
      <c r="BZ61" s="257">
        <v>0.08</v>
      </c>
      <c r="CA61" s="257">
        <v>0.08</v>
      </c>
      <c r="CB61" s="257">
        <v>0.08</v>
      </c>
      <c r="CC61" s="257">
        <v>0.08</v>
      </c>
    </row>
    <row r="62" spans="1:81" s="256" customFormat="1" x14ac:dyDescent="0.35">
      <c r="A62" s="522"/>
      <c r="B62" s="331" t="str">
        <f t="shared" si="97"/>
        <v>RPU_ON_SP321-HH150</v>
      </c>
      <c r="C62" s="98" t="s">
        <v>184</v>
      </c>
      <c r="D62" s="251" t="s">
        <v>46</v>
      </c>
      <c r="E62" s="506" t="s">
        <v>470</v>
      </c>
      <c r="F62" s="6">
        <f t="shared" si="58"/>
        <v>57</v>
      </c>
      <c r="G62" s="252">
        <v>1</v>
      </c>
      <c r="H62" s="332" t="s">
        <v>395</v>
      </c>
      <c r="I62" s="332" t="s">
        <v>396</v>
      </c>
      <c r="J62" s="255">
        <v>0</v>
      </c>
      <c r="K62" s="255" t="s">
        <v>12</v>
      </c>
      <c r="L62" s="255">
        <v>1</v>
      </c>
      <c r="M62" s="255">
        <v>0</v>
      </c>
      <c r="N62" s="407">
        <v>0</v>
      </c>
      <c r="O62" s="255">
        <v>0</v>
      </c>
      <c r="P62" s="255">
        <v>0</v>
      </c>
      <c r="Q62" s="254">
        <f t="shared" si="92"/>
        <v>2000000</v>
      </c>
      <c r="R62" s="260">
        <v>0</v>
      </c>
      <c r="S62" s="260">
        <v>0</v>
      </c>
      <c r="T62" s="260">
        <v>0</v>
      </c>
      <c r="U62" s="316">
        <v>0</v>
      </c>
      <c r="V62" s="256">
        <v>0</v>
      </c>
      <c r="W62" s="256">
        <v>0</v>
      </c>
      <c r="X62" s="256">
        <v>0</v>
      </c>
      <c r="Y62" s="254">
        <v>0</v>
      </c>
      <c r="Z62" s="256">
        <v>0</v>
      </c>
      <c r="AA62" s="256">
        <v>0</v>
      </c>
      <c r="AB62" s="256">
        <v>0</v>
      </c>
      <c r="AC62" s="254">
        <v>0</v>
      </c>
      <c r="AD62" s="257">
        <v>0</v>
      </c>
      <c r="AE62" s="257">
        <v>0</v>
      </c>
      <c r="AF62" s="257">
        <v>0</v>
      </c>
      <c r="AG62" s="258">
        <v>0</v>
      </c>
      <c r="AH62" s="257">
        <v>1</v>
      </c>
      <c r="AI62" s="257">
        <v>1</v>
      </c>
      <c r="AJ62" s="257">
        <v>1</v>
      </c>
      <c r="AK62" s="258">
        <v>1</v>
      </c>
      <c r="AL62" s="257">
        <v>1</v>
      </c>
      <c r="AM62" s="257">
        <v>1</v>
      </c>
      <c r="AN62" s="257">
        <v>1</v>
      </c>
      <c r="AO62" s="258">
        <v>1</v>
      </c>
      <c r="AP62" s="256">
        <v>0</v>
      </c>
      <c r="AQ62" s="256">
        <v>0</v>
      </c>
      <c r="AR62" s="256">
        <v>0</v>
      </c>
      <c r="AS62" s="254">
        <v>0</v>
      </c>
      <c r="AT62" s="256">
        <v>1694.0063453254108</v>
      </c>
      <c r="AU62" s="256">
        <v>1573.0058920878812</v>
      </c>
      <c r="AV62" s="256">
        <v>1482.2555521597342</v>
      </c>
      <c r="AW62" s="254">
        <v>1452.0054388503518</v>
      </c>
      <c r="AX62" s="256">
        <v>14.599060000000001</v>
      </c>
      <c r="AY62" s="256">
        <v>13.139154000000001</v>
      </c>
      <c r="AZ62" s="256">
        <v>12.088021680000002</v>
      </c>
      <c r="BA62" s="254">
        <v>11.8252386</v>
      </c>
      <c r="BB62" s="256">
        <v>1.5641850000000001E-3</v>
      </c>
      <c r="BC62" s="256">
        <v>1.4077665000000001E-3</v>
      </c>
      <c r="BD62" s="256">
        <v>1.2930596E-3</v>
      </c>
      <c r="BE62" s="254">
        <v>1.2722038E-3</v>
      </c>
      <c r="BF62" s="256">
        <v>0</v>
      </c>
      <c r="BG62" s="256">
        <v>0</v>
      </c>
      <c r="BH62" s="256">
        <v>0</v>
      </c>
      <c r="BI62" s="254">
        <v>0</v>
      </c>
      <c r="BJ62" s="491">
        <v>55.12222222222222</v>
      </c>
      <c r="BK62" s="451">
        <v>0</v>
      </c>
      <c r="BL62" s="451">
        <v>0</v>
      </c>
      <c r="BM62" s="452">
        <v>0</v>
      </c>
      <c r="BN62" s="256">
        <v>0</v>
      </c>
      <c r="BO62" s="256">
        <v>0</v>
      </c>
      <c r="BP62" s="256">
        <v>0</v>
      </c>
      <c r="BQ62" s="254">
        <v>0</v>
      </c>
      <c r="BR62" s="256">
        <f t="shared" si="102"/>
        <v>9.1448096207564403E-2</v>
      </c>
      <c r="BS62" s="256">
        <f t="shared" si="103"/>
        <v>8.8827433387272267E-2</v>
      </c>
      <c r="BT62" s="256">
        <f t="shared" si="104"/>
        <v>8.8827433387272267E-2</v>
      </c>
      <c r="BU62" s="254">
        <f t="shared" si="105"/>
        <v>8.8827433387272267E-2</v>
      </c>
      <c r="BV62" s="259">
        <v>27</v>
      </c>
      <c r="BW62" s="259">
        <v>30</v>
      </c>
      <c r="BX62" s="259">
        <v>30</v>
      </c>
      <c r="BY62" s="333">
        <v>30</v>
      </c>
      <c r="BZ62" s="257">
        <v>0.08</v>
      </c>
      <c r="CA62" s="257">
        <v>0.08</v>
      </c>
      <c r="CB62" s="257">
        <v>0.08</v>
      </c>
      <c r="CC62" s="257">
        <v>0.08</v>
      </c>
    </row>
    <row r="63" spans="1:81" s="266" customFormat="1" x14ac:dyDescent="0.35">
      <c r="A63" s="522"/>
      <c r="B63" s="334" t="str">
        <f t="shared" si="97"/>
        <v>RPU_OFF_SP379-HH100</v>
      </c>
      <c r="C63" s="261" t="s">
        <v>184</v>
      </c>
      <c r="D63" s="262" t="s">
        <v>47</v>
      </c>
      <c r="E63" s="510" t="s">
        <v>471</v>
      </c>
      <c r="F63" s="6">
        <f t="shared" si="58"/>
        <v>58</v>
      </c>
      <c r="G63" s="263">
        <v>1</v>
      </c>
      <c r="H63" s="335" t="s">
        <v>395</v>
      </c>
      <c r="I63" s="335" t="s">
        <v>396</v>
      </c>
      <c r="J63" s="265">
        <v>0</v>
      </c>
      <c r="K63" s="265" t="s">
        <v>12</v>
      </c>
      <c r="L63" s="265">
        <v>1</v>
      </c>
      <c r="M63" s="265">
        <v>0</v>
      </c>
      <c r="N63" s="421">
        <v>0</v>
      </c>
      <c r="O63" s="265">
        <v>0</v>
      </c>
      <c r="P63" s="265">
        <v>0</v>
      </c>
      <c r="Q63" s="264">
        <f t="shared" si="92"/>
        <v>2000000</v>
      </c>
      <c r="R63" s="270">
        <v>0</v>
      </c>
      <c r="S63" s="270">
        <v>0</v>
      </c>
      <c r="T63" s="270">
        <v>0</v>
      </c>
      <c r="U63" s="336">
        <v>0</v>
      </c>
      <c r="V63" s="266">
        <v>0</v>
      </c>
      <c r="W63" s="266">
        <v>0</v>
      </c>
      <c r="X63" s="266">
        <v>0</v>
      </c>
      <c r="Y63" s="264">
        <v>0</v>
      </c>
      <c r="Z63" s="266">
        <v>0</v>
      </c>
      <c r="AA63" s="266">
        <v>0</v>
      </c>
      <c r="AB63" s="266">
        <v>0</v>
      </c>
      <c r="AC63" s="264">
        <v>0</v>
      </c>
      <c r="AD63" s="267">
        <v>0</v>
      </c>
      <c r="AE63" s="267">
        <v>0</v>
      </c>
      <c r="AF63" s="267">
        <v>0</v>
      </c>
      <c r="AG63" s="268">
        <v>0</v>
      </c>
      <c r="AH63" s="267">
        <v>1</v>
      </c>
      <c r="AI63" s="267">
        <v>1</v>
      </c>
      <c r="AJ63" s="267">
        <v>1</v>
      </c>
      <c r="AK63" s="268">
        <v>1</v>
      </c>
      <c r="AL63" s="267">
        <v>1</v>
      </c>
      <c r="AM63" s="267">
        <v>1</v>
      </c>
      <c r="AN63" s="267">
        <v>1</v>
      </c>
      <c r="AO63" s="268">
        <v>1</v>
      </c>
      <c r="AP63" s="266">
        <v>0</v>
      </c>
      <c r="AQ63" s="266">
        <v>0</v>
      </c>
      <c r="AR63" s="266">
        <v>0</v>
      </c>
      <c r="AS63" s="264">
        <v>0</v>
      </c>
      <c r="AT63" s="266">
        <v>2205.1904479084506</v>
      </c>
      <c r="AU63" s="266">
        <v>1998.1303119546053</v>
      </c>
      <c r="AV63" s="266">
        <v>1873.8942303822985</v>
      </c>
      <c r="AW63" s="264">
        <v>1842.8352099892215</v>
      </c>
      <c r="AX63" s="266">
        <v>41.773124610000004</v>
      </c>
      <c r="AY63" s="266">
        <v>37.595707870000005</v>
      </c>
      <c r="AZ63" s="266">
        <v>34.588301510000008</v>
      </c>
      <c r="BA63" s="264">
        <v>33.836449920000007</v>
      </c>
      <c r="BB63" s="266">
        <v>3.1283700000000001E-3</v>
      </c>
      <c r="BC63" s="266">
        <v>2.8155330000000003E-3</v>
      </c>
      <c r="BD63" s="266">
        <v>2.6069750000000001E-3</v>
      </c>
      <c r="BE63" s="264">
        <v>2.5026960000000004E-3</v>
      </c>
      <c r="BF63" s="266">
        <v>0</v>
      </c>
      <c r="BG63" s="266">
        <v>0</v>
      </c>
      <c r="BH63" s="266">
        <v>0</v>
      </c>
      <c r="BI63" s="264">
        <v>0</v>
      </c>
      <c r="BJ63" s="266">
        <v>53.53</v>
      </c>
      <c r="BK63" s="266">
        <v>0</v>
      </c>
      <c r="BL63" s="266">
        <v>0</v>
      </c>
      <c r="BM63" s="264">
        <v>0</v>
      </c>
      <c r="BN63" s="266">
        <v>0</v>
      </c>
      <c r="BO63" s="266">
        <v>0</v>
      </c>
      <c r="BP63" s="266">
        <v>0</v>
      </c>
      <c r="BQ63" s="264">
        <v>0</v>
      </c>
      <c r="BR63" s="266">
        <f t="shared" si="102"/>
        <v>9.1448096207564403E-2</v>
      </c>
      <c r="BS63" s="266">
        <f t="shared" si="103"/>
        <v>8.8827433387272267E-2</v>
      </c>
      <c r="BT63" s="266">
        <f t="shared" si="104"/>
        <v>8.8827433387272267E-2</v>
      </c>
      <c r="BU63" s="264">
        <f t="shared" si="105"/>
        <v>8.8827433387272267E-2</v>
      </c>
      <c r="BV63" s="269">
        <v>27</v>
      </c>
      <c r="BW63" s="269">
        <v>30</v>
      </c>
      <c r="BX63" s="269">
        <v>30</v>
      </c>
      <c r="BY63" s="337">
        <v>30</v>
      </c>
      <c r="BZ63" s="267">
        <v>0.08</v>
      </c>
      <c r="CA63" s="267">
        <v>0.08</v>
      </c>
      <c r="CB63" s="267">
        <v>0.08</v>
      </c>
      <c r="CC63" s="267">
        <v>0.08</v>
      </c>
    </row>
    <row r="64" spans="1:81" s="266" customFormat="1" x14ac:dyDescent="0.35">
      <c r="A64" s="522"/>
      <c r="B64" s="334" t="str">
        <f t="shared" si="97"/>
        <v>RPU_OFF_SP379-HH150</v>
      </c>
      <c r="C64" s="261" t="s">
        <v>184</v>
      </c>
      <c r="D64" s="262" t="s">
        <v>48</v>
      </c>
      <c r="E64" s="510" t="s">
        <v>471</v>
      </c>
      <c r="F64" s="6">
        <f t="shared" si="58"/>
        <v>59</v>
      </c>
      <c r="G64" s="263">
        <v>1</v>
      </c>
      <c r="H64" s="335" t="s">
        <v>395</v>
      </c>
      <c r="I64" s="335" t="s">
        <v>396</v>
      </c>
      <c r="J64" s="265">
        <v>0</v>
      </c>
      <c r="K64" s="265" t="s">
        <v>12</v>
      </c>
      <c r="L64" s="265">
        <v>1</v>
      </c>
      <c r="M64" s="265">
        <v>0</v>
      </c>
      <c r="N64" s="421">
        <v>0</v>
      </c>
      <c r="O64" s="265">
        <v>0</v>
      </c>
      <c r="P64" s="265">
        <v>0</v>
      </c>
      <c r="Q64" s="264">
        <f t="shared" si="92"/>
        <v>2000000</v>
      </c>
      <c r="R64" s="270">
        <v>0</v>
      </c>
      <c r="S64" s="270">
        <v>0</v>
      </c>
      <c r="T64" s="270">
        <v>0</v>
      </c>
      <c r="U64" s="336">
        <v>0</v>
      </c>
      <c r="V64" s="266">
        <v>0</v>
      </c>
      <c r="W64" s="266">
        <v>0</v>
      </c>
      <c r="X64" s="266">
        <v>0</v>
      </c>
      <c r="Y64" s="264">
        <v>0</v>
      </c>
      <c r="Z64" s="266">
        <v>0</v>
      </c>
      <c r="AA64" s="266">
        <v>0</v>
      </c>
      <c r="AB64" s="266">
        <v>0</v>
      </c>
      <c r="AC64" s="264">
        <v>0</v>
      </c>
      <c r="AD64" s="267">
        <v>0</v>
      </c>
      <c r="AE64" s="267">
        <v>0</v>
      </c>
      <c r="AF64" s="267">
        <v>0</v>
      </c>
      <c r="AG64" s="268">
        <v>0</v>
      </c>
      <c r="AH64" s="267">
        <v>1</v>
      </c>
      <c r="AI64" s="267">
        <v>1</v>
      </c>
      <c r="AJ64" s="267">
        <v>1</v>
      </c>
      <c r="AK64" s="268">
        <v>1</v>
      </c>
      <c r="AL64" s="267">
        <v>1</v>
      </c>
      <c r="AM64" s="267">
        <v>1</v>
      </c>
      <c r="AN64" s="267">
        <v>1</v>
      </c>
      <c r="AO64" s="268">
        <v>1</v>
      </c>
      <c r="AP64" s="266">
        <v>0</v>
      </c>
      <c r="AQ64" s="266">
        <v>0</v>
      </c>
      <c r="AR64" s="266">
        <v>0</v>
      </c>
      <c r="AS64" s="264">
        <v>0</v>
      </c>
      <c r="AT64" s="266">
        <v>2534.6071744804217</v>
      </c>
      <c r="AU64" s="266">
        <v>2296.6158904916497</v>
      </c>
      <c r="AV64" s="266">
        <v>2153.8211200983869</v>
      </c>
      <c r="AW64" s="264">
        <v>2118.1224275000709</v>
      </c>
      <c r="AX64" s="266">
        <v>41.773124610000004</v>
      </c>
      <c r="AY64" s="266">
        <v>37.595707870000005</v>
      </c>
      <c r="AZ64" s="266">
        <v>34.588301510000008</v>
      </c>
      <c r="BA64" s="264">
        <v>33.836449920000007</v>
      </c>
      <c r="BB64" s="266">
        <v>3.1283700000000001E-3</v>
      </c>
      <c r="BC64" s="266">
        <v>2.8155330000000003E-3</v>
      </c>
      <c r="BD64" s="266">
        <v>2.6069750000000001E-3</v>
      </c>
      <c r="BE64" s="264">
        <v>2.5026960000000004E-3</v>
      </c>
      <c r="BF64" s="266">
        <v>0</v>
      </c>
      <c r="BG64" s="266">
        <v>0</v>
      </c>
      <c r="BH64" s="266">
        <v>0</v>
      </c>
      <c r="BI64" s="264">
        <v>0</v>
      </c>
      <c r="BJ64" s="266">
        <v>53.529999999999994</v>
      </c>
      <c r="BK64" s="266">
        <v>0</v>
      </c>
      <c r="BL64" s="266">
        <v>0</v>
      </c>
      <c r="BM64" s="264">
        <v>0</v>
      </c>
      <c r="BN64" s="266">
        <v>0</v>
      </c>
      <c r="BO64" s="266">
        <v>0</v>
      </c>
      <c r="BP64" s="266">
        <v>0</v>
      </c>
      <c r="BQ64" s="264">
        <v>0</v>
      </c>
      <c r="BR64" s="266">
        <f t="shared" si="102"/>
        <v>9.1448096207564403E-2</v>
      </c>
      <c r="BS64" s="266">
        <f t="shared" si="103"/>
        <v>8.8827433387272267E-2</v>
      </c>
      <c r="BT64" s="266">
        <f t="shared" si="104"/>
        <v>8.8827433387272267E-2</v>
      </c>
      <c r="BU64" s="264">
        <f t="shared" si="105"/>
        <v>8.8827433387272267E-2</v>
      </c>
      <c r="BV64" s="269">
        <v>27</v>
      </c>
      <c r="BW64" s="269">
        <v>30</v>
      </c>
      <c r="BX64" s="269">
        <v>30</v>
      </c>
      <c r="BY64" s="337">
        <v>30</v>
      </c>
      <c r="BZ64" s="267">
        <v>0.08</v>
      </c>
      <c r="CA64" s="267">
        <v>0.08</v>
      </c>
      <c r="CB64" s="267">
        <v>0.08</v>
      </c>
      <c r="CC64" s="267">
        <v>0.08</v>
      </c>
    </row>
    <row r="65" spans="1:81" s="266" customFormat="1" x14ac:dyDescent="0.35">
      <c r="A65" s="522"/>
      <c r="B65" s="334" t="str">
        <f t="shared" si="97"/>
        <v>RPU_OFF_SP450-HH100</v>
      </c>
      <c r="C65" s="261" t="s">
        <v>184</v>
      </c>
      <c r="D65" s="262" t="s">
        <v>49</v>
      </c>
      <c r="E65" s="510" t="s">
        <v>471</v>
      </c>
      <c r="F65" s="6">
        <f t="shared" si="58"/>
        <v>60</v>
      </c>
      <c r="G65" s="263">
        <v>1</v>
      </c>
      <c r="H65" s="335" t="s">
        <v>395</v>
      </c>
      <c r="I65" s="335" t="s">
        <v>396</v>
      </c>
      <c r="J65" s="265">
        <v>0</v>
      </c>
      <c r="K65" s="265" t="s">
        <v>12</v>
      </c>
      <c r="L65" s="265">
        <v>1</v>
      </c>
      <c r="M65" s="265">
        <v>0</v>
      </c>
      <c r="N65" s="421">
        <v>0</v>
      </c>
      <c r="O65" s="265">
        <v>0</v>
      </c>
      <c r="P65" s="265">
        <v>0</v>
      </c>
      <c r="Q65" s="264">
        <f t="shared" si="92"/>
        <v>2000000</v>
      </c>
      <c r="R65" s="270">
        <v>0</v>
      </c>
      <c r="S65" s="270">
        <v>0</v>
      </c>
      <c r="T65" s="270">
        <v>0</v>
      </c>
      <c r="U65" s="336">
        <v>0</v>
      </c>
      <c r="V65" s="266">
        <v>0</v>
      </c>
      <c r="W65" s="266">
        <v>0</v>
      </c>
      <c r="X65" s="266">
        <v>0</v>
      </c>
      <c r="Y65" s="264">
        <v>0</v>
      </c>
      <c r="Z65" s="266">
        <v>0</v>
      </c>
      <c r="AA65" s="266">
        <v>0</v>
      </c>
      <c r="AB65" s="266">
        <v>0</v>
      </c>
      <c r="AC65" s="264">
        <v>0</v>
      </c>
      <c r="AD65" s="267">
        <v>0</v>
      </c>
      <c r="AE65" s="267">
        <v>0</v>
      </c>
      <c r="AF65" s="267">
        <v>0</v>
      </c>
      <c r="AG65" s="268">
        <v>0</v>
      </c>
      <c r="AH65" s="267">
        <v>1</v>
      </c>
      <c r="AI65" s="267">
        <v>1</v>
      </c>
      <c r="AJ65" s="267">
        <v>1</v>
      </c>
      <c r="AK65" s="268">
        <v>1</v>
      </c>
      <c r="AL65" s="267">
        <v>1</v>
      </c>
      <c r="AM65" s="267">
        <v>1</v>
      </c>
      <c r="AN65" s="267">
        <v>1</v>
      </c>
      <c r="AO65" s="268">
        <v>1</v>
      </c>
      <c r="AP65" s="266">
        <v>0</v>
      </c>
      <c r="AQ65" s="266">
        <v>0</v>
      </c>
      <c r="AR65" s="266">
        <v>0</v>
      </c>
      <c r="AS65" s="264">
        <v>0</v>
      </c>
      <c r="AT65" s="266">
        <v>1988.1234836201065</v>
      </c>
      <c r="AU65" s="266">
        <v>1801.4452222473265</v>
      </c>
      <c r="AV65" s="266">
        <v>1689.4382654236588</v>
      </c>
      <c r="AW65" s="264">
        <v>1661.4365262177421</v>
      </c>
      <c r="AX65" s="266">
        <v>41.773124610000004</v>
      </c>
      <c r="AY65" s="266">
        <v>37.595707870000005</v>
      </c>
      <c r="AZ65" s="266">
        <v>34.588301510000008</v>
      </c>
      <c r="BA65" s="264">
        <v>33.836449920000007</v>
      </c>
      <c r="BB65" s="266">
        <v>3.1283700000000001E-3</v>
      </c>
      <c r="BC65" s="266">
        <v>2.8155330000000003E-3</v>
      </c>
      <c r="BD65" s="266">
        <v>2.6069750000000001E-3</v>
      </c>
      <c r="BE65" s="264">
        <v>2.5026960000000004E-3</v>
      </c>
      <c r="BF65" s="266">
        <v>0</v>
      </c>
      <c r="BG65" s="266">
        <v>0</v>
      </c>
      <c r="BH65" s="266">
        <v>0</v>
      </c>
      <c r="BI65" s="264">
        <v>0</v>
      </c>
      <c r="BJ65" s="266">
        <v>53.529999999999994</v>
      </c>
      <c r="BK65" s="266">
        <v>0</v>
      </c>
      <c r="BL65" s="266">
        <v>0</v>
      </c>
      <c r="BM65" s="264">
        <v>0</v>
      </c>
      <c r="BN65" s="266">
        <v>0</v>
      </c>
      <c r="BO65" s="266">
        <v>0</v>
      </c>
      <c r="BP65" s="266">
        <v>0</v>
      </c>
      <c r="BQ65" s="264">
        <v>0</v>
      </c>
      <c r="BR65" s="266">
        <f t="shared" si="102"/>
        <v>9.1448096207564403E-2</v>
      </c>
      <c r="BS65" s="266">
        <f t="shared" si="103"/>
        <v>8.8827433387272267E-2</v>
      </c>
      <c r="BT65" s="266">
        <f t="shared" si="104"/>
        <v>8.8827433387272267E-2</v>
      </c>
      <c r="BU65" s="264">
        <f t="shared" si="105"/>
        <v>8.8827433387272267E-2</v>
      </c>
      <c r="BV65" s="269">
        <v>27</v>
      </c>
      <c r="BW65" s="269">
        <v>30</v>
      </c>
      <c r="BX65" s="269">
        <v>30</v>
      </c>
      <c r="BY65" s="337">
        <v>30</v>
      </c>
      <c r="BZ65" s="267">
        <v>0.08</v>
      </c>
      <c r="CA65" s="267">
        <v>0.08</v>
      </c>
      <c r="CB65" s="267">
        <v>0.08</v>
      </c>
      <c r="CC65" s="267">
        <v>0.08</v>
      </c>
    </row>
    <row r="66" spans="1:81" s="266" customFormat="1" x14ac:dyDescent="0.35">
      <c r="A66" s="522"/>
      <c r="B66" s="334" t="str">
        <f t="shared" si="97"/>
        <v>RPU_OFF_SP450-HH150</v>
      </c>
      <c r="C66" s="261" t="s">
        <v>184</v>
      </c>
      <c r="D66" s="262" t="s">
        <v>115</v>
      </c>
      <c r="E66" s="510" t="s">
        <v>471</v>
      </c>
      <c r="F66" s="6">
        <f t="shared" si="58"/>
        <v>61</v>
      </c>
      <c r="G66" s="263">
        <v>1</v>
      </c>
      <c r="H66" s="335" t="s">
        <v>395</v>
      </c>
      <c r="I66" s="335" t="s">
        <v>396</v>
      </c>
      <c r="J66" s="265">
        <v>0</v>
      </c>
      <c r="K66" s="265" t="s">
        <v>12</v>
      </c>
      <c r="L66" s="265">
        <v>1</v>
      </c>
      <c r="M66" s="265">
        <v>0</v>
      </c>
      <c r="N66" s="421">
        <v>0</v>
      </c>
      <c r="O66" s="265">
        <v>0</v>
      </c>
      <c r="P66" s="265">
        <v>0</v>
      </c>
      <c r="Q66" s="264">
        <f t="shared" si="92"/>
        <v>2000000</v>
      </c>
      <c r="R66" s="270">
        <v>0</v>
      </c>
      <c r="S66" s="270">
        <v>0</v>
      </c>
      <c r="T66" s="270">
        <v>0</v>
      </c>
      <c r="U66" s="336">
        <v>0</v>
      </c>
      <c r="V66" s="266">
        <v>0</v>
      </c>
      <c r="W66" s="266">
        <v>0</v>
      </c>
      <c r="X66" s="266">
        <v>0</v>
      </c>
      <c r="Y66" s="264">
        <v>0</v>
      </c>
      <c r="Z66" s="266">
        <v>0</v>
      </c>
      <c r="AA66" s="266">
        <v>0</v>
      </c>
      <c r="AB66" s="266">
        <v>0</v>
      </c>
      <c r="AC66" s="264">
        <v>0</v>
      </c>
      <c r="AD66" s="267">
        <v>0</v>
      </c>
      <c r="AE66" s="267">
        <v>0</v>
      </c>
      <c r="AF66" s="267">
        <v>0</v>
      </c>
      <c r="AG66" s="268">
        <v>0</v>
      </c>
      <c r="AH66" s="267">
        <v>1</v>
      </c>
      <c r="AI66" s="267">
        <v>1</v>
      </c>
      <c r="AJ66" s="267">
        <v>1</v>
      </c>
      <c r="AK66" s="268">
        <v>1</v>
      </c>
      <c r="AL66" s="267">
        <v>1</v>
      </c>
      <c r="AM66" s="267">
        <v>1</v>
      </c>
      <c r="AN66" s="267">
        <v>1</v>
      </c>
      <c r="AO66" s="268">
        <v>1</v>
      </c>
      <c r="AP66" s="266">
        <v>0</v>
      </c>
      <c r="AQ66" s="266">
        <v>0</v>
      </c>
      <c r="AR66" s="266">
        <v>0</v>
      </c>
      <c r="AS66" s="264">
        <v>0</v>
      </c>
      <c r="AT66" s="266">
        <v>2265.5270428386079</v>
      </c>
      <c r="AU66" s="266">
        <v>2052.8014989101002</v>
      </c>
      <c r="AV66" s="266">
        <v>1925.1661725529959</v>
      </c>
      <c r="AW66" s="264">
        <v>1893.2573409637196</v>
      </c>
      <c r="AX66" s="266">
        <v>41.773124610000004</v>
      </c>
      <c r="AY66" s="266">
        <v>37.595707870000005</v>
      </c>
      <c r="AZ66" s="266">
        <v>34.588301510000008</v>
      </c>
      <c r="BA66" s="264">
        <v>33.836449920000007</v>
      </c>
      <c r="BB66" s="266">
        <v>3.1283700000000001E-3</v>
      </c>
      <c r="BC66" s="266">
        <v>2.8155330000000003E-3</v>
      </c>
      <c r="BD66" s="266">
        <v>2.6069750000000001E-3</v>
      </c>
      <c r="BE66" s="264">
        <v>2.5026960000000004E-3</v>
      </c>
      <c r="BF66" s="266">
        <v>0</v>
      </c>
      <c r="BG66" s="266">
        <v>0</v>
      </c>
      <c r="BH66" s="266">
        <v>0</v>
      </c>
      <c r="BI66" s="264">
        <v>0</v>
      </c>
      <c r="BJ66" s="266">
        <v>53.529999999999994</v>
      </c>
      <c r="BK66" s="266">
        <v>0</v>
      </c>
      <c r="BL66" s="266">
        <v>0</v>
      </c>
      <c r="BM66" s="264">
        <v>0</v>
      </c>
      <c r="BN66" s="266">
        <v>0</v>
      </c>
      <c r="BO66" s="266">
        <v>0</v>
      </c>
      <c r="BP66" s="266">
        <v>0</v>
      </c>
      <c r="BQ66" s="264">
        <v>0</v>
      </c>
      <c r="BR66" s="266">
        <f t="shared" si="102"/>
        <v>9.1448096207564403E-2</v>
      </c>
      <c r="BS66" s="266">
        <f t="shared" si="103"/>
        <v>8.8827433387272267E-2</v>
      </c>
      <c r="BT66" s="266">
        <f t="shared" si="104"/>
        <v>8.8827433387272267E-2</v>
      </c>
      <c r="BU66" s="264">
        <f t="shared" si="105"/>
        <v>8.8827433387272267E-2</v>
      </c>
      <c r="BV66" s="269">
        <v>27</v>
      </c>
      <c r="BW66" s="269">
        <v>30</v>
      </c>
      <c r="BX66" s="269">
        <v>30</v>
      </c>
      <c r="BY66" s="337">
        <v>30</v>
      </c>
      <c r="BZ66" s="267">
        <v>0.08</v>
      </c>
      <c r="CA66" s="267">
        <v>0.08</v>
      </c>
      <c r="CB66" s="267">
        <v>0.08</v>
      </c>
      <c r="CC66" s="267">
        <v>0.08</v>
      </c>
    </row>
    <row r="67" spans="1:81" s="112" customFormat="1" ht="14.5" customHeight="1" x14ac:dyDescent="0.35">
      <c r="A67" s="522"/>
      <c r="B67" s="338" t="s">
        <v>328</v>
      </c>
      <c r="C67" s="110" t="s">
        <v>184</v>
      </c>
      <c r="D67" s="339" t="s">
        <v>329</v>
      </c>
      <c r="E67" s="503" t="s">
        <v>86</v>
      </c>
      <c r="F67" s="6">
        <f t="shared" si="58"/>
        <v>62</v>
      </c>
      <c r="G67" s="172">
        <v>1</v>
      </c>
      <c r="H67" s="185" t="s">
        <v>395</v>
      </c>
      <c r="I67" s="185" t="s">
        <v>396</v>
      </c>
      <c r="J67" s="194">
        <v>0</v>
      </c>
      <c r="K67" s="194" t="s">
        <v>12</v>
      </c>
      <c r="L67" s="194">
        <v>0</v>
      </c>
      <c r="M67" s="194">
        <v>0</v>
      </c>
      <c r="N67" s="194">
        <v>0</v>
      </c>
      <c r="O67" s="194">
        <v>0</v>
      </c>
      <c r="P67" s="194">
        <v>1</v>
      </c>
      <c r="Q67" s="207">
        <v>2000000</v>
      </c>
      <c r="R67" s="112">
        <v>0</v>
      </c>
      <c r="S67" s="112">
        <v>0</v>
      </c>
      <c r="T67" s="112">
        <v>0</v>
      </c>
      <c r="U67" s="207">
        <v>0</v>
      </c>
      <c r="V67" s="112">
        <v>0</v>
      </c>
      <c r="W67" s="112">
        <v>0</v>
      </c>
      <c r="X67" s="112">
        <v>0</v>
      </c>
      <c r="Y67" s="207">
        <v>0</v>
      </c>
      <c r="Z67" s="112">
        <v>0</v>
      </c>
      <c r="AA67" s="112">
        <v>0</v>
      </c>
      <c r="AB67" s="112">
        <v>0</v>
      </c>
      <c r="AC67" s="112">
        <v>0</v>
      </c>
      <c r="AD67" s="340">
        <v>0</v>
      </c>
      <c r="AE67" s="340">
        <v>0</v>
      </c>
      <c r="AF67" s="340">
        <v>0</v>
      </c>
      <c r="AG67" s="340">
        <v>0</v>
      </c>
      <c r="AH67" s="340">
        <v>1</v>
      </c>
      <c r="AI67" s="340">
        <v>1</v>
      </c>
      <c r="AJ67" s="340">
        <v>1</v>
      </c>
      <c r="AK67" s="340">
        <v>1</v>
      </c>
      <c r="AL67" s="340">
        <v>1</v>
      </c>
      <c r="AM67" s="340">
        <v>1</v>
      </c>
      <c r="AN67" s="340">
        <v>1</v>
      </c>
      <c r="AO67" s="459">
        <v>1</v>
      </c>
      <c r="AP67" s="112">
        <v>0</v>
      </c>
      <c r="AQ67" s="112">
        <v>0</v>
      </c>
      <c r="AR67" s="112">
        <v>0</v>
      </c>
      <c r="AS67" s="207">
        <v>0</v>
      </c>
      <c r="AT67" s="112">
        <v>3440.462003850032</v>
      </c>
      <c r="AU67" s="112">
        <f>AT67</f>
        <v>3440.462003850032</v>
      </c>
      <c r="AV67" s="112">
        <f t="shared" ref="AV67:AW67" si="106">AU67</f>
        <v>3440.462003850032</v>
      </c>
      <c r="AW67" s="112">
        <f t="shared" si="106"/>
        <v>3440.462003850032</v>
      </c>
      <c r="AX67" s="112">
        <v>59.583829865248902</v>
      </c>
      <c r="AY67" s="112">
        <f>AX67</f>
        <v>59.583829865248902</v>
      </c>
      <c r="AZ67" s="112">
        <f t="shared" ref="AZ67:BA67" si="107">AY67</f>
        <v>59.583829865248902</v>
      </c>
      <c r="BA67" s="112">
        <f t="shared" si="107"/>
        <v>59.583829865248902</v>
      </c>
      <c r="BB67" s="112">
        <v>4.5833715280960696E-3</v>
      </c>
      <c r="BC67" s="112">
        <f>BB67</f>
        <v>4.5833715280960696E-3</v>
      </c>
      <c r="BD67" s="112">
        <f t="shared" ref="BD67:BE67" si="108">BC67</f>
        <v>4.5833715280960696E-3</v>
      </c>
      <c r="BE67" s="112">
        <f t="shared" si="108"/>
        <v>4.5833715280960696E-3</v>
      </c>
      <c r="BF67" s="112">
        <v>0</v>
      </c>
      <c r="BG67" s="112">
        <v>0</v>
      </c>
      <c r="BH67" s="112">
        <v>0</v>
      </c>
      <c r="BI67" s="207">
        <v>0</v>
      </c>
      <c r="BJ67" s="112">
        <f t="shared" ref="BJ67:BJ70" si="109">((6.78*10^7)/(20*10^3))/30</f>
        <v>113</v>
      </c>
      <c r="BK67" s="112">
        <v>0</v>
      </c>
      <c r="BL67" s="112">
        <v>0</v>
      </c>
      <c r="BM67" s="207">
        <v>0</v>
      </c>
      <c r="BN67" s="112">
        <v>0</v>
      </c>
      <c r="BO67" s="112">
        <v>0</v>
      </c>
      <c r="BP67" s="112">
        <v>0</v>
      </c>
      <c r="BQ67" s="207">
        <v>0</v>
      </c>
      <c r="BR67" s="112">
        <f t="shared" si="102"/>
        <v>8.5810517220665614E-2</v>
      </c>
      <c r="BS67" s="112">
        <f t="shared" si="103"/>
        <v>8.5810517220665614E-2</v>
      </c>
      <c r="BT67" s="112">
        <f t="shared" si="104"/>
        <v>8.5810517220665614E-2</v>
      </c>
      <c r="BU67" s="207">
        <f t="shared" si="105"/>
        <v>8.5810517220665614E-2</v>
      </c>
      <c r="BV67" s="113">
        <v>25</v>
      </c>
      <c r="BW67" s="113">
        <v>25</v>
      </c>
      <c r="BX67" s="113">
        <v>25</v>
      </c>
      <c r="BY67" s="239">
        <v>25</v>
      </c>
      <c r="BZ67" s="115">
        <v>7.0000000000000007E-2</v>
      </c>
      <c r="CA67" s="115">
        <v>7.0000000000000007E-2</v>
      </c>
      <c r="CB67" s="115">
        <v>7.0000000000000007E-2</v>
      </c>
      <c r="CC67" s="115">
        <v>7.0000000000000007E-2</v>
      </c>
    </row>
    <row r="68" spans="1:81" s="112" customFormat="1" ht="14.5" customHeight="1" x14ac:dyDescent="0.35">
      <c r="A68" s="522"/>
      <c r="B68" s="338" t="s">
        <v>330</v>
      </c>
      <c r="C68" s="110" t="s">
        <v>184</v>
      </c>
      <c r="D68" s="339" t="s">
        <v>331</v>
      </c>
      <c r="E68" s="503" t="s">
        <v>86</v>
      </c>
      <c r="F68" s="6">
        <f t="shared" si="58"/>
        <v>63</v>
      </c>
      <c r="G68" s="172">
        <v>1</v>
      </c>
      <c r="H68" s="185" t="s">
        <v>395</v>
      </c>
      <c r="I68" s="185" t="s">
        <v>396</v>
      </c>
      <c r="J68" s="194">
        <v>0</v>
      </c>
      <c r="K68" s="194" t="s">
        <v>12</v>
      </c>
      <c r="L68" s="194">
        <v>0</v>
      </c>
      <c r="M68" s="194">
        <v>0</v>
      </c>
      <c r="N68" s="194">
        <v>0</v>
      </c>
      <c r="O68" s="194">
        <v>0</v>
      </c>
      <c r="P68" s="194">
        <v>1</v>
      </c>
      <c r="Q68" s="207">
        <v>2000000</v>
      </c>
      <c r="R68" s="112">
        <v>0</v>
      </c>
      <c r="S68" s="112">
        <v>0</v>
      </c>
      <c r="T68" s="112">
        <v>0</v>
      </c>
      <c r="U68" s="207">
        <v>0</v>
      </c>
      <c r="V68" s="112">
        <v>0</v>
      </c>
      <c r="W68" s="112">
        <v>0</v>
      </c>
      <c r="X68" s="112">
        <v>0</v>
      </c>
      <c r="Y68" s="207">
        <v>0</v>
      </c>
      <c r="Z68" s="112">
        <v>0</v>
      </c>
      <c r="AA68" s="112">
        <v>0</v>
      </c>
      <c r="AB68" s="112">
        <v>0</v>
      </c>
      <c r="AC68" s="112">
        <v>0</v>
      </c>
      <c r="AD68" s="340">
        <v>0</v>
      </c>
      <c r="AE68" s="340">
        <v>0</v>
      </c>
      <c r="AF68" s="340">
        <v>0</v>
      </c>
      <c r="AG68" s="340">
        <v>0</v>
      </c>
      <c r="AH68" s="340">
        <v>1</v>
      </c>
      <c r="AI68" s="340">
        <v>1</v>
      </c>
      <c r="AJ68" s="340">
        <v>1</v>
      </c>
      <c r="AK68" s="340">
        <v>1</v>
      </c>
      <c r="AL68" s="340">
        <v>1</v>
      </c>
      <c r="AM68" s="340">
        <v>1</v>
      </c>
      <c r="AN68" s="340">
        <v>1</v>
      </c>
      <c r="AO68" s="459">
        <v>1</v>
      </c>
      <c r="AP68" s="112">
        <v>0</v>
      </c>
      <c r="AQ68" s="112">
        <v>0</v>
      </c>
      <c r="AR68" s="112">
        <v>0</v>
      </c>
      <c r="AS68" s="207">
        <v>0</v>
      </c>
      <c r="AT68" s="112">
        <v>3440.462003850032</v>
      </c>
      <c r="AU68" s="112">
        <f t="shared" ref="AU68:AW68" si="110">AT68</f>
        <v>3440.462003850032</v>
      </c>
      <c r="AV68" s="112">
        <f t="shared" si="110"/>
        <v>3440.462003850032</v>
      </c>
      <c r="AW68" s="112">
        <f t="shared" si="110"/>
        <v>3440.462003850032</v>
      </c>
      <c r="AX68" s="112">
        <v>60.583829865248902</v>
      </c>
      <c r="AY68" s="112">
        <f t="shared" ref="AY68:BA68" si="111">AX68</f>
        <v>60.583829865248902</v>
      </c>
      <c r="AZ68" s="112">
        <f t="shared" si="111"/>
        <v>60.583829865248902</v>
      </c>
      <c r="BA68" s="112">
        <f t="shared" si="111"/>
        <v>60.583829865248902</v>
      </c>
      <c r="BB68" s="112">
        <v>1.0045833715281001</v>
      </c>
      <c r="BC68" s="112">
        <f t="shared" ref="BC68:BE68" si="112">BB68</f>
        <v>1.0045833715281001</v>
      </c>
      <c r="BD68" s="112">
        <f t="shared" si="112"/>
        <v>1.0045833715281001</v>
      </c>
      <c r="BE68" s="112">
        <f t="shared" si="112"/>
        <v>1.0045833715281001</v>
      </c>
      <c r="BF68" s="112">
        <v>0</v>
      </c>
      <c r="BG68" s="112">
        <v>0</v>
      </c>
      <c r="BH68" s="112">
        <v>0</v>
      </c>
      <c r="BI68" s="207">
        <v>0</v>
      </c>
      <c r="BJ68" s="112">
        <f t="shared" si="109"/>
        <v>113</v>
      </c>
      <c r="BK68" s="112">
        <v>0</v>
      </c>
      <c r="BL68" s="112">
        <v>0</v>
      </c>
      <c r="BM68" s="207">
        <v>0</v>
      </c>
      <c r="BN68" s="112">
        <v>0</v>
      </c>
      <c r="BO68" s="112">
        <v>0</v>
      </c>
      <c r="BP68" s="112">
        <v>0</v>
      </c>
      <c r="BQ68" s="207">
        <v>0</v>
      </c>
      <c r="BR68" s="112">
        <f t="shared" ref="BR68:BR82" si="113">IF(BV68&lt;&gt;0,(BZ68*(1+BZ68)^BV68)/((1+BZ68)^BV68-1),0)</f>
        <v>8.5810517220665614E-2</v>
      </c>
      <c r="BS68" s="112">
        <f t="shared" ref="BS68:BS78" si="114">IF(BW68&lt;&gt;0,(CA68*(1+CA68)^BW68)/((1+CA68)^BW68-1),0)</f>
        <v>8.5810517220665614E-2</v>
      </c>
      <c r="BT68" s="112">
        <f t="shared" ref="BT68:BT78" si="115">IF(BX68&lt;&gt;0,(CB68*(1+CB68)^BX68)/((1+CB68)^BX68-1),0)</f>
        <v>8.5810517220665614E-2</v>
      </c>
      <c r="BU68" s="207">
        <f t="shared" ref="BU68:BU78" si="116">IF(BY68&lt;&gt;0,(CC68*(1+CC68)^BY68)/((1+CC68)^BY68-1),0)</f>
        <v>8.5810517220665614E-2</v>
      </c>
      <c r="BV68" s="113">
        <v>25</v>
      </c>
      <c r="BW68" s="113">
        <v>25</v>
      </c>
      <c r="BX68" s="113">
        <v>25</v>
      </c>
      <c r="BY68" s="239">
        <v>25</v>
      </c>
      <c r="BZ68" s="115">
        <v>7.0000000000000007E-2</v>
      </c>
      <c r="CA68" s="115">
        <v>7.0000000000000007E-2</v>
      </c>
      <c r="CB68" s="115">
        <v>7.0000000000000007E-2</v>
      </c>
      <c r="CC68" s="115">
        <v>7.0000000000000007E-2</v>
      </c>
    </row>
    <row r="69" spans="1:81" s="112" customFormat="1" ht="14.5" customHeight="1" x14ac:dyDescent="0.35">
      <c r="A69" s="522"/>
      <c r="B69" s="338" t="s">
        <v>332</v>
      </c>
      <c r="C69" s="110" t="s">
        <v>184</v>
      </c>
      <c r="D69" s="339" t="s">
        <v>333</v>
      </c>
      <c r="E69" s="503" t="s">
        <v>86</v>
      </c>
      <c r="F69" s="6">
        <f t="shared" si="58"/>
        <v>64</v>
      </c>
      <c r="G69" s="172">
        <v>1</v>
      </c>
      <c r="H69" s="185" t="s">
        <v>395</v>
      </c>
      <c r="I69" s="185" t="s">
        <v>396</v>
      </c>
      <c r="J69" s="194">
        <v>0</v>
      </c>
      <c r="K69" s="194" t="s">
        <v>12</v>
      </c>
      <c r="L69" s="194">
        <v>0</v>
      </c>
      <c r="M69" s="194">
        <v>0</v>
      </c>
      <c r="N69" s="194">
        <v>0</v>
      </c>
      <c r="O69" s="194">
        <v>0</v>
      </c>
      <c r="P69" s="194">
        <v>1</v>
      </c>
      <c r="Q69" s="207">
        <v>2000000</v>
      </c>
      <c r="R69" s="112">
        <v>0</v>
      </c>
      <c r="S69" s="112">
        <v>0</v>
      </c>
      <c r="T69" s="112">
        <v>0</v>
      </c>
      <c r="U69" s="207">
        <v>0</v>
      </c>
      <c r="V69" s="112">
        <v>0</v>
      </c>
      <c r="W69" s="112">
        <v>0</v>
      </c>
      <c r="X69" s="112">
        <v>0</v>
      </c>
      <c r="Y69" s="207">
        <v>0</v>
      </c>
      <c r="Z69" s="112">
        <v>0</v>
      </c>
      <c r="AA69" s="112">
        <v>0</v>
      </c>
      <c r="AB69" s="112">
        <v>0</v>
      </c>
      <c r="AC69" s="112">
        <v>0</v>
      </c>
      <c r="AD69" s="340">
        <v>0</v>
      </c>
      <c r="AE69" s="340">
        <v>0</v>
      </c>
      <c r="AF69" s="340">
        <v>0</v>
      </c>
      <c r="AG69" s="340">
        <v>0</v>
      </c>
      <c r="AH69" s="340">
        <v>1</v>
      </c>
      <c r="AI69" s="340">
        <v>1</v>
      </c>
      <c r="AJ69" s="340">
        <v>1</v>
      </c>
      <c r="AK69" s="340">
        <v>1</v>
      </c>
      <c r="AL69" s="340">
        <v>1</v>
      </c>
      <c r="AM69" s="340">
        <v>1</v>
      </c>
      <c r="AN69" s="340">
        <v>1</v>
      </c>
      <c r="AO69" s="459">
        <v>1</v>
      </c>
      <c r="AP69" s="112">
        <v>0</v>
      </c>
      <c r="AQ69" s="112">
        <v>0</v>
      </c>
      <c r="AR69" s="112">
        <v>0</v>
      </c>
      <c r="AS69" s="207">
        <v>0</v>
      </c>
      <c r="AT69" s="112">
        <v>3440.462003850032</v>
      </c>
      <c r="AU69" s="112">
        <f t="shared" ref="AU69:AW69" si="117">AT69</f>
        <v>3440.462003850032</v>
      </c>
      <c r="AV69" s="112">
        <f t="shared" si="117"/>
        <v>3440.462003850032</v>
      </c>
      <c r="AW69" s="112">
        <f t="shared" si="117"/>
        <v>3440.462003850032</v>
      </c>
      <c r="AX69" s="112">
        <v>61.583829865248902</v>
      </c>
      <c r="AY69" s="112">
        <f t="shared" ref="AY69:BA69" si="118">AX69</f>
        <v>61.583829865248902</v>
      </c>
      <c r="AZ69" s="112">
        <f t="shared" si="118"/>
        <v>61.583829865248902</v>
      </c>
      <c r="BA69" s="112">
        <f t="shared" si="118"/>
        <v>61.583829865248902</v>
      </c>
      <c r="BB69" s="112">
        <v>2.0045833715281001</v>
      </c>
      <c r="BC69" s="112">
        <f t="shared" ref="BC69:BE69" si="119">BB69</f>
        <v>2.0045833715281001</v>
      </c>
      <c r="BD69" s="112">
        <f t="shared" si="119"/>
        <v>2.0045833715281001</v>
      </c>
      <c r="BE69" s="112">
        <f t="shared" si="119"/>
        <v>2.0045833715281001</v>
      </c>
      <c r="BF69" s="112">
        <v>0</v>
      </c>
      <c r="BG69" s="112">
        <v>0</v>
      </c>
      <c r="BH69" s="112">
        <v>0</v>
      </c>
      <c r="BI69" s="207">
        <v>0</v>
      </c>
      <c r="BJ69" s="112">
        <f t="shared" si="109"/>
        <v>113</v>
      </c>
      <c r="BK69" s="112">
        <v>0</v>
      </c>
      <c r="BL69" s="112">
        <v>0</v>
      </c>
      <c r="BM69" s="207">
        <v>0</v>
      </c>
      <c r="BN69" s="112">
        <v>0</v>
      </c>
      <c r="BO69" s="112">
        <v>0</v>
      </c>
      <c r="BP69" s="112">
        <v>0</v>
      </c>
      <c r="BQ69" s="207">
        <v>0</v>
      </c>
      <c r="BR69" s="112">
        <f t="shared" si="113"/>
        <v>8.5810517220665614E-2</v>
      </c>
      <c r="BS69" s="112">
        <f t="shared" si="114"/>
        <v>8.5810517220665614E-2</v>
      </c>
      <c r="BT69" s="112">
        <f t="shared" si="115"/>
        <v>8.5810517220665614E-2</v>
      </c>
      <c r="BU69" s="207">
        <f t="shared" si="116"/>
        <v>8.5810517220665614E-2</v>
      </c>
      <c r="BV69" s="113">
        <v>25</v>
      </c>
      <c r="BW69" s="113">
        <v>25</v>
      </c>
      <c r="BX69" s="113">
        <v>25</v>
      </c>
      <c r="BY69" s="239">
        <v>25</v>
      </c>
      <c r="BZ69" s="115">
        <v>7.0000000000000007E-2</v>
      </c>
      <c r="CA69" s="115">
        <v>7.0000000000000007E-2</v>
      </c>
      <c r="CB69" s="115">
        <v>7.0000000000000007E-2</v>
      </c>
      <c r="CC69" s="115">
        <v>7.0000000000000007E-2</v>
      </c>
    </row>
    <row r="70" spans="1:81" s="112" customFormat="1" ht="14.5" customHeight="1" x14ac:dyDescent="0.35">
      <c r="A70" s="522"/>
      <c r="B70" s="338" t="s">
        <v>334</v>
      </c>
      <c r="C70" s="110" t="s">
        <v>184</v>
      </c>
      <c r="D70" s="339" t="s">
        <v>335</v>
      </c>
      <c r="E70" s="503" t="s">
        <v>86</v>
      </c>
      <c r="F70" s="6">
        <f t="shared" ref="F70:F82" si="120">ROW(D69)-ROW($F$4)</f>
        <v>65</v>
      </c>
      <c r="G70" s="172">
        <v>1</v>
      </c>
      <c r="H70" s="185" t="s">
        <v>395</v>
      </c>
      <c r="I70" s="185" t="s">
        <v>396</v>
      </c>
      <c r="J70" s="194">
        <v>0</v>
      </c>
      <c r="K70" s="194" t="s">
        <v>12</v>
      </c>
      <c r="L70" s="194">
        <v>0</v>
      </c>
      <c r="M70" s="194">
        <v>0</v>
      </c>
      <c r="N70" s="194">
        <v>0</v>
      </c>
      <c r="O70" s="194">
        <v>0</v>
      </c>
      <c r="P70" s="194">
        <v>1</v>
      </c>
      <c r="Q70" s="207">
        <v>2000000</v>
      </c>
      <c r="R70" s="112">
        <v>0</v>
      </c>
      <c r="S70" s="112">
        <v>0</v>
      </c>
      <c r="T70" s="112">
        <v>0</v>
      </c>
      <c r="U70" s="207">
        <v>0</v>
      </c>
      <c r="V70" s="112">
        <v>0</v>
      </c>
      <c r="W70" s="112">
        <v>0</v>
      </c>
      <c r="X70" s="112">
        <v>0</v>
      </c>
      <c r="Y70" s="207">
        <v>0</v>
      </c>
      <c r="Z70" s="112">
        <v>0</v>
      </c>
      <c r="AA70" s="112">
        <v>0</v>
      </c>
      <c r="AB70" s="112">
        <v>0</v>
      </c>
      <c r="AC70" s="112">
        <v>0</v>
      </c>
      <c r="AD70" s="340">
        <v>0</v>
      </c>
      <c r="AE70" s="340">
        <v>0</v>
      </c>
      <c r="AF70" s="340">
        <v>0</v>
      </c>
      <c r="AG70" s="340">
        <v>0</v>
      </c>
      <c r="AH70" s="340">
        <v>1</v>
      </c>
      <c r="AI70" s="340">
        <v>1</v>
      </c>
      <c r="AJ70" s="340">
        <v>1</v>
      </c>
      <c r="AK70" s="340">
        <v>1</v>
      </c>
      <c r="AL70" s="340">
        <v>1</v>
      </c>
      <c r="AM70" s="340">
        <v>1</v>
      </c>
      <c r="AN70" s="340">
        <v>1</v>
      </c>
      <c r="AO70" s="459">
        <v>1</v>
      </c>
      <c r="AP70" s="112">
        <v>0</v>
      </c>
      <c r="AQ70" s="112">
        <v>0</v>
      </c>
      <c r="AR70" s="112">
        <v>0</v>
      </c>
      <c r="AS70" s="207">
        <v>0</v>
      </c>
      <c r="AT70" s="112">
        <v>3440.462003850032</v>
      </c>
      <c r="AU70" s="112">
        <f t="shared" ref="AU70:AW70" si="121">AT70</f>
        <v>3440.462003850032</v>
      </c>
      <c r="AV70" s="112">
        <f t="shared" si="121"/>
        <v>3440.462003850032</v>
      </c>
      <c r="AW70" s="112">
        <f t="shared" si="121"/>
        <v>3440.462003850032</v>
      </c>
      <c r="AX70" s="112">
        <v>62.583829865248902</v>
      </c>
      <c r="AY70" s="112">
        <f t="shared" ref="AY70:BA70" si="122">AX70</f>
        <v>62.583829865248902</v>
      </c>
      <c r="AZ70" s="112">
        <f t="shared" si="122"/>
        <v>62.583829865248902</v>
      </c>
      <c r="BA70" s="112">
        <f t="shared" si="122"/>
        <v>62.583829865248902</v>
      </c>
      <c r="BB70" s="112">
        <v>3.0045833715281001</v>
      </c>
      <c r="BC70" s="112">
        <f t="shared" ref="BC70:BE70" si="123">BB70</f>
        <v>3.0045833715281001</v>
      </c>
      <c r="BD70" s="112">
        <f t="shared" si="123"/>
        <v>3.0045833715281001</v>
      </c>
      <c r="BE70" s="112">
        <f t="shared" si="123"/>
        <v>3.0045833715281001</v>
      </c>
      <c r="BF70" s="112">
        <v>0</v>
      </c>
      <c r="BG70" s="112">
        <v>0</v>
      </c>
      <c r="BH70" s="112">
        <v>0</v>
      </c>
      <c r="BI70" s="207">
        <v>0</v>
      </c>
      <c r="BJ70" s="112">
        <f t="shared" si="109"/>
        <v>113</v>
      </c>
      <c r="BK70" s="112">
        <v>0</v>
      </c>
      <c r="BL70" s="112">
        <v>0</v>
      </c>
      <c r="BM70" s="207">
        <v>0</v>
      </c>
      <c r="BN70" s="112">
        <v>0</v>
      </c>
      <c r="BO70" s="112">
        <v>0</v>
      </c>
      <c r="BP70" s="112">
        <v>0</v>
      </c>
      <c r="BQ70" s="207">
        <v>0</v>
      </c>
      <c r="BR70" s="112">
        <f t="shared" si="113"/>
        <v>8.5810517220665614E-2</v>
      </c>
      <c r="BS70" s="112">
        <f t="shared" si="114"/>
        <v>8.5810517220665614E-2</v>
      </c>
      <c r="BT70" s="112">
        <f t="shared" si="115"/>
        <v>8.5810517220665614E-2</v>
      </c>
      <c r="BU70" s="207">
        <f t="shared" si="116"/>
        <v>8.5810517220665614E-2</v>
      </c>
      <c r="BV70" s="113">
        <v>25</v>
      </c>
      <c r="BW70" s="113">
        <v>25</v>
      </c>
      <c r="BX70" s="113">
        <v>25</v>
      </c>
      <c r="BY70" s="239">
        <v>25</v>
      </c>
      <c r="BZ70" s="115">
        <v>7.0000000000000007E-2</v>
      </c>
      <c r="CA70" s="115">
        <v>7.0000000000000007E-2</v>
      </c>
      <c r="CB70" s="115">
        <v>7.0000000000000007E-2</v>
      </c>
      <c r="CC70" s="115">
        <v>7.0000000000000007E-2</v>
      </c>
    </row>
    <row r="71" spans="1:81" s="348" customFormat="1" ht="14.5" customHeight="1" x14ac:dyDescent="0.35">
      <c r="A71" s="522"/>
      <c r="B71" s="341" t="s">
        <v>14</v>
      </c>
      <c r="C71" s="342" t="s">
        <v>184</v>
      </c>
      <c r="D71" s="343" t="s">
        <v>182</v>
      </c>
      <c r="E71" s="511" t="s">
        <v>86</v>
      </c>
      <c r="F71" s="6">
        <f t="shared" si="120"/>
        <v>66</v>
      </c>
      <c r="G71" s="344">
        <v>1</v>
      </c>
      <c r="H71" s="345" t="s">
        <v>395</v>
      </c>
      <c r="I71" s="345" t="s">
        <v>12</v>
      </c>
      <c r="J71" s="347">
        <v>0</v>
      </c>
      <c r="K71" s="347" t="s">
        <v>12</v>
      </c>
      <c r="L71" s="347">
        <v>0</v>
      </c>
      <c r="M71" s="347">
        <v>0</v>
      </c>
      <c r="N71" s="347">
        <v>0</v>
      </c>
      <c r="O71" s="347">
        <v>0</v>
      </c>
      <c r="P71" s="347">
        <v>-1</v>
      </c>
      <c r="Q71" s="346">
        <v>2000000</v>
      </c>
      <c r="R71" s="348">
        <v>0</v>
      </c>
      <c r="S71" s="348">
        <v>0</v>
      </c>
      <c r="T71" s="348">
        <v>0</v>
      </c>
      <c r="U71" s="346">
        <v>0</v>
      </c>
      <c r="V71" s="348">
        <v>0</v>
      </c>
      <c r="W71" s="348">
        <v>0</v>
      </c>
      <c r="X71" s="348">
        <v>0</v>
      </c>
      <c r="Y71" s="346">
        <v>0</v>
      </c>
      <c r="Z71" s="348">
        <v>0</v>
      </c>
      <c r="AA71" s="348">
        <v>0</v>
      </c>
      <c r="AB71" s="348">
        <v>0</v>
      </c>
      <c r="AC71" s="348">
        <v>0</v>
      </c>
      <c r="AD71" s="349">
        <v>0</v>
      </c>
      <c r="AE71" s="349">
        <v>0</v>
      </c>
      <c r="AF71" s="349">
        <v>0</v>
      </c>
      <c r="AG71" s="349">
        <v>0</v>
      </c>
      <c r="AH71" s="349">
        <v>1</v>
      </c>
      <c r="AI71" s="349">
        <v>1</v>
      </c>
      <c r="AJ71" s="349">
        <v>1</v>
      </c>
      <c r="AK71" s="349">
        <v>1</v>
      </c>
      <c r="AL71" s="349">
        <v>1</v>
      </c>
      <c r="AM71" s="349">
        <v>1</v>
      </c>
      <c r="AN71" s="349">
        <v>1</v>
      </c>
      <c r="AO71" s="460">
        <v>1</v>
      </c>
      <c r="AP71" s="348">
        <v>0</v>
      </c>
      <c r="AQ71" s="348">
        <v>0</v>
      </c>
      <c r="AR71" s="348">
        <v>0</v>
      </c>
      <c r="AS71" s="346">
        <v>0</v>
      </c>
      <c r="AT71" s="348">
        <v>3440.462003850032</v>
      </c>
      <c r="AU71" s="348">
        <f t="shared" ref="AU71:AW71" si="124">AT71</f>
        <v>3440.462003850032</v>
      </c>
      <c r="AV71" s="348">
        <f t="shared" si="124"/>
        <v>3440.462003850032</v>
      </c>
      <c r="AW71" s="348">
        <f t="shared" si="124"/>
        <v>3440.462003850032</v>
      </c>
      <c r="AX71" s="348">
        <v>63.583829865248902</v>
      </c>
      <c r="AY71" s="348">
        <f t="shared" ref="AY71:BA71" si="125">AX71</f>
        <v>63.583829865248902</v>
      </c>
      <c r="AZ71" s="348">
        <f t="shared" si="125"/>
        <v>63.583829865248902</v>
      </c>
      <c r="BA71" s="348">
        <f t="shared" si="125"/>
        <v>63.583829865248902</v>
      </c>
      <c r="BB71" s="348">
        <v>4.0045833715281001</v>
      </c>
      <c r="BC71" s="348">
        <f t="shared" ref="BC71:BE71" si="126">BB71</f>
        <v>4.0045833715281001</v>
      </c>
      <c r="BD71" s="348">
        <f t="shared" si="126"/>
        <v>4.0045833715281001</v>
      </c>
      <c r="BE71" s="348">
        <f t="shared" si="126"/>
        <v>4.0045833715281001</v>
      </c>
      <c r="BF71" s="348">
        <v>0</v>
      </c>
      <c r="BG71" s="348">
        <v>0</v>
      </c>
      <c r="BH71" s="348">
        <v>0</v>
      </c>
      <c r="BI71" s="346">
        <v>0</v>
      </c>
      <c r="BJ71" s="348">
        <v>0</v>
      </c>
      <c r="BK71" s="348">
        <v>0</v>
      </c>
      <c r="BL71" s="348">
        <v>0</v>
      </c>
      <c r="BM71" s="346">
        <v>0</v>
      </c>
      <c r="BN71" s="348">
        <v>0</v>
      </c>
      <c r="BO71" s="348">
        <v>0</v>
      </c>
      <c r="BP71" s="348">
        <v>0</v>
      </c>
      <c r="BQ71" s="346">
        <v>0</v>
      </c>
      <c r="BR71" s="348">
        <f t="shared" si="113"/>
        <v>8.5810517220665614E-2</v>
      </c>
      <c r="BS71" s="348">
        <f t="shared" si="114"/>
        <v>8.5810517220665614E-2</v>
      </c>
      <c r="BT71" s="348">
        <f t="shared" si="115"/>
        <v>8.5810517220665614E-2</v>
      </c>
      <c r="BU71" s="346">
        <f t="shared" si="116"/>
        <v>8.5810517220665614E-2</v>
      </c>
      <c r="BV71" s="350">
        <v>25</v>
      </c>
      <c r="BW71" s="350">
        <v>25</v>
      </c>
      <c r="BX71" s="350">
        <v>25</v>
      </c>
      <c r="BY71" s="454">
        <v>25</v>
      </c>
      <c r="BZ71" s="351">
        <v>7.0000000000000007E-2</v>
      </c>
      <c r="CA71" s="351">
        <v>7.0000000000000007E-2</v>
      </c>
      <c r="CB71" s="351">
        <v>7.0000000000000007E-2</v>
      </c>
      <c r="CC71" s="351">
        <v>7.0000000000000007E-2</v>
      </c>
    </row>
    <row r="72" spans="1:81" s="348" customFormat="1" ht="14.5" customHeight="1" x14ac:dyDescent="0.35">
      <c r="A72" s="522"/>
      <c r="B72" s="341" t="s">
        <v>15</v>
      </c>
      <c r="C72" s="342" t="s">
        <v>184</v>
      </c>
      <c r="D72" s="343" t="s">
        <v>183</v>
      </c>
      <c r="E72" s="511" t="s">
        <v>86</v>
      </c>
      <c r="F72" s="6">
        <f t="shared" si="120"/>
        <v>67</v>
      </c>
      <c r="G72" s="344">
        <v>1</v>
      </c>
      <c r="H72" s="345" t="s">
        <v>395</v>
      </c>
      <c r="I72" s="345" t="s">
        <v>396</v>
      </c>
      <c r="J72" s="347">
        <v>0</v>
      </c>
      <c r="K72" s="347" t="s">
        <v>12</v>
      </c>
      <c r="L72" s="347">
        <v>0</v>
      </c>
      <c r="M72" s="347">
        <v>0</v>
      </c>
      <c r="N72" s="347">
        <v>0</v>
      </c>
      <c r="O72" s="347">
        <v>0</v>
      </c>
      <c r="P72" s="347">
        <v>1</v>
      </c>
      <c r="Q72" s="346">
        <v>2000000</v>
      </c>
      <c r="R72" s="348">
        <v>0</v>
      </c>
      <c r="S72" s="348">
        <v>0</v>
      </c>
      <c r="T72" s="348">
        <v>0</v>
      </c>
      <c r="U72" s="346">
        <v>0</v>
      </c>
      <c r="V72" s="348">
        <v>0</v>
      </c>
      <c r="W72" s="348">
        <v>0</v>
      </c>
      <c r="X72" s="348">
        <v>0</v>
      </c>
      <c r="Y72" s="346">
        <v>0</v>
      </c>
      <c r="Z72" s="348">
        <v>0</v>
      </c>
      <c r="AA72" s="348">
        <v>0</v>
      </c>
      <c r="AB72" s="348">
        <v>0</v>
      </c>
      <c r="AC72" s="348">
        <v>0</v>
      </c>
      <c r="AD72" s="349">
        <v>0</v>
      </c>
      <c r="AE72" s="349">
        <v>0</v>
      </c>
      <c r="AF72" s="349">
        <v>0</v>
      </c>
      <c r="AG72" s="349">
        <v>0</v>
      </c>
      <c r="AH72" s="349">
        <v>1</v>
      </c>
      <c r="AI72" s="349">
        <v>1</v>
      </c>
      <c r="AJ72" s="349">
        <v>1</v>
      </c>
      <c r="AK72" s="349">
        <v>1</v>
      </c>
      <c r="AL72" s="349">
        <v>1</v>
      </c>
      <c r="AM72" s="349">
        <v>1</v>
      </c>
      <c r="AN72" s="349">
        <v>1</v>
      </c>
      <c r="AO72" s="460">
        <v>1</v>
      </c>
      <c r="AP72" s="348">
        <v>0</v>
      </c>
      <c r="AQ72" s="348">
        <v>0</v>
      </c>
      <c r="AR72" s="348">
        <v>0</v>
      </c>
      <c r="AS72" s="346">
        <v>0</v>
      </c>
      <c r="AT72" s="348">
        <v>3440.462003850032</v>
      </c>
      <c r="AU72" s="348">
        <f t="shared" ref="AU72:AW72" si="127">AT72</f>
        <v>3440.462003850032</v>
      </c>
      <c r="AV72" s="348">
        <f t="shared" si="127"/>
        <v>3440.462003850032</v>
      </c>
      <c r="AW72" s="348">
        <f t="shared" si="127"/>
        <v>3440.462003850032</v>
      </c>
      <c r="AX72" s="348">
        <v>64.583829865248902</v>
      </c>
      <c r="AY72" s="348">
        <f t="shared" ref="AY72:BA72" si="128">AX72</f>
        <v>64.583829865248902</v>
      </c>
      <c r="AZ72" s="348">
        <f t="shared" si="128"/>
        <v>64.583829865248902</v>
      </c>
      <c r="BA72" s="348">
        <f t="shared" si="128"/>
        <v>64.583829865248902</v>
      </c>
      <c r="BB72" s="348">
        <v>5.0045833715281001</v>
      </c>
      <c r="BC72" s="348">
        <f t="shared" ref="BC72:BE72" si="129">BB72</f>
        <v>5.0045833715281001</v>
      </c>
      <c r="BD72" s="348">
        <f t="shared" si="129"/>
        <v>5.0045833715281001</v>
      </c>
      <c r="BE72" s="348">
        <f t="shared" si="129"/>
        <v>5.0045833715281001</v>
      </c>
      <c r="BF72" s="348">
        <v>0</v>
      </c>
      <c r="BG72" s="348">
        <v>0</v>
      </c>
      <c r="BH72" s="348">
        <v>0</v>
      </c>
      <c r="BI72" s="346">
        <v>0</v>
      </c>
      <c r="BJ72" s="348">
        <v>0</v>
      </c>
      <c r="BK72" s="348">
        <v>0</v>
      </c>
      <c r="BL72" s="348">
        <v>0</v>
      </c>
      <c r="BM72" s="346">
        <v>0</v>
      </c>
      <c r="BN72" s="348">
        <v>0</v>
      </c>
      <c r="BO72" s="348">
        <v>0</v>
      </c>
      <c r="BP72" s="348">
        <v>0</v>
      </c>
      <c r="BQ72" s="346">
        <v>0</v>
      </c>
      <c r="BR72" s="348">
        <f t="shared" si="113"/>
        <v>8.5810517220665614E-2</v>
      </c>
      <c r="BS72" s="348">
        <f t="shared" si="114"/>
        <v>8.5810517220665614E-2</v>
      </c>
      <c r="BT72" s="348">
        <f t="shared" si="115"/>
        <v>8.5810517220665614E-2</v>
      </c>
      <c r="BU72" s="346">
        <f t="shared" si="116"/>
        <v>8.5810517220665614E-2</v>
      </c>
      <c r="BV72" s="350">
        <v>25</v>
      </c>
      <c r="BW72" s="350">
        <v>25</v>
      </c>
      <c r="BX72" s="350">
        <v>25</v>
      </c>
      <c r="BY72" s="454">
        <v>25</v>
      </c>
      <c r="BZ72" s="351">
        <v>7.0000000000000007E-2</v>
      </c>
      <c r="CA72" s="351">
        <v>7.0000000000000007E-2</v>
      </c>
      <c r="CB72" s="351">
        <v>7.0000000000000007E-2</v>
      </c>
      <c r="CC72" s="351">
        <v>7.0000000000000007E-2</v>
      </c>
    </row>
    <row r="73" spans="1:81" s="359" customFormat="1" ht="14.5" customHeight="1" x14ac:dyDescent="0.35">
      <c r="A73" s="522"/>
      <c r="B73" s="352" t="s">
        <v>16</v>
      </c>
      <c r="C73" s="353" t="s">
        <v>184</v>
      </c>
      <c r="D73" s="354" t="s">
        <v>336</v>
      </c>
      <c r="E73" s="512" t="s">
        <v>86</v>
      </c>
      <c r="F73" s="6">
        <f t="shared" si="120"/>
        <v>68</v>
      </c>
      <c r="G73" s="355">
        <v>1</v>
      </c>
      <c r="H73" s="356" t="s">
        <v>396</v>
      </c>
      <c r="I73" s="356" t="s">
        <v>396</v>
      </c>
      <c r="J73" s="358">
        <v>0</v>
      </c>
      <c r="K73" s="358" t="s">
        <v>12</v>
      </c>
      <c r="L73" s="358">
        <v>0</v>
      </c>
      <c r="M73" s="358">
        <v>0</v>
      </c>
      <c r="N73" s="358">
        <v>0</v>
      </c>
      <c r="O73" s="358">
        <v>0</v>
      </c>
      <c r="P73" s="358">
        <v>0</v>
      </c>
      <c r="Q73" s="357">
        <v>2000000</v>
      </c>
      <c r="R73" s="359">
        <v>0</v>
      </c>
      <c r="S73" s="359">
        <v>0</v>
      </c>
      <c r="T73" s="359">
        <v>0</v>
      </c>
      <c r="U73" s="357">
        <v>0</v>
      </c>
      <c r="V73" s="359">
        <v>0</v>
      </c>
      <c r="W73" s="359">
        <v>0</v>
      </c>
      <c r="X73" s="359">
        <v>0</v>
      </c>
      <c r="Y73" s="357">
        <v>0</v>
      </c>
      <c r="Z73" s="359">
        <v>0</v>
      </c>
      <c r="AA73" s="359">
        <v>0</v>
      </c>
      <c r="AB73" s="359">
        <v>0</v>
      </c>
      <c r="AC73" s="359">
        <v>0</v>
      </c>
      <c r="AD73" s="360">
        <v>0</v>
      </c>
      <c r="AE73" s="360">
        <v>0</v>
      </c>
      <c r="AF73" s="360">
        <v>0</v>
      </c>
      <c r="AG73" s="360">
        <v>0</v>
      </c>
      <c r="AH73" s="360">
        <v>1</v>
      </c>
      <c r="AI73" s="360">
        <v>1</v>
      </c>
      <c r="AJ73" s="360">
        <v>1</v>
      </c>
      <c r="AK73" s="360">
        <v>1</v>
      </c>
      <c r="AL73" s="360">
        <v>1</v>
      </c>
      <c r="AM73" s="360">
        <v>1</v>
      </c>
      <c r="AN73" s="360">
        <v>1</v>
      </c>
      <c r="AO73" s="461">
        <v>1</v>
      </c>
      <c r="AP73" s="359">
        <v>0</v>
      </c>
      <c r="AQ73" s="359">
        <v>0</v>
      </c>
      <c r="AR73" s="359">
        <v>0</v>
      </c>
      <c r="AS73" s="357">
        <v>0</v>
      </c>
      <c r="AT73" s="359">
        <v>3440.462003850032</v>
      </c>
      <c r="AU73" s="359">
        <f t="shared" ref="AU73:AW73" si="130">AT73</f>
        <v>3440.462003850032</v>
      </c>
      <c r="AV73" s="359">
        <f t="shared" si="130"/>
        <v>3440.462003850032</v>
      </c>
      <c r="AW73" s="359">
        <f t="shared" si="130"/>
        <v>3440.462003850032</v>
      </c>
      <c r="AX73" s="359">
        <v>65.583829865248902</v>
      </c>
      <c r="AY73" s="359">
        <f t="shared" ref="AY73:BA73" si="131">AX73</f>
        <v>65.583829865248902</v>
      </c>
      <c r="AZ73" s="359">
        <f t="shared" si="131"/>
        <v>65.583829865248902</v>
      </c>
      <c r="BA73" s="359">
        <f t="shared" si="131"/>
        <v>65.583829865248902</v>
      </c>
      <c r="BB73" s="359">
        <v>6.0045833715281001</v>
      </c>
      <c r="BC73" s="359">
        <f t="shared" ref="BC73:BE73" si="132">BB73</f>
        <v>6.0045833715281001</v>
      </c>
      <c r="BD73" s="359">
        <f t="shared" si="132"/>
        <v>6.0045833715281001</v>
      </c>
      <c r="BE73" s="359">
        <f t="shared" si="132"/>
        <v>6.0045833715281001</v>
      </c>
      <c r="BF73" s="359">
        <v>0</v>
      </c>
      <c r="BG73" s="359">
        <v>0</v>
      </c>
      <c r="BH73" s="359">
        <v>0</v>
      </c>
      <c r="BI73" s="357">
        <v>0</v>
      </c>
      <c r="BJ73" s="359">
        <v>0</v>
      </c>
      <c r="BK73" s="359">
        <v>0</v>
      </c>
      <c r="BL73" s="359">
        <v>0</v>
      </c>
      <c r="BM73" s="357">
        <v>0</v>
      </c>
      <c r="BN73" s="359">
        <v>0</v>
      </c>
      <c r="BO73" s="359">
        <v>0</v>
      </c>
      <c r="BP73" s="359">
        <v>0</v>
      </c>
      <c r="BQ73" s="357">
        <v>0</v>
      </c>
      <c r="BR73" s="359">
        <f t="shared" si="113"/>
        <v>8.5810517220665614E-2</v>
      </c>
      <c r="BS73" s="359">
        <f t="shared" si="114"/>
        <v>8.5810517220665614E-2</v>
      </c>
      <c r="BT73" s="359">
        <f t="shared" si="115"/>
        <v>8.5810517220665614E-2</v>
      </c>
      <c r="BU73" s="357">
        <f t="shared" si="116"/>
        <v>8.5810517220665614E-2</v>
      </c>
      <c r="BV73" s="361">
        <v>25</v>
      </c>
      <c r="BW73" s="361">
        <v>25</v>
      </c>
      <c r="BX73" s="361">
        <v>25</v>
      </c>
      <c r="BY73" s="455">
        <v>25</v>
      </c>
      <c r="BZ73" s="362">
        <v>7.0000000000000007E-2</v>
      </c>
      <c r="CA73" s="362">
        <v>7.0000000000000007E-2</v>
      </c>
      <c r="CB73" s="362">
        <v>7.0000000000000007E-2</v>
      </c>
      <c r="CC73" s="362">
        <v>7.0000000000000007E-2</v>
      </c>
    </row>
    <row r="74" spans="1:81" s="359" customFormat="1" ht="14.5" customHeight="1" x14ac:dyDescent="0.35">
      <c r="A74" s="522"/>
      <c r="B74" s="352" t="s">
        <v>16</v>
      </c>
      <c r="C74" s="353" t="s">
        <v>184</v>
      </c>
      <c r="D74" s="354" t="s">
        <v>337</v>
      </c>
      <c r="E74" s="512" t="s">
        <v>86</v>
      </c>
      <c r="F74" s="6">
        <f t="shared" si="120"/>
        <v>69</v>
      </c>
      <c r="G74" s="355">
        <v>1</v>
      </c>
      <c r="H74" s="356" t="s">
        <v>396</v>
      </c>
      <c r="I74" s="356" t="s">
        <v>396</v>
      </c>
      <c r="J74" s="358">
        <v>0</v>
      </c>
      <c r="K74" s="358" t="s">
        <v>12</v>
      </c>
      <c r="L74" s="358">
        <v>0</v>
      </c>
      <c r="M74" s="358">
        <v>0</v>
      </c>
      <c r="N74" s="358">
        <v>0</v>
      </c>
      <c r="O74" s="358">
        <v>0</v>
      </c>
      <c r="P74" s="358">
        <v>0</v>
      </c>
      <c r="Q74" s="357">
        <v>2000000</v>
      </c>
      <c r="R74" s="359">
        <v>0</v>
      </c>
      <c r="S74" s="359">
        <v>0</v>
      </c>
      <c r="T74" s="359">
        <v>0</v>
      </c>
      <c r="U74" s="357">
        <v>0</v>
      </c>
      <c r="V74" s="359">
        <v>0</v>
      </c>
      <c r="W74" s="359">
        <v>0</v>
      </c>
      <c r="X74" s="359">
        <v>0</v>
      </c>
      <c r="Y74" s="357">
        <v>0</v>
      </c>
      <c r="Z74" s="359">
        <v>0</v>
      </c>
      <c r="AA74" s="359">
        <v>0</v>
      </c>
      <c r="AB74" s="359">
        <v>0</v>
      </c>
      <c r="AC74" s="359">
        <v>0</v>
      </c>
      <c r="AD74" s="360">
        <v>0</v>
      </c>
      <c r="AE74" s="360">
        <v>0</v>
      </c>
      <c r="AF74" s="360">
        <v>0</v>
      </c>
      <c r="AG74" s="360">
        <v>0</v>
      </c>
      <c r="AH74" s="360">
        <v>1</v>
      </c>
      <c r="AI74" s="360">
        <v>1</v>
      </c>
      <c r="AJ74" s="360">
        <v>1</v>
      </c>
      <c r="AK74" s="360">
        <v>1</v>
      </c>
      <c r="AL74" s="360">
        <v>1</v>
      </c>
      <c r="AM74" s="360">
        <v>1</v>
      </c>
      <c r="AN74" s="360">
        <v>1</v>
      </c>
      <c r="AO74" s="461">
        <v>1</v>
      </c>
      <c r="AP74" s="359">
        <v>0</v>
      </c>
      <c r="AQ74" s="359">
        <v>0</v>
      </c>
      <c r="AR74" s="359">
        <v>0</v>
      </c>
      <c r="AS74" s="357">
        <v>0</v>
      </c>
      <c r="AT74" s="359">
        <v>3440.462003850032</v>
      </c>
      <c r="AU74" s="359">
        <f t="shared" ref="AU74:AW74" si="133">AT74</f>
        <v>3440.462003850032</v>
      </c>
      <c r="AV74" s="359">
        <f t="shared" si="133"/>
        <v>3440.462003850032</v>
      </c>
      <c r="AW74" s="359">
        <f t="shared" si="133"/>
        <v>3440.462003850032</v>
      </c>
      <c r="AX74" s="359">
        <v>66.583829865248902</v>
      </c>
      <c r="AY74" s="359">
        <f t="shared" ref="AY74:BA74" si="134">AX74</f>
        <v>66.583829865248902</v>
      </c>
      <c r="AZ74" s="359">
        <f t="shared" si="134"/>
        <v>66.583829865248902</v>
      </c>
      <c r="BA74" s="359">
        <f t="shared" si="134"/>
        <v>66.583829865248902</v>
      </c>
      <c r="BB74" s="359">
        <v>7.0045833715281001</v>
      </c>
      <c r="BC74" s="359">
        <f t="shared" ref="BC74:BE74" si="135">BB74</f>
        <v>7.0045833715281001</v>
      </c>
      <c r="BD74" s="359">
        <f t="shared" si="135"/>
        <v>7.0045833715281001</v>
      </c>
      <c r="BE74" s="359">
        <f t="shared" si="135"/>
        <v>7.0045833715281001</v>
      </c>
      <c r="BF74" s="359">
        <v>0</v>
      </c>
      <c r="BG74" s="359">
        <v>0</v>
      </c>
      <c r="BH74" s="359">
        <v>0</v>
      </c>
      <c r="BI74" s="357">
        <v>0</v>
      </c>
      <c r="BJ74" s="359">
        <v>0</v>
      </c>
      <c r="BK74" s="359">
        <v>0</v>
      </c>
      <c r="BL74" s="359">
        <v>0</v>
      </c>
      <c r="BM74" s="357">
        <v>0</v>
      </c>
      <c r="BN74" s="359">
        <v>0</v>
      </c>
      <c r="BO74" s="359">
        <v>0</v>
      </c>
      <c r="BP74" s="359">
        <v>0</v>
      </c>
      <c r="BQ74" s="357">
        <v>0</v>
      </c>
      <c r="BR74" s="359">
        <f t="shared" si="113"/>
        <v>8.5810517220665614E-2</v>
      </c>
      <c r="BS74" s="359">
        <f t="shared" si="114"/>
        <v>8.5810517220665614E-2</v>
      </c>
      <c r="BT74" s="359">
        <f t="shared" si="115"/>
        <v>8.5810517220665614E-2</v>
      </c>
      <c r="BU74" s="357">
        <f t="shared" si="116"/>
        <v>8.5810517220665614E-2</v>
      </c>
      <c r="BV74" s="361">
        <v>25</v>
      </c>
      <c r="BW74" s="361">
        <v>25</v>
      </c>
      <c r="BX74" s="361">
        <v>25</v>
      </c>
      <c r="BY74" s="455">
        <v>25</v>
      </c>
      <c r="BZ74" s="362">
        <v>7.0000000000000007E-2</v>
      </c>
      <c r="CA74" s="362">
        <v>7.0000000000000007E-2</v>
      </c>
      <c r="CB74" s="362">
        <v>7.0000000000000007E-2</v>
      </c>
      <c r="CC74" s="362">
        <v>7.0000000000000007E-2</v>
      </c>
    </row>
    <row r="75" spans="1:81" s="359" customFormat="1" ht="14.5" customHeight="1" x14ac:dyDescent="0.35">
      <c r="A75" s="522"/>
      <c r="B75" s="352" t="s">
        <v>16</v>
      </c>
      <c r="C75" s="353" t="s">
        <v>184</v>
      </c>
      <c r="D75" s="354" t="s">
        <v>415</v>
      </c>
      <c r="E75" s="512" t="s">
        <v>86</v>
      </c>
      <c r="F75" s="6">
        <f t="shared" si="120"/>
        <v>70</v>
      </c>
      <c r="G75" s="355">
        <v>1</v>
      </c>
      <c r="H75" s="356" t="s">
        <v>396</v>
      </c>
      <c r="I75" s="356" t="s">
        <v>396</v>
      </c>
      <c r="J75" s="358">
        <v>0</v>
      </c>
      <c r="K75" s="358" t="s">
        <v>12</v>
      </c>
      <c r="L75" s="358">
        <v>0</v>
      </c>
      <c r="M75" s="358">
        <v>0</v>
      </c>
      <c r="N75" s="358">
        <v>0</v>
      </c>
      <c r="O75" s="358">
        <v>0</v>
      </c>
      <c r="P75" s="358">
        <v>0</v>
      </c>
      <c r="Q75" s="357">
        <v>2000000</v>
      </c>
      <c r="R75" s="359">
        <v>0</v>
      </c>
      <c r="S75" s="359">
        <v>0</v>
      </c>
      <c r="T75" s="359">
        <v>0</v>
      </c>
      <c r="U75" s="357">
        <v>0</v>
      </c>
      <c r="V75" s="359">
        <v>0</v>
      </c>
      <c r="W75" s="359">
        <v>0</v>
      </c>
      <c r="X75" s="359">
        <v>0</v>
      </c>
      <c r="Y75" s="357">
        <v>0</v>
      </c>
      <c r="Z75" s="359">
        <v>0</v>
      </c>
      <c r="AA75" s="359">
        <v>0</v>
      </c>
      <c r="AB75" s="359">
        <v>0</v>
      </c>
      <c r="AC75" s="359">
        <v>0</v>
      </c>
      <c r="AD75" s="360">
        <v>0</v>
      </c>
      <c r="AE75" s="360">
        <v>0</v>
      </c>
      <c r="AF75" s="360">
        <v>0</v>
      </c>
      <c r="AG75" s="360">
        <v>0</v>
      </c>
      <c r="AH75" s="360">
        <v>1</v>
      </c>
      <c r="AI75" s="360">
        <v>1</v>
      </c>
      <c r="AJ75" s="360">
        <v>1</v>
      </c>
      <c r="AK75" s="360">
        <v>1</v>
      </c>
      <c r="AL75" s="360">
        <v>1</v>
      </c>
      <c r="AM75" s="360">
        <v>1</v>
      </c>
      <c r="AN75" s="360">
        <v>1</v>
      </c>
      <c r="AO75" s="461">
        <v>1</v>
      </c>
      <c r="AP75" s="359">
        <v>0</v>
      </c>
      <c r="AQ75" s="359">
        <v>0</v>
      </c>
      <c r="AR75" s="359">
        <v>0</v>
      </c>
      <c r="AS75" s="357">
        <v>0</v>
      </c>
      <c r="AT75" s="359">
        <v>3440.462003850032</v>
      </c>
      <c r="AU75" s="359">
        <f t="shared" ref="AU75:AW75" si="136">AT75</f>
        <v>3440.462003850032</v>
      </c>
      <c r="AV75" s="359">
        <f t="shared" si="136"/>
        <v>3440.462003850032</v>
      </c>
      <c r="AW75" s="359">
        <f t="shared" si="136"/>
        <v>3440.462003850032</v>
      </c>
      <c r="AX75" s="359">
        <v>67.583829865248902</v>
      </c>
      <c r="AY75" s="359">
        <f t="shared" ref="AY75:BA75" si="137">AX75</f>
        <v>67.583829865248902</v>
      </c>
      <c r="AZ75" s="359">
        <f t="shared" si="137"/>
        <v>67.583829865248902</v>
      </c>
      <c r="BA75" s="359">
        <f t="shared" si="137"/>
        <v>67.583829865248902</v>
      </c>
      <c r="BB75" s="359">
        <v>8.0045833715280992</v>
      </c>
      <c r="BC75" s="359">
        <f t="shared" ref="BC75:BE75" si="138">BB75</f>
        <v>8.0045833715280992</v>
      </c>
      <c r="BD75" s="359">
        <f t="shared" si="138"/>
        <v>8.0045833715280992</v>
      </c>
      <c r="BE75" s="359">
        <f t="shared" si="138"/>
        <v>8.0045833715280992</v>
      </c>
      <c r="BF75" s="359">
        <v>0</v>
      </c>
      <c r="BG75" s="359">
        <v>0</v>
      </c>
      <c r="BH75" s="359">
        <v>0</v>
      </c>
      <c r="BI75" s="357">
        <v>0</v>
      </c>
      <c r="BJ75" s="359">
        <v>0</v>
      </c>
      <c r="BK75" s="359">
        <v>0</v>
      </c>
      <c r="BL75" s="359">
        <v>0</v>
      </c>
      <c r="BM75" s="357">
        <v>0</v>
      </c>
      <c r="BN75" s="359">
        <v>0</v>
      </c>
      <c r="BO75" s="359">
        <v>0</v>
      </c>
      <c r="BP75" s="359">
        <v>0</v>
      </c>
      <c r="BQ75" s="357">
        <v>0</v>
      </c>
      <c r="BR75" s="359">
        <f t="shared" si="113"/>
        <v>8.5810517220665614E-2</v>
      </c>
      <c r="BS75" s="359">
        <f t="shared" si="114"/>
        <v>8.5810517220665614E-2</v>
      </c>
      <c r="BT75" s="359">
        <f t="shared" si="115"/>
        <v>8.5810517220665614E-2</v>
      </c>
      <c r="BU75" s="357">
        <f t="shared" si="116"/>
        <v>8.5810517220665614E-2</v>
      </c>
      <c r="BV75" s="361">
        <v>25</v>
      </c>
      <c r="BW75" s="361">
        <v>25</v>
      </c>
      <c r="BX75" s="361">
        <v>25</v>
      </c>
      <c r="BY75" s="455">
        <v>25</v>
      </c>
      <c r="BZ75" s="362">
        <v>7.0000000000000007E-2</v>
      </c>
      <c r="CA75" s="362">
        <v>7.0000000000000007E-2</v>
      </c>
      <c r="CB75" s="362">
        <v>7.0000000000000007E-2</v>
      </c>
      <c r="CC75" s="362">
        <v>7.0000000000000007E-2</v>
      </c>
    </row>
    <row r="76" spans="1:81" s="359" customFormat="1" ht="14.5" customHeight="1" x14ac:dyDescent="0.35">
      <c r="A76" s="522"/>
      <c r="B76" s="352" t="s">
        <v>16</v>
      </c>
      <c r="C76" s="353" t="s">
        <v>184</v>
      </c>
      <c r="D76" s="354" t="s">
        <v>338</v>
      </c>
      <c r="E76" s="512" t="s">
        <v>86</v>
      </c>
      <c r="F76" s="6">
        <f t="shared" si="120"/>
        <v>71</v>
      </c>
      <c r="G76" s="355">
        <v>1</v>
      </c>
      <c r="H76" s="356" t="s">
        <v>396</v>
      </c>
      <c r="I76" s="356" t="s">
        <v>396</v>
      </c>
      <c r="J76" s="358">
        <v>0</v>
      </c>
      <c r="K76" s="358" t="s">
        <v>12</v>
      </c>
      <c r="L76" s="358">
        <v>0</v>
      </c>
      <c r="M76" s="358">
        <v>0</v>
      </c>
      <c r="N76" s="358">
        <v>0</v>
      </c>
      <c r="O76" s="358">
        <v>0</v>
      </c>
      <c r="P76" s="358">
        <v>0</v>
      </c>
      <c r="Q76" s="357">
        <v>2000000</v>
      </c>
      <c r="R76" s="359">
        <v>0</v>
      </c>
      <c r="S76" s="359">
        <v>0</v>
      </c>
      <c r="T76" s="359">
        <v>0</v>
      </c>
      <c r="U76" s="357">
        <v>0</v>
      </c>
      <c r="V76" s="359">
        <v>0</v>
      </c>
      <c r="W76" s="359">
        <v>0</v>
      </c>
      <c r="X76" s="359">
        <v>0</v>
      </c>
      <c r="Y76" s="357">
        <v>0</v>
      </c>
      <c r="Z76" s="359">
        <v>0</v>
      </c>
      <c r="AA76" s="359">
        <v>0</v>
      </c>
      <c r="AB76" s="359">
        <v>0</v>
      </c>
      <c r="AC76" s="359">
        <v>0</v>
      </c>
      <c r="AD76" s="360">
        <v>0</v>
      </c>
      <c r="AE76" s="360">
        <v>0</v>
      </c>
      <c r="AF76" s="360">
        <v>0</v>
      </c>
      <c r="AG76" s="360">
        <v>0</v>
      </c>
      <c r="AH76" s="360">
        <v>1</v>
      </c>
      <c r="AI76" s="360">
        <v>1</v>
      </c>
      <c r="AJ76" s="360">
        <v>1</v>
      </c>
      <c r="AK76" s="360">
        <v>1</v>
      </c>
      <c r="AL76" s="360">
        <v>1</v>
      </c>
      <c r="AM76" s="360">
        <v>1</v>
      </c>
      <c r="AN76" s="360">
        <v>1</v>
      </c>
      <c r="AO76" s="461">
        <v>1</v>
      </c>
      <c r="AP76" s="359">
        <v>0</v>
      </c>
      <c r="AQ76" s="359">
        <v>0</v>
      </c>
      <c r="AR76" s="359">
        <v>0</v>
      </c>
      <c r="AS76" s="357">
        <v>0</v>
      </c>
      <c r="AT76" s="359">
        <v>3440.462003850032</v>
      </c>
      <c r="AU76" s="359">
        <f t="shared" ref="AU76:AW76" si="139">AT76</f>
        <v>3440.462003850032</v>
      </c>
      <c r="AV76" s="359">
        <f t="shared" si="139"/>
        <v>3440.462003850032</v>
      </c>
      <c r="AW76" s="359">
        <f t="shared" si="139"/>
        <v>3440.462003850032</v>
      </c>
      <c r="AX76" s="359">
        <v>68.583829865248902</v>
      </c>
      <c r="AY76" s="359">
        <f t="shared" ref="AY76:BA76" si="140">AX76</f>
        <v>68.583829865248902</v>
      </c>
      <c r="AZ76" s="359">
        <f t="shared" si="140"/>
        <v>68.583829865248902</v>
      </c>
      <c r="BA76" s="359">
        <f t="shared" si="140"/>
        <v>68.583829865248902</v>
      </c>
      <c r="BB76" s="359">
        <v>9.0045833715280992</v>
      </c>
      <c r="BC76" s="359">
        <f t="shared" ref="BC76:BE76" si="141">BB76</f>
        <v>9.0045833715280992</v>
      </c>
      <c r="BD76" s="359">
        <f t="shared" si="141"/>
        <v>9.0045833715280992</v>
      </c>
      <c r="BE76" s="359">
        <f t="shared" si="141"/>
        <v>9.0045833715280992</v>
      </c>
      <c r="BF76" s="359">
        <v>0</v>
      </c>
      <c r="BG76" s="359">
        <v>0</v>
      </c>
      <c r="BH76" s="359">
        <v>0</v>
      </c>
      <c r="BI76" s="357">
        <v>0</v>
      </c>
      <c r="BJ76" s="359">
        <v>0</v>
      </c>
      <c r="BK76" s="359">
        <v>0</v>
      </c>
      <c r="BL76" s="359">
        <v>0</v>
      </c>
      <c r="BM76" s="357">
        <v>0</v>
      </c>
      <c r="BN76" s="359">
        <v>0</v>
      </c>
      <c r="BO76" s="359">
        <v>0</v>
      </c>
      <c r="BP76" s="359">
        <v>0</v>
      </c>
      <c r="BQ76" s="357">
        <v>0</v>
      </c>
      <c r="BR76" s="359">
        <f t="shared" si="113"/>
        <v>8.5810517220665614E-2</v>
      </c>
      <c r="BS76" s="359">
        <f t="shared" si="114"/>
        <v>8.5810517220665614E-2</v>
      </c>
      <c r="BT76" s="359">
        <f t="shared" si="115"/>
        <v>8.5810517220665614E-2</v>
      </c>
      <c r="BU76" s="357">
        <f t="shared" si="116"/>
        <v>8.5810517220665614E-2</v>
      </c>
      <c r="BV76" s="361">
        <v>25</v>
      </c>
      <c r="BW76" s="361">
        <v>25</v>
      </c>
      <c r="BX76" s="361">
        <v>25</v>
      </c>
      <c r="BY76" s="455">
        <v>25</v>
      </c>
      <c r="BZ76" s="362">
        <v>7.0000000000000007E-2</v>
      </c>
      <c r="CA76" s="362">
        <v>7.0000000000000007E-2</v>
      </c>
      <c r="CB76" s="362">
        <v>7.0000000000000007E-2</v>
      </c>
      <c r="CC76" s="362">
        <v>7.0000000000000007E-2</v>
      </c>
    </row>
    <row r="77" spans="1:81" s="55" customFormat="1" ht="14.5" customHeight="1" x14ac:dyDescent="0.35">
      <c r="A77" s="522"/>
      <c r="B77" s="247" t="s">
        <v>184</v>
      </c>
      <c r="C77" s="7" t="s">
        <v>184</v>
      </c>
      <c r="D77" s="245" t="s">
        <v>339</v>
      </c>
      <c r="E77" s="513" t="s">
        <v>86</v>
      </c>
      <c r="F77" s="6">
        <f t="shared" si="120"/>
        <v>72</v>
      </c>
      <c r="G77" s="175">
        <v>1</v>
      </c>
      <c r="H77" s="188" t="s">
        <v>12</v>
      </c>
      <c r="I77" s="188" t="s">
        <v>12</v>
      </c>
      <c r="J77" s="195">
        <v>0</v>
      </c>
      <c r="K77" s="195" t="s">
        <v>12</v>
      </c>
      <c r="L77" s="195">
        <v>1</v>
      </c>
      <c r="M77" s="195">
        <v>0</v>
      </c>
      <c r="N77" s="195">
        <v>0</v>
      </c>
      <c r="O77" s="189">
        <v>0</v>
      </c>
      <c r="P77" s="195">
        <v>-1</v>
      </c>
      <c r="Q77" s="17">
        <v>2000000</v>
      </c>
      <c r="R77" s="55">
        <v>0</v>
      </c>
      <c r="S77" s="55">
        <v>0</v>
      </c>
      <c r="T77" s="55">
        <v>0</v>
      </c>
      <c r="U77" s="216">
        <v>0</v>
      </c>
      <c r="V77" s="52">
        <v>0</v>
      </c>
      <c r="W77" s="52">
        <v>0</v>
      </c>
      <c r="X77" s="52">
        <v>0</v>
      </c>
      <c r="Y77" s="17">
        <v>0</v>
      </c>
      <c r="Z77" s="52">
        <v>0</v>
      </c>
      <c r="AA77" s="52">
        <v>0</v>
      </c>
      <c r="AB77" s="52">
        <v>0</v>
      </c>
      <c r="AC77" s="52">
        <v>0</v>
      </c>
      <c r="AD77" s="246">
        <v>0</v>
      </c>
      <c r="AE77" s="246">
        <v>0</v>
      </c>
      <c r="AF77" s="246">
        <v>0</v>
      </c>
      <c r="AG77" s="246">
        <v>0</v>
      </c>
      <c r="AH77" s="246">
        <v>1</v>
      </c>
      <c r="AI77" s="246">
        <v>1</v>
      </c>
      <c r="AJ77" s="246">
        <v>1</v>
      </c>
      <c r="AK77" s="246">
        <v>1</v>
      </c>
      <c r="AL77" s="246">
        <v>1</v>
      </c>
      <c r="AM77" s="246">
        <v>1</v>
      </c>
      <c r="AN77" s="246">
        <v>1</v>
      </c>
      <c r="AO77" s="462">
        <v>1</v>
      </c>
      <c r="AP77" s="55">
        <v>0</v>
      </c>
      <c r="AQ77" s="55">
        <v>0</v>
      </c>
      <c r="AR77" s="55">
        <v>0</v>
      </c>
      <c r="AS77" s="216">
        <v>0</v>
      </c>
      <c r="AT77" s="55">
        <v>3440.462003850032</v>
      </c>
      <c r="AU77" s="55">
        <f t="shared" ref="AU77:AW77" si="142">AT77</f>
        <v>3440.462003850032</v>
      </c>
      <c r="AV77" s="55">
        <f t="shared" si="142"/>
        <v>3440.462003850032</v>
      </c>
      <c r="AW77" s="55">
        <f t="shared" si="142"/>
        <v>3440.462003850032</v>
      </c>
      <c r="AX77" s="55">
        <v>69.583829865248902</v>
      </c>
      <c r="AY77" s="55">
        <f t="shared" ref="AY77:BA77" si="143">AX77</f>
        <v>69.583829865248902</v>
      </c>
      <c r="AZ77" s="55">
        <f t="shared" si="143"/>
        <v>69.583829865248902</v>
      </c>
      <c r="BA77" s="55">
        <f t="shared" si="143"/>
        <v>69.583829865248902</v>
      </c>
      <c r="BB77" s="55">
        <v>10.004583371528099</v>
      </c>
      <c r="BC77" s="55">
        <f t="shared" ref="BC77:BE77" si="144">BB77</f>
        <v>10.004583371528099</v>
      </c>
      <c r="BD77" s="55">
        <f t="shared" si="144"/>
        <v>10.004583371528099</v>
      </c>
      <c r="BE77" s="55">
        <f t="shared" si="144"/>
        <v>10.004583371528099</v>
      </c>
      <c r="BF77" s="52">
        <v>0</v>
      </c>
      <c r="BG77" s="52">
        <v>0</v>
      </c>
      <c r="BH77" s="52">
        <v>0</v>
      </c>
      <c r="BI77" s="17">
        <v>0</v>
      </c>
      <c r="BJ77" s="55">
        <v>0</v>
      </c>
      <c r="BK77" s="55">
        <v>0</v>
      </c>
      <c r="BL77" s="55">
        <v>0</v>
      </c>
      <c r="BM77" s="216">
        <v>0</v>
      </c>
      <c r="BN77" s="55">
        <v>0</v>
      </c>
      <c r="BO77" s="55">
        <v>0</v>
      </c>
      <c r="BP77" s="55">
        <v>0</v>
      </c>
      <c r="BQ77" s="216">
        <v>0</v>
      </c>
      <c r="BR77" s="52">
        <f t="shared" si="113"/>
        <v>8.5810517220665614E-2</v>
      </c>
      <c r="BS77" s="52">
        <f t="shared" si="114"/>
        <v>8.5810517220665614E-2</v>
      </c>
      <c r="BT77" s="52">
        <f t="shared" si="115"/>
        <v>8.5810517220665614E-2</v>
      </c>
      <c r="BU77" s="17">
        <f t="shared" si="116"/>
        <v>8.5810517220665614E-2</v>
      </c>
      <c r="BV77" s="51">
        <v>25</v>
      </c>
      <c r="BW77" s="51">
        <v>25</v>
      </c>
      <c r="BX77" s="51">
        <v>25</v>
      </c>
      <c r="BY77" s="456">
        <v>25</v>
      </c>
      <c r="BZ77" s="9">
        <v>7.0000000000000007E-2</v>
      </c>
      <c r="CA77" s="9">
        <v>7.0000000000000007E-2</v>
      </c>
      <c r="CB77" s="9">
        <v>7.0000000000000007E-2</v>
      </c>
      <c r="CC77" s="9">
        <v>7.0000000000000007E-2</v>
      </c>
    </row>
    <row r="78" spans="1:81" s="290" customFormat="1" x14ac:dyDescent="0.35">
      <c r="A78" s="522"/>
      <c r="B78" s="363" t="s">
        <v>18</v>
      </c>
      <c r="C78" s="284" t="s">
        <v>23</v>
      </c>
      <c r="D78" s="364" t="s">
        <v>32</v>
      </c>
      <c r="E78" s="514" t="s">
        <v>479</v>
      </c>
      <c r="F78" s="6">
        <f t="shared" si="120"/>
        <v>73</v>
      </c>
      <c r="G78" s="285">
        <v>1</v>
      </c>
      <c r="H78" s="286" t="s">
        <v>395</v>
      </c>
      <c r="I78" s="286" t="s">
        <v>396</v>
      </c>
      <c r="J78" s="289">
        <v>0</v>
      </c>
      <c r="K78" s="289" t="s">
        <v>12</v>
      </c>
      <c r="L78" s="289">
        <v>1</v>
      </c>
      <c r="M78" s="289">
        <v>0</v>
      </c>
      <c r="N78" s="422">
        <v>0</v>
      </c>
      <c r="O78" s="289">
        <v>0</v>
      </c>
      <c r="P78" s="289">
        <v>0</v>
      </c>
      <c r="Q78" s="287">
        <f t="shared" si="92"/>
        <v>2000000</v>
      </c>
      <c r="R78" s="312">
        <v>0</v>
      </c>
      <c r="S78" s="312">
        <v>0</v>
      </c>
      <c r="T78" s="312">
        <v>0</v>
      </c>
      <c r="U78" s="311">
        <v>0</v>
      </c>
      <c r="V78" s="290">
        <v>0</v>
      </c>
      <c r="W78" s="290">
        <v>0</v>
      </c>
      <c r="X78" s="290">
        <v>0</v>
      </c>
      <c r="Y78" s="287">
        <v>0</v>
      </c>
      <c r="Z78" s="290">
        <v>0</v>
      </c>
      <c r="AA78" s="290">
        <v>0</v>
      </c>
      <c r="AB78" s="290">
        <v>0</v>
      </c>
      <c r="AC78" s="287">
        <v>0</v>
      </c>
      <c r="AD78" s="291">
        <v>0</v>
      </c>
      <c r="AE78" s="291">
        <v>0</v>
      </c>
      <c r="AF78" s="291">
        <v>0</v>
      </c>
      <c r="AG78" s="292">
        <v>0</v>
      </c>
      <c r="AH78" s="291">
        <v>1</v>
      </c>
      <c r="AI78" s="291">
        <v>1</v>
      </c>
      <c r="AJ78" s="291">
        <v>1</v>
      </c>
      <c r="AK78" s="292">
        <v>1</v>
      </c>
      <c r="AL78" s="291">
        <v>1</v>
      </c>
      <c r="AM78" s="291">
        <v>1</v>
      </c>
      <c r="AN78" s="291">
        <v>1</v>
      </c>
      <c r="AO78" s="292">
        <v>1</v>
      </c>
      <c r="AP78" s="290">
        <v>0</v>
      </c>
      <c r="AQ78" s="290">
        <v>0</v>
      </c>
      <c r="AR78" s="290">
        <v>0</v>
      </c>
      <c r="AS78" s="287">
        <v>0</v>
      </c>
      <c r="AT78" s="290">
        <v>180</v>
      </c>
      <c r="AU78" s="290">
        <v>180</v>
      </c>
      <c r="AV78" s="290">
        <v>180</v>
      </c>
      <c r="AW78" s="287">
        <v>180</v>
      </c>
      <c r="AX78" s="290">
        <v>0</v>
      </c>
      <c r="AY78" s="290">
        <v>0</v>
      </c>
      <c r="AZ78" s="290">
        <v>0</v>
      </c>
      <c r="BA78" s="287">
        <v>0</v>
      </c>
      <c r="BB78" s="290">
        <v>1.6649999999999998E-2</v>
      </c>
      <c r="BC78" s="290">
        <v>1.6649999999999998E-2</v>
      </c>
      <c r="BD78" s="290">
        <v>1.6649999999999998E-2</v>
      </c>
      <c r="BE78" s="287">
        <v>1.6649999999999998E-2</v>
      </c>
      <c r="BF78" s="290">
        <v>0</v>
      </c>
      <c r="BG78" s="290">
        <v>0</v>
      </c>
      <c r="BH78" s="290">
        <v>0</v>
      </c>
      <c r="BI78" s="287">
        <v>0</v>
      </c>
      <c r="BJ78" s="290">
        <v>0</v>
      </c>
      <c r="BK78" s="290">
        <v>0</v>
      </c>
      <c r="BL78" s="290">
        <v>0</v>
      </c>
      <c r="BM78" s="287">
        <v>0</v>
      </c>
      <c r="BN78" s="290">
        <v>0</v>
      </c>
      <c r="BO78" s="290">
        <v>0</v>
      </c>
      <c r="BP78" s="290">
        <v>0</v>
      </c>
      <c r="BQ78" s="287">
        <v>0</v>
      </c>
      <c r="BR78" s="290">
        <f t="shared" si="113"/>
        <v>8.8827433387272267E-2</v>
      </c>
      <c r="BS78" s="290">
        <f t="shared" si="114"/>
        <v>8.8827433387272267E-2</v>
      </c>
      <c r="BT78" s="290">
        <f t="shared" si="115"/>
        <v>8.8827433387272267E-2</v>
      </c>
      <c r="BU78" s="287">
        <f t="shared" si="116"/>
        <v>8.8827433387272267E-2</v>
      </c>
      <c r="BV78" s="293">
        <v>30</v>
      </c>
      <c r="BW78" s="293">
        <v>30</v>
      </c>
      <c r="BX78" s="293">
        <v>30</v>
      </c>
      <c r="BY78" s="288">
        <v>30</v>
      </c>
      <c r="BZ78" s="291">
        <v>0.08</v>
      </c>
      <c r="CA78" s="291">
        <v>0.08</v>
      </c>
      <c r="CB78" s="291">
        <v>0.08</v>
      </c>
      <c r="CC78" s="291">
        <v>0.08</v>
      </c>
    </row>
    <row r="79" spans="1:81" s="290" customFormat="1" x14ac:dyDescent="0.35">
      <c r="A79" s="522"/>
      <c r="B79" s="363" t="s">
        <v>159</v>
      </c>
      <c r="C79" s="284" t="s">
        <v>24</v>
      </c>
      <c r="D79" s="364" t="s">
        <v>185</v>
      </c>
      <c r="E79" s="514" t="s">
        <v>86</v>
      </c>
      <c r="F79" s="6">
        <f t="shared" si="120"/>
        <v>74</v>
      </c>
      <c r="G79" s="285">
        <v>1</v>
      </c>
      <c r="H79" s="286" t="s">
        <v>395</v>
      </c>
      <c r="I79" s="286" t="s">
        <v>396</v>
      </c>
      <c r="J79" s="289">
        <v>0</v>
      </c>
      <c r="K79" s="289" t="s">
        <v>12</v>
      </c>
      <c r="L79" s="289">
        <v>-1</v>
      </c>
      <c r="M79" s="289">
        <v>0</v>
      </c>
      <c r="N79" s="422">
        <v>0</v>
      </c>
      <c r="O79" s="289">
        <v>0</v>
      </c>
      <c r="P79" s="289">
        <v>0</v>
      </c>
      <c r="Q79" s="287">
        <v>24000</v>
      </c>
      <c r="R79" s="290">
        <v>0</v>
      </c>
      <c r="S79" s="290">
        <v>0</v>
      </c>
      <c r="T79" s="290">
        <v>0</v>
      </c>
      <c r="U79" s="287">
        <v>0</v>
      </c>
      <c r="V79" s="290">
        <v>0</v>
      </c>
      <c r="W79" s="290">
        <v>0</v>
      </c>
      <c r="X79" s="290">
        <v>0</v>
      </c>
      <c r="Y79" s="287">
        <v>0</v>
      </c>
      <c r="Z79" s="290">
        <v>0</v>
      </c>
      <c r="AA79" s="290">
        <v>0</v>
      </c>
      <c r="AB79" s="290">
        <v>0</v>
      </c>
      <c r="AC79" s="287">
        <v>0</v>
      </c>
      <c r="AD79" s="291">
        <v>0</v>
      </c>
      <c r="AE79" s="291">
        <v>0</v>
      </c>
      <c r="AF79" s="291">
        <v>0</v>
      </c>
      <c r="AG79" s="292">
        <v>0</v>
      </c>
      <c r="AH79" s="291">
        <v>1</v>
      </c>
      <c r="AI79" s="291">
        <v>1</v>
      </c>
      <c r="AJ79" s="291">
        <v>1</v>
      </c>
      <c r="AK79" s="292">
        <v>1</v>
      </c>
      <c r="AL79" s="291">
        <v>1</v>
      </c>
      <c r="AM79" s="291">
        <v>1</v>
      </c>
      <c r="AN79" s="291">
        <v>1</v>
      </c>
      <c r="AO79" s="292">
        <v>1</v>
      </c>
      <c r="AP79" s="290">
        <v>0</v>
      </c>
      <c r="AQ79" s="290">
        <v>0</v>
      </c>
      <c r="AR79" s="290">
        <v>0</v>
      </c>
      <c r="AS79" s="287">
        <v>0</v>
      </c>
      <c r="AT79" s="290">
        <v>0</v>
      </c>
      <c r="AU79" s="290">
        <v>0</v>
      </c>
      <c r="AV79" s="290">
        <v>0</v>
      </c>
      <c r="AW79" s="287">
        <v>0</v>
      </c>
      <c r="AX79" s="290">
        <v>0</v>
      </c>
      <c r="AY79" s="290">
        <v>0</v>
      </c>
      <c r="AZ79" s="290">
        <v>0</v>
      </c>
      <c r="BA79" s="287">
        <v>0</v>
      </c>
      <c r="BB79" s="290">
        <v>0</v>
      </c>
      <c r="BC79" s="290">
        <v>0</v>
      </c>
      <c r="BD79" s="290">
        <v>0</v>
      </c>
      <c r="BE79" s="287">
        <v>0</v>
      </c>
      <c r="BF79" s="290">
        <v>0</v>
      </c>
      <c r="BG79" s="290">
        <v>0</v>
      </c>
      <c r="BH79" s="290">
        <v>0</v>
      </c>
      <c r="BI79" s="287">
        <v>0</v>
      </c>
      <c r="BJ79" s="290">
        <v>0</v>
      </c>
      <c r="BK79" s="290">
        <v>0</v>
      </c>
      <c r="BL79" s="290">
        <v>0</v>
      </c>
      <c r="BM79" s="287">
        <v>0</v>
      </c>
      <c r="BN79" s="290">
        <v>0</v>
      </c>
      <c r="BO79" s="290">
        <v>0</v>
      </c>
      <c r="BP79" s="290">
        <v>0</v>
      </c>
      <c r="BQ79" s="287">
        <v>0</v>
      </c>
      <c r="BR79" s="290">
        <f t="shared" si="113"/>
        <v>0</v>
      </c>
      <c r="BS79" s="290">
        <v>0</v>
      </c>
      <c r="BT79" s="290">
        <v>0</v>
      </c>
      <c r="BU79" s="287">
        <v>0</v>
      </c>
      <c r="BV79" s="365">
        <v>0</v>
      </c>
      <c r="BW79" s="365">
        <v>0</v>
      </c>
      <c r="BX79" s="365">
        <v>0</v>
      </c>
      <c r="BY79" s="287">
        <v>0</v>
      </c>
      <c r="BZ79" s="291">
        <v>0.08</v>
      </c>
      <c r="CA79" s="291">
        <v>0.08</v>
      </c>
      <c r="CB79" s="291">
        <v>0.08</v>
      </c>
      <c r="CC79" s="291">
        <v>0.08</v>
      </c>
    </row>
    <row r="80" spans="1:81" s="50" customFormat="1" x14ac:dyDescent="0.35">
      <c r="A80" s="522"/>
      <c r="B80" s="329" t="s">
        <v>14</v>
      </c>
      <c r="C80" s="313" t="s">
        <v>184</v>
      </c>
      <c r="D80" s="330" t="s">
        <v>33</v>
      </c>
      <c r="E80" s="507" t="s">
        <v>86</v>
      </c>
      <c r="F80" s="6">
        <f t="shared" si="120"/>
        <v>75</v>
      </c>
      <c r="G80" s="297">
        <v>1</v>
      </c>
      <c r="H80" s="298" t="s">
        <v>395</v>
      </c>
      <c r="I80" s="298" t="s">
        <v>396</v>
      </c>
      <c r="J80" s="301">
        <v>0</v>
      </c>
      <c r="K80" s="301" t="s">
        <v>12</v>
      </c>
      <c r="L80" s="301">
        <v>-1</v>
      </c>
      <c r="M80" s="301">
        <v>0</v>
      </c>
      <c r="N80" s="419">
        <v>0</v>
      </c>
      <c r="O80" s="301">
        <v>0</v>
      </c>
      <c r="P80" s="301">
        <v>0</v>
      </c>
      <c r="Q80" s="299">
        <f>Q82/2</f>
        <v>10000000</v>
      </c>
      <c r="R80" s="315">
        <v>0</v>
      </c>
      <c r="S80" s="315">
        <v>0</v>
      </c>
      <c r="T80" s="315">
        <v>0</v>
      </c>
      <c r="U80" s="314">
        <v>0</v>
      </c>
      <c r="V80" s="50">
        <v>0</v>
      </c>
      <c r="W80" s="50">
        <v>0</v>
      </c>
      <c r="X80" s="50">
        <v>0</v>
      </c>
      <c r="Y80" s="299">
        <v>0</v>
      </c>
      <c r="Z80" s="50">
        <v>0</v>
      </c>
      <c r="AA80" s="50">
        <v>0</v>
      </c>
      <c r="AB80" s="50">
        <v>0</v>
      </c>
      <c r="AC80" s="299">
        <v>0</v>
      </c>
      <c r="AD80" s="304">
        <v>0</v>
      </c>
      <c r="AE80" s="304">
        <v>0</v>
      </c>
      <c r="AF80" s="304">
        <v>0</v>
      </c>
      <c r="AG80" s="305">
        <v>0</v>
      </c>
      <c r="AH80" s="304">
        <v>1</v>
      </c>
      <c r="AI80" s="304">
        <v>1</v>
      </c>
      <c r="AJ80" s="304">
        <v>1</v>
      </c>
      <c r="AK80" s="305">
        <v>1</v>
      </c>
      <c r="AL80" s="304">
        <v>1</v>
      </c>
      <c r="AM80" s="304">
        <v>1</v>
      </c>
      <c r="AN80" s="304">
        <v>1</v>
      </c>
      <c r="AO80" s="305">
        <v>1</v>
      </c>
      <c r="AP80" s="50">
        <v>0.06</v>
      </c>
      <c r="AQ80" s="50">
        <v>0.05</v>
      </c>
      <c r="AR80" s="50">
        <f>(AQ80+AS80)/2</f>
        <v>3.7500000000000006E-2</v>
      </c>
      <c r="AS80" s="299">
        <v>2.5000000000000001E-2</v>
      </c>
      <c r="AT80" s="50">
        <v>0</v>
      </c>
      <c r="AU80" s="50">
        <v>0</v>
      </c>
      <c r="AV80" s="50">
        <v>0</v>
      </c>
      <c r="AW80" s="299">
        <v>0</v>
      </c>
      <c r="AX80" s="50">
        <v>0</v>
      </c>
      <c r="AY80" s="50">
        <v>0</v>
      </c>
      <c r="AZ80" s="50">
        <v>0</v>
      </c>
      <c r="BA80" s="299">
        <v>0</v>
      </c>
      <c r="BB80" s="50">
        <v>0</v>
      </c>
      <c r="BC80" s="50">
        <v>0</v>
      </c>
      <c r="BD80" s="50">
        <v>0</v>
      </c>
      <c r="BE80" s="299">
        <v>0</v>
      </c>
      <c r="BF80" s="50">
        <v>0</v>
      </c>
      <c r="BG80" s="50">
        <v>0</v>
      </c>
      <c r="BH80" s="50">
        <v>0</v>
      </c>
      <c r="BI80" s="299">
        <v>0</v>
      </c>
      <c r="BJ80" s="50">
        <v>0</v>
      </c>
      <c r="BK80" s="50">
        <v>0</v>
      </c>
      <c r="BL80" s="50">
        <v>0</v>
      </c>
      <c r="BM80" s="299">
        <v>0</v>
      </c>
      <c r="BN80" s="50">
        <v>0</v>
      </c>
      <c r="BO80" s="50">
        <v>0</v>
      </c>
      <c r="BP80" s="50">
        <v>0</v>
      </c>
      <c r="BQ80" s="299">
        <v>0</v>
      </c>
      <c r="BR80" s="50">
        <f t="shared" si="113"/>
        <v>0</v>
      </c>
      <c r="BS80" s="50">
        <v>0</v>
      </c>
      <c r="BT80" s="50">
        <v>0</v>
      </c>
      <c r="BU80" s="299">
        <v>0</v>
      </c>
      <c r="BV80" s="366">
        <v>0</v>
      </c>
      <c r="BW80" s="366">
        <v>0</v>
      </c>
      <c r="BX80" s="366">
        <v>0</v>
      </c>
      <c r="BY80" s="299">
        <v>0</v>
      </c>
      <c r="BZ80" s="304">
        <v>0.08</v>
      </c>
      <c r="CA80" s="304">
        <v>0.08</v>
      </c>
      <c r="CB80" s="304">
        <v>0.08</v>
      </c>
      <c r="CC80" s="304">
        <v>0.08</v>
      </c>
    </row>
    <row r="81" spans="1:81" s="50" customFormat="1" x14ac:dyDescent="0.35">
      <c r="A81" s="522"/>
      <c r="B81" s="329" t="s">
        <v>15</v>
      </c>
      <c r="C81" s="313" t="s">
        <v>184</v>
      </c>
      <c r="D81" s="330" t="s">
        <v>34</v>
      </c>
      <c r="E81" s="507" t="s">
        <v>86</v>
      </c>
      <c r="F81" s="6">
        <f t="shared" si="120"/>
        <v>76</v>
      </c>
      <c r="G81" s="297">
        <v>1</v>
      </c>
      <c r="H81" s="298" t="s">
        <v>395</v>
      </c>
      <c r="I81" s="298" t="s">
        <v>396</v>
      </c>
      <c r="J81" s="301">
        <v>0</v>
      </c>
      <c r="K81" s="301" t="s">
        <v>12</v>
      </c>
      <c r="L81" s="301">
        <v>1</v>
      </c>
      <c r="M81" s="301">
        <v>0</v>
      </c>
      <c r="N81" s="419">
        <v>0</v>
      </c>
      <c r="O81" s="301">
        <v>0</v>
      </c>
      <c r="P81" s="301">
        <v>0</v>
      </c>
      <c r="Q81" s="299">
        <f>3*Q82</f>
        <v>60000000</v>
      </c>
      <c r="R81" s="315">
        <v>0</v>
      </c>
      <c r="S81" s="315">
        <v>0</v>
      </c>
      <c r="T81" s="315">
        <v>0</v>
      </c>
      <c r="U81" s="314">
        <v>0</v>
      </c>
      <c r="V81" s="50">
        <v>0</v>
      </c>
      <c r="W81" s="50">
        <v>0</v>
      </c>
      <c r="X81" s="50">
        <v>0</v>
      </c>
      <c r="Y81" s="299">
        <v>0</v>
      </c>
      <c r="Z81" s="50">
        <v>0</v>
      </c>
      <c r="AA81" s="50">
        <v>0</v>
      </c>
      <c r="AB81" s="50">
        <v>0</v>
      </c>
      <c r="AC81" s="299">
        <v>0</v>
      </c>
      <c r="AD81" s="304">
        <v>0</v>
      </c>
      <c r="AE81" s="304">
        <v>0</v>
      </c>
      <c r="AF81" s="304">
        <v>0</v>
      </c>
      <c r="AG81" s="305">
        <v>0</v>
      </c>
      <c r="AH81" s="304">
        <v>1</v>
      </c>
      <c r="AI81" s="304">
        <v>1</v>
      </c>
      <c r="AJ81" s="304">
        <v>1</v>
      </c>
      <c r="AK81" s="305">
        <v>1</v>
      </c>
      <c r="AL81" s="304">
        <v>1</v>
      </c>
      <c r="AM81" s="304">
        <v>1</v>
      </c>
      <c r="AN81" s="304">
        <v>1</v>
      </c>
      <c r="AO81" s="305">
        <v>1</v>
      </c>
      <c r="AP81" s="50">
        <v>0.06</v>
      </c>
      <c r="AQ81" s="50">
        <v>0.05</v>
      </c>
      <c r="AR81" s="50">
        <f>(AQ81+AS81)/2</f>
        <v>3.7500000000000006E-2</v>
      </c>
      <c r="AS81" s="299">
        <v>2.5000000000000001E-2</v>
      </c>
      <c r="AT81" s="50">
        <v>0</v>
      </c>
      <c r="AU81" s="50">
        <v>0</v>
      </c>
      <c r="AV81" s="50">
        <v>0</v>
      </c>
      <c r="AW81" s="299">
        <v>0</v>
      </c>
      <c r="AX81" s="50">
        <v>0</v>
      </c>
      <c r="AY81" s="50">
        <v>0</v>
      </c>
      <c r="AZ81" s="50">
        <v>0</v>
      </c>
      <c r="BA81" s="299">
        <v>0</v>
      </c>
      <c r="BB81" s="50">
        <v>0</v>
      </c>
      <c r="BC81" s="50">
        <v>0</v>
      </c>
      <c r="BD81" s="50">
        <v>0</v>
      </c>
      <c r="BE81" s="299">
        <v>0</v>
      </c>
      <c r="BF81" s="50">
        <v>0</v>
      </c>
      <c r="BG81" s="50">
        <v>0</v>
      </c>
      <c r="BH81" s="50">
        <v>0</v>
      </c>
      <c r="BI81" s="299">
        <v>0</v>
      </c>
      <c r="BJ81" s="50">
        <v>0</v>
      </c>
      <c r="BK81" s="50">
        <v>0</v>
      </c>
      <c r="BL81" s="50">
        <v>0</v>
      </c>
      <c r="BM81" s="299">
        <v>0</v>
      </c>
      <c r="BN81" s="50">
        <v>0</v>
      </c>
      <c r="BO81" s="50">
        <v>0</v>
      </c>
      <c r="BP81" s="50">
        <v>0</v>
      </c>
      <c r="BQ81" s="299">
        <v>0</v>
      </c>
      <c r="BR81" s="50">
        <f t="shared" si="113"/>
        <v>0</v>
      </c>
      <c r="BS81" s="50">
        <v>0</v>
      </c>
      <c r="BT81" s="50">
        <v>0</v>
      </c>
      <c r="BU81" s="299">
        <v>0</v>
      </c>
      <c r="BV81" s="366">
        <v>0</v>
      </c>
      <c r="BW81" s="366">
        <v>0</v>
      </c>
      <c r="BX81" s="366">
        <v>0</v>
      </c>
      <c r="BY81" s="299">
        <v>0</v>
      </c>
      <c r="BZ81" s="304">
        <v>0.08</v>
      </c>
      <c r="CA81" s="304">
        <v>0.08</v>
      </c>
      <c r="CB81" s="304">
        <v>0.08</v>
      </c>
      <c r="CC81" s="304">
        <v>0.08</v>
      </c>
    </row>
    <row r="82" spans="1:81" s="50" customFormat="1" x14ac:dyDescent="0.35">
      <c r="A82" s="522"/>
      <c r="B82" s="329" t="s">
        <v>16</v>
      </c>
      <c r="C82" s="313" t="s">
        <v>184</v>
      </c>
      <c r="D82" s="296" t="s">
        <v>35</v>
      </c>
      <c r="E82" s="507" t="s">
        <v>469</v>
      </c>
      <c r="F82" s="6">
        <f t="shared" si="120"/>
        <v>77</v>
      </c>
      <c r="G82" s="297">
        <v>1</v>
      </c>
      <c r="H82" s="298" t="s">
        <v>396</v>
      </c>
      <c r="I82" s="298" t="s">
        <v>396</v>
      </c>
      <c r="J82" s="301">
        <v>0</v>
      </c>
      <c r="K82" s="301" t="s">
        <v>12</v>
      </c>
      <c r="L82" s="301">
        <v>0</v>
      </c>
      <c r="M82" s="301">
        <v>0</v>
      </c>
      <c r="N82" s="419">
        <v>0</v>
      </c>
      <c r="O82" s="301">
        <v>0</v>
      </c>
      <c r="P82" s="301">
        <v>0</v>
      </c>
      <c r="Q82" s="299">
        <v>20000000</v>
      </c>
      <c r="R82" s="315">
        <v>0</v>
      </c>
      <c r="S82" s="315">
        <v>0</v>
      </c>
      <c r="T82" s="315">
        <v>0</v>
      </c>
      <c r="U82" s="314">
        <v>0</v>
      </c>
      <c r="V82" s="50">
        <v>0</v>
      </c>
      <c r="W82" s="50">
        <v>0</v>
      </c>
      <c r="X82" s="50">
        <v>0</v>
      </c>
      <c r="Y82" s="299">
        <v>0</v>
      </c>
      <c r="Z82" s="50">
        <v>0</v>
      </c>
      <c r="AA82" s="50">
        <v>0</v>
      </c>
      <c r="AB82" s="50">
        <v>0</v>
      </c>
      <c r="AC82" s="299">
        <v>0</v>
      </c>
      <c r="AD82" s="304">
        <v>0.1</v>
      </c>
      <c r="AE82" s="304">
        <v>0</v>
      </c>
      <c r="AF82" s="304">
        <v>0</v>
      </c>
      <c r="AG82" s="305">
        <v>0</v>
      </c>
      <c r="AH82" s="304">
        <v>1</v>
      </c>
      <c r="AI82" s="304">
        <v>1</v>
      </c>
      <c r="AJ82" s="304">
        <v>1</v>
      </c>
      <c r="AK82" s="305">
        <v>1</v>
      </c>
      <c r="AL82" s="304">
        <v>1</v>
      </c>
      <c r="AM82" s="304">
        <v>1</v>
      </c>
      <c r="AN82" s="304">
        <v>1</v>
      </c>
      <c r="AO82" s="305">
        <v>1</v>
      </c>
      <c r="AP82" s="50">
        <v>0</v>
      </c>
      <c r="AQ82" s="50">
        <v>0</v>
      </c>
      <c r="AR82" s="50">
        <v>0</v>
      </c>
      <c r="AS82" s="299">
        <v>0</v>
      </c>
      <c r="AT82" s="50">
        <v>550</v>
      </c>
      <c r="AU82" s="50">
        <v>180</v>
      </c>
      <c r="AV82" s="50">
        <f>(AU82+AW82)/2</f>
        <v>162.5</v>
      </c>
      <c r="AW82" s="299">
        <v>145</v>
      </c>
      <c r="AX82" s="50">
        <f>AT82*0.015</f>
        <v>8.25</v>
      </c>
      <c r="AY82" s="50">
        <f>AU82*0.015</f>
        <v>2.6999999999999997</v>
      </c>
      <c r="AZ82" s="50">
        <f>AV82*0.015</f>
        <v>2.4375</v>
      </c>
      <c r="BA82" s="299">
        <f>AW82*0.015</f>
        <v>2.1749999999999998</v>
      </c>
      <c r="BB82" s="50">
        <v>0</v>
      </c>
      <c r="BC82" s="50">
        <v>0</v>
      </c>
      <c r="BD82" s="50">
        <v>0</v>
      </c>
      <c r="BE82" s="299">
        <v>0</v>
      </c>
      <c r="BF82" s="50">
        <v>0</v>
      </c>
      <c r="BG82" s="50">
        <v>0</v>
      </c>
      <c r="BH82" s="50">
        <v>0</v>
      </c>
      <c r="BI82" s="299">
        <v>0</v>
      </c>
      <c r="BJ82" s="50">
        <v>2.64634920634921</v>
      </c>
      <c r="BK82" s="50">
        <v>0</v>
      </c>
      <c r="BL82" s="50">
        <v>0</v>
      </c>
      <c r="BM82" s="299">
        <v>0</v>
      </c>
      <c r="BN82" s="50">
        <v>0</v>
      </c>
      <c r="BO82" s="50">
        <v>0</v>
      </c>
      <c r="BP82" s="50">
        <v>0</v>
      </c>
      <c r="BQ82" s="299">
        <v>0</v>
      </c>
      <c r="BR82" s="50">
        <f t="shared" si="113"/>
        <v>0.11682954493601999</v>
      </c>
      <c r="BS82" s="50">
        <f t="shared" ref="BS82" si="145">IF(BW82&lt;&gt;0,(CA82*(1+CA82)^BW82)/((1+CA82)^BW82-1),0)</f>
        <v>0.10185220882315059</v>
      </c>
      <c r="BT82" s="50">
        <f t="shared" ref="BT82" si="146">IF(BX82&lt;&gt;0,(CB82*(1+CB82)^BX82)/((1+CB82)^BX82-1),0)</f>
        <v>9.3678779051968114E-2</v>
      </c>
      <c r="BU82" s="299">
        <f t="shared" ref="BU82" si="147">IF(BY82&lt;&gt;0,(CC82*(1+CC82)^BY82)/((1+CC82)^BY82-1),0)</f>
        <v>8.8827433387272267E-2</v>
      </c>
      <c r="BV82" s="308">
        <v>15</v>
      </c>
      <c r="BW82" s="308">
        <v>20</v>
      </c>
      <c r="BX82" s="308">
        <v>25</v>
      </c>
      <c r="BY82" s="300">
        <v>30</v>
      </c>
      <c r="BZ82" s="304">
        <v>0.08</v>
      </c>
      <c r="CA82" s="304">
        <v>0.08</v>
      </c>
      <c r="CB82" s="304">
        <v>0.08</v>
      </c>
      <c r="CC82" s="304">
        <v>0.08</v>
      </c>
    </row>
  </sheetData>
  <mergeCells count="23">
    <mergeCell ref="R1:U1"/>
    <mergeCell ref="V1:Y1"/>
    <mergeCell ref="Z1:AC1"/>
    <mergeCell ref="A53:A82"/>
    <mergeCell ref="A1:C1"/>
    <mergeCell ref="D2:D5"/>
    <mergeCell ref="B2:B5"/>
    <mergeCell ref="C2:C5"/>
    <mergeCell ref="A6:A52"/>
    <mergeCell ref="E2:E5"/>
    <mergeCell ref="AD1:AG1"/>
    <mergeCell ref="AH1:AK1"/>
    <mergeCell ref="AL1:AO1"/>
    <mergeCell ref="AP1:AS1"/>
    <mergeCell ref="AX1:BA1"/>
    <mergeCell ref="AT1:AW1"/>
    <mergeCell ref="BR1:BU1"/>
    <mergeCell ref="BV1:BY1"/>
    <mergeCell ref="BZ1:CC1"/>
    <mergeCell ref="BB1:BE1"/>
    <mergeCell ref="BF1:BI1"/>
    <mergeCell ref="BJ1:BM1"/>
    <mergeCell ref="BN1:BQ1"/>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A16"/>
  <sheetViews>
    <sheetView workbookViewId="0">
      <selection activeCell="A17" sqref="A17"/>
    </sheetView>
  </sheetViews>
  <sheetFormatPr defaultRowHeight="14.5" x14ac:dyDescent="0.35"/>
  <cols>
    <col min="1" max="1" width="33.453125" style="55" customWidth="1"/>
    <col min="2" max="16384" width="8.7265625" style="55"/>
  </cols>
  <sheetData>
    <row r="1" spans="1:1" x14ac:dyDescent="0.35">
      <c r="A1" s="55" t="s">
        <v>416</v>
      </c>
    </row>
    <row r="2" spans="1:1" x14ac:dyDescent="0.35">
      <c r="A2" s="55" t="s">
        <v>418</v>
      </c>
    </row>
    <row r="3" spans="1:1" x14ac:dyDescent="0.35">
      <c r="A3" s="369" t="s">
        <v>463</v>
      </c>
    </row>
    <row r="5" spans="1:1" x14ac:dyDescent="0.35">
      <c r="A5" s="368" t="s">
        <v>417</v>
      </c>
    </row>
    <row r="6" spans="1:1" x14ac:dyDescent="0.35">
      <c r="A6" s="435" t="s">
        <v>36</v>
      </c>
    </row>
    <row r="7" spans="1:1" x14ac:dyDescent="0.35">
      <c r="A7" s="251" t="s">
        <v>41</v>
      </c>
    </row>
    <row r="8" spans="1:1" x14ac:dyDescent="0.35">
      <c r="A8" s="251" t="s">
        <v>42</v>
      </c>
    </row>
    <row r="9" spans="1:1" x14ac:dyDescent="0.35">
      <c r="A9" s="251" t="s">
        <v>43</v>
      </c>
    </row>
    <row r="10" spans="1:1" x14ac:dyDescent="0.35">
      <c r="A10" s="251" t="s">
        <v>44</v>
      </c>
    </row>
    <row r="11" spans="1:1" x14ac:dyDescent="0.35">
      <c r="A11" s="251" t="s">
        <v>45</v>
      </c>
    </row>
    <row r="12" spans="1:1" x14ac:dyDescent="0.35">
      <c r="A12" s="251" t="s">
        <v>46</v>
      </c>
    </row>
    <row r="13" spans="1:1" x14ac:dyDescent="0.35">
      <c r="A13" s="262" t="s">
        <v>47</v>
      </c>
    </row>
    <row r="14" spans="1:1" x14ac:dyDescent="0.35">
      <c r="A14" s="262" t="s">
        <v>48</v>
      </c>
    </row>
    <row r="15" spans="1:1" x14ac:dyDescent="0.35">
      <c r="A15" s="262" t="s">
        <v>49</v>
      </c>
    </row>
    <row r="16" spans="1:1" x14ac:dyDescent="0.35">
      <c r="A16" s="262"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DW6"/>
  <sheetViews>
    <sheetView workbookViewId="0">
      <selection activeCell="C16" sqref="C16"/>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5" customFormat="1" x14ac:dyDescent="0.35">
      <c r="A4" s="29" t="s">
        <v>131</v>
      </c>
      <c r="B4" s="4" t="s">
        <v>102</v>
      </c>
      <c r="C4" s="4" t="s">
        <v>101</v>
      </c>
      <c r="D4" s="4" t="s">
        <v>62</v>
      </c>
      <c r="E4" s="4" t="s">
        <v>100</v>
      </c>
      <c r="F4" s="4" t="s">
        <v>64</v>
      </c>
      <c r="G4" s="15" t="s">
        <v>99</v>
      </c>
      <c r="H4" s="15" t="s">
        <v>65</v>
      </c>
      <c r="DW4" s="15" t="str">
        <f>Data_base_case!CM2&amp;Data_base_case!CM3</f>
        <v/>
      </c>
    </row>
    <row r="5" spans="1:127" ht="14.5" customHeight="1" x14ac:dyDescent="0.35">
      <c r="A5" s="20"/>
      <c r="B5" s="1" t="s">
        <v>293</v>
      </c>
      <c r="C5" s="7" t="s">
        <v>32</v>
      </c>
      <c r="D5" s="1" t="s">
        <v>93</v>
      </c>
      <c r="E5" s="7" t="s">
        <v>95</v>
      </c>
      <c r="F5" s="1">
        <f>H5</f>
        <v>1</v>
      </c>
      <c r="G5" s="65" t="s">
        <v>95</v>
      </c>
      <c r="H5" s="1">
        <f>INDEX(Data_base_case!$D$5:$BU$82,MATCH(Scenarios_definition!C5,Data_base_case!$D$5:$D$82,0),MATCH(Scenarios_definition!D5&amp;Scenarios_definition!G5,Data_base_case!$D$4:$BU$4,0))</f>
        <v>1</v>
      </c>
    </row>
    <row r="6" spans="1:127" x14ac:dyDescent="0.35">
      <c r="A6" s="1" t="s">
        <v>293</v>
      </c>
      <c r="B6" s="1" t="s">
        <v>292</v>
      </c>
      <c r="C6" s="7" t="s">
        <v>32</v>
      </c>
      <c r="D6" s="1" t="s">
        <v>93</v>
      </c>
      <c r="E6" s="66" t="s">
        <v>95</v>
      </c>
      <c r="F6" s="1">
        <v>0</v>
      </c>
      <c r="G6" s="65"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dimension ref="A1:AM19"/>
  <sheetViews>
    <sheetView tabSelected="1" topLeftCell="A13" zoomScale="88" zoomScaleNormal="145" workbookViewId="0">
      <selection activeCell="C26" sqref="C26"/>
    </sheetView>
  </sheetViews>
  <sheetFormatPr defaultRowHeight="14.5" x14ac:dyDescent="0.35"/>
  <cols>
    <col min="1" max="1" width="15.08984375" style="52" bestFit="1" customWidth="1"/>
    <col min="2" max="2" width="31.54296875" style="52" customWidth="1"/>
    <col min="3" max="3" width="23.7265625" style="11" customWidth="1"/>
    <col min="4" max="4" width="13.1796875" style="11" customWidth="1"/>
    <col min="5" max="5" width="11.7265625" style="11" customWidth="1"/>
    <col min="6" max="6" width="11.1796875" style="11" customWidth="1"/>
    <col min="7" max="7" width="14.7265625" style="11" customWidth="1"/>
    <col min="8" max="8" width="15.36328125" style="11" customWidth="1"/>
    <col min="9" max="9" width="19.90625" style="11" customWidth="1"/>
    <col min="10" max="10" width="10.90625" style="11" customWidth="1"/>
    <col min="11" max="11" width="16.36328125" style="11" customWidth="1"/>
    <col min="12" max="12" width="18.08984375" style="11" customWidth="1"/>
    <col min="13" max="13" width="13" style="11" customWidth="1"/>
    <col min="14" max="14" width="15.7265625" style="11" customWidth="1"/>
    <col min="15" max="17" width="31.90625" style="159" customWidth="1"/>
    <col min="18" max="18" width="12.6328125" style="11" customWidth="1"/>
    <col min="19" max="19" width="13.453125" style="11" customWidth="1"/>
    <col min="20" max="20" width="15.7265625" style="11" customWidth="1"/>
    <col min="21" max="21" width="17.26953125" style="11" customWidth="1"/>
    <col min="22" max="22" width="18.453125" style="11" customWidth="1"/>
    <col min="23" max="23" width="19.81640625" style="11" customWidth="1"/>
    <col min="24" max="25" width="21.36328125" style="56" customWidth="1"/>
    <col min="26" max="26" width="23.90625" style="56" customWidth="1"/>
    <col min="27" max="27" width="11.7265625" style="16" bestFit="1" customWidth="1"/>
    <col min="28" max="28" width="8.08984375" style="56" bestFit="1" customWidth="1"/>
    <col min="29" max="29" width="19.1796875" style="56" bestFit="1" customWidth="1"/>
    <col min="30" max="30" width="20.26953125" style="56" customWidth="1"/>
    <col min="31" max="31" width="14.7265625" style="56" customWidth="1"/>
    <col min="32" max="32" width="13.54296875" style="56" customWidth="1"/>
    <col min="33" max="33" width="16" style="56" customWidth="1"/>
    <col min="34" max="34" width="20.54296875" style="56" customWidth="1"/>
    <col min="35" max="35" width="16" style="56" customWidth="1"/>
    <col min="36" max="36" width="14.6328125" style="17" bestFit="1" customWidth="1"/>
    <col min="37" max="37" width="12.26953125" style="52" bestFit="1" customWidth="1"/>
    <col min="38" max="38" width="8.1796875" style="52" bestFit="1" customWidth="1"/>
    <col min="39" max="39" width="5.54296875" style="52" bestFit="1" customWidth="1"/>
    <col min="40" max="16384" width="8.7265625" style="52"/>
  </cols>
  <sheetData>
    <row r="1" spans="1:39" x14ac:dyDescent="0.35">
      <c r="C1" s="43" t="s">
        <v>105</v>
      </c>
      <c r="E1" s="43"/>
      <c r="F1" s="43"/>
      <c r="G1" s="43"/>
      <c r="H1" s="43"/>
      <c r="I1" s="43"/>
      <c r="J1" s="43"/>
      <c r="K1" s="43"/>
      <c r="L1" s="43"/>
      <c r="M1" s="43"/>
      <c r="N1" s="43"/>
      <c r="O1" s="157"/>
      <c r="P1" s="157"/>
      <c r="Q1" s="157"/>
      <c r="R1" s="43"/>
      <c r="S1" s="43"/>
      <c r="T1" s="43"/>
      <c r="U1" s="43"/>
      <c r="V1" s="43"/>
      <c r="W1" s="43"/>
      <c r="X1" s="43"/>
      <c r="Y1" s="43"/>
      <c r="Z1" s="13"/>
    </row>
    <row r="2" spans="1:39" ht="16.5" customHeight="1" x14ac:dyDescent="0.35">
      <c r="B2" s="529" t="s">
        <v>110</v>
      </c>
      <c r="C2" s="530" t="s">
        <v>344</v>
      </c>
      <c r="D2" s="10" t="s">
        <v>173</v>
      </c>
      <c r="E2" s="10" t="s">
        <v>87</v>
      </c>
      <c r="F2" s="8" t="s">
        <v>317</v>
      </c>
      <c r="G2" s="10" t="s">
        <v>405</v>
      </c>
      <c r="H2" s="367" t="s">
        <v>410</v>
      </c>
      <c r="I2" s="10" t="s">
        <v>16</v>
      </c>
      <c r="J2" s="10">
        <v>2025</v>
      </c>
      <c r="K2" s="533" t="s">
        <v>127</v>
      </c>
      <c r="L2" s="532" t="s">
        <v>424</v>
      </c>
      <c r="M2" s="10" t="s">
        <v>179</v>
      </c>
      <c r="N2" s="531" t="s">
        <v>341</v>
      </c>
      <c r="O2" s="537" t="s">
        <v>343</v>
      </c>
      <c r="P2" s="372"/>
      <c r="Q2" s="372"/>
      <c r="R2" s="10" t="s">
        <v>117</v>
      </c>
      <c r="S2" s="10" t="s">
        <v>117</v>
      </c>
      <c r="T2" s="535" t="s">
        <v>175</v>
      </c>
      <c r="U2" s="534" t="s">
        <v>176</v>
      </c>
      <c r="V2" s="536" t="s">
        <v>178</v>
      </c>
      <c r="W2" s="531" t="s">
        <v>462</v>
      </c>
      <c r="X2" s="22" t="s">
        <v>152</v>
      </c>
      <c r="Y2" s="22" t="s">
        <v>152</v>
      </c>
      <c r="Z2" s="23" t="s">
        <v>106</v>
      </c>
    </row>
    <row r="3" spans="1:39" x14ac:dyDescent="0.35">
      <c r="B3" s="529"/>
      <c r="C3" s="530"/>
      <c r="D3" s="10" t="s">
        <v>442</v>
      </c>
      <c r="E3" s="10" t="s">
        <v>60</v>
      </c>
      <c r="F3" s="8" t="s">
        <v>318</v>
      </c>
      <c r="G3" s="10" t="s">
        <v>406</v>
      </c>
      <c r="H3" s="367" t="s">
        <v>414</v>
      </c>
      <c r="I3" s="10" t="s">
        <v>413</v>
      </c>
      <c r="J3" s="10">
        <v>2030</v>
      </c>
      <c r="K3" s="533"/>
      <c r="L3" s="532"/>
      <c r="M3" s="10" t="s">
        <v>180</v>
      </c>
      <c r="N3" s="531"/>
      <c r="O3" s="537"/>
      <c r="P3" s="372"/>
      <c r="Q3" s="372"/>
      <c r="T3" s="535"/>
      <c r="U3" s="534"/>
      <c r="V3" s="536"/>
      <c r="W3" s="531"/>
      <c r="X3" s="21"/>
      <c r="Y3" s="21"/>
      <c r="Z3" s="21"/>
    </row>
    <row r="4" spans="1:39" x14ac:dyDescent="0.35">
      <c r="B4" s="529"/>
      <c r="C4" s="530"/>
      <c r="D4" s="10" t="s">
        <v>443</v>
      </c>
      <c r="E4" s="10" t="s">
        <v>86</v>
      </c>
      <c r="F4" s="64" t="s">
        <v>461</v>
      </c>
      <c r="G4" s="10" t="s">
        <v>407</v>
      </c>
      <c r="H4" s="367" t="s">
        <v>411</v>
      </c>
      <c r="I4" s="10"/>
      <c r="J4" s="10">
        <v>2040</v>
      </c>
      <c r="K4" s="10"/>
      <c r="L4" s="532"/>
      <c r="M4" s="10" t="s">
        <v>172</v>
      </c>
      <c r="N4" s="531"/>
      <c r="O4" s="158"/>
      <c r="P4" s="158"/>
      <c r="Q4" s="158"/>
      <c r="R4" s="10"/>
      <c r="S4" s="10"/>
      <c r="T4" s="535"/>
      <c r="U4" s="534"/>
      <c r="V4" s="536"/>
      <c r="W4" s="531"/>
      <c r="X4" s="21"/>
      <c r="Y4" s="21"/>
      <c r="Z4" s="21"/>
    </row>
    <row r="5" spans="1:39" x14ac:dyDescent="0.35">
      <c r="B5" s="529"/>
      <c r="C5" s="530"/>
      <c r="D5" s="10" t="s">
        <v>444</v>
      </c>
      <c r="E5" s="10"/>
      <c r="F5" s="8" t="s">
        <v>319</v>
      </c>
      <c r="G5" s="10" t="s">
        <v>408</v>
      </c>
      <c r="H5" s="10"/>
      <c r="I5" s="10"/>
      <c r="J5" s="10">
        <v>2050</v>
      </c>
      <c r="K5" s="10"/>
      <c r="L5" s="69"/>
      <c r="M5" s="10"/>
      <c r="N5" s="153"/>
      <c r="O5" s="537" t="s">
        <v>342</v>
      </c>
      <c r="P5" s="372"/>
      <c r="Q5" s="372"/>
      <c r="R5" s="10"/>
      <c r="S5" s="10"/>
      <c r="T5" s="535"/>
      <c r="U5" s="534"/>
      <c r="V5" s="536"/>
      <c r="W5" s="531"/>
      <c r="X5" s="21"/>
      <c r="Y5" s="21"/>
      <c r="Z5" s="21"/>
    </row>
    <row r="6" spans="1:39" x14ac:dyDescent="0.35">
      <c r="B6" s="529"/>
      <c r="C6" s="530"/>
      <c r="D6" s="10" t="s">
        <v>445</v>
      </c>
      <c r="E6" s="10"/>
      <c r="F6" s="8" t="s">
        <v>86</v>
      </c>
      <c r="G6" s="10" t="s">
        <v>409</v>
      </c>
      <c r="H6" s="10"/>
      <c r="I6" s="10"/>
      <c r="J6" s="10"/>
      <c r="K6" s="10"/>
      <c r="L6" s="69"/>
      <c r="M6" s="10"/>
      <c r="N6" s="153"/>
      <c r="O6" s="537"/>
      <c r="P6" s="372"/>
      <c r="Q6" s="372"/>
      <c r="R6" s="10"/>
      <c r="S6" s="10"/>
      <c r="T6" s="535"/>
      <c r="U6" s="534"/>
      <c r="V6" s="536"/>
      <c r="W6" s="531"/>
      <c r="X6" s="21"/>
      <c r="Y6" s="21"/>
      <c r="Z6" s="21"/>
    </row>
    <row r="7" spans="1:39" x14ac:dyDescent="0.35">
      <c r="B7" s="529"/>
      <c r="C7" s="530"/>
      <c r="D7" s="10" t="s">
        <v>291</v>
      </c>
      <c r="E7" s="10"/>
      <c r="F7" s="8"/>
      <c r="G7" s="10"/>
      <c r="H7" s="10"/>
      <c r="I7" s="10"/>
      <c r="J7" s="10"/>
      <c r="K7" s="10"/>
      <c r="L7" s="10"/>
      <c r="N7" s="153"/>
      <c r="O7" s="537"/>
      <c r="P7" s="372"/>
      <c r="Q7" s="372"/>
      <c r="R7" s="10"/>
      <c r="S7" s="10"/>
      <c r="T7" s="535"/>
      <c r="U7" s="534"/>
      <c r="V7" s="536"/>
      <c r="W7" s="531"/>
      <c r="X7" s="14"/>
      <c r="Y7" s="14"/>
      <c r="Z7" s="14"/>
      <c r="AA7" s="371"/>
      <c r="AB7" s="14"/>
      <c r="AC7" s="14"/>
      <c r="AD7" s="14"/>
      <c r="AE7" s="14"/>
      <c r="AF7" s="14"/>
      <c r="AG7" s="14"/>
      <c r="AH7" s="14"/>
      <c r="AI7" s="14"/>
      <c r="AJ7" s="27"/>
      <c r="AK7" s="528" t="s">
        <v>107</v>
      </c>
      <c r="AL7" s="523"/>
      <c r="AM7" s="523"/>
    </row>
    <row r="8" spans="1:39" x14ac:dyDescent="0.35">
      <c r="B8" s="71"/>
      <c r="C8" s="72"/>
      <c r="D8" s="10" t="s">
        <v>275</v>
      </c>
      <c r="E8" s="10"/>
      <c r="F8" s="8"/>
      <c r="G8" s="10"/>
      <c r="H8" s="10"/>
      <c r="I8" s="10"/>
      <c r="J8" s="10"/>
      <c r="K8" s="10"/>
      <c r="L8" s="10"/>
      <c r="N8" s="153"/>
      <c r="O8" s="537"/>
      <c r="P8" s="372"/>
      <c r="Q8" s="372"/>
      <c r="R8" s="10"/>
      <c r="S8" s="10"/>
      <c r="T8" s="73"/>
      <c r="U8" s="74"/>
      <c r="V8" s="75"/>
      <c r="W8" s="73"/>
      <c r="X8" s="14"/>
      <c r="Y8" s="14"/>
      <c r="Z8" s="14"/>
      <c r="AA8" s="371"/>
      <c r="AB8" s="14"/>
      <c r="AC8" s="14"/>
      <c r="AD8" s="14"/>
      <c r="AE8" s="14"/>
      <c r="AF8" s="14"/>
      <c r="AG8" s="14"/>
      <c r="AH8" s="14"/>
      <c r="AI8" s="14"/>
      <c r="AJ8" s="27"/>
      <c r="AK8" s="14"/>
      <c r="AL8" s="70"/>
      <c r="AM8" s="70"/>
    </row>
    <row r="9" spans="1:39" x14ac:dyDescent="0.35">
      <c r="B9" s="71"/>
      <c r="C9" s="72"/>
      <c r="D9" s="10" t="s">
        <v>276</v>
      </c>
      <c r="E9" s="10"/>
      <c r="F9" s="8"/>
      <c r="G9" s="10"/>
      <c r="H9" s="10"/>
      <c r="I9" s="10"/>
      <c r="J9" s="10"/>
      <c r="K9" s="10"/>
      <c r="L9" s="10"/>
      <c r="N9" s="153"/>
      <c r="O9" s="537"/>
      <c r="P9" s="372"/>
      <c r="Q9" s="372"/>
      <c r="R9" s="10"/>
      <c r="S9" s="10"/>
      <c r="T9" s="73"/>
      <c r="U9" s="74"/>
      <c r="V9" s="75"/>
      <c r="W9" s="73"/>
      <c r="X9" s="14"/>
      <c r="Y9" s="14"/>
      <c r="Z9" s="14"/>
      <c r="AA9" s="371" t="s">
        <v>419</v>
      </c>
      <c r="AB9" s="14"/>
      <c r="AC9" s="14"/>
      <c r="AD9" s="14"/>
      <c r="AE9" s="14"/>
      <c r="AF9" s="14"/>
      <c r="AG9" s="14"/>
      <c r="AH9" s="14"/>
      <c r="AI9" s="14"/>
      <c r="AJ9" s="27"/>
      <c r="AK9" s="14"/>
      <c r="AL9" s="70"/>
      <c r="AM9" s="70"/>
    </row>
    <row r="10" spans="1:39" x14ac:dyDescent="0.35">
      <c r="B10" s="152"/>
      <c r="C10" s="153"/>
      <c r="D10" s="10" t="s">
        <v>277</v>
      </c>
      <c r="E10" s="10"/>
      <c r="F10" s="8"/>
      <c r="G10" s="10"/>
      <c r="H10" s="10"/>
      <c r="I10" s="10"/>
      <c r="J10" s="10"/>
      <c r="K10" s="10"/>
      <c r="L10" s="10"/>
      <c r="N10" s="153"/>
      <c r="O10" s="162"/>
      <c r="P10" s="372"/>
      <c r="Q10" s="372"/>
      <c r="R10" s="10"/>
      <c r="S10" s="10"/>
      <c r="T10" s="154"/>
      <c r="U10" s="155"/>
      <c r="V10" s="156"/>
      <c r="W10" s="154"/>
      <c r="X10" s="14"/>
      <c r="Y10" s="14"/>
      <c r="Z10" s="14"/>
      <c r="AA10" s="371"/>
      <c r="AB10" s="14"/>
      <c r="AC10" s="14"/>
      <c r="AD10" s="14"/>
      <c r="AE10" s="14"/>
      <c r="AF10" s="14"/>
      <c r="AG10" s="14"/>
      <c r="AH10" s="14"/>
      <c r="AI10" s="14"/>
      <c r="AJ10" s="27"/>
      <c r="AK10" s="14"/>
      <c r="AL10" s="151"/>
      <c r="AM10" s="151"/>
    </row>
    <row r="11" spans="1:39" x14ac:dyDescent="0.35">
      <c r="B11" s="375"/>
      <c r="C11" s="376"/>
      <c r="D11" s="10" t="s">
        <v>278</v>
      </c>
      <c r="E11" s="10"/>
      <c r="G11" s="10"/>
      <c r="H11" s="10"/>
      <c r="I11" s="10"/>
      <c r="J11" s="10"/>
      <c r="K11" s="10"/>
      <c r="L11" s="10"/>
      <c r="N11" s="376"/>
      <c r="O11" s="380"/>
      <c r="P11" s="380"/>
      <c r="Q11" s="380"/>
      <c r="R11" s="10"/>
      <c r="S11" s="10"/>
      <c r="T11" s="378"/>
      <c r="U11" s="377"/>
      <c r="V11" s="379"/>
      <c r="W11" s="378"/>
      <c r="X11" s="14"/>
      <c r="Y11" s="14"/>
      <c r="Z11" s="14"/>
      <c r="AA11" s="374"/>
      <c r="AB11" s="14"/>
      <c r="AC11" s="14"/>
      <c r="AD11" s="14"/>
      <c r="AE11" s="14"/>
      <c r="AF11" s="14"/>
      <c r="AG11" s="14"/>
      <c r="AH11" s="14"/>
      <c r="AI11" s="14"/>
      <c r="AJ11" s="27"/>
      <c r="AK11" s="14"/>
      <c r="AL11" s="373"/>
      <c r="AM11" s="373"/>
    </row>
    <row r="12" spans="1:39" x14ac:dyDescent="0.35">
      <c r="B12" s="375"/>
      <c r="C12" s="376"/>
      <c r="D12" s="10" t="s">
        <v>84</v>
      </c>
      <c r="E12" s="10"/>
      <c r="F12" s="8"/>
      <c r="G12" s="10"/>
      <c r="H12" s="10"/>
      <c r="I12" s="10"/>
      <c r="J12" s="10"/>
      <c r="K12" s="10"/>
      <c r="L12" s="10"/>
      <c r="N12" s="376"/>
      <c r="O12" s="380"/>
      <c r="P12" s="380"/>
      <c r="Q12" s="380"/>
      <c r="R12" s="10"/>
      <c r="S12" s="10"/>
      <c r="T12" s="378"/>
      <c r="U12" s="377"/>
      <c r="V12" s="379"/>
      <c r="W12" s="378"/>
      <c r="X12" s="14"/>
      <c r="Y12" s="14"/>
      <c r="Z12" s="14"/>
      <c r="AA12" s="374"/>
      <c r="AB12" s="14"/>
      <c r="AC12" s="14"/>
      <c r="AD12" s="14"/>
      <c r="AE12" s="14"/>
      <c r="AF12" s="14"/>
      <c r="AG12" s="14"/>
      <c r="AH12" s="14"/>
      <c r="AI12" s="14"/>
      <c r="AJ12" s="27"/>
      <c r="AK12" s="14"/>
      <c r="AL12" s="373"/>
      <c r="AM12" s="373"/>
    </row>
    <row r="13" spans="1:39" x14ac:dyDescent="0.35">
      <c r="B13" s="375"/>
      <c r="C13" s="376"/>
      <c r="D13" s="10" t="s">
        <v>299</v>
      </c>
      <c r="E13" s="10"/>
      <c r="F13" s="8"/>
      <c r="G13" s="10"/>
      <c r="H13" s="10"/>
      <c r="I13" s="10"/>
      <c r="J13" s="10"/>
      <c r="K13" s="10"/>
      <c r="L13" s="10"/>
      <c r="N13" s="376"/>
      <c r="O13" s="380"/>
      <c r="P13" s="380"/>
      <c r="Q13" s="380"/>
      <c r="R13" s="10"/>
      <c r="S13" s="10"/>
      <c r="T13" s="378"/>
      <c r="U13" s="377"/>
      <c r="V13" s="379"/>
      <c r="W13" s="378"/>
      <c r="X13" s="14"/>
      <c r="Y13" s="14"/>
      <c r="Z13" s="14"/>
      <c r="AA13" s="374"/>
      <c r="AB13" s="14"/>
      <c r="AC13" s="14"/>
      <c r="AD13" s="14"/>
      <c r="AE13" s="14"/>
      <c r="AF13" s="14"/>
      <c r="AG13" s="14"/>
      <c r="AH13" s="14"/>
      <c r="AI13" s="14"/>
      <c r="AJ13" s="27"/>
      <c r="AK13" s="14"/>
      <c r="AL13" s="373"/>
      <c r="AM13" s="373"/>
    </row>
    <row r="14" spans="1:39" x14ac:dyDescent="0.35">
      <c r="B14" s="43"/>
      <c r="C14" s="43"/>
      <c r="X14" s="13"/>
      <c r="Y14" s="13"/>
      <c r="Z14" s="13"/>
      <c r="AA14" s="371"/>
      <c r="AB14" s="14"/>
      <c r="AC14" s="14"/>
      <c r="AD14" s="14"/>
      <c r="AE14" s="14"/>
      <c r="AF14" s="14"/>
      <c r="AG14" s="14"/>
      <c r="AH14" s="14"/>
      <c r="AI14" s="14"/>
      <c r="AJ14" s="27"/>
      <c r="AK14" s="68"/>
      <c r="AL14" s="68"/>
    </row>
    <row r="15" spans="1:39" s="67" customFormat="1" x14ac:dyDescent="0.35">
      <c r="A15" s="67" t="s">
        <v>69</v>
      </c>
      <c r="B15" s="67" t="s">
        <v>109</v>
      </c>
      <c r="C15" s="67" t="s">
        <v>108</v>
      </c>
      <c r="D15" s="67" t="s">
        <v>70</v>
      </c>
      <c r="E15" s="67" t="s">
        <v>85</v>
      </c>
      <c r="F15" s="150" t="s">
        <v>320</v>
      </c>
      <c r="G15" s="67" t="s">
        <v>71</v>
      </c>
      <c r="H15" s="150" t="s">
        <v>168</v>
      </c>
      <c r="I15" s="150" t="s">
        <v>169</v>
      </c>
      <c r="J15" s="67" t="s">
        <v>124</v>
      </c>
      <c r="K15" s="24" t="s">
        <v>125</v>
      </c>
      <c r="L15" s="67" t="s">
        <v>73</v>
      </c>
      <c r="M15" s="67" t="s">
        <v>160</v>
      </c>
      <c r="N15" s="150" t="s">
        <v>340</v>
      </c>
      <c r="O15" s="160" t="s">
        <v>305</v>
      </c>
      <c r="P15" s="160" t="s">
        <v>420</v>
      </c>
      <c r="Q15" s="160" t="s">
        <v>421</v>
      </c>
      <c r="R15" s="67" t="s">
        <v>118</v>
      </c>
      <c r="S15" s="67" t="s">
        <v>116</v>
      </c>
      <c r="T15" s="67" t="s">
        <v>163</v>
      </c>
      <c r="U15" s="67" t="s">
        <v>170</v>
      </c>
      <c r="V15" s="67" t="s">
        <v>177</v>
      </c>
      <c r="W15" s="67" t="s">
        <v>476</v>
      </c>
      <c r="X15" s="24" t="s">
        <v>72</v>
      </c>
      <c r="Y15" s="24" t="s">
        <v>151</v>
      </c>
      <c r="Z15" s="24" t="s">
        <v>74</v>
      </c>
      <c r="AA15" s="370" t="s">
        <v>77</v>
      </c>
      <c r="AB15" s="24" t="s">
        <v>78</v>
      </c>
      <c r="AC15" s="24" t="s">
        <v>79</v>
      </c>
      <c r="AD15" s="24" t="s">
        <v>88</v>
      </c>
      <c r="AE15" s="24" t="s">
        <v>89</v>
      </c>
      <c r="AF15" s="24" t="s">
        <v>90</v>
      </c>
      <c r="AG15" s="24" t="s">
        <v>91</v>
      </c>
      <c r="AH15" s="24" t="s">
        <v>283</v>
      </c>
      <c r="AI15" s="24" t="s">
        <v>284</v>
      </c>
      <c r="AJ15" s="26" t="s">
        <v>80</v>
      </c>
      <c r="AK15" s="67" t="s">
        <v>81</v>
      </c>
      <c r="AL15" s="67" t="s">
        <v>82</v>
      </c>
      <c r="AM15" s="67" t="s">
        <v>83</v>
      </c>
    </row>
    <row r="16" spans="1:39" x14ac:dyDescent="0.35">
      <c r="A16" s="8">
        <f t="shared" ref="A16:A19" si="0">ROW(A16)-ROW($A$15)</f>
        <v>1</v>
      </c>
      <c r="B16" s="8" t="s">
        <v>480</v>
      </c>
      <c r="C16" s="11" t="s">
        <v>293</v>
      </c>
      <c r="D16" s="10" t="s">
        <v>84</v>
      </c>
      <c r="E16" s="11" t="s">
        <v>86</v>
      </c>
      <c r="F16" s="11" t="s">
        <v>86</v>
      </c>
      <c r="G16" s="11" t="s">
        <v>406</v>
      </c>
      <c r="H16" s="11" t="s">
        <v>412</v>
      </c>
      <c r="I16" s="11" t="s">
        <v>413</v>
      </c>
      <c r="J16" s="11">
        <v>2030</v>
      </c>
      <c r="K16" s="28" t="s">
        <v>171</v>
      </c>
      <c r="L16" s="494" t="s">
        <v>473</v>
      </c>
      <c r="M16" s="52" t="s">
        <v>172</v>
      </c>
      <c r="N16" s="54" t="s">
        <v>86</v>
      </c>
      <c r="O16" s="161" t="s">
        <v>478</v>
      </c>
      <c r="P16" s="11" t="s">
        <v>422</v>
      </c>
      <c r="Q16" s="11" t="s">
        <v>423</v>
      </c>
      <c r="R16" s="11">
        <v>0</v>
      </c>
      <c r="S16" s="11">
        <v>0</v>
      </c>
      <c r="T16" s="11">
        <v>-1</v>
      </c>
      <c r="U16" s="11" t="s">
        <v>86</v>
      </c>
      <c r="V16" s="11">
        <v>0</v>
      </c>
      <c r="W16" s="11" t="s">
        <v>477</v>
      </c>
      <c r="X16" s="56" t="s">
        <v>161</v>
      </c>
      <c r="Y16" s="56" t="s">
        <v>162</v>
      </c>
      <c r="Z16" s="56" t="s">
        <v>294</v>
      </c>
      <c r="AA16" s="16" t="b">
        <v>0</v>
      </c>
      <c r="AB16" s="56" t="b">
        <v>0</v>
      </c>
      <c r="AC16" s="56" t="b">
        <v>1</v>
      </c>
      <c r="AD16" s="56" t="b">
        <v>0</v>
      </c>
      <c r="AE16" s="56" t="b">
        <v>0</v>
      </c>
      <c r="AF16" s="56" t="b">
        <v>1</v>
      </c>
      <c r="AG16" s="56" t="b">
        <v>1</v>
      </c>
      <c r="AH16" s="56" t="b">
        <v>1</v>
      </c>
      <c r="AI16" s="56" t="b">
        <v>1</v>
      </c>
      <c r="AJ16" s="17" t="b">
        <v>0</v>
      </c>
      <c r="AK16" s="52" t="b">
        <v>0</v>
      </c>
      <c r="AL16" s="52" t="b">
        <v>0</v>
      </c>
      <c r="AM16" s="52" t="b">
        <v>1</v>
      </c>
    </row>
    <row r="17" spans="1:39" x14ac:dyDescent="0.35">
      <c r="A17" s="8">
        <f>ROW(A17)-ROW($A$15)</f>
        <v>2</v>
      </c>
      <c r="B17" s="8" t="s">
        <v>481</v>
      </c>
      <c r="C17" s="11" t="s">
        <v>292</v>
      </c>
      <c r="D17" s="10" t="s">
        <v>84</v>
      </c>
      <c r="E17" s="11" t="s">
        <v>86</v>
      </c>
      <c r="F17" s="11" t="s">
        <v>86</v>
      </c>
      <c r="G17" s="11" t="s">
        <v>406</v>
      </c>
      <c r="H17" s="11" t="s">
        <v>412</v>
      </c>
      <c r="I17" s="11" t="s">
        <v>413</v>
      </c>
      <c r="J17" s="11">
        <v>2030</v>
      </c>
      <c r="K17" s="28" t="s">
        <v>171</v>
      </c>
      <c r="L17" s="494" t="s">
        <v>473</v>
      </c>
      <c r="M17" s="52" t="s">
        <v>172</v>
      </c>
      <c r="N17" s="54" t="s">
        <v>86</v>
      </c>
      <c r="O17" s="161" t="s">
        <v>478</v>
      </c>
      <c r="P17" s="11" t="s">
        <v>422</v>
      </c>
      <c r="Q17" s="11" t="s">
        <v>423</v>
      </c>
      <c r="R17" s="11">
        <v>0</v>
      </c>
      <c r="S17" s="11">
        <v>0</v>
      </c>
      <c r="T17" s="11">
        <v>-1</v>
      </c>
      <c r="U17" s="11" t="s">
        <v>86</v>
      </c>
      <c r="V17" s="11">
        <v>0</v>
      </c>
      <c r="W17" s="11" t="s">
        <v>477</v>
      </c>
      <c r="X17" s="56" t="s">
        <v>161</v>
      </c>
      <c r="Y17" s="56" t="s">
        <v>162</v>
      </c>
      <c r="Z17" s="56" t="s">
        <v>294</v>
      </c>
      <c r="AA17" s="16" t="b">
        <v>0</v>
      </c>
      <c r="AB17" s="56" t="b">
        <v>0</v>
      </c>
      <c r="AC17" s="56" t="b">
        <v>1</v>
      </c>
      <c r="AD17" s="56" t="b">
        <v>0</v>
      </c>
      <c r="AE17" s="56" t="b">
        <v>0</v>
      </c>
      <c r="AF17" s="56" t="b">
        <v>1</v>
      </c>
      <c r="AG17" s="56" t="b">
        <v>1</v>
      </c>
      <c r="AH17" s="56" t="b">
        <v>1</v>
      </c>
      <c r="AI17" s="56" t="b">
        <v>1</v>
      </c>
      <c r="AJ17" s="17" t="b">
        <v>0</v>
      </c>
      <c r="AK17" s="52" t="b">
        <v>0</v>
      </c>
      <c r="AL17" s="52" t="b">
        <v>0</v>
      </c>
      <c r="AM17" s="52" t="b">
        <v>1</v>
      </c>
    </row>
    <row r="18" spans="1:39" x14ac:dyDescent="0.35">
      <c r="A18" s="8">
        <f t="shared" si="0"/>
        <v>3</v>
      </c>
      <c r="B18" s="8" t="s">
        <v>482</v>
      </c>
      <c r="C18" s="11" t="s">
        <v>293</v>
      </c>
      <c r="D18" s="10" t="s">
        <v>84</v>
      </c>
      <c r="E18" s="11" t="s">
        <v>86</v>
      </c>
      <c r="F18" s="11" t="s">
        <v>86</v>
      </c>
      <c r="G18" s="11" t="s">
        <v>405</v>
      </c>
      <c r="H18" s="11" t="s">
        <v>412</v>
      </c>
      <c r="I18" s="11" t="s">
        <v>413</v>
      </c>
      <c r="J18" s="11">
        <v>2025</v>
      </c>
      <c r="K18" s="28" t="s">
        <v>171</v>
      </c>
      <c r="L18" s="494" t="s">
        <v>473</v>
      </c>
      <c r="M18" s="52" t="s">
        <v>179</v>
      </c>
      <c r="N18" s="54" t="s">
        <v>86</v>
      </c>
      <c r="O18" s="161" t="s">
        <v>306</v>
      </c>
      <c r="P18" s="11" t="s">
        <v>422</v>
      </c>
      <c r="Q18" s="11" t="s">
        <v>423</v>
      </c>
      <c r="R18" s="11">
        <v>0</v>
      </c>
      <c r="S18" s="11">
        <v>0</v>
      </c>
      <c r="T18" s="11">
        <f>28.2/1000</f>
        <v>2.8199999999999999E-2</v>
      </c>
      <c r="U18" s="11" t="s">
        <v>474</v>
      </c>
      <c r="V18" s="11">
        <v>-1</v>
      </c>
      <c r="W18" s="11" t="s">
        <v>477</v>
      </c>
      <c r="X18" s="56" t="s">
        <v>161</v>
      </c>
      <c r="Y18" s="56" t="s">
        <v>162</v>
      </c>
      <c r="Z18" s="56" t="s">
        <v>294</v>
      </c>
      <c r="AA18" s="16" t="b">
        <v>0</v>
      </c>
      <c r="AB18" s="56" t="b">
        <v>0</v>
      </c>
      <c r="AC18" s="56" t="b">
        <v>1</v>
      </c>
      <c r="AD18" s="56" t="b">
        <v>0</v>
      </c>
      <c r="AE18" s="56" t="b">
        <v>0</v>
      </c>
      <c r="AF18" s="56" t="b">
        <v>1</v>
      </c>
      <c r="AG18" s="56" t="b">
        <v>1</v>
      </c>
      <c r="AH18" s="56" t="b">
        <v>1</v>
      </c>
      <c r="AI18" s="56" t="b">
        <v>1</v>
      </c>
      <c r="AJ18" s="17" t="b">
        <v>0</v>
      </c>
      <c r="AK18" s="52" t="b">
        <v>0</v>
      </c>
      <c r="AL18" s="52" t="b">
        <v>0</v>
      </c>
      <c r="AM18" s="52" t="b">
        <v>1</v>
      </c>
    </row>
    <row r="19" spans="1:39" x14ac:dyDescent="0.35">
      <c r="A19" s="8">
        <f t="shared" si="0"/>
        <v>4</v>
      </c>
      <c r="B19" s="8" t="s">
        <v>483</v>
      </c>
      <c r="C19" s="11" t="s">
        <v>293</v>
      </c>
      <c r="D19" s="10" t="s">
        <v>84</v>
      </c>
      <c r="E19" s="11" t="s">
        <v>86</v>
      </c>
      <c r="F19" s="11" t="s">
        <v>86</v>
      </c>
      <c r="G19" s="11" t="s">
        <v>405</v>
      </c>
      <c r="H19" s="11" t="s">
        <v>412</v>
      </c>
      <c r="I19" s="11" t="s">
        <v>413</v>
      </c>
      <c r="J19" s="11">
        <v>2025</v>
      </c>
      <c r="K19" s="28" t="s">
        <v>171</v>
      </c>
      <c r="L19" s="494" t="s">
        <v>473</v>
      </c>
      <c r="M19" s="52" t="s">
        <v>179</v>
      </c>
      <c r="N19" s="54" t="s">
        <v>86</v>
      </c>
      <c r="O19" s="161" t="s">
        <v>306</v>
      </c>
      <c r="P19" s="11" t="s">
        <v>422</v>
      </c>
      <c r="Q19" s="11" t="s">
        <v>423</v>
      </c>
      <c r="R19" s="11">
        <v>0</v>
      </c>
      <c r="S19" s="11">
        <v>0</v>
      </c>
      <c r="T19" s="11">
        <f>28.2/1000</f>
        <v>2.8199999999999999E-2</v>
      </c>
      <c r="U19" s="11" t="s">
        <v>474</v>
      </c>
      <c r="V19" s="11">
        <v>0</v>
      </c>
      <c r="W19" s="11" t="s">
        <v>477</v>
      </c>
      <c r="X19" s="56" t="s">
        <v>161</v>
      </c>
      <c r="Y19" s="56" t="s">
        <v>162</v>
      </c>
      <c r="Z19" s="56" t="s">
        <v>294</v>
      </c>
      <c r="AA19" s="16" t="b">
        <v>0</v>
      </c>
      <c r="AB19" s="56" t="b">
        <v>0</v>
      </c>
      <c r="AC19" s="56" t="b">
        <v>1</v>
      </c>
      <c r="AD19" s="56" t="b">
        <v>0</v>
      </c>
      <c r="AE19" s="56" t="b">
        <v>0</v>
      </c>
      <c r="AF19" s="56" t="b">
        <v>1</v>
      </c>
      <c r="AG19" s="56" t="b">
        <v>1</v>
      </c>
      <c r="AH19" s="56" t="b">
        <v>1</v>
      </c>
      <c r="AI19" s="56" t="b">
        <v>1</v>
      </c>
      <c r="AJ19" s="17" t="b">
        <v>0</v>
      </c>
      <c r="AK19" s="52" t="b">
        <v>0</v>
      </c>
      <c r="AL19" s="52" t="b">
        <v>0</v>
      </c>
      <c r="AM19" s="52" t="b">
        <v>1</v>
      </c>
    </row>
  </sheetData>
  <mergeCells count="12">
    <mergeCell ref="AK7:AM7"/>
    <mergeCell ref="B2:B7"/>
    <mergeCell ref="C2:C7"/>
    <mergeCell ref="W2:W7"/>
    <mergeCell ref="L2:L4"/>
    <mergeCell ref="K2:K3"/>
    <mergeCell ref="U2:U7"/>
    <mergeCell ref="T2:T7"/>
    <mergeCell ref="V2:V7"/>
    <mergeCell ref="O5:O9"/>
    <mergeCell ref="O2:O3"/>
    <mergeCell ref="N2:N4"/>
  </mergeCells>
  <conditionalFormatting sqref="AC16:AL16 AF17:AI17 AA16:AA17">
    <cfRule type="cellIs" dxfId="3305" priority="3861" operator="equal">
      <formula>TRUE</formula>
    </cfRule>
    <cfRule type="cellIs" dxfId="3304" priority="3862" operator="equal">
      <formula>FALSE</formula>
    </cfRule>
  </conditionalFormatting>
  <conditionalFormatting sqref="AB16">
    <cfRule type="cellIs" dxfId="3303" priority="3859" operator="equal">
      <formula>TRUE</formula>
    </cfRule>
    <cfRule type="cellIs" dxfId="3302" priority="3860" operator="equal">
      <formula>FALSE</formula>
    </cfRule>
  </conditionalFormatting>
  <conditionalFormatting sqref="AM16">
    <cfRule type="cellIs" dxfId="3301" priority="3857" operator="equal">
      <formula>TRUE</formula>
    </cfRule>
    <cfRule type="cellIs" dxfId="3300" priority="3858" operator="equal">
      <formula>FALSE</formula>
    </cfRule>
  </conditionalFormatting>
  <conditionalFormatting sqref="AC17:AE17 AJ17:AL17">
    <cfRule type="cellIs" dxfId="3299" priority="3855" operator="equal">
      <formula>TRUE</formula>
    </cfRule>
    <cfRule type="cellIs" dxfId="3298" priority="3856" operator="equal">
      <formula>FALSE</formula>
    </cfRule>
  </conditionalFormatting>
  <conditionalFormatting sqref="AB17">
    <cfRule type="cellIs" dxfId="3297" priority="3853" operator="equal">
      <formula>TRUE</formula>
    </cfRule>
    <cfRule type="cellIs" dxfId="3296" priority="3854" operator="equal">
      <formula>FALSE</formula>
    </cfRule>
  </conditionalFormatting>
  <conditionalFormatting sqref="AM17">
    <cfRule type="cellIs" dxfId="3295" priority="3851" operator="equal">
      <formula>TRUE</formula>
    </cfRule>
    <cfRule type="cellIs" dxfId="3294" priority="3852" operator="equal">
      <formula>FALSE</formula>
    </cfRule>
  </conditionalFormatting>
  <conditionalFormatting sqref="AC18:AL18 AA18">
    <cfRule type="cellIs" dxfId="3293" priority="11" operator="equal">
      <formula>TRUE</formula>
    </cfRule>
    <cfRule type="cellIs" dxfId="3292" priority="12" operator="equal">
      <formula>FALSE</formula>
    </cfRule>
  </conditionalFormatting>
  <conditionalFormatting sqref="AB18">
    <cfRule type="cellIs" dxfId="3291" priority="9" operator="equal">
      <formula>TRUE</formula>
    </cfRule>
    <cfRule type="cellIs" dxfId="3290" priority="10" operator="equal">
      <formula>FALSE</formula>
    </cfRule>
  </conditionalFormatting>
  <conditionalFormatting sqref="AM18">
    <cfRule type="cellIs" dxfId="3289" priority="7" operator="equal">
      <formula>TRUE</formula>
    </cfRule>
    <cfRule type="cellIs" dxfId="3288" priority="8" operator="equal">
      <formula>FALSE</formula>
    </cfRule>
  </conditionalFormatting>
  <conditionalFormatting sqref="AC19:AL19 AA19">
    <cfRule type="cellIs" dxfId="3287" priority="5" operator="equal">
      <formula>TRUE</formula>
    </cfRule>
    <cfRule type="cellIs" dxfId="3286" priority="6" operator="equal">
      <formula>FALSE</formula>
    </cfRule>
  </conditionalFormatting>
  <conditionalFormatting sqref="AB19">
    <cfRule type="cellIs" dxfId="3285" priority="3" operator="equal">
      <formula>TRUE</formula>
    </cfRule>
    <cfRule type="cellIs" dxfId="3284" priority="4" operator="equal">
      <formula>FALSE</formula>
    </cfRule>
  </conditionalFormatting>
  <conditionalFormatting sqref="AM19">
    <cfRule type="cellIs" dxfId="3283" priority="1" operator="equal">
      <formula>TRUE</formula>
    </cfRule>
    <cfRule type="cellIs" dxfId="3282"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AI356"/>
  <sheetViews>
    <sheetView workbookViewId="0">
      <selection activeCell="D14" sqref="D14"/>
    </sheetView>
  </sheetViews>
  <sheetFormatPr defaultRowHeight="14.5" x14ac:dyDescent="0.35"/>
  <cols>
    <col min="1" max="1" width="15.08984375" style="52" bestFit="1" customWidth="1"/>
    <col min="2" max="2" width="31.54296875" style="52" customWidth="1"/>
    <col min="3" max="3" width="36.90625" style="11" customWidth="1"/>
    <col min="4" max="4" width="22.1796875" style="11" customWidth="1"/>
    <col min="5" max="5" width="13.1796875" style="11" customWidth="1"/>
    <col min="6" max="6" width="11.7265625" style="11" customWidth="1"/>
    <col min="7" max="7" width="10.90625" style="11" customWidth="1"/>
    <col min="8" max="8" width="16.36328125" style="11" customWidth="1"/>
    <col min="9" max="9" width="12.26953125" style="11" customWidth="1"/>
    <col min="10" max="10" width="11.1796875" style="11" customWidth="1"/>
    <col min="11" max="11" width="12.6328125" style="11" customWidth="1"/>
    <col min="12" max="12" width="13.453125" style="11" customWidth="1"/>
    <col min="13" max="13" width="15.7265625" style="11" customWidth="1"/>
    <col min="14" max="14" width="17.26953125" style="11" customWidth="1"/>
    <col min="15" max="15" width="18.453125" style="11" customWidth="1"/>
    <col min="16" max="17" width="13.453125" style="11" customWidth="1"/>
    <col min="18" max="19" width="21.36328125" style="56" customWidth="1"/>
    <col min="20" max="20" width="23.90625" style="56" customWidth="1"/>
    <col min="21" max="21" width="9.6328125" style="16" bestFit="1" customWidth="1"/>
    <col min="22" max="22" width="7.90625" style="56" bestFit="1" customWidth="1"/>
    <col min="23" max="23" width="11.7265625" style="56" bestFit="1" customWidth="1"/>
    <col min="24" max="24" width="8.08984375" style="56" bestFit="1" customWidth="1"/>
    <col min="25" max="25" width="19.1796875" style="56" bestFit="1" customWidth="1"/>
    <col min="26" max="26" width="20.26953125" style="56" customWidth="1"/>
    <col min="27" max="27" width="14.7265625" style="56" customWidth="1"/>
    <col min="28" max="28" width="13.54296875" style="56" customWidth="1"/>
    <col min="29" max="29" width="16" style="56" customWidth="1"/>
    <col min="30" max="30" width="20.54296875" style="56" customWidth="1"/>
    <col min="31" max="31" width="16" style="56" customWidth="1"/>
    <col min="32" max="32" width="14.6328125" style="17" bestFit="1" customWidth="1"/>
    <col min="33" max="33" width="12.26953125" style="52" bestFit="1" customWidth="1"/>
    <col min="34" max="34" width="8.1796875" style="52" bestFit="1" customWidth="1"/>
    <col min="35" max="35" width="5.54296875" style="52" bestFit="1" customWidth="1"/>
    <col min="36" max="16384" width="8.7265625" style="52"/>
  </cols>
  <sheetData>
    <row r="1" spans="1:35" x14ac:dyDescent="0.35">
      <c r="C1" s="43" t="s">
        <v>105</v>
      </c>
      <c r="D1" s="43"/>
      <c r="E1" s="10" t="s">
        <v>173</v>
      </c>
      <c r="F1" s="43"/>
      <c r="G1" s="43"/>
      <c r="H1" s="43"/>
      <c r="I1" s="43"/>
      <c r="J1" s="43"/>
      <c r="K1" s="43"/>
      <c r="L1" s="43"/>
      <c r="M1" s="43"/>
      <c r="N1" s="43"/>
      <c r="O1" s="43"/>
      <c r="P1" s="43"/>
      <c r="Q1" s="43"/>
      <c r="R1" s="43"/>
      <c r="S1" s="43"/>
      <c r="T1" s="44"/>
    </row>
    <row r="2" spans="1:35" ht="16.5" customHeight="1" x14ac:dyDescent="0.35">
      <c r="B2" s="529" t="s">
        <v>110</v>
      </c>
      <c r="C2" s="530" t="s">
        <v>104</v>
      </c>
      <c r="D2" s="10" t="s">
        <v>179</v>
      </c>
      <c r="E2" s="10" t="s">
        <v>67</v>
      </c>
      <c r="F2" s="10" t="s">
        <v>87</v>
      </c>
      <c r="G2" s="10">
        <v>2020</v>
      </c>
      <c r="H2" s="533" t="s">
        <v>127</v>
      </c>
      <c r="I2" s="532" t="s">
        <v>126</v>
      </c>
      <c r="J2" s="10" t="s">
        <v>59</v>
      </c>
      <c r="K2" s="10" t="s">
        <v>117</v>
      </c>
      <c r="L2" s="10" t="s">
        <v>117</v>
      </c>
      <c r="M2" s="535" t="s">
        <v>175</v>
      </c>
      <c r="N2" s="534" t="s">
        <v>176</v>
      </c>
      <c r="O2" s="536" t="s">
        <v>178</v>
      </c>
      <c r="P2" s="535" t="s">
        <v>121</v>
      </c>
      <c r="Q2" s="535" t="s">
        <v>122</v>
      </c>
      <c r="R2" s="22" t="s">
        <v>152</v>
      </c>
      <c r="S2" s="22" t="s">
        <v>152</v>
      </c>
      <c r="T2" s="23" t="s">
        <v>106</v>
      </c>
    </row>
    <row r="3" spans="1:35" x14ac:dyDescent="0.35">
      <c r="B3" s="529"/>
      <c r="C3" s="530"/>
      <c r="D3" s="10" t="s">
        <v>180</v>
      </c>
      <c r="E3" s="10" t="s">
        <v>84</v>
      </c>
      <c r="F3" s="10" t="s">
        <v>60</v>
      </c>
      <c r="G3" s="10">
        <v>2030</v>
      </c>
      <c r="H3" s="533"/>
      <c r="I3" s="532"/>
      <c r="J3" s="10" t="s">
        <v>68</v>
      </c>
      <c r="M3" s="535"/>
      <c r="N3" s="534"/>
      <c r="O3" s="536"/>
      <c r="P3" s="535"/>
      <c r="Q3" s="535"/>
      <c r="R3" s="21"/>
      <c r="S3" s="21"/>
      <c r="T3" s="21"/>
    </row>
    <row r="4" spans="1:35" x14ac:dyDescent="0.35">
      <c r="B4" s="529"/>
      <c r="C4" s="530"/>
      <c r="D4" s="10" t="s">
        <v>172</v>
      </c>
      <c r="E4" s="10" t="s">
        <v>275</v>
      </c>
      <c r="F4" s="10" t="s">
        <v>86</v>
      </c>
      <c r="G4" s="10">
        <v>2050</v>
      </c>
      <c r="H4" s="10"/>
      <c r="I4" s="532"/>
      <c r="J4" s="10" t="s">
        <v>167</v>
      </c>
      <c r="K4" s="10"/>
      <c r="L4" s="10"/>
      <c r="M4" s="535"/>
      <c r="N4" s="534"/>
      <c r="O4" s="536"/>
      <c r="P4" s="535"/>
      <c r="Q4" s="535"/>
      <c r="R4" s="21"/>
      <c r="S4" s="21"/>
      <c r="T4" s="21"/>
    </row>
    <row r="5" spans="1:35" x14ac:dyDescent="0.35">
      <c r="B5" s="529"/>
      <c r="C5" s="530"/>
      <c r="D5" s="10"/>
      <c r="E5" s="10" t="s">
        <v>276</v>
      </c>
      <c r="F5" s="10"/>
      <c r="G5" s="10"/>
      <c r="H5" s="10"/>
      <c r="I5" s="138"/>
      <c r="J5" s="10"/>
      <c r="K5" s="10"/>
      <c r="L5" s="10"/>
      <c r="M5" s="535"/>
      <c r="N5" s="534"/>
      <c r="O5" s="536"/>
      <c r="P5" s="535"/>
      <c r="Q5" s="535"/>
      <c r="R5" s="21"/>
      <c r="S5" s="21"/>
      <c r="T5" s="21"/>
    </row>
    <row r="6" spans="1:35" x14ac:dyDescent="0.35">
      <c r="B6" s="529"/>
      <c r="C6" s="530"/>
      <c r="D6" s="10"/>
      <c r="E6" s="10" t="s">
        <v>277</v>
      </c>
      <c r="F6" s="10"/>
      <c r="G6" s="10"/>
      <c r="H6" s="10"/>
      <c r="I6" s="138"/>
      <c r="J6" s="10"/>
      <c r="K6" s="10"/>
      <c r="L6" s="10"/>
      <c r="M6" s="535"/>
      <c r="N6" s="534"/>
      <c r="O6" s="536"/>
      <c r="P6" s="535"/>
      <c r="Q6" s="535"/>
      <c r="R6" s="21"/>
      <c r="S6" s="21"/>
      <c r="T6" s="21"/>
    </row>
    <row r="7" spans="1:35" x14ac:dyDescent="0.35">
      <c r="B7" s="529"/>
      <c r="C7" s="530"/>
      <c r="E7" s="10" t="s">
        <v>278</v>
      </c>
      <c r="F7" s="10"/>
      <c r="G7" s="10"/>
      <c r="H7" s="10"/>
      <c r="I7" s="10"/>
      <c r="J7" s="10"/>
      <c r="K7" s="10"/>
      <c r="L7" s="10"/>
      <c r="M7" s="535"/>
      <c r="N7" s="534"/>
      <c r="O7" s="536"/>
      <c r="P7" s="535"/>
      <c r="Q7" s="535"/>
      <c r="R7" s="14"/>
      <c r="S7" s="14"/>
      <c r="T7" s="14"/>
      <c r="V7" s="134" t="s">
        <v>103</v>
      </c>
      <c r="W7" s="14"/>
      <c r="X7" s="14"/>
      <c r="Y7" s="14"/>
      <c r="Z7" s="14"/>
      <c r="AA7" s="14"/>
      <c r="AB7" s="14"/>
      <c r="AC7" s="14"/>
      <c r="AD7" s="14"/>
      <c r="AE7" s="14"/>
      <c r="AF7" s="27"/>
      <c r="AG7" s="528" t="s">
        <v>107</v>
      </c>
      <c r="AH7" s="523"/>
      <c r="AI7" s="523"/>
    </row>
    <row r="8" spans="1:35" x14ac:dyDescent="0.35">
      <c r="B8" s="135"/>
      <c r="C8" s="136"/>
      <c r="E8" s="10" t="s">
        <v>291</v>
      </c>
      <c r="F8" s="10"/>
      <c r="G8" s="10"/>
      <c r="H8" s="10"/>
      <c r="I8" s="10"/>
      <c r="J8" s="10"/>
      <c r="K8" s="10"/>
      <c r="L8" s="10"/>
      <c r="M8" s="137"/>
      <c r="N8" s="139"/>
      <c r="O8" s="140"/>
      <c r="P8" s="137"/>
      <c r="Q8" s="137"/>
      <c r="R8" s="14"/>
      <c r="S8" s="14"/>
      <c r="T8" s="14"/>
      <c r="V8" s="14"/>
      <c r="W8" s="14"/>
      <c r="X8" s="14"/>
      <c r="Y8" s="14"/>
      <c r="Z8" s="14"/>
      <c r="AA8" s="14"/>
      <c r="AB8" s="14"/>
      <c r="AC8" s="14"/>
      <c r="AD8" s="14"/>
      <c r="AE8" s="14"/>
      <c r="AF8" s="27"/>
      <c r="AG8" s="14"/>
      <c r="AH8" s="133"/>
      <c r="AI8" s="133"/>
    </row>
    <row r="9" spans="1:35" x14ac:dyDescent="0.35">
      <c r="B9" s="135"/>
      <c r="C9" s="136"/>
      <c r="E9" s="10" t="s">
        <v>299</v>
      </c>
      <c r="F9" s="10"/>
      <c r="G9" s="10"/>
      <c r="H9" s="10"/>
      <c r="I9" s="10"/>
      <c r="J9" s="10"/>
      <c r="K9" s="10"/>
      <c r="L9" s="10"/>
      <c r="M9" s="137"/>
      <c r="N9" s="139"/>
      <c r="O9" s="140"/>
      <c r="P9" s="137"/>
      <c r="Q9" s="137"/>
      <c r="R9" s="14"/>
      <c r="S9" s="14"/>
      <c r="T9" s="14"/>
      <c r="V9" s="14"/>
      <c r="W9" s="14"/>
      <c r="X9" s="14"/>
      <c r="Y9" s="14"/>
      <c r="Z9" s="14"/>
      <c r="AA9" s="14"/>
      <c r="AB9" s="14"/>
      <c r="AC9" s="14"/>
      <c r="AD9" s="14"/>
      <c r="AE9" s="14"/>
      <c r="AF9" s="27"/>
      <c r="AG9" s="14"/>
      <c r="AH9" s="133"/>
      <c r="AI9" s="133"/>
    </row>
    <row r="10" spans="1:35" x14ac:dyDescent="0.35">
      <c r="R10" s="13"/>
      <c r="S10" s="13"/>
      <c r="T10" s="13"/>
      <c r="V10" s="14"/>
      <c r="W10" s="14"/>
      <c r="X10" s="14"/>
      <c r="Y10" s="14"/>
      <c r="Z10" s="14"/>
      <c r="AA10" s="14"/>
      <c r="AB10" s="14"/>
      <c r="AC10" s="14"/>
      <c r="AD10" s="14"/>
      <c r="AE10" s="14"/>
      <c r="AF10" s="27"/>
      <c r="AG10" s="133"/>
      <c r="AH10" s="133"/>
    </row>
    <row r="11" spans="1:35" s="132" customFormat="1" x14ac:dyDescent="0.35">
      <c r="A11" s="132" t="s">
        <v>69</v>
      </c>
      <c r="B11" s="132" t="s">
        <v>109</v>
      </c>
      <c r="C11" s="132" t="s">
        <v>108</v>
      </c>
      <c r="D11" s="132" t="s">
        <v>160</v>
      </c>
      <c r="E11" s="132" t="s">
        <v>70</v>
      </c>
      <c r="F11" s="132" t="s">
        <v>85</v>
      </c>
      <c r="G11" s="132" t="s">
        <v>124</v>
      </c>
      <c r="H11" s="24" t="s">
        <v>125</v>
      </c>
      <c r="I11" s="132" t="s">
        <v>73</v>
      </c>
      <c r="J11" s="132" t="s">
        <v>71</v>
      </c>
      <c r="K11" s="132" t="s">
        <v>118</v>
      </c>
      <c r="L11" s="132" t="s">
        <v>116</v>
      </c>
      <c r="M11" s="132" t="s">
        <v>163</v>
      </c>
      <c r="N11" s="132" t="s">
        <v>170</v>
      </c>
      <c r="O11" s="132" t="s">
        <v>177</v>
      </c>
      <c r="P11" s="132" t="s">
        <v>120</v>
      </c>
      <c r="Q11" s="132" t="s">
        <v>123</v>
      </c>
      <c r="R11" s="24" t="s">
        <v>72</v>
      </c>
      <c r="S11" s="24" t="s">
        <v>151</v>
      </c>
      <c r="T11" s="24" t="s">
        <v>74</v>
      </c>
      <c r="U11" s="25" t="s">
        <v>75</v>
      </c>
      <c r="V11" s="24" t="s">
        <v>76</v>
      </c>
      <c r="W11" s="24" t="s">
        <v>77</v>
      </c>
      <c r="X11" s="24" t="s">
        <v>78</v>
      </c>
      <c r="Y11" s="24" t="s">
        <v>79</v>
      </c>
      <c r="Z11" s="24" t="s">
        <v>88</v>
      </c>
      <c r="AA11" s="24" t="s">
        <v>89</v>
      </c>
      <c r="AB11" s="24" t="s">
        <v>90</v>
      </c>
      <c r="AC11" s="24" t="s">
        <v>91</v>
      </c>
      <c r="AD11" s="24" t="s">
        <v>283</v>
      </c>
      <c r="AE11" s="24" t="s">
        <v>284</v>
      </c>
      <c r="AF11" s="26" t="s">
        <v>80</v>
      </c>
      <c r="AG11" s="132" t="s">
        <v>81</v>
      </c>
      <c r="AH11" s="132" t="s">
        <v>82</v>
      </c>
      <c r="AI11" s="132" t="s">
        <v>83</v>
      </c>
    </row>
    <row r="12" spans="1:35" x14ac:dyDescent="0.35">
      <c r="A12" s="8">
        <f t="shared" ref="A12:A53" si="0">ROW(A12)-ROW($A$11)</f>
        <v>1</v>
      </c>
      <c r="B12" s="8" t="s">
        <v>292</v>
      </c>
      <c r="C12" s="11" t="str">
        <f t="shared" ref="C12:C25" si="1">B12</f>
        <v>Off-grid</v>
      </c>
      <c r="D12" s="52" t="s">
        <v>172</v>
      </c>
      <c r="E12" s="10" t="s">
        <v>84</v>
      </c>
      <c r="F12" s="11" t="s">
        <v>86</v>
      </c>
      <c r="G12" s="11" t="s">
        <v>219</v>
      </c>
      <c r="H12" s="28" t="s">
        <v>171</v>
      </c>
      <c r="I12" s="11">
        <v>2019</v>
      </c>
      <c r="J12" s="11" t="s">
        <v>59</v>
      </c>
      <c r="K12" s="11">
        <v>0</v>
      </c>
      <c r="L12" s="11">
        <v>0</v>
      </c>
      <c r="M12" s="11">
        <v>-1</v>
      </c>
      <c r="N12" s="11" t="s">
        <v>86</v>
      </c>
      <c r="O12" s="11">
        <v>0</v>
      </c>
      <c r="P12" s="11">
        <v>1</v>
      </c>
      <c r="Q12" s="11">
        <v>0</v>
      </c>
      <c r="R12" s="56" t="s">
        <v>161</v>
      </c>
      <c r="S12" s="56" t="s">
        <v>162</v>
      </c>
      <c r="T12" s="56" t="s">
        <v>294</v>
      </c>
      <c r="U12" s="16" t="b">
        <v>0</v>
      </c>
      <c r="V12" s="56" t="b">
        <v>1</v>
      </c>
      <c r="W12" s="56" t="b">
        <v>0</v>
      </c>
      <c r="X12" s="56" t="b">
        <v>0</v>
      </c>
      <c r="Y12" s="56" t="b">
        <v>1</v>
      </c>
      <c r="Z12" s="56" t="b">
        <v>0</v>
      </c>
      <c r="AA12" s="56" t="b">
        <v>0</v>
      </c>
      <c r="AB12" s="56" t="b">
        <v>1</v>
      </c>
      <c r="AC12" s="56" t="b">
        <v>1</v>
      </c>
      <c r="AD12" s="56" t="b">
        <v>1</v>
      </c>
      <c r="AE12" s="56" t="b">
        <v>1</v>
      </c>
      <c r="AF12" s="17" t="b">
        <v>0</v>
      </c>
      <c r="AG12" s="52" t="b">
        <v>0</v>
      </c>
      <c r="AH12" s="52" t="b">
        <v>0</v>
      </c>
      <c r="AI12" s="52" t="b">
        <v>1</v>
      </c>
    </row>
    <row r="13" spans="1:35" x14ac:dyDescent="0.35">
      <c r="A13" s="8">
        <f t="shared" si="0"/>
        <v>2</v>
      </c>
      <c r="B13" s="8" t="s">
        <v>293</v>
      </c>
      <c r="C13" s="11" t="str">
        <f t="shared" si="1"/>
        <v>Semi-Islanded</v>
      </c>
      <c r="D13" s="52" t="s">
        <v>172</v>
      </c>
      <c r="E13" s="10" t="s">
        <v>84</v>
      </c>
      <c r="F13" s="11" t="s">
        <v>86</v>
      </c>
      <c r="G13" s="11" t="s">
        <v>219</v>
      </c>
      <c r="H13" s="28" t="s">
        <v>171</v>
      </c>
      <c r="I13" s="11">
        <v>2019</v>
      </c>
      <c r="J13" s="11" t="s">
        <v>59</v>
      </c>
      <c r="K13" s="11">
        <v>0</v>
      </c>
      <c r="L13" s="11">
        <v>0</v>
      </c>
      <c r="M13" s="11">
        <v>-1</v>
      </c>
      <c r="N13" s="11" t="s">
        <v>86</v>
      </c>
      <c r="O13" s="11">
        <v>0</v>
      </c>
      <c r="P13" s="11">
        <v>1</v>
      </c>
      <c r="Q13" s="11">
        <v>0</v>
      </c>
      <c r="R13" s="56" t="s">
        <v>161</v>
      </c>
      <c r="S13" s="56" t="s">
        <v>162</v>
      </c>
      <c r="T13" s="56" t="s">
        <v>294</v>
      </c>
      <c r="U13" s="16" t="b">
        <v>0</v>
      </c>
      <c r="V13" s="56" t="b">
        <v>1</v>
      </c>
      <c r="W13" s="56" t="b">
        <v>0</v>
      </c>
      <c r="X13" s="56" t="b">
        <v>0</v>
      </c>
      <c r="Y13" s="56" t="b">
        <v>1</v>
      </c>
      <c r="Z13" s="56" t="b">
        <v>0</v>
      </c>
      <c r="AA13" s="56" t="b">
        <v>0</v>
      </c>
      <c r="AB13" s="56" t="b">
        <v>1</v>
      </c>
      <c r="AC13" s="56" t="b">
        <v>1</v>
      </c>
      <c r="AD13" s="56" t="b">
        <v>1</v>
      </c>
      <c r="AE13" s="56" t="b">
        <v>1</v>
      </c>
      <c r="AF13" s="17" t="b">
        <v>0</v>
      </c>
      <c r="AG13" s="52" t="b">
        <v>0</v>
      </c>
      <c r="AH13" s="52" t="b">
        <v>0</v>
      </c>
      <c r="AI13" s="52" t="b">
        <v>1</v>
      </c>
    </row>
    <row r="14" spans="1:35" x14ac:dyDescent="0.35">
      <c r="A14" s="8">
        <f t="shared" si="0"/>
        <v>3</v>
      </c>
      <c r="B14" s="8" t="s">
        <v>292</v>
      </c>
      <c r="C14" s="11" t="str">
        <f t="shared" si="1"/>
        <v>Off-grid</v>
      </c>
      <c r="D14" s="52" t="s">
        <v>172</v>
      </c>
      <c r="E14" s="10" t="s">
        <v>173</v>
      </c>
      <c r="F14" s="11" t="s">
        <v>86</v>
      </c>
      <c r="G14" s="11" t="s">
        <v>219</v>
      </c>
      <c r="H14" s="28" t="s">
        <v>171</v>
      </c>
      <c r="I14" s="11">
        <v>2019</v>
      </c>
      <c r="J14" s="11" t="s">
        <v>59</v>
      </c>
      <c r="K14" s="11">
        <v>0</v>
      </c>
      <c r="L14" s="11">
        <v>0</v>
      </c>
      <c r="M14" s="11">
        <v>-1</v>
      </c>
      <c r="N14" s="11" t="s">
        <v>86</v>
      </c>
      <c r="O14" s="11">
        <v>0</v>
      </c>
      <c r="P14" s="11">
        <v>1</v>
      </c>
      <c r="Q14" s="11">
        <v>0</v>
      </c>
      <c r="R14" s="56" t="s">
        <v>161</v>
      </c>
      <c r="S14" s="56" t="s">
        <v>162</v>
      </c>
      <c r="T14" s="56" t="s">
        <v>294</v>
      </c>
      <c r="U14" s="16" t="b">
        <v>0</v>
      </c>
      <c r="V14" s="56" t="b">
        <v>1</v>
      </c>
      <c r="W14" s="56" t="b">
        <v>0</v>
      </c>
      <c r="X14" s="56" t="b">
        <v>0</v>
      </c>
      <c r="Y14" s="56" t="b">
        <v>1</v>
      </c>
      <c r="Z14" s="56" t="b">
        <v>0</v>
      </c>
      <c r="AA14" s="56" t="b">
        <v>0</v>
      </c>
      <c r="AB14" s="56" t="b">
        <v>1</v>
      </c>
      <c r="AC14" s="56" t="b">
        <v>1</v>
      </c>
      <c r="AD14" s="56" t="b">
        <v>1</v>
      </c>
      <c r="AE14" s="56" t="b">
        <v>1</v>
      </c>
      <c r="AF14" s="17" t="b">
        <v>0</v>
      </c>
      <c r="AG14" s="52" t="b">
        <v>0</v>
      </c>
      <c r="AH14" s="52" t="b">
        <v>0</v>
      </c>
      <c r="AI14" s="52" t="b">
        <v>1</v>
      </c>
    </row>
    <row r="15" spans="1:35" x14ac:dyDescent="0.35">
      <c r="A15" s="8">
        <f t="shared" si="0"/>
        <v>4</v>
      </c>
      <c r="B15" s="8" t="s">
        <v>293</v>
      </c>
      <c r="C15" s="11" t="str">
        <f t="shared" si="1"/>
        <v>Semi-Islanded</v>
      </c>
      <c r="D15" s="52" t="s">
        <v>172</v>
      </c>
      <c r="E15" s="10" t="s">
        <v>173</v>
      </c>
      <c r="F15" s="11" t="s">
        <v>86</v>
      </c>
      <c r="G15" s="11" t="s">
        <v>219</v>
      </c>
      <c r="H15" s="28" t="s">
        <v>171</v>
      </c>
      <c r="I15" s="11">
        <v>2019</v>
      </c>
      <c r="J15" s="11" t="s">
        <v>59</v>
      </c>
      <c r="K15" s="11">
        <v>0</v>
      </c>
      <c r="L15" s="11">
        <v>0</v>
      </c>
      <c r="M15" s="11">
        <v>-1</v>
      </c>
      <c r="N15" s="11" t="s">
        <v>86</v>
      </c>
      <c r="O15" s="11">
        <v>0</v>
      </c>
      <c r="P15" s="11">
        <v>1</v>
      </c>
      <c r="Q15" s="11">
        <v>0</v>
      </c>
      <c r="R15" s="56" t="s">
        <v>161</v>
      </c>
      <c r="S15" s="56" t="s">
        <v>162</v>
      </c>
      <c r="T15" s="56" t="s">
        <v>294</v>
      </c>
      <c r="U15" s="16" t="b">
        <v>0</v>
      </c>
      <c r="V15" s="56" t="b">
        <v>1</v>
      </c>
      <c r="W15" s="56" t="b">
        <v>0</v>
      </c>
      <c r="X15" s="56" t="b">
        <v>0</v>
      </c>
      <c r="Y15" s="56" t="b">
        <v>1</v>
      </c>
      <c r="Z15" s="56" t="b">
        <v>0</v>
      </c>
      <c r="AA15" s="56" t="b">
        <v>0</v>
      </c>
      <c r="AB15" s="56" t="b">
        <v>1</v>
      </c>
      <c r="AC15" s="56" t="b">
        <v>1</v>
      </c>
      <c r="AD15" s="56" t="b">
        <v>1</v>
      </c>
      <c r="AE15" s="56" t="b">
        <v>1</v>
      </c>
      <c r="AF15" s="17" t="b">
        <v>0</v>
      </c>
      <c r="AG15" s="52" t="b">
        <v>0</v>
      </c>
      <c r="AH15" s="52" t="b">
        <v>0</v>
      </c>
      <c r="AI15" s="52" t="b">
        <v>1</v>
      </c>
    </row>
    <row r="16" spans="1:35" x14ac:dyDescent="0.35">
      <c r="A16" s="8">
        <f t="shared" si="0"/>
        <v>5</v>
      </c>
      <c r="B16" s="8" t="s">
        <v>292</v>
      </c>
      <c r="C16" s="11" t="str">
        <f t="shared" si="1"/>
        <v>Off-grid</v>
      </c>
      <c r="D16" s="52" t="s">
        <v>180</v>
      </c>
      <c r="E16" s="10" t="s">
        <v>67</v>
      </c>
      <c r="F16" s="11" t="s">
        <v>87</v>
      </c>
      <c r="G16" s="11" t="s">
        <v>219</v>
      </c>
      <c r="H16" s="28" t="s">
        <v>171</v>
      </c>
      <c r="I16" s="11">
        <v>2019</v>
      </c>
      <c r="J16" s="11" t="s">
        <v>59</v>
      </c>
      <c r="K16" s="11">
        <v>0</v>
      </c>
      <c r="L16" s="11">
        <v>0</v>
      </c>
      <c r="M16" s="11">
        <v>-1</v>
      </c>
      <c r="N16" s="11" t="s">
        <v>86</v>
      </c>
      <c r="O16" s="11">
        <v>0</v>
      </c>
      <c r="P16" s="11">
        <v>1</v>
      </c>
      <c r="Q16" s="11">
        <v>0</v>
      </c>
      <c r="R16" s="56" t="s">
        <v>161</v>
      </c>
      <c r="S16" s="56" t="s">
        <v>162</v>
      </c>
      <c r="T16" s="56" t="s">
        <v>294</v>
      </c>
      <c r="U16" s="16" t="b">
        <v>0</v>
      </c>
      <c r="V16" s="56" t="b">
        <v>1</v>
      </c>
      <c r="W16" s="56" t="b">
        <v>0</v>
      </c>
      <c r="X16" s="56" t="b">
        <v>0</v>
      </c>
      <c r="Y16" s="56" t="b">
        <v>1</v>
      </c>
      <c r="Z16" s="56" t="b">
        <v>0</v>
      </c>
      <c r="AA16" s="56" t="b">
        <v>0</v>
      </c>
      <c r="AB16" s="56" t="b">
        <v>1</v>
      </c>
      <c r="AC16" s="56" t="b">
        <v>1</v>
      </c>
      <c r="AD16" s="56" t="b">
        <v>1</v>
      </c>
      <c r="AE16" s="56" t="b">
        <v>1</v>
      </c>
      <c r="AF16" s="17" t="b">
        <v>0</v>
      </c>
      <c r="AG16" s="52" t="b">
        <v>0</v>
      </c>
      <c r="AH16" s="52" t="b">
        <v>0</v>
      </c>
      <c r="AI16" s="52" t="b">
        <v>1</v>
      </c>
    </row>
    <row r="17" spans="1:35" x14ac:dyDescent="0.35">
      <c r="A17" s="8">
        <f t="shared" si="0"/>
        <v>6</v>
      </c>
      <c r="B17" s="8" t="s">
        <v>293</v>
      </c>
      <c r="C17" s="11" t="str">
        <f t="shared" si="1"/>
        <v>Semi-Islanded</v>
      </c>
      <c r="D17" s="52" t="s">
        <v>172</v>
      </c>
      <c r="E17" s="10" t="s">
        <v>67</v>
      </c>
      <c r="F17" s="11" t="s">
        <v>87</v>
      </c>
      <c r="G17" s="11" t="s">
        <v>219</v>
      </c>
      <c r="H17" s="28" t="s">
        <v>171</v>
      </c>
      <c r="I17" s="11">
        <v>2019</v>
      </c>
      <c r="J17" s="11" t="s">
        <v>59</v>
      </c>
      <c r="K17" s="11">
        <v>0</v>
      </c>
      <c r="L17" s="11">
        <v>0</v>
      </c>
      <c r="M17" s="11">
        <v>-1</v>
      </c>
      <c r="N17" s="11" t="s">
        <v>86</v>
      </c>
      <c r="O17" s="11">
        <v>0</v>
      </c>
      <c r="P17" s="11">
        <v>1</v>
      </c>
      <c r="Q17" s="11">
        <v>0</v>
      </c>
      <c r="R17" s="56" t="s">
        <v>161</v>
      </c>
      <c r="S17" s="56" t="s">
        <v>162</v>
      </c>
      <c r="T17" s="56" t="s">
        <v>294</v>
      </c>
      <c r="U17" s="16" t="b">
        <v>0</v>
      </c>
      <c r="V17" s="56" t="b">
        <v>1</v>
      </c>
      <c r="W17" s="56" t="b">
        <v>0</v>
      </c>
      <c r="X17" s="56" t="b">
        <v>0</v>
      </c>
      <c r="Y17" s="56" t="b">
        <v>1</v>
      </c>
      <c r="Z17" s="56" t="b">
        <v>0</v>
      </c>
      <c r="AA17" s="56" t="b">
        <v>0</v>
      </c>
      <c r="AB17" s="56" t="b">
        <v>1</v>
      </c>
      <c r="AC17" s="56" t="b">
        <v>1</v>
      </c>
      <c r="AD17" s="56" t="b">
        <v>1</v>
      </c>
      <c r="AE17" s="56" t="b">
        <v>1</v>
      </c>
      <c r="AF17" s="17" t="b">
        <v>0</v>
      </c>
      <c r="AG17" s="52" t="b">
        <v>0</v>
      </c>
      <c r="AH17" s="52" t="b">
        <v>0</v>
      </c>
      <c r="AI17" s="52" t="b">
        <v>1</v>
      </c>
    </row>
    <row r="18" spans="1:35" x14ac:dyDescent="0.35">
      <c r="A18" s="8">
        <f t="shared" si="0"/>
        <v>7</v>
      </c>
      <c r="B18" s="8" t="s">
        <v>292</v>
      </c>
      <c r="C18" s="11" t="str">
        <f t="shared" si="1"/>
        <v>Off-grid</v>
      </c>
      <c r="D18" s="52" t="s">
        <v>180</v>
      </c>
      <c r="E18" s="10" t="s">
        <v>67</v>
      </c>
      <c r="F18" s="11" t="s">
        <v>60</v>
      </c>
      <c r="G18" s="11" t="s">
        <v>219</v>
      </c>
      <c r="H18" s="28" t="s">
        <v>171</v>
      </c>
      <c r="I18" s="11">
        <v>2019</v>
      </c>
      <c r="J18" s="11" t="s">
        <v>59</v>
      </c>
      <c r="K18" s="11">
        <v>0</v>
      </c>
      <c r="L18" s="11">
        <v>0</v>
      </c>
      <c r="M18" s="11">
        <v>-1</v>
      </c>
      <c r="N18" s="11" t="s">
        <v>86</v>
      </c>
      <c r="O18" s="11">
        <v>0</v>
      </c>
      <c r="P18" s="11">
        <v>1</v>
      </c>
      <c r="Q18" s="11">
        <v>0</v>
      </c>
      <c r="R18" s="56" t="s">
        <v>161</v>
      </c>
      <c r="S18" s="56" t="s">
        <v>162</v>
      </c>
      <c r="T18" s="56" t="s">
        <v>294</v>
      </c>
      <c r="U18" s="16" t="b">
        <v>0</v>
      </c>
      <c r="V18" s="56" t="b">
        <v>1</v>
      </c>
      <c r="W18" s="56" t="b">
        <v>0</v>
      </c>
      <c r="X18" s="56" t="b">
        <v>0</v>
      </c>
      <c r="Y18" s="56" t="b">
        <v>1</v>
      </c>
      <c r="Z18" s="56" t="b">
        <v>0</v>
      </c>
      <c r="AA18" s="56" t="b">
        <v>0</v>
      </c>
      <c r="AB18" s="56" t="b">
        <v>1</v>
      </c>
      <c r="AC18" s="56" t="b">
        <v>1</v>
      </c>
      <c r="AD18" s="56" t="b">
        <v>1</v>
      </c>
      <c r="AE18" s="56" t="b">
        <v>1</v>
      </c>
      <c r="AF18" s="17" t="b">
        <v>0</v>
      </c>
      <c r="AG18" s="52" t="b">
        <v>0</v>
      </c>
      <c r="AH18" s="52" t="b">
        <v>0</v>
      </c>
      <c r="AI18" s="52" t="b">
        <v>1</v>
      </c>
    </row>
    <row r="19" spans="1:35" x14ac:dyDescent="0.35">
      <c r="A19" s="8">
        <f t="shared" si="0"/>
        <v>8</v>
      </c>
      <c r="B19" s="8" t="s">
        <v>293</v>
      </c>
      <c r="C19" s="11" t="str">
        <f t="shared" si="1"/>
        <v>Semi-Islanded</v>
      </c>
      <c r="D19" s="52" t="s">
        <v>172</v>
      </c>
      <c r="E19" s="10" t="s">
        <v>67</v>
      </c>
      <c r="F19" s="11" t="s">
        <v>60</v>
      </c>
      <c r="G19" s="11" t="s">
        <v>219</v>
      </c>
      <c r="H19" s="28" t="s">
        <v>171</v>
      </c>
      <c r="I19" s="11">
        <v>2019</v>
      </c>
      <c r="J19" s="11" t="s">
        <v>59</v>
      </c>
      <c r="K19" s="11">
        <v>0</v>
      </c>
      <c r="L19" s="11">
        <v>0</v>
      </c>
      <c r="M19" s="11">
        <v>-1</v>
      </c>
      <c r="N19" s="11" t="s">
        <v>86</v>
      </c>
      <c r="O19" s="11">
        <v>0</v>
      </c>
      <c r="P19" s="11">
        <v>1</v>
      </c>
      <c r="Q19" s="11">
        <v>0</v>
      </c>
      <c r="R19" s="56" t="s">
        <v>161</v>
      </c>
      <c r="S19" s="56" t="s">
        <v>162</v>
      </c>
      <c r="T19" s="56" t="s">
        <v>294</v>
      </c>
      <c r="U19" s="16" t="b">
        <v>0</v>
      </c>
      <c r="V19" s="56" t="b">
        <v>1</v>
      </c>
      <c r="W19" s="56" t="b">
        <v>0</v>
      </c>
      <c r="X19" s="56" t="b">
        <v>0</v>
      </c>
      <c r="Y19" s="56" t="b">
        <v>1</v>
      </c>
      <c r="Z19" s="56" t="b">
        <v>0</v>
      </c>
      <c r="AA19" s="56" t="b">
        <v>0</v>
      </c>
      <c r="AB19" s="56" t="b">
        <v>1</v>
      </c>
      <c r="AC19" s="56" t="b">
        <v>1</v>
      </c>
      <c r="AD19" s="56" t="b">
        <v>1</v>
      </c>
      <c r="AE19" s="56" t="b">
        <v>1</v>
      </c>
      <c r="AF19" s="17" t="b">
        <v>0</v>
      </c>
      <c r="AG19" s="52" t="b">
        <v>0</v>
      </c>
      <c r="AH19" s="52" t="b">
        <v>0</v>
      </c>
      <c r="AI19" s="52" t="b">
        <v>1</v>
      </c>
    </row>
    <row r="20" spans="1:35" x14ac:dyDescent="0.35">
      <c r="A20" s="8">
        <f t="shared" si="0"/>
        <v>9</v>
      </c>
      <c r="B20" s="8" t="s">
        <v>292</v>
      </c>
      <c r="C20" s="11" t="str">
        <f t="shared" si="1"/>
        <v>Off-grid</v>
      </c>
      <c r="D20" s="52" t="s">
        <v>180</v>
      </c>
      <c r="E20" s="10" t="s">
        <v>291</v>
      </c>
      <c r="F20" s="11" t="s">
        <v>86</v>
      </c>
      <c r="G20" s="11" t="s">
        <v>219</v>
      </c>
      <c r="H20" s="28" t="s">
        <v>171</v>
      </c>
      <c r="I20" s="11">
        <v>2019</v>
      </c>
      <c r="J20" s="11" t="s">
        <v>68</v>
      </c>
      <c r="K20" s="11">
        <v>0</v>
      </c>
      <c r="L20" s="11">
        <v>0</v>
      </c>
      <c r="M20" s="11">
        <v>-1</v>
      </c>
      <c r="N20" s="11" t="s">
        <v>86</v>
      </c>
      <c r="O20" s="11">
        <v>0</v>
      </c>
      <c r="P20" s="11">
        <v>1</v>
      </c>
      <c r="Q20" s="11">
        <v>0</v>
      </c>
      <c r="R20" s="56" t="s">
        <v>161</v>
      </c>
      <c r="S20" s="56" t="s">
        <v>162</v>
      </c>
      <c r="T20" s="56" t="s">
        <v>294</v>
      </c>
      <c r="U20" s="16" t="b">
        <v>0</v>
      </c>
      <c r="V20" s="56" t="b">
        <v>1</v>
      </c>
      <c r="W20" s="56" t="b">
        <v>0</v>
      </c>
      <c r="X20" s="56" t="b">
        <v>0</v>
      </c>
      <c r="Y20" s="56" t="b">
        <v>1</v>
      </c>
      <c r="Z20" s="56" t="b">
        <v>0</v>
      </c>
      <c r="AA20" s="56" t="b">
        <v>0</v>
      </c>
      <c r="AB20" s="56" t="b">
        <v>1</v>
      </c>
      <c r="AC20" s="56" t="b">
        <v>1</v>
      </c>
      <c r="AD20" s="56" t="b">
        <v>1</v>
      </c>
      <c r="AE20" s="56" t="b">
        <v>1</v>
      </c>
      <c r="AF20" s="17" t="b">
        <v>0</v>
      </c>
      <c r="AG20" s="52" t="b">
        <v>0</v>
      </c>
      <c r="AH20" s="52" t="b">
        <v>0</v>
      </c>
      <c r="AI20" s="52" t="b">
        <v>1</v>
      </c>
    </row>
    <row r="21" spans="1:35" x14ac:dyDescent="0.35">
      <c r="A21" s="8">
        <f t="shared" si="0"/>
        <v>10</v>
      </c>
      <c r="B21" s="8" t="s">
        <v>293</v>
      </c>
      <c r="C21" s="11" t="str">
        <f t="shared" si="1"/>
        <v>Semi-Islanded</v>
      </c>
      <c r="D21" s="52" t="s">
        <v>172</v>
      </c>
      <c r="E21" s="10" t="s">
        <v>291</v>
      </c>
      <c r="F21" s="11" t="s">
        <v>86</v>
      </c>
      <c r="G21" s="11" t="s">
        <v>219</v>
      </c>
      <c r="H21" s="28" t="s">
        <v>171</v>
      </c>
      <c r="I21" s="11">
        <v>2019</v>
      </c>
      <c r="J21" s="11" t="s">
        <v>68</v>
      </c>
      <c r="K21" s="11">
        <v>0</v>
      </c>
      <c r="L21" s="11">
        <v>0</v>
      </c>
      <c r="M21" s="11">
        <v>-1</v>
      </c>
      <c r="N21" s="11" t="s">
        <v>86</v>
      </c>
      <c r="O21" s="11">
        <v>0</v>
      </c>
      <c r="P21" s="11">
        <v>1</v>
      </c>
      <c r="Q21" s="11">
        <v>0</v>
      </c>
      <c r="R21" s="56" t="s">
        <v>161</v>
      </c>
      <c r="S21" s="56" t="s">
        <v>162</v>
      </c>
      <c r="T21" s="56" t="s">
        <v>294</v>
      </c>
      <c r="U21" s="16" t="b">
        <v>0</v>
      </c>
      <c r="V21" s="56" t="b">
        <v>1</v>
      </c>
      <c r="W21" s="56" t="b">
        <v>0</v>
      </c>
      <c r="X21" s="56" t="b">
        <v>0</v>
      </c>
      <c r="Y21" s="56" t="b">
        <v>1</v>
      </c>
      <c r="Z21" s="56" t="b">
        <v>0</v>
      </c>
      <c r="AA21" s="56" t="b">
        <v>0</v>
      </c>
      <c r="AB21" s="56" t="b">
        <v>1</v>
      </c>
      <c r="AC21" s="56" t="b">
        <v>1</v>
      </c>
      <c r="AD21" s="56" t="b">
        <v>1</v>
      </c>
      <c r="AE21" s="56" t="b">
        <v>1</v>
      </c>
      <c r="AF21" s="17" t="b">
        <v>0</v>
      </c>
      <c r="AG21" s="52" t="b">
        <v>0</v>
      </c>
      <c r="AH21" s="52" t="b">
        <v>0</v>
      </c>
      <c r="AI21" s="52" t="b">
        <v>1</v>
      </c>
    </row>
    <row r="22" spans="1:35" x14ac:dyDescent="0.35">
      <c r="A22" s="8">
        <f t="shared" si="0"/>
        <v>11</v>
      </c>
      <c r="B22" s="8" t="s">
        <v>292</v>
      </c>
      <c r="C22" s="11" t="str">
        <f t="shared" si="1"/>
        <v>Off-grid</v>
      </c>
      <c r="D22" s="52" t="s">
        <v>180</v>
      </c>
      <c r="E22" s="10" t="s">
        <v>276</v>
      </c>
      <c r="F22" s="11" t="s">
        <v>86</v>
      </c>
      <c r="G22" s="11" t="s">
        <v>219</v>
      </c>
      <c r="H22" s="28" t="s">
        <v>171</v>
      </c>
      <c r="I22" s="11">
        <v>2019</v>
      </c>
      <c r="J22" s="11" t="s">
        <v>68</v>
      </c>
      <c r="K22" s="11">
        <v>0</v>
      </c>
      <c r="L22" s="11">
        <v>0</v>
      </c>
      <c r="M22" s="11">
        <v>-1</v>
      </c>
      <c r="N22" s="11" t="s">
        <v>86</v>
      </c>
      <c r="O22" s="11">
        <v>0</v>
      </c>
      <c r="P22" s="11">
        <v>1</v>
      </c>
      <c r="Q22" s="11">
        <v>0</v>
      </c>
      <c r="R22" s="56" t="s">
        <v>161</v>
      </c>
      <c r="S22" s="56" t="s">
        <v>162</v>
      </c>
      <c r="T22" s="56" t="s">
        <v>294</v>
      </c>
      <c r="U22" s="16" t="b">
        <v>0</v>
      </c>
      <c r="V22" s="56" t="b">
        <v>1</v>
      </c>
      <c r="W22" s="56" t="b">
        <v>0</v>
      </c>
      <c r="X22" s="56" t="b">
        <v>0</v>
      </c>
      <c r="Y22" s="56" t="b">
        <v>1</v>
      </c>
      <c r="Z22" s="56" t="b">
        <v>0</v>
      </c>
      <c r="AA22" s="56" t="b">
        <v>0</v>
      </c>
      <c r="AB22" s="56" t="b">
        <v>1</v>
      </c>
      <c r="AC22" s="56" t="b">
        <v>1</v>
      </c>
      <c r="AD22" s="56" t="b">
        <v>1</v>
      </c>
      <c r="AE22" s="56" t="b">
        <v>1</v>
      </c>
      <c r="AF22" s="17" t="b">
        <v>0</v>
      </c>
      <c r="AG22" s="52" t="b">
        <v>0</v>
      </c>
      <c r="AH22" s="52" t="b">
        <v>0</v>
      </c>
      <c r="AI22" s="52" t="b">
        <v>1</v>
      </c>
    </row>
    <row r="23" spans="1:35" x14ac:dyDescent="0.35">
      <c r="A23" s="8">
        <f t="shared" si="0"/>
        <v>12</v>
      </c>
      <c r="B23" s="8" t="s">
        <v>293</v>
      </c>
      <c r="C23" s="11" t="str">
        <f t="shared" si="1"/>
        <v>Semi-Islanded</v>
      </c>
      <c r="D23" s="52" t="s">
        <v>172</v>
      </c>
      <c r="E23" s="10" t="s">
        <v>276</v>
      </c>
      <c r="F23" s="11" t="s">
        <v>86</v>
      </c>
      <c r="G23" s="11" t="s">
        <v>219</v>
      </c>
      <c r="H23" s="28" t="s">
        <v>171</v>
      </c>
      <c r="I23" s="11">
        <v>2019</v>
      </c>
      <c r="J23" s="11" t="s">
        <v>68</v>
      </c>
      <c r="K23" s="11">
        <v>0</v>
      </c>
      <c r="L23" s="11">
        <v>0</v>
      </c>
      <c r="M23" s="11">
        <v>-1</v>
      </c>
      <c r="N23" s="11" t="s">
        <v>86</v>
      </c>
      <c r="O23" s="11">
        <v>0</v>
      </c>
      <c r="P23" s="11">
        <v>1</v>
      </c>
      <c r="Q23" s="11">
        <v>0</v>
      </c>
      <c r="R23" s="56" t="s">
        <v>161</v>
      </c>
      <c r="S23" s="56" t="s">
        <v>162</v>
      </c>
      <c r="T23" s="56" t="s">
        <v>294</v>
      </c>
      <c r="U23" s="16" t="b">
        <v>0</v>
      </c>
      <c r="V23" s="56" t="b">
        <v>1</v>
      </c>
      <c r="W23" s="56" t="b">
        <v>0</v>
      </c>
      <c r="X23" s="56" t="b">
        <v>0</v>
      </c>
      <c r="Y23" s="56" t="b">
        <v>1</v>
      </c>
      <c r="Z23" s="56" t="b">
        <v>0</v>
      </c>
      <c r="AA23" s="56" t="b">
        <v>0</v>
      </c>
      <c r="AB23" s="56" t="b">
        <v>1</v>
      </c>
      <c r="AC23" s="56" t="b">
        <v>1</v>
      </c>
      <c r="AD23" s="56" t="b">
        <v>1</v>
      </c>
      <c r="AE23" s="56" t="b">
        <v>1</v>
      </c>
      <c r="AF23" s="17" t="b">
        <v>0</v>
      </c>
      <c r="AG23" s="52" t="b">
        <v>0</v>
      </c>
      <c r="AH23" s="52" t="b">
        <v>0</v>
      </c>
      <c r="AI23" s="52" t="b">
        <v>1</v>
      </c>
    </row>
    <row r="24" spans="1:35" x14ac:dyDescent="0.35">
      <c r="A24" s="8">
        <f t="shared" si="0"/>
        <v>13</v>
      </c>
      <c r="B24" s="8" t="s">
        <v>292</v>
      </c>
      <c r="C24" s="11" t="str">
        <f t="shared" si="1"/>
        <v>Off-grid</v>
      </c>
      <c r="D24" s="52" t="s">
        <v>180</v>
      </c>
      <c r="E24" s="10" t="s">
        <v>299</v>
      </c>
      <c r="F24" s="11" t="s">
        <v>86</v>
      </c>
      <c r="G24" s="11" t="s">
        <v>219</v>
      </c>
      <c r="H24" s="28" t="s">
        <v>171</v>
      </c>
      <c r="I24" s="11">
        <v>2019</v>
      </c>
      <c r="J24" s="11" t="s">
        <v>59</v>
      </c>
      <c r="K24" s="11">
        <v>0</v>
      </c>
      <c r="L24" s="11">
        <v>0</v>
      </c>
      <c r="M24" s="11">
        <v>-1</v>
      </c>
      <c r="N24" s="11" t="s">
        <v>86</v>
      </c>
      <c r="O24" s="11">
        <v>0</v>
      </c>
      <c r="P24" s="11">
        <v>1</v>
      </c>
      <c r="Q24" s="11">
        <v>0</v>
      </c>
      <c r="R24" s="56" t="s">
        <v>161</v>
      </c>
      <c r="S24" s="56" t="s">
        <v>162</v>
      </c>
      <c r="T24" s="56" t="s">
        <v>294</v>
      </c>
      <c r="U24" s="16" t="b">
        <v>0</v>
      </c>
      <c r="V24" s="56" t="b">
        <v>1</v>
      </c>
      <c r="W24" s="56" t="b">
        <v>0</v>
      </c>
      <c r="X24" s="56" t="b">
        <v>0</v>
      </c>
      <c r="Y24" s="56" t="b">
        <v>1</v>
      </c>
      <c r="Z24" s="56" t="b">
        <v>0</v>
      </c>
      <c r="AA24" s="56" t="b">
        <v>0</v>
      </c>
      <c r="AB24" s="56" t="b">
        <v>1</v>
      </c>
      <c r="AC24" s="56" t="b">
        <v>1</v>
      </c>
      <c r="AD24" s="56" t="b">
        <v>1</v>
      </c>
      <c r="AE24" s="56" t="b">
        <v>1</v>
      </c>
      <c r="AF24" s="17" t="b">
        <v>0</v>
      </c>
      <c r="AG24" s="52" t="b">
        <v>0</v>
      </c>
      <c r="AH24" s="52" t="b">
        <v>0</v>
      </c>
      <c r="AI24" s="52" t="b">
        <v>1</v>
      </c>
    </row>
    <row r="25" spans="1:35" x14ac:dyDescent="0.35">
      <c r="A25" s="8">
        <f t="shared" si="0"/>
        <v>14</v>
      </c>
      <c r="B25" s="8" t="s">
        <v>293</v>
      </c>
      <c r="C25" s="11" t="str">
        <f t="shared" si="1"/>
        <v>Semi-Islanded</v>
      </c>
      <c r="D25" s="52" t="s">
        <v>172</v>
      </c>
      <c r="E25" s="10" t="s">
        <v>299</v>
      </c>
      <c r="F25" s="11" t="s">
        <v>86</v>
      </c>
      <c r="G25" s="11" t="s">
        <v>219</v>
      </c>
      <c r="H25" s="28" t="s">
        <v>171</v>
      </c>
      <c r="I25" s="11">
        <v>2019</v>
      </c>
      <c r="J25" s="11" t="s">
        <v>59</v>
      </c>
      <c r="K25" s="11">
        <v>0</v>
      </c>
      <c r="L25" s="11">
        <v>0</v>
      </c>
      <c r="M25" s="11">
        <v>-1</v>
      </c>
      <c r="N25" s="11" t="s">
        <v>86</v>
      </c>
      <c r="O25" s="11">
        <v>0</v>
      </c>
      <c r="P25" s="11">
        <v>1</v>
      </c>
      <c r="Q25" s="11">
        <v>0</v>
      </c>
      <c r="R25" s="56" t="s">
        <v>161</v>
      </c>
      <c r="S25" s="56" t="s">
        <v>162</v>
      </c>
      <c r="T25" s="56" t="s">
        <v>294</v>
      </c>
      <c r="U25" s="16" t="b">
        <v>0</v>
      </c>
      <c r="V25" s="56" t="b">
        <v>1</v>
      </c>
      <c r="W25" s="56" t="b">
        <v>0</v>
      </c>
      <c r="X25" s="56" t="b">
        <v>0</v>
      </c>
      <c r="Y25" s="56" t="b">
        <v>1</v>
      </c>
      <c r="Z25" s="56" t="b">
        <v>0</v>
      </c>
      <c r="AA25" s="56" t="b">
        <v>0</v>
      </c>
      <c r="AB25" s="56" t="b">
        <v>1</v>
      </c>
      <c r="AC25" s="56" t="b">
        <v>1</v>
      </c>
      <c r="AD25" s="56" t="b">
        <v>1</v>
      </c>
      <c r="AE25" s="56" t="b">
        <v>1</v>
      </c>
      <c r="AF25" s="17" t="b">
        <v>0</v>
      </c>
      <c r="AG25" s="52" t="b">
        <v>0</v>
      </c>
      <c r="AH25" s="52" t="b">
        <v>0</v>
      </c>
      <c r="AI25" s="52" t="b">
        <v>1</v>
      </c>
    </row>
    <row r="26" spans="1:35" x14ac:dyDescent="0.35">
      <c r="A26" s="8">
        <f t="shared" si="0"/>
        <v>15</v>
      </c>
      <c r="B26" s="8" t="s">
        <v>292</v>
      </c>
      <c r="C26" s="11" t="str">
        <f t="shared" ref="C26:C39" si="2">B26</f>
        <v>Off-grid</v>
      </c>
      <c r="D26" s="52" t="s">
        <v>172</v>
      </c>
      <c r="E26" s="10" t="s">
        <v>84</v>
      </c>
      <c r="F26" s="11" t="s">
        <v>86</v>
      </c>
      <c r="G26" s="11" t="s">
        <v>220</v>
      </c>
      <c r="H26" s="28" t="s">
        <v>171</v>
      </c>
      <c r="I26" s="11">
        <v>2019</v>
      </c>
      <c r="J26" s="11" t="s">
        <v>68</v>
      </c>
      <c r="K26" s="11">
        <v>0</v>
      </c>
      <c r="L26" s="11">
        <v>0</v>
      </c>
      <c r="M26" s="11">
        <v>-1</v>
      </c>
      <c r="N26" s="11" t="s">
        <v>86</v>
      </c>
      <c r="O26" s="11">
        <v>0</v>
      </c>
      <c r="P26" s="11">
        <v>1</v>
      </c>
      <c r="Q26" s="11">
        <v>0</v>
      </c>
      <c r="R26" s="56" t="s">
        <v>161</v>
      </c>
      <c r="S26" s="56" t="s">
        <v>162</v>
      </c>
      <c r="T26" s="56" t="s">
        <v>294</v>
      </c>
      <c r="U26" s="16" t="b">
        <v>0</v>
      </c>
      <c r="V26" s="56" t="b">
        <v>1</v>
      </c>
      <c r="W26" s="56" t="b">
        <v>0</v>
      </c>
      <c r="X26" s="56" t="b">
        <v>0</v>
      </c>
      <c r="Y26" s="56" t="b">
        <v>1</v>
      </c>
      <c r="Z26" s="56" t="b">
        <v>0</v>
      </c>
      <c r="AA26" s="56" t="b">
        <v>0</v>
      </c>
      <c r="AB26" s="56" t="b">
        <v>1</v>
      </c>
      <c r="AC26" s="56" t="b">
        <v>1</v>
      </c>
      <c r="AD26" s="56" t="b">
        <v>1</v>
      </c>
      <c r="AE26" s="56" t="b">
        <v>1</v>
      </c>
      <c r="AF26" s="17" t="b">
        <v>0</v>
      </c>
      <c r="AG26" s="52" t="b">
        <v>0</v>
      </c>
      <c r="AH26" s="52" t="b">
        <v>0</v>
      </c>
      <c r="AI26" s="52" t="b">
        <v>1</v>
      </c>
    </row>
    <row r="27" spans="1:35" x14ac:dyDescent="0.35">
      <c r="A27" s="8">
        <f t="shared" si="0"/>
        <v>16</v>
      </c>
      <c r="B27" s="8" t="s">
        <v>293</v>
      </c>
      <c r="C27" s="11" t="str">
        <f t="shared" si="2"/>
        <v>Semi-Islanded</v>
      </c>
      <c r="D27" s="52" t="s">
        <v>172</v>
      </c>
      <c r="E27" s="10" t="s">
        <v>84</v>
      </c>
      <c r="F27" s="11" t="s">
        <v>86</v>
      </c>
      <c r="G27" s="11" t="s">
        <v>220</v>
      </c>
      <c r="H27" s="28" t="s">
        <v>171</v>
      </c>
      <c r="I27" s="11">
        <v>2019</v>
      </c>
      <c r="J27" s="11" t="s">
        <v>68</v>
      </c>
      <c r="K27" s="11">
        <v>0</v>
      </c>
      <c r="L27" s="11">
        <v>0</v>
      </c>
      <c r="M27" s="11">
        <v>-1</v>
      </c>
      <c r="N27" s="11" t="s">
        <v>86</v>
      </c>
      <c r="O27" s="11">
        <v>0</v>
      </c>
      <c r="P27" s="11">
        <v>1</v>
      </c>
      <c r="Q27" s="11">
        <v>0</v>
      </c>
      <c r="R27" s="56" t="s">
        <v>161</v>
      </c>
      <c r="S27" s="56" t="s">
        <v>162</v>
      </c>
      <c r="T27" s="56" t="s">
        <v>294</v>
      </c>
      <c r="U27" s="16" t="b">
        <v>0</v>
      </c>
      <c r="V27" s="56" t="b">
        <v>1</v>
      </c>
      <c r="W27" s="56" t="b">
        <v>0</v>
      </c>
      <c r="X27" s="56" t="b">
        <v>0</v>
      </c>
      <c r="Y27" s="56" t="b">
        <v>1</v>
      </c>
      <c r="Z27" s="56" t="b">
        <v>0</v>
      </c>
      <c r="AA27" s="56" t="b">
        <v>0</v>
      </c>
      <c r="AB27" s="56" t="b">
        <v>1</v>
      </c>
      <c r="AC27" s="56" t="b">
        <v>1</v>
      </c>
      <c r="AD27" s="56" t="b">
        <v>1</v>
      </c>
      <c r="AE27" s="56" t="b">
        <v>1</v>
      </c>
      <c r="AF27" s="17" t="b">
        <v>0</v>
      </c>
      <c r="AG27" s="52" t="b">
        <v>0</v>
      </c>
      <c r="AH27" s="52" t="b">
        <v>0</v>
      </c>
      <c r="AI27" s="52" t="b">
        <v>1</v>
      </c>
    </row>
    <row r="28" spans="1:35" x14ac:dyDescent="0.35">
      <c r="A28" s="8">
        <f t="shared" si="0"/>
        <v>17</v>
      </c>
      <c r="B28" s="8" t="s">
        <v>292</v>
      </c>
      <c r="C28" s="11" t="str">
        <f t="shared" si="2"/>
        <v>Off-grid</v>
      </c>
      <c r="D28" s="52" t="s">
        <v>172</v>
      </c>
      <c r="E28" s="10" t="s">
        <v>173</v>
      </c>
      <c r="F28" s="11" t="s">
        <v>86</v>
      </c>
      <c r="G28" s="11" t="s">
        <v>220</v>
      </c>
      <c r="H28" s="28" t="s">
        <v>171</v>
      </c>
      <c r="I28" s="11">
        <v>2019</v>
      </c>
      <c r="J28" s="11" t="s">
        <v>68</v>
      </c>
      <c r="K28" s="11">
        <v>0</v>
      </c>
      <c r="L28" s="11">
        <v>0</v>
      </c>
      <c r="M28" s="11">
        <v>-1</v>
      </c>
      <c r="N28" s="11" t="s">
        <v>86</v>
      </c>
      <c r="O28" s="11">
        <v>0</v>
      </c>
      <c r="P28" s="11">
        <v>1</v>
      </c>
      <c r="Q28" s="11">
        <v>0</v>
      </c>
      <c r="R28" s="56" t="s">
        <v>161</v>
      </c>
      <c r="S28" s="56" t="s">
        <v>162</v>
      </c>
      <c r="T28" s="56" t="s">
        <v>294</v>
      </c>
      <c r="U28" s="16" t="b">
        <v>0</v>
      </c>
      <c r="V28" s="56" t="b">
        <v>1</v>
      </c>
      <c r="W28" s="56" t="b">
        <v>0</v>
      </c>
      <c r="X28" s="56" t="b">
        <v>0</v>
      </c>
      <c r="Y28" s="56" t="b">
        <v>1</v>
      </c>
      <c r="Z28" s="56" t="b">
        <v>0</v>
      </c>
      <c r="AA28" s="56" t="b">
        <v>0</v>
      </c>
      <c r="AB28" s="56" t="b">
        <v>1</v>
      </c>
      <c r="AC28" s="56" t="b">
        <v>1</v>
      </c>
      <c r="AD28" s="56" t="b">
        <v>1</v>
      </c>
      <c r="AE28" s="56" t="b">
        <v>1</v>
      </c>
      <c r="AF28" s="17" t="b">
        <v>0</v>
      </c>
      <c r="AG28" s="52" t="b">
        <v>0</v>
      </c>
      <c r="AH28" s="52" t="b">
        <v>0</v>
      </c>
      <c r="AI28" s="52" t="b">
        <v>1</v>
      </c>
    </row>
    <row r="29" spans="1:35" x14ac:dyDescent="0.35">
      <c r="A29" s="8">
        <f t="shared" si="0"/>
        <v>18</v>
      </c>
      <c r="B29" s="8" t="s">
        <v>293</v>
      </c>
      <c r="C29" s="11" t="str">
        <f t="shared" si="2"/>
        <v>Semi-Islanded</v>
      </c>
      <c r="D29" s="52" t="s">
        <v>172</v>
      </c>
      <c r="E29" s="10" t="s">
        <v>173</v>
      </c>
      <c r="F29" s="11" t="s">
        <v>86</v>
      </c>
      <c r="G29" s="11" t="s">
        <v>220</v>
      </c>
      <c r="H29" s="28" t="s">
        <v>171</v>
      </c>
      <c r="I29" s="11">
        <v>2019</v>
      </c>
      <c r="J29" s="11" t="s">
        <v>68</v>
      </c>
      <c r="K29" s="11">
        <v>0</v>
      </c>
      <c r="L29" s="11">
        <v>0</v>
      </c>
      <c r="M29" s="11">
        <v>-1</v>
      </c>
      <c r="N29" s="11" t="s">
        <v>86</v>
      </c>
      <c r="O29" s="11">
        <v>0</v>
      </c>
      <c r="P29" s="11">
        <v>1</v>
      </c>
      <c r="Q29" s="11">
        <v>0</v>
      </c>
      <c r="R29" s="56" t="s">
        <v>161</v>
      </c>
      <c r="S29" s="56" t="s">
        <v>162</v>
      </c>
      <c r="T29" s="56" t="s">
        <v>294</v>
      </c>
      <c r="U29" s="16" t="b">
        <v>0</v>
      </c>
      <c r="V29" s="56" t="b">
        <v>1</v>
      </c>
      <c r="W29" s="56" t="b">
        <v>0</v>
      </c>
      <c r="X29" s="56" t="b">
        <v>0</v>
      </c>
      <c r="Y29" s="56" t="b">
        <v>1</v>
      </c>
      <c r="Z29" s="56" t="b">
        <v>0</v>
      </c>
      <c r="AA29" s="56" t="b">
        <v>0</v>
      </c>
      <c r="AB29" s="56" t="b">
        <v>1</v>
      </c>
      <c r="AC29" s="56" t="b">
        <v>1</v>
      </c>
      <c r="AD29" s="56" t="b">
        <v>1</v>
      </c>
      <c r="AE29" s="56" t="b">
        <v>1</v>
      </c>
      <c r="AF29" s="17" t="b">
        <v>0</v>
      </c>
      <c r="AG29" s="52" t="b">
        <v>0</v>
      </c>
      <c r="AH29" s="52" t="b">
        <v>0</v>
      </c>
      <c r="AI29" s="52" t="b">
        <v>1</v>
      </c>
    </row>
    <row r="30" spans="1:35" x14ac:dyDescent="0.35">
      <c r="A30" s="8">
        <f t="shared" si="0"/>
        <v>19</v>
      </c>
      <c r="B30" s="8" t="s">
        <v>292</v>
      </c>
      <c r="C30" s="11" t="str">
        <f t="shared" si="2"/>
        <v>Off-grid</v>
      </c>
      <c r="D30" s="52" t="s">
        <v>172</v>
      </c>
      <c r="E30" s="10" t="s">
        <v>67</v>
      </c>
      <c r="F30" s="11" t="s">
        <v>87</v>
      </c>
      <c r="G30" s="11" t="s">
        <v>220</v>
      </c>
      <c r="H30" s="28" t="s">
        <v>171</v>
      </c>
      <c r="I30" s="11">
        <v>2019</v>
      </c>
      <c r="J30" s="11" t="s">
        <v>68</v>
      </c>
      <c r="K30" s="11">
        <v>0</v>
      </c>
      <c r="L30" s="11">
        <v>0</v>
      </c>
      <c r="M30" s="11">
        <v>-1</v>
      </c>
      <c r="N30" s="11" t="s">
        <v>86</v>
      </c>
      <c r="O30" s="11">
        <v>0</v>
      </c>
      <c r="P30" s="11">
        <v>1</v>
      </c>
      <c r="Q30" s="11">
        <v>0</v>
      </c>
      <c r="R30" s="56" t="s">
        <v>161</v>
      </c>
      <c r="S30" s="56" t="s">
        <v>162</v>
      </c>
      <c r="T30" s="56" t="s">
        <v>294</v>
      </c>
      <c r="U30" s="16" t="b">
        <v>0</v>
      </c>
      <c r="V30" s="56" t="b">
        <v>1</v>
      </c>
      <c r="W30" s="56" t="b">
        <v>0</v>
      </c>
      <c r="X30" s="56" t="b">
        <v>0</v>
      </c>
      <c r="Y30" s="56" t="b">
        <v>1</v>
      </c>
      <c r="Z30" s="56" t="b">
        <v>0</v>
      </c>
      <c r="AA30" s="56" t="b">
        <v>0</v>
      </c>
      <c r="AB30" s="56" t="b">
        <v>1</v>
      </c>
      <c r="AC30" s="56" t="b">
        <v>1</v>
      </c>
      <c r="AD30" s="56" t="b">
        <v>1</v>
      </c>
      <c r="AE30" s="56" t="b">
        <v>1</v>
      </c>
      <c r="AF30" s="17" t="b">
        <v>0</v>
      </c>
      <c r="AG30" s="52" t="b">
        <v>0</v>
      </c>
      <c r="AH30" s="52" t="b">
        <v>0</v>
      </c>
      <c r="AI30" s="52" t="b">
        <v>1</v>
      </c>
    </row>
    <row r="31" spans="1:35" x14ac:dyDescent="0.35">
      <c r="A31" s="8">
        <f t="shared" si="0"/>
        <v>20</v>
      </c>
      <c r="B31" s="8" t="s">
        <v>293</v>
      </c>
      <c r="C31" s="11" t="str">
        <f t="shared" si="2"/>
        <v>Semi-Islanded</v>
      </c>
      <c r="D31" s="52" t="s">
        <v>172</v>
      </c>
      <c r="E31" s="10" t="s">
        <v>67</v>
      </c>
      <c r="F31" s="11" t="s">
        <v>87</v>
      </c>
      <c r="G31" s="11" t="s">
        <v>220</v>
      </c>
      <c r="H31" s="28" t="s">
        <v>171</v>
      </c>
      <c r="I31" s="11">
        <v>2019</v>
      </c>
      <c r="J31" s="11" t="s">
        <v>68</v>
      </c>
      <c r="K31" s="11">
        <v>0</v>
      </c>
      <c r="L31" s="11">
        <v>0</v>
      </c>
      <c r="M31" s="11">
        <v>-1</v>
      </c>
      <c r="N31" s="11" t="s">
        <v>86</v>
      </c>
      <c r="O31" s="11">
        <v>0</v>
      </c>
      <c r="P31" s="11">
        <v>1</v>
      </c>
      <c r="Q31" s="11">
        <v>0</v>
      </c>
      <c r="R31" s="56" t="s">
        <v>161</v>
      </c>
      <c r="S31" s="56" t="s">
        <v>162</v>
      </c>
      <c r="T31" s="56" t="s">
        <v>294</v>
      </c>
      <c r="U31" s="16" t="b">
        <v>0</v>
      </c>
      <c r="V31" s="56" t="b">
        <v>1</v>
      </c>
      <c r="W31" s="56" t="b">
        <v>0</v>
      </c>
      <c r="X31" s="56" t="b">
        <v>0</v>
      </c>
      <c r="Y31" s="56" t="b">
        <v>1</v>
      </c>
      <c r="Z31" s="56" t="b">
        <v>0</v>
      </c>
      <c r="AA31" s="56" t="b">
        <v>0</v>
      </c>
      <c r="AB31" s="56" t="b">
        <v>1</v>
      </c>
      <c r="AC31" s="56" t="b">
        <v>1</v>
      </c>
      <c r="AD31" s="56" t="b">
        <v>1</v>
      </c>
      <c r="AE31" s="56" t="b">
        <v>1</v>
      </c>
      <c r="AF31" s="17" t="b">
        <v>0</v>
      </c>
      <c r="AG31" s="52" t="b">
        <v>0</v>
      </c>
      <c r="AH31" s="52" t="b">
        <v>0</v>
      </c>
      <c r="AI31" s="52" t="b">
        <v>1</v>
      </c>
    </row>
    <row r="32" spans="1:35" x14ac:dyDescent="0.35">
      <c r="A32" s="8">
        <f t="shared" si="0"/>
        <v>21</v>
      </c>
      <c r="B32" s="8" t="s">
        <v>292</v>
      </c>
      <c r="C32" s="11" t="str">
        <f t="shared" si="2"/>
        <v>Off-grid</v>
      </c>
      <c r="D32" s="52" t="s">
        <v>172</v>
      </c>
      <c r="E32" s="10" t="s">
        <v>67</v>
      </c>
      <c r="F32" s="11" t="s">
        <v>60</v>
      </c>
      <c r="G32" s="11" t="s">
        <v>220</v>
      </c>
      <c r="H32" s="28" t="s">
        <v>171</v>
      </c>
      <c r="I32" s="11">
        <v>2019</v>
      </c>
      <c r="J32" s="11" t="s">
        <v>68</v>
      </c>
      <c r="K32" s="11">
        <v>0</v>
      </c>
      <c r="L32" s="11">
        <v>0</v>
      </c>
      <c r="M32" s="11">
        <v>-1</v>
      </c>
      <c r="N32" s="11" t="s">
        <v>86</v>
      </c>
      <c r="O32" s="11">
        <v>0</v>
      </c>
      <c r="P32" s="11">
        <v>1</v>
      </c>
      <c r="Q32" s="11">
        <v>0</v>
      </c>
      <c r="R32" s="56" t="s">
        <v>161</v>
      </c>
      <c r="S32" s="56" t="s">
        <v>162</v>
      </c>
      <c r="T32" s="56" t="s">
        <v>294</v>
      </c>
      <c r="U32" s="16" t="b">
        <v>0</v>
      </c>
      <c r="V32" s="56" t="b">
        <v>1</v>
      </c>
      <c r="W32" s="56" t="b">
        <v>0</v>
      </c>
      <c r="X32" s="56" t="b">
        <v>0</v>
      </c>
      <c r="Y32" s="56" t="b">
        <v>1</v>
      </c>
      <c r="Z32" s="56" t="b">
        <v>0</v>
      </c>
      <c r="AA32" s="56" t="b">
        <v>0</v>
      </c>
      <c r="AB32" s="56" t="b">
        <v>1</v>
      </c>
      <c r="AC32" s="56" t="b">
        <v>1</v>
      </c>
      <c r="AD32" s="56" t="b">
        <v>1</v>
      </c>
      <c r="AE32" s="56" t="b">
        <v>1</v>
      </c>
      <c r="AF32" s="17" t="b">
        <v>0</v>
      </c>
      <c r="AG32" s="52" t="b">
        <v>0</v>
      </c>
      <c r="AH32" s="52" t="b">
        <v>0</v>
      </c>
      <c r="AI32" s="52" t="b">
        <v>1</v>
      </c>
    </row>
    <row r="33" spans="1:35" x14ac:dyDescent="0.35">
      <c r="A33" s="8">
        <f t="shared" si="0"/>
        <v>22</v>
      </c>
      <c r="B33" s="8" t="s">
        <v>293</v>
      </c>
      <c r="C33" s="11" t="str">
        <f t="shared" si="2"/>
        <v>Semi-Islanded</v>
      </c>
      <c r="D33" s="52" t="s">
        <v>172</v>
      </c>
      <c r="E33" s="10" t="s">
        <v>67</v>
      </c>
      <c r="F33" s="11" t="s">
        <v>60</v>
      </c>
      <c r="G33" s="11" t="s">
        <v>220</v>
      </c>
      <c r="H33" s="28" t="s">
        <v>171</v>
      </c>
      <c r="I33" s="11">
        <v>2019</v>
      </c>
      <c r="J33" s="11" t="s">
        <v>68</v>
      </c>
      <c r="K33" s="11">
        <v>0</v>
      </c>
      <c r="L33" s="11">
        <v>0</v>
      </c>
      <c r="M33" s="11">
        <v>-1</v>
      </c>
      <c r="N33" s="11" t="s">
        <v>86</v>
      </c>
      <c r="O33" s="11">
        <v>0</v>
      </c>
      <c r="P33" s="11">
        <v>1</v>
      </c>
      <c r="Q33" s="11">
        <v>0</v>
      </c>
      <c r="R33" s="56" t="s">
        <v>161</v>
      </c>
      <c r="S33" s="56" t="s">
        <v>162</v>
      </c>
      <c r="T33" s="56" t="s">
        <v>294</v>
      </c>
      <c r="U33" s="16" t="b">
        <v>0</v>
      </c>
      <c r="V33" s="56" t="b">
        <v>1</v>
      </c>
      <c r="W33" s="56" t="b">
        <v>0</v>
      </c>
      <c r="X33" s="56" t="b">
        <v>0</v>
      </c>
      <c r="Y33" s="56" t="b">
        <v>1</v>
      </c>
      <c r="Z33" s="56" t="b">
        <v>0</v>
      </c>
      <c r="AA33" s="56" t="b">
        <v>0</v>
      </c>
      <c r="AB33" s="56" t="b">
        <v>1</v>
      </c>
      <c r="AC33" s="56" t="b">
        <v>1</v>
      </c>
      <c r="AD33" s="56" t="b">
        <v>1</v>
      </c>
      <c r="AE33" s="56" t="b">
        <v>1</v>
      </c>
      <c r="AF33" s="17" t="b">
        <v>0</v>
      </c>
      <c r="AG33" s="52" t="b">
        <v>0</v>
      </c>
      <c r="AH33" s="52" t="b">
        <v>0</v>
      </c>
      <c r="AI33" s="52" t="b">
        <v>1</v>
      </c>
    </row>
    <row r="34" spans="1:35" x14ac:dyDescent="0.35">
      <c r="A34" s="8">
        <f t="shared" si="0"/>
        <v>23</v>
      </c>
      <c r="B34" s="8" t="s">
        <v>292</v>
      </c>
      <c r="C34" s="11" t="str">
        <f t="shared" si="2"/>
        <v>Off-grid</v>
      </c>
      <c r="D34" s="52" t="s">
        <v>172</v>
      </c>
      <c r="E34" s="10" t="s">
        <v>291</v>
      </c>
      <c r="F34" s="11" t="s">
        <v>86</v>
      </c>
      <c r="G34" s="11" t="s">
        <v>220</v>
      </c>
      <c r="H34" s="28" t="s">
        <v>171</v>
      </c>
      <c r="I34" s="11">
        <v>2019</v>
      </c>
      <c r="J34" s="11" t="s">
        <v>68</v>
      </c>
      <c r="K34" s="11">
        <v>0</v>
      </c>
      <c r="L34" s="11">
        <v>0</v>
      </c>
      <c r="M34" s="11">
        <v>-1</v>
      </c>
      <c r="N34" s="11" t="s">
        <v>86</v>
      </c>
      <c r="O34" s="11">
        <v>0</v>
      </c>
      <c r="P34" s="11">
        <v>1</v>
      </c>
      <c r="Q34" s="11">
        <v>0</v>
      </c>
      <c r="R34" s="56" t="s">
        <v>161</v>
      </c>
      <c r="S34" s="56" t="s">
        <v>162</v>
      </c>
      <c r="T34" s="56" t="s">
        <v>294</v>
      </c>
      <c r="U34" s="16" t="b">
        <v>0</v>
      </c>
      <c r="V34" s="56" t="b">
        <v>1</v>
      </c>
      <c r="W34" s="56" t="b">
        <v>0</v>
      </c>
      <c r="X34" s="56" t="b">
        <v>0</v>
      </c>
      <c r="Y34" s="56" t="b">
        <v>1</v>
      </c>
      <c r="Z34" s="56" t="b">
        <v>0</v>
      </c>
      <c r="AA34" s="56" t="b">
        <v>0</v>
      </c>
      <c r="AB34" s="56" t="b">
        <v>1</v>
      </c>
      <c r="AC34" s="56" t="b">
        <v>1</v>
      </c>
      <c r="AD34" s="56" t="b">
        <v>1</v>
      </c>
      <c r="AE34" s="56" t="b">
        <v>1</v>
      </c>
      <c r="AF34" s="17" t="b">
        <v>0</v>
      </c>
      <c r="AG34" s="52" t="b">
        <v>0</v>
      </c>
      <c r="AH34" s="52" t="b">
        <v>0</v>
      </c>
      <c r="AI34" s="52" t="b">
        <v>1</v>
      </c>
    </row>
    <row r="35" spans="1:35" x14ac:dyDescent="0.35">
      <c r="A35" s="8">
        <f t="shared" si="0"/>
        <v>24</v>
      </c>
      <c r="B35" s="8" t="s">
        <v>293</v>
      </c>
      <c r="C35" s="11" t="str">
        <f t="shared" si="2"/>
        <v>Semi-Islanded</v>
      </c>
      <c r="D35" s="52" t="s">
        <v>172</v>
      </c>
      <c r="E35" s="10" t="s">
        <v>291</v>
      </c>
      <c r="F35" s="11" t="s">
        <v>86</v>
      </c>
      <c r="G35" s="11" t="s">
        <v>220</v>
      </c>
      <c r="H35" s="28" t="s">
        <v>171</v>
      </c>
      <c r="I35" s="11">
        <v>2019</v>
      </c>
      <c r="J35" s="11" t="s">
        <v>68</v>
      </c>
      <c r="K35" s="11">
        <v>0</v>
      </c>
      <c r="L35" s="11">
        <v>0</v>
      </c>
      <c r="M35" s="11">
        <v>-1</v>
      </c>
      <c r="N35" s="11" t="s">
        <v>86</v>
      </c>
      <c r="O35" s="11">
        <v>0</v>
      </c>
      <c r="P35" s="11">
        <v>1</v>
      </c>
      <c r="Q35" s="11">
        <v>0</v>
      </c>
      <c r="R35" s="56" t="s">
        <v>161</v>
      </c>
      <c r="S35" s="56" t="s">
        <v>162</v>
      </c>
      <c r="T35" s="56" t="s">
        <v>294</v>
      </c>
      <c r="U35" s="16" t="b">
        <v>0</v>
      </c>
      <c r="V35" s="56" t="b">
        <v>1</v>
      </c>
      <c r="W35" s="56" t="b">
        <v>0</v>
      </c>
      <c r="X35" s="56" t="b">
        <v>0</v>
      </c>
      <c r="Y35" s="56" t="b">
        <v>1</v>
      </c>
      <c r="Z35" s="56" t="b">
        <v>0</v>
      </c>
      <c r="AA35" s="56" t="b">
        <v>0</v>
      </c>
      <c r="AB35" s="56" t="b">
        <v>1</v>
      </c>
      <c r="AC35" s="56" t="b">
        <v>1</v>
      </c>
      <c r="AD35" s="56" t="b">
        <v>1</v>
      </c>
      <c r="AE35" s="56" t="b">
        <v>1</v>
      </c>
      <c r="AF35" s="17" t="b">
        <v>0</v>
      </c>
      <c r="AG35" s="52" t="b">
        <v>0</v>
      </c>
      <c r="AH35" s="52" t="b">
        <v>0</v>
      </c>
      <c r="AI35" s="52" t="b">
        <v>1</v>
      </c>
    </row>
    <row r="36" spans="1:35" x14ac:dyDescent="0.35">
      <c r="A36" s="8">
        <f t="shared" si="0"/>
        <v>25</v>
      </c>
      <c r="B36" s="8" t="s">
        <v>292</v>
      </c>
      <c r="C36" s="11" t="str">
        <f t="shared" si="2"/>
        <v>Off-grid</v>
      </c>
      <c r="D36" s="52" t="s">
        <v>172</v>
      </c>
      <c r="E36" s="10" t="s">
        <v>276</v>
      </c>
      <c r="F36" s="11" t="s">
        <v>86</v>
      </c>
      <c r="G36" s="11" t="s">
        <v>220</v>
      </c>
      <c r="H36" s="28" t="s">
        <v>171</v>
      </c>
      <c r="I36" s="11">
        <v>2019</v>
      </c>
      <c r="J36" s="11" t="s">
        <v>68</v>
      </c>
      <c r="K36" s="11">
        <v>0</v>
      </c>
      <c r="L36" s="11">
        <v>0</v>
      </c>
      <c r="M36" s="11">
        <v>-1</v>
      </c>
      <c r="N36" s="11" t="s">
        <v>86</v>
      </c>
      <c r="O36" s="11">
        <v>0</v>
      </c>
      <c r="P36" s="11">
        <v>1</v>
      </c>
      <c r="Q36" s="11">
        <v>0</v>
      </c>
      <c r="R36" s="56" t="s">
        <v>161</v>
      </c>
      <c r="S36" s="56" t="s">
        <v>162</v>
      </c>
      <c r="T36" s="56" t="s">
        <v>294</v>
      </c>
      <c r="U36" s="16" t="b">
        <v>0</v>
      </c>
      <c r="V36" s="56" t="b">
        <v>1</v>
      </c>
      <c r="W36" s="56" t="b">
        <v>0</v>
      </c>
      <c r="X36" s="56" t="b">
        <v>0</v>
      </c>
      <c r="Y36" s="56" t="b">
        <v>1</v>
      </c>
      <c r="Z36" s="56" t="b">
        <v>0</v>
      </c>
      <c r="AA36" s="56" t="b">
        <v>0</v>
      </c>
      <c r="AB36" s="56" t="b">
        <v>1</v>
      </c>
      <c r="AC36" s="56" t="b">
        <v>1</v>
      </c>
      <c r="AD36" s="56" t="b">
        <v>1</v>
      </c>
      <c r="AE36" s="56" t="b">
        <v>1</v>
      </c>
      <c r="AF36" s="17" t="b">
        <v>0</v>
      </c>
      <c r="AG36" s="52" t="b">
        <v>0</v>
      </c>
      <c r="AH36" s="52" t="b">
        <v>0</v>
      </c>
      <c r="AI36" s="52" t="b">
        <v>1</v>
      </c>
    </row>
    <row r="37" spans="1:35" x14ac:dyDescent="0.35">
      <c r="A37" s="8">
        <f t="shared" si="0"/>
        <v>26</v>
      </c>
      <c r="B37" s="8" t="s">
        <v>293</v>
      </c>
      <c r="C37" s="11" t="str">
        <f t="shared" si="2"/>
        <v>Semi-Islanded</v>
      </c>
      <c r="D37" s="52" t="s">
        <v>172</v>
      </c>
      <c r="E37" s="10" t="s">
        <v>276</v>
      </c>
      <c r="F37" s="11" t="s">
        <v>86</v>
      </c>
      <c r="G37" s="11" t="s">
        <v>220</v>
      </c>
      <c r="H37" s="28" t="s">
        <v>171</v>
      </c>
      <c r="I37" s="11">
        <v>2019</v>
      </c>
      <c r="J37" s="11" t="s">
        <v>68</v>
      </c>
      <c r="K37" s="11">
        <v>0</v>
      </c>
      <c r="L37" s="11">
        <v>0</v>
      </c>
      <c r="M37" s="11">
        <v>-1</v>
      </c>
      <c r="N37" s="11" t="s">
        <v>86</v>
      </c>
      <c r="O37" s="11">
        <v>0</v>
      </c>
      <c r="P37" s="11">
        <v>1</v>
      </c>
      <c r="Q37" s="11">
        <v>0</v>
      </c>
      <c r="R37" s="56" t="s">
        <v>161</v>
      </c>
      <c r="S37" s="56" t="s">
        <v>162</v>
      </c>
      <c r="T37" s="56" t="s">
        <v>294</v>
      </c>
      <c r="U37" s="16" t="b">
        <v>0</v>
      </c>
      <c r="V37" s="56" t="b">
        <v>1</v>
      </c>
      <c r="W37" s="56" t="b">
        <v>0</v>
      </c>
      <c r="X37" s="56" t="b">
        <v>0</v>
      </c>
      <c r="Y37" s="56" t="b">
        <v>1</v>
      </c>
      <c r="Z37" s="56" t="b">
        <v>0</v>
      </c>
      <c r="AA37" s="56" t="b">
        <v>0</v>
      </c>
      <c r="AB37" s="56" t="b">
        <v>1</v>
      </c>
      <c r="AC37" s="56" t="b">
        <v>1</v>
      </c>
      <c r="AD37" s="56" t="b">
        <v>1</v>
      </c>
      <c r="AE37" s="56" t="b">
        <v>1</v>
      </c>
      <c r="AF37" s="17" t="b">
        <v>0</v>
      </c>
      <c r="AG37" s="52" t="b">
        <v>0</v>
      </c>
      <c r="AH37" s="52" t="b">
        <v>0</v>
      </c>
      <c r="AI37" s="52" t="b">
        <v>1</v>
      </c>
    </row>
    <row r="38" spans="1:35" x14ac:dyDescent="0.35">
      <c r="A38" s="8">
        <f t="shared" si="0"/>
        <v>27</v>
      </c>
      <c r="B38" s="8" t="s">
        <v>292</v>
      </c>
      <c r="C38" s="11" t="str">
        <f t="shared" si="2"/>
        <v>Off-grid</v>
      </c>
      <c r="D38" s="52" t="s">
        <v>172</v>
      </c>
      <c r="E38" s="10" t="s">
        <v>299</v>
      </c>
      <c r="F38" s="11" t="s">
        <v>86</v>
      </c>
      <c r="G38" s="11" t="s">
        <v>220</v>
      </c>
      <c r="H38" s="28" t="s">
        <v>171</v>
      </c>
      <c r="I38" s="11">
        <v>2019</v>
      </c>
      <c r="J38" s="11" t="s">
        <v>68</v>
      </c>
      <c r="K38" s="11">
        <v>0</v>
      </c>
      <c r="L38" s="11">
        <v>0</v>
      </c>
      <c r="M38" s="11">
        <v>-1</v>
      </c>
      <c r="N38" s="11" t="s">
        <v>86</v>
      </c>
      <c r="O38" s="11">
        <v>0</v>
      </c>
      <c r="P38" s="11">
        <v>1</v>
      </c>
      <c r="Q38" s="11">
        <v>0</v>
      </c>
      <c r="R38" s="56" t="s">
        <v>161</v>
      </c>
      <c r="S38" s="56" t="s">
        <v>162</v>
      </c>
      <c r="T38" s="56" t="s">
        <v>294</v>
      </c>
      <c r="U38" s="16" t="b">
        <v>0</v>
      </c>
      <c r="V38" s="56" t="b">
        <v>1</v>
      </c>
      <c r="W38" s="56" t="b">
        <v>0</v>
      </c>
      <c r="X38" s="56" t="b">
        <v>0</v>
      </c>
      <c r="Y38" s="56" t="b">
        <v>1</v>
      </c>
      <c r="Z38" s="56" t="b">
        <v>0</v>
      </c>
      <c r="AA38" s="56" t="b">
        <v>0</v>
      </c>
      <c r="AB38" s="56" t="b">
        <v>1</v>
      </c>
      <c r="AC38" s="56" t="b">
        <v>1</v>
      </c>
      <c r="AD38" s="56" t="b">
        <v>1</v>
      </c>
      <c r="AE38" s="56" t="b">
        <v>1</v>
      </c>
      <c r="AF38" s="17" t="b">
        <v>0</v>
      </c>
      <c r="AG38" s="52" t="b">
        <v>0</v>
      </c>
      <c r="AH38" s="52" t="b">
        <v>0</v>
      </c>
      <c r="AI38" s="52" t="b">
        <v>1</v>
      </c>
    </row>
    <row r="39" spans="1:35" x14ac:dyDescent="0.35">
      <c r="A39" s="8">
        <f t="shared" si="0"/>
        <v>28</v>
      </c>
      <c r="B39" s="8" t="s">
        <v>293</v>
      </c>
      <c r="C39" s="11" t="str">
        <f t="shared" si="2"/>
        <v>Semi-Islanded</v>
      </c>
      <c r="D39" s="52" t="s">
        <v>172</v>
      </c>
      <c r="E39" s="10" t="s">
        <v>299</v>
      </c>
      <c r="F39" s="11" t="s">
        <v>86</v>
      </c>
      <c r="G39" s="11" t="s">
        <v>220</v>
      </c>
      <c r="H39" s="28" t="s">
        <v>171</v>
      </c>
      <c r="I39" s="11">
        <v>2019</v>
      </c>
      <c r="J39" s="11" t="s">
        <v>68</v>
      </c>
      <c r="K39" s="11">
        <v>0</v>
      </c>
      <c r="L39" s="11">
        <v>0</v>
      </c>
      <c r="M39" s="11">
        <v>-1</v>
      </c>
      <c r="N39" s="11" t="s">
        <v>86</v>
      </c>
      <c r="O39" s="11">
        <v>0</v>
      </c>
      <c r="P39" s="11">
        <v>1</v>
      </c>
      <c r="Q39" s="11">
        <v>0</v>
      </c>
      <c r="R39" s="56" t="s">
        <v>161</v>
      </c>
      <c r="S39" s="56" t="s">
        <v>162</v>
      </c>
      <c r="T39" s="56" t="s">
        <v>294</v>
      </c>
      <c r="U39" s="16" t="b">
        <v>0</v>
      </c>
      <c r="V39" s="56" t="b">
        <v>1</v>
      </c>
      <c r="W39" s="56" t="b">
        <v>0</v>
      </c>
      <c r="X39" s="56" t="b">
        <v>0</v>
      </c>
      <c r="Y39" s="56" t="b">
        <v>1</v>
      </c>
      <c r="Z39" s="56" t="b">
        <v>0</v>
      </c>
      <c r="AA39" s="56" t="b">
        <v>0</v>
      </c>
      <c r="AB39" s="56" t="b">
        <v>1</v>
      </c>
      <c r="AC39" s="56" t="b">
        <v>1</v>
      </c>
      <c r="AD39" s="56" t="b">
        <v>1</v>
      </c>
      <c r="AE39" s="56" t="b">
        <v>1</v>
      </c>
      <c r="AF39" s="17" t="b">
        <v>0</v>
      </c>
      <c r="AG39" s="52" t="b">
        <v>0</v>
      </c>
      <c r="AH39" s="52" t="b">
        <v>0</v>
      </c>
      <c r="AI39" s="52" t="b">
        <v>1</v>
      </c>
    </row>
    <row r="40" spans="1:35" x14ac:dyDescent="0.35">
      <c r="A40" s="8">
        <f t="shared" si="0"/>
        <v>29</v>
      </c>
      <c r="B40" s="8" t="s">
        <v>292</v>
      </c>
      <c r="C40" s="11" t="str">
        <f t="shared" ref="C40:C53" si="3">B40</f>
        <v>Off-grid</v>
      </c>
      <c r="D40" s="52" t="s">
        <v>172</v>
      </c>
      <c r="E40" s="10" t="s">
        <v>84</v>
      </c>
      <c r="F40" s="11" t="s">
        <v>86</v>
      </c>
      <c r="G40" s="11" t="s">
        <v>221</v>
      </c>
      <c r="H40" s="28" t="s">
        <v>171</v>
      </c>
      <c r="I40" s="11">
        <v>2019</v>
      </c>
      <c r="J40" s="11" t="s">
        <v>68</v>
      </c>
      <c r="K40" s="11">
        <v>0</v>
      </c>
      <c r="L40" s="11">
        <v>0</v>
      </c>
      <c r="M40" s="11">
        <v>-1</v>
      </c>
      <c r="N40" s="11" t="s">
        <v>86</v>
      </c>
      <c r="O40" s="11">
        <v>0</v>
      </c>
      <c r="P40" s="11">
        <v>1</v>
      </c>
      <c r="Q40" s="11">
        <v>0</v>
      </c>
      <c r="R40" s="56" t="s">
        <v>161</v>
      </c>
      <c r="S40" s="56" t="s">
        <v>162</v>
      </c>
      <c r="T40" s="56" t="s">
        <v>294</v>
      </c>
      <c r="U40" s="16" t="b">
        <v>0</v>
      </c>
      <c r="V40" s="56" t="b">
        <v>1</v>
      </c>
      <c r="W40" s="56" t="b">
        <v>0</v>
      </c>
      <c r="X40" s="56" t="b">
        <v>0</v>
      </c>
      <c r="Y40" s="56" t="b">
        <v>1</v>
      </c>
      <c r="Z40" s="56" t="b">
        <v>0</v>
      </c>
      <c r="AA40" s="56" t="b">
        <v>0</v>
      </c>
      <c r="AB40" s="56" t="b">
        <v>1</v>
      </c>
      <c r="AC40" s="56" t="b">
        <v>1</v>
      </c>
      <c r="AD40" s="56" t="b">
        <v>1</v>
      </c>
      <c r="AE40" s="56" t="b">
        <v>1</v>
      </c>
      <c r="AF40" s="17" t="b">
        <v>0</v>
      </c>
      <c r="AG40" s="52" t="b">
        <v>0</v>
      </c>
      <c r="AH40" s="52" t="b">
        <v>0</v>
      </c>
      <c r="AI40" s="52" t="b">
        <v>1</v>
      </c>
    </row>
    <row r="41" spans="1:35" x14ac:dyDescent="0.35">
      <c r="A41" s="8">
        <f t="shared" si="0"/>
        <v>30</v>
      </c>
      <c r="B41" s="8" t="s">
        <v>293</v>
      </c>
      <c r="C41" s="11" t="str">
        <f t="shared" si="3"/>
        <v>Semi-Islanded</v>
      </c>
      <c r="D41" s="52" t="s">
        <v>172</v>
      </c>
      <c r="E41" s="10" t="s">
        <v>84</v>
      </c>
      <c r="F41" s="11" t="s">
        <v>86</v>
      </c>
      <c r="G41" s="11" t="s">
        <v>221</v>
      </c>
      <c r="H41" s="28" t="s">
        <v>171</v>
      </c>
      <c r="I41" s="11">
        <v>2019</v>
      </c>
      <c r="J41" s="11" t="s">
        <v>68</v>
      </c>
      <c r="K41" s="11">
        <v>0</v>
      </c>
      <c r="L41" s="11">
        <v>0</v>
      </c>
      <c r="M41" s="11">
        <v>-1</v>
      </c>
      <c r="N41" s="11" t="s">
        <v>86</v>
      </c>
      <c r="O41" s="11">
        <v>0</v>
      </c>
      <c r="P41" s="11">
        <v>1</v>
      </c>
      <c r="Q41" s="11">
        <v>0</v>
      </c>
      <c r="R41" s="56" t="s">
        <v>161</v>
      </c>
      <c r="S41" s="56" t="s">
        <v>162</v>
      </c>
      <c r="T41" s="56" t="s">
        <v>294</v>
      </c>
      <c r="U41" s="16" t="b">
        <v>0</v>
      </c>
      <c r="V41" s="56" t="b">
        <v>1</v>
      </c>
      <c r="W41" s="56" t="b">
        <v>0</v>
      </c>
      <c r="X41" s="56" t="b">
        <v>0</v>
      </c>
      <c r="Y41" s="56" t="b">
        <v>1</v>
      </c>
      <c r="Z41" s="56" t="b">
        <v>0</v>
      </c>
      <c r="AA41" s="56" t="b">
        <v>0</v>
      </c>
      <c r="AB41" s="56" t="b">
        <v>1</v>
      </c>
      <c r="AC41" s="56" t="b">
        <v>1</v>
      </c>
      <c r="AD41" s="56" t="b">
        <v>1</v>
      </c>
      <c r="AE41" s="56" t="b">
        <v>1</v>
      </c>
      <c r="AF41" s="17" t="b">
        <v>0</v>
      </c>
      <c r="AG41" s="52" t="b">
        <v>0</v>
      </c>
      <c r="AH41" s="52" t="b">
        <v>0</v>
      </c>
      <c r="AI41" s="52" t="b">
        <v>1</v>
      </c>
    </row>
    <row r="42" spans="1:35" x14ac:dyDescent="0.35">
      <c r="A42" s="8">
        <f t="shared" si="0"/>
        <v>31</v>
      </c>
      <c r="B42" s="8" t="s">
        <v>292</v>
      </c>
      <c r="C42" s="11" t="str">
        <f t="shared" si="3"/>
        <v>Off-grid</v>
      </c>
      <c r="D42" s="52" t="s">
        <v>172</v>
      </c>
      <c r="E42" s="10" t="s">
        <v>173</v>
      </c>
      <c r="F42" s="11" t="s">
        <v>86</v>
      </c>
      <c r="G42" s="11" t="s">
        <v>221</v>
      </c>
      <c r="H42" s="28" t="s">
        <v>171</v>
      </c>
      <c r="I42" s="11">
        <v>2019</v>
      </c>
      <c r="J42" s="11" t="s">
        <v>68</v>
      </c>
      <c r="K42" s="11">
        <v>0</v>
      </c>
      <c r="L42" s="11">
        <v>0</v>
      </c>
      <c r="M42" s="11">
        <v>-1</v>
      </c>
      <c r="N42" s="11" t="s">
        <v>86</v>
      </c>
      <c r="O42" s="11">
        <v>0</v>
      </c>
      <c r="P42" s="11">
        <v>1</v>
      </c>
      <c r="Q42" s="11">
        <v>0</v>
      </c>
      <c r="R42" s="56" t="s">
        <v>161</v>
      </c>
      <c r="S42" s="56" t="s">
        <v>162</v>
      </c>
      <c r="T42" s="56" t="s">
        <v>294</v>
      </c>
      <c r="U42" s="16" t="b">
        <v>0</v>
      </c>
      <c r="V42" s="56" t="b">
        <v>1</v>
      </c>
      <c r="W42" s="56" t="b">
        <v>0</v>
      </c>
      <c r="X42" s="56" t="b">
        <v>0</v>
      </c>
      <c r="Y42" s="56" t="b">
        <v>1</v>
      </c>
      <c r="Z42" s="56" t="b">
        <v>0</v>
      </c>
      <c r="AA42" s="56" t="b">
        <v>0</v>
      </c>
      <c r="AB42" s="56" t="b">
        <v>1</v>
      </c>
      <c r="AC42" s="56" t="b">
        <v>1</v>
      </c>
      <c r="AD42" s="56" t="b">
        <v>1</v>
      </c>
      <c r="AE42" s="56" t="b">
        <v>1</v>
      </c>
      <c r="AF42" s="17" t="b">
        <v>0</v>
      </c>
      <c r="AG42" s="52" t="b">
        <v>0</v>
      </c>
      <c r="AH42" s="52" t="b">
        <v>0</v>
      </c>
      <c r="AI42" s="52" t="b">
        <v>1</v>
      </c>
    </row>
    <row r="43" spans="1:35" x14ac:dyDescent="0.35">
      <c r="A43" s="8">
        <f t="shared" si="0"/>
        <v>32</v>
      </c>
      <c r="B43" s="8" t="s">
        <v>293</v>
      </c>
      <c r="C43" s="11" t="str">
        <f t="shared" si="3"/>
        <v>Semi-Islanded</v>
      </c>
      <c r="D43" s="52" t="s">
        <v>172</v>
      </c>
      <c r="E43" s="10" t="s">
        <v>173</v>
      </c>
      <c r="F43" s="11" t="s">
        <v>86</v>
      </c>
      <c r="G43" s="11" t="s">
        <v>221</v>
      </c>
      <c r="H43" s="28" t="s">
        <v>171</v>
      </c>
      <c r="I43" s="11">
        <v>2019</v>
      </c>
      <c r="J43" s="11" t="s">
        <v>68</v>
      </c>
      <c r="K43" s="11">
        <v>0</v>
      </c>
      <c r="L43" s="11">
        <v>0</v>
      </c>
      <c r="M43" s="11">
        <v>-1</v>
      </c>
      <c r="N43" s="11" t="s">
        <v>86</v>
      </c>
      <c r="O43" s="11">
        <v>0</v>
      </c>
      <c r="P43" s="11">
        <v>1</v>
      </c>
      <c r="Q43" s="11">
        <v>0</v>
      </c>
      <c r="R43" s="56" t="s">
        <v>161</v>
      </c>
      <c r="S43" s="56" t="s">
        <v>162</v>
      </c>
      <c r="T43" s="56" t="s">
        <v>294</v>
      </c>
      <c r="U43" s="16" t="b">
        <v>0</v>
      </c>
      <c r="V43" s="56" t="b">
        <v>1</v>
      </c>
      <c r="W43" s="56" t="b">
        <v>0</v>
      </c>
      <c r="X43" s="56" t="b">
        <v>0</v>
      </c>
      <c r="Y43" s="56" t="b">
        <v>1</v>
      </c>
      <c r="Z43" s="56" t="b">
        <v>0</v>
      </c>
      <c r="AA43" s="56" t="b">
        <v>0</v>
      </c>
      <c r="AB43" s="56" t="b">
        <v>1</v>
      </c>
      <c r="AC43" s="56" t="b">
        <v>1</v>
      </c>
      <c r="AD43" s="56" t="b">
        <v>1</v>
      </c>
      <c r="AE43" s="56" t="b">
        <v>1</v>
      </c>
      <c r="AF43" s="17" t="b">
        <v>0</v>
      </c>
      <c r="AG43" s="52" t="b">
        <v>0</v>
      </c>
      <c r="AH43" s="52" t="b">
        <v>0</v>
      </c>
      <c r="AI43" s="52" t="b">
        <v>1</v>
      </c>
    </row>
    <row r="44" spans="1:35" x14ac:dyDescent="0.35">
      <c r="A44" s="8">
        <f t="shared" si="0"/>
        <v>33</v>
      </c>
      <c r="B44" s="8" t="s">
        <v>292</v>
      </c>
      <c r="C44" s="11" t="str">
        <f t="shared" si="3"/>
        <v>Off-grid</v>
      </c>
      <c r="D44" s="52" t="s">
        <v>172</v>
      </c>
      <c r="E44" s="10" t="s">
        <v>67</v>
      </c>
      <c r="F44" s="11" t="s">
        <v>87</v>
      </c>
      <c r="G44" s="11" t="s">
        <v>221</v>
      </c>
      <c r="H44" s="28" t="s">
        <v>171</v>
      </c>
      <c r="I44" s="11">
        <v>2019</v>
      </c>
      <c r="J44" s="11" t="s">
        <v>68</v>
      </c>
      <c r="K44" s="11">
        <v>0</v>
      </c>
      <c r="L44" s="11">
        <v>0</v>
      </c>
      <c r="M44" s="11">
        <v>-1</v>
      </c>
      <c r="N44" s="11" t="s">
        <v>86</v>
      </c>
      <c r="O44" s="11">
        <v>0</v>
      </c>
      <c r="P44" s="11">
        <v>1</v>
      </c>
      <c r="Q44" s="11">
        <v>0</v>
      </c>
      <c r="R44" s="56" t="s">
        <v>161</v>
      </c>
      <c r="S44" s="56" t="s">
        <v>162</v>
      </c>
      <c r="T44" s="56" t="s">
        <v>294</v>
      </c>
      <c r="U44" s="16" t="b">
        <v>0</v>
      </c>
      <c r="V44" s="56" t="b">
        <v>1</v>
      </c>
      <c r="W44" s="56" t="b">
        <v>0</v>
      </c>
      <c r="X44" s="56" t="b">
        <v>0</v>
      </c>
      <c r="Y44" s="56" t="b">
        <v>1</v>
      </c>
      <c r="Z44" s="56" t="b">
        <v>0</v>
      </c>
      <c r="AA44" s="56" t="b">
        <v>0</v>
      </c>
      <c r="AB44" s="56" t="b">
        <v>1</v>
      </c>
      <c r="AC44" s="56" t="b">
        <v>1</v>
      </c>
      <c r="AD44" s="56" t="b">
        <v>1</v>
      </c>
      <c r="AE44" s="56" t="b">
        <v>1</v>
      </c>
      <c r="AF44" s="17" t="b">
        <v>0</v>
      </c>
      <c r="AG44" s="52" t="b">
        <v>0</v>
      </c>
      <c r="AH44" s="52" t="b">
        <v>0</v>
      </c>
      <c r="AI44" s="52" t="b">
        <v>1</v>
      </c>
    </row>
    <row r="45" spans="1:35" x14ac:dyDescent="0.35">
      <c r="A45" s="8">
        <f t="shared" si="0"/>
        <v>34</v>
      </c>
      <c r="B45" s="8" t="s">
        <v>293</v>
      </c>
      <c r="C45" s="11" t="str">
        <f t="shared" si="3"/>
        <v>Semi-Islanded</v>
      </c>
      <c r="D45" s="52" t="s">
        <v>172</v>
      </c>
      <c r="E45" s="10" t="s">
        <v>67</v>
      </c>
      <c r="F45" s="11" t="s">
        <v>87</v>
      </c>
      <c r="G45" s="11" t="s">
        <v>221</v>
      </c>
      <c r="H45" s="28" t="s">
        <v>171</v>
      </c>
      <c r="I45" s="11">
        <v>2019</v>
      </c>
      <c r="J45" s="11" t="s">
        <v>68</v>
      </c>
      <c r="K45" s="11">
        <v>0</v>
      </c>
      <c r="L45" s="11">
        <v>0</v>
      </c>
      <c r="M45" s="11">
        <v>-1</v>
      </c>
      <c r="N45" s="11" t="s">
        <v>86</v>
      </c>
      <c r="O45" s="11">
        <v>0</v>
      </c>
      <c r="P45" s="11">
        <v>1</v>
      </c>
      <c r="Q45" s="11">
        <v>0</v>
      </c>
      <c r="R45" s="56" t="s">
        <v>161</v>
      </c>
      <c r="S45" s="56" t="s">
        <v>162</v>
      </c>
      <c r="T45" s="56" t="s">
        <v>294</v>
      </c>
      <c r="U45" s="16" t="b">
        <v>0</v>
      </c>
      <c r="V45" s="56" t="b">
        <v>1</v>
      </c>
      <c r="W45" s="56" t="b">
        <v>0</v>
      </c>
      <c r="X45" s="56" t="b">
        <v>0</v>
      </c>
      <c r="Y45" s="56" t="b">
        <v>1</v>
      </c>
      <c r="Z45" s="56" t="b">
        <v>0</v>
      </c>
      <c r="AA45" s="56" t="b">
        <v>0</v>
      </c>
      <c r="AB45" s="56" t="b">
        <v>1</v>
      </c>
      <c r="AC45" s="56" t="b">
        <v>1</v>
      </c>
      <c r="AD45" s="56" t="b">
        <v>1</v>
      </c>
      <c r="AE45" s="56" t="b">
        <v>1</v>
      </c>
      <c r="AF45" s="17" t="b">
        <v>0</v>
      </c>
      <c r="AG45" s="52" t="b">
        <v>0</v>
      </c>
      <c r="AH45" s="52" t="b">
        <v>0</v>
      </c>
      <c r="AI45" s="52" t="b">
        <v>1</v>
      </c>
    </row>
    <row r="46" spans="1:35" x14ac:dyDescent="0.35">
      <c r="A46" s="8">
        <f t="shared" si="0"/>
        <v>35</v>
      </c>
      <c r="B46" s="8" t="s">
        <v>292</v>
      </c>
      <c r="C46" s="11" t="str">
        <f t="shared" si="3"/>
        <v>Off-grid</v>
      </c>
      <c r="D46" s="52" t="s">
        <v>172</v>
      </c>
      <c r="E46" s="10" t="s">
        <v>67</v>
      </c>
      <c r="F46" s="11" t="s">
        <v>60</v>
      </c>
      <c r="G46" s="11" t="s">
        <v>221</v>
      </c>
      <c r="H46" s="28" t="s">
        <v>171</v>
      </c>
      <c r="I46" s="11">
        <v>2019</v>
      </c>
      <c r="J46" s="11" t="s">
        <v>68</v>
      </c>
      <c r="K46" s="11">
        <v>0</v>
      </c>
      <c r="L46" s="11">
        <v>0</v>
      </c>
      <c r="M46" s="11">
        <v>-1</v>
      </c>
      <c r="N46" s="11" t="s">
        <v>86</v>
      </c>
      <c r="O46" s="11">
        <v>0</v>
      </c>
      <c r="P46" s="11">
        <v>1</v>
      </c>
      <c r="Q46" s="11">
        <v>0</v>
      </c>
      <c r="R46" s="56" t="s">
        <v>161</v>
      </c>
      <c r="S46" s="56" t="s">
        <v>162</v>
      </c>
      <c r="T46" s="56" t="s">
        <v>294</v>
      </c>
      <c r="U46" s="16" t="b">
        <v>0</v>
      </c>
      <c r="V46" s="56" t="b">
        <v>1</v>
      </c>
      <c r="W46" s="56" t="b">
        <v>0</v>
      </c>
      <c r="X46" s="56" t="b">
        <v>0</v>
      </c>
      <c r="Y46" s="56" t="b">
        <v>1</v>
      </c>
      <c r="Z46" s="56" t="b">
        <v>0</v>
      </c>
      <c r="AA46" s="56" t="b">
        <v>0</v>
      </c>
      <c r="AB46" s="56" t="b">
        <v>1</v>
      </c>
      <c r="AC46" s="56" t="b">
        <v>1</v>
      </c>
      <c r="AD46" s="56" t="b">
        <v>1</v>
      </c>
      <c r="AE46" s="56" t="b">
        <v>1</v>
      </c>
      <c r="AF46" s="17" t="b">
        <v>0</v>
      </c>
      <c r="AG46" s="52" t="b">
        <v>0</v>
      </c>
      <c r="AH46" s="52" t="b">
        <v>0</v>
      </c>
      <c r="AI46" s="52" t="b">
        <v>1</v>
      </c>
    </row>
    <row r="47" spans="1:35" x14ac:dyDescent="0.35">
      <c r="A47" s="8">
        <f t="shared" si="0"/>
        <v>36</v>
      </c>
      <c r="B47" s="8" t="s">
        <v>293</v>
      </c>
      <c r="C47" s="11" t="str">
        <f t="shared" si="3"/>
        <v>Semi-Islanded</v>
      </c>
      <c r="D47" s="52" t="s">
        <v>172</v>
      </c>
      <c r="E47" s="10" t="s">
        <v>67</v>
      </c>
      <c r="F47" s="11" t="s">
        <v>60</v>
      </c>
      <c r="G47" s="11" t="s">
        <v>221</v>
      </c>
      <c r="H47" s="28" t="s">
        <v>171</v>
      </c>
      <c r="I47" s="11">
        <v>2019</v>
      </c>
      <c r="J47" s="11" t="s">
        <v>68</v>
      </c>
      <c r="K47" s="11">
        <v>0</v>
      </c>
      <c r="L47" s="11">
        <v>0</v>
      </c>
      <c r="M47" s="11">
        <v>-1</v>
      </c>
      <c r="N47" s="11" t="s">
        <v>86</v>
      </c>
      <c r="O47" s="11">
        <v>0</v>
      </c>
      <c r="P47" s="11">
        <v>1</v>
      </c>
      <c r="Q47" s="11">
        <v>0</v>
      </c>
      <c r="R47" s="56" t="s">
        <v>161</v>
      </c>
      <c r="S47" s="56" t="s">
        <v>162</v>
      </c>
      <c r="T47" s="56" t="s">
        <v>294</v>
      </c>
      <c r="U47" s="16" t="b">
        <v>0</v>
      </c>
      <c r="V47" s="56" t="b">
        <v>1</v>
      </c>
      <c r="W47" s="56" t="b">
        <v>0</v>
      </c>
      <c r="X47" s="56" t="b">
        <v>0</v>
      </c>
      <c r="Y47" s="56" t="b">
        <v>1</v>
      </c>
      <c r="Z47" s="56" t="b">
        <v>0</v>
      </c>
      <c r="AA47" s="56" t="b">
        <v>0</v>
      </c>
      <c r="AB47" s="56" t="b">
        <v>1</v>
      </c>
      <c r="AC47" s="56" t="b">
        <v>1</v>
      </c>
      <c r="AD47" s="56" t="b">
        <v>1</v>
      </c>
      <c r="AE47" s="56" t="b">
        <v>1</v>
      </c>
      <c r="AF47" s="17" t="b">
        <v>0</v>
      </c>
      <c r="AG47" s="52" t="b">
        <v>0</v>
      </c>
      <c r="AH47" s="52" t="b">
        <v>0</v>
      </c>
      <c r="AI47" s="52" t="b">
        <v>1</v>
      </c>
    </row>
    <row r="48" spans="1:35" x14ac:dyDescent="0.35">
      <c r="A48" s="8">
        <f t="shared" si="0"/>
        <v>37</v>
      </c>
      <c r="B48" s="8" t="s">
        <v>292</v>
      </c>
      <c r="C48" s="11" t="str">
        <f t="shared" si="3"/>
        <v>Off-grid</v>
      </c>
      <c r="D48" s="52" t="s">
        <v>172</v>
      </c>
      <c r="E48" s="10" t="s">
        <v>291</v>
      </c>
      <c r="F48" s="11" t="s">
        <v>86</v>
      </c>
      <c r="G48" s="11" t="s">
        <v>221</v>
      </c>
      <c r="H48" s="28" t="s">
        <v>171</v>
      </c>
      <c r="I48" s="11">
        <v>2019</v>
      </c>
      <c r="J48" s="11" t="s">
        <v>68</v>
      </c>
      <c r="K48" s="11">
        <v>0</v>
      </c>
      <c r="L48" s="11">
        <v>0</v>
      </c>
      <c r="M48" s="11">
        <v>-1</v>
      </c>
      <c r="N48" s="11" t="s">
        <v>86</v>
      </c>
      <c r="O48" s="11">
        <v>0</v>
      </c>
      <c r="P48" s="11">
        <v>1</v>
      </c>
      <c r="Q48" s="11">
        <v>0</v>
      </c>
      <c r="R48" s="56" t="s">
        <v>161</v>
      </c>
      <c r="S48" s="56" t="s">
        <v>162</v>
      </c>
      <c r="T48" s="56" t="s">
        <v>294</v>
      </c>
      <c r="U48" s="16" t="b">
        <v>0</v>
      </c>
      <c r="V48" s="56" t="b">
        <v>1</v>
      </c>
      <c r="W48" s="56" t="b">
        <v>0</v>
      </c>
      <c r="X48" s="56" t="b">
        <v>0</v>
      </c>
      <c r="Y48" s="56" t="b">
        <v>1</v>
      </c>
      <c r="Z48" s="56" t="b">
        <v>0</v>
      </c>
      <c r="AA48" s="56" t="b">
        <v>0</v>
      </c>
      <c r="AB48" s="56" t="b">
        <v>1</v>
      </c>
      <c r="AC48" s="56" t="b">
        <v>1</v>
      </c>
      <c r="AD48" s="56" t="b">
        <v>1</v>
      </c>
      <c r="AE48" s="56" t="b">
        <v>1</v>
      </c>
      <c r="AF48" s="17" t="b">
        <v>0</v>
      </c>
      <c r="AG48" s="52" t="b">
        <v>0</v>
      </c>
      <c r="AH48" s="52" t="b">
        <v>0</v>
      </c>
      <c r="AI48" s="52" t="b">
        <v>1</v>
      </c>
    </row>
    <row r="49" spans="1:35" x14ac:dyDescent="0.35">
      <c r="A49" s="8">
        <f t="shared" si="0"/>
        <v>38</v>
      </c>
      <c r="B49" s="8" t="s">
        <v>293</v>
      </c>
      <c r="C49" s="11" t="str">
        <f t="shared" si="3"/>
        <v>Semi-Islanded</v>
      </c>
      <c r="D49" s="52" t="s">
        <v>172</v>
      </c>
      <c r="E49" s="10" t="s">
        <v>291</v>
      </c>
      <c r="F49" s="11" t="s">
        <v>86</v>
      </c>
      <c r="G49" s="11" t="s">
        <v>221</v>
      </c>
      <c r="H49" s="28" t="s">
        <v>171</v>
      </c>
      <c r="I49" s="11">
        <v>2019</v>
      </c>
      <c r="J49" s="11" t="s">
        <v>68</v>
      </c>
      <c r="K49" s="11">
        <v>0</v>
      </c>
      <c r="L49" s="11">
        <v>0</v>
      </c>
      <c r="M49" s="11">
        <v>-1</v>
      </c>
      <c r="N49" s="11" t="s">
        <v>86</v>
      </c>
      <c r="O49" s="11">
        <v>0</v>
      </c>
      <c r="P49" s="11">
        <v>1</v>
      </c>
      <c r="Q49" s="11">
        <v>0</v>
      </c>
      <c r="R49" s="56" t="s">
        <v>161</v>
      </c>
      <c r="S49" s="56" t="s">
        <v>162</v>
      </c>
      <c r="T49" s="56" t="s">
        <v>294</v>
      </c>
      <c r="U49" s="16" t="b">
        <v>0</v>
      </c>
      <c r="V49" s="56" t="b">
        <v>1</v>
      </c>
      <c r="W49" s="56" t="b">
        <v>0</v>
      </c>
      <c r="X49" s="56" t="b">
        <v>0</v>
      </c>
      <c r="Y49" s="56" t="b">
        <v>1</v>
      </c>
      <c r="Z49" s="56" t="b">
        <v>0</v>
      </c>
      <c r="AA49" s="56" t="b">
        <v>0</v>
      </c>
      <c r="AB49" s="56" t="b">
        <v>1</v>
      </c>
      <c r="AC49" s="56" t="b">
        <v>1</v>
      </c>
      <c r="AD49" s="56" t="b">
        <v>1</v>
      </c>
      <c r="AE49" s="56" t="b">
        <v>1</v>
      </c>
      <c r="AF49" s="17" t="b">
        <v>0</v>
      </c>
      <c r="AG49" s="52" t="b">
        <v>0</v>
      </c>
      <c r="AH49" s="52" t="b">
        <v>0</v>
      </c>
      <c r="AI49" s="52" t="b">
        <v>1</v>
      </c>
    </row>
    <row r="50" spans="1:35" x14ac:dyDescent="0.35">
      <c r="A50" s="8">
        <f t="shared" si="0"/>
        <v>39</v>
      </c>
      <c r="B50" s="8" t="s">
        <v>292</v>
      </c>
      <c r="C50" s="11" t="str">
        <f t="shared" si="3"/>
        <v>Off-grid</v>
      </c>
      <c r="D50" s="52" t="s">
        <v>172</v>
      </c>
      <c r="E50" s="10" t="s">
        <v>276</v>
      </c>
      <c r="F50" s="11" t="s">
        <v>86</v>
      </c>
      <c r="G50" s="11" t="s">
        <v>221</v>
      </c>
      <c r="H50" s="28" t="s">
        <v>171</v>
      </c>
      <c r="I50" s="11">
        <v>2019</v>
      </c>
      <c r="J50" s="11" t="s">
        <v>68</v>
      </c>
      <c r="K50" s="11">
        <v>0</v>
      </c>
      <c r="L50" s="11">
        <v>0</v>
      </c>
      <c r="M50" s="11">
        <v>-1</v>
      </c>
      <c r="N50" s="11" t="s">
        <v>86</v>
      </c>
      <c r="O50" s="11">
        <v>0</v>
      </c>
      <c r="P50" s="11">
        <v>1</v>
      </c>
      <c r="Q50" s="11">
        <v>0</v>
      </c>
      <c r="R50" s="56" t="s">
        <v>161</v>
      </c>
      <c r="S50" s="56" t="s">
        <v>162</v>
      </c>
      <c r="T50" s="56" t="s">
        <v>294</v>
      </c>
      <c r="U50" s="16" t="b">
        <v>0</v>
      </c>
      <c r="V50" s="56" t="b">
        <v>1</v>
      </c>
      <c r="W50" s="56" t="b">
        <v>0</v>
      </c>
      <c r="X50" s="56" t="b">
        <v>0</v>
      </c>
      <c r="Y50" s="56" t="b">
        <v>1</v>
      </c>
      <c r="Z50" s="56" t="b">
        <v>0</v>
      </c>
      <c r="AA50" s="56" t="b">
        <v>0</v>
      </c>
      <c r="AB50" s="56" t="b">
        <v>1</v>
      </c>
      <c r="AC50" s="56" t="b">
        <v>1</v>
      </c>
      <c r="AD50" s="56" t="b">
        <v>1</v>
      </c>
      <c r="AE50" s="56" t="b">
        <v>1</v>
      </c>
      <c r="AF50" s="17" t="b">
        <v>0</v>
      </c>
      <c r="AG50" s="52" t="b">
        <v>0</v>
      </c>
      <c r="AH50" s="52" t="b">
        <v>0</v>
      </c>
      <c r="AI50" s="52" t="b">
        <v>1</v>
      </c>
    </row>
    <row r="51" spans="1:35" x14ac:dyDescent="0.35">
      <c r="A51" s="8">
        <f t="shared" si="0"/>
        <v>40</v>
      </c>
      <c r="B51" s="8" t="s">
        <v>293</v>
      </c>
      <c r="C51" s="11" t="str">
        <f t="shared" si="3"/>
        <v>Semi-Islanded</v>
      </c>
      <c r="D51" s="52" t="s">
        <v>172</v>
      </c>
      <c r="E51" s="10" t="s">
        <v>276</v>
      </c>
      <c r="F51" s="11" t="s">
        <v>86</v>
      </c>
      <c r="G51" s="11" t="s">
        <v>221</v>
      </c>
      <c r="H51" s="28" t="s">
        <v>171</v>
      </c>
      <c r="I51" s="11">
        <v>2019</v>
      </c>
      <c r="J51" s="11" t="s">
        <v>68</v>
      </c>
      <c r="K51" s="11">
        <v>0</v>
      </c>
      <c r="L51" s="11">
        <v>0</v>
      </c>
      <c r="M51" s="11">
        <v>-1</v>
      </c>
      <c r="N51" s="11" t="s">
        <v>86</v>
      </c>
      <c r="O51" s="11">
        <v>0</v>
      </c>
      <c r="P51" s="11">
        <v>1</v>
      </c>
      <c r="Q51" s="11">
        <v>0</v>
      </c>
      <c r="R51" s="56" t="s">
        <v>161</v>
      </c>
      <c r="S51" s="56" t="s">
        <v>162</v>
      </c>
      <c r="T51" s="56" t="s">
        <v>294</v>
      </c>
      <c r="U51" s="16" t="b">
        <v>0</v>
      </c>
      <c r="V51" s="56" t="b">
        <v>1</v>
      </c>
      <c r="W51" s="56" t="b">
        <v>0</v>
      </c>
      <c r="X51" s="56" t="b">
        <v>0</v>
      </c>
      <c r="Y51" s="56" t="b">
        <v>1</v>
      </c>
      <c r="Z51" s="56" t="b">
        <v>0</v>
      </c>
      <c r="AA51" s="56" t="b">
        <v>0</v>
      </c>
      <c r="AB51" s="56" t="b">
        <v>1</v>
      </c>
      <c r="AC51" s="56" t="b">
        <v>1</v>
      </c>
      <c r="AD51" s="56" t="b">
        <v>1</v>
      </c>
      <c r="AE51" s="56" t="b">
        <v>1</v>
      </c>
      <c r="AF51" s="17" t="b">
        <v>0</v>
      </c>
      <c r="AG51" s="52" t="b">
        <v>0</v>
      </c>
      <c r="AH51" s="52" t="b">
        <v>0</v>
      </c>
      <c r="AI51" s="52" t="b">
        <v>1</v>
      </c>
    </row>
    <row r="52" spans="1:35" x14ac:dyDescent="0.35">
      <c r="A52" s="8">
        <f t="shared" si="0"/>
        <v>41</v>
      </c>
      <c r="B52" s="8" t="s">
        <v>292</v>
      </c>
      <c r="C52" s="11" t="str">
        <f t="shared" si="3"/>
        <v>Off-grid</v>
      </c>
      <c r="D52" s="52" t="s">
        <v>172</v>
      </c>
      <c r="E52" s="10" t="s">
        <v>299</v>
      </c>
      <c r="F52" s="11" t="s">
        <v>86</v>
      </c>
      <c r="G52" s="11" t="s">
        <v>221</v>
      </c>
      <c r="H52" s="28" t="s">
        <v>171</v>
      </c>
      <c r="I52" s="11">
        <v>2019</v>
      </c>
      <c r="J52" s="11" t="s">
        <v>68</v>
      </c>
      <c r="K52" s="11">
        <v>0</v>
      </c>
      <c r="L52" s="11">
        <v>0</v>
      </c>
      <c r="M52" s="11">
        <v>-1</v>
      </c>
      <c r="N52" s="11" t="s">
        <v>86</v>
      </c>
      <c r="O52" s="11">
        <v>0</v>
      </c>
      <c r="P52" s="11">
        <v>1</v>
      </c>
      <c r="Q52" s="11">
        <v>0</v>
      </c>
      <c r="R52" s="56" t="s">
        <v>161</v>
      </c>
      <c r="S52" s="56" t="s">
        <v>162</v>
      </c>
      <c r="T52" s="56" t="s">
        <v>294</v>
      </c>
      <c r="U52" s="16" t="b">
        <v>0</v>
      </c>
      <c r="V52" s="56" t="b">
        <v>1</v>
      </c>
      <c r="W52" s="56" t="b">
        <v>0</v>
      </c>
      <c r="X52" s="56" t="b">
        <v>0</v>
      </c>
      <c r="Y52" s="56" t="b">
        <v>1</v>
      </c>
      <c r="Z52" s="56" t="b">
        <v>0</v>
      </c>
      <c r="AA52" s="56" t="b">
        <v>0</v>
      </c>
      <c r="AB52" s="56" t="b">
        <v>1</v>
      </c>
      <c r="AC52" s="56" t="b">
        <v>1</v>
      </c>
      <c r="AD52" s="56" t="b">
        <v>1</v>
      </c>
      <c r="AE52" s="56" t="b">
        <v>1</v>
      </c>
      <c r="AF52" s="17" t="b">
        <v>0</v>
      </c>
      <c r="AG52" s="52" t="b">
        <v>0</v>
      </c>
      <c r="AH52" s="52" t="b">
        <v>0</v>
      </c>
      <c r="AI52" s="52" t="b">
        <v>1</v>
      </c>
    </row>
    <row r="53" spans="1:35" x14ac:dyDescent="0.35">
      <c r="A53" s="8">
        <f t="shared" si="0"/>
        <v>42</v>
      </c>
      <c r="B53" s="8" t="s">
        <v>293</v>
      </c>
      <c r="C53" s="11" t="str">
        <f t="shared" si="3"/>
        <v>Semi-Islanded</v>
      </c>
      <c r="D53" s="52" t="s">
        <v>172</v>
      </c>
      <c r="E53" s="10" t="s">
        <v>299</v>
      </c>
      <c r="F53" s="11" t="s">
        <v>86</v>
      </c>
      <c r="G53" s="11" t="s">
        <v>221</v>
      </c>
      <c r="H53" s="28" t="s">
        <v>171</v>
      </c>
      <c r="I53" s="11">
        <v>2019</v>
      </c>
      <c r="J53" s="11" t="s">
        <v>68</v>
      </c>
      <c r="K53" s="11">
        <v>0</v>
      </c>
      <c r="L53" s="11">
        <v>0</v>
      </c>
      <c r="M53" s="11">
        <v>-1</v>
      </c>
      <c r="N53" s="11" t="s">
        <v>86</v>
      </c>
      <c r="O53" s="11">
        <v>0</v>
      </c>
      <c r="P53" s="11">
        <v>1</v>
      </c>
      <c r="Q53" s="11">
        <v>0</v>
      </c>
      <c r="R53" s="56" t="s">
        <v>161</v>
      </c>
      <c r="S53" s="56" t="s">
        <v>162</v>
      </c>
      <c r="T53" s="56" t="s">
        <v>294</v>
      </c>
      <c r="U53" s="16" t="b">
        <v>0</v>
      </c>
      <c r="V53" s="56" t="b">
        <v>1</v>
      </c>
      <c r="W53" s="56" t="b">
        <v>0</v>
      </c>
      <c r="X53" s="56" t="b">
        <v>0</v>
      </c>
      <c r="Y53" s="56" t="b">
        <v>1</v>
      </c>
      <c r="Z53" s="56" t="b">
        <v>0</v>
      </c>
      <c r="AA53" s="56" t="b">
        <v>0</v>
      </c>
      <c r="AB53" s="56" t="b">
        <v>1</v>
      </c>
      <c r="AC53" s="56" t="b">
        <v>1</v>
      </c>
      <c r="AD53" s="56" t="b">
        <v>1</v>
      </c>
      <c r="AE53" s="56" t="b">
        <v>1</v>
      </c>
      <c r="AF53" s="17" t="b">
        <v>0</v>
      </c>
      <c r="AG53" s="52" t="b">
        <v>0</v>
      </c>
      <c r="AH53" s="52" t="b">
        <v>0</v>
      </c>
      <c r="AI53" s="52" t="b">
        <v>1</v>
      </c>
    </row>
    <row r="54" spans="1:35" x14ac:dyDescent="0.35">
      <c r="A54" s="8"/>
      <c r="B54" s="8"/>
      <c r="D54" s="52"/>
      <c r="E54" s="10"/>
      <c r="H54" s="28"/>
    </row>
    <row r="55" spans="1:35" x14ac:dyDescent="0.35">
      <c r="A55" s="8"/>
      <c r="B55" s="8"/>
      <c r="D55" s="52"/>
      <c r="E55" s="10"/>
      <c r="H55" s="28"/>
    </row>
    <row r="56" spans="1:35" x14ac:dyDescent="0.35">
      <c r="A56" s="8"/>
      <c r="B56" s="8"/>
      <c r="D56" s="52"/>
      <c r="E56" s="10"/>
      <c r="H56" s="28"/>
    </row>
    <row r="57" spans="1:35" x14ac:dyDescent="0.35">
      <c r="A57" s="8"/>
      <c r="B57" s="8"/>
      <c r="D57" s="52"/>
      <c r="E57" s="10"/>
      <c r="H57" s="28"/>
    </row>
    <row r="58" spans="1:35" x14ac:dyDescent="0.35">
      <c r="A58" s="8"/>
      <c r="B58" s="8"/>
      <c r="D58" s="52"/>
      <c r="E58" s="10"/>
      <c r="H58" s="28"/>
    </row>
    <row r="59" spans="1:35" x14ac:dyDescent="0.35">
      <c r="A59" s="8"/>
      <c r="B59" s="8"/>
      <c r="D59" s="52"/>
      <c r="E59" s="10"/>
      <c r="H59" s="28"/>
    </row>
    <row r="60" spans="1:35" x14ac:dyDescent="0.35">
      <c r="A60" s="8"/>
      <c r="B60" s="8"/>
      <c r="D60" s="52"/>
      <c r="E60" s="10"/>
      <c r="H60" s="28"/>
    </row>
    <row r="61" spans="1:35" x14ac:dyDescent="0.35">
      <c r="A61" s="8"/>
      <c r="B61" s="8"/>
      <c r="D61" s="52"/>
      <c r="E61" s="10"/>
      <c r="H61" s="28"/>
    </row>
    <row r="62" spans="1:35" x14ac:dyDescent="0.35">
      <c r="A62" s="8"/>
      <c r="B62" s="8"/>
      <c r="D62" s="52"/>
      <c r="E62" s="10"/>
      <c r="H62" s="28"/>
    </row>
    <row r="63" spans="1:35" x14ac:dyDescent="0.35">
      <c r="A63" s="8"/>
      <c r="B63" s="8"/>
      <c r="D63" s="52"/>
      <c r="E63" s="10"/>
      <c r="H63" s="28"/>
    </row>
    <row r="64" spans="1:35" x14ac:dyDescent="0.35">
      <c r="A64" s="8"/>
      <c r="B64" s="8"/>
      <c r="D64" s="52"/>
      <c r="E64" s="10"/>
      <c r="H64" s="28"/>
    </row>
    <row r="65" spans="1:8" x14ac:dyDescent="0.35">
      <c r="A65" s="8"/>
      <c r="B65" s="8"/>
      <c r="D65" s="52"/>
      <c r="E65" s="10"/>
      <c r="H65" s="28"/>
    </row>
    <row r="66" spans="1:8" x14ac:dyDescent="0.35">
      <c r="A66" s="8"/>
      <c r="B66" s="8"/>
      <c r="D66" s="52"/>
      <c r="E66" s="10"/>
      <c r="H66" s="28"/>
    </row>
    <row r="67" spans="1:8" x14ac:dyDescent="0.35">
      <c r="A67" s="8"/>
      <c r="B67" s="8"/>
      <c r="D67" s="52"/>
      <c r="E67" s="10"/>
      <c r="H67" s="28"/>
    </row>
    <row r="68" spans="1:8" x14ac:dyDescent="0.35">
      <c r="A68" s="8"/>
      <c r="B68" s="8"/>
      <c r="D68" s="52"/>
      <c r="E68" s="10"/>
      <c r="H68" s="28"/>
    </row>
    <row r="69" spans="1:8" x14ac:dyDescent="0.35">
      <c r="A69" s="8"/>
      <c r="B69" s="8"/>
      <c r="D69" s="52"/>
      <c r="E69" s="10"/>
      <c r="H69" s="28"/>
    </row>
    <row r="70" spans="1:8" x14ac:dyDescent="0.35">
      <c r="A70" s="8"/>
      <c r="B70" s="8"/>
      <c r="D70" s="52"/>
      <c r="E70" s="10"/>
      <c r="H70" s="28"/>
    </row>
    <row r="71" spans="1:8" x14ac:dyDescent="0.35">
      <c r="A71" s="8"/>
      <c r="B71" s="8"/>
      <c r="D71" s="52"/>
      <c r="E71" s="10"/>
      <c r="H71" s="28"/>
    </row>
    <row r="72" spans="1:8" x14ac:dyDescent="0.35">
      <c r="A72" s="8"/>
      <c r="B72" s="8"/>
      <c r="D72" s="52"/>
      <c r="E72" s="10"/>
      <c r="H72" s="28"/>
    </row>
    <row r="73" spans="1:8" x14ac:dyDescent="0.35">
      <c r="A73" s="8"/>
      <c r="B73" s="8"/>
      <c r="D73" s="52"/>
      <c r="E73" s="10"/>
      <c r="H73" s="28"/>
    </row>
    <row r="74" spans="1:8" x14ac:dyDescent="0.35">
      <c r="A74" s="8"/>
      <c r="B74" s="8"/>
      <c r="D74" s="52"/>
      <c r="E74" s="10"/>
      <c r="H74" s="28"/>
    </row>
    <row r="75" spans="1:8" x14ac:dyDescent="0.35">
      <c r="A75" s="8"/>
      <c r="B75" s="8"/>
      <c r="D75" s="52"/>
      <c r="E75" s="10"/>
      <c r="H75" s="28"/>
    </row>
    <row r="76" spans="1:8" x14ac:dyDescent="0.35">
      <c r="A76" s="8"/>
      <c r="B76" s="8"/>
      <c r="D76" s="52"/>
      <c r="E76" s="10"/>
      <c r="H76" s="28"/>
    </row>
    <row r="77" spans="1:8" x14ac:dyDescent="0.35">
      <c r="A77" s="8"/>
      <c r="B77" s="8"/>
      <c r="D77" s="52"/>
      <c r="E77" s="10"/>
      <c r="H77" s="28"/>
    </row>
    <row r="78" spans="1:8" x14ac:dyDescent="0.35">
      <c r="A78" s="8"/>
      <c r="B78" s="8"/>
      <c r="D78" s="52"/>
      <c r="E78" s="10"/>
      <c r="H78" s="28"/>
    </row>
    <row r="79" spans="1:8" x14ac:dyDescent="0.35">
      <c r="A79" s="8"/>
      <c r="B79" s="8"/>
      <c r="D79" s="52"/>
      <c r="E79" s="10"/>
      <c r="H79" s="28"/>
    </row>
    <row r="80" spans="1:8" x14ac:dyDescent="0.35">
      <c r="A80" s="8"/>
      <c r="B80" s="8"/>
      <c r="D80" s="52"/>
      <c r="E80" s="10"/>
      <c r="H80" s="28"/>
    </row>
    <row r="81" spans="1:8" x14ac:dyDescent="0.35">
      <c r="A81" s="8"/>
      <c r="B81" s="8"/>
      <c r="D81" s="52"/>
      <c r="E81" s="10"/>
      <c r="H81" s="28"/>
    </row>
    <row r="82" spans="1:8" x14ac:dyDescent="0.35">
      <c r="A82" s="8"/>
      <c r="B82" s="8"/>
      <c r="D82" s="52"/>
      <c r="E82" s="10"/>
      <c r="H82" s="28"/>
    </row>
    <row r="83" spans="1:8" x14ac:dyDescent="0.35">
      <c r="A83" s="8"/>
      <c r="B83" s="8"/>
      <c r="D83" s="52"/>
      <c r="E83" s="10"/>
      <c r="H83" s="28"/>
    </row>
    <row r="84" spans="1:8" x14ac:dyDescent="0.35">
      <c r="A84" s="8"/>
      <c r="B84" s="8"/>
      <c r="D84" s="52"/>
      <c r="E84" s="10"/>
      <c r="H84" s="28"/>
    </row>
    <row r="85" spans="1:8" x14ac:dyDescent="0.35">
      <c r="A85" s="8"/>
      <c r="B85" s="8"/>
      <c r="D85" s="52"/>
      <c r="E85" s="10"/>
      <c r="H85" s="28"/>
    </row>
    <row r="86" spans="1:8" x14ac:dyDescent="0.35">
      <c r="A86" s="8"/>
      <c r="B86" s="8"/>
      <c r="D86" s="52"/>
      <c r="E86" s="10"/>
      <c r="H86" s="28"/>
    </row>
    <row r="87" spans="1:8" x14ac:dyDescent="0.35">
      <c r="A87" s="8"/>
      <c r="B87" s="8"/>
      <c r="D87" s="52"/>
      <c r="E87" s="10"/>
      <c r="H87" s="28"/>
    </row>
    <row r="88" spans="1:8" x14ac:dyDescent="0.35">
      <c r="A88" s="8"/>
      <c r="B88" s="8"/>
      <c r="D88" s="52"/>
      <c r="E88" s="10"/>
      <c r="H88" s="28"/>
    </row>
    <row r="89" spans="1:8" x14ac:dyDescent="0.35">
      <c r="A89" s="8"/>
      <c r="B89" s="8"/>
      <c r="D89" s="52"/>
      <c r="E89" s="10"/>
      <c r="H89" s="28"/>
    </row>
    <row r="90" spans="1:8" x14ac:dyDescent="0.35">
      <c r="A90" s="8"/>
      <c r="B90" s="8"/>
      <c r="D90" s="52"/>
      <c r="E90" s="10"/>
      <c r="H90" s="28"/>
    </row>
    <row r="91" spans="1:8" x14ac:dyDescent="0.35">
      <c r="A91" s="8"/>
      <c r="B91" s="8"/>
      <c r="D91" s="52"/>
      <c r="E91" s="10"/>
      <c r="H91" s="28"/>
    </row>
    <row r="92" spans="1:8" x14ac:dyDescent="0.35">
      <c r="A92" s="8"/>
      <c r="B92" s="8"/>
      <c r="D92" s="52"/>
      <c r="E92" s="10"/>
      <c r="H92" s="28"/>
    </row>
    <row r="93" spans="1:8" x14ac:dyDescent="0.35">
      <c r="A93" s="8"/>
      <c r="B93" s="8"/>
      <c r="D93" s="52"/>
      <c r="E93" s="10"/>
      <c r="H93" s="28"/>
    </row>
    <row r="94" spans="1:8" x14ac:dyDescent="0.35">
      <c r="A94" s="8"/>
      <c r="B94" s="8"/>
      <c r="D94" s="52"/>
      <c r="E94" s="10"/>
      <c r="H94" s="28"/>
    </row>
    <row r="95" spans="1:8" x14ac:dyDescent="0.35">
      <c r="A95" s="8"/>
      <c r="B95" s="8"/>
      <c r="D95" s="52"/>
      <c r="E95" s="10"/>
      <c r="H95" s="28"/>
    </row>
    <row r="96" spans="1:8" x14ac:dyDescent="0.35">
      <c r="A96" s="8"/>
      <c r="B96" s="8"/>
      <c r="D96" s="52"/>
      <c r="E96" s="10"/>
      <c r="H96" s="28"/>
    </row>
    <row r="97" spans="1:8" x14ac:dyDescent="0.35">
      <c r="A97" s="8"/>
      <c r="B97" s="8"/>
      <c r="D97" s="52"/>
      <c r="E97" s="10"/>
      <c r="H97" s="28"/>
    </row>
    <row r="98" spans="1:8" x14ac:dyDescent="0.35">
      <c r="A98" s="8"/>
      <c r="B98" s="8"/>
      <c r="D98" s="52"/>
      <c r="E98" s="10"/>
      <c r="H98" s="28"/>
    </row>
    <row r="99" spans="1:8" x14ac:dyDescent="0.35">
      <c r="A99" s="8"/>
      <c r="B99" s="8"/>
      <c r="D99" s="52"/>
      <c r="E99" s="10"/>
      <c r="H99" s="28"/>
    </row>
    <row r="100" spans="1:8" x14ac:dyDescent="0.35">
      <c r="A100" s="8"/>
      <c r="B100" s="8"/>
      <c r="D100" s="52"/>
      <c r="E100" s="10"/>
      <c r="H100" s="28"/>
    </row>
    <row r="101" spans="1:8" x14ac:dyDescent="0.35">
      <c r="A101" s="8"/>
      <c r="B101" s="8"/>
      <c r="D101" s="52"/>
      <c r="E101" s="10"/>
      <c r="H101" s="28"/>
    </row>
    <row r="102" spans="1:8" x14ac:dyDescent="0.35">
      <c r="A102" s="8"/>
      <c r="B102" s="8"/>
      <c r="D102" s="52"/>
      <c r="E102" s="10"/>
      <c r="H102" s="28"/>
    </row>
    <row r="103" spans="1:8" x14ac:dyDescent="0.35">
      <c r="A103" s="8"/>
      <c r="B103" s="8"/>
      <c r="D103" s="52"/>
      <c r="E103" s="10"/>
      <c r="H103" s="28"/>
    </row>
    <row r="104" spans="1:8" x14ac:dyDescent="0.35">
      <c r="A104" s="8"/>
      <c r="B104" s="8"/>
      <c r="D104" s="52"/>
      <c r="E104" s="10"/>
      <c r="H104" s="28"/>
    </row>
    <row r="105" spans="1:8" x14ac:dyDescent="0.35">
      <c r="A105" s="8"/>
      <c r="B105" s="8"/>
      <c r="D105" s="52"/>
      <c r="E105" s="10"/>
      <c r="H105" s="28"/>
    </row>
    <row r="106" spans="1:8" x14ac:dyDescent="0.35">
      <c r="A106" s="8"/>
      <c r="B106" s="8"/>
      <c r="D106" s="52"/>
      <c r="E106" s="10"/>
      <c r="H106" s="28"/>
    </row>
    <row r="107" spans="1:8" x14ac:dyDescent="0.35">
      <c r="A107" s="8"/>
      <c r="B107" s="8"/>
      <c r="D107" s="52"/>
      <c r="E107" s="10"/>
      <c r="H107" s="28"/>
    </row>
    <row r="108" spans="1:8" x14ac:dyDescent="0.35">
      <c r="A108" s="8"/>
      <c r="B108" s="8"/>
      <c r="D108" s="52"/>
      <c r="E108" s="10"/>
      <c r="H108" s="28"/>
    </row>
    <row r="109" spans="1:8" x14ac:dyDescent="0.35">
      <c r="A109" s="8"/>
      <c r="B109" s="8"/>
      <c r="D109" s="52"/>
      <c r="E109" s="10"/>
      <c r="H109" s="28"/>
    </row>
    <row r="110" spans="1:8" x14ac:dyDescent="0.35">
      <c r="A110" s="8"/>
      <c r="B110" s="8"/>
      <c r="D110" s="52"/>
      <c r="E110" s="10"/>
      <c r="H110" s="28"/>
    </row>
    <row r="111" spans="1:8" x14ac:dyDescent="0.35">
      <c r="A111" s="8"/>
      <c r="B111" s="8"/>
      <c r="D111" s="52"/>
      <c r="E111" s="10"/>
      <c r="H111" s="28"/>
    </row>
    <row r="112" spans="1:8" x14ac:dyDescent="0.35">
      <c r="A112" s="8"/>
      <c r="B112" s="8"/>
      <c r="D112" s="52"/>
      <c r="E112" s="10"/>
      <c r="H112" s="28"/>
    </row>
    <row r="113" spans="1:8" x14ac:dyDescent="0.35">
      <c r="A113" s="8"/>
      <c r="B113" s="8"/>
      <c r="D113" s="52"/>
      <c r="E113" s="10"/>
      <c r="H113" s="28"/>
    </row>
    <row r="114" spans="1:8" x14ac:dyDescent="0.35">
      <c r="A114" s="8"/>
      <c r="B114" s="8"/>
      <c r="D114" s="52"/>
      <c r="E114" s="10"/>
      <c r="H114" s="28"/>
    </row>
    <row r="115" spans="1:8" x14ac:dyDescent="0.35">
      <c r="A115" s="8"/>
      <c r="B115" s="8"/>
      <c r="D115" s="52"/>
      <c r="E115" s="10"/>
      <c r="H115" s="28"/>
    </row>
    <row r="116" spans="1:8" x14ac:dyDescent="0.35">
      <c r="A116" s="8"/>
      <c r="B116" s="8"/>
      <c r="D116" s="52"/>
      <c r="E116" s="10"/>
      <c r="H116" s="28"/>
    </row>
    <row r="117" spans="1:8" x14ac:dyDescent="0.35">
      <c r="A117" s="8"/>
      <c r="B117" s="8"/>
      <c r="D117" s="52"/>
      <c r="E117" s="10"/>
      <c r="H117" s="28"/>
    </row>
    <row r="118" spans="1:8" x14ac:dyDescent="0.35">
      <c r="A118" s="8"/>
      <c r="B118" s="8"/>
      <c r="D118" s="52"/>
      <c r="E118" s="10"/>
      <c r="H118" s="28"/>
    </row>
    <row r="119" spans="1:8" x14ac:dyDescent="0.35">
      <c r="A119" s="8"/>
      <c r="B119" s="8"/>
      <c r="D119" s="52"/>
      <c r="E119" s="10"/>
      <c r="H119" s="28"/>
    </row>
    <row r="120" spans="1:8" x14ac:dyDescent="0.35">
      <c r="A120" s="8"/>
      <c r="B120" s="8"/>
      <c r="D120" s="52"/>
      <c r="E120" s="10"/>
      <c r="H120" s="28"/>
    </row>
    <row r="121" spans="1:8" x14ac:dyDescent="0.35">
      <c r="A121" s="8"/>
      <c r="B121" s="8"/>
      <c r="D121" s="52"/>
      <c r="E121" s="10"/>
      <c r="H121" s="28"/>
    </row>
    <row r="122" spans="1:8" x14ac:dyDescent="0.35">
      <c r="A122" s="8"/>
      <c r="B122" s="8"/>
      <c r="D122" s="52"/>
      <c r="E122" s="10"/>
      <c r="H122" s="28"/>
    </row>
    <row r="123" spans="1:8" x14ac:dyDescent="0.35">
      <c r="A123" s="8"/>
      <c r="B123" s="8"/>
      <c r="D123" s="52"/>
      <c r="E123" s="10"/>
      <c r="H123" s="28"/>
    </row>
    <row r="124" spans="1:8" x14ac:dyDescent="0.35">
      <c r="A124" s="8"/>
      <c r="B124" s="8"/>
      <c r="D124" s="52"/>
      <c r="E124" s="10"/>
      <c r="H124" s="28"/>
    </row>
    <row r="125" spans="1:8" x14ac:dyDescent="0.35">
      <c r="A125" s="8"/>
      <c r="B125" s="8"/>
      <c r="D125" s="52"/>
      <c r="E125" s="10"/>
      <c r="H125" s="28"/>
    </row>
    <row r="126" spans="1:8" x14ac:dyDescent="0.35">
      <c r="A126" s="8"/>
      <c r="B126" s="8"/>
      <c r="D126" s="52"/>
      <c r="E126" s="10"/>
      <c r="H126" s="28"/>
    </row>
    <row r="127" spans="1:8" x14ac:dyDescent="0.35">
      <c r="A127" s="8"/>
      <c r="B127" s="8"/>
      <c r="D127" s="52"/>
      <c r="E127" s="10"/>
      <c r="H127" s="28"/>
    </row>
    <row r="128" spans="1:8" x14ac:dyDescent="0.35">
      <c r="A128" s="8"/>
      <c r="B128" s="8"/>
      <c r="D128" s="52"/>
      <c r="E128" s="10"/>
      <c r="H128" s="28"/>
    </row>
    <row r="129" spans="1:8" x14ac:dyDescent="0.35">
      <c r="A129" s="8"/>
      <c r="B129" s="8"/>
      <c r="D129" s="52"/>
      <c r="E129" s="10"/>
      <c r="H129" s="28"/>
    </row>
    <row r="130" spans="1:8" x14ac:dyDescent="0.35">
      <c r="A130" s="8"/>
      <c r="B130" s="8"/>
      <c r="D130" s="52"/>
      <c r="E130" s="10"/>
      <c r="H130" s="28"/>
    </row>
    <row r="131" spans="1:8" x14ac:dyDescent="0.35">
      <c r="A131" s="8"/>
      <c r="B131" s="8"/>
      <c r="D131" s="52"/>
      <c r="E131" s="10"/>
      <c r="H131" s="28"/>
    </row>
    <row r="132" spans="1:8" x14ac:dyDescent="0.35">
      <c r="A132" s="8"/>
      <c r="B132" s="8"/>
      <c r="D132" s="52"/>
      <c r="E132" s="10"/>
      <c r="H132" s="28"/>
    </row>
    <row r="133" spans="1:8" x14ac:dyDescent="0.35">
      <c r="A133" s="8"/>
      <c r="B133" s="8"/>
      <c r="D133" s="52"/>
      <c r="E133" s="10"/>
      <c r="H133" s="28"/>
    </row>
    <row r="134" spans="1:8" x14ac:dyDescent="0.35">
      <c r="A134" s="8"/>
      <c r="B134" s="8"/>
      <c r="D134" s="52"/>
      <c r="E134" s="10"/>
      <c r="H134" s="28"/>
    </row>
    <row r="135" spans="1:8" x14ac:dyDescent="0.35">
      <c r="A135" s="8"/>
      <c r="B135" s="8"/>
      <c r="D135" s="52"/>
      <c r="E135" s="10"/>
      <c r="H135" s="28"/>
    </row>
    <row r="136" spans="1:8" x14ac:dyDescent="0.35">
      <c r="A136" s="8"/>
      <c r="B136" s="8"/>
      <c r="D136" s="52"/>
      <c r="E136" s="10"/>
      <c r="H136" s="28"/>
    </row>
    <row r="137" spans="1:8" x14ac:dyDescent="0.35">
      <c r="A137" s="8"/>
      <c r="B137" s="8"/>
      <c r="D137" s="52"/>
      <c r="E137" s="10"/>
      <c r="H137" s="28"/>
    </row>
    <row r="138" spans="1:8" x14ac:dyDescent="0.35">
      <c r="A138" s="8"/>
      <c r="B138" s="8"/>
      <c r="D138" s="52"/>
      <c r="E138" s="10"/>
      <c r="H138" s="28"/>
    </row>
    <row r="139" spans="1:8" x14ac:dyDescent="0.35">
      <c r="A139" s="8"/>
      <c r="B139" s="8"/>
      <c r="D139" s="52"/>
      <c r="E139" s="10"/>
      <c r="H139" s="28"/>
    </row>
    <row r="140" spans="1:8" x14ac:dyDescent="0.35">
      <c r="A140" s="8"/>
      <c r="B140" s="8"/>
      <c r="D140" s="52"/>
      <c r="E140" s="10"/>
      <c r="H140" s="28"/>
    </row>
    <row r="141" spans="1:8" x14ac:dyDescent="0.35">
      <c r="A141" s="8"/>
      <c r="B141" s="8"/>
      <c r="D141" s="52"/>
      <c r="E141" s="10"/>
      <c r="H141" s="28"/>
    </row>
    <row r="142" spans="1:8" x14ac:dyDescent="0.35">
      <c r="A142" s="8"/>
      <c r="B142" s="8"/>
      <c r="D142" s="52"/>
      <c r="E142" s="10"/>
      <c r="H142" s="28"/>
    </row>
    <row r="143" spans="1:8" x14ac:dyDescent="0.35">
      <c r="A143" s="8"/>
      <c r="B143" s="8"/>
      <c r="D143" s="52"/>
      <c r="E143" s="10"/>
      <c r="H143" s="28"/>
    </row>
    <row r="144" spans="1:8" x14ac:dyDescent="0.35">
      <c r="A144" s="8"/>
      <c r="B144" s="8"/>
      <c r="D144" s="52"/>
      <c r="E144" s="10"/>
      <c r="H144" s="28"/>
    </row>
    <row r="145" spans="1:8" x14ac:dyDescent="0.35">
      <c r="A145" s="8"/>
      <c r="B145" s="8"/>
      <c r="D145" s="52"/>
      <c r="E145" s="10"/>
      <c r="H145" s="28"/>
    </row>
    <row r="146" spans="1:8" x14ac:dyDescent="0.35">
      <c r="A146" s="8"/>
      <c r="B146" s="8"/>
      <c r="D146" s="52"/>
      <c r="E146" s="10"/>
      <c r="H146" s="28"/>
    </row>
    <row r="147" spans="1:8" x14ac:dyDescent="0.35">
      <c r="A147" s="8"/>
      <c r="B147" s="8"/>
      <c r="D147" s="52"/>
      <c r="E147" s="10"/>
      <c r="H147" s="28"/>
    </row>
    <row r="148" spans="1:8" x14ac:dyDescent="0.35">
      <c r="A148" s="8"/>
      <c r="B148" s="8"/>
      <c r="D148" s="52"/>
      <c r="E148" s="10"/>
      <c r="H148" s="28"/>
    </row>
    <row r="149" spans="1:8" x14ac:dyDescent="0.35">
      <c r="A149" s="8"/>
      <c r="B149" s="8"/>
      <c r="D149" s="52"/>
      <c r="E149" s="10"/>
      <c r="H149" s="28"/>
    </row>
    <row r="150" spans="1:8" x14ac:dyDescent="0.35">
      <c r="A150" s="8"/>
      <c r="B150" s="8"/>
      <c r="D150" s="52"/>
      <c r="E150" s="10"/>
      <c r="H150" s="28"/>
    </row>
    <row r="151" spans="1:8" x14ac:dyDescent="0.35">
      <c r="A151" s="8"/>
      <c r="B151" s="8"/>
      <c r="D151" s="52"/>
      <c r="E151" s="10"/>
      <c r="H151" s="28"/>
    </row>
    <row r="152" spans="1:8" x14ac:dyDescent="0.35">
      <c r="A152" s="8"/>
      <c r="B152" s="8"/>
      <c r="D152" s="52"/>
      <c r="E152" s="10"/>
      <c r="H152" s="28"/>
    </row>
    <row r="153" spans="1:8" x14ac:dyDescent="0.35">
      <c r="A153" s="8"/>
      <c r="B153" s="8"/>
      <c r="D153" s="52"/>
      <c r="E153" s="10"/>
      <c r="H153" s="28"/>
    </row>
    <row r="154" spans="1:8" x14ac:dyDescent="0.35">
      <c r="A154" s="8"/>
      <c r="B154" s="8"/>
      <c r="D154" s="52"/>
      <c r="E154" s="10"/>
      <c r="H154" s="28"/>
    </row>
    <row r="155" spans="1:8" x14ac:dyDescent="0.35">
      <c r="A155" s="8"/>
      <c r="B155" s="8"/>
      <c r="D155" s="52"/>
      <c r="E155" s="10"/>
      <c r="H155" s="28"/>
    </row>
    <row r="156" spans="1:8" x14ac:dyDescent="0.35">
      <c r="A156" s="8"/>
      <c r="B156" s="8"/>
      <c r="D156" s="52"/>
      <c r="E156" s="10"/>
      <c r="H156" s="28"/>
    </row>
    <row r="157" spans="1:8" x14ac:dyDescent="0.35">
      <c r="A157" s="8"/>
      <c r="B157" s="8"/>
      <c r="D157" s="52"/>
      <c r="E157" s="10"/>
      <c r="H157" s="28"/>
    </row>
    <row r="158" spans="1:8" x14ac:dyDescent="0.35">
      <c r="A158" s="8"/>
      <c r="B158" s="8"/>
      <c r="D158" s="52"/>
      <c r="E158" s="10"/>
      <c r="H158" s="28"/>
    </row>
    <row r="159" spans="1:8" x14ac:dyDescent="0.35">
      <c r="A159" s="8"/>
      <c r="B159" s="8"/>
      <c r="D159" s="52"/>
      <c r="E159" s="10"/>
      <c r="H159" s="28"/>
    </row>
    <row r="160" spans="1:8" x14ac:dyDescent="0.35">
      <c r="A160" s="8"/>
      <c r="B160" s="8"/>
      <c r="D160" s="52"/>
      <c r="E160" s="10"/>
      <c r="H160" s="28"/>
    </row>
    <row r="161" spans="1:8" x14ac:dyDescent="0.35">
      <c r="A161" s="8"/>
      <c r="B161" s="8"/>
      <c r="D161" s="52"/>
      <c r="E161" s="10"/>
      <c r="H161" s="28"/>
    </row>
    <row r="162" spans="1:8" x14ac:dyDescent="0.35">
      <c r="A162" s="8"/>
      <c r="B162" s="8"/>
      <c r="D162" s="52"/>
      <c r="E162" s="10"/>
      <c r="H162" s="28"/>
    </row>
    <row r="163" spans="1:8" x14ac:dyDescent="0.35">
      <c r="A163" s="8"/>
      <c r="B163" s="8"/>
      <c r="D163" s="52"/>
      <c r="E163" s="10"/>
      <c r="H163" s="28"/>
    </row>
    <row r="164" spans="1:8" x14ac:dyDescent="0.35">
      <c r="A164" s="8"/>
      <c r="B164" s="8"/>
      <c r="D164" s="52"/>
      <c r="E164" s="10"/>
      <c r="H164" s="28"/>
    </row>
    <row r="165" spans="1:8" x14ac:dyDescent="0.35">
      <c r="A165" s="8"/>
      <c r="B165" s="8"/>
      <c r="D165" s="52"/>
      <c r="E165" s="10"/>
      <c r="H165" s="28"/>
    </row>
    <row r="166" spans="1:8" x14ac:dyDescent="0.35">
      <c r="A166" s="8"/>
      <c r="B166" s="8"/>
      <c r="D166" s="52"/>
      <c r="E166" s="10"/>
      <c r="H166" s="28"/>
    </row>
    <row r="167" spans="1:8" x14ac:dyDescent="0.35">
      <c r="A167" s="8"/>
      <c r="B167" s="8"/>
      <c r="D167" s="52"/>
      <c r="E167" s="10"/>
      <c r="H167" s="28"/>
    </row>
    <row r="168" spans="1:8" x14ac:dyDescent="0.35">
      <c r="A168" s="8"/>
      <c r="B168" s="8"/>
      <c r="D168" s="52"/>
      <c r="E168" s="10"/>
      <c r="H168" s="28"/>
    </row>
    <row r="169" spans="1:8" x14ac:dyDescent="0.35">
      <c r="A169" s="8"/>
      <c r="B169" s="8"/>
      <c r="D169" s="52"/>
      <c r="E169" s="10"/>
      <c r="H169" s="28"/>
    </row>
    <row r="170" spans="1:8" x14ac:dyDescent="0.35">
      <c r="A170" s="8"/>
      <c r="B170" s="8"/>
      <c r="D170" s="52"/>
      <c r="E170" s="10"/>
      <c r="H170" s="28"/>
    </row>
    <row r="171" spans="1:8" x14ac:dyDescent="0.35">
      <c r="A171" s="8"/>
      <c r="B171" s="8"/>
      <c r="D171" s="52"/>
      <c r="E171" s="10"/>
      <c r="H171" s="28"/>
    </row>
    <row r="172" spans="1:8" x14ac:dyDescent="0.35">
      <c r="A172" s="8"/>
      <c r="B172" s="8"/>
      <c r="D172" s="52"/>
      <c r="E172" s="10"/>
      <c r="H172" s="28"/>
    </row>
    <row r="173" spans="1:8" x14ac:dyDescent="0.35">
      <c r="A173" s="8"/>
      <c r="B173" s="8"/>
      <c r="D173" s="52"/>
      <c r="E173" s="10"/>
      <c r="H173" s="28"/>
    </row>
    <row r="174" spans="1:8" x14ac:dyDescent="0.35">
      <c r="A174" s="8"/>
      <c r="B174" s="8"/>
      <c r="D174" s="52"/>
      <c r="E174" s="10"/>
      <c r="H174" s="28"/>
    </row>
    <row r="175" spans="1:8" x14ac:dyDescent="0.35">
      <c r="A175" s="8"/>
      <c r="B175" s="8"/>
      <c r="D175" s="52"/>
      <c r="E175" s="10"/>
      <c r="H175" s="28"/>
    </row>
    <row r="176" spans="1:8" x14ac:dyDescent="0.35">
      <c r="A176" s="8"/>
      <c r="B176" s="8"/>
      <c r="D176" s="52"/>
      <c r="E176" s="10"/>
      <c r="H176" s="28"/>
    </row>
    <row r="177" spans="1:8" x14ac:dyDescent="0.35">
      <c r="A177" s="8"/>
      <c r="B177" s="8"/>
      <c r="D177" s="52"/>
      <c r="E177" s="10"/>
      <c r="H177" s="28"/>
    </row>
    <row r="178" spans="1:8" x14ac:dyDescent="0.35">
      <c r="A178" s="8"/>
      <c r="B178" s="8"/>
      <c r="D178" s="52"/>
      <c r="E178" s="10"/>
      <c r="H178" s="28"/>
    </row>
    <row r="179" spans="1:8" x14ac:dyDescent="0.35">
      <c r="A179" s="8"/>
      <c r="B179" s="8"/>
      <c r="D179" s="52"/>
      <c r="E179" s="10"/>
      <c r="H179" s="28"/>
    </row>
    <row r="180" spans="1:8" x14ac:dyDescent="0.35">
      <c r="A180" s="8"/>
      <c r="B180" s="8"/>
      <c r="D180" s="52"/>
      <c r="E180" s="10"/>
      <c r="H180" s="28"/>
    </row>
    <row r="181" spans="1:8" x14ac:dyDescent="0.35">
      <c r="A181" s="8"/>
      <c r="B181" s="8"/>
      <c r="D181" s="52"/>
      <c r="E181" s="10"/>
      <c r="H181" s="28"/>
    </row>
    <row r="182" spans="1:8" x14ac:dyDescent="0.35">
      <c r="A182" s="8"/>
      <c r="B182" s="8"/>
      <c r="D182" s="52"/>
      <c r="E182" s="10"/>
      <c r="H182" s="28"/>
    </row>
    <row r="183" spans="1:8" x14ac:dyDescent="0.35">
      <c r="A183" s="8"/>
      <c r="B183" s="8"/>
      <c r="D183" s="52"/>
      <c r="E183" s="10"/>
      <c r="H183" s="28"/>
    </row>
    <row r="184" spans="1:8" x14ac:dyDescent="0.35">
      <c r="A184" s="8"/>
      <c r="B184" s="8"/>
      <c r="D184" s="52"/>
      <c r="E184" s="10"/>
      <c r="H184" s="28"/>
    </row>
    <row r="185" spans="1:8" x14ac:dyDescent="0.35">
      <c r="A185" s="8"/>
      <c r="B185" s="8"/>
      <c r="D185" s="52"/>
      <c r="E185" s="10"/>
      <c r="H185" s="28"/>
    </row>
    <row r="186" spans="1:8" x14ac:dyDescent="0.35">
      <c r="A186" s="8"/>
      <c r="B186" s="8"/>
      <c r="D186" s="52"/>
      <c r="E186" s="10"/>
      <c r="H186" s="28"/>
    </row>
    <row r="187" spans="1:8" x14ac:dyDescent="0.35">
      <c r="A187" s="8"/>
      <c r="B187" s="8"/>
      <c r="D187" s="52"/>
      <c r="E187" s="10"/>
      <c r="H187" s="28"/>
    </row>
    <row r="188" spans="1:8" x14ac:dyDescent="0.35">
      <c r="A188" s="8"/>
      <c r="B188" s="8"/>
      <c r="D188" s="52"/>
      <c r="E188" s="10"/>
      <c r="H188" s="28"/>
    </row>
    <row r="189" spans="1:8" x14ac:dyDescent="0.35">
      <c r="A189" s="8"/>
      <c r="B189" s="8"/>
      <c r="D189" s="52"/>
      <c r="E189" s="10"/>
      <c r="H189" s="28"/>
    </row>
    <row r="190" spans="1:8" x14ac:dyDescent="0.35">
      <c r="A190" s="8"/>
      <c r="B190" s="8"/>
      <c r="D190" s="52"/>
      <c r="E190" s="10"/>
      <c r="H190" s="28"/>
    </row>
    <row r="191" spans="1:8" x14ac:dyDescent="0.35">
      <c r="A191" s="8"/>
      <c r="B191" s="8"/>
      <c r="D191" s="52"/>
      <c r="E191" s="10"/>
      <c r="H191" s="28"/>
    </row>
    <row r="192" spans="1:8" x14ac:dyDescent="0.35">
      <c r="A192" s="8"/>
      <c r="B192" s="8"/>
      <c r="D192" s="52"/>
      <c r="E192" s="10"/>
      <c r="H192" s="28"/>
    </row>
    <row r="193" spans="1:8" x14ac:dyDescent="0.35">
      <c r="A193" s="8"/>
      <c r="B193" s="8"/>
      <c r="D193" s="52"/>
      <c r="E193" s="10"/>
      <c r="H193" s="28"/>
    </row>
    <row r="194" spans="1:8" x14ac:dyDescent="0.35">
      <c r="A194" s="8"/>
      <c r="B194" s="8"/>
      <c r="D194" s="52"/>
      <c r="E194" s="10"/>
      <c r="H194" s="28"/>
    </row>
    <row r="195" spans="1:8" x14ac:dyDescent="0.35">
      <c r="A195" s="8"/>
      <c r="B195" s="8"/>
      <c r="D195" s="52"/>
      <c r="E195" s="10"/>
      <c r="H195" s="28"/>
    </row>
    <row r="196" spans="1:8" x14ac:dyDescent="0.35">
      <c r="A196" s="8"/>
      <c r="B196" s="8"/>
      <c r="D196" s="52"/>
      <c r="E196" s="10"/>
      <c r="H196" s="28"/>
    </row>
    <row r="197" spans="1:8" x14ac:dyDescent="0.35">
      <c r="A197" s="8"/>
      <c r="B197" s="8"/>
      <c r="D197" s="52"/>
      <c r="E197" s="10"/>
      <c r="H197" s="28"/>
    </row>
    <row r="198" spans="1:8" x14ac:dyDescent="0.35">
      <c r="A198" s="8"/>
      <c r="B198" s="8"/>
      <c r="D198" s="52"/>
      <c r="E198" s="10"/>
      <c r="H198" s="28"/>
    </row>
    <row r="199" spans="1:8" x14ac:dyDescent="0.35">
      <c r="A199" s="8"/>
      <c r="B199" s="8"/>
      <c r="D199" s="52"/>
      <c r="E199" s="10"/>
      <c r="H199" s="28"/>
    </row>
    <row r="200" spans="1:8" x14ac:dyDescent="0.35">
      <c r="A200" s="8"/>
      <c r="B200" s="8"/>
      <c r="D200" s="52"/>
      <c r="E200" s="10"/>
      <c r="H200" s="28"/>
    </row>
    <row r="201" spans="1:8" x14ac:dyDescent="0.35">
      <c r="A201" s="8"/>
      <c r="B201" s="8"/>
      <c r="D201" s="52"/>
      <c r="E201" s="10"/>
      <c r="H201" s="28"/>
    </row>
    <row r="202" spans="1:8" x14ac:dyDescent="0.35">
      <c r="A202" s="8"/>
      <c r="B202" s="8"/>
      <c r="D202" s="52"/>
      <c r="E202" s="10"/>
      <c r="H202" s="28"/>
    </row>
    <row r="203" spans="1:8" x14ac:dyDescent="0.35">
      <c r="A203" s="8"/>
      <c r="B203" s="8"/>
      <c r="D203" s="52"/>
      <c r="E203" s="10"/>
      <c r="H203" s="28"/>
    </row>
    <row r="204" spans="1:8" x14ac:dyDescent="0.35">
      <c r="A204" s="8"/>
      <c r="B204" s="8"/>
      <c r="D204" s="52"/>
      <c r="E204" s="10"/>
      <c r="H204" s="28"/>
    </row>
    <row r="205" spans="1:8" x14ac:dyDescent="0.35">
      <c r="A205" s="8"/>
      <c r="B205" s="8"/>
      <c r="D205" s="52"/>
      <c r="E205" s="10"/>
      <c r="H205" s="28"/>
    </row>
    <row r="206" spans="1:8" x14ac:dyDescent="0.35">
      <c r="A206" s="8"/>
      <c r="B206" s="8"/>
      <c r="D206" s="52"/>
      <c r="E206" s="10"/>
      <c r="H206" s="28"/>
    </row>
    <row r="207" spans="1:8" x14ac:dyDescent="0.35">
      <c r="A207" s="8"/>
      <c r="B207" s="8"/>
      <c r="D207" s="52"/>
      <c r="E207" s="10"/>
      <c r="H207" s="28"/>
    </row>
    <row r="208" spans="1:8" x14ac:dyDescent="0.35">
      <c r="A208" s="8"/>
      <c r="B208" s="8"/>
      <c r="D208" s="52"/>
      <c r="E208" s="10"/>
      <c r="H208" s="28"/>
    </row>
    <row r="209" spans="1:8" x14ac:dyDescent="0.35">
      <c r="A209" s="8"/>
      <c r="B209" s="8"/>
      <c r="D209" s="52"/>
      <c r="E209" s="10"/>
      <c r="H209" s="28"/>
    </row>
    <row r="210" spans="1:8" x14ac:dyDescent="0.35">
      <c r="A210" s="8"/>
      <c r="B210" s="8"/>
      <c r="D210" s="52"/>
      <c r="E210" s="10"/>
      <c r="H210" s="28"/>
    </row>
    <row r="211" spans="1:8" x14ac:dyDescent="0.35">
      <c r="A211" s="8"/>
      <c r="B211" s="8"/>
      <c r="D211" s="52"/>
      <c r="E211" s="10"/>
      <c r="H211" s="28"/>
    </row>
    <row r="212" spans="1:8" x14ac:dyDescent="0.35">
      <c r="A212" s="8"/>
      <c r="B212" s="8"/>
      <c r="D212" s="52"/>
      <c r="E212" s="10"/>
      <c r="H212" s="28"/>
    </row>
    <row r="213" spans="1:8" x14ac:dyDescent="0.35">
      <c r="A213" s="8"/>
      <c r="B213" s="8"/>
      <c r="D213" s="52"/>
      <c r="E213" s="10"/>
      <c r="H213" s="28"/>
    </row>
    <row r="214" spans="1:8" x14ac:dyDescent="0.35">
      <c r="A214" s="8"/>
      <c r="B214" s="8"/>
      <c r="D214" s="52"/>
      <c r="E214" s="10"/>
      <c r="H214" s="28"/>
    </row>
    <row r="215" spans="1:8" x14ac:dyDescent="0.35">
      <c r="A215" s="8"/>
      <c r="B215" s="8"/>
      <c r="D215" s="52"/>
      <c r="E215" s="10"/>
      <c r="H215" s="28"/>
    </row>
    <row r="216" spans="1:8" x14ac:dyDescent="0.35">
      <c r="A216" s="8"/>
      <c r="B216" s="8"/>
      <c r="D216" s="52"/>
      <c r="E216" s="10"/>
      <c r="H216" s="28"/>
    </row>
    <row r="217" spans="1:8" x14ac:dyDescent="0.35">
      <c r="A217" s="8"/>
      <c r="B217" s="8"/>
      <c r="D217" s="52"/>
      <c r="E217" s="10"/>
      <c r="H217" s="28"/>
    </row>
    <row r="218" spans="1:8" x14ac:dyDescent="0.35">
      <c r="A218" s="8"/>
      <c r="B218" s="8"/>
      <c r="D218" s="52"/>
      <c r="E218" s="10"/>
      <c r="H218" s="28"/>
    </row>
    <row r="219" spans="1:8" x14ac:dyDescent="0.35">
      <c r="A219" s="8"/>
      <c r="B219" s="8"/>
      <c r="D219" s="52"/>
      <c r="E219" s="10"/>
      <c r="H219" s="28"/>
    </row>
    <row r="220" spans="1:8" x14ac:dyDescent="0.35">
      <c r="A220" s="8"/>
      <c r="B220" s="8"/>
      <c r="D220" s="52"/>
      <c r="E220" s="10"/>
      <c r="H220" s="28"/>
    </row>
    <row r="221" spans="1:8" x14ac:dyDescent="0.35">
      <c r="A221" s="8"/>
      <c r="B221" s="8"/>
      <c r="D221" s="52"/>
      <c r="E221" s="10"/>
      <c r="H221" s="28"/>
    </row>
    <row r="222" spans="1:8" x14ac:dyDescent="0.35">
      <c r="A222" s="8"/>
      <c r="B222" s="8"/>
      <c r="D222" s="52"/>
      <c r="E222" s="10"/>
      <c r="H222" s="28"/>
    </row>
    <row r="223" spans="1:8" x14ac:dyDescent="0.35">
      <c r="A223" s="8"/>
      <c r="B223" s="8"/>
      <c r="D223" s="52"/>
      <c r="E223" s="10"/>
      <c r="H223" s="28"/>
    </row>
    <row r="224" spans="1:8" x14ac:dyDescent="0.35">
      <c r="A224" s="8"/>
      <c r="B224" s="8"/>
      <c r="D224" s="52"/>
      <c r="E224" s="10"/>
      <c r="H224" s="28"/>
    </row>
    <row r="225" spans="1:8" x14ac:dyDescent="0.35">
      <c r="A225" s="8"/>
      <c r="B225" s="8"/>
      <c r="D225" s="52"/>
      <c r="E225" s="10"/>
      <c r="H225" s="28"/>
    </row>
    <row r="226" spans="1:8" x14ac:dyDescent="0.35">
      <c r="A226" s="8"/>
      <c r="B226" s="8"/>
      <c r="D226" s="52"/>
      <c r="E226" s="10"/>
      <c r="H226" s="28"/>
    </row>
    <row r="227" spans="1:8" x14ac:dyDescent="0.35">
      <c r="A227" s="8"/>
      <c r="B227" s="8"/>
      <c r="D227" s="52"/>
      <c r="E227" s="10"/>
      <c r="H227" s="28"/>
    </row>
    <row r="228" spans="1:8" x14ac:dyDescent="0.35">
      <c r="A228" s="8"/>
      <c r="B228" s="8"/>
      <c r="D228" s="52"/>
      <c r="E228" s="10"/>
      <c r="H228" s="28"/>
    </row>
    <row r="229" spans="1:8" x14ac:dyDescent="0.35">
      <c r="A229" s="8"/>
      <c r="B229" s="8"/>
      <c r="D229" s="52"/>
      <c r="E229" s="10"/>
      <c r="H229" s="28"/>
    </row>
    <row r="230" spans="1:8" x14ac:dyDescent="0.35">
      <c r="A230" s="8"/>
      <c r="B230" s="8"/>
      <c r="D230" s="52"/>
      <c r="E230" s="10"/>
      <c r="H230" s="28"/>
    </row>
    <row r="231" spans="1:8" x14ac:dyDescent="0.35">
      <c r="A231" s="8"/>
      <c r="B231" s="8"/>
      <c r="D231" s="52"/>
      <c r="E231" s="10"/>
      <c r="H231" s="28"/>
    </row>
    <row r="232" spans="1:8" x14ac:dyDescent="0.35">
      <c r="A232" s="8"/>
      <c r="B232" s="8"/>
      <c r="D232" s="52"/>
      <c r="E232" s="10"/>
      <c r="H232" s="28"/>
    </row>
    <row r="233" spans="1:8" x14ac:dyDescent="0.35">
      <c r="A233" s="8"/>
      <c r="B233" s="8"/>
      <c r="D233" s="52"/>
      <c r="E233" s="10"/>
      <c r="H233" s="28"/>
    </row>
    <row r="234" spans="1:8" x14ac:dyDescent="0.35">
      <c r="A234" s="8"/>
      <c r="B234" s="8"/>
      <c r="D234" s="52"/>
      <c r="E234" s="10"/>
      <c r="H234" s="28"/>
    </row>
    <row r="235" spans="1:8" x14ac:dyDescent="0.35">
      <c r="A235" s="8"/>
      <c r="B235" s="8"/>
      <c r="D235" s="52"/>
      <c r="E235" s="10"/>
      <c r="H235" s="28"/>
    </row>
    <row r="236" spans="1:8" x14ac:dyDescent="0.35">
      <c r="A236" s="8"/>
      <c r="B236" s="8"/>
      <c r="D236" s="52"/>
      <c r="E236" s="10"/>
      <c r="H236" s="28"/>
    </row>
    <row r="237" spans="1:8" x14ac:dyDescent="0.35">
      <c r="A237" s="8"/>
      <c r="B237" s="8"/>
      <c r="D237" s="52"/>
      <c r="E237" s="10"/>
      <c r="H237" s="28"/>
    </row>
    <row r="238" spans="1:8" x14ac:dyDescent="0.35">
      <c r="A238" s="8"/>
      <c r="B238" s="8"/>
      <c r="D238" s="52"/>
      <c r="E238" s="10"/>
      <c r="H238" s="28"/>
    </row>
    <row r="239" spans="1:8" x14ac:dyDescent="0.35">
      <c r="A239" s="8"/>
      <c r="B239" s="8"/>
      <c r="D239" s="52"/>
      <c r="E239" s="10"/>
      <c r="H239" s="28"/>
    </row>
    <row r="240" spans="1:8" x14ac:dyDescent="0.35">
      <c r="A240" s="8"/>
      <c r="B240" s="8"/>
      <c r="D240" s="52"/>
      <c r="E240" s="10"/>
      <c r="H240" s="28"/>
    </row>
    <row r="241" spans="1:8" x14ac:dyDescent="0.35">
      <c r="A241" s="8"/>
      <c r="B241" s="8"/>
      <c r="D241" s="52"/>
      <c r="E241" s="10"/>
      <c r="H241" s="28"/>
    </row>
    <row r="242" spans="1:8" x14ac:dyDescent="0.35">
      <c r="A242" s="8"/>
      <c r="B242" s="8"/>
      <c r="D242" s="52"/>
      <c r="E242" s="10"/>
      <c r="H242" s="28"/>
    </row>
    <row r="243" spans="1:8" x14ac:dyDescent="0.35">
      <c r="A243" s="8"/>
      <c r="B243" s="8"/>
      <c r="D243" s="52"/>
      <c r="E243" s="10"/>
      <c r="H243" s="28"/>
    </row>
    <row r="244" spans="1:8" x14ac:dyDescent="0.35">
      <c r="A244" s="8"/>
      <c r="B244" s="8"/>
      <c r="D244" s="52"/>
      <c r="E244" s="10"/>
      <c r="H244" s="28"/>
    </row>
    <row r="245" spans="1:8" x14ac:dyDescent="0.35">
      <c r="A245" s="8"/>
      <c r="B245" s="8"/>
      <c r="D245" s="52"/>
      <c r="E245" s="10"/>
      <c r="H245" s="28"/>
    </row>
    <row r="246" spans="1:8" x14ac:dyDescent="0.35">
      <c r="A246" s="8"/>
      <c r="B246" s="8"/>
      <c r="D246" s="52"/>
      <c r="E246" s="10"/>
      <c r="H246" s="28"/>
    </row>
    <row r="247" spans="1:8" x14ac:dyDescent="0.35">
      <c r="A247" s="8"/>
      <c r="B247" s="8"/>
      <c r="D247" s="52"/>
      <c r="E247" s="10"/>
      <c r="H247" s="28"/>
    </row>
    <row r="248" spans="1:8" x14ac:dyDescent="0.35">
      <c r="A248" s="8"/>
      <c r="B248" s="8"/>
      <c r="D248" s="52"/>
      <c r="E248" s="10"/>
      <c r="H248" s="28"/>
    </row>
    <row r="249" spans="1:8" x14ac:dyDescent="0.35">
      <c r="A249" s="8"/>
      <c r="B249" s="8"/>
      <c r="D249" s="52"/>
      <c r="E249" s="10"/>
      <c r="H249" s="28"/>
    </row>
    <row r="250" spans="1:8" x14ac:dyDescent="0.35">
      <c r="A250" s="8"/>
      <c r="B250" s="8"/>
      <c r="D250" s="52"/>
      <c r="E250" s="10"/>
      <c r="H250" s="28"/>
    </row>
    <row r="251" spans="1:8" x14ac:dyDescent="0.35">
      <c r="A251" s="8"/>
      <c r="B251" s="8"/>
      <c r="D251" s="52"/>
      <c r="E251" s="10"/>
      <c r="H251" s="28"/>
    </row>
    <row r="252" spans="1:8" x14ac:dyDescent="0.35">
      <c r="A252" s="8"/>
      <c r="B252" s="8"/>
      <c r="D252" s="52"/>
      <c r="E252" s="10"/>
      <c r="H252" s="28"/>
    </row>
    <row r="253" spans="1:8" x14ac:dyDescent="0.35">
      <c r="A253" s="8"/>
      <c r="B253" s="8"/>
      <c r="D253" s="52"/>
      <c r="E253" s="10"/>
      <c r="H253" s="28"/>
    </row>
    <row r="254" spans="1:8" x14ac:dyDescent="0.35">
      <c r="A254" s="8"/>
      <c r="B254" s="8"/>
      <c r="D254" s="52"/>
      <c r="E254" s="10"/>
      <c r="H254" s="28"/>
    </row>
    <row r="255" spans="1:8" x14ac:dyDescent="0.35">
      <c r="A255" s="8"/>
      <c r="B255" s="8"/>
      <c r="D255" s="52"/>
      <c r="E255" s="10"/>
      <c r="H255" s="28"/>
    </row>
    <row r="256" spans="1:8" x14ac:dyDescent="0.35">
      <c r="A256" s="8"/>
      <c r="B256" s="8"/>
      <c r="D256" s="52"/>
      <c r="E256" s="10"/>
      <c r="H256" s="28"/>
    </row>
    <row r="257" spans="1:8" x14ac:dyDescent="0.35">
      <c r="A257" s="8"/>
      <c r="B257" s="8"/>
      <c r="D257" s="52"/>
      <c r="E257" s="10"/>
      <c r="H257" s="28"/>
    </row>
    <row r="258" spans="1:8" x14ac:dyDescent="0.35">
      <c r="A258" s="8"/>
      <c r="B258" s="8"/>
      <c r="D258" s="52"/>
      <c r="E258" s="10"/>
      <c r="H258" s="28"/>
    </row>
    <row r="259" spans="1:8" x14ac:dyDescent="0.35">
      <c r="A259" s="8"/>
      <c r="B259" s="8"/>
      <c r="D259" s="52"/>
      <c r="E259" s="10"/>
      <c r="H259" s="28"/>
    </row>
    <row r="260" spans="1:8" x14ac:dyDescent="0.35">
      <c r="A260" s="8"/>
      <c r="B260" s="8"/>
      <c r="D260" s="52"/>
      <c r="E260" s="10"/>
      <c r="H260" s="28"/>
    </row>
    <row r="261" spans="1:8" x14ac:dyDescent="0.35">
      <c r="A261" s="8"/>
      <c r="B261" s="8"/>
      <c r="D261" s="52"/>
      <c r="E261" s="10"/>
      <c r="H261" s="28"/>
    </row>
    <row r="262" spans="1:8" x14ac:dyDescent="0.35">
      <c r="A262" s="8"/>
      <c r="B262" s="8"/>
      <c r="D262" s="52"/>
      <c r="E262" s="10"/>
      <c r="H262" s="28"/>
    </row>
    <row r="263" spans="1:8" x14ac:dyDescent="0.35">
      <c r="A263" s="8"/>
      <c r="B263" s="8"/>
      <c r="D263" s="52"/>
      <c r="E263" s="10"/>
      <c r="H263" s="28"/>
    </row>
    <row r="264" spans="1:8" x14ac:dyDescent="0.35">
      <c r="A264" s="8"/>
      <c r="B264" s="8"/>
      <c r="D264" s="52"/>
      <c r="E264" s="10"/>
      <c r="H264" s="28"/>
    </row>
    <row r="265" spans="1:8" x14ac:dyDescent="0.35">
      <c r="A265" s="8"/>
      <c r="B265" s="8"/>
      <c r="D265" s="52"/>
      <c r="E265" s="10"/>
      <c r="H265" s="28"/>
    </row>
    <row r="266" spans="1:8" x14ac:dyDescent="0.35">
      <c r="A266" s="8"/>
      <c r="B266" s="8"/>
      <c r="D266" s="52"/>
      <c r="E266" s="10"/>
      <c r="H266" s="28"/>
    </row>
    <row r="267" spans="1:8" x14ac:dyDescent="0.35">
      <c r="A267" s="8"/>
      <c r="B267" s="8"/>
      <c r="D267" s="52"/>
      <c r="E267" s="10"/>
      <c r="H267" s="28"/>
    </row>
    <row r="268" spans="1:8" x14ac:dyDescent="0.35">
      <c r="A268" s="8"/>
      <c r="B268" s="8"/>
      <c r="D268" s="52"/>
      <c r="E268" s="10"/>
      <c r="H268" s="28"/>
    </row>
    <row r="269" spans="1:8" x14ac:dyDescent="0.35">
      <c r="A269" s="8"/>
      <c r="B269" s="8"/>
      <c r="D269" s="52"/>
      <c r="E269" s="10"/>
      <c r="H269" s="28"/>
    </row>
    <row r="270" spans="1:8" x14ac:dyDescent="0.35">
      <c r="A270" s="8"/>
      <c r="B270" s="8"/>
      <c r="D270" s="52"/>
      <c r="E270" s="10"/>
      <c r="H270" s="28"/>
    </row>
    <row r="271" spans="1:8" x14ac:dyDescent="0.35">
      <c r="A271" s="8"/>
      <c r="B271" s="8"/>
      <c r="D271" s="52"/>
      <c r="E271" s="10"/>
      <c r="H271" s="28"/>
    </row>
    <row r="272" spans="1:8" x14ac:dyDescent="0.35">
      <c r="A272" s="8"/>
      <c r="B272" s="8"/>
      <c r="D272" s="52"/>
      <c r="E272" s="10"/>
      <c r="H272" s="28"/>
    </row>
    <row r="273" spans="1:8" x14ac:dyDescent="0.35">
      <c r="A273" s="8"/>
      <c r="B273" s="8"/>
      <c r="D273" s="52"/>
      <c r="E273" s="10"/>
      <c r="H273" s="28"/>
    </row>
    <row r="274" spans="1:8" x14ac:dyDescent="0.35">
      <c r="A274" s="8"/>
      <c r="B274" s="8"/>
      <c r="D274" s="52"/>
      <c r="E274" s="10"/>
      <c r="H274" s="28"/>
    </row>
    <row r="275" spans="1:8" x14ac:dyDescent="0.35">
      <c r="A275" s="8"/>
      <c r="B275" s="8"/>
      <c r="D275" s="52"/>
      <c r="E275" s="10"/>
      <c r="H275" s="28"/>
    </row>
    <row r="276" spans="1:8" x14ac:dyDescent="0.35">
      <c r="A276" s="8"/>
      <c r="B276" s="8"/>
      <c r="D276" s="52"/>
      <c r="E276" s="10"/>
      <c r="H276" s="28"/>
    </row>
    <row r="277" spans="1:8" x14ac:dyDescent="0.35">
      <c r="A277" s="8"/>
      <c r="B277" s="8"/>
      <c r="D277" s="52"/>
      <c r="E277" s="10"/>
      <c r="H277" s="28"/>
    </row>
    <row r="278" spans="1:8" x14ac:dyDescent="0.35">
      <c r="A278" s="8"/>
      <c r="B278" s="8"/>
      <c r="D278" s="52"/>
      <c r="E278" s="10"/>
      <c r="H278" s="28"/>
    </row>
    <row r="279" spans="1:8" x14ac:dyDescent="0.35">
      <c r="A279" s="8"/>
      <c r="B279" s="8"/>
      <c r="D279" s="52"/>
      <c r="E279" s="10"/>
      <c r="H279" s="28"/>
    </row>
    <row r="280" spans="1:8" x14ac:dyDescent="0.35">
      <c r="A280" s="8"/>
      <c r="B280" s="8"/>
      <c r="D280" s="52"/>
      <c r="E280" s="10"/>
      <c r="H280" s="28"/>
    </row>
    <row r="281" spans="1:8" x14ac:dyDescent="0.35">
      <c r="A281" s="8"/>
      <c r="B281" s="8"/>
      <c r="D281" s="52"/>
      <c r="E281" s="10"/>
      <c r="H281" s="28"/>
    </row>
    <row r="282" spans="1:8" x14ac:dyDescent="0.35">
      <c r="A282" s="8"/>
      <c r="B282" s="8"/>
      <c r="D282" s="52"/>
      <c r="E282" s="10"/>
      <c r="H282" s="28"/>
    </row>
    <row r="283" spans="1:8" x14ac:dyDescent="0.35">
      <c r="A283" s="8"/>
      <c r="B283" s="8"/>
      <c r="D283" s="52"/>
      <c r="E283" s="10"/>
      <c r="H283" s="28"/>
    </row>
    <row r="284" spans="1:8" x14ac:dyDescent="0.35">
      <c r="A284" s="8"/>
      <c r="B284" s="8"/>
      <c r="D284" s="52"/>
      <c r="E284" s="10"/>
      <c r="H284" s="28"/>
    </row>
    <row r="285" spans="1:8" x14ac:dyDescent="0.35">
      <c r="A285" s="8"/>
      <c r="B285" s="8"/>
      <c r="D285" s="52"/>
      <c r="E285" s="10"/>
      <c r="H285" s="28"/>
    </row>
    <row r="286" spans="1:8" x14ac:dyDescent="0.35">
      <c r="A286" s="8"/>
      <c r="B286" s="8"/>
      <c r="D286" s="52"/>
      <c r="E286" s="10"/>
      <c r="H286" s="28"/>
    </row>
    <row r="287" spans="1:8" x14ac:dyDescent="0.35">
      <c r="A287" s="8"/>
      <c r="B287" s="8"/>
      <c r="D287" s="52"/>
      <c r="E287" s="10"/>
      <c r="H287" s="28"/>
    </row>
    <row r="288" spans="1:8" x14ac:dyDescent="0.35">
      <c r="A288" s="8"/>
      <c r="B288" s="8"/>
      <c r="D288" s="52"/>
      <c r="E288" s="10"/>
      <c r="H288" s="28"/>
    </row>
    <row r="289" spans="1:8" x14ac:dyDescent="0.35">
      <c r="A289" s="8"/>
      <c r="B289" s="8"/>
      <c r="D289" s="52"/>
      <c r="E289" s="10"/>
      <c r="H289" s="28"/>
    </row>
    <row r="290" spans="1:8" x14ac:dyDescent="0.35">
      <c r="A290" s="8"/>
      <c r="B290" s="8"/>
      <c r="D290" s="52"/>
      <c r="E290" s="10"/>
      <c r="H290" s="28"/>
    </row>
    <row r="291" spans="1:8" x14ac:dyDescent="0.35">
      <c r="A291" s="8"/>
      <c r="B291" s="8"/>
      <c r="D291" s="52"/>
      <c r="E291" s="10"/>
      <c r="H291" s="28"/>
    </row>
    <row r="292" spans="1:8" x14ac:dyDescent="0.35">
      <c r="A292" s="8"/>
      <c r="B292" s="8"/>
      <c r="D292" s="52"/>
      <c r="E292" s="10"/>
      <c r="H292" s="28"/>
    </row>
    <row r="293" spans="1:8" x14ac:dyDescent="0.35">
      <c r="A293" s="8"/>
      <c r="B293" s="8"/>
      <c r="D293" s="52"/>
      <c r="E293" s="10"/>
      <c r="H293" s="28"/>
    </row>
    <row r="294" spans="1:8" x14ac:dyDescent="0.35">
      <c r="A294" s="8"/>
      <c r="B294" s="8"/>
      <c r="D294" s="52"/>
      <c r="E294" s="10"/>
      <c r="H294" s="28"/>
    </row>
    <row r="295" spans="1:8" x14ac:dyDescent="0.35">
      <c r="A295" s="8"/>
      <c r="B295" s="8"/>
      <c r="D295" s="52"/>
      <c r="E295" s="10"/>
      <c r="H295" s="28"/>
    </row>
    <row r="296" spans="1:8" x14ac:dyDescent="0.35">
      <c r="A296" s="8"/>
      <c r="B296" s="8"/>
      <c r="D296" s="52"/>
      <c r="E296" s="10"/>
      <c r="H296" s="28"/>
    </row>
    <row r="297" spans="1:8" x14ac:dyDescent="0.35">
      <c r="A297" s="8"/>
      <c r="B297" s="8"/>
      <c r="D297" s="52"/>
      <c r="E297" s="10"/>
      <c r="H297" s="28"/>
    </row>
    <row r="298" spans="1:8" x14ac:dyDescent="0.35">
      <c r="A298" s="8"/>
      <c r="B298" s="8"/>
      <c r="D298" s="52"/>
      <c r="E298" s="10"/>
      <c r="H298" s="28"/>
    </row>
    <row r="299" spans="1:8" x14ac:dyDescent="0.35">
      <c r="A299" s="8"/>
      <c r="B299" s="8"/>
      <c r="D299" s="52"/>
      <c r="E299" s="10"/>
      <c r="H299" s="28"/>
    </row>
    <row r="300" spans="1:8" x14ac:dyDescent="0.35">
      <c r="A300" s="8"/>
      <c r="B300" s="8"/>
      <c r="D300" s="52"/>
      <c r="E300" s="10"/>
      <c r="H300" s="28"/>
    </row>
    <row r="301" spans="1:8" x14ac:dyDescent="0.35">
      <c r="A301" s="8"/>
      <c r="B301" s="8"/>
      <c r="D301" s="52"/>
      <c r="E301" s="10"/>
      <c r="H301" s="28"/>
    </row>
    <row r="302" spans="1:8" x14ac:dyDescent="0.35">
      <c r="A302" s="8"/>
      <c r="B302" s="8"/>
      <c r="D302" s="52"/>
      <c r="E302" s="10"/>
      <c r="H302" s="28"/>
    </row>
    <row r="303" spans="1:8" x14ac:dyDescent="0.35">
      <c r="A303" s="8"/>
      <c r="B303" s="8"/>
      <c r="D303" s="52"/>
      <c r="E303" s="10"/>
      <c r="H303" s="28"/>
    </row>
    <row r="304" spans="1:8" x14ac:dyDescent="0.35">
      <c r="A304" s="8"/>
      <c r="B304" s="8"/>
      <c r="D304" s="52"/>
      <c r="E304" s="10"/>
      <c r="H304" s="28"/>
    </row>
    <row r="305" spans="1:8" x14ac:dyDescent="0.35">
      <c r="A305" s="8"/>
      <c r="B305" s="8"/>
      <c r="D305" s="52"/>
      <c r="E305" s="10"/>
      <c r="H305" s="28"/>
    </row>
    <row r="306" spans="1:8" x14ac:dyDescent="0.35">
      <c r="A306" s="8"/>
      <c r="B306" s="8"/>
      <c r="D306" s="52"/>
      <c r="E306" s="10"/>
      <c r="H306" s="28"/>
    </row>
    <row r="307" spans="1:8" x14ac:dyDescent="0.35">
      <c r="A307" s="8"/>
      <c r="B307" s="8"/>
      <c r="D307" s="52"/>
      <c r="E307" s="10"/>
      <c r="H307" s="28"/>
    </row>
    <row r="308" spans="1:8" x14ac:dyDescent="0.35">
      <c r="A308" s="8"/>
      <c r="B308" s="8"/>
      <c r="D308" s="52"/>
      <c r="E308" s="10"/>
      <c r="H308" s="28"/>
    </row>
    <row r="309" spans="1:8" x14ac:dyDescent="0.35">
      <c r="A309" s="8"/>
      <c r="B309" s="8"/>
      <c r="D309" s="52"/>
      <c r="E309" s="10"/>
      <c r="H309" s="28"/>
    </row>
    <row r="310" spans="1:8" x14ac:dyDescent="0.35">
      <c r="A310" s="8"/>
      <c r="B310" s="8"/>
      <c r="D310" s="52"/>
      <c r="E310" s="10"/>
      <c r="H310" s="28"/>
    </row>
    <row r="311" spans="1:8" x14ac:dyDescent="0.35">
      <c r="A311" s="8"/>
      <c r="B311" s="8"/>
      <c r="D311" s="52"/>
      <c r="E311" s="10"/>
      <c r="H311" s="28"/>
    </row>
    <row r="312" spans="1:8" x14ac:dyDescent="0.35">
      <c r="A312" s="8"/>
      <c r="B312" s="8"/>
      <c r="D312" s="52"/>
      <c r="E312" s="10"/>
      <c r="H312" s="28"/>
    </row>
    <row r="313" spans="1:8" x14ac:dyDescent="0.35">
      <c r="A313" s="8"/>
      <c r="B313" s="8"/>
      <c r="D313" s="52"/>
      <c r="E313" s="10"/>
      <c r="H313" s="28"/>
    </row>
    <row r="314" spans="1:8" x14ac:dyDescent="0.35">
      <c r="A314" s="8"/>
      <c r="B314" s="8"/>
      <c r="D314" s="52"/>
      <c r="E314" s="10"/>
      <c r="H314" s="28"/>
    </row>
    <row r="315" spans="1:8" x14ac:dyDescent="0.35">
      <c r="A315" s="8"/>
      <c r="B315" s="8"/>
      <c r="D315" s="52"/>
      <c r="E315" s="10"/>
      <c r="H315" s="28"/>
    </row>
    <row r="316" spans="1:8" x14ac:dyDescent="0.35">
      <c r="A316" s="8"/>
      <c r="B316" s="8"/>
      <c r="D316" s="52"/>
      <c r="E316" s="10"/>
      <c r="H316" s="28"/>
    </row>
    <row r="317" spans="1:8" x14ac:dyDescent="0.35">
      <c r="A317" s="8"/>
      <c r="B317" s="8"/>
      <c r="D317" s="52"/>
      <c r="E317" s="10"/>
      <c r="H317" s="28"/>
    </row>
    <row r="318" spans="1:8" x14ac:dyDescent="0.35">
      <c r="A318" s="8"/>
      <c r="B318" s="8"/>
      <c r="D318" s="52"/>
      <c r="E318" s="10"/>
      <c r="H318" s="28"/>
    </row>
    <row r="319" spans="1:8" x14ac:dyDescent="0.35">
      <c r="A319" s="8"/>
      <c r="B319" s="8"/>
      <c r="D319" s="52"/>
      <c r="E319" s="10"/>
      <c r="H319" s="28"/>
    </row>
    <row r="320" spans="1:8" x14ac:dyDescent="0.35">
      <c r="A320" s="8"/>
      <c r="B320" s="8"/>
      <c r="D320" s="52"/>
      <c r="E320" s="10"/>
      <c r="H320" s="28"/>
    </row>
    <row r="321" spans="1:8" x14ac:dyDescent="0.35">
      <c r="A321" s="8"/>
      <c r="B321" s="8"/>
      <c r="D321" s="52"/>
      <c r="E321" s="10"/>
      <c r="H321" s="28"/>
    </row>
    <row r="322" spans="1:8" x14ac:dyDescent="0.35">
      <c r="A322" s="8"/>
      <c r="B322" s="8"/>
      <c r="D322" s="52"/>
      <c r="E322" s="10"/>
      <c r="H322" s="28"/>
    </row>
    <row r="323" spans="1:8" x14ac:dyDescent="0.35">
      <c r="A323" s="8"/>
      <c r="B323" s="8"/>
      <c r="D323" s="52"/>
      <c r="E323" s="10"/>
      <c r="H323" s="28"/>
    </row>
    <row r="324" spans="1:8" x14ac:dyDescent="0.35">
      <c r="A324" s="8"/>
      <c r="B324" s="8"/>
      <c r="D324" s="52"/>
      <c r="E324" s="10"/>
      <c r="H324" s="28"/>
    </row>
    <row r="325" spans="1:8" x14ac:dyDescent="0.35">
      <c r="A325" s="8"/>
      <c r="B325" s="8"/>
      <c r="D325" s="52"/>
      <c r="E325" s="10"/>
      <c r="H325" s="28"/>
    </row>
    <row r="326" spans="1:8" x14ac:dyDescent="0.35">
      <c r="A326" s="8"/>
      <c r="B326" s="8"/>
      <c r="D326" s="52"/>
      <c r="E326" s="10"/>
      <c r="H326" s="28"/>
    </row>
    <row r="327" spans="1:8" x14ac:dyDescent="0.35">
      <c r="A327" s="8"/>
      <c r="B327" s="8"/>
      <c r="D327" s="52"/>
      <c r="E327" s="10"/>
      <c r="H327" s="28"/>
    </row>
    <row r="328" spans="1:8" x14ac:dyDescent="0.35">
      <c r="A328" s="8"/>
      <c r="B328" s="8"/>
      <c r="D328" s="52"/>
      <c r="E328" s="10"/>
      <c r="H328" s="28"/>
    </row>
    <row r="329" spans="1:8" x14ac:dyDescent="0.35">
      <c r="A329" s="8"/>
      <c r="B329" s="8"/>
      <c r="D329" s="52"/>
      <c r="E329" s="10"/>
      <c r="H329" s="28"/>
    </row>
    <row r="330" spans="1:8" x14ac:dyDescent="0.35">
      <c r="A330" s="8"/>
      <c r="B330" s="8"/>
      <c r="D330" s="52"/>
      <c r="E330" s="10"/>
      <c r="H330" s="28"/>
    </row>
    <row r="331" spans="1:8" x14ac:dyDescent="0.35">
      <c r="A331" s="8"/>
      <c r="B331" s="8"/>
      <c r="D331" s="52"/>
      <c r="E331" s="10"/>
      <c r="H331" s="28"/>
    </row>
    <row r="332" spans="1:8" x14ac:dyDescent="0.35">
      <c r="A332" s="8"/>
      <c r="B332" s="8"/>
      <c r="D332" s="52"/>
      <c r="E332" s="10"/>
      <c r="H332" s="28"/>
    </row>
    <row r="333" spans="1:8" x14ac:dyDescent="0.35">
      <c r="A333" s="8"/>
      <c r="B333" s="8"/>
      <c r="D333" s="52"/>
      <c r="E333" s="10"/>
      <c r="H333" s="28"/>
    </row>
    <row r="334" spans="1:8" x14ac:dyDescent="0.35">
      <c r="A334" s="8"/>
      <c r="B334" s="8"/>
      <c r="D334" s="52"/>
      <c r="E334" s="10"/>
      <c r="H334" s="28"/>
    </row>
    <row r="335" spans="1:8" x14ac:dyDescent="0.35">
      <c r="A335" s="8"/>
      <c r="B335" s="8"/>
      <c r="D335" s="52"/>
      <c r="E335" s="10"/>
      <c r="H335" s="28"/>
    </row>
    <row r="336" spans="1:8" x14ac:dyDescent="0.35">
      <c r="A336" s="8"/>
      <c r="B336" s="8"/>
      <c r="D336" s="52"/>
      <c r="E336" s="10"/>
      <c r="H336" s="28"/>
    </row>
    <row r="337" spans="1:8" x14ac:dyDescent="0.35">
      <c r="A337" s="8"/>
      <c r="B337" s="8"/>
      <c r="D337" s="52"/>
      <c r="E337" s="10"/>
      <c r="H337" s="28"/>
    </row>
    <row r="338" spans="1:8" x14ac:dyDescent="0.35">
      <c r="A338" s="8"/>
      <c r="B338" s="8"/>
      <c r="D338" s="52"/>
      <c r="E338" s="10"/>
      <c r="H338" s="28"/>
    </row>
    <row r="339" spans="1:8" x14ac:dyDescent="0.35">
      <c r="A339" s="8"/>
      <c r="B339" s="8"/>
      <c r="D339" s="52"/>
      <c r="E339" s="10"/>
      <c r="H339" s="28"/>
    </row>
    <row r="340" spans="1:8" x14ac:dyDescent="0.35">
      <c r="A340" s="8"/>
      <c r="B340" s="8"/>
      <c r="D340" s="52"/>
      <c r="E340" s="10"/>
      <c r="H340" s="28"/>
    </row>
    <row r="341" spans="1:8" x14ac:dyDescent="0.35">
      <c r="A341" s="8"/>
      <c r="B341" s="8"/>
      <c r="D341" s="52"/>
      <c r="E341" s="10"/>
      <c r="H341" s="28"/>
    </row>
    <row r="342" spans="1:8" x14ac:dyDescent="0.35">
      <c r="A342" s="8"/>
      <c r="B342" s="8"/>
      <c r="D342" s="52"/>
      <c r="E342" s="10"/>
      <c r="H342" s="28"/>
    </row>
    <row r="343" spans="1:8" x14ac:dyDescent="0.35">
      <c r="A343" s="8"/>
      <c r="B343" s="8"/>
      <c r="D343" s="52"/>
      <c r="E343" s="10"/>
      <c r="H343" s="28"/>
    </row>
    <row r="344" spans="1:8" x14ac:dyDescent="0.35">
      <c r="A344" s="8"/>
      <c r="B344" s="8"/>
      <c r="D344" s="52"/>
      <c r="E344" s="10"/>
      <c r="H344" s="28"/>
    </row>
    <row r="345" spans="1:8" x14ac:dyDescent="0.35">
      <c r="A345" s="8"/>
      <c r="B345" s="8"/>
      <c r="D345" s="52"/>
      <c r="E345" s="10"/>
      <c r="H345" s="28"/>
    </row>
    <row r="346" spans="1:8" x14ac:dyDescent="0.35">
      <c r="A346" s="8"/>
      <c r="B346" s="8"/>
      <c r="D346" s="52"/>
      <c r="E346" s="10"/>
      <c r="H346" s="28"/>
    </row>
    <row r="347" spans="1:8" x14ac:dyDescent="0.35">
      <c r="A347" s="8"/>
      <c r="B347" s="8"/>
      <c r="D347" s="52"/>
      <c r="E347" s="10"/>
      <c r="H347" s="28"/>
    </row>
    <row r="348" spans="1:8" x14ac:dyDescent="0.35">
      <c r="A348" s="8"/>
      <c r="B348" s="8"/>
      <c r="D348" s="52"/>
      <c r="E348" s="10"/>
      <c r="H348" s="28"/>
    </row>
    <row r="349" spans="1:8" x14ac:dyDescent="0.35">
      <c r="A349" s="8"/>
      <c r="B349" s="8"/>
      <c r="D349" s="52"/>
      <c r="E349" s="10"/>
      <c r="H349" s="28"/>
    </row>
    <row r="350" spans="1:8" x14ac:dyDescent="0.35">
      <c r="A350" s="8"/>
      <c r="B350" s="8"/>
      <c r="D350" s="52"/>
      <c r="E350" s="10"/>
      <c r="H350" s="28"/>
    </row>
    <row r="351" spans="1:8" x14ac:dyDescent="0.35">
      <c r="A351" s="8"/>
      <c r="B351" s="8"/>
      <c r="D351" s="52"/>
      <c r="E351" s="10"/>
      <c r="H351" s="28"/>
    </row>
    <row r="352" spans="1:8" x14ac:dyDescent="0.35">
      <c r="A352" s="8"/>
      <c r="B352" s="8"/>
      <c r="D352" s="52"/>
      <c r="E352" s="10"/>
      <c r="H352" s="28"/>
    </row>
    <row r="353" spans="1:8" x14ac:dyDescent="0.35">
      <c r="A353" s="8"/>
      <c r="B353" s="8"/>
      <c r="D353" s="52"/>
      <c r="E353" s="10"/>
      <c r="H353" s="28"/>
    </row>
    <row r="354" spans="1:8" x14ac:dyDescent="0.35">
      <c r="A354" s="8"/>
      <c r="B354" s="8"/>
      <c r="D354" s="52"/>
      <c r="E354" s="10"/>
      <c r="H354" s="28"/>
    </row>
    <row r="355" spans="1:8" x14ac:dyDescent="0.35">
      <c r="A355" s="8"/>
      <c r="B355" s="8"/>
      <c r="D355" s="52"/>
      <c r="E355" s="10"/>
      <c r="H355" s="28"/>
    </row>
    <row r="356" spans="1:8" x14ac:dyDescent="0.35">
      <c r="A356" s="8"/>
      <c r="B356" s="8"/>
      <c r="D356" s="52"/>
      <c r="E356" s="10"/>
      <c r="H356" s="28"/>
    </row>
  </sheetData>
  <mergeCells count="10">
    <mergeCell ref="O2:O7"/>
    <mergeCell ref="P2:P7"/>
    <mergeCell ref="Q2:Q7"/>
    <mergeCell ref="AG7:AI7"/>
    <mergeCell ref="B2:B7"/>
    <mergeCell ref="C2:C7"/>
    <mergeCell ref="H2:H3"/>
    <mergeCell ref="I2:I4"/>
    <mergeCell ref="M2:M7"/>
    <mergeCell ref="N2:N7"/>
  </mergeCells>
  <conditionalFormatting sqref="AB69:AE81 AB111:AD146 AB54:AE62 AB153:AD170 AA172:AD356 AI172:AI356 AB82:AD104 AE82:AE356 AB12:AE25">
    <cfRule type="cellIs" dxfId="3281" priority="2031" operator="equal">
      <formula>TRUE</formula>
    </cfRule>
    <cfRule type="cellIs" dxfId="3280" priority="2032" operator="equal">
      <formula>FALSE</formula>
    </cfRule>
  </conditionalFormatting>
  <conditionalFormatting sqref="U12:W12 Y12:AA12 AF12:AH12">
    <cfRule type="cellIs" dxfId="3279" priority="2025" operator="equal">
      <formula>TRUE</formula>
    </cfRule>
    <cfRule type="cellIs" dxfId="3278" priority="2026" operator="equal">
      <formula>FALSE</formula>
    </cfRule>
  </conditionalFormatting>
  <conditionalFormatting sqref="X12">
    <cfRule type="cellIs" dxfId="3277" priority="2023" operator="equal">
      <formula>TRUE</formula>
    </cfRule>
    <cfRule type="cellIs" dxfId="3276" priority="2024" operator="equal">
      <formula>FALSE</formula>
    </cfRule>
  </conditionalFormatting>
  <conditionalFormatting sqref="AI12">
    <cfRule type="cellIs" dxfId="3275" priority="2021" operator="equal">
      <formula>TRUE</formula>
    </cfRule>
    <cfRule type="cellIs" dxfId="3274" priority="2022" operator="equal">
      <formula>FALSE</formula>
    </cfRule>
  </conditionalFormatting>
  <conditionalFormatting sqref="X318">
    <cfRule type="cellIs" dxfId="3273" priority="421" operator="equal">
      <formula>TRUE</formula>
    </cfRule>
    <cfRule type="cellIs" dxfId="3272" priority="422" operator="equal">
      <formula>FALSE</formula>
    </cfRule>
  </conditionalFormatting>
  <conditionalFormatting sqref="U319:W319 Y319:Z319 AF319:AH319">
    <cfRule type="cellIs" dxfId="3271" priority="419" operator="equal">
      <formula>TRUE</formula>
    </cfRule>
    <cfRule type="cellIs" dxfId="3270" priority="420" operator="equal">
      <formula>FALSE</formula>
    </cfRule>
  </conditionalFormatting>
  <conditionalFormatting sqref="X319">
    <cfRule type="cellIs" dxfId="3269" priority="417" operator="equal">
      <formula>TRUE</formula>
    </cfRule>
    <cfRule type="cellIs" dxfId="3268" priority="418" operator="equal">
      <formula>FALSE</formula>
    </cfRule>
  </conditionalFormatting>
  <conditionalFormatting sqref="U320:W320 Y320:Z320 AF320:AH320">
    <cfRule type="cellIs" dxfId="3267" priority="415" operator="equal">
      <formula>TRUE</formula>
    </cfRule>
    <cfRule type="cellIs" dxfId="3266" priority="416" operator="equal">
      <formula>FALSE</formula>
    </cfRule>
  </conditionalFormatting>
  <conditionalFormatting sqref="X320">
    <cfRule type="cellIs" dxfId="3265" priority="413" operator="equal">
      <formula>TRUE</formula>
    </cfRule>
    <cfRule type="cellIs" dxfId="3264" priority="414" operator="equal">
      <formula>FALSE</formula>
    </cfRule>
  </conditionalFormatting>
  <conditionalFormatting sqref="U321:W321 Y321:Z321 AF321:AH321">
    <cfRule type="cellIs" dxfId="3263" priority="411" operator="equal">
      <formula>TRUE</formula>
    </cfRule>
    <cfRule type="cellIs" dxfId="3262" priority="412" operator="equal">
      <formula>FALSE</formula>
    </cfRule>
  </conditionalFormatting>
  <conditionalFormatting sqref="U13:W13 Y13:AA13 AF13:AH13">
    <cfRule type="cellIs" dxfId="3261" priority="2001" operator="equal">
      <formula>TRUE</formula>
    </cfRule>
    <cfRule type="cellIs" dxfId="3260" priority="2002" operator="equal">
      <formula>FALSE</formula>
    </cfRule>
  </conditionalFormatting>
  <conditionalFormatting sqref="X13">
    <cfRule type="cellIs" dxfId="3259" priority="1999" operator="equal">
      <formula>TRUE</formula>
    </cfRule>
    <cfRule type="cellIs" dxfId="3258" priority="2000" operator="equal">
      <formula>FALSE</formula>
    </cfRule>
  </conditionalFormatting>
  <conditionalFormatting sqref="AI13">
    <cfRule type="cellIs" dxfId="3257" priority="1997" operator="equal">
      <formula>TRUE</formula>
    </cfRule>
    <cfRule type="cellIs" dxfId="3256" priority="1998" operator="equal">
      <formula>FALSE</formula>
    </cfRule>
  </conditionalFormatting>
  <conditionalFormatting sqref="X324">
    <cfRule type="cellIs" dxfId="3255" priority="397" operator="equal">
      <formula>TRUE</formula>
    </cfRule>
    <cfRule type="cellIs" dxfId="3254" priority="398" operator="equal">
      <formula>FALSE</formula>
    </cfRule>
  </conditionalFormatting>
  <conditionalFormatting sqref="U325:W325 Y325:Z325 AF325:AH325">
    <cfRule type="cellIs" dxfId="3253" priority="395" operator="equal">
      <formula>TRUE</formula>
    </cfRule>
    <cfRule type="cellIs" dxfId="3252" priority="396" operator="equal">
      <formula>FALSE</formula>
    </cfRule>
  </conditionalFormatting>
  <conditionalFormatting sqref="X325">
    <cfRule type="cellIs" dxfId="3251" priority="393" operator="equal">
      <formula>TRUE</formula>
    </cfRule>
    <cfRule type="cellIs" dxfId="3250" priority="394" operator="equal">
      <formula>FALSE</formula>
    </cfRule>
  </conditionalFormatting>
  <conditionalFormatting sqref="U326:W326 Y326:Z326 AF326:AH326">
    <cfRule type="cellIs" dxfId="3249" priority="391" operator="equal">
      <formula>TRUE</formula>
    </cfRule>
    <cfRule type="cellIs" dxfId="3248" priority="392" operator="equal">
      <formula>FALSE</formula>
    </cfRule>
  </conditionalFormatting>
  <conditionalFormatting sqref="X290">
    <cfRule type="cellIs" dxfId="3247" priority="509" operator="equal">
      <formula>TRUE</formula>
    </cfRule>
    <cfRule type="cellIs" dxfId="3246" priority="510" operator="equal">
      <formula>FALSE</formula>
    </cfRule>
  </conditionalFormatting>
  <conditionalFormatting sqref="U327:W327 Y327:Z327 AF327:AH327">
    <cfRule type="cellIs" dxfId="3245" priority="387" operator="equal">
      <formula>TRUE</formula>
    </cfRule>
    <cfRule type="cellIs" dxfId="3244" priority="388" operator="equal">
      <formula>FALSE</formula>
    </cfRule>
  </conditionalFormatting>
  <conditionalFormatting sqref="X327">
    <cfRule type="cellIs" dxfId="3243" priority="385" operator="equal">
      <formula>TRUE</formula>
    </cfRule>
    <cfRule type="cellIs" dxfId="3242" priority="386" operator="equal">
      <formula>FALSE</formula>
    </cfRule>
  </conditionalFormatting>
  <conditionalFormatting sqref="U314:W314 Y314:Z314 AF314:AH314">
    <cfRule type="cellIs" dxfId="3241" priority="439" operator="equal">
      <formula>TRUE</formula>
    </cfRule>
    <cfRule type="cellIs" dxfId="3240" priority="440" operator="equal">
      <formula>FALSE</formula>
    </cfRule>
  </conditionalFormatting>
  <conditionalFormatting sqref="X314">
    <cfRule type="cellIs" dxfId="3239" priority="437" operator="equal">
      <formula>TRUE</formula>
    </cfRule>
    <cfRule type="cellIs" dxfId="3238" priority="438" operator="equal">
      <formula>FALSE</formula>
    </cfRule>
  </conditionalFormatting>
  <conditionalFormatting sqref="U315:W315 Y315:Z315 AF315:AH315">
    <cfRule type="cellIs" dxfId="3237" priority="435" operator="equal">
      <formula>TRUE</formula>
    </cfRule>
    <cfRule type="cellIs" dxfId="3236" priority="436" operator="equal">
      <formula>FALSE</formula>
    </cfRule>
  </conditionalFormatting>
  <conditionalFormatting sqref="X315">
    <cfRule type="cellIs" dxfId="3235" priority="433" operator="equal">
      <formula>TRUE</formula>
    </cfRule>
    <cfRule type="cellIs" dxfId="3234" priority="434" operator="equal">
      <formula>FALSE</formula>
    </cfRule>
  </conditionalFormatting>
  <conditionalFormatting sqref="U310:W310 Y310:Z310 AF310:AH310">
    <cfRule type="cellIs" dxfId="3233" priority="455" operator="equal">
      <formula>TRUE</formula>
    </cfRule>
    <cfRule type="cellIs" dxfId="3232" priority="456" operator="equal">
      <formula>FALSE</formula>
    </cfRule>
  </conditionalFormatting>
  <conditionalFormatting sqref="X310">
    <cfRule type="cellIs" dxfId="3231" priority="453" operator="equal">
      <formula>TRUE</formula>
    </cfRule>
    <cfRule type="cellIs" dxfId="3230" priority="454" operator="equal">
      <formula>FALSE</formula>
    </cfRule>
  </conditionalFormatting>
  <conditionalFormatting sqref="U311:W311 Y311:Z311 AF311:AH311">
    <cfRule type="cellIs" dxfId="3229" priority="451" operator="equal">
      <formula>TRUE</formula>
    </cfRule>
    <cfRule type="cellIs" dxfId="3228" priority="452" operator="equal">
      <formula>FALSE</formula>
    </cfRule>
  </conditionalFormatting>
  <conditionalFormatting sqref="X311">
    <cfRule type="cellIs" dxfId="3227" priority="449" operator="equal">
      <formula>TRUE</formula>
    </cfRule>
    <cfRule type="cellIs" dxfId="3226" priority="450" operator="equal">
      <formula>FALSE</formula>
    </cfRule>
  </conditionalFormatting>
  <conditionalFormatting sqref="X312">
    <cfRule type="cellIs" dxfId="3225" priority="445" operator="equal">
      <formula>TRUE</formula>
    </cfRule>
    <cfRule type="cellIs" dxfId="3224" priority="446" operator="equal">
      <formula>FALSE</formula>
    </cfRule>
  </conditionalFormatting>
  <conditionalFormatting sqref="U313:W313 Y313:Z313 AF313:AH313">
    <cfRule type="cellIs" dxfId="3223" priority="443" operator="equal">
      <formula>TRUE</formula>
    </cfRule>
    <cfRule type="cellIs" dxfId="3222" priority="444" operator="equal">
      <formula>FALSE</formula>
    </cfRule>
  </conditionalFormatting>
  <conditionalFormatting sqref="U332:W332 Y332:Z332 AF332:AH332">
    <cfRule type="cellIs" dxfId="3221" priority="367" operator="equal">
      <formula>TRUE</formula>
    </cfRule>
    <cfRule type="cellIs" dxfId="3220" priority="368" operator="equal">
      <formula>FALSE</formula>
    </cfRule>
  </conditionalFormatting>
  <conditionalFormatting sqref="X326">
    <cfRule type="cellIs" dxfId="3219" priority="389" operator="equal">
      <formula>TRUE</formula>
    </cfRule>
    <cfRule type="cellIs" dxfId="3218" priority="390" operator="equal">
      <formula>FALSE</formula>
    </cfRule>
  </conditionalFormatting>
  <conditionalFormatting sqref="U339:W339 Y339:Z339 AF339:AH339">
    <cfRule type="cellIs" dxfId="3217" priority="363" operator="equal">
      <formula>TRUE</formula>
    </cfRule>
    <cfRule type="cellIs" dxfId="3216" priority="364" operator="equal">
      <formula>FALSE</formula>
    </cfRule>
  </conditionalFormatting>
  <conditionalFormatting sqref="X321">
    <cfRule type="cellIs" dxfId="3215" priority="409" operator="equal">
      <formula>TRUE</formula>
    </cfRule>
    <cfRule type="cellIs" dxfId="3214" priority="410" operator="equal">
      <formula>FALSE</formula>
    </cfRule>
  </conditionalFormatting>
  <conditionalFormatting sqref="X316">
    <cfRule type="cellIs" dxfId="3213" priority="429" operator="equal">
      <formula>TRUE</formula>
    </cfRule>
    <cfRule type="cellIs" dxfId="3212" priority="430" operator="equal">
      <formula>FALSE</formula>
    </cfRule>
  </conditionalFormatting>
  <conditionalFormatting sqref="U317:W317 Y317:Z317 AF317:AH317">
    <cfRule type="cellIs" dxfId="3211" priority="427" operator="equal">
      <formula>TRUE</formula>
    </cfRule>
    <cfRule type="cellIs" dxfId="3210" priority="428" operator="equal">
      <formula>FALSE</formula>
    </cfRule>
  </conditionalFormatting>
  <conditionalFormatting sqref="U312:W312 Y312:Z312 AF312:AH312">
    <cfRule type="cellIs" dxfId="3209" priority="447" operator="equal">
      <formula>TRUE</formula>
    </cfRule>
    <cfRule type="cellIs" dxfId="3208" priority="448" operator="equal">
      <formula>FALSE</formula>
    </cfRule>
  </conditionalFormatting>
  <conditionalFormatting sqref="X330">
    <cfRule type="cellIs" dxfId="3207" priority="373" operator="equal">
      <formula>TRUE</formula>
    </cfRule>
    <cfRule type="cellIs" dxfId="3206" priority="374" operator="equal">
      <formula>FALSE</formula>
    </cfRule>
  </conditionalFormatting>
  <conditionalFormatting sqref="X17">
    <cfRule type="cellIs" dxfId="3205" priority="1963" operator="equal">
      <formula>TRUE</formula>
    </cfRule>
    <cfRule type="cellIs" dxfId="3204" priority="1964" operator="equal">
      <formula>FALSE</formula>
    </cfRule>
  </conditionalFormatting>
  <conditionalFormatting sqref="AI17">
    <cfRule type="cellIs" dxfId="3203" priority="1961" operator="equal">
      <formula>TRUE</formula>
    </cfRule>
    <cfRule type="cellIs" dxfId="3202" priority="1962" operator="equal">
      <formula>FALSE</formula>
    </cfRule>
  </conditionalFormatting>
  <conditionalFormatting sqref="U18:W18 Y18:AA18 AF18:AH18">
    <cfRule type="cellIs" dxfId="3201" priority="1953" operator="equal">
      <formula>TRUE</formula>
    </cfRule>
    <cfRule type="cellIs" dxfId="3200" priority="1954" operator="equal">
      <formula>FALSE</formula>
    </cfRule>
  </conditionalFormatting>
  <conditionalFormatting sqref="X18">
    <cfRule type="cellIs" dxfId="3199" priority="1951" operator="equal">
      <formula>TRUE</formula>
    </cfRule>
    <cfRule type="cellIs" dxfId="3198" priority="1952" operator="equal">
      <formula>FALSE</formula>
    </cfRule>
  </conditionalFormatting>
  <conditionalFormatting sqref="U17:W17 Y17:AA17 AF17:AH17">
    <cfRule type="cellIs" dxfId="3197" priority="1965" operator="equal">
      <formula>TRUE</formula>
    </cfRule>
    <cfRule type="cellIs" dxfId="3196" priority="1966" operator="equal">
      <formula>FALSE</formula>
    </cfRule>
  </conditionalFormatting>
  <conditionalFormatting sqref="X344">
    <cfRule type="cellIs" dxfId="3195" priority="341" operator="equal">
      <formula>TRUE</formula>
    </cfRule>
    <cfRule type="cellIs" dxfId="3194" priority="342" operator="equal">
      <formula>FALSE</formula>
    </cfRule>
  </conditionalFormatting>
  <conditionalFormatting sqref="U345:W345 Y345:Z345 AF345:AH345">
    <cfRule type="cellIs" dxfId="3193" priority="339" operator="equal">
      <formula>TRUE</formula>
    </cfRule>
    <cfRule type="cellIs" dxfId="3192" priority="340" operator="equal">
      <formula>FALSE</formula>
    </cfRule>
  </conditionalFormatting>
  <conditionalFormatting sqref="X346">
    <cfRule type="cellIs" dxfId="3191" priority="333" operator="equal">
      <formula>TRUE</formula>
    </cfRule>
    <cfRule type="cellIs" dxfId="3190" priority="334" operator="equal">
      <formula>FALSE</formula>
    </cfRule>
  </conditionalFormatting>
  <conditionalFormatting sqref="AI18">
    <cfRule type="cellIs" dxfId="3189" priority="1949" operator="equal">
      <formula>TRUE</formula>
    </cfRule>
    <cfRule type="cellIs" dxfId="3188" priority="1950" operator="equal">
      <formula>FALSE</formula>
    </cfRule>
  </conditionalFormatting>
  <conditionalFormatting sqref="U347:W347 Y347:Z347 AF347:AH347">
    <cfRule type="cellIs" dxfId="3187" priority="331" operator="equal">
      <formula>TRUE</formula>
    </cfRule>
    <cfRule type="cellIs" dxfId="3186" priority="332" operator="equal">
      <formula>FALSE</formula>
    </cfRule>
  </conditionalFormatting>
  <conditionalFormatting sqref="AI14">
    <cfRule type="cellIs" dxfId="3185" priority="1079" operator="equal">
      <formula>TRUE</formula>
    </cfRule>
    <cfRule type="cellIs" dxfId="3184" priority="1080" operator="equal">
      <formula>FALSE</formula>
    </cfRule>
  </conditionalFormatting>
  <conditionalFormatting sqref="X348">
    <cfRule type="cellIs" dxfId="3183" priority="325" operator="equal">
      <formula>TRUE</formula>
    </cfRule>
    <cfRule type="cellIs" dxfId="3182" priority="326" operator="equal">
      <formula>FALSE</formula>
    </cfRule>
  </conditionalFormatting>
  <conditionalFormatting sqref="U349:W349 Y349:Z349 AF349:AH349">
    <cfRule type="cellIs" dxfId="3181" priority="323" operator="equal">
      <formula>TRUE</formula>
    </cfRule>
    <cfRule type="cellIs" dxfId="3180" priority="324" operator="equal">
      <formula>FALSE</formula>
    </cfRule>
  </conditionalFormatting>
  <conditionalFormatting sqref="X19">
    <cfRule type="cellIs" dxfId="3179" priority="1927" operator="equal">
      <formula>TRUE</formula>
    </cfRule>
    <cfRule type="cellIs" dxfId="3178" priority="1928" operator="equal">
      <formula>FALSE</formula>
    </cfRule>
  </conditionalFormatting>
  <conditionalFormatting sqref="AI19">
    <cfRule type="cellIs" dxfId="3177" priority="1925" operator="equal">
      <formula>TRUE</formula>
    </cfRule>
    <cfRule type="cellIs" dxfId="3176" priority="1926" operator="equal">
      <formula>FALSE</formula>
    </cfRule>
  </conditionalFormatting>
  <conditionalFormatting sqref="U346:W346 Y346:Z346 AF346:AH346">
    <cfRule type="cellIs" dxfId="3175" priority="335" operator="equal">
      <formula>TRUE</formula>
    </cfRule>
    <cfRule type="cellIs" dxfId="3174" priority="336" operator="equal">
      <formula>FALSE</formula>
    </cfRule>
  </conditionalFormatting>
  <conditionalFormatting sqref="X347">
    <cfRule type="cellIs" dxfId="3173" priority="329" operator="equal">
      <formula>TRUE</formula>
    </cfRule>
    <cfRule type="cellIs" dxfId="3172" priority="330" operator="equal">
      <formula>FALSE</formula>
    </cfRule>
  </conditionalFormatting>
  <conditionalFormatting sqref="U19:W19 Y19:AA19 AF19:AH19">
    <cfRule type="cellIs" dxfId="3171" priority="1929" operator="equal">
      <formula>TRUE</formula>
    </cfRule>
    <cfRule type="cellIs" dxfId="3170" priority="1930" operator="equal">
      <formula>FALSE</formula>
    </cfRule>
  </conditionalFormatting>
  <conditionalFormatting sqref="X350">
    <cfRule type="cellIs" dxfId="3169" priority="317" operator="equal">
      <formula>TRUE</formula>
    </cfRule>
    <cfRule type="cellIs" dxfId="3168" priority="318" operator="equal">
      <formula>FALSE</formula>
    </cfRule>
  </conditionalFormatting>
  <conditionalFormatting sqref="U16:W16 Y16:AA16 AF16:AH16">
    <cfRule type="cellIs" dxfId="3167" priority="1989" operator="equal">
      <formula>TRUE</formula>
    </cfRule>
    <cfRule type="cellIs" dxfId="3166" priority="1990" operator="equal">
      <formula>FALSE</formula>
    </cfRule>
  </conditionalFormatting>
  <conditionalFormatting sqref="X16">
    <cfRule type="cellIs" dxfId="3165" priority="1987" operator="equal">
      <formula>TRUE</formula>
    </cfRule>
    <cfRule type="cellIs" dxfId="3164" priority="1988" operator="equal">
      <formula>FALSE</formula>
    </cfRule>
  </conditionalFormatting>
  <conditionalFormatting sqref="AI16">
    <cfRule type="cellIs" dxfId="3163" priority="1985" operator="equal">
      <formula>TRUE</formula>
    </cfRule>
    <cfRule type="cellIs" dxfId="3162" priority="1986" operator="equal">
      <formula>FALSE</formula>
    </cfRule>
  </conditionalFormatting>
  <conditionalFormatting sqref="U343:W343 Y343:Z343 AF343:AH343">
    <cfRule type="cellIs" dxfId="3161" priority="347" operator="equal">
      <formula>TRUE</formula>
    </cfRule>
    <cfRule type="cellIs" dxfId="3160" priority="348" operator="equal">
      <formula>FALSE</formula>
    </cfRule>
  </conditionalFormatting>
  <conditionalFormatting sqref="X343">
    <cfRule type="cellIs" dxfId="3159" priority="345" operator="equal">
      <formula>TRUE</formula>
    </cfRule>
    <cfRule type="cellIs" dxfId="3158" priority="346" operator="equal">
      <formula>FALSE</formula>
    </cfRule>
  </conditionalFormatting>
  <conditionalFormatting sqref="U344:W344 Y344:Z344 AF344:AH344">
    <cfRule type="cellIs" dxfId="3157" priority="343" operator="equal">
      <formula>TRUE</formula>
    </cfRule>
    <cfRule type="cellIs" dxfId="3156" priority="344" operator="equal">
      <formula>FALSE</formula>
    </cfRule>
  </conditionalFormatting>
  <conditionalFormatting sqref="X345">
    <cfRule type="cellIs" dxfId="3155" priority="337" operator="equal">
      <formula>TRUE</formula>
    </cfRule>
    <cfRule type="cellIs" dxfId="3154" priority="338" operator="equal">
      <formula>FALSE</formula>
    </cfRule>
  </conditionalFormatting>
  <conditionalFormatting sqref="U348:W348 Y348:Z348 AF348:AH348">
    <cfRule type="cellIs" dxfId="3153" priority="327" operator="equal">
      <formula>TRUE</formula>
    </cfRule>
    <cfRule type="cellIs" dxfId="3152" priority="328" operator="equal">
      <formula>FALSE</formula>
    </cfRule>
  </conditionalFormatting>
  <conditionalFormatting sqref="X349">
    <cfRule type="cellIs" dxfId="3151" priority="321" operator="equal">
      <formula>TRUE</formula>
    </cfRule>
    <cfRule type="cellIs" dxfId="3150" priority="322" operator="equal">
      <formula>FALSE</formula>
    </cfRule>
  </conditionalFormatting>
  <conditionalFormatting sqref="U350:W350 Y350:Z350 AF350:AH350">
    <cfRule type="cellIs" dxfId="3149" priority="319" operator="equal">
      <formula>TRUE</formula>
    </cfRule>
    <cfRule type="cellIs" dxfId="3148" priority="320" operator="equal">
      <formula>FALSE</formula>
    </cfRule>
  </conditionalFormatting>
  <conditionalFormatting sqref="AI15">
    <cfRule type="cellIs" dxfId="3147" priority="1061" operator="equal">
      <formula>TRUE</formula>
    </cfRule>
    <cfRule type="cellIs" dxfId="3146" priority="1062" operator="equal">
      <formula>FALSE</formula>
    </cfRule>
  </conditionalFormatting>
  <conditionalFormatting sqref="U20:W20 Y20:AA20 AF20:AH20">
    <cfRule type="cellIs" dxfId="3145" priority="1917" operator="equal">
      <formula>TRUE</formula>
    </cfRule>
    <cfRule type="cellIs" dxfId="3144" priority="1918" operator="equal">
      <formula>FALSE</formula>
    </cfRule>
  </conditionalFormatting>
  <conditionalFormatting sqref="X20">
    <cfRule type="cellIs" dxfId="3143" priority="1915" operator="equal">
      <formula>TRUE</formula>
    </cfRule>
    <cfRule type="cellIs" dxfId="3142" priority="1916" operator="equal">
      <formula>FALSE</formula>
    </cfRule>
  </conditionalFormatting>
  <conditionalFormatting sqref="AI20">
    <cfRule type="cellIs" dxfId="3141" priority="1913" operator="equal">
      <formula>TRUE</formula>
    </cfRule>
    <cfRule type="cellIs" dxfId="3140" priority="1914" operator="equal">
      <formula>FALSE</formula>
    </cfRule>
  </conditionalFormatting>
  <conditionalFormatting sqref="U21:W21 Y21:AA21 AF21:AH21">
    <cfRule type="cellIs" dxfId="3139" priority="1893" operator="equal">
      <formula>TRUE</formula>
    </cfRule>
    <cfRule type="cellIs" dxfId="3138" priority="1894" operator="equal">
      <formula>FALSE</formula>
    </cfRule>
  </conditionalFormatting>
  <conditionalFormatting sqref="X21">
    <cfRule type="cellIs" dxfId="3137" priority="1891" operator="equal">
      <formula>TRUE</formula>
    </cfRule>
    <cfRule type="cellIs" dxfId="3136" priority="1892" operator="equal">
      <formula>FALSE</formula>
    </cfRule>
  </conditionalFormatting>
  <conditionalFormatting sqref="AI21">
    <cfRule type="cellIs" dxfId="3135" priority="1889" operator="equal">
      <formula>TRUE</formula>
    </cfRule>
    <cfRule type="cellIs" dxfId="3134" priority="1890" operator="equal">
      <formula>FALSE</formula>
    </cfRule>
  </conditionalFormatting>
  <conditionalFormatting sqref="U22:W22 Y22:AA22 AF22:AH22">
    <cfRule type="cellIs" dxfId="3133" priority="1881" operator="equal">
      <formula>TRUE</formula>
    </cfRule>
    <cfRule type="cellIs" dxfId="3132" priority="1882" operator="equal">
      <formula>FALSE</formula>
    </cfRule>
  </conditionalFormatting>
  <conditionalFormatting sqref="X22">
    <cfRule type="cellIs" dxfId="3131" priority="1879" operator="equal">
      <formula>TRUE</formula>
    </cfRule>
    <cfRule type="cellIs" dxfId="3130" priority="1880" operator="equal">
      <formula>FALSE</formula>
    </cfRule>
  </conditionalFormatting>
  <conditionalFormatting sqref="AI22">
    <cfRule type="cellIs" dxfId="3129" priority="1877" operator="equal">
      <formula>TRUE</formula>
    </cfRule>
    <cfRule type="cellIs" dxfId="3128" priority="1878" operator="equal">
      <formula>FALSE</formula>
    </cfRule>
  </conditionalFormatting>
  <conditionalFormatting sqref="U23:W23 Y23:AA23 AF23:AH23">
    <cfRule type="cellIs" dxfId="3127" priority="1857" operator="equal">
      <formula>TRUE</formula>
    </cfRule>
    <cfRule type="cellIs" dxfId="3126" priority="1858" operator="equal">
      <formula>FALSE</formula>
    </cfRule>
  </conditionalFormatting>
  <conditionalFormatting sqref="X23">
    <cfRule type="cellIs" dxfId="3125" priority="1855" operator="equal">
      <formula>TRUE</formula>
    </cfRule>
    <cfRule type="cellIs" dxfId="3124" priority="1856" operator="equal">
      <formula>FALSE</formula>
    </cfRule>
  </conditionalFormatting>
  <conditionalFormatting sqref="AI23">
    <cfRule type="cellIs" dxfId="3123" priority="1853" operator="equal">
      <formula>TRUE</formula>
    </cfRule>
    <cfRule type="cellIs" dxfId="3122" priority="1854" operator="equal">
      <formula>FALSE</formula>
    </cfRule>
  </conditionalFormatting>
  <conditionalFormatting sqref="U24:W24 Y24:AA24 AF24:AH24">
    <cfRule type="cellIs" dxfId="3121" priority="1845" operator="equal">
      <formula>TRUE</formula>
    </cfRule>
    <cfRule type="cellIs" dxfId="3120" priority="1846" operator="equal">
      <formula>FALSE</formula>
    </cfRule>
  </conditionalFormatting>
  <conditionalFormatting sqref="X24">
    <cfRule type="cellIs" dxfId="3119" priority="1843" operator="equal">
      <formula>TRUE</formula>
    </cfRule>
    <cfRule type="cellIs" dxfId="3118" priority="1844" operator="equal">
      <formula>FALSE</formula>
    </cfRule>
  </conditionalFormatting>
  <conditionalFormatting sqref="AI24">
    <cfRule type="cellIs" dxfId="3117" priority="1841" operator="equal">
      <formula>TRUE</formula>
    </cfRule>
    <cfRule type="cellIs" dxfId="3116" priority="1842" operator="equal">
      <formula>FALSE</formula>
    </cfRule>
  </conditionalFormatting>
  <conditionalFormatting sqref="U25:W25 Y25:AA25 AF25:AH25">
    <cfRule type="cellIs" dxfId="3115" priority="1821" operator="equal">
      <formula>TRUE</formula>
    </cfRule>
    <cfRule type="cellIs" dxfId="3114" priority="1822" operator="equal">
      <formula>FALSE</formula>
    </cfRule>
  </conditionalFormatting>
  <conditionalFormatting sqref="X25">
    <cfRule type="cellIs" dxfId="3113" priority="1819" operator="equal">
      <formula>TRUE</formula>
    </cfRule>
    <cfRule type="cellIs" dxfId="3112" priority="1820" operator="equal">
      <formula>FALSE</formula>
    </cfRule>
  </conditionalFormatting>
  <conditionalFormatting sqref="AI25">
    <cfRule type="cellIs" dxfId="3111" priority="1817" operator="equal">
      <formula>TRUE</formula>
    </cfRule>
    <cfRule type="cellIs" dxfId="3110" priority="1818" operator="equal">
      <formula>FALSE</formula>
    </cfRule>
  </conditionalFormatting>
  <conditionalFormatting sqref="U54:W54 Y54:AA54 AF54:AH54">
    <cfRule type="cellIs" dxfId="3109" priority="1689" operator="equal">
      <formula>TRUE</formula>
    </cfRule>
    <cfRule type="cellIs" dxfId="3108" priority="1690" operator="equal">
      <formula>FALSE</formula>
    </cfRule>
  </conditionalFormatting>
  <conditionalFormatting sqref="X54">
    <cfRule type="cellIs" dxfId="3107" priority="1687" operator="equal">
      <formula>TRUE</formula>
    </cfRule>
    <cfRule type="cellIs" dxfId="3106" priority="1688" operator="equal">
      <formula>FALSE</formula>
    </cfRule>
  </conditionalFormatting>
  <conditionalFormatting sqref="AI54">
    <cfRule type="cellIs" dxfId="3105" priority="1685" operator="equal">
      <formula>TRUE</formula>
    </cfRule>
    <cfRule type="cellIs" dxfId="3104" priority="1686" operator="equal">
      <formula>FALSE</formula>
    </cfRule>
  </conditionalFormatting>
  <conditionalFormatting sqref="U55:W55 Y55:AA55 AF55:AH55">
    <cfRule type="cellIs" dxfId="3103" priority="1683" operator="equal">
      <formula>TRUE</formula>
    </cfRule>
    <cfRule type="cellIs" dxfId="3102" priority="1684" operator="equal">
      <formula>FALSE</formula>
    </cfRule>
  </conditionalFormatting>
  <conditionalFormatting sqref="X55">
    <cfRule type="cellIs" dxfId="3101" priority="1681" operator="equal">
      <formula>TRUE</formula>
    </cfRule>
    <cfRule type="cellIs" dxfId="3100" priority="1682" operator="equal">
      <formula>FALSE</formula>
    </cfRule>
  </conditionalFormatting>
  <conditionalFormatting sqref="AI55">
    <cfRule type="cellIs" dxfId="3099" priority="1679" operator="equal">
      <formula>TRUE</formula>
    </cfRule>
    <cfRule type="cellIs" dxfId="3098" priority="1680" operator="equal">
      <formula>FALSE</formula>
    </cfRule>
  </conditionalFormatting>
  <conditionalFormatting sqref="U56:W56 Y56:AA56 AF56:AH56">
    <cfRule type="cellIs" dxfId="3097" priority="1677" operator="equal">
      <formula>TRUE</formula>
    </cfRule>
    <cfRule type="cellIs" dxfId="3096" priority="1678" operator="equal">
      <formula>FALSE</formula>
    </cfRule>
  </conditionalFormatting>
  <conditionalFormatting sqref="X56">
    <cfRule type="cellIs" dxfId="3095" priority="1675" operator="equal">
      <formula>TRUE</formula>
    </cfRule>
    <cfRule type="cellIs" dxfId="3094" priority="1676" operator="equal">
      <formula>FALSE</formula>
    </cfRule>
  </conditionalFormatting>
  <conditionalFormatting sqref="AI56">
    <cfRule type="cellIs" dxfId="3093" priority="1673" operator="equal">
      <formula>TRUE</formula>
    </cfRule>
    <cfRule type="cellIs" dxfId="3092" priority="1674" operator="equal">
      <formula>FALSE</formula>
    </cfRule>
  </conditionalFormatting>
  <conditionalFormatting sqref="U57:W57 Y57:AA57 AF57:AH57">
    <cfRule type="cellIs" dxfId="3091" priority="1671" operator="equal">
      <formula>TRUE</formula>
    </cfRule>
    <cfRule type="cellIs" dxfId="3090" priority="1672" operator="equal">
      <formula>FALSE</formula>
    </cfRule>
  </conditionalFormatting>
  <conditionalFormatting sqref="X57">
    <cfRule type="cellIs" dxfId="3089" priority="1669" operator="equal">
      <formula>TRUE</formula>
    </cfRule>
    <cfRule type="cellIs" dxfId="3088" priority="1670" operator="equal">
      <formula>FALSE</formula>
    </cfRule>
  </conditionalFormatting>
  <conditionalFormatting sqref="AI57">
    <cfRule type="cellIs" dxfId="3087" priority="1667" operator="equal">
      <formula>TRUE</formula>
    </cfRule>
    <cfRule type="cellIs" dxfId="3086" priority="1668" operator="equal">
      <formula>FALSE</formula>
    </cfRule>
  </conditionalFormatting>
  <conditionalFormatting sqref="U58:W58 Y58:AA58 AF58:AH58">
    <cfRule type="cellIs" dxfId="3085" priority="1665" operator="equal">
      <formula>TRUE</formula>
    </cfRule>
    <cfRule type="cellIs" dxfId="3084" priority="1666" operator="equal">
      <formula>FALSE</formula>
    </cfRule>
  </conditionalFormatting>
  <conditionalFormatting sqref="X58">
    <cfRule type="cellIs" dxfId="3083" priority="1663" operator="equal">
      <formula>TRUE</formula>
    </cfRule>
    <cfRule type="cellIs" dxfId="3082" priority="1664" operator="equal">
      <formula>FALSE</formula>
    </cfRule>
  </conditionalFormatting>
  <conditionalFormatting sqref="AI58">
    <cfRule type="cellIs" dxfId="3081" priority="1661" operator="equal">
      <formula>TRUE</formula>
    </cfRule>
    <cfRule type="cellIs" dxfId="3080" priority="1662" operator="equal">
      <formula>FALSE</formula>
    </cfRule>
  </conditionalFormatting>
  <conditionalFormatting sqref="U59:W59 Y59:AA59 AF59:AH59">
    <cfRule type="cellIs" dxfId="3079" priority="1659" operator="equal">
      <formula>TRUE</formula>
    </cfRule>
    <cfRule type="cellIs" dxfId="3078" priority="1660" operator="equal">
      <formula>FALSE</formula>
    </cfRule>
  </conditionalFormatting>
  <conditionalFormatting sqref="X59">
    <cfRule type="cellIs" dxfId="3077" priority="1657" operator="equal">
      <formula>TRUE</formula>
    </cfRule>
    <cfRule type="cellIs" dxfId="3076" priority="1658" operator="equal">
      <formula>FALSE</formula>
    </cfRule>
  </conditionalFormatting>
  <conditionalFormatting sqref="AI59">
    <cfRule type="cellIs" dxfId="3075" priority="1655" operator="equal">
      <formula>TRUE</formula>
    </cfRule>
    <cfRule type="cellIs" dxfId="3074" priority="1656" operator="equal">
      <formula>FALSE</formula>
    </cfRule>
  </conditionalFormatting>
  <conditionalFormatting sqref="U60:W60 Y60:AA60 AF60:AH60">
    <cfRule type="cellIs" dxfId="3073" priority="1653" operator="equal">
      <formula>TRUE</formula>
    </cfRule>
    <cfRule type="cellIs" dxfId="3072" priority="1654" operator="equal">
      <formula>FALSE</formula>
    </cfRule>
  </conditionalFormatting>
  <conditionalFormatting sqref="X60">
    <cfRule type="cellIs" dxfId="3071" priority="1651" operator="equal">
      <formula>TRUE</formula>
    </cfRule>
    <cfRule type="cellIs" dxfId="3070" priority="1652" operator="equal">
      <formula>FALSE</formula>
    </cfRule>
  </conditionalFormatting>
  <conditionalFormatting sqref="AI60">
    <cfRule type="cellIs" dxfId="3069" priority="1649" operator="equal">
      <formula>TRUE</formula>
    </cfRule>
    <cfRule type="cellIs" dxfId="3068" priority="1650" operator="equal">
      <formula>FALSE</formula>
    </cfRule>
  </conditionalFormatting>
  <conditionalFormatting sqref="U61:W61 Y61:AA61 AF61:AH61">
    <cfRule type="cellIs" dxfId="3067" priority="1647" operator="equal">
      <formula>TRUE</formula>
    </cfRule>
    <cfRule type="cellIs" dxfId="3066" priority="1648" operator="equal">
      <formula>FALSE</formula>
    </cfRule>
  </conditionalFormatting>
  <conditionalFormatting sqref="X61">
    <cfRule type="cellIs" dxfId="3065" priority="1645" operator="equal">
      <formula>TRUE</formula>
    </cfRule>
    <cfRule type="cellIs" dxfId="3064" priority="1646" operator="equal">
      <formula>FALSE</formula>
    </cfRule>
  </conditionalFormatting>
  <conditionalFormatting sqref="AI61">
    <cfRule type="cellIs" dxfId="3063" priority="1643" operator="equal">
      <formula>TRUE</formula>
    </cfRule>
    <cfRule type="cellIs" dxfId="3062" priority="1644" operator="equal">
      <formula>FALSE</formula>
    </cfRule>
  </conditionalFormatting>
  <conditionalFormatting sqref="U62:W62 Y62:AA62 AF62:AH62">
    <cfRule type="cellIs" dxfId="3061" priority="1641" operator="equal">
      <formula>TRUE</formula>
    </cfRule>
    <cfRule type="cellIs" dxfId="3060" priority="1642" operator="equal">
      <formula>FALSE</formula>
    </cfRule>
  </conditionalFormatting>
  <conditionalFormatting sqref="X62">
    <cfRule type="cellIs" dxfId="3059" priority="1639" operator="equal">
      <formula>TRUE</formula>
    </cfRule>
    <cfRule type="cellIs" dxfId="3058" priority="1640" operator="equal">
      <formula>FALSE</formula>
    </cfRule>
  </conditionalFormatting>
  <conditionalFormatting sqref="AI62">
    <cfRule type="cellIs" dxfId="3057" priority="1637" operator="equal">
      <formula>TRUE</formula>
    </cfRule>
    <cfRule type="cellIs" dxfId="3056" priority="1638" operator="equal">
      <formula>FALSE</formula>
    </cfRule>
  </conditionalFormatting>
  <conditionalFormatting sqref="U73:W73 Y73:AA73 AF73:AH73">
    <cfRule type="cellIs" dxfId="3055" priority="1611" operator="equal">
      <formula>TRUE</formula>
    </cfRule>
    <cfRule type="cellIs" dxfId="3054" priority="1612" operator="equal">
      <formula>FALSE</formula>
    </cfRule>
  </conditionalFormatting>
  <conditionalFormatting sqref="X73">
    <cfRule type="cellIs" dxfId="3053" priority="1609" operator="equal">
      <formula>TRUE</formula>
    </cfRule>
    <cfRule type="cellIs" dxfId="3052" priority="1610" operator="equal">
      <formula>FALSE</formula>
    </cfRule>
  </conditionalFormatting>
  <conditionalFormatting sqref="AI73">
    <cfRule type="cellIs" dxfId="3051" priority="1607" operator="equal">
      <formula>TRUE</formula>
    </cfRule>
    <cfRule type="cellIs" dxfId="3050" priority="1608" operator="equal">
      <formula>FALSE</formula>
    </cfRule>
  </conditionalFormatting>
  <conditionalFormatting sqref="X74">
    <cfRule type="cellIs" dxfId="3049" priority="1603" operator="equal">
      <formula>TRUE</formula>
    </cfRule>
    <cfRule type="cellIs" dxfId="3048" priority="1604" operator="equal">
      <formula>FALSE</formula>
    </cfRule>
  </conditionalFormatting>
  <conditionalFormatting sqref="AI74">
    <cfRule type="cellIs" dxfId="3047" priority="1601" operator="equal">
      <formula>TRUE</formula>
    </cfRule>
    <cfRule type="cellIs" dxfId="3046" priority="1602" operator="equal">
      <formula>FALSE</formula>
    </cfRule>
  </conditionalFormatting>
  <conditionalFormatting sqref="U75:W75 Y75:AA75 AF75:AH75">
    <cfRule type="cellIs" dxfId="3045" priority="1599" operator="equal">
      <formula>TRUE</formula>
    </cfRule>
    <cfRule type="cellIs" dxfId="3044" priority="1600" operator="equal">
      <formula>FALSE</formula>
    </cfRule>
  </conditionalFormatting>
  <conditionalFormatting sqref="AI75">
    <cfRule type="cellIs" dxfId="3043" priority="1595" operator="equal">
      <formula>TRUE</formula>
    </cfRule>
    <cfRule type="cellIs" dxfId="3042" priority="1596" operator="equal">
      <formula>FALSE</formula>
    </cfRule>
  </conditionalFormatting>
  <conditionalFormatting sqref="U76:W76 Y76:AA76 AF76:AH76">
    <cfRule type="cellIs" dxfId="3041" priority="1593" operator="equal">
      <formula>TRUE</formula>
    </cfRule>
    <cfRule type="cellIs" dxfId="3040" priority="1594" operator="equal">
      <formula>FALSE</formula>
    </cfRule>
  </conditionalFormatting>
  <conditionalFormatting sqref="X76">
    <cfRule type="cellIs" dxfId="3039" priority="1591" operator="equal">
      <formula>TRUE</formula>
    </cfRule>
    <cfRule type="cellIs" dxfId="3038" priority="1592" operator="equal">
      <formula>FALSE</formula>
    </cfRule>
  </conditionalFormatting>
  <conditionalFormatting sqref="U77:W77 Y77:AA77 AF77:AH77">
    <cfRule type="cellIs" dxfId="3037" priority="1587" operator="equal">
      <formula>TRUE</formula>
    </cfRule>
    <cfRule type="cellIs" dxfId="3036" priority="1588" operator="equal">
      <formula>FALSE</formula>
    </cfRule>
  </conditionalFormatting>
  <conditionalFormatting sqref="X77">
    <cfRule type="cellIs" dxfId="3035" priority="1585" operator="equal">
      <formula>TRUE</formula>
    </cfRule>
    <cfRule type="cellIs" dxfId="3034" priority="1586" operator="equal">
      <formula>FALSE</formula>
    </cfRule>
  </conditionalFormatting>
  <conditionalFormatting sqref="AI77">
    <cfRule type="cellIs" dxfId="3033" priority="1583" operator="equal">
      <formula>TRUE</formula>
    </cfRule>
    <cfRule type="cellIs" dxfId="3032" priority="1584" operator="equal">
      <formula>FALSE</formula>
    </cfRule>
  </conditionalFormatting>
  <conditionalFormatting sqref="X78">
    <cfRule type="cellIs" dxfId="3031" priority="1579" operator="equal">
      <formula>TRUE</formula>
    </cfRule>
    <cfRule type="cellIs" dxfId="3030" priority="1580" operator="equal">
      <formula>FALSE</formula>
    </cfRule>
  </conditionalFormatting>
  <conditionalFormatting sqref="AI78">
    <cfRule type="cellIs" dxfId="3029" priority="1577" operator="equal">
      <formula>TRUE</formula>
    </cfRule>
    <cfRule type="cellIs" dxfId="3028" priority="1578" operator="equal">
      <formula>FALSE</formula>
    </cfRule>
  </conditionalFormatting>
  <conditionalFormatting sqref="U79:W79 Y79:AA79 AF79:AH79">
    <cfRule type="cellIs" dxfId="3027" priority="1575" operator="equal">
      <formula>TRUE</formula>
    </cfRule>
    <cfRule type="cellIs" dxfId="3026" priority="1576" operator="equal">
      <formula>FALSE</formula>
    </cfRule>
  </conditionalFormatting>
  <conditionalFormatting sqref="U74:W74 Y74:AA74 AF74:AH74">
    <cfRule type="cellIs" dxfId="3025" priority="1605" operator="equal">
      <formula>TRUE</formula>
    </cfRule>
    <cfRule type="cellIs" dxfId="3024" priority="1606" operator="equal">
      <formula>FALSE</formula>
    </cfRule>
  </conditionalFormatting>
  <conditionalFormatting sqref="X75">
    <cfRule type="cellIs" dxfId="3023" priority="1597" operator="equal">
      <formula>TRUE</formula>
    </cfRule>
    <cfRule type="cellIs" dxfId="3022" priority="1598" operator="equal">
      <formula>FALSE</formula>
    </cfRule>
  </conditionalFormatting>
  <conditionalFormatting sqref="AI76">
    <cfRule type="cellIs" dxfId="3021" priority="1589" operator="equal">
      <formula>TRUE</formula>
    </cfRule>
    <cfRule type="cellIs" dxfId="3020" priority="1590" operator="equal">
      <formula>FALSE</formula>
    </cfRule>
  </conditionalFormatting>
  <conditionalFormatting sqref="U78:W78 Y78:AA78 AF78:AH78">
    <cfRule type="cellIs" dxfId="3019" priority="1581" operator="equal">
      <formula>TRUE</formula>
    </cfRule>
    <cfRule type="cellIs" dxfId="3018" priority="1582" operator="equal">
      <formula>FALSE</formula>
    </cfRule>
  </conditionalFormatting>
  <conditionalFormatting sqref="X79">
    <cfRule type="cellIs" dxfId="3017" priority="1573" operator="equal">
      <formula>TRUE</formula>
    </cfRule>
    <cfRule type="cellIs" dxfId="3016" priority="1574" operator="equal">
      <formula>FALSE</formula>
    </cfRule>
  </conditionalFormatting>
  <conditionalFormatting sqref="AI79">
    <cfRule type="cellIs" dxfId="3015" priority="1571" operator="equal">
      <formula>TRUE</formula>
    </cfRule>
    <cfRule type="cellIs" dxfId="3014" priority="1572" operator="equal">
      <formula>FALSE</formula>
    </cfRule>
  </conditionalFormatting>
  <conditionalFormatting sqref="X80">
    <cfRule type="cellIs" dxfId="3013" priority="1567" operator="equal">
      <formula>TRUE</formula>
    </cfRule>
    <cfRule type="cellIs" dxfId="3012" priority="1568" operator="equal">
      <formula>FALSE</formula>
    </cfRule>
  </conditionalFormatting>
  <conditionalFormatting sqref="AI80">
    <cfRule type="cellIs" dxfId="3011" priority="1565" operator="equal">
      <formula>TRUE</formula>
    </cfRule>
    <cfRule type="cellIs" dxfId="3010" priority="1566" operator="equal">
      <formula>FALSE</formula>
    </cfRule>
  </conditionalFormatting>
  <conditionalFormatting sqref="U81:W81 Y81:AA81 AF81:AH81">
    <cfRule type="cellIs" dxfId="3009" priority="1563" operator="equal">
      <formula>TRUE</formula>
    </cfRule>
    <cfRule type="cellIs" dxfId="3008" priority="1564" operator="equal">
      <formula>FALSE</formula>
    </cfRule>
  </conditionalFormatting>
  <conditionalFormatting sqref="U80:W80 Y80:AA80 AF80:AH80">
    <cfRule type="cellIs" dxfId="3007" priority="1569" operator="equal">
      <formula>TRUE</formula>
    </cfRule>
    <cfRule type="cellIs" dxfId="3006" priority="1570" operator="equal">
      <formula>FALSE</formula>
    </cfRule>
  </conditionalFormatting>
  <conditionalFormatting sqref="U69:W69 Y69:AA69 AF69:AH69">
    <cfRule type="cellIs" dxfId="3005" priority="1635" operator="equal">
      <formula>TRUE</formula>
    </cfRule>
    <cfRule type="cellIs" dxfId="3004" priority="1636" operator="equal">
      <formula>FALSE</formula>
    </cfRule>
  </conditionalFormatting>
  <conditionalFormatting sqref="X69">
    <cfRule type="cellIs" dxfId="3003" priority="1633" operator="equal">
      <formula>TRUE</formula>
    </cfRule>
    <cfRule type="cellIs" dxfId="3002" priority="1634" operator="equal">
      <formula>FALSE</formula>
    </cfRule>
  </conditionalFormatting>
  <conditionalFormatting sqref="AI69">
    <cfRule type="cellIs" dxfId="3001" priority="1631" operator="equal">
      <formula>TRUE</formula>
    </cfRule>
    <cfRule type="cellIs" dxfId="3000" priority="1632" operator="equal">
      <formula>FALSE</formula>
    </cfRule>
  </conditionalFormatting>
  <conditionalFormatting sqref="U70:W70 Y70:AA70 AF70:AH70">
    <cfRule type="cellIs" dxfId="2999" priority="1629" operator="equal">
      <formula>TRUE</formula>
    </cfRule>
    <cfRule type="cellIs" dxfId="2998" priority="1630" operator="equal">
      <formula>FALSE</formula>
    </cfRule>
  </conditionalFormatting>
  <conditionalFormatting sqref="X70">
    <cfRule type="cellIs" dxfId="2997" priority="1627" operator="equal">
      <formula>TRUE</formula>
    </cfRule>
    <cfRule type="cellIs" dxfId="2996" priority="1628" operator="equal">
      <formula>FALSE</formula>
    </cfRule>
  </conditionalFormatting>
  <conditionalFormatting sqref="AI70">
    <cfRule type="cellIs" dxfId="2995" priority="1625" operator="equal">
      <formula>TRUE</formula>
    </cfRule>
    <cfRule type="cellIs" dxfId="2994" priority="1626" operator="equal">
      <formula>FALSE</formula>
    </cfRule>
  </conditionalFormatting>
  <conditionalFormatting sqref="U71:W71 Y71:AA71 AF71:AH71">
    <cfRule type="cellIs" dxfId="2993" priority="1623" operator="equal">
      <formula>TRUE</formula>
    </cfRule>
    <cfRule type="cellIs" dxfId="2992" priority="1624" operator="equal">
      <formula>FALSE</formula>
    </cfRule>
  </conditionalFormatting>
  <conditionalFormatting sqref="X71">
    <cfRule type="cellIs" dxfId="2991" priority="1621" operator="equal">
      <formula>TRUE</formula>
    </cfRule>
    <cfRule type="cellIs" dxfId="2990" priority="1622" operator="equal">
      <formula>FALSE</formula>
    </cfRule>
  </conditionalFormatting>
  <conditionalFormatting sqref="AI71">
    <cfRule type="cellIs" dxfId="2989" priority="1619" operator="equal">
      <formula>TRUE</formula>
    </cfRule>
    <cfRule type="cellIs" dxfId="2988" priority="1620" operator="equal">
      <formula>FALSE</formula>
    </cfRule>
  </conditionalFormatting>
  <conditionalFormatting sqref="U72:W72 Y72:AA72 AF72:AH72">
    <cfRule type="cellIs" dxfId="2987" priority="1617" operator="equal">
      <formula>TRUE</formula>
    </cfRule>
    <cfRule type="cellIs" dxfId="2986" priority="1618" operator="equal">
      <formula>FALSE</formula>
    </cfRule>
  </conditionalFormatting>
  <conditionalFormatting sqref="X72">
    <cfRule type="cellIs" dxfId="2985" priority="1615" operator="equal">
      <formula>TRUE</formula>
    </cfRule>
    <cfRule type="cellIs" dxfId="2984" priority="1616" operator="equal">
      <formula>FALSE</formula>
    </cfRule>
  </conditionalFormatting>
  <conditionalFormatting sqref="AI72">
    <cfRule type="cellIs" dxfId="2983" priority="1613" operator="equal">
      <formula>TRUE</formula>
    </cfRule>
    <cfRule type="cellIs" dxfId="2982" priority="1614" operator="equal">
      <formula>FALSE</formula>
    </cfRule>
  </conditionalFormatting>
  <conditionalFormatting sqref="X81">
    <cfRule type="cellIs" dxfId="2981" priority="1561" operator="equal">
      <formula>TRUE</formula>
    </cfRule>
    <cfRule type="cellIs" dxfId="2980" priority="1562" operator="equal">
      <formula>FALSE</formula>
    </cfRule>
  </conditionalFormatting>
  <conditionalFormatting sqref="AI81">
    <cfRule type="cellIs" dxfId="2979" priority="1559" operator="equal">
      <formula>TRUE</formula>
    </cfRule>
    <cfRule type="cellIs" dxfId="2978" priority="1560" operator="equal">
      <formula>FALSE</formula>
    </cfRule>
  </conditionalFormatting>
  <conditionalFormatting sqref="U82:W82 Y82:AA82 AF82:AH82">
    <cfRule type="cellIs" dxfId="2977" priority="1557" operator="equal">
      <formula>TRUE</formula>
    </cfRule>
    <cfRule type="cellIs" dxfId="2976" priority="1558" operator="equal">
      <formula>FALSE</formula>
    </cfRule>
  </conditionalFormatting>
  <conditionalFormatting sqref="X82">
    <cfRule type="cellIs" dxfId="2975" priority="1555" operator="equal">
      <formula>TRUE</formula>
    </cfRule>
    <cfRule type="cellIs" dxfId="2974" priority="1556" operator="equal">
      <formula>FALSE</formula>
    </cfRule>
  </conditionalFormatting>
  <conditionalFormatting sqref="AI82">
    <cfRule type="cellIs" dxfId="2973" priority="1553" operator="equal">
      <formula>TRUE</formula>
    </cfRule>
    <cfRule type="cellIs" dxfId="2972" priority="1554" operator="equal">
      <formula>FALSE</formula>
    </cfRule>
  </conditionalFormatting>
  <conditionalFormatting sqref="U83:W83 Y83:AA83 AF83:AH83">
    <cfRule type="cellIs" dxfId="2971" priority="1551" operator="equal">
      <formula>TRUE</formula>
    </cfRule>
    <cfRule type="cellIs" dxfId="2970" priority="1552" operator="equal">
      <formula>FALSE</formula>
    </cfRule>
  </conditionalFormatting>
  <conditionalFormatting sqref="X83">
    <cfRule type="cellIs" dxfId="2969" priority="1549" operator="equal">
      <formula>TRUE</formula>
    </cfRule>
    <cfRule type="cellIs" dxfId="2968" priority="1550" operator="equal">
      <formula>FALSE</formula>
    </cfRule>
  </conditionalFormatting>
  <conditionalFormatting sqref="AI83">
    <cfRule type="cellIs" dxfId="2967" priority="1547" operator="equal">
      <formula>TRUE</formula>
    </cfRule>
    <cfRule type="cellIs" dxfId="2966" priority="1548" operator="equal">
      <formula>FALSE</formula>
    </cfRule>
  </conditionalFormatting>
  <conditionalFormatting sqref="U84:W84 Y84:AA84 AF84:AH84">
    <cfRule type="cellIs" dxfId="2965" priority="1545" operator="equal">
      <formula>TRUE</formula>
    </cfRule>
    <cfRule type="cellIs" dxfId="2964" priority="1546" operator="equal">
      <formula>FALSE</formula>
    </cfRule>
  </conditionalFormatting>
  <conditionalFormatting sqref="X84">
    <cfRule type="cellIs" dxfId="2963" priority="1543" operator="equal">
      <formula>TRUE</formula>
    </cfRule>
    <cfRule type="cellIs" dxfId="2962" priority="1544" operator="equal">
      <formula>FALSE</formula>
    </cfRule>
  </conditionalFormatting>
  <conditionalFormatting sqref="AI84">
    <cfRule type="cellIs" dxfId="2961" priority="1541" operator="equal">
      <formula>TRUE</formula>
    </cfRule>
    <cfRule type="cellIs" dxfId="2960" priority="1542" operator="equal">
      <formula>FALSE</formula>
    </cfRule>
  </conditionalFormatting>
  <conditionalFormatting sqref="U85:W85 Y85:AA85 AF85:AH85">
    <cfRule type="cellIs" dxfId="2959" priority="1539" operator="equal">
      <formula>TRUE</formula>
    </cfRule>
    <cfRule type="cellIs" dxfId="2958" priority="1540" operator="equal">
      <formula>FALSE</formula>
    </cfRule>
  </conditionalFormatting>
  <conditionalFormatting sqref="X85">
    <cfRule type="cellIs" dxfId="2957" priority="1537" operator="equal">
      <formula>TRUE</formula>
    </cfRule>
    <cfRule type="cellIs" dxfId="2956" priority="1538" operator="equal">
      <formula>FALSE</formula>
    </cfRule>
  </conditionalFormatting>
  <conditionalFormatting sqref="AI85">
    <cfRule type="cellIs" dxfId="2955" priority="1535" operator="equal">
      <formula>TRUE</formula>
    </cfRule>
    <cfRule type="cellIs" dxfId="2954" priority="1536" operator="equal">
      <formula>FALSE</formula>
    </cfRule>
  </conditionalFormatting>
  <conditionalFormatting sqref="U86:W86 Y86:AA86 AF86:AH86">
    <cfRule type="cellIs" dxfId="2953" priority="1533" operator="equal">
      <formula>TRUE</formula>
    </cfRule>
    <cfRule type="cellIs" dxfId="2952" priority="1534" operator="equal">
      <formula>FALSE</formula>
    </cfRule>
  </conditionalFormatting>
  <conditionalFormatting sqref="X86">
    <cfRule type="cellIs" dxfId="2951" priority="1531" operator="equal">
      <formula>TRUE</formula>
    </cfRule>
    <cfRule type="cellIs" dxfId="2950" priority="1532" operator="equal">
      <formula>FALSE</formula>
    </cfRule>
  </conditionalFormatting>
  <conditionalFormatting sqref="AI86">
    <cfRule type="cellIs" dxfId="2949" priority="1529" operator="equal">
      <formula>TRUE</formula>
    </cfRule>
    <cfRule type="cellIs" dxfId="2948" priority="1530" operator="equal">
      <formula>FALSE</formula>
    </cfRule>
  </conditionalFormatting>
  <conditionalFormatting sqref="U87:W87 Y87:AA87 AF87:AH87">
    <cfRule type="cellIs" dxfId="2947" priority="1527" operator="equal">
      <formula>TRUE</formula>
    </cfRule>
    <cfRule type="cellIs" dxfId="2946" priority="1528" operator="equal">
      <formula>FALSE</formula>
    </cfRule>
  </conditionalFormatting>
  <conditionalFormatting sqref="X87">
    <cfRule type="cellIs" dxfId="2945" priority="1525" operator="equal">
      <formula>TRUE</formula>
    </cfRule>
    <cfRule type="cellIs" dxfId="2944" priority="1526" operator="equal">
      <formula>FALSE</formula>
    </cfRule>
  </conditionalFormatting>
  <conditionalFormatting sqref="AI87">
    <cfRule type="cellIs" dxfId="2943" priority="1523" operator="equal">
      <formula>TRUE</formula>
    </cfRule>
    <cfRule type="cellIs" dxfId="2942" priority="1524" operator="equal">
      <formula>FALSE</formula>
    </cfRule>
  </conditionalFormatting>
  <conditionalFormatting sqref="U88:W88 Y88:AA88 AF88:AH88">
    <cfRule type="cellIs" dxfId="2941" priority="1521" operator="equal">
      <formula>TRUE</formula>
    </cfRule>
    <cfRule type="cellIs" dxfId="2940" priority="1522" operator="equal">
      <formula>FALSE</formula>
    </cfRule>
  </conditionalFormatting>
  <conditionalFormatting sqref="X88">
    <cfRule type="cellIs" dxfId="2939" priority="1519" operator="equal">
      <formula>TRUE</formula>
    </cfRule>
    <cfRule type="cellIs" dxfId="2938" priority="1520" operator="equal">
      <formula>FALSE</formula>
    </cfRule>
  </conditionalFormatting>
  <conditionalFormatting sqref="AI88">
    <cfRule type="cellIs" dxfId="2937" priority="1517" operator="equal">
      <formula>TRUE</formula>
    </cfRule>
    <cfRule type="cellIs" dxfId="2936" priority="1518" operator="equal">
      <formula>FALSE</formula>
    </cfRule>
  </conditionalFormatting>
  <conditionalFormatting sqref="U89:W89 Y89:AA89 AF89:AH89">
    <cfRule type="cellIs" dxfId="2935" priority="1515" operator="equal">
      <formula>TRUE</formula>
    </cfRule>
    <cfRule type="cellIs" dxfId="2934" priority="1516" operator="equal">
      <formula>FALSE</formula>
    </cfRule>
  </conditionalFormatting>
  <conditionalFormatting sqref="X89">
    <cfRule type="cellIs" dxfId="2933" priority="1513" operator="equal">
      <formula>TRUE</formula>
    </cfRule>
    <cfRule type="cellIs" dxfId="2932" priority="1514" operator="equal">
      <formula>FALSE</formula>
    </cfRule>
  </conditionalFormatting>
  <conditionalFormatting sqref="AI89">
    <cfRule type="cellIs" dxfId="2931" priority="1511" operator="equal">
      <formula>TRUE</formula>
    </cfRule>
    <cfRule type="cellIs" dxfId="2930" priority="1512" operator="equal">
      <formula>FALSE</formula>
    </cfRule>
  </conditionalFormatting>
  <conditionalFormatting sqref="U90:W90 Y90:AA90 AF90:AH90">
    <cfRule type="cellIs" dxfId="2929" priority="1509" operator="equal">
      <formula>TRUE</formula>
    </cfRule>
    <cfRule type="cellIs" dxfId="2928" priority="1510" operator="equal">
      <formula>FALSE</formula>
    </cfRule>
  </conditionalFormatting>
  <conditionalFormatting sqref="X90">
    <cfRule type="cellIs" dxfId="2927" priority="1507" operator="equal">
      <formula>TRUE</formula>
    </cfRule>
    <cfRule type="cellIs" dxfId="2926" priority="1508" operator="equal">
      <formula>FALSE</formula>
    </cfRule>
  </conditionalFormatting>
  <conditionalFormatting sqref="AI90">
    <cfRule type="cellIs" dxfId="2925" priority="1505" operator="equal">
      <formula>TRUE</formula>
    </cfRule>
    <cfRule type="cellIs" dxfId="2924" priority="1506" operator="equal">
      <formula>FALSE</formula>
    </cfRule>
  </conditionalFormatting>
  <conditionalFormatting sqref="U91:W91 Y91:AA91 AF91:AH91">
    <cfRule type="cellIs" dxfId="2923" priority="1503" operator="equal">
      <formula>TRUE</formula>
    </cfRule>
    <cfRule type="cellIs" dxfId="2922" priority="1504" operator="equal">
      <formula>FALSE</formula>
    </cfRule>
  </conditionalFormatting>
  <conditionalFormatting sqref="X91">
    <cfRule type="cellIs" dxfId="2921" priority="1501" operator="equal">
      <formula>TRUE</formula>
    </cfRule>
    <cfRule type="cellIs" dxfId="2920" priority="1502" operator="equal">
      <formula>FALSE</formula>
    </cfRule>
  </conditionalFormatting>
  <conditionalFormatting sqref="AI91">
    <cfRule type="cellIs" dxfId="2919" priority="1499" operator="equal">
      <formula>TRUE</formula>
    </cfRule>
    <cfRule type="cellIs" dxfId="2918" priority="1500" operator="equal">
      <formula>FALSE</formula>
    </cfRule>
  </conditionalFormatting>
  <conditionalFormatting sqref="U92:W92 Y92:AA92 AF92:AH92">
    <cfRule type="cellIs" dxfId="2917" priority="1497" operator="equal">
      <formula>TRUE</formula>
    </cfRule>
    <cfRule type="cellIs" dxfId="2916" priority="1498" operator="equal">
      <formula>FALSE</formula>
    </cfRule>
  </conditionalFormatting>
  <conditionalFormatting sqref="X92">
    <cfRule type="cellIs" dxfId="2915" priority="1495" operator="equal">
      <formula>TRUE</formula>
    </cfRule>
    <cfRule type="cellIs" dxfId="2914" priority="1496" operator="equal">
      <formula>FALSE</formula>
    </cfRule>
  </conditionalFormatting>
  <conditionalFormatting sqref="AI92">
    <cfRule type="cellIs" dxfId="2913" priority="1493" operator="equal">
      <formula>TRUE</formula>
    </cfRule>
    <cfRule type="cellIs" dxfId="2912" priority="1494" operator="equal">
      <formula>FALSE</formula>
    </cfRule>
  </conditionalFormatting>
  <conditionalFormatting sqref="U93:W93 Y93:AA93 AF93:AH93">
    <cfRule type="cellIs" dxfId="2911" priority="1491" operator="equal">
      <formula>TRUE</formula>
    </cfRule>
    <cfRule type="cellIs" dxfId="2910" priority="1492" operator="equal">
      <formula>FALSE</formula>
    </cfRule>
  </conditionalFormatting>
  <conditionalFormatting sqref="X93">
    <cfRule type="cellIs" dxfId="2909" priority="1489" operator="equal">
      <formula>TRUE</formula>
    </cfRule>
    <cfRule type="cellIs" dxfId="2908" priority="1490" operator="equal">
      <formula>FALSE</formula>
    </cfRule>
  </conditionalFormatting>
  <conditionalFormatting sqref="AI93">
    <cfRule type="cellIs" dxfId="2907" priority="1487" operator="equal">
      <formula>TRUE</formula>
    </cfRule>
    <cfRule type="cellIs" dxfId="2906" priority="1488" operator="equal">
      <formula>FALSE</formula>
    </cfRule>
  </conditionalFormatting>
  <conditionalFormatting sqref="U94:W94 Y94:AA94 AF94:AH94">
    <cfRule type="cellIs" dxfId="2905" priority="1485" operator="equal">
      <formula>TRUE</formula>
    </cfRule>
    <cfRule type="cellIs" dxfId="2904" priority="1486" operator="equal">
      <formula>FALSE</formula>
    </cfRule>
  </conditionalFormatting>
  <conditionalFormatting sqref="X94">
    <cfRule type="cellIs" dxfId="2903" priority="1483" operator="equal">
      <formula>TRUE</formula>
    </cfRule>
    <cfRule type="cellIs" dxfId="2902" priority="1484" operator="equal">
      <formula>FALSE</formula>
    </cfRule>
  </conditionalFormatting>
  <conditionalFormatting sqref="AI94">
    <cfRule type="cellIs" dxfId="2901" priority="1481" operator="equal">
      <formula>TRUE</formula>
    </cfRule>
    <cfRule type="cellIs" dxfId="2900" priority="1482" operator="equal">
      <formula>FALSE</formula>
    </cfRule>
  </conditionalFormatting>
  <conditionalFormatting sqref="U95:W95 Y95:AA95 AF95:AH95">
    <cfRule type="cellIs" dxfId="2899" priority="1479" operator="equal">
      <formula>TRUE</formula>
    </cfRule>
    <cfRule type="cellIs" dxfId="2898" priority="1480" operator="equal">
      <formula>FALSE</formula>
    </cfRule>
  </conditionalFormatting>
  <conditionalFormatting sqref="X95">
    <cfRule type="cellIs" dxfId="2897" priority="1477" operator="equal">
      <formula>TRUE</formula>
    </cfRule>
    <cfRule type="cellIs" dxfId="2896" priority="1478" operator="equal">
      <formula>FALSE</formula>
    </cfRule>
  </conditionalFormatting>
  <conditionalFormatting sqref="AI95">
    <cfRule type="cellIs" dxfId="2895" priority="1475" operator="equal">
      <formula>TRUE</formula>
    </cfRule>
    <cfRule type="cellIs" dxfId="2894" priority="1476" operator="equal">
      <formula>FALSE</formula>
    </cfRule>
  </conditionalFormatting>
  <conditionalFormatting sqref="U96:W96 Y96:AA96 AF96:AH96">
    <cfRule type="cellIs" dxfId="2893" priority="1473" operator="equal">
      <formula>TRUE</formula>
    </cfRule>
    <cfRule type="cellIs" dxfId="2892" priority="1474" operator="equal">
      <formula>FALSE</formula>
    </cfRule>
  </conditionalFormatting>
  <conditionalFormatting sqref="X96">
    <cfRule type="cellIs" dxfId="2891" priority="1471" operator="equal">
      <formula>TRUE</formula>
    </cfRule>
    <cfRule type="cellIs" dxfId="2890" priority="1472" operator="equal">
      <formula>FALSE</formula>
    </cfRule>
  </conditionalFormatting>
  <conditionalFormatting sqref="AI96">
    <cfRule type="cellIs" dxfId="2889" priority="1469" operator="equal">
      <formula>TRUE</formula>
    </cfRule>
    <cfRule type="cellIs" dxfId="2888" priority="1470" operator="equal">
      <formula>FALSE</formula>
    </cfRule>
  </conditionalFormatting>
  <conditionalFormatting sqref="U97:W97 Y97:AA97 AF97:AH97">
    <cfRule type="cellIs" dxfId="2887" priority="1467" operator="equal">
      <formula>TRUE</formula>
    </cfRule>
    <cfRule type="cellIs" dxfId="2886" priority="1468" operator="equal">
      <formula>FALSE</formula>
    </cfRule>
  </conditionalFormatting>
  <conditionalFormatting sqref="X97">
    <cfRule type="cellIs" dxfId="2885" priority="1465" operator="equal">
      <formula>TRUE</formula>
    </cfRule>
    <cfRule type="cellIs" dxfId="2884" priority="1466" operator="equal">
      <formula>FALSE</formula>
    </cfRule>
  </conditionalFormatting>
  <conditionalFormatting sqref="AI97">
    <cfRule type="cellIs" dxfId="2883" priority="1463" operator="equal">
      <formula>TRUE</formula>
    </cfRule>
    <cfRule type="cellIs" dxfId="2882" priority="1464" operator="equal">
      <formula>FALSE</formula>
    </cfRule>
  </conditionalFormatting>
  <conditionalFormatting sqref="U98:W98 Y98:AA98 AF98:AH98">
    <cfRule type="cellIs" dxfId="2881" priority="1461" operator="equal">
      <formula>TRUE</formula>
    </cfRule>
    <cfRule type="cellIs" dxfId="2880" priority="1462" operator="equal">
      <formula>FALSE</formula>
    </cfRule>
  </conditionalFormatting>
  <conditionalFormatting sqref="X98">
    <cfRule type="cellIs" dxfId="2879" priority="1459" operator="equal">
      <formula>TRUE</formula>
    </cfRule>
    <cfRule type="cellIs" dxfId="2878" priority="1460" operator="equal">
      <formula>FALSE</formula>
    </cfRule>
  </conditionalFormatting>
  <conditionalFormatting sqref="AI98">
    <cfRule type="cellIs" dxfId="2877" priority="1457" operator="equal">
      <formula>TRUE</formula>
    </cfRule>
    <cfRule type="cellIs" dxfId="2876" priority="1458" operator="equal">
      <formula>FALSE</formula>
    </cfRule>
  </conditionalFormatting>
  <conditionalFormatting sqref="U99:W99 Y99:AA99 AF99:AH99">
    <cfRule type="cellIs" dxfId="2875" priority="1455" operator="equal">
      <formula>TRUE</formula>
    </cfRule>
    <cfRule type="cellIs" dxfId="2874" priority="1456" operator="equal">
      <formula>FALSE</formula>
    </cfRule>
  </conditionalFormatting>
  <conditionalFormatting sqref="X99">
    <cfRule type="cellIs" dxfId="2873" priority="1453" operator="equal">
      <formula>TRUE</formula>
    </cfRule>
    <cfRule type="cellIs" dxfId="2872" priority="1454" operator="equal">
      <formula>FALSE</formula>
    </cfRule>
  </conditionalFormatting>
  <conditionalFormatting sqref="AI99">
    <cfRule type="cellIs" dxfId="2871" priority="1451" operator="equal">
      <formula>TRUE</formula>
    </cfRule>
    <cfRule type="cellIs" dxfId="2870" priority="1452" operator="equal">
      <formula>FALSE</formula>
    </cfRule>
  </conditionalFormatting>
  <conditionalFormatting sqref="U100:W100 Y100:AA100 AF100:AH100">
    <cfRule type="cellIs" dxfId="2869" priority="1449" operator="equal">
      <formula>TRUE</formula>
    </cfRule>
    <cfRule type="cellIs" dxfId="2868" priority="1450" operator="equal">
      <formula>FALSE</formula>
    </cfRule>
  </conditionalFormatting>
  <conditionalFormatting sqref="X100">
    <cfRule type="cellIs" dxfId="2867" priority="1447" operator="equal">
      <formula>TRUE</formula>
    </cfRule>
    <cfRule type="cellIs" dxfId="2866" priority="1448" operator="equal">
      <formula>FALSE</formula>
    </cfRule>
  </conditionalFormatting>
  <conditionalFormatting sqref="AI100">
    <cfRule type="cellIs" dxfId="2865" priority="1445" operator="equal">
      <formula>TRUE</formula>
    </cfRule>
    <cfRule type="cellIs" dxfId="2864" priority="1446" operator="equal">
      <formula>FALSE</formula>
    </cfRule>
  </conditionalFormatting>
  <conditionalFormatting sqref="U101:W101 Y101:AA101 AF101:AH101">
    <cfRule type="cellIs" dxfId="2863" priority="1443" operator="equal">
      <formula>TRUE</formula>
    </cfRule>
    <cfRule type="cellIs" dxfId="2862" priority="1444" operator="equal">
      <formula>FALSE</formula>
    </cfRule>
  </conditionalFormatting>
  <conditionalFormatting sqref="X101">
    <cfRule type="cellIs" dxfId="2861" priority="1441" operator="equal">
      <formula>TRUE</formula>
    </cfRule>
    <cfRule type="cellIs" dxfId="2860" priority="1442" operator="equal">
      <formula>FALSE</formula>
    </cfRule>
  </conditionalFormatting>
  <conditionalFormatting sqref="AI101">
    <cfRule type="cellIs" dxfId="2859" priority="1439" operator="equal">
      <formula>TRUE</formula>
    </cfRule>
    <cfRule type="cellIs" dxfId="2858" priority="1440" operator="equal">
      <formula>FALSE</formula>
    </cfRule>
  </conditionalFormatting>
  <conditionalFormatting sqref="U102:W102 Y102:AA102 AF102:AH102">
    <cfRule type="cellIs" dxfId="2857" priority="1437" operator="equal">
      <formula>TRUE</formula>
    </cfRule>
    <cfRule type="cellIs" dxfId="2856" priority="1438" operator="equal">
      <formula>FALSE</formula>
    </cfRule>
  </conditionalFormatting>
  <conditionalFormatting sqref="X102">
    <cfRule type="cellIs" dxfId="2855" priority="1435" operator="equal">
      <formula>TRUE</formula>
    </cfRule>
    <cfRule type="cellIs" dxfId="2854" priority="1436" operator="equal">
      <formula>FALSE</formula>
    </cfRule>
  </conditionalFormatting>
  <conditionalFormatting sqref="AI102">
    <cfRule type="cellIs" dxfId="2853" priority="1433" operator="equal">
      <formula>TRUE</formula>
    </cfRule>
    <cfRule type="cellIs" dxfId="2852" priority="1434" operator="equal">
      <formula>FALSE</formula>
    </cfRule>
  </conditionalFormatting>
  <conditionalFormatting sqref="U103:W103 Y103:AA103 AF103:AH103">
    <cfRule type="cellIs" dxfId="2851" priority="1431" operator="equal">
      <formula>TRUE</formula>
    </cfRule>
    <cfRule type="cellIs" dxfId="2850" priority="1432" operator="equal">
      <formula>FALSE</formula>
    </cfRule>
  </conditionalFormatting>
  <conditionalFormatting sqref="X103">
    <cfRule type="cellIs" dxfId="2849" priority="1429" operator="equal">
      <formula>TRUE</formula>
    </cfRule>
    <cfRule type="cellIs" dxfId="2848" priority="1430" operator="equal">
      <formula>FALSE</formula>
    </cfRule>
  </conditionalFormatting>
  <conditionalFormatting sqref="AI103">
    <cfRule type="cellIs" dxfId="2847" priority="1427" operator="equal">
      <formula>TRUE</formula>
    </cfRule>
    <cfRule type="cellIs" dxfId="2846" priority="1428" operator="equal">
      <formula>FALSE</formula>
    </cfRule>
  </conditionalFormatting>
  <conditionalFormatting sqref="U104:W104 Y104:AA104 AF104:AH104">
    <cfRule type="cellIs" dxfId="2845" priority="1425" operator="equal">
      <formula>TRUE</formula>
    </cfRule>
    <cfRule type="cellIs" dxfId="2844" priority="1426" operator="equal">
      <formula>FALSE</formula>
    </cfRule>
  </conditionalFormatting>
  <conditionalFormatting sqref="X104">
    <cfRule type="cellIs" dxfId="2843" priority="1423" operator="equal">
      <formula>TRUE</formula>
    </cfRule>
    <cfRule type="cellIs" dxfId="2842" priority="1424" operator="equal">
      <formula>FALSE</formula>
    </cfRule>
  </conditionalFormatting>
  <conditionalFormatting sqref="AI104">
    <cfRule type="cellIs" dxfId="2841" priority="1421" operator="equal">
      <formula>TRUE</formula>
    </cfRule>
    <cfRule type="cellIs" dxfId="2840" priority="1422" operator="equal">
      <formula>FALSE</formula>
    </cfRule>
  </conditionalFormatting>
  <conditionalFormatting sqref="U115:W115 Y115:AA115 AF115:AH115">
    <cfRule type="cellIs" dxfId="2839" priority="1395" operator="equal">
      <formula>TRUE</formula>
    </cfRule>
    <cfRule type="cellIs" dxfId="2838" priority="1396" operator="equal">
      <formula>FALSE</formula>
    </cfRule>
  </conditionalFormatting>
  <conditionalFormatting sqref="X115">
    <cfRule type="cellIs" dxfId="2837" priority="1393" operator="equal">
      <formula>TRUE</formula>
    </cfRule>
    <cfRule type="cellIs" dxfId="2836" priority="1394" operator="equal">
      <formula>FALSE</formula>
    </cfRule>
  </conditionalFormatting>
  <conditionalFormatting sqref="AI115">
    <cfRule type="cellIs" dxfId="2835" priority="1391" operator="equal">
      <formula>TRUE</formula>
    </cfRule>
    <cfRule type="cellIs" dxfId="2834" priority="1392" operator="equal">
      <formula>FALSE</formula>
    </cfRule>
  </conditionalFormatting>
  <conditionalFormatting sqref="X116">
    <cfRule type="cellIs" dxfId="2833" priority="1387" operator="equal">
      <formula>TRUE</formula>
    </cfRule>
    <cfRule type="cellIs" dxfId="2832" priority="1388" operator="equal">
      <formula>FALSE</formula>
    </cfRule>
  </conditionalFormatting>
  <conditionalFormatting sqref="AI116">
    <cfRule type="cellIs" dxfId="2831" priority="1385" operator="equal">
      <formula>TRUE</formula>
    </cfRule>
    <cfRule type="cellIs" dxfId="2830" priority="1386" operator="equal">
      <formula>FALSE</formula>
    </cfRule>
  </conditionalFormatting>
  <conditionalFormatting sqref="U117:W117 Y117:AA117 AF117:AH117">
    <cfRule type="cellIs" dxfId="2829" priority="1383" operator="equal">
      <formula>TRUE</formula>
    </cfRule>
    <cfRule type="cellIs" dxfId="2828" priority="1384" operator="equal">
      <formula>FALSE</formula>
    </cfRule>
  </conditionalFormatting>
  <conditionalFormatting sqref="AI117">
    <cfRule type="cellIs" dxfId="2827" priority="1379" operator="equal">
      <formula>TRUE</formula>
    </cfRule>
    <cfRule type="cellIs" dxfId="2826" priority="1380" operator="equal">
      <formula>FALSE</formula>
    </cfRule>
  </conditionalFormatting>
  <conditionalFormatting sqref="U118:W118 Y118:AA118 AF118:AH118">
    <cfRule type="cellIs" dxfId="2825" priority="1377" operator="equal">
      <formula>TRUE</formula>
    </cfRule>
    <cfRule type="cellIs" dxfId="2824" priority="1378" operator="equal">
      <formula>FALSE</formula>
    </cfRule>
  </conditionalFormatting>
  <conditionalFormatting sqref="X118">
    <cfRule type="cellIs" dxfId="2823" priority="1375" operator="equal">
      <formula>TRUE</formula>
    </cfRule>
    <cfRule type="cellIs" dxfId="2822" priority="1376" operator="equal">
      <formula>FALSE</formula>
    </cfRule>
  </conditionalFormatting>
  <conditionalFormatting sqref="U119:W119 Y119:AA119 AF119:AH119">
    <cfRule type="cellIs" dxfId="2821" priority="1371" operator="equal">
      <formula>TRUE</formula>
    </cfRule>
    <cfRule type="cellIs" dxfId="2820" priority="1372" operator="equal">
      <formula>FALSE</formula>
    </cfRule>
  </conditionalFormatting>
  <conditionalFormatting sqref="X119">
    <cfRule type="cellIs" dxfId="2819" priority="1369" operator="equal">
      <formula>TRUE</formula>
    </cfRule>
    <cfRule type="cellIs" dxfId="2818" priority="1370" operator="equal">
      <formula>FALSE</formula>
    </cfRule>
  </conditionalFormatting>
  <conditionalFormatting sqref="AI119">
    <cfRule type="cellIs" dxfId="2817" priority="1367" operator="equal">
      <formula>TRUE</formula>
    </cfRule>
    <cfRule type="cellIs" dxfId="2816" priority="1368" operator="equal">
      <formula>FALSE</formula>
    </cfRule>
  </conditionalFormatting>
  <conditionalFormatting sqref="X120">
    <cfRule type="cellIs" dxfId="2815" priority="1363" operator="equal">
      <formula>TRUE</formula>
    </cfRule>
    <cfRule type="cellIs" dxfId="2814" priority="1364" operator="equal">
      <formula>FALSE</formula>
    </cfRule>
  </conditionalFormatting>
  <conditionalFormatting sqref="AI120">
    <cfRule type="cellIs" dxfId="2813" priority="1361" operator="equal">
      <formula>TRUE</formula>
    </cfRule>
    <cfRule type="cellIs" dxfId="2812" priority="1362" operator="equal">
      <formula>FALSE</formula>
    </cfRule>
  </conditionalFormatting>
  <conditionalFormatting sqref="U121:W121 Y121:AA121 AF121:AH121">
    <cfRule type="cellIs" dxfId="2811" priority="1359" operator="equal">
      <formula>TRUE</formula>
    </cfRule>
    <cfRule type="cellIs" dxfId="2810" priority="1360" operator="equal">
      <formula>FALSE</formula>
    </cfRule>
  </conditionalFormatting>
  <conditionalFormatting sqref="U116:W116 Y116:AA116 AF116:AH116">
    <cfRule type="cellIs" dxfId="2809" priority="1389" operator="equal">
      <formula>TRUE</formula>
    </cfRule>
    <cfRule type="cellIs" dxfId="2808" priority="1390" operator="equal">
      <formula>FALSE</formula>
    </cfRule>
  </conditionalFormatting>
  <conditionalFormatting sqref="X117">
    <cfRule type="cellIs" dxfId="2807" priority="1381" operator="equal">
      <formula>TRUE</formula>
    </cfRule>
    <cfRule type="cellIs" dxfId="2806" priority="1382" operator="equal">
      <formula>FALSE</formula>
    </cfRule>
  </conditionalFormatting>
  <conditionalFormatting sqref="AI118">
    <cfRule type="cellIs" dxfId="2805" priority="1373" operator="equal">
      <formula>TRUE</formula>
    </cfRule>
    <cfRule type="cellIs" dxfId="2804" priority="1374" operator="equal">
      <formula>FALSE</formula>
    </cfRule>
  </conditionalFormatting>
  <conditionalFormatting sqref="U120:W120 Y120:AA120 AF120:AH120">
    <cfRule type="cellIs" dxfId="2803" priority="1365" operator="equal">
      <formula>TRUE</formula>
    </cfRule>
    <cfRule type="cellIs" dxfId="2802" priority="1366" operator="equal">
      <formula>FALSE</formula>
    </cfRule>
  </conditionalFormatting>
  <conditionalFormatting sqref="X121">
    <cfRule type="cellIs" dxfId="2801" priority="1357" operator="equal">
      <formula>TRUE</formula>
    </cfRule>
    <cfRule type="cellIs" dxfId="2800" priority="1358" operator="equal">
      <formula>FALSE</formula>
    </cfRule>
  </conditionalFormatting>
  <conditionalFormatting sqref="AI121">
    <cfRule type="cellIs" dxfId="2799" priority="1355" operator="equal">
      <formula>TRUE</formula>
    </cfRule>
    <cfRule type="cellIs" dxfId="2798" priority="1356" operator="equal">
      <formula>FALSE</formula>
    </cfRule>
  </conditionalFormatting>
  <conditionalFormatting sqref="X122">
    <cfRule type="cellIs" dxfId="2797" priority="1351" operator="equal">
      <formula>TRUE</formula>
    </cfRule>
    <cfRule type="cellIs" dxfId="2796" priority="1352" operator="equal">
      <formula>FALSE</formula>
    </cfRule>
  </conditionalFormatting>
  <conditionalFormatting sqref="AI122">
    <cfRule type="cellIs" dxfId="2795" priority="1349" operator="equal">
      <formula>TRUE</formula>
    </cfRule>
    <cfRule type="cellIs" dxfId="2794" priority="1350" operator="equal">
      <formula>FALSE</formula>
    </cfRule>
  </conditionalFormatting>
  <conditionalFormatting sqref="U123:W123 Y123:AA123 AF123:AH123">
    <cfRule type="cellIs" dxfId="2793" priority="1347" operator="equal">
      <formula>TRUE</formula>
    </cfRule>
    <cfRule type="cellIs" dxfId="2792" priority="1348" operator="equal">
      <formula>FALSE</formula>
    </cfRule>
  </conditionalFormatting>
  <conditionalFormatting sqref="U122:W122 Y122:AA122 AF122:AH122">
    <cfRule type="cellIs" dxfId="2791" priority="1353" operator="equal">
      <formula>TRUE</formula>
    </cfRule>
    <cfRule type="cellIs" dxfId="2790" priority="1354" operator="equal">
      <formula>FALSE</formula>
    </cfRule>
  </conditionalFormatting>
  <conditionalFormatting sqref="U111:W111 Y111:AA111 AF111:AH111">
    <cfRule type="cellIs" dxfId="2789" priority="1419" operator="equal">
      <formula>TRUE</formula>
    </cfRule>
    <cfRule type="cellIs" dxfId="2788" priority="1420" operator="equal">
      <formula>FALSE</formula>
    </cfRule>
  </conditionalFormatting>
  <conditionalFormatting sqref="X111">
    <cfRule type="cellIs" dxfId="2787" priority="1417" operator="equal">
      <formula>TRUE</formula>
    </cfRule>
    <cfRule type="cellIs" dxfId="2786" priority="1418" operator="equal">
      <formula>FALSE</formula>
    </cfRule>
  </conditionalFormatting>
  <conditionalFormatting sqref="AI111">
    <cfRule type="cellIs" dxfId="2785" priority="1415" operator="equal">
      <formula>TRUE</formula>
    </cfRule>
    <cfRule type="cellIs" dxfId="2784" priority="1416" operator="equal">
      <formula>FALSE</formula>
    </cfRule>
  </conditionalFormatting>
  <conditionalFormatting sqref="U112:W112 Y112:AA112 AF112:AH112">
    <cfRule type="cellIs" dxfId="2783" priority="1413" operator="equal">
      <formula>TRUE</formula>
    </cfRule>
    <cfRule type="cellIs" dxfId="2782" priority="1414" operator="equal">
      <formula>FALSE</formula>
    </cfRule>
  </conditionalFormatting>
  <conditionalFormatting sqref="X112">
    <cfRule type="cellIs" dxfId="2781" priority="1411" operator="equal">
      <formula>TRUE</formula>
    </cfRule>
    <cfRule type="cellIs" dxfId="2780" priority="1412" operator="equal">
      <formula>FALSE</formula>
    </cfRule>
  </conditionalFormatting>
  <conditionalFormatting sqref="AI112">
    <cfRule type="cellIs" dxfId="2779" priority="1409" operator="equal">
      <formula>TRUE</formula>
    </cfRule>
    <cfRule type="cellIs" dxfId="2778" priority="1410" operator="equal">
      <formula>FALSE</formula>
    </cfRule>
  </conditionalFormatting>
  <conditionalFormatting sqref="U113:W113 Y113:AA113 AF113:AH113">
    <cfRule type="cellIs" dxfId="2777" priority="1407" operator="equal">
      <formula>TRUE</formula>
    </cfRule>
    <cfRule type="cellIs" dxfId="2776" priority="1408" operator="equal">
      <formula>FALSE</formula>
    </cfRule>
  </conditionalFormatting>
  <conditionalFormatting sqref="X113">
    <cfRule type="cellIs" dxfId="2775" priority="1405" operator="equal">
      <formula>TRUE</formula>
    </cfRule>
    <cfRule type="cellIs" dxfId="2774" priority="1406" operator="equal">
      <formula>FALSE</formula>
    </cfRule>
  </conditionalFormatting>
  <conditionalFormatting sqref="AI113">
    <cfRule type="cellIs" dxfId="2773" priority="1403" operator="equal">
      <formula>TRUE</formula>
    </cfRule>
    <cfRule type="cellIs" dxfId="2772" priority="1404" operator="equal">
      <formula>FALSE</formula>
    </cfRule>
  </conditionalFormatting>
  <conditionalFormatting sqref="U114:W114 Y114:AA114 AF114:AH114">
    <cfRule type="cellIs" dxfId="2771" priority="1401" operator="equal">
      <formula>TRUE</formula>
    </cfRule>
    <cfRule type="cellIs" dxfId="2770" priority="1402" operator="equal">
      <formula>FALSE</formula>
    </cfRule>
  </conditionalFormatting>
  <conditionalFormatting sqref="X114">
    <cfRule type="cellIs" dxfId="2769" priority="1399" operator="equal">
      <formula>TRUE</formula>
    </cfRule>
    <cfRule type="cellIs" dxfId="2768" priority="1400" operator="equal">
      <formula>FALSE</formula>
    </cfRule>
  </conditionalFormatting>
  <conditionalFormatting sqref="AI114">
    <cfRule type="cellIs" dxfId="2767" priority="1397" operator="equal">
      <formula>TRUE</formula>
    </cfRule>
    <cfRule type="cellIs" dxfId="2766" priority="1398" operator="equal">
      <formula>FALSE</formula>
    </cfRule>
  </conditionalFormatting>
  <conditionalFormatting sqref="X123">
    <cfRule type="cellIs" dxfId="2765" priority="1345" operator="equal">
      <formula>TRUE</formula>
    </cfRule>
    <cfRule type="cellIs" dxfId="2764" priority="1346" operator="equal">
      <formula>FALSE</formula>
    </cfRule>
  </conditionalFormatting>
  <conditionalFormatting sqref="AI123">
    <cfRule type="cellIs" dxfId="2763" priority="1343" operator="equal">
      <formula>TRUE</formula>
    </cfRule>
    <cfRule type="cellIs" dxfId="2762" priority="1344" operator="equal">
      <formula>FALSE</formula>
    </cfRule>
  </conditionalFormatting>
  <conditionalFormatting sqref="U124:W124 Y124:AA124 AF124:AH124">
    <cfRule type="cellIs" dxfId="2761" priority="1341" operator="equal">
      <formula>TRUE</formula>
    </cfRule>
    <cfRule type="cellIs" dxfId="2760" priority="1342" operator="equal">
      <formula>FALSE</formula>
    </cfRule>
  </conditionalFormatting>
  <conditionalFormatting sqref="X124">
    <cfRule type="cellIs" dxfId="2759" priority="1339" operator="equal">
      <formula>TRUE</formula>
    </cfRule>
    <cfRule type="cellIs" dxfId="2758" priority="1340" operator="equal">
      <formula>FALSE</formula>
    </cfRule>
  </conditionalFormatting>
  <conditionalFormatting sqref="AI124">
    <cfRule type="cellIs" dxfId="2757" priority="1337" operator="equal">
      <formula>TRUE</formula>
    </cfRule>
    <cfRule type="cellIs" dxfId="2756" priority="1338" operator="equal">
      <formula>FALSE</formula>
    </cfRule>
  </conditionalFormatting>
  <conditionalFormatting sqref="U125:W125 Y125:AA125 AF125:AH125">
    <cfRule type="cellIs" dxfId="2755" priority="1335" operator="equal">
      <formula>TRUE</formula>
    </cfRule>
    <cfRule type="cellIs" dxfId="2754" priority="1336" operator="equal">
      <formula>FALSE</formula>
    </cfRule>
  </conditionalFormatting>
  <conditionalFormatting sqref="X125">
    <cfRule type="cellIs" dxfId="2753" priority="1333" operator="equal">
      <formula>TRUE</formula>
    </cfRule>
    <cfRule type="cellIs" dxfId="2752" priority="1334" operator="equal">
      <formula>FALSE</formula>
    </cfRule>
  </conditionalFormatting>
  <conditionalFormatting sqref="AI125">
    <cfRule type="cellIs" dxfId="2751" priority="1331" operator="equal">
      <formula>TRUE</formula>
    </cfRule>
    <cfRule type="cellIs" dxfId="2750" priority="1332" operator="equal">
      <formula>FALSE</formula>
    </cfRule>
  </conditionalFormatting>
  <conditionalFormatting sqref="U126:W126 Y126:AA126 AF126:AH126">
    <cfRule type="cellIs" dxfId="2749" priority="1329" operator="equal">
      <formula>TRUE</formula>
    </cfRule>
    <cfRule type="cellIs" dxfId="2748" priority="1330" operator="equal">
      <formula>FALSE</formula>
    </cfRule>
  </conditionalFormatting>
  <conditionalFormatting sqref="X126">
    <cfRule type="cellIs" dxfId="2747" priority="1327" operator="equal">
      <formula>TRUE</formula>
    </cfRule>
    <cfRule type="cellIs" dxfId="2746" priority="1328" operator="equal">
      <formula>FALSE</formula>
    </cfRule>
  </conditionalFormatting>
  <conditionalFormatting sqref="AI126">
    <cfRule type="cellIs" dxfId="2745" priority="1325" operator="equal">
      <formula>TRUE</formula>
    </cfRule>
    <cfRule type="cellIs" dxfId="2744" priority="1326" operator="equal">
      <formula>FALSE</formula>
    </cfRule>
  </conditionalFormatting>
  <conditionalFormatting sqref="U127:W127 Y127:AA127 AF127:AH127">
    <cfRule type="cellIs" dxfId="2743" priority="1323" operator="equal">
      <formula>TRUE</formula>
    </cfRule>
    <cfRule type="cellIs" dxfId="2742" priority="1324" operator="equal">
      <formula>FALSE</formula>
    </cfRule>
  </conditionalFormatting>
  <conditionalFormatting sqref="X127">
    <cfRule type="cellIs" dxfId="2741" priority="1321" operator="equal">
      <formula>TRUE</formula>
    </cfRule>
    <cfRule type="cellIs" dxfId="2740" priority="1322" operator="equal">
      <formula>FALSE</formula>
    </cfRule>
  </conditionalFormatting>
  <conditionalFormatting sqref="AI127">
    <cfRule type="cellIs" dxfId="2739" priority="1319" operator="equal">
      <formula>TRUE</formula>
    </cfRule>
    <cfRule type="cellIs" dxfId="2738" priority="1320" operator="equal">
      <formula>FALSE</formula>
    </cfRule>
  </conditionalFormatting>
  <conditionalFormatting sqref="U128:W128 Y128:AA128 AF128:AH128">
    <cfRule type="cellIs" dxfId="2737" priority="1317" operator="equal">
      <formula>TRUE</formula>
    </cfRule>
    <cfRule type="cellIs" dxfId="2736" priority="1318" operator="equal">
      <formula>FALSE</formula>
    </cfRule>
  </conditionalFormatting>
  <conditionalFormatting sqref="X128">
    <cfRule type="cellIs" dxfId="2735" priority="1315" operator="equal">
      <formula>TRUE</formula>
    </cfRule>
    <cfRule type="cellIs" dxfId="2734" priority="1316" operator="equal">
      <formula>FALSE</formula>
    </cfRule>
  </conditionalFormatting>
  <conditionalFormatting sqref="AI128">
    <cfRule type="cellIs" dxfId="2733" priority="1313" operator="equal">
      <formula>TRUE</formula>
    </cfRule>
    <cfRule type="cellIs" dxfId="2732" priority="1314" operator="equal">
      <formula>FALSE</formula>
    </cfRule>
  </conditionalFormatting>
  <conditionalFormatting sqref="U129:W129 Y129:AA129 AF129:AH129">
    <cfRule type="cellIs" dxfId="2731" priority="1311" operator="equal">
      <formula>TRUE</formula>
    </cfRule>
    <cfRule type="cellIs" dxfId="2730" priority="1312" operator="equal">
      <formula>FALSE</formula>
    </cfRule>
  </conditionalFormatting>
  <conditionalFormatting sqref="X129">
    <cfRule type="cellIs" dxfId="2729" priority="1309" operator="equal">
      <formula>TRUE</formula>
    </cfRule>
    <cfRule type="cellIs" dxfId="2728" priority="1310" operator="equal">
      <formula>FALSE</formula>
    </cfRule>
  </conditionalFormatting>
  <conditionalFormatting sqref="AI129">
    <cfRule type="cellIs" dxfId="2727" priority="1307" operator="equal">
      <formula>TRUE</formula>
    </cfRule>
    <cfRule type="cellIs" dxfId="2726" priority="1308" operator="equal">
      <formula>FALSE</formula>
    </cfRule>
  </conditionalFormatting>
  <conditionalFormatting sqref="U130:W130 Y130:AA130 AF130:AH130">
    <cfRule type="cellIs" dxfId="2725" priority="1305" operator="equal">
      <formula>TRUE</formula>
    </cfRule>
    <cfRule type="cellIs" dxfId="2724" priority="1306" operator="equal">
      <formula>FALSE</formula>
    </cfRule>
  </conditionalFormatting>
  <conditionalFormatting sqref="X130">
    <cfRule type="cellIs" dxfId="2723" priority="1303" operator="equal">
      <formula>TRUE</formula>
    </cfRule>
    <cfRule type="cellIs" dxfId="2722" priority="1304" operator="equal">
      <formula>FALSE</formula>
    </cfRule>
  </conditionalFormatting>
  <conditionalFormatting sqref="AI130">
    <cfRule type="cellIs" dxfId="2721" priority="1301" operator="equal">
      <formula>TRUE</formula>
    </cfRule>
    <cfRule type="cellIs" dxfId="2720" priority="1302" operator="equal">
      <formula>FALSE</formula>
    </cfRule>
  </conditionalFormatting>
  <conditionalFormatting sqref="U131:W131 Y131:AA131 AF131:AH131">
    <cfRule type="cellIs" dxfId="2719" priority="1299" operator="equal">
      <formula>TRUE</formula>
    </cfRule>
    <cfRule type="cellIs" dxfId="2718" priority="1300" operator="equal">
      <formula>FALSE</formula>
    </cfRule>
  </conditionalFormatting>
  <conditionalFormatting sqref="X131">
    <cfRule type="cellIs" dxfId="2717" priority="1297" operator="equal">
      <formula>TRUE</formula>
    </cfRule>
    <cfRule type="cellIs" dxfId="2716" priority="1298" operator="equal">
      <formula>FALSE</formula>
    </cfRule>
  </conditionalFormatting>
  <conditionalFormatting sqref="AI131">
    <cfRule type="cellIs" dxfId="2715" priority="1295" operator="equal">
      <formula>TRUE</formula>
    </cfRule>
    <cfRule type="cellIs" dxfId="2714" priority="1296" operator="equal">
      <formula>FALSE</formula>
    </cfRule>
  </conditionalFormatting>
  <conditionalFormatting sqref="U132:W132 Y132:AA132 AF132:AH132">
    <cfRule type="cellIs" dxfId="2713" priority="1293" operator="equal">
      <formula>TRUE</formula>
    </cfRule>
    <cfRule type="cellIs" dxfId="2712" priority="1294" operator="equal">
      <formula>FALSE</formula>
    </cfRule>
  </conditionalFormatting>
  <conditionalFormatting sqref="X132">
    <cfRule type="cellIs" dxfId="2711" priority="1291" operator="equal">
      <formula>TRUE</formula>
    </cfRule>
    <cfRule type="cellIs" dxfId="2710" priority="1292" operator="equal">
      <formula>FALSE</formula>
    </cfRule>
  </conditionalFormatting>
  <conditionalFormatting sqref="AI132">
    <cfRule type="cellIs" dxfId="2709" priority="1289" operator="equal">
      <formula>TRUE</formula>
    </cfRule>
    <cfRule type="cellIs" dxfId="2708" priority="1290" operator="equal">
      <formula>FALSE</formula>
    </cfRule>
  </conditionalFormatting>
  <conditionalFormatting sqref="U133:W133 Y133:AA133 AF133:AH133">
    <cfRule type="cellIs" dxfId="2707" priority="1287" operator="equal">
      <formula>TRUE</formula>
    </cfRule>
    <cfRule type="cellIs" dxfId="2706" priority="1288" operator="equal">
      <formula>FALSE</formula>
    </cfRule>
  </conditionalFormatting>
  <conditionalFormatting sqref="X133">
    <cfRule type="cellIs" dxfId="2705" priority="1285" operator="equal">
      <formula>TRUE</formula>
    </cfRule>
    <cfRule type="cellIs" dxfId="2704" priority="1286" operator="equal">
      <formula>FALSE</formula>
    </cfRule>
  </conditionalFormatting>
  <conditionalFormatting sqref="AI133">
    <cfRule type="cellIs" dxfId="2703" priority="1283" operator="equal">
      <formula>TRUE</formula>
    </cfRule>
    <cfRule type="cellIs" dxfId="2702" priority="1284" operator="equal">
      <formula>FALSE</formula>
    </cfRule>
  </conditionalFormatting>
  <conditionalFormatting sqref="U134:W134 Y134:AA134 AF134:AH134">
    <cfRule type="cellIs" dxfId="2701" priority="1281" operator="equal">
      <formula>TRUE</formula>
    </cfRule>
    <cfRule type="cellIs" dxfId="2700" priority="1282" operator="equal">
      <formula>FALSE</formula>
    </cfRule>
  </conditionalFormatting>
  <conditionalFormatting sqref="X134">
    <cfRule type="cellIs" dxfId="2699" priority="1279" operator="equal">
      <formula>TRUE</formula>
    </cfRule>
    <cfRule type="cellIs" dxfId="2698" priority="1280" operator="equal">
      <formula>FALSE</formula>
    </cfRule>
  </conditionalFormatting>
  <conditionalFormatting sqref="AI134">
    <cfRule type="cellIs" dxfId="2697" priority="1277" operator="equal">
      <formula>TRUE</formula>
    </cfRule>
    <cfRule type="cellIs" dxfId="2696" priority="1278" operator="equal">
      <formula>FALSE</formula>
    </cfRule>
  </conditionalFormatting>
  <conditionalFormatting sqref="U135:W135 Y135:AA135 AF135:AH135">
    <cfRule type="cellIs" dxfId="2695" priority="1275" operator="equal">
      <formula>TRUE</formula>
    </cfRule>
    <cfRule type="cellIs" dxfId="2694" priority="1276" operator="equal">
      <formula>FALSE</formula>
    </cfRule>
  </conditionalFormatting>
  <conditionalFormatting sqref="X135">
    <cfRule type="cellIs" dxfId="2693" priority="1273" operator="equal">
      <formula>TRUE</formula>
    </cfRule>
    <cfRule type="cellIs" dxfId="2692" priority="1274" operator="equal">
      <formula>FALSE</formula>
    </cfRule>
  </conditionalFormatting>
  <conditionalFormatting sqref="AI135">
    <cfRule type="cellIs" dxfId="2691" priority="1271" operator="equal">
      <formula>TRUE</formula>
    </cfRule>
    <cfRule type="cellIs" dxfId="2690" priority="1272" operator="equal">
      <formula>FALSE</formula>
    </cfRule>
  </conditionalFormatting>
  <conditionalFormatting sqref="U136:W136 Y136:AA136 AF136:AH136">
    <cfRule type="cellIs" dxfId="2689" priority="1269" operator="equal">
      <formula>TRUE</formula>
    </cfRule>
    <cfRule type="cellIs" dxfId="2688" priority="1270" operator="equal">
      <formula>FALSE</formula>
    </cfRule>
  </conditionalFormatting>
  <conditionalFormatting sqref="X136">
    <cfRule type="cellIs" dxfId="2687" priority="1267" operator="equal">
      <formula>TRUE</formula>
    </cfRule>
    <cfRule type="cellIs" dxfId="2686" priority="1268" operator="equal">
      <formula>FALSE</formula>
    </cfRule>
  </conditionalFormatting>
  <conditionalFormatting sqref="AI136">
    <cfRule type="cellIs" dxfId="2685" priority="1265" operator="equal">
      <formula>TRUE</formula>
    </cfRule>
    <cfRule type="cellIs" dxfId="2684" priority="1266" operator="equal">
      <formula>FALSE</formula>
    </cfRule>
  </conditionalFormatting>
  <conditionalFormatting sqref="U137:W137 Y137:AA137 AF137:AH137">
    <cfRule type="cellIs" dxfId="2683" priority="1263" operator="equal">
      <formula>TRUE</formula>
    </cfRule>
    <cfRule type="cellIs" dxfId="2682" priority="1264" operator="equal">
      <formula>FALSE</formula>
    </cfRule>
  </conditionalFormatting>
  <conditionalFormatting sqref="X137">
    <cfRule type="cellIs" dxfId="2681" priority="1261" operator="equal">
      <formula>TRUE</formula>
    </cfRule>
    <cfRule type="cellIs" dxfId="2680" priority="1262" operator="equal">
      <formula>FALSE</formula>
    </cfRule>
  </conditionalFormatting>
  <conditionalFormatting sqref="AI137">
    <cfRule type="cellIs" dxfId="2679" priority="1259" operator="equal">
      <formula>TRUE</formula>
    </cfRule>
    <cfRule type="cellIs" dxfId="2678" priority="1260" operator="equal">
      <formula>FALSE</formula>
    </cfRule>
  </conditionalFormatting>
  <conditionalFormatting sqref="U138:W138 Y138:AA138 AF138:AH138">
    <cfRule type="cellIs" dxfId="2677" priority="1257" operator="equal">
      <formula>TRUE</formula>
    </cfRule>
    <cfRule type="cellIs" dxfId="2676" priority="1258" operator="equal">
      <formula>FALSE</formula>
    </cfRule>
  </conditionalFormatting>
  <conditionalFormatting sqref="X138">
    <cfRule type="cellIs" dxfId="2675" priority="1255" operator="equal">
      <formula>TRUE</formula>
    </cfRule>
    <cfRule type="cellIs" dxfId="2674" priority="1256" operator="equal">
      <formula>FALSE</formula>
    </cfRule>
  </conditionalFormatting>
  <conditionalFormatting sqref="AI138">
    <cfRule type="cellIs" dxfId="2673" priority="1253" operator="equal">
      <formula>TRUE</formula>
    </cfRule>
    <cfRule type="cellIs" dxfId="2672" priority="1254" operator="equal">
      <formula>FALSE</formula>
    </cfRule>
  </conditionalFormatting>
  <conditionalFormatting sqref="U139:W139 Y139:AA139 AF139:AH139">
    <cfRule type="cellIs" dxfId="2671" priority="1251" operator="equal">
      <formula>TRUE</formula>
    </cfRule>
    <cfRule type="cellIs" dxfId="2670" priority="1252" operator="equal">
      <formula>FALSE</formula>
    </cfRule>
  </conditionalFormatting>
  <conditionalFormatting sqref="X139">
    <cfRule type="cellIs" dxfId="2669" priority="1249" operator="equal">
      <formula>TRUE</formula>
    </cfRule>
    <cfRule type="cellIs" dxfId="2668" priority="1250" operator="equal">
      <formula>FALSE</formula>
    </cfRule>
  </conditionalFormatting>
  <conditionalFormatting sqref="AI139">
    <cfRule type="cellIs" dxfId="2667" priority="1247" operator="equal">
      <formula>TRUE</formula>
    </cfRule>
    <cfRule type="cellIs" dxfId="2666" priority="1248" operator="equal">
      <formula>FALSE</formula>
    </cfRule>
  </conditionalFormatting>
  <conditionalFormatting sqref="U140:W140 Y140:AA140 AF140:AH140">
    <cfRule type="cellIs" dxfId="2665" priority="1245" operator="equal">
      <formula>TRUE</formula>
    </cfRule>
    <cfRule type="cellIs" dxfId="2664" priority="1246" operator="equal">
      <formula>FALSE</formula>
    </cfRule>
  </conditionalFormatting>
  <conditionalFormatting sqref="X140">
    <cfRule type="cellIs" dxfId="2663" priority="1243" operator="equal">
      <formula>TRUE</formula>
    </cfRule>
    <cfRule type="cellIs" dxfId="2662" priority="1244" operator="equal">
      <formula>FALSE</formula>
    </cfRule>
  </conditionalFormatting>
  <conditionalFormatting sqref="AI140">
    <cfRule type="cellIs" dxfId="2661" priority="1241" operator="equal">
      <formula>TRUE</formula>
    </cfRule>
    <cfRule type="cellIs" dxfId="2660" priority="1242" operator="equal">
      <formula>FALSE</formula>
    </cfRule>
  </conditionalFormatting>
  <conditionalFormatting sqref="U141:W141 Y141:AA141 AF141:AH141">
    <cfRule type="cellIs" dxfId="2659" priority="1239" operator="equal">
      <formula>TRUE</formula>
    </cfRule>
    <cfRule type="cellIs" dxfId="2658" priority="1240" operator="equal">
      <formula>FALSE</formula>
    </cfRule>
  </conditionalFormatting>
  <conditionalFormatting sqref="X141">
    <cfRule type="cellIs" dxfId="2657" priority="1237" operator="equal">
      <formula>TRUE</formula>
    </cfRule>
    <cfRule type="cellIs" dxfId="2656" priority="1238" operator="equal">
      <formula>FALSE</formula>
    </cfRule>
  </conditionalFormatting>
  <conditionalFormatting sqref="AI141">
    <cfRule type="cellIs" dxfId="2655" priority="1235" operator="equal">
      <formula>TRUE</formula>
    </cfRule>
    <cfRule type="cellIs" dxfId="2654" priority="1236" operator="equal">
      <formula>FALSE</formula>
    </cfRule>
  </conditionalFormatting>
  <conditionalFormatting sqref="U142:W142 Y142:AA142 AF142:AH142">
    <cfRule type="cellIs" dxfId="2653" priority="1233" operator="equal">
      <formula>TRUE</formula>
    </cfRule>
    <cfRule type="cellIs" dxfId="2652" priority="1234" operator="equal">
      <formula>FALSE</formula>
    </cfRule>
  </conditionalFormatting>
  <conditionalFormatting sqref="X142">
    <cfRule type="cellIs" dxfId="2651" priority="1231" operator="equal">
      <formula>TRUE</formula>
    </cfRule>
    <cfRule type="cellIs" dxfId="2650" priority="1232" operator="equal">
      <formula>FALSE</formula>
    </cfRule>
  </conditionalFormatting>
  <conditionalFormatting sqref="AI142">
    <cfRule type="cellIs" dxfId="2649" priority="1229" operator="equal">
      <formula>TRUE</formula>
    </cfRule>
    <cfRule type="cellIs" dxfId="2648" priority="1230" operator="equal">
      <formula>FALSE</formula>
    </cfRule>
  </conditionalFormatting>
  <conditionalFormatting sqref="U143:W143 Y143:AA143 AF143:AH143">
    <cfRule type="cellIs" dxfId="2647" priority="1227" operator="equal">
      <formula>TRUE</formula>
    </cfRule>
    <cfRule type="cellIs" dxfId="2646" priority="1228" operator="equal">
      <formula>FALSE</formula>
    </cfRule>
  </conditionalFormatting>
  <conditionalFormatting sqref="X143">
    <cfRule type="cellIs" dxfId="2645" priority="1225" operator="equal">
      <formula>TRUE</formula>
    </cfRule>
    <cfRule type="cellIs" dxfId="2644" priority="1226" operator="equal">
      <formula>FALSE</formula>
    </cfRule>
  </conditionalFormatting>
  <conditionalFormatting sqref="AI143">
    <cfRule type="cellIs" dxfId="2643" priority="1223" operator="equal">
      <formula>TRUE</formula>
    </cfRule>
    <cfRule type="cellIs" dxfId="2642" priority="1224" operator="equal">
      <formula>FALSE</formula>
    </cfRule>
  </conditionalFormatting>
  <conditionalFormatting sqref="U144:W144 Y144:AA144 AF144:AH144">
    <cfRule type="cellIs" dxfId="2641" priority="1221" operator="equal">
      <formula>TRUE</formula>
    </cfRule>
    <cfRule type="cellIs" dxfId="2640" priority="1222" operator="equal">
      <formula>FALSE</formula>
    </cfRule>
  </conditionalFormatting>
  <conditionalFormatting sqref="X144">
    <cfRule type="cellIs" dxfId="2639" priority="1219" operator="equal">
      <formula>TRUE</formula>
    </cfRule>
    <cfRule type="cellIs" dxfId="2638" priority="1220" operator="equal">
      <formula>FALSE</formula>
    </cfRule>
  </conditionalFormatting>
  <conditionalFormatting sqref="AI144">
    <cfRule type="cellIs" dxfId="2637" priority="1217" operator="equal">
      <formula>TRUE</formula>
    </cfRule>
    <cfRule type="cellIs" dxfId="2636" priority="1218" operator="equal">
      <formula>FALSE</formula>
    </cfRule>
  </conditionalFormatting>
  <conditionalFormatting sqref="U145:W145 Y145:AA145 AF145:AH145">
    <cfRule type="cellIs" dxfId="2635" priority="1215" operator="equal">
      <formula>TRUE</formula>
    </cfRule>
    <cfRule type="cellIs" dxfId="2634" priority="1216" operator="equal">
      <formula>FALSE</formula>
    </cfRule>
  </conditionalFormatting>
  <conditionalFormatting sqref="X145">
    <cfRule type="cellIs" dxfId="2633" priority="1213" operator="equal">
      <formula>TRUE</formula>
    </cfRule>
    <cfRule type="cellIs" dxfId="2632" priority="1214" operator="equal">
      <formula>FALSE</formula>
    </cfRule>
  </conditionalFormatting>
  <conditionalFormatting sqref="AI145">
    <cfRule type="cellIs" dxfId="2631" priority="1211" operator="equal">
      <formula>TRUE</formula>
    </cfRule>
    <cfRule type="cellIs" dxfId="2630" priority="1212" operator="equal">
      <formula>FALSE</formula>
    </cfRule>
  </conditionalFormatting>
  <conditionalFormatting sqref="U146:W146 Y146:AA146 AF146:AH146">
    <cfRule type="cellIs" dxfId="2629" priority="1209" operator="equal">
      <formula>TRUE</formula>
    </cfRule>
    <cfRule type="cellIs" dxfId="2628" priority="1210" operator="equal">
      <formula>FALSE</formula>
    </cfRule>
  </conditionalFormatting>
  <conditionalFormatting sqref="X146">
    <cfRule type="cellIs" dxfId="2627" priority="1207" operator="equal">
      <formula>TRUE</formula>
    </cfRule>
    <cfRule type="cellIs" dxfId="2626" priority="1208" operator="equal">
      <formula>FALSE</formula>
    </cfRule>
  </conditionalFormatting>
  <conditionalFormatting sqref="AI146">
    <cfRule type="cellIs" dxfId="2625" priority="1205" operator="equal">
      <formula>TRUE</formula>
    </cfRule>
    <cfRule type="cellIs" dxfId="2624" priority="1206" operator="equal">
      <formula>FALSE</formula>
    </cfRule>
  </conditionalFormatting>
  <conditionalFormatting sqref="U157:W157 Y157:AA157 AF157:AH157">
    <cfRule type="cellIs" dxfId="2623" priority="1179" operator="equal">
      <formula>TRUE</formula>
    </cfRule>
    <cfRule type="cellIs" dxfId="2622" priority="1180" operator="equal">
      <formula>FALSE</formula>
    </cfRule>
  </conditionalFormatting>
  <conditionalFormatting sqref="X157">
    <cfRule type="cellIs" dxfId="2621" priority="1177" operator="equal">
      <formula>TRUE</formula>
    </cfRule>
    <cfRule type="cellIs" dxfId="2620" priority="1178" operator="equal">
      <formula>FALSE</formula>
    </cfRule>
  </conditionalFormatting>
  <conditionalFormatting sqref="AI157">
    <cfRule type="cellIs" dxfId="2619" priority="1175" operator="equal">
      <formula>TRUE</formula>
    </cfRule>
    <cfRule type="cellIs" dxfId="2618" priority="1176" operator="equal">
      <formula>FALSE</formula>
    </cfRule>
  </conditionalFormatting>
  <conditionalFormatting sqref="X158">
    <cfRule type="cellIs" dxfId="2617" priority="1171" operator="equal">
      <formula>TRUE</formula>
    </cfRule>
    <cfRule type="cellIs" dxfId="2616" priority="1172" operator="equal">
      <formula>FALSE</formula>
    </cfRule>
  </conditionalFormatting>
  <conditionalFormatting sqref="AI158">
    <cfRule type="cellIs" dxfId="2615" priority="1169" operator="equal">
      <formula>TRUE</formula>
    </cfRule>
    <cfRule type="cellIs" dxfId="2614" priority="1170" operator="equal">
      <formula>FALSE</formula>
    </cfRule>
  </conditionalFormatting>
  <conditionalFormatting sqref="U159:W159 Y159:AA159 AF159:AH159">
    <cfRule type="cellIs" dxfId="2613" priority="1167" operator="equal">
      <formula>TRUE</formula>
    </cfRule>
    <cfRule type="cellIs" dxfId="2612" priority="1168" operator="equal">
      <formula>FALSE</formula>
    </cfRule>
  </conditionalFormatting>
  <conditionalFormatting sqref="AI159">
    <cfRule type="cellIs" dxfId="2611" priority="1163" operator="equal">
      <formula>TRUE</formula>
    </cfRule>
    <cfRule type="cellIs" dxfId="2610" priority="1164" operator="equal">
      <formula>FALSE</formula>
    </cfRule>
  </conditionalFormatting>
  <conditionalFormatting sqref="U160:W160 Y160:AA160 AF160:AH160">
    <cfRule type="cellIs" dxfId="2609" priority="1161" operator="equal">
      <formula>TRUE</formula>
    </cfRule>
    <cfRule type="cellIs" dxfId="2608" priority="1162" operator="equal">
      <formula>FALSE</formula>
    </cfRule>
  </conditionalFormatting>
  <conditionalFormatting sqref="X160">
    <cfRule type="cellIs" dxfId="2607" priority="1159" operator="equal">
      <formula>TRUE</formula>
    </cfRule>
    <cfRule type="cellIs" dxfId="2606" priority="1160" operator="equal">
      <formula>FALSE</formula>
    </cfRule>
  </conditionalFormatting>
  <conditionalFormatting sqref="U161:W161 Y161:AA161 AF161:AH161">
    <cfRule type="cellIs" dxfId="2605" priority="1155" operator="equal">
      <formula>TRUE</formula>
    </cfRule>
    <cfRule type="cellIs" dxfId="2604" priority="1156" operator="equal">
      <formula>FALSE</formula>
    </cfRule>
  </conditionalFormatting>
  <conditionalFormatting sqref="X161">
    <cfRule type="cellIs" dxfId="2603" priority="1153" operator="equal">
      <formula>TRUE</formula>
    </cfRule>
    <cfRule type="cellIs" dxfId="2602" priority="1154" operator="equal">
      <formula>FALSE</formula>
    </cfRule>
  </conditionalFormatting>
  <conditionalFormatting sqref="AI161">
    <cfRule type="cellIs" dxfId="2601" priority="1151" operator="equal">
      <formula>TRUE</formula>
    </cfRule>
    <cfRule type="cellIs" dxfId="2600" priority="1152" operator="equal">
      <formula>FALSE</formula>
    </cfRule>
  </conditionalFormatting>
  <conditionalFormatting sqref="X162">
    <cfRule type="cellIs" dxfId="2599" priority="1147" operator="equal">
      <formula>TRUE</formula>
    </cfRule>
    <cfRule type="cellIs" dxfId="2598" priority="1148" operator="equal">
      <formula>FALSE</formula>
    </cfRule>
  </conditionalFormatting>
  <conditionalFormatting sqref="AI162">
    <cfRule type="cellIs" dxfId="2597" priority="1145" operator="equal">
      <formula>TRUE</formula>
    </cfRule>
    <cfRule type="cellIs" dxfId="2596" priority="1146" operator="equal">
      <formula>FALSE</formula>
    </cfRule>
  </conditionalFormatting>
  <conditionalFormatting sqref="U163:W163 Y163:AA163 AF163:AH163">
    <cfRule type="cellIs" dxfId="2595" priority="1143" operator="equal">
      <formula>TRUE</formula>
    </cfRule>
    <cfRule type="cellIs" dxfId="2594" priority="1144" operator="equal">
      <formula>FALSE</formula>
    </cfRule>
  </conditionalFormatting>
  <conditionalFormatting sqref="U158:W158 Y158:AA158 AF158:AH158">
    <cfRule type="cellIs" dxfId="2593" priority="1173" operator="equal">
      <formula>TRUE</formula>
    </cfRule>
    <cfRule type="cellIs" dxfId="2592" priority="1174" operator="equal">
      <formula>FALSE</formula>
    </cfRule>
  </conditionalFormatting>
  <conditionalFormatting sqref="X159">
    <cfRule type="cellIs" dxfId="2591" priority="1165" operator="equal">
      <formula>TRUE</formula>
    </cfRule>
    <cfRule type="cellIs" dxfId="2590" priority="1166" operator="equal">
      <formula>FALSE</formula>
    </cfRule>
  </conditionalFormatting>
  <conditionalFormatting sqref="AI160">
    <cfRule type="cellIs" dxfId="2589" priority="1157" operator="equal">
      <formula>TRUE</formula>
    </cfRule>
    <cfRule type="cellIs" dxfId="2588" priority="1158" operator="equal">
      <formula>FALSE</formula>
    </cfRule>
  </conditionalFormatting>
  <conditionalFormatting sqref="U162:W162 Y162:AA162 AF162:AH162">
    <cfRule type="cellIs" dxfId="2587" priority="1149" operator="equal">
      <formula>TRUE</formula>
    </cfRule>
    <cfRule type="cellIs" dxfId="2586" priority="1150" operator="equal">
      <formula>FALSE</formula>
    </cfRule>
  </conditionalFormatting>
  <conditionalFormatting sqref="X163">
    <cfRule type="cellIs" dxfId="2585" priority="1141" operator="equal">
      <formula>TRUE</formula>
    </cfRule>
    <cfRule type="cellIs" dxfId="2584" priority="1142" operator="equal">
      <formula>FALSE</formula>
    </cfRule>
  </conditionalFormatting>
  <conditionalFormatting sqref="AI163">
    <cfRule type="cellIs" dxfId="2583" priority="1139" operator="equal">
      <formula>TRUE</formula>
    </cfRule>
    <cfRule type="cellIs" dxfId="2582" priority="1140" operator="equal">
      <formula>FALSE</formula>
    </cfRule>
  </conditionalFormatting>
  <conditionalFormatting sqref="X164">
    <cfRule type="cellIs" dxfId="2581" priority="1135" operator="equal">
      <formula>TRUE</formula>
    </cfRule>
    <cfRule type="cellIs" dxfId="2580" priority="1136" operator="equal">
      <formula>FALSE</formula>
    </cfRule>
  </conditionalFormatting>
  <conditionalFormatting sqref="AI164">
    <cfRule type="cellIs" dxfId="2579" priority="1133" operator="equal">
      <formula>TRUE</formula>
    </cfRule>
    <cfRule type="cellIs" dxfId="2578" priority="1134" operator="equal">
      <formula>FALSE</formula>
    </cfRule>
  </conditionalFormatting>
  <conditionalFormatting sqref="U164:W164 Y164:AA164 AF164:AH164">
    <cfRule type="cellIs" dxfId="2577" priority="1137" operator="equal">
      <formula>TRUE</formula>
    </cfRule>
    <cfRule type="cellIs" dxfId="2576" priority="1138" operator="equal">
      <formula>FALSE</formula>
    </cfRule>
  </conditionalFormatting>
  <conditionalFormatting sqref="U153:W153 Y153:AA153 AF153:AH153">
    <cfRule type="cellIs" dxfId="2575" priority="1203" operator="equal">
      <formula>TRUE</formula>
    </cfRule>
    <cfRule type="cellIs" dxfId="2574" priority="1204" operator="equal">
      <formula>FALSE</formula>
    </cfRule>
  </conditionalFormatting>
  <conditionalFormatting sqref="X153">
    <cfRule type="cellIs" dxfId="2573" priority="1201" operator="equal">
      <formula>TRUE</formula>
    </cfRule>
    <cfRule type="cellIs" dxfId="2572" priority="1202" operator="equal">
      <formula>FALSE</formula>
    </cfRule>
  </conditionalFormatting>
  <conditionalFormatting sqref="AI153">
    <cfRule type="cellIs" dxfId="2571" priority="1199" operator="equal">
      <formula>TRUE</formula>
    </cfRule>
    <cfRule type="cellIs" dxfId="2570" priority="1200" operator="equal">
      <formula>FALSE</formula>
    </cfRule>
  </conditionalFormatting>
  <conditionalFormatting sqref="U154:W154 Y154:AA154 AF154:AH154">
    <cfRule type="cellIs" dxfId="2569" priority="1197" operator="equal">
      <formula>TRUE</formula>
    </cfRule>
    <cfRule type="cellIs" dxfId="2568" priority="1198" operator="equal">
      <formula>FALSE</formula>
    </cfRule>
  </conditionalFormatting>
  <conditionalFormatting sqref="X154">
    <cfRule type="cellIs" dxfId="2567" priority="1195" operator="equal">
      <formula>TRUE</formula>
    </cfRule>
    <cfRule type="cellIs" dxfId="2566" priority="1196" operator="equal">
      <formula>FALSE</formula>
    </cfRule>
  </conditionalFormatting>
  <conditionalFormatting sqref="AI154">
    <cfRule type="cellIs" dxfId="2565" priority="1193" operator="equal">
      <formula>TRUE</formula>
    </cfRule>
    <cfRule type="cellIs" dxfId="2564" priority="1194" operator="equal">
      <formula>FALSE</formula>
    </cfRule>
  </conditionalFormatting>
  <conditionalFormatting sqref="U155:W155 Y155:AA155 AF155:AH155">
    <cfRule type="cellIs" dxfId="2563" priority="1191" operator="equal">
      <formula>TRUE</formula>
    </cfRule>
    <cfRule type="cellIs" dxfId="2562" priority="1192" operator="equal">
      <formula>FALSE</formula>
    </cfRule>
  </conditionalFormatting>
  <conditionalFormatting sqref="X155">
    <cfRule type="cellIs" dxfId="2561" priority="1189" operator="equal">
      <formula>TRUE</formula>
    </cfRule>
    <cfRule type="cellIs" dxfId="2560" priority="1190" operator="equal">
      <formula>FALSE</formula>
    </cfRule>
  </conditionalFormatting>
  <conditionalFormatting sqref="AI155">
    <cfRule type="cellIs" dxfId="2559" priority="1187" operator="equal">
      <formula>TRUE</formula>
    </cfRule>
    <cfRule type="cellIs" dxfId="2558" priority="1188" operator="equal">
      <formula>FALSE</formula>
    </cfRule>
  </conditionalFormatting>
  <conditionalFormatting sqref="U156:W156 Y156:AA156 AF156:AH156">
    <cfRule type="cellIs" dxfId="2557" priority="1185" operator="equal">
      <formula>TRUE</formula>
    </cfRule>
    <cfRule type="cellIs" dxfId="2556" priority="1186" operator="equal">
      <formula>FALSE</formula>
    </cfRule>
  </conditionalFormatting>
  <conditionalFormatting sqref="X156">
    <cfRule type="cellIs" dxfId="2555" priority="1183" operator="equal">
      <formula>TRUE</formula>
    </cfRule>
    <cfRule type="cellIs" dxfId="2554" priority="1184" operator="equal">
      <formula>FALSE</formula>
    </cfRule>
  </conditionalFormatting>
  <conditionalFormatting sqref="AI156">
    <cfRule type="cellIs" dxfId="2553" priority="1181" operator="equal">
      <formula>TRUE</formula>
    </cfRule>
    <cfRule type="cellIs" dxfId="2552" priority="1182" operator="equal">
      <formula>FALSE</formula>
    </cfRule>
  </conditionalFormatting>
  <conditionalFormatting sqref="U165:W165 Y165:AA165 AF165:AH165">
    <cfRule type="cellIs" dxfId="2551" priority="1131" operator="equal">
      <formula>TRUE</formula>
    </cfRule>
    <cfRule type="cellIs" dxfId="2550" priority="1132" operator="equal">
      <formula>FALSE</formula>
    </cfRule>
  </conditionalFormatting>
  <conditionalFormatting sqref="X165">
    <cfRule type="cellIs" dxfId="2549" priority="1129" operator="equal">
      <formula>TRUE</formula>
    </cfRule>
    <cfRule type="cellIs" dxfId="2548" priority="1130" operator="equal">
      <formula>FALSE</formula>
    </cfRule>
  </conditionalFormatting>
  <conditionalFormatting sqref="AI165">
    <cfRule type="cellIs" dxfId="2547" priority="1127" operator="equal">
      <formula>TRUE</formula>
    </cfRule>
    <cfRule type="cellIs" dxfId="2546" priority="1128" operator="equal">
      <formula>FALSE</formula>
    </cfRule>
  </conditionalFormatting>
  <conditionalFormatting sqref="U166:W166 Y166:AA166 AF166:AH166">
    <cfRule type="cellIs" dxfId="2545" priority="1125" operator="equal">
      <formula>TRUE</formula>
    </cfRule>
    <cfRule type="cellIs" dxfId="2544" priority="1126" operator="equal">
      <formula>FALSE</formula>
    </cfRule>
  </conditionalFormatting>
  <conditionalFormatting sqref="X166">
    <cfRule type="cellIs" dxfId="2543" priority="1123" operator="equal">
      <formula>TRUE</formula>
    </cfRule>
    <cfRule type="cellIs" dxfId="2542" priority="1124" operator="equal">
      <formula>FALSE</formula>
    </cfRule>
  </conditionalFormatting>
  <conditionalFormatting sqref="AI166">
    <cfRule type="cellIs" dxfId="2541" priority="1121" operator="equal">
      <formula>TRUE</formula>
    </cfRule>
    <cfRule type="cellIs" dxfId="2540" priority="1122" operator="equal">
      <formula>FALSE</formula>
    </cfRule>
  </conditionalFormatting>
  <conditionalFormatting sqref="U167:W167 Y167:AA167 AF167:AH167">
    <cfRule type="cellIs" dxfId="2539" priority="1119" operator="equal">
      <formula>TRUE</formula>
    </cfRule>
    <cfRule type="cellIs" dxfId="2538" priority="1120" operator="equal">
      <formula>FALSE</formula>
    </cfRule>
  </conditionalFormatting>
  <conditionalFormatting sqref="X167">
    <cfRule type="cellIs" dxfId="2537" priority="1117" operator="equal">
      <formula>TRUE</formula>
    </cfRule>
    <cfRule type="cellIs" dxfId="2536" priority="1118" operator="equal">
      <formula>FALSE</formula>
    </cfRule>
  </conditionalFormatting>
  <conditionalFormatting sqref="AI167">
    <cfRule type="cellIs" dxfId="2535" priority="1115" operator="equal">
      <formula>TRUE</formula>
    </cfRule>
    <cfRule type="cellIs" dxfId="2534" priority="1116" operator="equal">
      <formula>FALSE</formula>
    </cfRule>
  </conditionalFormatting>
  <conditionalFormatting sqref="U168:W168 Y168:AA168 AF168:AH168">
    <cfRule type="cellIs" dxfId="2533" priority="1113" operator="equal">
      <formula>TRUE</formula>
    </cfRule>
    <cfRule type="cellIs" dxfId="2532" priority="1114" operator="equal">
      <formula>FALSE</formula>
    </cfRule>
  </conditionalFormatting>
  <conditionalFormatting sqref="X168">
    <cfRule type="cellIs" dxfId="2531" priority="1111" operator="equal">
      <formula>TRUE</formula>
    </cfRule>
    <cfRule type="cellIs" dxfId="2530" priority="1112" operator="equal">
      <formula>FALSE</formula>
    </cfRule>
  </conditionalFormatting>
  <conditionalFormatting sqref="AI168">
    <cfRule type="cellIs" dxfId="2529" priority="1109" operator="equal">
      <formula>TRUE</formula>
    </cfRule>
    <cfRule type="cellIs" dxfId="2528" priority="1110" operator="equal">
      <formula>FALSE</formula>
    </cfRule>
  </conditionalFormatting>
  <conditionalFormatting sqref="U169:W169 Y169:AA169 AF169:AH169">
    <cfRule type="cellIs" dxfId="2527" priority="1107" operator="equal">
      <formula>TRUE</formula>
    </cfRule>
    <cfRule type="cellIs" dxfId="2526" priority="1108" operator="equal">
      <formula>FALSE</formula>
    </cfRule>
  </conditionalFormatting>
  <conditionalFormatting sqref="X169">
    <cfRule type="cellIs" dxfId="2525" priority="1105" operator="equal">
      <formula>TRUE</formula>
    </cfRule>
    <cfRule type="cellIs" dxfId="2524" priority="1106" operator="equal">
      <formula>FALSE</formula>
    </cfRule>
  </conditionalFormatting>
  <conditionalFormatting sqref="AI169">
    <cfRule type="cellIs" dxfId="2523" priority="1103" operator="equal">
      <formula>TRUE</formula>
    </cfRule>
    <cfRule type="cellIs" dxfId="2522" priority="1104" operator="equal">
      <formula>FALSE</formula>
    </cfRule>
  </conditionalFormatting>
  <conditionalFormatting sqref="U170:W170 Y170:AA170 AF170:AH170">
    <cfRule type="cellIs" dxfId="2521" priority="1101" operator="equal">
      <formula>TRUE</formula>
    </cfRule>
    <cfRule type="cellIs" dxfId="2520" priority="1102" operator="equal">
      <formula>FALSE</formula>
    </cfRule>
  </conditionalFormatting>
  <conditionalFormatting sqref="X170">
    <cfRule type="cellIs" dxfId="2519" priority="1099" operator="equal">
      <formula>TRUE</formula>
    </cfRule>
    <cfRule type="cellIs" dxfId="2518" priority="1100" operator="equal">
      <formula>FALSE</formula>
    </cfRule>
  </conditionalFormatting>
  <conditionalFormatting sqref="AI170">
    <cfRule type="cellIs" dxfId="2517" priority="1097" operator="equal">
      <formula>TRUE</formula>
    </cfRule>
    <cfRule type="cellIs" dxfId="2516" priority="1098" operator="equal">
      <formula>FALSE</formula>
    </cfRule>
  </conditionalFormatting>
  <conditionalFormatting sqref="U171:W171 Y171:AD171 AF171:AI171">
    <cfRule type="cellIs" dxfId="2515" priority="915" operator="equal">
      <formula>TRUE</formula>
    </cfRule>
    <cfRule type="cellIs" dxfId="2514" priority="916" operator="equal">
      <formula>FALSE</formula>
    </cfRule>
  </conditionalFormatting>
  <conditionalFormatting sqref="X171">
    <cfRule type="cellIs" dxfId="2513" priority="913" operator="equal">
      <formula>TRUE</formula>
    </cfRule>
    <cfRule type="cellIs" dxfId="2512" priority="914" operator="equal">
      <formula>FALSE</formula>
    </cfRule>
  </conditionalFormatting>
  <conditionalFormatting sqref="U172:W172 Y172:Z172 AF172:AH172">
    <cfRule type="cellIs" dxfId="2511" priority="911" operator="equal">
      <formula>TRUE</formula>
    </cfRule>
    <cfRule type="cellIs" dxfId="2510" priority="912" operator="equal">
      <formula>FALSE</formula>
    </cfRule>
  </conditionalFormatting>
  <conditionalFormatting sqref="X172">
    <cfRule type="cellIs" dxfId="2509" priority="909" operator="equal">
      <formula>TRUE</formula>
    </cfRule>
    <cfRule type="cellIs" dxfId="2508" priority="910" operator="equal">
      <formula>FALSE</formula>
    </cfRule>
  </conditionalFormatting>
  <conditionalFormatting sqref="U173:W173 Y173:Z173 AF173:AH173">
    <cfRule type="cellIs" dxfId="2507" priority="907" operator="equal">
      <formula>TRUE</formula>
    </cfRule>
    <cfRule type="cellIs" dxfId="2506" priority="908" operator="equal">
      <formula>FALSE</formula>
    </cfRule>
  </conditionalFormatting>
  <conditionalFormatting sqref="X173">
    <cfRule type="cellIs" dxfId="2505" priority="905" operator="equal">
      <formula>TRUE</formula>
    </cfRule>
    <cfRule type="cellIs" dxfId="2504" priority="906" operator="equal">
      <formula>FALSE</formula>
    </cfRule>
  </conditionalFormatting>
  <conditionalFormatting sqref="U174:W174 Y174:Z174 AF174:AH174">
    <cfRule type="cellIs" dxfId="2503" priority="903" operator="equal">
      <formula>TRUE</formula>
    </cfRule>
    <cfRule type="cellIs" dxfId="2502" priority="904" operator="equal">
      <formula>FALSE</formula>
    </cfRule>
  </conditionalFormatting>
  <conditionalFormatting sqref="X174">
    <cfRule type="cellIs" dxfId="2501" priority="901" operator="equal">
      <formula>TRUE</formula>
    </cfRule>
    <cfRule type="cellIs" dxfId="2500" priority="902" operator="equal">
      <formula>FALSE</formula>
    </cfRule>
  </conditionalFormatting>
  <conditionalFormatting sqref="U175:W175 Y175:Z175 AF175:AH175">
    <cfRule type="cellIs" dxfId="2499" priority="899" operator="equal">
      <formula>TRUE</formula>
    </cfRule>
    <cfRule type="cellIs" dxfId="2498" priority="900" operator="equal">
      <formula>FALSE</formula>
    </cfRule>
  </conditionalFormatting>
  <conditionalFormatting sqref="X175">
    <cfRule type="cellIs" dxfId="2497" priority="897" operator="equal">
      <formula>TRUE</formula>
    </cfRule>
    <cfRule type="cellIs" dxfId="2496" priority="898" operator="equal">
      <formula>FALSE</formula>
    </cfRule>
  </conditionalFormatting>
  <conditionalFormatting sqref="U176:W176 Y176:Z176 AF176:AH176">
    <cfRule type="cellIs" dxfId="2495" priority="895" operator="equal">
      <formula>TRUE</formula>
    </cfRule>
    <cfRule type="cellIs" dxfId="2494" priority="896" operator="equal">
      <formula>FALSE</formula>
    </cfRule>
  </conditionalFormatting>
  <conditionalFormatting sqref="X176">
    <cfRule type="cellIs" dxfId="2493" priority="893" operator="equal">
      <formula>TRUE</formula>
    </cfRule>
    <cfRule type="cellIs" dxfId="2492" priority="894" operator="equal">
      <formula>FALSE</formula>
    </cfRule>
  </conditionalFormatting>
  <conditionalFormatting sqref="U187:W187 Y187:Z187 AF187:AH187">
    <cfRule type="cellIs" dxfId="2491" priority="875" operator="equal">
      <formula>TRUE</formula>
    </cfRule>
    <cfRule type="cellIs" dxfId="2490" priority="876" operator="equal">
      <formula>FALSE</formula>
    </cfRule>
  </conditionalFormatting>
  <conditionalFormatting sqref="X187">
    <cfRule type="cellIs" dxfId="2489" priority="873" operator="equal">
      <formula>TRUE</formula>
    </cfRule>
    <cfRule type="cellIs" dxfId="2488" priority="874" operator="equal">
      <formula>FALSE</formula>
    </cfRule>
  </conditionalFormatting>
  <conditionalFormatting sqref="X188">
    <cfRule type="cellIs" dxfId="2487" priority="869" operator="equal">
      <formula>TRUE</formula>
    </cfRule>
    <cfRule type="cellIs" dxfId="2486" priority="870" operator="equal">
      <formula>FALSE</formula>
    </cfRule>
  </conditionalFormatting>
  <conditionalFormatting sqref="U189:W189 Y189:Z189 AF189:AH189">
    <cfRule type="cellIs" dxfId="2485" priority="867" operator="equal">
      <formula>TRUE</formula>
    </cfRule>
    <cfRule type="cellIs" dxfId="2484" priority="868" operator="equal">
      <formula>FALSE</formula>
    </cfRule>
  </conditionalFormatting>
  <conditionalFormatting sqref="U190:W190 Y190:Z190 AF190:AH190">
    <cfRule type="cellIs" dxfId="2483" priority="863" operator="equal">
      <formula>TRUE</formula>
    </cfRule>
    <cfRule type="cellIs" dxfId="2482" priority="864" operator="equal">
      <formula>FALSE</formula>
    </cfRule>
  </conditionalFormatting>
  <conditionalFormatting sqref="X190">
    <cfRule type="cellIs" dxfId="2481" priority="861" operator="equal">
      <formula>TRUE</formula>
    </cfRule>
    <cfRule type="cellIs" dxfId="2480" priority="862" operator="equal">
      <formula>FALSE</formula>
    </cfRule>
  </conditionalFormatting>
  <conditionalFormatting sqref="U191:W191 Y191:Z191 AF191:AH191">
    <cfRule type="cellIs" dxfId="2479" priority="859" operator="equal">
      <formula>TRUE</formula>
    </cfRule>
    <cfRule type="cellIs" dxfId="2478" priority="860" operator="equal">
      <formula>FALSE</formula>
    </cfRule>
  </conditionalFormatting>
  <conditionalFormatting sqref="X191">
    <cfRule type="cellIs" dxfId="2477" priority="857" operator="equal">
      <formula>TRUE</formula>
    </cfRule>
    <cfRule type="cellIs" dxfId="2476" priority="858" operator="equal">
      <formula>FALSE</formula>
    </cfRule>
  </conditionalFormatting>
  <conditionalFormatting sqref="X192">
    <cfRule type="cellIs" dxfId="2475" priority="853" operator="equal">
      <formula>TRUE</formula>
    </cfRule>
    <cfRule type="cellIs" dxfId="2474" priority="854" operator="equal">
      <formula>FALSE</formula>
    </cfRule>
  </conditionalFormatting>
  <conditionalFormatting sqref="U193:W193 Y193:Z193 AF193:AH193">
    <cfRule type="cellIs" dxfId="2473" priority="851" operator="equal">
      <formula>TRUE</formula>
    </cfRule>
    <cfRule type="cellIs" dxfId="2472" priority="852" operator="equal">
      <formula>FALSE</formula>
    </cfRule>
  </conditionalFormatting>
  <conditionalFormatting sqref="U188:W188 Y188:Z188 AF188:AH188">
    <cfRule type="cellIs" dxfId="2471" priority="871" operator="equal">
      <formula>TRUE</formula>
    </cfRule>
    <cfRule type="cellIs" dxfId="2470" priority="872" operator="equal">
      <formula>FALSE</formula>
    </cfRule>
  </conditionalFormatting>
  <conditionalFormatting sqref="X189">
    <cfRule type="cellIs" dxfId="2469" priority="865" operator="equal">
      <formula>TRUE</formula>
    </cfRule>
    <cfRule type="cellIs" dxfId="2468" priority="866" operator="equal">
      <formula>FALSE</formula>
    </cfRule>
  </conditionalFormatting>
  <conditionalFormatting sqref="U192:W192 Y192:Z192 AF192:AH192">
    <cfRule type="cellIs" dxfId="2467" priority="855" operator="equal">
      <formula>TRUE</formula>
    </cfRule>
    <cfRule type="cellIs" dxfId="2466" priority="856" operator="equal">
      <formula>FALSE</formula>
    </cfRule>
  </conditionalFormatting>
  <conditionalFormatting sqref="X193">
    <cfRule type="cellIs" dxfId="2465" priority="849" operator="equal">
      <formula>TRUE</formula>
    </cfRule>
    <cfRule type="cellIs" dxfId="2464" priority="850" operator="equal">
      <formula>FALSE</formula>
    </cfRule>
  </conditionalFormatting>
  <conditionalFormatting sqref="X194">
    <cfRule type="cellIs" dxfId="2463" priority="845" operator="equal">
      <formula>TRUE</formula>
    </cfRule>
    <cfRule type="cellIs" dxfId="2462" priority="846" operator="equal">
      <formula>FALSE</formula>
    </cfRule>
  </conditionalFormatting>
  <conditionalFormatting sqref="U195:W195 Y195:Z195 AF195:AH195">
    <cfRule type="cellIs" dxfId="2461" priority="843" operator="equal">
      <formula>TRUE</formula>
    </cfRule>
    <cfRule type="cellIs" dxfId="2460" priority="844" operator="equal">
      <formula>FALSE</formula>
    </cfRule>
  </conditionalFormatting>
  <conditionalFormatting sqref="U194:W194 Y194:Z194 AF194:AH194">
    <cfRule type="cellIs" dxfId="2459" priority="847" operator="equal">
      <formula>TRUE</formula>
    </cfRule>
    <cfRule type="cellIs" dxfId="2458" priority="848" operator="equal">
      <formula>FALSE</formula>
    </cfRule>
  </conditionalFormatting>
  <conditionalFormatting sqref="U183:W183 Y183:Z183 AF183:AH183">
    <cfRule type="cellIs" dxfId="2457" priority="891" operator="equal">
      <formula>TRUE</formula>
    </cfRule>
    <cfRule type="cellIs" dxfId="2456" priority="892" operator="equal">
      <formula>FALSE</formula>
    </cfRule>
  </conditionalFormatting>
  <conditionalFormatting sqref="X183">
    <cfRule type="cellIs" dxfId="2455" priority="889" operator="equal">
      <formula>TRUE</formula>
    </cfRule>
    <cfRule type="cellIs" dxfId="2454" priority="890" operator="equal">
      <formula>FALSE</formula>
    </cfRule>
  </conditionalFormatting>
  <conditionalFormatting sqref="U184:W184 Y184:Z184 AF184:AH184">
    <cfRule type="cellIs" dxfId="2453" priority="887" operator="equal">
      <formula>TRUE</formula>
    </cfRule>
    <cfRule type="cellIs" dxfId="2452" priority="888" operator="equal">
      <formula>FALSE</formula>
    </cfRule>
  </conditionalFormatting>
  <conditionalFormatting sqref="X184">
    <cfRule type="cellIs" dxfId="2451" priority="885" operator="equal">
      <formula>TRUE</formula>
    </cfRule>
    <cfRule type="cellIs" dxfId="2450" priority="886" operator="equal">
      <formula>FALSE</formula>
    </cfRule>
  </conditionalFormatting>
  <conditionalFormatting sqref="U185:W185 Y185:Z185 AF185:AH185">
    <cfRule type="cellIs" dxfId="2449" priority="883" operator="equal">
      <formula>TRUE</formula>
    </cfRule>
    <cfRule type="cellIs" dxfId="2448" priority="884" operator="equal">
      <formula>FALSE</formula>
    </cfRule>
  </conditionalFormatting>
  <conditionalFormatting sqref="X185">
    <cfRule type="cellIs" dxfId="2447" priority="881" operator="equal">
      <formula>TRUE</formula>
    </cfRule>
    <cfRule type="cellIs" dxfId="2446" priority="882" operator="equal">
      <formula>FALSE</formula>
    </cfRule>
  </conditionalFormatting>
  <conditionalFormatting sqref="U186:W186 Y186:Z186 AF186:AH186">
    <cfRule type="cellIs" dxfId="2445" priority="879" operator="equal">
      <formula>TRUE</formula>
    </cfRule>
    <cfRule type="cellIs" dxfId="2444" priority="880" operator="equal">
      <formula>FALSE</formula>
    </cfRule>
  </conditionalFormatting>
  <conditionalFormatting sqref="X186">
    <cfRule type="cellIs" dxfId="2443" priority="877" operator="equal">
      <formula>TRUE</formula>
    </cfRule>
    <cfRule type="cellIs" dxfId="2442" priority="878" operator="equal">
      <formula>FALSE</formula>
    </cfRule>
  </conditionalFormatting>
  <conditionalFormatting sqref="X195">
    <cfRule type="cellIs" dxfId="2441" priority="841" operator="equal">
      <formula>TRUE</formula>
    </cfRule>
    <cfRule type="cellIs" dxfId="2440" priority="842" operator="equal">
      <formula>FALSE</formula>
    </cfRule>
  </conditionalFormatting>
  <conditionalFormatting sqref="U196:W196 Y196:Z196 AF196:AH196">
    <cfRule type="cellIs" dxfId="2439" priority="839" operator="equal">
      <formula>TRUE</formula>
    </cfRule>
    <cfRule type="cellIs" dxfId="2438" priority="840" operator="equal">
      <formula>FALSE</formula>
    </cfRule>
  </conditionalFormatting>
  <conditionalFormatting sqref="X196">
    <cfRule type="cellIs" dxfId="2437" priority="837" operator="equal">
      <formula>TRUE</formula>
    </cfRule>
    <cfRule type="cellIs" dxfId="2436" priority="838" operator="equal">
      <formula>FALSE</formula>
    </cfRule>
  </conditionalFormatting>
  <conditionalFormatting sqref="U197:W197 Y197:Z197 AF197:AH197">
    <cfRule type="cellIs" dxfId="2435" priority="835" operator="equal">
      <formula>TRUE</formula>
    </cfRule>
    <cfRule type="cellIs" dxfId="2434" priority="836" operator="equal">
      <formula>FALSE</formula>
    </cfRule>
  </conditionalFormatting>
  <conditionalFormatting sqref="X197">
    <cfRule type="cellIs" dxfId="2433" priority="833" operator="equal">
      <formula>TRUE</formula>
    </cfRule>
    <cfRule type="cellIs" dxfId="2432" priority="834" operator="equal">
      <formula>FALSE</formula>
    </cfRule>
  </conditionalFormatting>
  <conditionalFormatting sqref="U198:W198 Y198:Z198 AF198:AH198">
    <cfRule type="cellIs" dxfId="2431" priority="831" operator="equal">
      <formula>TRUE</formula>
    </cfRule>
    <cfRule type="cellIs" dxfId="2430" priority="832" operator="equal">
      <formula>FALSE</formula>
    </cfRule>
  </conditionalFormatting>
  <conditionalFormatting sqref="X198">
    <cfRule type="cellIs" dxfId="2429" priority="829" operator="equal">
      <formula>TRUE</formula>
    </cfRule>
    <cfRule type="cellIs" dxfId="2428" priority="830" operator="equal">
      <formula>FALSE</formula>
    </cfRule>
  </conditionalFormatting>
  <conditionalFormatting sqref="U199:W199 Y199:Z199 AF199:AH199">
    <cfRule type="cellIs" dxfId="2427" priority="827" operator="equal">
      <formula>TRUE</formula>
    </cfRule>
    <cfRule type="cellIs" dxfId="2426" priority="828" operator="equal">
      <formula>FALSE</formula>
    </cfRule>
  </conditionalFormatting>
  <conditionalFormatting sqref="X199">
    <cfRule type="cellIs" dxfId="2425" priority="825" operator="equal">
      <formula>TRUE</formula>
    </cfRule>
    <cfRule type="cellIs" dxfId="2424" priority="826" operator="equal">
      <formula>FALSE</formula>
    </cfRule>
  </conditionalFormatting>
  <conditionalFormatting sqref="U200:W200 Y200:Z200 AF200:AH200">
    <cfRule type="cellIs" dxfId="2423" priority="823" operator="equal">
      <formula>TRUE</formula>
    </cfRule>
    <cfRule type="cellIs" dxfId="2422" priority="824" operator="equal">
      <formula>FALSE</formula>
    </cfRule>
  </conditionalFormatting>
  <conditionalFormatting sqref="X200">
    <cfRule type="cellIs" dxfId="2421" priority="821" operator="equal">
      <formula>TRUE</formula>
    </cfRule>
    <cfRule type="cellIs" dxfId="2420" priority="822" operator="equal">
      <formula>FALSE</formula>
    </cfRule>
  </conditionalFormatting>
  <conditionalFormatting sqref="U201:W201 Y201:Z201 AF201:AH201">
    <cfRule type="cellIs" dxfId="2419" priority="819" operator="equal">
      <formula>TRUE</formula>
    </cfRule>
    <cfRule type="cellIs" dxfId="2418" priority="820" operator="equal">
      <formula>FALSE</formula>
    </cfRule>
  </conditionalFormatting>
  <conditionalFormatting sqref="X201">
    <cfRule type="cellIs" dxfId="2417" priority="817" operator="equal">
      <formula>TRUE</formula>
    </cfRule>
    <cfRule type="cellIs" dxfId="2416" priority="818" operator="equal">
      <formula>FALSE</formula>
    </cfRule>
  </conditionalFormatting>
  <conditionalFormatting sqref="U202:W202 Y202:Z202 AF202:AH202">
    <cfRule type="cellIs" dxfId="2415" priority="815" operator="equal">
      <formula>TRUE</formula>
    </cfRule>
    <cfRule type="cellIs" dxfId="2414" priority="816" operator="equal">
      <formula>FALSE</formula>
    </cfRule>
  </conditionalFormatting>
  <conditionalFormatting sqref="X202">
    <cfRule type="cellIs" dxfId="2413" priority="813" operator="equal">
      <formula>TRUE</formula>
    </cfRule>
    <cfRule type="cellIs" dxfId="2412" priority="814" operator="equal">
      <formula>FALSE</formula>
    </cfRule>
  </conditionalFormatting>
  <conditionalFormatting sqref="U203:W203 Y203:Z203 AF203:AH203">
    <cfRule type="cellIs" dxfId="2411" priority="811" operator="equal">
      <formula>TRUE</formula>
    </cfRule>
    <cfRule type="cellIs" dxfId="2410" priority="812" operator="equal">
      <formula>FALSE</formula>
    </cfRule>
  </conditionalFormatting>
  <conditionalFormatting sqref="X203">
    <cfRule type="cellIs" dxfId="2409" priority="809" operator="equal">
      <formula>TRUE</formula>
    </cfRule>
    <cfRule type="cellIs" dxfId="2408" priority="810" operator="equal">
      <formula>FALSE</formula>
    </cfRule>
  </conditionalFormatting>
  <conditionalFormatting sqref="U204:W204 Y204:Z204 AF204:AH204">
    <cfRule type="cellIs" dxfId="2407" priority="807" operator="equal">
      <formula>TRUE</formula>
    </cfRule>
    <cfRule type="cellIs" dxfId="2406" priority="808" operator="equal">
      <formula>FALSE</formula>
    </cfRule>
  </conditionalFormatting>
  <conditionalFormatting sqref="X204">
    <cfRule type="cellIs" dxfId="2405" priority="805" operator="equal">
      <formula>TRUE</formula>
    </cfRule>
    <cfRule type="cellIs" dxfId="2404" priority="806" operator="equal">
      <formula>FALSE</formula>
    </cfRule>
  </conditionalFormatting>
  <conditionalFormatting sqref="U205:W205 Y205:Z205 AF205:AH205">
    <cfRule type="cellIs" dxfId="2403" priority="803" operator="equal">
      <formula>TRUE</formula>
    </cfRule>
    <cfRule type="cellIs" dxfId="2402" priority="804" operator="equal">
      <formula>FALSE</formula>
    </cfRule>
  </conditionalFormatting>
  <conditionalFormatting sqref="X205">
    <cfRule type="cellIs" dxfId="2401" priority="801" operator="equal">
      <formula>TRUE</formula>
    </cfRule>
    <cfRule type="cellIs" dxfId="2400" priority="802" operator="equal">
      <formula>FALSE</formula>
    </cfRule>
  </conditionalFormatting>
  <conditionalFormatting sqref="U206:W206 Y206:Z206 AF206:AH206">
    <cfRule type="cellIs" dxfId="2399" priority="799" operator="equal">
      <formula>TRUE</formula>
    </cfRule>
    <cfRule type="cellIs" dxfId="2398" priority="800" operator="equal">
      <formula>FALSE</formula>
    </cfRule>
  </conditionalFormatting>
  <conditionalFormatting sqref="X206">
    <cfRule type="cellIs" dxfId="2397" priority="797" operator="equal">
      <formula>TRUE</formula>
    </cfRule>
    <cfRule type="cellIs" dxfId="2396" priority="798" operator="equal">
      <formula>FALSE</formula>
    </cfRule>
  </conditionalFormatting>
  <conditionalFormatting sqref="U207:W207 Y207:Z207 AF207:AH207">
    <cfRule type="cellIs" dxfId="2395" priority="795" operator="equal">
      <formula>TRUE</formula>
    </cfRule>
    <cfRule type="cellIs" dxfId="2394" priority="796" operator="equal">
      <formula>FALSE</formula>
    </cfRule>
  </conditionalFormatting>
  <conditionalFormatting sqref="X207">
    <cfRule type="cellIs" dxfId="2393" priority="793" operator="equal">
      <formula>TRUE</formula>
    </cfRule>
    <cfRule type="cellIs" dxfId="2392" priority="794" operator="equal">
      <formula>FALSE</formula>
    </cfRule>
  </conditionalFormatting>
  <conditionalFormatting sqref="U208:W208 Y208:Z208 AF208:AH208">
    <cfRule type="cellIs" dxfId="2391" priority="791" operator="equal">
      <formula>TRUE</formula>
    </cfRule>
    <cfRule type="cellIs" dxfId="2390" priority="792" operator="equal">
      <formula>FALSE</formula>
    </cfRule>
  </conditionalFormatting>
  <conditionalFormatting sqref="X208">
    <cfRule type="cellIs" dxfId="2389" priority="789" operator="equal">
      <formula>TRUE</formula>
    </cfRule>
    <cfRule type="cellIs" dxfId="2388" priority="790" operator="equal">
      <formula>FALSE</formula>
    </cfRule>
  </conditionalFormatting>
  <conditionalFormatting sqref="U209:W209 Y209:Z209 AF209:AH209">
    <cfRule type="cellIs" dxfId="2387" priority="787" operator="equal">
      <formula>TRUE</formula>
    </cfRule>
    <cfRule type="cellIs" dxfId="2386" priority="788" operator="equal">
      <formula>FALSE</formula>
    </cfRule>
  </conditionalFormatting>
  <conditionalFormatting sqref="X209">
    <cfRule type="cellIs" dxfId="2385" priority="785" operator="equal">
      <formula>TRUE</formula>
    </cfRule>
    <cfRule type="cellIs" dxfId="2384" priority="786" operator="equal">
      <formula>FALSE</formula>
    </cfRule>
  </conditionalFormatting>
  <conditionalFormatting sqref="U210:W210 Y210:Z210 AF210:AH210">
    <cfRule type="cellIs" dxfId="2383" priority="783" operator="equal">
      <formula>TRUE</formula>
    </cfRule>
    <cfRule type="cellIs" dxfId="2382" priority="784" operator="equal">
      <formula>FALSE</formula>
    </cfRule>
  </conditionalFormatting>
  <conditionalFormatting sqref="X210">
    <cfRule type="cellIs" dxfId="2381" priority="781" operator="equal">
      <formula>TRUE</formula>
    </cfRule>
    <cfRule type="cellIs" dxfId="2380" priority="782" operator="equal">
      <formula>FALSE</formula>
    </cfRule>
  </conditionalFormatting>
  <conditionalFormatting sqref="U211:W211 Y211:Z211 AF211:AH211">
    <cfRule type="cellIs" dxfId="2379" priority="779" operator="equal">
      <formula>TRUE</formula>
    </cfRule>
    <cfRule type="cellIs" dxfId="2378" priority="780" operator="equal">
      <formula>FALSE</formula>
    </cfRule>
  </conditionalFormatting>
  <conditionalFormatting sqref="X211">
    <cfRule type="cellIs" dxfId="2377" priority="777" operator="equal">
      <formula>TRUE</formula>
    </cfRule>
    <cfRule type="cellIs" dxfId="2376" priority="778" operator="equal">
      <formula>FALSE</formula>
    </cfRule>
  </conditionalFormatting>
  <conditionalFormatting sqref="U212:W212 Y212:Z212 AF212:AH212">
    <cfRule type="cellIs" dxfId="2375" priority="775" operator="equal">
      <formula>TRUE</formula>
    </cfRule>
    <cfRule type="cellIs" dxfId="2374" priority="776" operator="equal">
      <formula>FALSE</formula>
    </cfRule>
  </conditionalFormatting>
  <conditionalFormatting sqref="X212">
    <cfRule type="cellIs" dxfId="2373" priority="773" operator="equal">
      <formula>TRUE</formula>
    </cfRule>
    <cfRule type="cellIs" dxfId="2372" priority="774" operator="equal">
      <formula>FALSE</formula>
    </cfRule>
  </conditionalFormatting>
  <conditionalFormatting sqref="U213:W213 Y213:Z213 AF213:AH213">
    <cfRule type="cellIs" dxfId="2371" priority="771" operator="equal">
      <formula>TRUE</formula>
    </cfRule>
    <cfRule type="cellIs" dxfId="2370" priority="772" operator="equal">
      <formula>FALSE</formula>
    </cfRule>
  </conditionalFormatting>
  <conditionalFormatting sqref="X213">
    <cfRule type="cellIs" dxfId="2369" priority="769" operator="equal">
      <formula>TRUE</formula>
    </cfRule>
    <cfRule type="cellIs" dxfId="2368" priority="770" operator="equal">
      <formula>FALSE</formula>
    </cfRule>
  </conditionalFormatting>
  <conditionalFormatting sqref="U214:W214 Y214:Z214 AF214:AH214">
    <cfRule type="cellIs" dxfId="2367" priority="767" operator="equal">
      <formula>TRUE</formula>
    </cfRule>
    <cfRule type="cellIs" dxfId="2366" priority="768" operator="equal">
      <formula>FALSE</formula>
    </cfRule>
  </conditionalFormatting>
  <conditionalFormatting sqref="X214">
    <cfRule type="cellIs" dxfId="2365" priority="765" operator="equal">
      <formula>TRUE</formula>
    </cfRule>
    <cfRule type="cellIs" dxfId="2364" priority="766" operator="equal">
      <formula>FALSE</formula>
    </cfRule>
  </conditionalFormatting>
  <conditionalFormatting sqref="U215:W215 Y215:Z215 AF215:AH215">
    <cfRule type="cellIs" dxfId="2363" priority="763" operator="equal">
      <formula>TRUE</formula>
    </cfRule>
    <cfRule type="cellIs" dxfId="2362" priority="764" operator="equal">
      <formula>FALSE</formula>
    </cfRule>
  </conditionalFormatting>
  <conditionalFormatting sqref="X215">
    <cfRule type="cellIs" dxfId="2361" priority="761" operator="equal">
      <formula>TRUE</formula>
    </cfRule>
    <cfRule type="cellIs" dxfId="2360" priority="762" operator="equal">
      <formula>FALSE</formula>
    </cfRule>
  </conditionalFormatting>
  <conditionalFormatting sqref="U216:W216 Y216:Z216 AF216:AH216">
    <cfRule type="cellIs" dxfId="2359" priority="759" operator="equal">
      <formula>TRUE</formula>
    </cfRule>
    <cfRule type="cellIs" dxfId="2358" priority="760" operator="equal">
      <formula>FALSE</formula>
    </cfRule>
  </conditionalFormatting>
  <conditionalFormatting sqref="X216">
    <cfRule type="cellIs" dxfId="2357" priority="757" operator="equal">
      <formula>TRUE</formula>
    </cfRule>
    <cfRule type="cellIs" dxfId="2356" priority="758" operator="equal">
      <formula>FALSE</formula>
    </cfRule>
  </conditionalFormatting>
  <conditionalFormatting sqref="U217:W217 Y217:Z217 AF217:AH217">
    <cfRule type="cellIs" dxfId="2355" priority="755" operator="equal">
      <formula>TRUE</formula>
    </cfRule>
    <cfRule type="cellIs" dxfId="2354" priority="756" operator="equal">
      <formula>FALSE</formula>
    </cfRule>
  </conditionalFormatting>
  <conditionalFormatting sqref="X217">
    <cfRule type="cellIs" dxfId="2353" priority="753" operator="equal">
      <formula>TRUE</formula>
    </cfRule>
    <cfRule type="cellIs" dxfId="2352" priority="754" operator="equal">
      <formula>FALSE</formula>
    </cfRule>
  </conditionalFormatting>
  <conditionalFormatting sqref="U218:W218 Y218:Z218 AF218:AH218">
    <cfRule type="cellIs" dxfId="2351" priority="751" operator="equal">
      <formula>TRUE</formula>
    </cfRule>
    <cfRule type="cellIs" dxfId="2350" priority="752" operator="equal">
      <formula>FALSE</formula>
    </cfRule>
  </conditionalFormatting>
  <conditionalFormatting sqref="X218">
    <cfRule type="cellIs" dxfId="2349" priority="749" operator="equal">
      <formula>TRUE</formula>
    </cfRule>
    <cfRule type="cellIs" dxfId="2348" priority="750" operator="equal">
      <formula>FALSE</formula>
    </cfRule>
  </conditionalFormatting>
  <conditionalFormatting sqref="U229:W229 Y229:Z229 AF229:AH229">
    <cfRule type="cellIs" dxfId="2347" priority="731" operator="equal">
      <formula>TRUE</formula>
    </cfRule>
    <cfRule type="cellIs" dxfId="2346" priority="732" operator="equal">
      <formula>FALSE</formula>
    </cfRule>
  </conditionalFormatting>
  <conditionalFormatting sqref="X229">
    <cfRule type="cellIs" dxfId="2345" priority="729" operator="equal">
      <formula>TRUE</formula>
    </cfRule>
    <cfRule type="cellIs" dxfId="2344" priority="730" operator="equal">
      <formula>FALSE</formula>
    </cfRule>
  </conditionalFormatting>
  <conditionalFormatting sqref="X230">
    <cfRule type="cellIs" dxfId="2343" priority="725" operator="equal">
      <formula>TRUE</formula>
    </cfRule>
    <cfRule type="cellIs" dxfId="2342" priority="726" operator="equal">
      <formula>FALSE</formula>
    </cfRule>
  </conditionalFormatting>
  <conditionalFormatting sqref="U231:W231 Y231:Z231 AF231:AH231">
    <cfRule type="cellIs" dxfId="2341" priority="723" operator="equal">
      <formula>TRUE</formula>
    </cfRule>
    <cfRule type="cellIs" dxfId="2340" priority="724" operator="equal">
      <formula>FALSE</formula>
    </cfRule>
  </conditionalFormatting>
  <conditionalFormatting sqref="U232:W232 Y232:Z232 AF232:AH232">
    <cfRule type="cellIs" dxfId="2339" priority="719" operator="equal">
      <formula>TRUE</formula>
    </cfRule>
    <cfRule type="cellIs" dxfId="2338" priority="720" operator="equal">
      <formula>FALSE</formula>
    </cfRule>
  </conditionalFormatting>
  <conditionalFormatting sqref="X232">
    <cfRule type="cellIs" dxfId="2337" priority="717" operator="equal">
      <formula>TRUE</formula>
    </cfRule>
    <cfRule type="cellIs" dxfId="2336" priority="718" operator="equal">
      <formula>FALSE</formula>
    </cfRule>
  </conditionalFormatting>
  <conditionalFormatting sqref="U233:W233 Y233:Z233 AF233:AH233">
    <cfRule type="cellIs" dxfId="2335" priority="715" operator="equal">
      <formula>TRUE</formula>
    </cfRule>
    <cfRule type="cellIs" dxfId="2334" priority="716" operator="equal">
      <formula>FALSE</formula>
    </cfRule>
  </conditionalFormatting>
  <conditionalFormatting sqref="X233">
    <cfRule type="cellIs" dxfId="2333" priority="713" operator="equal">
      <formula>TRUE</formula>
    </cfRule>
    <cfRule type="cellIs" dxfId="2332" priority="714" operator="equal">
      <formula>FALSE</formula>
    </cfRule>
  </conditionalFormatting>
  <conditionalFormatting sqref="X234">
    <cfRule type="cellIs" dxfId="2331" priority="709" operator="equal">
      <formula>TRUE</formula>
    </cfRule>
    <cfRule type="cellIs" dxfId="2330" priority="710" operator="equal">
      <formula>FALSE</formula>
    </cfRule>
  </conditionalFormatting>
  <conditionalFormatting sqref="U235:W235 Y235:Z235 AF235:AH235">
    <cfRule type="cellIs" dxfId="2329" priority="707" operator="equal">
      <formula>TRUE</formula>
    </cfRule>
    <cfRule type="cellIs" dxfId="2328" priority="708" operator="equal">
      <formula>FALSE</formula>
    </cfRule>
  </conditionalFormatting>
  <conditionalFormatting sqref="U230:W230 Y230:Z230 AF230:AH230">
    <cfRule type="cellIs" dxfId="2327" priority="727" operator="equal">
      <formula>TRUE</formula>
    </cfRule>
    <cfRule type="cellIs" dxfId="2326" priority="728" operator="equal">
      <formula>FALSE</formula>
    </cfRule>
  </conditionalFormatting>
  <conditionalFormatting sqref="X231">
    <cfRule type="cellIs" dxfId="2325" priority="721" operator="equal">
      <formula>TRUE</formula>
    </cfRule>
    <cfRule type="cellIs" dxfId="2324" priority="722" operator="equal">
      <formula>FALSE</formula>
    </cfRule>
  </conditionalFormatting>
  <conditionalFormatting sqref="U234:W234 Y234:Z234 AF234:AH234">
    <cfRule type="cellIs" dxfId="2323" priority="711" operator="equal">
      <formula>TRUE</formula>
    </cfRule>
    <cfRule type="cellIs" dxfId="2322" priority="712" operator="equal">
      <formula>FALSE</formula>
    </cfRule>
  </conditionalFormatting>
  <conditionalFormatting sqref="X235">
    <cfRule type="cellIs" dxfId="2321" priority="705" operator="equal">
      <formula>TRUE</formula>
    </cfRule>
    <cfRule type="cellIs" dxfId="2320" priority="706" operator="equal">
      <formula>FALSE</formula>
    </cfRule>
  </conditionalFormatting>
  <conditionalFormatting sqref="X236">
    <cfRule type="cellIs" dxfId="2319" priority="701" operator="equal">
      <formula>TRUE</formula>
    </cfRule>
    <cfRule type="cellIs" dxfId="2318" priority="702" operator="equal">
      <formula>FALSE</formula>
    </cfRule>
  </conditionalFormatting>
  <conditionalFormatting sqref="U236:W236 Y236:Z236 AF236:AH236">
    <cfRule type="cellIs" dxfId="2317" priority="703" operator="equal">
      <formula>TRUE</formula>
    </cfRule>
    <cfRule type="cellIs" dxfId="2316" priority="704" operator="equal">
      <formula>FALSE</formula>
    </cfRule>
  </conditionalFormatting>
  <conditionalFormatting sqref="U225:W225 Y225:Z225 AF225:AH225">
    <cfRule type="cellIs" dxfId="2315" priority="747" operator="equal">
      <formula>TRUE</formula>
    </cfRule>
    <cfRule type="cellIs" dxfId="2314" priority="748" operator="equal">
      <formula>FALSE</formula>
    </cfRule>
  </conditionalFormatting>
  <conditionalFormatting sqref="X225">
    <cfRule type="cellIs" dxfId="2313" priority="745" operator="equal">
      <formula>TRUE</formula>
    </cfRule>
    <cfRule type="cellIs" dxfId="2312" priority="746" operator="equal">
      <formula>FALSE</formula>
    </cfRule>
  </conditionalFormatting>
  <conditionalFormatting sqref="U226:W226 Y226:Z226 AF226:AH226">
    <cfRule type="cellIs" dxfId="2311" priority="743" operator="equal">
      <formula>TRUE</formula>
    </cfRule>
    <cfRule type="cellIs" dxfId="2310" priority="744" operator="equal">
      <formula>FALSE</formula>
    </cfRule>
  </conditionalFormatting>
  <conditionalFormatting sqref="X226">
    <cfRule type="cellIs" dxfId="2309" priority="741" operator="equal">
      <formula>TRUE</formula>
    </cfRule>
    <cfRule type="cellIs" dxfId="2308" priority="742" operator="equal">
      <formula>FALSE</formula>
    </cfRule>
  </conditionalFormatting>
  <conditionalFormatting sqref="U227:W227 Y227:Z227 AF227:AH227">
    <cfRule type="cellIs" dxfId="2307" priority="739" operator="equal">
      <formula>TRUE</formula>
    </cfRule>
    <cfRule type="cellIs" dxfId="2306" priority="740" operator="equal">
      <formula>FALSE</formula>
    </cfRule>
  </conditionalFormatting>
  <conditionalFormatting sqref="X227">
    <cfRule type="cellIs" dxfId="2305" priority="737" operator="equal">
      <formula>TRUE</formula>
    </cfRule>
    <cfRule type="cellIs" dxfId="2304" priority="738" operator="equal">
      <formula>FALSE</formula>
    </cfRule>
  </conditionalFormatting>
  <conditionalFormatting sqref="U228:W228 Y228:Z228 AF228:AH228">
    <cfRule type="cellIs" dxfId="2303" priority="735" operator="equal">
      <formula>TRUE</formula>
    </cfRule>
    <cfRule type="cellIs" dxfId="2302" priority="736" operator="equal">
      <formula>FALSE</formula>
    </cfRule>
  </conditionalFormatting>
  <conditionalFormatting sqref="X228">
    <cfRule type="cellIs" dxfId="2301" priority="733" operator="equal">
      <formula>TRUE</formula>
    </cfRule>
    <cfRule type="cellIs" dxfId="2300" priority="734" operator="equal">
      <formula>FALSE</formula>
    </cfRule>
  </conditionalFormatting>
  <conditionalFormatting sqref="U237:W237 Y237:Z237 AF237:AH237">
    <cfRule type="cellIs" dxfId="2299" priority="699" operator="equal">
      <formula>TRUE</formula>
    </cfRule>
    <cfRule type="cellIs" dxfId="2298" priority="700" operator="equal">
      <formula>FALSE</formula>
    </cfRule>
  </conditionalFormatting>
  <conditionalFormatting sqref="X237">
    <cfRule type="cellIs" dxfId="2297" priority="697" operator="equal">
      <formula>TRUE</formula>
    </cfRule>
    <cfRule type="cellIs" dxfId="2296" priority="698" operator="equal">
      <formula>FALSE</formula>
    </cfRule>
  </conditionalFormatting>
  <conditionalFormatting sqref="U238:W238 Y238:Z238 AF238:AH238">
    <cfRule type="cellIs" dxfId="2295" priority="695" operator="equal">
      <formula>TRUE</formula>
    </cfRule>
    <cfRule type="cellIs" dxfId="2294" priority="696" operator="equal">
      <formula>FALSE</formula>
    </cfRule>
  </conditionalFormatting>
  <conditionalFormatting sqref="X238">
    <cfRule type="cellIs" dxfId="2293" priority="693" operator="equal">
      <formula>TRUE</formula>
    </cfRule>
    <cfRule type="cellIs" dxfId="2292" priority="694" operator="equal">
      <formula>FALSE</formula>
    </cfRule>
  </conditionalFormatting>
  <conditionalFormatting sqref="U239:W239 Y239:Z239 AF239:AH239">
    <cfRule type="cellIs" dxfId="2291" priority="691" operator="equal">
      <formula>TRUE</formula>
    </cfRule>
    <cfRule type="cellIs" dxfId="2290" priority="692" operator="equal">
      <formula>FALSE</formula>
    </cfRule>
  </conditionalFormatting>
  <conditionalFormatting sqref="X239">
    <cfRule type="cellIs" dxfId="2289" priority="689" operator="equal">
      <formula>TRUE</formula>
    </cfRule>
    <cfRule type="cellIs" dxfId="2288" priority="690" operator="equal">
      <formula>FALSE</formula>
    </cfRule>
  </conditionalFormatting>
  <conditionalFormatting sqref="U240:W240 Y240:Z240 AF240:AH240">
    <cfRule type="cellIs" dxfId="2287" priority="687" operator="equal">
      <formula>TRUE</formula>
    </cfRule>
    <cfRule type="cellIs" dxfId="2286" priority="688" operator="equal">
      <formula>FALSE</formula>
    </cfRule>
  </conditionalFormatting>
  <conditionalFormatting sqref="X240">
    <cfRule type="cellIs" dxfId="2285" priority="685" operator="equal">
      <formula>TRUE</formula>
    </cfRule>
    <cfRule type="cellIs" dxfId="2284" priority="686" operator="equal">
      <formula>FALSE</formula>
    </cfRule>
  </conditionalFormatting>
  <conditionalFormatting sqref="U241:W241 Y241:Z241 AF241:AH241">
    <cfRule type="cellIs" dxfId="2283" priority="683" operator="equal">
      <formula>TRUE</formula>
    </cfRule>
    <cfRule type="cellIs" dxfId="2282" priority="684" operator="equal">
      <formula>FALSE</formula>
    </cfRule>
  </conditionalFormatting>
  <conditionalFormatting sqref="X241">
    <cfRule type="cellIs" dxfId="2281" priority="681" operator="equal">
      <formula>TRUE</formula>
    </cfRule>
    <cfRule type="cellIs" dxfId="2280" priority="682" operator="equal">
      <formula>FALSE</formula>
    </cfRule>
  </conditionalFormatting>
  <conditionalFormatting sqref="U242:W242 Y242:Z242 AF242:AH242">
    <cfRule type="cellIs" dxfId="2279" priority="679" operator="equal">
      <formula>TRUE</formula>
    </cfRule>
    <cfRule type="cellIs" dxfId="2278" priority="680" operator="equal">
      <formula>FALSE</formula>
    </cfRule>
  </conditionalFormatting>
  <conditionalFormatting sqref="X242">
    <cfRule type="cellIs" dxfId="2277" priority="677" operator="equal">
      <formula>TRUE</formula>
    </cfRule>
    <cfRule type="cellIs" dxfId="2276" priority="678" operator="equal">
      <formula>FALSE</formula>
    </cfRule>
  </conditionalFormatting>
  <conditionalFormatting sqref="U243:W243 Y243:Z243 AF243:AH243">
    <cfRule type="cellIs" dxfId="2275" priority="675" operator="equal">
      <formula>TRUE</formula>
    </cfRule>
    <cfRule type="cellIs" dxfId="2274" priority="676" operator="equal">
      <formula>FALSE</formula>
    </cfRule>
  </conditionalFormatting>
  <conditionalFormatting sqref="X243">
    <cfRule type="cellIs" dxfId="2273" priority="673" operator="equal">
      <formula>TRUE</formula>
    </cfRule>
    <cfRule type="cellIs" dxfId="2272" priority="674" operator="equal">
      <formula>FALSE</formula>
    </cfRule>
  </conditionalFormatting>
  <conditionalFormatting sqref="U244:W244 Y244:Z244 AF244:AH244">
    <cfRule type="cellIs" dxfId="2271" priority="671" operator="equal">
      <formula>TRUE</formula>
    </cfRule>
    <cfRule type="cellIs" dxfId="2270" priority="672" operator="equal">
      <formula>FALSE</formula>
    </cfRule>
  </conditionalFormatting>
  <conditionalFormatting sqref="X244">
    <cfRule type="cellIs" dxfId="2269" priority="669" operator="equal">
      <formula>TRUE</formula>
    </cfRule>
    <cfRule type="cellIs" dxfId="2268" priority="670" operator="equal">
      <formula>FALSE</formula>
    </cfRule>
  </conditionalFormatting>
  <conditionalFormatting sqref="U245:W245 Y245:Z245 AF245:AH245">
    <cfRule type="cellIs" dxfId="2267" priority="667" operator="equal">
      <formula>TRUE</formula>
    </cfRule>
    <cfRule type="cellIs" dxfId="2266" priority="668" operator="equal">
      <formula>FALSE</formula>
    </cfRule>
  </conditionalFormatting>
  <conditionalFormatting sqref="X245">
    <cfRule type="cellIs" dxfId="2265" priority="665" operator="equal">
      <formula>TRUE</formula>
    </cfRule>
    <cfRule type="cellIs" dxfId="2264" priority="666" operator="equal">
      <formula>FALSE</formula>
    </cfRule>
  </conditionalFormatting>
  <conditionalFormatting sqref="U246:W246 Y246:Z246 AF246:AH246">
    <cfRule type="cellIs" dxfId="2263" priority="663" operator="equal">
      <formula>TRUE</formula>
    </cfRule>
    <cfRule type="cellIs" dxfId="2262" priority="664" operator="equal">
      <formula>FALSE</formula>
    </cfRule>
  </conditionalFormatting>
  <conditionalFormatting sqref="X246">
    <cfRule type="cellIs" dxfId="2261" priority="661" operator="equal">
      <formula>TRUE</formula>
    </cfRule>
    <cfRule type="cellIs" dxfId="2260" priority="662" operator="equal">
      <formula>FALSE</formula>
    </cfRule>
  </conditionalFormatting>
  <conditionalFormatting sqref="U247:W247 Y247:Z247 AF247:AH247">
    <cfRule type="cellIs" dxfId="2259" priority="659" operator="equal">
      <formula>TRUE</formula>
    </cfRule>
    <cfRule type="cellIs" dxfId="2258" priority="660" operator="equal">
      <formula>FALSE</formula>
    </cfRule>
  </conditionalFormatting>
  <conditionalFormatting sqref="X247">
    <cfRule type="cellIs" dxfId="2257" priority="657" operator="equal">
      <formula>TRUE</formula>
    </cfRule>
    <cfRule type="cellIs" dxfId="2256" priority="658" operator="equal">
      <formula>FALSE</formula>
    </cfRule>
  </conditionalFormatting>
  <conditionalFormatting sqref="U248:W248 Y248:Z248 AF248:AH248">
    <cfRule type="cellIs" dxfId="2255" priority="655" operator="equal">
      <formula>TRUE</formula>
    </cfRule>
    <cfRule type="cellIs" dxfId="2254" priority="656" operator="equal">
      <formula>FALSE</formula>
    </cfRule>
  </conditionalFormatting>
  <conditionalFormatting sqref="X248">
    <cfRule type="cellIs" dxfId="2253" priority="653" operator="equal">
      <formula>TRUE</formula>
    </cfRule>
    <cfRule type="cellIs" dxfId="2252" priority="654" operator="equal">
      <formula>FALSE</formula>
    </cfRule>
  </conditionalFormatting>
  <conditionalFormatting sqref="U259:W259 Y259:Z259 AF259:AH259">
    <cfRule type="cellIs" dxfId="2251" priority="635" operator="equal">
      <formula>TRUE</formula>
    </cfRule>
    <cfRule type="cellIs" dxfId="2250" priority="636" operator="equal">
      <formula>FALSE</formula>
    </cfRule>
  </conditionalFormatting>
  <conditionalFormatting sqref="X259">
    <cfRule type="cellIs" dxfId="2249" priority="633" operator="equal">
      <formula>TRUE</formula>
    </cfRule>
    <cfRule type="cellIs" dxfId="2248" priority="634" operator="equal">
      <formula>FALSE</formula>
    </cfRule>
  </conditionalFormatting>
  <conditionalFormatting sqref="X260">
    <cfRule type="cellIs" dxfId="2247" priority="629" operator="equal">
      <formula>TRUE</formula>
    </cfRule>
    <cfRule type="cellIs" dxfId="2246" priority="630" operator="equal">
      <formula>FALSE</formula>
    </cfRule>
  </conditionalFormatting>
  <conditionalFormatting sqref="U261:W261 Y261:Z261 AF261:AH261">
    <cfRule type="cellIs" dxfId="2245" priority="627" operator="equal">
      <formula>TRUE</formula>
    </cfRule>
    <cfRule type="cellIs" dxfId="2244" priority="628" operator="equal">
      <formula>FALSE</formula>
    </cfRule>
  </conditionalFormatting>
  <conditionalFormatting sqref="U262:W262 Y262:Z262 AF262:AH262">
    <cfRule type="cellIs" dxfId="2243" priority="623" operator="equal">
      <formula>TRUE</formula>
    </cfRule>
    <cfRule type="cellIs" dxfId="2242" priority="624" operator="equal">
      <formula>FALSE</formula>
    </cfRule>
  </conditionalFormatting>
  <conditionalFormatting sqref="X262">
    <cfRule type="cellIs" dxfId="2241" priority="621" operator="equal">
      <formula>TRUE</formula>
    </cfRule>
    <cfRule type="cellIs" dxfId="2240" priority="622" operator="equal">
      <formula>FALSE</formula>
    </cfRule>
  </conditionalFormatting>
  <conditionalFormatting sqref="U263:W263 Y263:Z263 AF263:AH263">
    <cfRule type="cellIs" dxfId="2239" priority="619" operator="equal">
      <formula>TRUE</formula>
    </cfRule>
    <cfRule type="cellIs" dxfId="2238" priority="620" operator="equal">
      <formula>FALSE</formula>
    </cfRule>
  </conditionalFormatting>
  <conditionalFormatting sqref="X263">
    <cfRule type="cellIs" dxfId="2237" priority="617" operator="equal">
      <formula>TRUE</formula>
    </cfRule>
    <cfRule type="cellIs" dxfId="2236" priority="618" operator="equal">
      <formula>FALSE</formula>
    </cfRule>
  </conditionalFormatting>
  <conditionalFormatting sqref="X264">
    <cfRule type="cellIs" dxfId="2235" priority="613" operator="equal">
      <formula>TRUE</formula>
    </cfRule>
    <cfRule type="cellIs" dxfId="2234" priority="614" operator="equal">
      <formula>FALSE</formula>
    </cfRule>
  </conditionalFormatting>
  <conditionalFormatting sqref="U265:W265 Y265:Z265 AF265:AH265">
    <cfRule type="cellIs" dxfId="2233" priority="611" operator="equal">
      <formula>TRUE</formula>
    </cfRule>
    <cfRule type="cellIs" dxfId="2232" priority="612" operator="equal">
      <formula>FALSE</formula>
    </cfRule>
  </conditionalFormatting>
  <conditionalFormatting sqref="U260:W260 Y260:Z260 AF260:AH260">
    <cfRule type="cellIs" dxfId="2231" priority="631" operator="equal">
      <formula>TRUE</formula>
    </cfRule>
    <cfRule type="cellIs" dxfId="2230" priority="632" operator="equal">
      <formula>FALSE</formula>
    </cfRule>
  </conditionalFormatting>
  <conditionalFormatting sqref="X261">
    <cfRule type="cellIs" dxfId="2229" priority="625" operator="equal">
      <formula>TRUE</formula>
    </cfRule>
    <cfRule type="cellIs" dxfId="2228" priority="626" operator="equal">
      <formula>FALSE</formula>
    </cfRule>
  </conditionalFormatting>
  <conditionalFormatting sqref="U264:W264 Y264:Z264 AF264:AH264">
    <cfRule type="cellIs" dxfId="2227" priority="615" operator="equal">
      <formula>TRUE</formula>
    </cfRule>
    <cfRule type="cellIs" dxfId="2226" priority="616" operator="equal">
      <formula>FALSE</formula>
    </cfRule>
  </conditionalFormatting>
  <conditionalFormatting sqref="X265">
    <cfRule type="cellIs" dxfId="2225" priority="609" operator="equal">
      <formula>TRUE</formula>
    </cfRule>
    <cfRule type="cellIs" dxfId="2224" priority="610" operator="equal">
      <formula>FALSE</formula>
    </cfRule>
  </conditionalFormatting>
  <conditionalFormatting sqref="X266">
    <cfRule type="cellIs" dxfId="2223" priority="605" operator="equal">
      <formula>TRUE</formula>
    </cfRule>
    <cfRule type="cellIs" dxfId="2222" priority="606" operator="equal">
      <formula>FALSE</formula>
    </cfRule>
  </conditionalFormatting>
  <conditionalFormatting sqref="U267:W267 Y267:Z267 AF267:AH267">
    <cfRule type="cellIs" dxfId="2221" priority="603" operator="equal">
      <formula>TRUE</formula>
    </cfRule>
    <cfRule type="cellIs" dxfId="2220" priority="604" operator="equal">
      <formula>FALSE</formula>
    </cfRule>
  </conditionalFormatting>
  <conditionalFormatting sqref="U266:W266 Y266:Z266 AF266:AH266">
    <cfRule type="cellIs" dxfId="2219" priority="607" operator="equal">
      <formula>TRUE</formula>
    </cfRule>
    <cfRule type="cellIs" dxfId="2218" priority="608" operator="equal">
      <formula>FALSE</formula>
    </cfRule>
  </conditionalFormatting>
  <conditionalFormatting sqref="U255:W255 Y255:Z255 AF255:AH255">
    <cfRule type="cellIs" dxfId="2217" priority="651" operator="equal">
      <formula>TRUE</formula>
    </cfRule>
    <cfRule type="cellIs" dxfId="2216" priority="652" operator="equal">
      <formula>FALSE</formula>
    </cfRule>
  </conditionalFormatting>
  <conditionalFormatting sqref="X255">
    <cfRule type="cellIs" dxfId="2215" priority="649" operator="equal">
      <formula>TRUE</formula>
    </cfRule>
    <cfRule type="cellIs" dxfId="2214" priority="650" operator="equal">
      <formula>FALSE</formula>
    </cfRule>
  </conditionalFormatting>
  <conditionalFormatting sqref="U256:W256 Y256:Z256 AF256:AH256">
    <cfRule type="cellIs" dxfId="2213" priority="647" operator="equal">
      <formula>TRUE</formula>
    </cfRule>
    <cfRule type="cellIs" dxfId="2212" priority="648" operator="equal">
      <formula>FALSE</formula>
    </cfRule>
  </conditionalFormatting>
  <conditionalFormatting sqref="X256">
    <cfRule type="cellIs" dxfId="2211" priority="645" operator="equal">
      <formula>TRUE</formula>
    </cfRule>
    <cfRule type="cellIs" dxfId="2210" priority="646" operator="equal">
      <formula>FALSE</formula>
    </cfRule>
  </conditionalFormatting>
  <conditionalFormatting sqref="U257:W257 Y257:Z257 AF257:AH257">
    <cfRule type="cellIs" dxfId="2209" priority="643" operator="equal">
      <formula>TRUE</formula>
    </cfRule>
    <cfRule type="cellIs" dxfId="2208" priority="644" operator="equal">
      <formula>FALSE</formula>
    </cfRule>
  </conditionalFormatting>
  <conditionalFormatting sqref="X257">
    <cfRule type="cellIs" dxfId="2207" priority="641" operator="equal">
      <formula>TRUE</formula>
    </cfRule>
    <cfRule type="cellIs" dxfId="2206" priority="642" operator="equal">
      <formula>FALSE</formula>
    </cfRule>
  </conditionalFormatting>
  <conditionalFormatting sqref="U258:W258 Y258:Z258 AF258:AH258">
    <cfRule type="cellIs" dxfId="2205" priority="639" operator="equal">
      <formula>TRUE</formula>
    </cfRule>
    <cfRule type="cellIs" dxfId="2204" priority="640" operator="equal">
      <formula>FALSE</formula>
    </cfRule>
  </conditionalFormatting>
  <conditionalFormatting sqref="X258">
    <cfRule type="cellIs" dxfId="2203" priority="637" operator="equal">
      <formula>TRUE</formula>
    </cfRule>
    <cfRule type="cellIs" dxfId="2202" priority="638" operator="equal">
      <formula>FALSE</formula>
    </cfRule>
  </conditionalFormatting>
  <conditionalFormatting sqref="X267">
    <cfRule type="cellIs" dxfId="2201" priority="601" operator="equal">
      <formula>TRUE</formula>
    </cfRule>
    <cfRule type="cellIs" dxfId="2200" priority="602" operator="equal">
      <formula>FALSE</formula>
    </cfRule>
  </conditionalFormatting>
  <conditionalFormatting sqref="U268:W268 Y268:Z268 AF268:AH268">
    <cfRule type="cellIs" dxfId="2199" priority="599" operator="equal">
      <formula>TRUE</formula>
    </cfRule>
    <cfRule type="cellIs" dxfId="2198" priority="600" operator="equal">
      <formula>FALSE</formula>
    </cfRule>
  </conditionalFormatting>
  <conditionalFormatting sqref="X268">
    <cfRule type="cellIs" dxfId="2197" priority="597" operator="equal">
      <formula>TRUE</formula>
    </cfRule>
    <cfRule type="cellIs" dxfId="2196" priority="598" operator="equal">
      <formula>FALSE</formula>
    </cfRule>
  </conditionalFormatting>
  <conditionalFormatting sqref="U269:W269 Y269:Z269 AF269:AH269">
    <cfRule type="cellIs" dxfId="2195" priority="595" operator="equal">
      <formula>TRUE</formula>
    </cfRule>
    <cfRule type="cellIs" dxfId="2194" priority="596" operator="equal">
      <formula>FALSE</formula>
    </cfRule>
  </conditionalFormatting>
  <conditionalFormatting sqref="X269">
    <cfRule type="cellIs" dxfId="2193" priority="593" operator="equal">
      <formula>TRUE</formula>
    </cfRule>
    <cfRule type="cellIs" dxfId="2192" priority="594" operator="equal">
      <formula>FALSE</formula>
    </cfRule>
  </conditionalFormatting>
  <conditionalFormatting sqref="U270:W270 Y270:Z270 AF270:AH270">
    <cfRule type="cellIs" dxfId="2191" priority="591" operator="equal">
      <formula>TRUE</formula>
    </cfRule>
    <cfRule type="cellIs" dxfId="2190" priority="592" operator="equal">
      <formula>FALSE</formula>
    </cfRule>
  </conditionalFormatting>
  <conditionalFormatting sqref="X270">
    <cfRule type="cellIs" dxfId="2189" priority="589" operator="equal">
      <formula>TRUE</formula>
    </cfRule>
    <cfRule type="cellIs" dxfId="2188" priority="590" operator="equal">
      <formula>FALSE</formula>
    </cfRule>
  </conditionalFormatting>
  <conditionalFormatting sqref="U271:W271 Y271:Z271 AF271:AH271">
    <cfRule type="cellIs" dxfId="2187" priority="587" operator="equal">
      <formula>TRUE</formula>
    </cfRule>
    <cfRule type="cellIs" dxfId="2186" priority="588" operator="equal">
      <formula>FALSE</formula>
    </cfRule>
  </conditionalFormatting>
  <conditionalFormatting sqref="X271">
    <cfRule type="cellIs" dxfId="2185" priority="585" operator="equal">
      <formula>TRUE</formula>
    </cfRule>
    <cfRule type="cellIs" dxfId="2184" priority="586" operator="equal">
      <formula>FALSE</formula>
    </cfRule>
  </conditionalFormatting>
  <conditionalFormatting sqref="U272:W272 Y272:Z272 AF272:AH272">
    <cfRule type="cellIs" dxfId="2183" priority="583" operator="equal">
      <formula>TRUE</formula>
    </cfRule>
    <cfRule type="cellIs" dxfId="2182" priority="584" operator="equal">
      <formula>FALSE</formula>
    </cfRule>
  </conditionalFormatting>
  <conditionalFormatting sqref="X272">
    <cfRule type="cellIs" dxfId="2181" priority="581" operator="equal">
      <formula>TRUE</formula>
    </cfRule>
    <cfRule type="cellIs" dxfId="2180" priority="582" operator="equal">
      <formula>FALSE</formula>
    </cfRule>
  </conditionalFormatting>
  <conditionalFormatting sqref="U273:W273 Y273:Z273 AF273:AH273">
    <cfRule type="cellIs" dxfId="2179" priority="579" operator="equal">
      <formula>TRUE</formula>
    </cfRule>
    <cfRule type="cellIs" dxfId="2178" priority="580" operator="equal">
      <formula>FALSE</formula>
    </cfRule>
  </conditionalFormatting>
  <conditionalFormatting sqref="X273">
    <cfRule type="cellIs" dxfId="2177" priority="577" operator="equal">
      <formula>TRUE</formula>
    </cfRule>
    <cfRule type="cellIs" dxfId="2176" priority="578" operator="equal">
      <formula>FALSE</formula>
    </cfRule>
  </conditionalFormatting>
  <conditionalFormatting sqref="U274:W274 Y274:Z274 AF274:AH274">
    <cfRule type="cellIs" dxfId="2175" priority="575" operator="equal">
      <formula>TRUE</formula>
    </cfRule>
    <cfRule type="cellIs" dxfId="2174" priority="576" operator="equal">
      <formula>FALSE</formula>
    </cfRule>
  </conditionalFormatting>
  <conditionalFormatting sqref="X274">
    <cfRule type="cellIs" dxfId="2173" priority="573" operator="equal">
      <formula>TRUE</formula>
    </cfRule>
    <cfRule type="cellIs" dxfId="2172" priority="574" operator="equal">
      <formula>FALSE</formula>
    </cfRule>
  </conditionalFormatting>
  <conditionalFormatting sqref="U275:W275 Y275:Z275 AF275:AH275">
    <cfRule type="cellIs" dxfId="2171" priority="571" operator="equal">
      <formula>TRUE</formula>
    </cfRule>
    <cfRule type="cellIs" dxfId="2170" priority="572" operator="equal">
      <formula>FALSE</formula>
    </cfRule>
  </conditionalFormatting>
  <conditionalFormatting sqref="X275">
    <cfRule type="cellIs" dxfId="2169" priority="569" operator="equal">
      <formula>TRUE</formula>
    </cfRule>
    <cfRule type="cellIs" dxfId="2168" priority="570" operator="equal">
      <formula>FALSE</formula>
    </cfRule>
  </conditionalFormatting>
  <conditionalFormatting sqref="U276:W276 Y276:Z276 AF276:AH276">
    <cfRule type="cellIs" dxfId="2167" priority="567" operator="equal">
      <formula>TRUE</formula>
    </cfRule>
    <cfRule type="cellIs" dxfId="2166" priority="568" operator="equal">
      <formula>FALSE</formula>
    </cfRule>
  </conditionalFormatting>
  <conditionalFormatting sqref="X276">
    <cfRule type="cellIs" dxfId="2165" priority="565" operator="equal">
      <formula>TRUE</formula>
    </cfRule>
    <cfRule type="cellIs" dxfId="2164" priority="566" operator="equal">
      <formula>FALSE</formula>
    </cfRule>
  </conditionalFormatting>
  <conditionalFormatting sqref="U277:W277 Y277:Z277 AF277:AH277">
    <cfRule type="cellIs" dxfId="2163" priority="563" operator="equal">
      <formula>TRUE</formula>
    </cfRule>
    <cfRule type="cellIs" dxfId="2162" priority="564" operator="equal">
      <formula>FALSE</formula>
    </cfRule>
  </conditionalFormatting>
  <conditionalFormatting sqref="X277">
    <cfRule type="cellIs" dxfId="2161" priority="561" operator="equal">
      <formula>TRUE</formula>
    </cfRule>
    <cfRule type="cellIs" dxfId="2160" priority="562" operator="equal">
      <formula>FALSE</formula>
    </cfRule>
  </conditionalFormatting>
  <conditionalFormatting sqref="U278:W278 Y278:Z278 AF278:AH278">
    <cfRule type="cellIs" dxfId="2159" priority="559" operator="equal">
      <formula>TRUE</formula>
    </cfRule>
    <cfRule type="cellIs" dxfId="2158" priority="560" operator="equal">
      <formula>FALSE</formula>
    </cfRule>
  </conditionalFormatting>
  <conditionalFormatting sqref="X278">
    <cfRule type="cellIs" dxfId="2157" priority="557" operator="equal">
      <formula>TRUE</formula>
    </cfRule>
    <cfRule type="cellIs" dxfId="2156" priority="558" operator="equal">
      <formula>FALSE</formula>
    </cfRule>
  </conditionalFormatting>
  <conditionalFormatting sqref="U279:W279 Y279:Z279 AF279:AH279">
    <cfRule type="cellIs" dxfId="2155" priority="555" operator="equal">
      <formula>TRUE</formula>
    </cfRule>
    <cfRule type="cellIs" dxfId="2154" priority="556" operator="equal">
      <formula>FALSE</formula>
    </cfRule>
  </conditionalFormatting>
  <conditionalFormatting sqref="X279">
    <cfRule type="cellIs" dxfId="2153" priority="553" operator="equal">
      <formula>TRUE</formula>
    </cfRule>
    <cfRule type="cellIs" dxfId="2152" priority="554" operator="equal">
      <formula>FALSE</formula>
    </cfRule>
  </conditionalFormatting>
  <conditionalFormatting sqref="U280:W280 Y280:Z280 AF280:AH280">
    <cfRule type="cellIs" dxfId="2151" priority="551" operator="equal">
      <formula>TRUE</formula>
    </cfRule>
    <cfRule type="cellIs" dxfId="2150" priority="552" operator="equal">
      <formula>FALSE</formula>
    </cfRule>
  </conditionalFormatting>
  <conditionalFormatting sqref="X280">
    <cfRule type="cellIs" dxfId="2149" priority="549" operator="equal">
      <formula>TRUE</formula>
    </cfRule>
    <cfRule type="cellIs" dxfId="2148" priority="550" operator="equal">
      <formula>FALSE</formula>
    </cfRule>
  </conditionalFormatting>
  <conditionalFormatting sqref="U281:W281 Y281:Z281 AF281:AH281">
    <cfRule type="cellIs" dxfId="2147" priority="547" operator="equal">
      <formula>TRUE</formula>
    </cfRule>
    <cfRule type="cellIs" dxfId="2146" priority="548" operator="equal">
      <formula>FALSE</formula>
    </cfRule>
  </conditionalFormatting>
  <conditionalFormatting sqref="X281">
    <cfRule type="cellIs" dxfId="2145" priority="545" operator="equal">
      <formula>TRUE</formula>
    </cfRule>
    <cfRule type="cellIs" dxfId="2144" priority="546" operator="equal">
      <formula>FALSE</formula>
    </cfRule>
  </conditionalFormatting>
  <conditionalFormatting sqref="U282:W282 Y282:Z282 AF282:AH282">
    <cfRule type="cellIs" dxfId="2143" priority="543" operator="equal">
      <formula>TRUE</formula>
    </cfRule>
    <cfRule type="cellIs" dxfId="2142" priority="544" operator="equal">
      <formula>FALSE</formula>
    </cfRule>
  </conditionalFormatting>
  <conditionalFormatting sqref="X282">
    <cfRule type="cellIs" dxfId="2141" priority="541" operator="equal">
      <formula>TRUE</formula>
    </cfRule>
    <cfRule type="cellIs" dxfId="2140" priority="542" operator="equal">
      <formula>FALSE</formula>
    </cfRule>
  </conditionalFormatting>
  <conditionalFormatting sqref="U283:W283 Y283:Z283 AF283:AH283">
    <cfRule type="cellIs" dxfId="2139" priority="539" operator="equal">
      <formula>TRUE</formula>
    </cfRule>
    <cfRule type="cellIs" dxfId="2138" priority="540" operator="equal">
      <formula>FALSE</formula>
    </cfRule>
  </conditionalFormatting>
  <conditionalFormatting sqref="X283">
    <cfRule type="cellIs" dxfId="2137" priority="537" operator="equal">
      <formula>TRUE</formula>
    </cfRule>
    <cfRule type="cellIs" dxfId="2136" priority="538" operator="equal">
      <formula>FALSE</formula>
    </cfRule>
  </conditionalFormatting>
  <conditionalFormatting sqref="U284:W284 Y284:Z284 AF284:AH284">
    <cfRule type="cellIs" dxfId="2135" priority="535" operator="equal">
      <formula>TRUE</formula>
    </cfRule>
    <cfRule type="cellIs" dxfId="2134" priority="536" operator="equal">
      <formula>FALSE</formula>
    </cfRule>
  </conditionalFormatting>
  <conditionalFormatting sqref="X284">
    <cfRule type="cellIs" dxfId="2133" priority="533" operator="equal">
      <formula>TRUE</formula>
    </cfRule>
    <cfRule type="cellIs" dxfId="2132" priority="534" operator="equal">
      <formula>FALSE</formula>
    </cfRule>
  </conditionalFormatting>
  <conditionalFormatting sqref="U285:W285 Y285:Z285 AF285:AH285">
    <cfRule type="cellIs" dxfId="2131" priority="531" operator="equal">
      <formula>TRUE</formula>
    </cfRule>
    <cfRule type="cellIs" dxfId="2130" priority="532" operator="equal">
      <formula>FALSE</formula>
    </cfRule>
  </conditionalFormatting>
  <conditionalFormatting sqref="X285">
    <cfRule type="cellIs" dxfId="2129" priority="529" operator="equal">
      <formula>TRUE</formula>
    </cfRule>
    <cfRule type="cellIs" dxfId="2128" priority="530" operator="equal">
      <formula>FALSE</formula>
    </cfRule>
  </conditionalFormatting>
  <conditionalFormatting sqref="U286:W286 Y286:Z286 AF286:AH286">
    <cfRule type="cellIs" dxfId="2127" priority="527" operator="equal">
      <formula>TRUE</formula>
    </cfRule>
    <cfRule type="cellIs" dxfId="2126" priority="528" operator="equal">
      <formula>FALSE</formula>
    </cfRule>
  </conditionalFormatting>
  <conditionalFormatting sqref="X286">
    <cfRule type="cellIs" dxfId="2125" priority="525" operator="equal">
      <formula>TRUE</formula>
    </cfRule>
    <cfRule type="cellIs" dxfId="2124" priority="526" operator="equal">
      <formula>FALSE</formula>
    </cfRule>
  </conditionalFormatting>
  <conditionalFormatting sqref="U287:W287 Y287:Z287 AF287:AH287">
    <cfRule type="cellIs" dxfId="2123" priority="523" operator="equal">
      <formula>TRUE</formula>
    </cfRule>
    <cfRule type="cellIs" dxfId="2122" priority="524" operator="equal">
      <formula>FALSE</formula>
    </cfRule>
  </conditionalFormatting>
  <conditionalFormatting sqref="X287">
    <cfRule type="cellIs" dxfId="2121" priority="521" operator="equal">
      <formula>TRUE</formula>
    </cfRule>
    <cfRule type="cellIs" dxfId="2120" priority="522" operator="equal">
      <formula>FALSE</formula>
    </cfRule>
  </conditionalFormatting>
  <conditionalFormatting sqref="U288:W288 Y288:Z288 AF288:AH288">
    <cfRule type="cellIs" dxfId="2119" priority="519" operator="equal">
      <formula>TRUE</formula>
    </cfRule>
    <cfRule type="cellIs" dxfId="2118" priority="520" operator="equal">
      <formula>FALSE</formula>
    </cfRule>
  </conditionalFormatting>
  <conditionalFormatting sqref="X288">
    <cfRule type="cellIs" dxfId="2117" priority="517" operator="equal">
      <formula>TRUE</formula>
    </cfRule>
    <cfRule type="cellIs" dxfId="2116" priority="518" operator="equal">
      <formula>FALSE</formula>
    </cfRule>
  </conditionalFormatting>
  <conditionalFormatting sqref="U289:W289 Y289:Z289 AF289:AH289">
    <cfRule type="cellIs" dxfId="2115" priority="515" operator="equal">
      <formula>TRUE</formula>
    </cfRule>
    <cfRule type="cellIs" dxfId="2114" priority="516" operator="equal">
      <formula>FALSE</formula>
    </cfRule>
  </conditionalFormatting>
  <conditionalFormatting sqref="X289">
    <cfRule type="cellIs" dxfId="2113" priority="513" operator="equal">
      <formula>TRUE</formula>
    </cfRule>
    <cfRule type="cellIs" dxfId="2112" priority="514" operator="equal">
      <formula>FALSE</formula>
    </cfRule>
  </conditionalFormatting>
  <conditionalFormatting sqref="U290:W290 Y290:Z290 AF290:AH290">
    <cfRule type="cellIs" dxfId="2111" priority="511" operator="equal">
      <formula>TRUE</formula>
    </cfRule>
    <cfRule type="cellIs" dxfId="2110" priority="512" operator="equal">
      <formula>FALSE</formula>
    </cfRule>
  </conditionalFormatting>
  <conditionalFormatting sqref="X302">
    <cfRule type="cellIs" dxfId="2109" priority="485" operator="equal">
      <formula>TRUE</formula>
    </cfRule>
    <cfRule type="cellIs" dxfId="2108" priority="486" operator="equal">
      <formula>FALSE</formula>
    </cfRule>
  </conditionalFormatting>
  <conditionalFormatting sqref="U301:W301 Y301:Z301 AF301:AH301">
    <cfRule type="cellIs" dxfId="2107" priority="491" operator="equal">
      <formula>TRUE</formula>
    </cfRule>
    <cfRule type="cellIs" dxfId="2106" priority="492" operator="equal">
      <formula>FALSE</formula>
    </cfRule>
  </conditionalFormatting>
  <conditionalFormatting sqref="X301">
    <cfRule type="cellIs" dxfId="2105" priority="489" operator="equal">
      <formula>TRUE</formula>
    </cfRule>
    <cfRule type="cellIs" dxfId="2104" priority="490" operator="equal">
      <formula>FALSE</formula>
    </cfRule>
  </conditionalFormatting>
  <conditionalFormatting sqref="X308">
    <cfRule type="cellIs" dxfId="2103" priority="461" operator="equal">
      <formula>TRUE</formula>
    </cfRule>
    <cfRule type="cellIs" dxfId="2102" priority="462" operator="equal">
      <formula>FALSE</formula>
    </cfRule>
  </conditionalFormatting>
  <conditionalFormatting sqref="U303:W303 Y303:Z303 AF303:AH303">
    <cfRule type="cellIs" dxfId="2101" priority="483" operator="equal">
      <formula>TRUE</formula>
    </cfRule>
    <cfRule type="cellIs" dxfId="2100" priority="484" operator="equal">
      <formula>FALSE</formula>
    </cfRule>
  </conditionalFormatting>
  <conditionalFormatting sqref="U304:W304 Y304:Z304 AF304:AH304">
    <cfRule type="cellIs" dxfId="2099" priority="479" operator="equal">
      <formula>TRUE</formula>
    </cfRule>
    <cfRule type="cellIs" dxfId="2098" priority="480" operator="equal">
      <formula>FALSE</formula>
    </cfRule>
  </conditionalFormatting>
  <conditionalFormatting sqref="X304">
    <cfRule type="cellIs" dxfId="2097" priority="477" operator="equal">
      <formula>TRUE</formula>
    </cfRule>
    <cfRule type="cellIs" dxfId="2096" priority="478" operator="equal">
      <formula>FALSE</formula>
    </cfRule>
  </conditionalFormatting>
  <conditionalFormatting sqref="U305:W305 Y305:Z305 AF305:AH305">
    <cfRule type="cellIs" dxfId="2095" priority="475" operator="equal">
      <formula>TRUE</formula>
    </cfRule>
    <cfRule type="cellIs" dxfId="2094" priority="476" operator="equal">
      <formula>FALSE</formula>
    </cfRule>
  </conditionalFormatting>
  <conditionalFormatting sqref="X305">
    <cfRule type="cellIs" dxfId="2093" priority="473" operator="equal">
      <formula>TRUE</formula>
    </cfRule>
    <cfRule type="cellIs" dxfId="2092" priority="474" operator="equal">
      <formula>FALSE</formula>
    </cfRule>
  </conditionalFormatting>
  <conditionalFormatting sqref="X306">
    <cfRule type="cellIs" dxfId="2091" priority="469" operator="equal">
      <formula>TRUE</formula>
    </cfRule>
    <cfRule type="cellIs" dxfId="2090" priority="470" operator="equal">
      <formula>FALSE</formula>
    </cfRule>
  </conditionalFormatting>
  <conditionalFormatting sqref="U307:W307 Y307:Z307 AF307:AH307">
    <cfRule type="cellIs" dxfId="2089" priority="467" operator="equal">
      <formula>TRUE</formula>
    </cfRule>
    <cfRule type="cellIs" dxfId="2088" priority="468" operator="equal">
      <formula>FALSE</formula>
    </cfRule>
  </conditionalFormatting>
  <conditionalFormatting sqref="U302:W302 Y302:Z302 AF302:AH302">
    <cfRule type="cellIs" dxfId="2087" priority="487" operator="equal">
      <formula>TRUE</formula>
    </cfRule>
    <cfRule type="cellIs" dxfId="2086" priority="488" operator="equal">
      <formula>FALSE</formula>
    </cfRule>
  </conditionalFormatting>
  <conditionalFormatting sqref="X303">
    <cfRule type="cellIs" dxfId="2085" priority="481" operator="equal">
      <formula>TRUE</formula>
    </cfRule>
    <cfRule type="cellIs" dxfId="2084" priority="482" operator="equal">
      <formula>FALSE</formula>
    </cfRule>
  </conditionalFormatting>
  <conditionalFormatting sqref="U306:W306 Y306:Z306 AF306:AH306">
    <cfRule type="cellIs" dxfId="2083" priority="471" operator="equal">
      <formula>TRUE</formula>
    </cfRule>
    <cfRule type="cellIs" dxfId="2082" priority="472" operator="equal">
      <formula>FALSE</formula>
    </cfRule>
  </conditionalFormatting>
  <conditionalFormatting sqref="X307">
    <cfRule type="cellIs" dxfId="2081" priority="465" operator="equal">
      <formula>TRUE</formula>
    </cfRule>
    <cfRule type="cellIs" dxfId="2080" priority="466" operator="equal">
      <formula>FALSE</formula>
    </cfRule>
  </conditionalFormatting>
  <conditionalFormatting sqref="U309:W309 Y309:Z309 AF309:AH309">
    <cfRule type="cellIs" dxfId="2079" priority="459" operator="equal">
      <formula>TRUE</formula>
    </cfRule>
    <cfRule type="cellIs" dxfId="2078" priority="460" operator="equal">
      <formula>FALSE</formula>
    </cfRule>
  </conditionalFormatting>
  <conditionalFormatting sqref="U308:W308 Y308:Z308 AF308:AH308">
    <cfRule type="cellIs" dxfId="2077" priority="463" operator="equal">
      <formula>TRUE</formula>
    </cfRule>
    <cfRule type="cellIs" dxfId="2076" priority="464" operator="equal">
      <formula>FALSE</formula>
    </cfRule>
  </conditionalFormatting>
  <conditionalFormatting sqref="U297:W297 Y297:Z297 AF297:AH297">
    <cfRule type="cellIs" dxfId="2075" priority="507" operator="equal">
      <formula>TRUE</formula>
    </cfRule>
    <cfRule type="cellIs" dxfId="2074" priority="508" operator="equal">
      <formula>FALSE</formula>
    </cfRule>
  </conditionalFormatting>
  <conditionalFormatting sqref="X297">
    <cfRule type="cellIs" dxfId="2073" priority="505" operator="equal">
      <formula>TRUE</formula>
    </cfRule>
    <cfRule type="cellIs" dxfId="2072" priority="506" operator="equal">
      <formula>FALSE</formula>
    </cfRule>
  </conditionalFormatting>
  <conditionalFormatting sqref="U298:W298 Y298:Z298 AF298:AH298">
    <cfRule type="cellIs" dxfId="2071" priority="503" operator="equal">
      <formula>TRUE</formula>
    </cfRule>
    <cfRule type="cellIs" dxfId="2070" priority="504" operator="equal">
      <formula>FALSE</formula>
    </cfRule>
  </conditionalFormatting>
  <conditionalFormatting sqref="X298">
    <cfRule type="cellIs" dxfId="2069" priority="501" operator="equal">
      <formula>TRUE</formula>
    </cfRule>
    <cfRule type="cellIs" dxfId="2068" priority="502" operator="equal">
      <formula>FALSE</formula>
    </cfRule>
  </conditionalFormatting>
  <conditionalFormatting sqref="U299:W299 Y299:Z299 AF299:AH299">
    <cfRule type="cellIs" dxfId="2067" priority="499" operator="equal">
      <formula>TRUE</formula>
    </cfRule>
    <cfRule type="cellIs" dxfId="2066" priority="500" operator="equal">
      <formula>FALSE</formula>
    </cfRule>
  </conditionalFormatting>
  <conditionalFormatting sqref="X299">
    <cfRule type="cellIs" dxfId="2065" priority="497" operator="equal">
      <formula>TRUE</formula>
    </cfRule>
    <cfRule type="cellIs" dxfId="2064" priority="498" operator="equal">
      <formula>FALSE</formula>
    </cfRule>
  </conditionalFormatting>
  <conditionalFormatting sqref="U300:W300 Y300:Z300 AF300:AH300">
    <cfRule type="cellIs" dxfId="2063" priority="495" operator="equal">
      <formula>TRUE</formula>
    </cfRule>
    <cfRule type="cellIs" dxfId="2062" priority="496" operator="equal">
      <formula>FALSE</formula>
    </cfRule>
  </conditionalFormatting>
  <conditionalFormatting sqref="X300">
    <cfRule type="cellIs" dxfId="2061" priority="493" operator="equal">
      <formula>TRUE</formula>
    </cfRule>
    <cfRule type="cellIs" dxfId="2060" priority="494" operator="equal">
      <formula>FALSE</formula>
    </cfRule>
  </conditionalFormatting>
  <conditionalFormatting sqref="X309">
    <cfRule type="cellIs" dxfId="2059" priority="457" operator="equal">
      <formula>TRUE</formula>
    </cfRule>
    <cfRule type="cellIs" dxfId="2058" priority="458" operator="equal">
      <formula>FALSE</formula>
    </cfRule>
  </conditionalFormatting>
  <conditionalFormatting sqref="U316:W316 Y316:Z316 AF316:AH316">
    <cfRule type="cellIs" dxfId="2057" priority="431" operator="equal">
      <formula>TRUE</formula>
    </cfRule>
    <cfRule type="cellIs" dxfId="2056" priority="432" operator="equal">
      <formula>FALSE</formula>
    </cfRule>
  </conditionalFormatting>
  <conditionalFormatting sqref="X322">
    <cfRule type="cellIs" dxfId="2055" priority="405" operator="equal">
      <formula>TRUE</formula>
    </cfRule>
    <cfRule type="cellIs" dxfId="2054" priority="406" operator="equal">
      <formula>FALSE</formula>
    </cfRule>
  </conditionalFormatting>
  <conditionalFormatting sqref="U323:W323 Y323:Z323 AF323:AH323">
    <cfRule type="cellIs" dxfId="2053" priority="403" operator="equal">
      <formula>TRUE</formula>
    </cfRule>
    <cfRule type="cellIs" dxfId="2052" priority="404" operator="equal">
      <formula>FALSE</formula>
    </cfRule>
  </conditionalFormatting>
  <conditionalFormatting sqref="X317">
    <cfRule type="cellIs" dxfId="2051" priority="425" operator="equal">
      <formula>TRUE</formula>
    </cfRule>
    <cfRule type="cellIs" dxfId="2050" priority="426" operator="equal">
      <formula>FALSE</formula>
    </cfRule>
  </conditionalFormatting>
  <conditionalFormatting sqref="U318:W318 Y318:Z318 AF318:AH318">
    <cfRule type="cellIs" dxfId="2049" priority="423" operator="equal">
      <formula>TRUE</formula>
    </cfRule>
    <cfRule type="cellIs" dxfId="2048" priority="424" operator="equal">
      <formula>FALSE</formula>
    </cfRule>
  </conditionalFormatting>
  <conditionalFormatting sqref="X342">
    <cfRule type="cellIs" dxfId="2047" priority="349" operator="equal">
      <formula>TRUE</formula>
    </cfRule>
    <cfRule type="cellIs" dxfId="2046" priority="350" operator="equal">
      <formula>FALSE</formula>
    </cfRule>
  </conditionalFormatting>
  <conditionalFormatting sqref="U331:W331 Y331:Z331 AF331:AH331">
    <cfRule type="cellIs" dxfId="2045" priority="371" operator="equal">
      <formula>TRUE</formula>
    </cfRule>
    <cfRule type="cellIs" dxfId="2044" priority="372" operator="equal">
      <formula>FALSE</formula>
    </cfRule>
  </conditionalFormatting>
  <conditionalFormatting sqref="X313">
    <cfRule type="cellIs" dxfId="2043" priority="441" operator="equal">
      <formula>TRUE</formula>
    </cfRule>
    <cfRule type="cellIs" dxfId="2042" priority="442" operator="equal">
      <formula>FALSE</formula>
    </cfRule>
  </conditionalFormatting>
  <conditionalFormatting sqref="X332">
    <cfRule type="cellIs" dxfId="2041" priority="365" operator="equal">
      <formula>TRUE</formula>
    </cfRule>
    <cfRule type="cellIs" dxfId="2040" priority="366" operator="equal">
      <formula>FALSE</formula>
    </cfRule>
  </conditionalFormatting>
  <conditionalFormatting sqref="X339">
    <cfRule type="cellIs" dxfId="2039" priority="361" operator="equal">
      <formula>TRUE</formula>
    </cfRule>
    <cfRule type="cellIs" dxfId="2038" priority="362" operator="equal">
      <formula>FALSE</formula>
    </cfRule>
  </conditionalFormatting>
  <conditionalFormatting sqref="U322:W322 Y322:Z322 AF322:AH322">
    <cfRule type="cellIs" dxfId="2037" priority="407" operator="equal">
      <formula>TRUE</formula>
    </cfRule>
    <cfRule type="cellIs" dxfId="2036" priority="408" operator="equal">
      <formula>FALSE</formula>
    </cfRule>
  </conditionalFormatting>
  <conditionalFormatting sqref="X328">
    <cfRule type="cellIs" dxfId="2035" priority="381" operator="equal">
      <formula>TRUE</formula>
    </cfRule>
    <cfRule type="cellIs" dxfId="2034" priority="382" operator="equal">
      <formula>FALSE</formula>
    </cfRule>
  </conditionalFormatting>
  <conditionalFormatting sqref="U329:W329 Y329:Z329 AF329:AH329">
    <cfRule type="cellIs" dxfId="2033" priority="379" operator="equal">
      <formula>TRUE</formula>
    </cfRule>
    <cfRule type="cellIs" dxfId="2032" priority="380" operator="equal">
      <formula>FALSE</formula>
    </cfRule>
  </conditionalFormatting>
  <conditionalFormatting sqref="X323">
    <cfRule type="cellIs" dxfId="2031" priority="401" operator="equal">
      <formula>TRUE</formula>
    </cfRule>
    <cfRule type="cellIs" dxfId="2030" priority="402" operator="equal">
      <formula>FALSE</formula>
    </cfRule>
  </conditionalFormatting>
  <conditionalFormatting sqref="U324:W324 Y324:Z324 AF324:AH324">
    <cfRule type="cellIs" dxfId="2029" priority="399" operator="equal">
      <formula>TRUE</formula>
    </cfRule>
    <cfRule type="cellIs" dxfId="2028" priority="400" operator="equal">
      <formula>FALSE</formula>
    </cfRule>
  </conditionalFormatting>
  <conditionalFormatting sqref="X331">
    <cfRule type="cellIs" dxfId="2027" priority="369" operator="equal">
      <formula>TRUE</formula>
    </cfRule>
    <cfRule type="cellIs" dxfId="2026" priority="370" operator="equal">
      <formula>FALSE</formula>
    </cfRule>
  </conditionalFormatting>
  <conditionalFormatting sqref="U328:W328 Y328:Z328 AF328:AH328">
    <cfRule type="cellIs" dxfId="2025" priority="383" operator="equal">
      <formula>TRUE</formula>
    </cfRule>
    <cfRule type="cellIs" dxfId="2024" priority="384" operator="equal">
      <formula>FALSE</formula>
    </cfRule>
  </conditionalFormatting>
  <conditionalFormatting sqref="X340">
    <cfRule type="cellIs" dxfId="2023" priority="357" operator="equal">
      <formula>TRUE</formula>
    </cfRule>
    <cfRule type="cellIs" dxfId="2022" priority="358" operator="equal">
      <formula>FALSE</formula>
    </cfRule>
  </conditionalFormatting>
  <conditionalFormatting sqref="U341:W341 Y341:Z341 AF341:AH341">
    <cfRule type="cellIs" dxfId="2021" priority="355" operator="equal">
      <formula>TRUE</formula>
    </cfRule>
    <cfRule type="cellIs" dxfId="2020" priority="356" operator="equal">
      <formula>FALSE</formula>
    </cfRule>
  </conditionalFormatting>
  <conditionalFormatting sqref="X329">
    <cfRule type="cellIs" dxfId="2019" priority="377" operator="equal">
      <formula>TRUE</formula>
    </cfRule>
    <cfRule type="cellIs" dxfId="2018" priority="378" operator="equal">
      <formula>FALSE</formula>
    </cfRule>
  </conditionalFormatting>
  <conditionalFormatting sqref="U330:W330 Y330:Z330 AF330:AH330">
    <cfRule type="cellIs" dxfId="2017" priority="375" operator="equal">
      <formula>TRUE</formula>
    </cfRule>
    <cfRule type="cellIs" dxfId="2016" priority="376" operator="equal">
      <formula>FALSE</formula>
    </cfRule>
  </conditionalFormatting>
  <conditionalFormatting sqref="U340:W340 Y340:Z340 AF340:AH340">
    <cfRule type="cellIs" dxfId="2015" priority="359" operator="equal">
      <formula>TRUE</formula>
    </cfRule>
    <cfRule type="cellIs" dxfId="2014" priority="360" operator="equal">
      <formula>FALSE</formula>
    </cfRule>
  </conditionalFormatting>
  <conditionalFormatting sqref="X341">
    <cfRule type="cellIs" dxfId="2013" priority="353" operator="equal">
      <formula>TRUE</formula>
    </cfRule>
    <cfRule type="cellIs" dxfId="2012" priority="354" operator="equal">
      <formula>FALSE</formula>
    </cfRule>
  </conditionalFormatting>
  <conditionalFormatting sqref="U342:W342 Y342:Z342 AF342:AH342">
    <cfRule type="cellIs" dxfId="2011" priority="351" operator="equal">
      <formula>TRUE</formula>
    </cfRule>
    <cfRule type="cellIs" dxfId="2010" priority="352" operator="equal">
      <formula>FALSE</formula>
    </cfRule>
  </conditionalFormatting>
  <conditionalFormatting sqref="U355:W355 Y355:Z355 AF355:AH355">
    <cfRule type="cellIs" dxfId="2009" priority="299" operator="equal">
      <formula>TRUE</formula>
    </cfRule>
    <cfRule type="cellIs" dxfId="2008" priority="300" operator="equal">
      <formula>FALSE</formula>
    </cfRule>
  </conditionalFormatting>
  <conditionalFormatting sqref="X356">
    <cfRule type="cellIs" dxfId="2007" priority="293" operator="equal">
      <formula>TRUE</formula>
    </cfRule>
    <cfRule type="cellIs" dxfId="2006" priority="294" operator="equal">
      <formula>FALSE</formula>
    </cfRule>
  </conditionalFormatting>
  <conditionalFormatting sqref="U351:W351 Y351:Z351 AF351:AH351">
    <cfRule type="cellIs" dxfId="2005" priority="315" operator="equal">
      <formula>TRUE</formula>
    </cfRule>
    <cfRule type="cellIs" dxfId="2004" priority="316" operator="equal">
      <formula>FALSE</formula>
    </cfRule>
  </conditionalFormatting>
  <conditionalFormatting sqref="X352">
    <cfRule type="cellIs" dxfId="2003" priority="309" operator="equal">
      <formula>TRUE</formula>
    </cfRule>
    <cfRule type="cellIs" dxfId="2002" priority="310" operator="equal">
      <formula>FALSE</formula>
    </cfRule>
  </conditionalFormatting>
  <conditionalFormatting sqref="U353:W353 Y353:Z353 AF353:AH353">
    <cfRule type="cellIs" dxfId="2001" priority="307" operator="equal">
      <formula>TRUE</formula>
    </cfRule>
    <cfRule type="cellIs" dxfId="2000" priority="308" operator="equal">
      <formula>FALSE</formula>
    </cfRule>
  </conditionalFormatting>
  <conditionalFormatting sqref="X354">
    <cfRule type="cellIs" dxfId="1999" priority="301" operator="equal">
      <formula>TRUE</formula>
    </cfRule>
    <cfRule type="cellIs" dxfId="1998" priority="302" operator="equal">
      <formula>FALSE</formula>
    </cfRule>
  </conditionalFormatting>
  <conditionalFormatting sqref="U181:W181 Y181:Z181 AF181:AH181">
    <cfRule type="cellIs" dxfId="1997" priority="275" operator="equal">
      <formula>TRUE</formula>
    </cfRule>
    <cfRule type="cellIs" dxfId="1996" priority="276" operator="equal">
      <formula>FALSE</formula>
    </cfRule>
  </conditionalFormatting>
  <conditionalFormatting sqref="X182">
    <cfRule type="cellIs" dxfId="1995" priority="269" operator="equal">
      <formula>TRUE</formula>
    </cfRule>
    <cfRule type="cellIs" dxfId="1994" priority="270" operator="equal">
      <formula>FALSE</formula>
    </cfRule>
  </conditionalFormatting>
  <conditionalFormatting sqref="X351">
    <cfRule type="cellIs" dxfId="1993" priority="313" operator="equal">
      <formula>TRUE</formula>
    </cfRule>
    <cfRule type="cellIs" dxfId="1992" priority="314" operator="equal">
      <formula>FALSE</formula>
    </cfRule>
  </conditionalFormatting>
  <conditionalFormatting sqref="U352:W352 Y352:Z352 AF352:AH352">
    <cfRule type="cellIs" dxfId="1991" priority="311" operator="equal">
      <formula>TRUE</formula>
    </cfRule>
    <cfRule type="cellIs" dxfId="1990" priority="312" operator="equal">
      <formula>FALSE</formula>
    </cfRule>
  </conditionalFormatting>
  <conditionalFormatting sqref="U14:W14 Y14:AA14 AF14:AH14">
    <cfRule type="cellIs" dxfId="1989" priority="1083" operator="equal">
      <formula>TRUE</formula>
    </cfRule>
    <cfRule type="cellIs" dxfId="1988" priority="1084" operator="equal">
      <formula>FALSE</formula>
    </cfRule>
  </conditionalFormatting>
  <conditionalFormatting sqref="X353">
    <cfRule type="cellIs" dxfId="1987" priority="305" operator="equal">
      <formula>TRUE</formula>
    </cfRule>
    <cfRule type="cellIs" dxfId="1986" priority="306" operator="equal">
      <formula>FALSE</formula>
    </cfRule>
  </conditionalFormatting>
  <conditionalFormatting sqref="X355">
    <cfRule type="cellIs" dxfId="1985" priority="297" operator="equal">
      <formula>TRUE</formula>
    </cfRule>
    <cfRule type="cellIs" dxfId="1984" priority="298" operator="equal">
      <formula>FALSE</formula>
    </cfRule>
  </conditionalFormatting>
  <conditionalFormatting sqref="U356:W356 Y356:Z356 AF356:AH356">
    <cfRule type="cellIs" dxfId="1983" priority="295" operator="equal">
      <formula>TRUE</formula>
    </cfRule>
    <cfRule type="cellIs" dxfId="1982" priority="296" operator="equal">
      <formula>FALSE</formula>
    </cfRule>
  </conditionalFormatting>
  <conditionalFormatting sqref="U219:W219 Y219:Z219 AF219:AH219">
    <cfRule type="cellIs" dxfId="1981" priority="267" operator="equal">
      <formula>TRUE</formula>
    </cfRule>
    <cfRule type="cellIs" dxfId="1980" priority="268" operator="equal">
      <formula>FALSE</formula>
    </cfRule>
  </conditionalFormatting>
  <conditionalFormatting sqref="X220">
    <cfRule type="cellIs" dxfId="1979" priority="261" operator="equal">
      <formula>TRUE</formula>
    </cfRule>
    <cfRule type="cellIs" dxfId="1978" priority="262" operator="equal">
      <formula>FALSE</formula>
    </cfRule>
  </conditionalFormatting>
  <conditionalFormatting sqref="U221:W221 Y221:Z221 AF221:AH221">
    <cfRule type="cellIs" dxfId="1977" priority="259" operator="equal">
      <formula>TRUE</formula>
    </cfRule>
    <cfRule type="cellIs" dxfId="1976" priority="260" operator="equal">
      <formula>FALSE</formula>
    </cfRule>
  </conditionalFormatting>
  <conditionalFormatting sqref="X14">
    <cfRule type="cellIs" dxfId="1975" priority="1081" operator="equal">
      <formula>TRUE</formula>
    </cfRule>
    <cfRule type="cellIs" dxfId="1974" priority="1082" operator="equal">
      <formula>FALSE</formula>
    </cfRule>
  </conditionalFormatting>
  <conditionalFormatting sqref="U354:W354 Y354:Z354 AF354:AH354">
    <cfRule type="cellIs" dxfId="1973" priority="303" operator="equal">
      <formula>TRUE</formula>
    </cfRule>
    <cfRule type="cellIs" dxfId="1972" priority="304" operator="equal">
      <formula>FALSE</formula>
    </cfRule>
  </conditionalFormatting>
  <conditionalFormatting sqref="X222">
    <cfRule type="cellIs" dxfId="1971" priority="253" operator="equal">
      <formula>TRUE</formula>
    </cfRule>
    <cfRule type="cellIs" dxfId="1970" priority="254" operator="equal">
      <formula>FALSE</formula>
    </cfRule>
  </conditionalFormatting>
  <conditionalFormatting sqref="U223:W223 Y223:Z223 AF223:AH223">
    <cfRule type="cellIs" dxfId="1969" priority="251" operator="equal">
      <formula>TRUE</formula>
    </cfRule>
    <cfRule type="cellIs" dxfId="1968" priority="252" operator="equal">
      <formula>FALSE</formula>
    </cfRule>
  </conditionalFormatting>
  <conditionalFormatting sqref="X181">
    <cfRule type="cellIs" dxfId="1967" priority="273" operator="equal">
      <formula>TRUE</formula>
    </cfRule>
    <cfRule type="cellIs" dxfId="1966" priority="274" operator="equal">
      <formula>FALSE</formula>
    </cfRule>
  </conditionalFormatting>
  <conditionalFormatting sqref="U182:W182 Y182:Z182 AF182:AH182">
    <cfRule type="cellIs" dxfId="1965" priority="271" operator="equal">
      <formula>TRUE</formula>
    </cfRule>
    <cfRule type="cellIs" dxfId="1964" priority="272" operator="equal">
      <formula>FALSE</formula>
    </cfRule>
  </conditionalFormatting>
  <conditionalFormatting sqref="X15">
    <cfRule type="cellIs" dxfId="1963" priority="1063" operator="equal">
      <formula>TRUE</formula>
    </cfRule>
    <cfRule type="cellIs" dxfId="1962" priority="1064" operator="equal">
      <formula>FALSE</formula>
    </cfRule>
  </conditionalFormatting>
  <conditionalFormatting sqref="U220:W220 Y220:Z220 AF220:AH220">
    <cfRule type="cellIs" dxfId="1961" priority="263" operator="equal">
      <formula>TRUE</formula>
    </cfRule>
    <cfRule type="cellIs" dxfId="1960" priority="264" operator="equal">
      <formula>FALSE</formula>
    </cfRule>
  </conditionalFormatting>
  <conditionalFormatting sqref="X221">
    <cfRule type="cellIs" dxfId="1959" priority="257" operator="equal">
      <formula>TRUE</formula>
    </cfRule>
    <cfRule type="cellIs" dxfId="1958" priority="258" operator="equal">
      <formula>FALSE</formula>
    </cfRule>
  </conditionalFormatting>
  <conditionalFormatting sqref="U15:W15 Y15:AA15 AF15:AH15">
    <cfRule type="cellIs" dxfId="1957" priority="1065" operator="equal">
      <formula>TRUE</formula>
    </cfRule>
    <cfRule type="cellIs" dxfId="1956" priority="1066" operator="equal">
      <formula>FALSE</formula>
    </cfRule>
  </conditionalFormatting>
  <conditionalFormatting sqref="X224">
    <cfRule type="cellIs" dxfId="1955" priority="245" operator="equal">
      <formula>TRUE</formula>
    </cfRule>
    <cfRule type="cellIs" dxfId="1954" priority="246" operator="equal">
      <formula>FALSE</formula>
    </cfRule>
  </conditionalFormatting>
  <conditionalFormatting sqref="X219">
    <cfRule type="cellIs" dxfId="1953" priority="265" operator="equal">
      <formula>TRUE</formula>
    </cfRule>
    <cfRule type="cellIs" dxfId="1952" priority="266" operator="equal">
      <formula>FALSE</formula>
    </cfRule>
  </conditionalFormatting>
  <conditionalFormatting sqref="AI63">
    <cfRule type="cellIs" dxfId="1951" priority="1019" operator="equal">
      <formula>TRUE</formula>
    </cfRule>
    <cfRule type="cellIs" dxfId="1950" priority="1020" operator="equal">
      <formula>FALSE</formula>
    </cfRule>
  </conditionalFormatting>
  <conditionalFormatting sqref="AI64">
    <cfRule type="cellIs" dxfId="1949" priority="1013" operator="equal">
      <formula>TRUE</formula>
    </cfRule>
    <cfRule type="cellIs" dxfId="1948" priority="1014" operator="equal">
      <formula>FALSE</formula>
    </cfRule>
  </conditionalFormatting>
  <conditionalFormatting sqref="AI65">
    <cfRule type="cellIs" dxfId="1947" priority="1007" operator="equal">
      <formula>TRUE</formula>
    </cfRule>
    <cfRule type="cellIs" dxfId="1946" priority="1008" operator="equal">
      <formula>FALSE</formula>
    </cfRule>
  </conditionalFormatting>
  <conditionalFormatting sqref="U222:W222 Y222:Z222 AF222:AH222">
    <cfRule type="cellIs" dxfId="1945" priority="255" operator="equal">
      <formula>TRUE</formula>
    </cfRule>
    <cfRule type="cellIs" dxfId="1944" priority="256" operator="equal">
      <formula>FALSE</formula>
    </cfRule>
  </conditionalFormatting>
  <conditionalFormatting sqref="AI66">
    <cfRule type="cellIs" dxfId="1943" priority="1001" operator="equal">
      <formula>TRUE</formula>
    </cfRule>
    <cfRule type="cellIs" dxfId="1942" priority="1002" operator="equal">
      <formula>FALSE</formula>
    </cfRule>
  </conditionalFormatting>
  <conditionalFormatting sqref="X223">
    <cfRule type="cellIs" dxfId="1941" priority="249" operator="equal">
      <formula>TRUE</formula>
    </cfRule>
    <cfRule type="cellIs" dxfId="1940" priority="250" operator="equal">
      <formula>FALSE</formula>
    </cfRule>
  </conditionalFormatting>
  <conditionalFormatting sqref="AI67">
    <cfRule type="cellIs" dxfId="1939" priority="995" operator="equal">
      <formula>TRUE</formula>
    </cfRule>
    <cfRule type="cellIs" dxfId="1938" priority="996" operator="equal">
      <formula>FALSE</formula>
    </cfRule>
  </conditionalFormatting>
  <conditionalFormatting sqref="U224:W224 Y224:Z224 AF224:AH224">
    <cfRule type="cellIs" dxfId="1937" priority="247" operator="equal">
      <formula>TRUE</formula>
    </cfRule>
    <cfRule type="cellIs" dxfId="1936" priority="248" operator="equal">
      <formula>FALSE</formula>
    </cfRule>
  </conditionalFormatting>
  <conditionalFormatting sqref="AI68">
    <cfRule type="cellIs" dxfId="1935" priority="989" operator="equal">
      <formula>TRUE</formula>
    </cfRule>
    <cfRule type="cellIs" dxfId="1934" priority="990" operator="equal">
      <formula>FALSE</formula>
    </cfRule>
  </conditionalFormatting>
  <conditionalFormatting sqref="U249:W249 Y249:Z249 AF249:AH249">
    <cfRule type="cellIs" dxfId="1933" priority="243" operator="equal">
      <formula>TRUE</formula>
    </cfRule>
    <cfRule type="cellIs" dxfId="1932" priority="244" operator="equal">
      <formula>FALSE</formula>
    </cfRule>
  </conditionalFormatting>
  <conditionalFormatting sqref="AI105">
    <cfRule type="cellIs" dxfId="1931" priority="983" operator="equal">
      <formula>TRUE</formula>
    </cfRule>
    <cfRule type="cellIs" dxfId="1930" priority="984" operator="equal">
      <formula>FALSE</formula>
    </cfRule>
  </conditionalFormatting>
  <conditionalFormatting sqref="AI106">
    <cfRule type="cellIs" dxfId="1929" priority="977" operator="equal">
      <formula>TRUE</formula>
    </cfRule>
    <cfRule type="cellIs" dxfId="1928" priority="978" operator="equal">
      <formula>FALSE</formula>
    </cfRule>
  </conditionalFormatting>
  <conditionalFormatting sqref="AI107">
    <cfRule type="cellIs" dxfId="1927" priority="971" operator="equal">
      <formula>TRUE</formula>
    </cfRule>
    <cfRule type="cellIs" dxfId="1926" priority="972" operator="equal">
      <formula>FALSE</formula>
    </cfRule>
  </conditionalFormatting>
  <conditionalFormatting sqref="AI108">
    <cfRule type="cellIs" dxfId="1925" priority="965" operator="equal">
      <formula>TRUE</formula>
    </cfRule>
    <cfRule type="cellIs" dxfId="1924" priority="966" operator="equal">
      <formula>FALSE</formula>
    </cfRule>
  </conditionalFormatting>
  <conditionalFormatting sqref="AI109">
    <cfRule type="cellIs" dxfId="1923" priority="959" operator="equal">
      <formula>TRUE</formula>
    </cfRule>
    <cfRule type="cellIs" dxfId="1922" priority="960" operator="equal">
      <formula>FALSE</formula>
    </cfRule>
  </conditionalFormatting>
  <conditionalFormatting sqref="AI110">
    <cfRule type="cellIs" dxfId="1921" priority="953" operator="equal">
      <formula>TRUE</formula>
    </cfRule>
    <cfRule type="cellIs" dxfId="1920" priority="954" operator="equal">
      <formula>FALSE</formula>
    </cfRule>
  </conditionalFormatting>
  <conditionalFormatting sqref="U63:W63 Y63:AH63 AB64:AE68">
    <cfRule type="cellIs" dxfId="1919" priority="1023" operator="equal">
      <formula>TRUE</formula>
    </cfRule>
    <cfRule type="cellIs" dxfId="1918" priority="1024" operator="equal">
      <formula>FALSE</formula>
    </cfRule>
  </conditionalFormatting>
  <conditionalFormatting sqref="X63">
    <cfRule type="cellIs" dxfId="1917" priority="1021" operator="equal">
      <formula>TRUE</formula>
    </cfRule>
    <cfRule type="cellIs" dxfId="1916" priority="1022" operator="equal">
      <formula>FALSE</formula>
    </cfRule>
  </conditionalFormatting>
  <conditionalFormatting sqref="U64:W64 Y64:AA64 AF64:AH64">
    <cfRule type="cellIs" dxfId="1915" priority="1017" operator="equal">
      <formula>TRUE</formula>
    </cfRule>
    <cfRule type="cellIs" dxfId="1914" priority="1018" operator="equal">
      <formula>FALSE</formula>
    </cfRule>
  </conditionalFormatting>
  <conditionalFormatting sqref="X64">
    <cfRule type="cellIs" dxfId="1913" priority="1015" operator="equal">
      <formula>TRUE</formula>
    </cfRule>
    <cfRule type="cellIs" dxfId="1912" priority="1016" operator="equal">
      <formula>FALSE</formula>
    </cfRule>
  </conditionalFormatting>
  <conditionalFormatting sqref="U65:W65 Y65:AA65 AF65:AH65">
    <cfRule type="cellIs" dxfId="1911" priority="1011" operator="equal">
      <formula>TRUE</formula>
    </cfRule>
    <cfRule type="cellIs" dxfId="1910" priority="1012" operator="equal">
      <formula>FALSE</formula>
    </cfRule>
  </conditionalFormatting>
  <conditionalFormatting sqref="X65">
    <cfRule type="cellIs" dxfId="1909" priority="1009" operator="equal">
      <formula>TRUE</formula>
    </cfRule>
    <cfRule type="cellIs" dxfId="1908" priority="1010" operator="equal">
      <formula>FALSE</formula>
    </cfRule>
  </conditionalFormatting>
  <conditionalFormatting sqref="U66:W66 Y66:AA66 AF66:AH66">
    <cfRule type="cellIs" dxfId="1907" priority="1005" operator="equal">
      <formula>TRUE</formula>
    </cfRule>
    <cfRule type="cellIs" dxfId="1906" priority="1006" operator="equal">
      <formula>FALSE</formula>
    </cfRule>
  </conditionalFormatting>
  <conditionalFormatting sqref="X66">
    <cfRule type="cellIs" dxfId="1905" priority="1003" operator="equal">
      <formula>TRUE</formula>
    </cfRule>
    <cfRule type="cellIs" dxfId="1904" priority="1004" operator="equal">
      <formula>FALSE</formula>
    </cfRule>
  </conditionalFormatting>
  <conditionalFormatting sqref="U67:W67 Y67:AA67 AF67:AH67">
    <cfRule type="cellIs" dxfId="1903" priority="999" operator="equal">
      <formula>TRUE</formula>
    </cfRule>
    <cfRule type="cellIs" dxfId="1902" priority="1000" operator="equal">
      <formula>FALSE</formula>
    </cfRule>
  </conditionalFormatting>
  <conditionalFormatting sqref="X67">
    <cfRule type="cellIs" dxfId="1901" priority="997" operator="equal">
      <formula>TRUE</formula>
    </cfRule>
    <cfRule type="cellIs" dxfId="1900" priority="998" operator="equal">
      <formula>FALSE</formula>
    </cfRule>
  </conditionalFormatting>
  <conditionalFormatting sqref="U68:W68 Y68:AA68 AF68:AH68">
    <cfRule type="cellIs" dxfId="1899" priority="993" operator="equal">
      <formula>TRUE</formula>
    </cfRule>
    <cfRule type="cellIs" dxfId="1898" priority="994" operator="equal">
      <formula>FALSE</formula>
    </cfRule>
  </conditionalFormatting>
  <conditionalFormatting sqref="X68">
    <cfRule type="cellIs" dxfId="1897" priority="991" operator="equal">
      <formula>TRUE</formula>
    </cfRule>
    <cfRule type="cellIs" dxfId="1896" priority="992" operator="equal">
      <formula>FALSE</formula>
    </cfRule>
  </conditionalFormatting>
  <conditionalFormatting sqref="U105:W105 Y105:AD105 AB106:AD110 AF105:AH105">
    <cfRule type="cellIs" dxfId="1895" priority="987" operator="equal">
      <formula>TRUE</formula>
    </cfRule>
    <cfRule type="cellIs" dxfId="1894" priority="988" operator="equal">
      <formula>FALSE</formula>
    </cfRule>
  </conditionalFormatting>
  <conditionalFormatting sqref="X105">
    <cfRule type="cellIs" dxfId="1893" priority="985" operator="equal">
      <formula>TRUE</formula>
    </cfRule>
    <cfRule type="cellIs" dxfId="1892" priority="986" operator="equal">
      <formula>FALSE</formula>
    </cfRule>
  </conditionalFormatting>
  <conditionalFormatting sqref="U106:W106 Y106:AA106 AF106:AH106">
    <cfRule type="cellIs" dxfId="1891" priority="981" operator="equal">
      <formula>TRUE</formula>
    </cfRule>
    <cfRule type="cellIs" dxfId="1890" priority="982" operator="equal">
      <formula>FALSE</formula>
    </cfRule>
  </conditionalFormatting>
  <conditionalFormatting sqref="X106">
    <cfRule type="cellIs" dxfId="1889" priority="979" operator="equal">
      <formula>TRUE</formula>
    </cfRule>
    <cfRule type="cellIs" dxfId="1888" priority="980" operator="equal">
      <formula>FALSE</formula>
    </cfRule>
  </conditionalFormatting>
  <conditionalFormatting sqref="U107:W107 Y107:AA107 AF107:AH107">
    <cfRule type="cellIs" dxfId="1887" priority="975" operator="equal">
      <formula>TRUE</formula>
    </cfRule>
    <cfRule type="cellIs" dxfId="1886" priority="976" operator="equal">
      <formula>FALSE</formula>
    </cfRule>
  </conditionalFormatting>
  <conditionalFormatting sqref="X107">
    <cfRule type="cellIs" dxfId="1885" priority="973" operator="equal">
      <formula>TRUE</formula>
    </cfRule>
    <cfRule type="cellIs" dxfId="1884" priority="974" operator="equal">
      <formula>FALSE</formula>
    </cfRule>
  </conditionalFormatting>
  <conditionalFormatting sqref="U108:W108 Y108:AA108 AF108:AH108">
    <cfRule type="cellIs" dxfId="1883" priority="969" operator="equal">
      <formula>TRUE</formula>
    </cfRule>
    <cfRule type="cellIs" dxfId="1882" priority="970" operator="equal">
      <formula>FALSE</formula>
    </cfRule>
  </conditionalFormatting>
  <conditionalFormatting sqref="X108">
    <cfRule type="cellIs" dxfId="1881" priority="967" operator="equal">
      <formula>TRUE</formula>
    </cfRule>
    <cfRule type="cellIs" dxfId="1880" priority="968" operator="equal">
      <formula>FALSE</formula>
    </cfRule>
  </conditionalFormatting>
  <conditionalFormatting sqref="U109:W109 Y109:AA109 AF109:AH109">
    <cfRule type="cellIs" dxfId="1879" priority="963" operator="equal">
      <formula>TRUE</formula>
    </cfRule>
    <cfRule type="cellIs" dxfId="1878" priority="964" operator="equal">
      <formula>FALSE</formula>
    </cfRule>
  </conditionalFormatting>
  <conditionalFormatting sqref="X109">
    <cfRule type="cellIs" dxfId="1877" priority="961" operator="equal">
      <formula>TRUE</formula>
    </cfRule>
    <cfRule type="cellIs" dxfId="1876" priority="962" operator="equal">
      <formula>FALSE</formula>
    </cfRule>
  </conditionalFormatting>
  <conditionalFormatting sqref="U110:W110 Y110:AA110 AF110:AH110">
    <cfRule type="cellIs" dxfId="1875" priority="957" operator="equal">
      <formula>TRUE</formula>
    </cfRule>
    <cfRule type="cellIs" dxfId="1874" priority="958" operator="equal">
      <formula>FALSE</formula>
    </cfRule>
  </conditionalFormatting>
  <conditionalFormatting sqref="X110">
    <cfRule type="cellIs" dxfId="1873" priority="955" operator="equal">
      <formula>TRUE</formula>
    </cfRule>
    <cfRule type="cellIs" dxfId="1872" priority="956" operator="equal">
      <formula>FALSE</formula>
    </cfRule>
  </conditionalFormatting>
  <conditionalFormatting sqref="AI147">
    <cfRule type="cellIs" dxfId="1871" priority="947" operator="equal">
      <formula>TRUE</formula>
    </cfRule>
    <cfRule type="cellIs" dxfId="1870" priority="948" operator="equal">
      <formula>FALSE</formula>
    </cfRule>
  </conditionalFormatting>
  <conditionalFormatting sqref="AI148">
    <cfRule type="cellIs" dxfId="1869" priority="941" operator="equal">
      <formula>TRUE</formula>
    </cfRule>
    <cfRule type="cellIs" dxfId="1868" priority="942" operator="equal">
      <formula>FALSE</formula>
    </cfRule>
  </conditionalFormatting>
  <conditionalFormatting sqref="AI149">
    <cfRule type="cellIs" dxfId="1867" priority="935" operator="equal">
      <formula>TRUE</formula>
    </cfRule>
    <cfRule type="cellIs" dxfId="1866" priority="936" operator="equal">
      <formula>FALSE</formula>
    </cfRule>
  </conditionalFormatting>
  <conditionalFormatting sqref="AI150">
    <cfRule type="cellIs" dxfId="1865" priority="929" operator="equal">
      <formula>TRUE</formula>
    </cfRule>
    <cfRule type="cellIs" dxfId="1864" priority="930" operator="equal">
      <formula>FALSE</formula>
    </cfRule>
  </conditionalFormatting>
  <conditionalFormatting sqref="AI151">
    <cfRule type="cellIs" dxfId="1863" priority="923" operator="equal">
      <formula>TRUE</formula>
    </cfRule>
    <cfRule type="cellIs" dxfId="1862" priority="924" operator="equal">
      <formula>FALSE</formula>
    </cfRule>
  </conditionalFormatting>
  <conditionalFormatting sqref="AI152">
    <cfRule type="cellIs" dxfId="1861" priority="917" operator="equal">
      <formula>TRUE</formula>
    </cfRule>
    <cfRule type="cellIs" dxfId="1860" priority="918" operator="equal">
      <formula>FALSE</formula>
    </cfRule>
  </conditionalFormatting>
  <conditionalFormatting sqref="U147:W147 Y147:AD147 AB148:AD152 AF147:AH147">
    <cfRule type="cellIs" dxfId="1859" priority="951" operator="equal">
      <formula>TRUE</formula>
    </cfRule>
    <cfRule type="cellIs" dxfId="1858" priority="952" operator="equal">
      <formula>FALSE</formula>
    </cfRule>
  </conditionalFormatting>
  <conditionalFormatting sqref="X147">
    <cfRule type="cellIs" dxfId="1857" priority="949" operator="equal">
      <formula>TRUE</formula>
    </cfRule>
    <cfRule type="cellIs" dxfId="1856" priority="950" operator="equal">
      <formula>FALSE</formula>
    </cfRule>
  </conditionalFormatting>
  <conditionalFormatting sqref="U148:W148 Y148:AA148 AF148:AH148">
    <cfRule type="cellIs" dxfId="1855" priority="945" operator="equal">
      <formula>TRUE</formula>
    </cfRule>
    <cfRule type="cellIs" dxfId="1854" priority="946" operator="equal">
      <formula>FALSE</formula>
    </cfRule>
  </conditionalFormatting>
  <conditionalFormatting sqref="X148">
    <cfRule type="cellIs" dxfId="1853" priority="943" operator="equal">
      <formula>TRUE</formula>
    </cfRule>
    <cfRule type="cellIs" dxfId="1852" priority="944" operator="equal">
      <formula>FALSE</formula>
    </cfRule>
  </conditionalFormatting>
  <conditionalFormatting sqref="U149:W149 Y149:AA149 AF149:AH149">
    <cfRule type="cellIs" dxfId="1851" priority="939" operator="equal">
      <formula>TRUE</formula>
    </cfRule>
    <cfRule type="cellIs" dxfId="1850" priority="940" operator="equal">
      <formula>FALSE</formula>
    </cfRule>
  </conditionalFormatting>
  <conditionalFormatting sqref="X149">
    <cfRule type="cellIs" dxfId="1849" priority="937" operator="equal">
      <formula>TRUE</formula>
    </cfRule>
    <cfRule type="cellIs" dxfId="1848" priority="938" operator="equal">
      <formula>FALSE</formula>
    </cfRule>
  </conditionalFormatting>
  <conditionalFormatting sqref="U150:W150 Y150:AA150 AF150:AH150">
    <cfRule type="cellIs" dxfId="1847" priority="933" operator="equal">
      <formula>TRUE</formula>
    </cfRule>
    <cfRule type="cellIs" dxfId="1846" priority="934" operator="equal">
      <formula>FALSE</formula>
    </cfRule>
  </conditionalFormatting>
  <conditionalFormatting sqref="X150">
    <cfRule type="cellIs" dxfId="1845" priority="931" operator="equal">
      <formula>TRUE</formula>
    </cfRule>
    <cfRule type="cellIs" dxfId="1844" priority="932" operator="equal">
      <formula>FALSE</formula>
    </cfRule>
  </conditionalFormatting>
  <conditionalFormatting sqref="U151:W151 Y151:AA151 AF151:AH151">
    <cfRule type="cellIs" dxfId="1843" priority="927" operator="equal">
      <formula>TRUE</formula>
    </cfRule>
    <cfRule type="cellIs" dxfId="1842" priority="928" operator="equal">
      <formula>FALSE</formula>
    </cfRule>
  </conditionalFormatting>
  <conditionalFormatting sqref="X151">
    <cfRule type="cellIs" dxfId="1841" priority="925" operator="equal">
      <formula>TRUE</formula>
    </cfRule>
    <cfRule type="cellIs" dxfId="1840" priority="926" operator="equal">
      <formula>FALSE</formula>
    </cfRule>
  </conditionalFormatting>
  <conditionalFormatting sqref="U152:W152 Y152:AA152 AF152:AH152">
    <cfRule type="cellIs" dxfId="1839" priority="921" operator="equal">
      <formula>TRUE</formula>
    </cfRule>
    <cfRule type="cellIs" dxfId="1838" priority="922" operator="equal">
      <formula>FALSE</formula>
    </cfRule>
  </conditionalFormatting>
  <conditionalFormatting sqref="X152">
    <cfRule type="cellIs" dxfId="1837" priority="919" operator="equal">
      <formula>TRUE</formula>
    </cfRule>
    <cfRule type="cellIs" dxfId="1836" priority="920" operator="equal">
      <formula>FALSE</formula>
    </cfRule>
  </conditionalFormatting>
  <conditionalFormatting sqref="U177:W177 Y177:Z177 AF177:AH177">
    <cfRule type="cellIs" dxfId="1835" priority="291" operator="equal">
      <formula>TRUE</formula>
    </cfRule>
    <cfRule type="cellIs" dxfId="1834" priority="292" operator="equal">
      <formula>FALSE</formula>
    </cfRule>
  </conditionalFormatting>
  <conditionalFormatting sqref="X178">
    <cfRule type="cellIs" dxfId="1833" priority="285" operator="equal">
      <formula>TRUE</formula>
    </cfRule>
    <cfRule type="cellIs" dxfId="1832" priority="286" operator="equal">
      <formula>FALSE</formula>
    </cfRule>
  </conditionalFormatting>
  <conditionalFormatting sqref="U179:W179 Y179:Z179 AF179:AH179">
    <cfRule type="cellIs" dxfId="1831" priority="283" operator="equal">
      <formula>TRUE</formula>
    </cfRule>
    <cfRule type="cellIs" dxfId="1830" priority="284" operator="equal">
      <formula>FALSE</formula>
    </cfRule>
  </conditionalFormatting>
  <conditionalFormatting sqref="X180">
    <cfRule type="cellIs" dxfId="1829" priority="277" operator="equal">
      <formula>TRUE</formula>
    </cfRule>
    <cfRule type="cellIs" dxfId="1828" priority="278" operator="equal">
      <formula>FALSE</formula>
    </cfRule>
  </conditionalFormatting>
  <conditionalFormatting sqref="U178:W178 Y178:Z178 AF178:AH178">
    <cfRule type="cellIs" dxfId="1827" priority="287" operator="equal">
      <formula>TRUE</formula>
    </cfRule>
    <cfRule type="cellIs" dxfId="1826" priority="288" operator="equal">
      <formula>FALSE</formula>
    </cfRule>
  </conditionalFormatting>
  <conditionalFormatting sqref="X179">
    <cfRule type="cellIs" dxfId="1825" priority="281" operator="equal">
      <formula>TRUE</formula>
    </cfRule>
    <cfRule type="cellIs" dxfId="1824" priority="282" operator="equal">
      <formula>FALSE</formula>
    </cfRule>
  </conditionalFormatting>
  <conditionalFormatting sqref="X177">
    <cfRule type="cellIs" dxfId="1823" priority="289" operator="equal">
      <formula>TRUE</formula>
    </cfRule>
    <cfRule type="cellIs" dxfId="1822" priority="290" operator="equal">
      <formula>FALSE</formula>
    </cfRule>
  </conditionalFormatting>
  <conditionalFormatting sqref="U180:W180 Y180:Z180 AF180:AH180">
    <cfRule type="cellIs" dxfId="1821" priority="279" operator="equal">
      <formula>TRUE</formula>
    </cfRule>
    <cfRule type="cellIs" dxfId="1820" priority="280" operator="equal">
      <formula>FALSE</formula>
    </cfRule>
  </conditionalFormatting>
  <conditionalFormatting sqref="X249">
    <cfRule type="cellIs" dxfId="1819" priority="241" operator="equal">
      <formula>TRUE</formula>
    </cfRule>
    <cfRule type="cellIs" dxfId="1818" priority="242" operator="equal">
      <formula>FALSE</formula>
    </cfRule>
  </conditionalFormatting>
  <conditionalFormatting sqref="U250:W250 Y250:Z250 AF250:AH250">
    <cfRule type="cellIs" dxfId="1817" priority="239" operator="equal">
      <formula>TRUE</formula>
    </cfRule>
    <cfRule type="cellIs" dxfId="1816" priority="240" operator="equal">
      <formula>FALSE</formula>
    </cfRule>
  </conditionalFormatting>
  <conditionalFormatting sqref="X250">
    <cfRule type="cellIs" dxfId="1815" priority="237" operator="equal">
      <formula>TRUE</formula>
    </cfRule>
    <cfRule type="cellIs" dxfId="1814" priority="238" operator="equal">
      <formula>FALSE</formula>
    </cfRule>
  </conditionalFormatting>
  <conditionalFormatting sqref="U251:W251 Y251:Z251 AF251:AH251">
    <cfRule type="cellIs" dxfId="1813" priority="235" operator="equal">
      <formula>TRUE</formula>
    </cfRule>
    <cfRule type="cellIs" dxfId="1812" priority="236" operator="equal">
      <formula>FALSE</formula>
    </cfRule>
  </conditionalFormatting>
  <conditionalFormatting sqref="X251">
    <cfRule type="cellIs" dxfId="1811" priority="233" operator="equal">
      <formula>TRUE</formula>
    </cfRule>
    <cfRule type="cellIs" dxfId="1810" priority="234" operator="equal">
      <formula>FALSE</formula>
    </cfRule>
  </conditionalFormatting>
  <conditionalFormatting sqref="U252:W252 Y252:Z252 AF252:AH252">
    <cfRule type="cellIs" dxfId="1809" priority="231" operator="equal">
      <formula>TRUE</formula>
    </cfRule>
    <cfRule type="cellIs" dxfId="1808" priority="232" operator="equal">
      <formula>FALSE</formula>
    </cfRule>
  </conditionalFormatting>
  <conditionalFormatting sqref="X252">
    <cfRule type="cellIs" dxfId="1807" priority="229" operator="equal">
      <formula>TRUE</formula>
    </cfRule>
    <cfRule type="cellIs" dxfId="1806" priority="230" operator="equal">
      <formula>FALSE</formula>
    </cfRule>
  </conditionalFormatting>
  <conditionalFormatting sqref="U253:W253 Y253:Z253 AF253:AH253">
    <cfRule type="cellIs" dxfId="1805" priority="227" operator="equal">
      <formula>TRUE</formula>
    </cfRule>
    <cfRule type="cellIs" dxfId="1804" priority="228" operator="equal">
      <formula>FALSE</formula>
    </cfRule>
  </conditionalFormatting>
  <conditionalFormatting sqref="X253">
    <cfRule type="cellIs" dxfId="1803" priority="225" operator="equal">
      <formula>TRUE</formula>
    </cfRule>
    <cfRule type="cellIs" dxfId="1802" priority="226" operator="equal">
      <formula>FALSE</formula>
    </cfRule>
  </conditionalFormatting>
  <conditionalFormatting sqref="U254:W254 Y254:Z254 AF254:AH254">
    <cfRule type="cellIs" dxfId="1801" priority="223" operator="equal">
      <formula>TRUE</formula>
    </cfRule>
    <cfRule type="cellIs" dxfId="1800" priority="224" operator="equal">
      <formula>FALSE</formula>
    </cfRule>
  </conditionalFormatting>
  <conditionalFormatting sqref="X254">
    <cfRule type="cellIs" dxfId="1799" priority="221" operator="equal">
      <formula>TRUE</formula>
    </cfRule>
    <cfRule type="cellIs" dxfId="1798" priority="222" operator="equal">
      <formula>FALSE</formula>
    </cfRule>
  </conditionalFormatting>
  <conditionalFormatting sqref="U291:W291 Y291:Z291 AF291:AH291">
    <cfRule type="cellIs" dxfId="1797" priority="219" operator="equal">
      <formula>TRUE</formula>
    </cfRule>
    <cfRule type="cellIs" dxfId="1796" priority="220" operator="equal">
      <formula>FALSE</formula>
    </cfRule>
  </conditionalFormatting>
  <conditionalFormatting sqref="X291">
    <cfRule type="cellIs" dxfId="1795" priority="217" operator="equal">
      <formula>TRUE</formula>
    </cfRule>
    <cfRule type="cellIs" dxfId="1794" priority="218" operator="equal">
      <formula>FALSE</formula>
    </cfRule>
  </conditionalFormatting>
  <conditionalFormatting sqref="U292:W292 Y292:Z292 AF292:AH292">
    <cfRule type="cellIs" dxfId="1793" priority="215" operator="equal">
      <formula>TRUE</formula>
    </cfRule>
    <cfRule type="cellIs" dxfId="1792" priority="216" operator="equal">
      <formula>FALSE</formula>
    </cfRule>
  </conditionalFormatting>
  <conditionalFormatting sqref="X292">
    <cfRule type="cellIs" dxfId="1791" priority="213" operator="equal">
      <formula>TRUE</formula>
    </cfRule>
    <cfRule type="cellIs" dxfId="1790" priority="214" operator="equal">
      <formula>FALSE</formula>
    </cfRule>
  </conditionalFormatting>
  <conditionalFormatting sqref="U293:W293 Y293:Z293 AF293:AH293">
    <cfRule type="cellIs" dxfId="1789" priority="211" operator="equal">
      <formula>TRUE</formula>
    </cfRule>
    <cfRule type="cellIs" dxfId="1788" priority="212" operator="equal">
      <formula>FALSE</formula>
    </cfRule>
  </conditionalFormatting>
  <conditionalFormatting sqref="X293">
    <cfRule type="cellIs" dxfId="1787" priority="209" operator="equal">
      <formula>TRUE</formula>
    </cfRule>
    <cfRule type="cellIs" dxfId="1786" priority="210" operator="equal">
      <formula>FALSE</formula>
    </cfRule>
  </conditionalFormatting>
  <conditionalFormatting sqref="U294:W294 Y294:Z294 AF294:AH294">
    <cfRule type="cellIs" dxfId="1785" priority="207" operator="equal">
      <formula>TRUE</formula>
    </cfRule>
    <cfRule type="cellIs" dxfId="1784" priority="208" operator="equal">
      <formula>FALSE</formula>
    </cfRule>
  </conditionalFormatting>
  <conditionalFormatting sqref="X294">
    <cfRule type="cellIs" dxfId="1783" priority="205" operator="equal">
      <formula>TRUE</formula>
    </cfRule>
    <cfRule type="cellIs" dxfId="1782" priority="206" operator="equal">
      <formula>FALSE</formula>
    </cfRule>
  </conditionalFormatting>
  <conditionalFormatting sqref="U295:W295 Y295:Z295 AF295:AH295">
    <cfRule type="cellIs" dxfId="1781" priority="203" operator="equal">
      <formula>TRUE</formula>
    </cfRule>
    <cfRule type="cellIs" dxfId="1780" priority="204" operator="equal">
      <formula>FALSE</formula>
    </cfRule>
  </conditionalFormatting>
  <conditionalFormatting sqref="X295">
    <cfRule type="cellIs" dxfId="1779" priority="201" operator="equal">
      <formula>TRUE</formula>
    </cfRule>
    <cfRule type="cellIs" dxfId="1778" priority="202" operator="equal">
      <formula>FALSE</formula>
    </cfRule>
  </conditionalFormatting>
  <conditionalFormatting sqref="U296:W296 Y296:Z296 AF296:AH296">
    <cfRule type="cellIs" dxfId="1777" priority="199" operator="equal">
      <formula>TRUE</formula>
    </cfRule>
    <cfRule type="cellIs" dxfId="1776" priority="200" operator="equal">
      <formula>FALSE</formula>
    </cfRule>
  </conditionalFormatting>
  <conditionalFormatting sqref="X296">
    <cfRule type="cellIs" dxfId="1775" priority="197" operator="equal">
      <formula>TRUE</formula>
    </cfRule>
    <cfRule type="cellIs" dxfId="1774" priority="198" operator="equal">
      <formula>FALSE</formula>
    </cfRule>
  </conditionalFormatting>
  <conditionalFormatting sqref="U333:W333 Y333:Z333 AF333:AH333">
    <cfRule type="cellIs" dxfId="1773" priority="195" operator="equal">
      <formula>TRUE</formula>
    </cfRule>
    <cfRule type="cellIs" dxfId="1772" priority="196" operator="equal">
      <formula>FALSE</formula>
    </cfRule>
  </conditionalFormatting>
  <conditionalFormatting sqref="X333">
    <cfRule type="cellIs" dxfId="1771" priority="193" operator="equal">
      <formula>TRUE</formula>
    </cfRule>
    <cfRule type="cellIs" dxfId="1770" priority="194" operator="equal">
      <formula>FALSE</formula>
    </cfRule>
  </conditionalFormatting>
  <conditionalFormatting sqref="U334:W334 Y334:Z334 AF334:AH334">
    <cfRule type="cellIs" dxfId="1769" priority="191" operator="equal">
      <formula>TRUE</formula>
    </cfRule>
    <cfRule type="cellIs" dxfId="1768" priority="192" operator="equal">
      <formula>FALSE</formula>
    </cfRule>
  </conditionalFormatting>
  <conditionalFormatting sqref="X334">
    <cfRule type="cellIs" dxfId="1767" priority="189" operator="equal">
      <formula>TRUE</formula>
    </cfRule>
    <cfRule type="cellIs" dxfId="1766" priority="190" operator="equal">
      <formula>FALSE</formula>
    </cfRule>
  </conditionalFormatting>
  <conditionalFormatting sqref="U335:W335 Y335:Z335 AF335:AH335">
    <cfRule type="cellIs" dxfId="1765" priority="187" operator="equal">
      <formula>TRUE</formula>
    </cfRule>
    <cfRule type="cellIs" dxfId="1764" priority="188" operator="equal">
      <formula>FALSE</formula>
    </cfRule>
  </conditionalFormatting>
  <conditionalFormatting sqref="X335">
    <cfRule type="cellIs" dxfId="1763" priority="185" operator="equal">
      <formula>TRUE</formula>
    </cfRule>
    <cfRule type="cellIs" dxfId="1762" priority="186" operator="equal">
      <formula>FALSE</formula>
    </cfRule>
  </conditionalFormatting>
  <conditionalFormatting sqref="U336:W336 Y336:Z336 AF336:AH336">
    <cfRule type="cellIs" dxfId="1761" priority="183" operator="equal">
      <formula>TRUE</formula>
    </cfRule>
    <cfRule type="cellIs" dxfId="1760" priority="184" operator="equal">
      <formula>FALSE</formula>
    </cfRule>
  </conditionalFormatting>
  <conditionalFormatting sqref="X336">
    <cfRule type="cellIs" dxfId="1759" priority="181" operator="equal">
      <formula>TRUE</formula>
    </cfRule>
    <cfRule type="cellIs" dxfId="1758" priority="182" operator="equal">
      <formula>FALSE</formula>
    </cfRule>
  </conditionalFormatting>
  <conditionalFormatting sqref="U337:W337 Y337:Z337 AF337:AH337">
    <cfRule type="cellIs" dxfId="1757" priority="179" operator="equal">
      <formula>TRUE</formula>
    </cfRule>
    <cfRule type="cellIs" dxfId="1756" priority="180" operator="equal">
      <formula>FALSE</formula>
    </cfRule>
  </conditionalFormatting>
  <conditionalFormatting sqref="X337">
    <cfRule type="cellIs" dxfId="1755" priority="177" operator="equal">
      <formula>TRUE</formula>
    </cfRule>
    <cfRule type="cellIs" dxfId="1754" priority="178" operator="equal">
      <formula>FALSE</formula>
    </cfRule>
  </conditionalFormatting>
  <conditionalFormatting sqref="U338:W338 Y338:Z338 AF338:AH338">
    <cfRule type="cellIs" dxfId="1753" priority="175" operator="equal">
      <formula>TRUE</formula>
    </cfRule>
    <cfRule type="cellIs" dxfId="1752" priority="176" operator="equal">
      <formula>FALSE</formula>
    </cfRule>
  </conditionalFormatting>
  <conditionalFormatting sqref="X338">
    <cfRule type="cellIs" dxfId="1751" priority="173" operator="equal">
      <formula>TRUE</formula>
    </cfRule>
    <cfRule type="cellIs" dxfId="1750" priority="174" operator="equal">
      <formula>FALSE</formula>
    </cfRule>
  </conditionalFormatting>
  <conditionalFormatting sqref="AB26:AE39">
    <cfRule type="cellIs" dxfId="1749" priority="171" operator="equal">
      <formula>TRUE</formula>
    </cfRule>
    <cfRule type="cellIs" dxfId="1748" priority="172" operator="equal">
      <formula>FALSE</formula>
    </cfRule>
  </conditionalFormatting>
  <conditionalFormatting sqref="U26:W26 Y26:AA26 AF26:AH26">
    <cfRule type="cellIs" dxfId="1747" priority="169" operator="equal">
      <formula>TRUE</formula>
    </cfRule>
    <cfRule type="cellIs" dxfId="1746" priority="170" operator="equal">
      <formula>FALSE</formula>
    </cfRule>
  </conditionalFormatting>
  <conditionalFormatting sqref="X26">
    <cfRule type="cellIs" dxfId="1745" priority="167" operator="equal">
      <formula>TRUE</formula>
    </cfRule>
    <cfRule type="cellIs" dxfId="1744" priority="168" operator="equal">
      <formula>FALSE</formula>
    </cfRule>
  </conditionalFormatting>
  <conditionalFormatting sqref="AI26">
    <cfRule type="cellIs" dxfId="1743" priority="165" operator="equal">
      <formula>TRUE</formula>
    </cfRule>
    <cfRule type="cellIs" dxfId="1742" priority="166" operator="equal">
      <formula>FALSE</formula>
    </cfRule>
  </conditionalFormatting>
  <conditionalFormatting sqref="U27:W27 Y27:AA27 AF27:AH27">
    <cfRule type="cellIs" dxfId="1741" priority="163" operator="equal">
      <formula>TRUE</formula>
    </cfRule>
    <cfRule type="cellIs" dxfId="1740" priority="164" operator="equal">
      <formula>FALSE</formula>
    </cfRule>
  </conditionalFormatting>
  <conditionalFormatting sqref="X27">
    <cfRule type="cellIs" dxfId="1739" priority="161" operator="equal">
      <formula>TRUE</formula>
    </cfRule>
    <cfRule type="cellIs" dxfId="1738" priority="162" operator="equal">
      <formula>FALSE</formula>
    </cfRule>
  </conditionalFormatting>
  <conditionalFormatting sqref="AI27">
    <cfRule type="cellIs" dxfId="1737" priority="159" operator="equal">
      <formula>TRUE</formula>
    </cfRule>
    <cfRule type="cellIs" dxfId="1736" priority="160" operator="equal">
      <formula>FALSE</formula>
    </cfRule>
  </conditionalFormatting>
  <conditionalFormatting sqref="X31">
    <cfRule type="cellIs" dxfId="1735" priority="149" operator="equal">
      <formula>TRUE</formula>
    </cfRule>
    <cfRule type="cellIs" dxfId="1734" priority="150" operator="equal">
      <formula>FALSE</formula>
    </cfRule>
  </conditionalFormatting>
  <conditionalFormatting sqref="AI31">
    <cfRule type="cellIs" dxfId="1733" priority="147" operator="equal">
      <formula>TRUE</formula>
    </cfRule>
    <cfRule type="cellIs" dxfId="1732" priority="148" operator="equal">
      <formula>FALSE</formula>
    </cfRule>
  </conditionalFormatting>
  <conditionalFormatting sqref="U32:W32 Y32:AA32 AF32:AH32">
    <cfRule type="cellIs" dxfId="1731" priority="145" operator="equal">
      <formula>TRUE</formula>
    </cfRule>
    <cfRule type="cellIs" dxfId="1730" priority="146" operator="equal">
      <formula>FALSE</formula>
    </cfRule>
  </conditionalFormatting>
  <conditionalFormatting sqref="X32">
    <cfRule type="cellIs" dxfId="1729" priority="143" operator="equal">
      <formula>TRUE</formula>
    </cfRule>
    <cfRule type="cellIs" dxfId="1728" priority="144" operator="equal">
      <formula>FALSE</formula>
    </cfRule>
  </conditionalFormatting>
  <conditionalFormatting sqref="U31:W31 Y31:AA31 AF31:AH31">
    <cfRule type="cellIs" dxfId="1727" priority="151" operator="equal">
      <formula>TRUE</formula>
    </cfRule>
    <cfRule type="cellIs" dxfId="1726" priority="152" operator="equal">
      <formula>FALSE</formula>
    </cfRule>
  </conditionalFormatting>
  <conditionalFormatting sqref="AI32">
    <cfRule type="cellIs" dxfId="1725" priority="141" operator="equal">
      <formula>TRUE</formula>
    </cfRule>
    <cfRule type="cellIs" dxfId="1724" priority="142" operator="equal">
      <formula>FALSE</formula>
    </cfRule>
  </conditionalFormatting>
  <conditionalFormatting sqref="AI28">
    <cfRule type="cellIs" dxfId="1723" priority="93" operator="equal">
      <formula>TRUE</formula>
    </cfRule>
    <cfRule type="cellIs" dxfId="1722" priority="94" operator="equal">
      <formula>FALSE</formula>
    </cfRule>
  </conditionalFormatting>
  <conditionalFormatting sqref="X33">
    <cfRule type="cellIs" dxfId="1721" priority="137" operator="equal">
      <formula>TRUE</formula>
    </cfRule>
    <cfRule type="cellIs" dxfId="1720" priority="138" operator="equal">
      <formula>FALSE</formula>
    </cfRule>
  </conditionalFormatting>
  <conditionalFormatting sqref="AI33">
    <cfRule type="cellIs" dxfId="1719" priority="135" operator="equal">
      <formula>TRUE</formula>
    </cfRule>
    <cfRule type="cellIs" dxfId="1718" priority="136" operator="equal">
      <formula>FALSE</formula>
    </cfRule>
  </conditionalFormatting>
  <conditionalFormatting sqref="U33:W33 Y33:AA33 AF33:AH33">
    <cfRule type="cellIs" dxfId="1717" priority="139" operator="equal">
      <formula>TRUE</formula>
    </cfRule>
    <cfRule type="cellIs" dxfId="1716" priority="140" operator="equal">
      <formula>FALSE</formula>
    </cfRule>
  </conditionalFormatting>
  <conditionalFormatting sqref="U30:W30 Y30:AA30 AF30:AH30">
    <cfRule type="cellIs" dxfId="1715" priority="157" operator="equal">
      <formula>TRUE</formula>
    </cfRule>
    <cfRule type="cellIs" dxfId="1714" priority="158" operator="equal">
      <formula>FALSE</formula>
    </cfRule>
  </conditionalFormatting>
  <conditionalFormatting sqref="X30">
    <cfRule type="cellIs" dxfId="1713" priority="155" operator="equal">
      <formula>TRUE</formula>
    </cfRule>
    <cfRule type="cellIs" dxfId="1712" priority="156" operator="equal">
      <formula>FALSE</formula>
    </cfRule>
  </conditionalFormatting>
  <conditionalFormatting sqref="AI30">
    <cfRule type="cellIs" dxfId="1711" priority="153" operator="equal">
      <formula>TRUE</formula>
    </cfRule>
    <cfRule type="cellIs" dxfId="1710" priority="154" operator="equal">
      <formula>FALSE</formula>
    </cfRule>
  </conditionalFormatting>
  <conditionalFormatting sqref="AI29">
    <cfRule type="cellIs" dxfId="1709" priority="87" operator="equal">
      <formula>TRUE</formula>
    </cfRule>
    <cfRule type="cellIs" dxfId="1708" priority="88" operator="equal">
      <formula>FALSE</formula>
    </cfRule>
  </conditionalFormatting>
  <conditionalFormatting sqref="U34:W34 Y34:AA34 AF34:AH34">
    <cfRule type="cellIs" dxfId="1707" priority="133" operator="equal">
      <formula>TRUE</formula>
    </cfRule>
    <cfRule type="cellIs" dxfId="1706" priority="134" operator="equal">
      <formula>FALSE</formula>
    </cfRule>
  </conditionalFormatting>
  <conditionalFormatting sqref="X34">
    <cfRule type="cellIs" dxfId="1705" priority="131" operator="equal">
      <formula>TRUE</formula>
    </cfRule>
    <cfRule type="cellIs" dxfId="1704" priority="132" operator="equal">
      <formula>FALSE</formula>
    </cfRule>
  </conditionalFormatting>
  <conditionalFormatting sqref="AI34">
    <cfRule type="cellIs" dxfId="1703" priority="129" operator="equal">
      <formula>TRUE</formula>
    </cfRule>
    <cfRule type="cellIs" dxfId="1702" priority="130" operator="equal">
      <formula>FALSE</formula>
    </cfRule>
  </conditionalFormatting>
  <conditionalFormatting sqref="U35:W35 Y35:AA35 AF35:AH35">
    <cfRule type="cellIs" dxfId="1701" priority="127" operator="equal">
      <formula>TRUE</formula>
    </cfRule>
    <cfRule type="cellIs" dxfId="1700" priority="128" operator="equal">
      <formula>FALSE</formula>
    </cfRule>
  </conditionalFormatting>
  <conditionalFormatting sqref="X35">
    <cfRule type="cellIs" dxfId="1699" priority="125" operator="equal">
      <formula>TRUE</formula>
    </cfRule>
    <cfRule type="cellIs" dxfId="1698" priority="126" operator="equal">
      <formula>FALSE</formula>
    </cfRule>
  </conditionalFormatting>
  <conditionalFormatting sqref="AI35">
    <cfRule type="cellIs" dxfId="1697" priority="123" operator="equal">
      <formula>TRUE</formula>
    </cfRule>
    <cfRule type="cellIs" dxfId="1696" priority="124" operator="equal">
      <formula>FALSE</formula>
    </cfRule>
  </conditionalFormatting>
  <conditionalFormatting sqref="U36:W36 Y36:AA36 AF36:AH36">
    <cfRule type="cellIs" dxfId="1695" priority="121" operator="equal">
      <formula>TRUE</formula>
    </cfRule>
    <cfRule type="cellIs" dxfId="1694" priority="122" operator="equal">
      <formula>FALSE</formula>
    </cfRule>
  </conditionalFormatting>
  <conditionalFormatting sqref="X36">
    <cfRule type="cellIs" dxfId="1693" priority="119" operator="equal">
      <formula>TRUE</formula>
    </cfRule>
    <cfRule type="cellIs" dxfId="1692" priority="120" operator="equal">
      <formula>FALSE</formula>
    </cfRule>
  </conditionalFormatting>
  <conditionalFormatting sqref="AI36">
    <cfRule type="cellIs" dxfId="1691" priority="117" operator="equal">
      <formula>TRUE</formula>
    </cfRule>
    <cfRule type="cellIs" dxfId="1690" priority="118" operator="equal">
      <formula>FALSE</formula>
    </cfRule>
  </conditionalFormatting>
  <conditionalFormatting sqref="U37:W37 Y37:AA37 AF37:AH37">
    <cfRule type="cellIs" dxfId="1689" priority="115" operator="equal">
      <formula>TRUE</formula>
    </cfRule>
    <cfRule type="cellIs" dxfId="1688" priority="116" operator="equal">
      <formula>FALSE</formula>
    </cfRule>
  </conditionalFormatting>
  <conditionalFormatting sqref="X37">
    <cfRule type="cellIs" dxfId="1687" priority="113" operator="equal">
      <formula>TRUE</formula>
    </cfRule>
    <cfRule type="cellIs" dxfId="1686" priority="114" operator="equal">
      <formula>FALSE</formula>
    </cfRule>
  </conditionalFormatting>
  <conditionalFormatting sqref="AI37">
    <cfRule type="cellIs" dxfId="1685" priority="111" operator="equal">
      <formula>TRUE</formula>
    </cfRule>
    <cfRule type="cellIs" dxfId="1684" priority="112" operator="equal">
      <formula>FALSE</formula>
    </cfRule>
  </conditionalFormatting>
  <conditionalFormatting sqref="U38:W38 Y38:AA38 AF38:AH38">
    <cfRule type="cellIs" dxfId="1683" priority="109" operator="equal">
      <formula>TRUE</formula>
    </cfRule>
    <cfRule type="cellIs" dxfId="1682" priority="110" operator="equal">
      <formula>FALSE</formula>
    </cfRule>
  </conditionalFormatting>
  <conditionalFormatting sqref="X38">
    <cfRule type="cellIs" dxfId="1681" priority="107" operator="equal">
      <formula>TRUE</formula>
    </cfRule>
    <cfRule type="cellIs" dxfId="1680" priority="108" operator="equal">
      <formula>FALSE</formula>
    </cfRule>
  </conditionalFormatting>
  <conditionalFormatting sqref="AI38">
    <cfRule type="cellIs" dxfId="1679" priority="105" operator="equal">
      <formula>TRUE</formula>
    </cfRule>
    <cfRule type="cellIs" dxfId="1678" priority="106" operator="equal">
      <formula>FALSE</formula>
    </cfRule>
  </conditionalFormatting>
  <conditionalFormatting sqref="U39:W39 Y39:AA39 AF39:AH39">
    <cfRule type="cellIs" dxfId="1677" priority="103" operator="equal">
      <formula>TRUE</formula>
    </cfRule>
    <cfRule type="cellIs" dxfId="1676" priority="104" operator="equal">
      <formula>FALSE</formula>
    </cfRule>
  </conditionalFormatting>
  <conditionalFormatting sqref="X39">
    <cfRule type="cellIs" dxfId="1675" priority="101" operator="equal">
      <formula>TRUE</formula>
    </cfRule>
    <cfRule type="cellIs" dxfId="1674" priority="102" operator="equal">
      <formula>FALSE</formula>
    </cfRule>
  </conditionalFormatting>
  <conditionalFormatting sqref="AI39">
    <cfRule type="cellIs" dxfId="1673" priority="99" operator="equal">
      <formula>TRUE</formula>
    </cfRule>
    <cfRule type="cellIs" dxfId="1672" priority="100" operator="equal">
      <formula>FALSE</formula>
    </cfRule>
  </conditionalFormatting>
  <conditionalFormatting sqref="U28:W28 Y28:AA28 AF28:AH28">
    <cfRule type="cellIs" dxfId="1671" priority="97" operator="equal">
      <formula>TRUE</formula>
    </cfRule>
    <cfRule type="cellIs" dxfId="1670" priority="98" operator="equal">
      <formula>FALSE</formula>
    </cfRule>
  </conditionalFormatting>
  <conditionalFormatting sqref="X28">
    <cfRule type="cellIs" dxfId="1669" priority="95" operator="equal">
      <formula>TRUE</formula>
    </cfRule>
    <cfRule type="cellIs" dxfId="1668" priority="96" operator="equal">
      <formula>FALSE</formula>
    </cfRule>
  </conditionalFormatting>
  <conditionalFormatting sqref="X29">
    <cfRule type="cellIs" dxfId="1667" priority="89" operator="equal">
      <formula>TRUE</formula>
    </cfRule>
    <cfRule type="cellIs" dxfId="1666" priority="90" operator="equal">
      <formula>FALSE</formula>
    </cfRule>
  </conditionalFormatting>
  <conditionalFormatting sqref="U29:W29 Y29:AA29 AF29:AH29">
    <cfRule type="cellIs" dxfId="1665" priority="91" operator="equal">
      <formula>TRUE</formula>
    </cfRule>
    <cfRule type="cellIs" dxfId="1664" priority="92" operator="equal">
      <formula>FALSE</formula>
    </cfRule>
  </conditionalFormatting>
  <conditionalFormatting sqref="AB40:AE53">
    <cfRule type="cellIs" dxfId="1663" priority="85" operator="equal">
      <formula>TRUE</formula>
    </cfRule>
    <cfRule type="cellIs" dxfId="1662" priority="86" operator="equal">
      <formula>FALSE</formula>
    </cfRule>
  </conditionalFormatting>
  <conditionalFormatting sqref="U40:W40 Y40:AA40 AF40:AH40">
    <cfRule type="cellIs" dxfId="1661" priority="83" operator="equal">
      <formula>TRUE</formula>
    </cfRule>
    <cfRule type="cellIs" dxfId="1660" priority="84" operator="equal">
      <formula>FALSE</formula>
    </cfRule>
  </conditionalFormatting>
  <conditionalFormatting sqref="X40">
    <cfRule type="cellIs" dxfId="1659" priority="81" operator="equal">
      <formula>TRUE</formula>
    </cfRule>
    <cfRule type="cellIs" dxfId="1658" priority="82" operator="equal">
      <formula>FALSE</formula>
    </cfRule>
  </conditionalFormatting>
  <conditionalFormatting sqref="AI40">
    <cfRule type="cellIs" dxfId="1657" priority="79" operator="equal">
      <formula>TRUE</formula>
    </cfRule>
    <cfRule type="cellIs" dxfId="1656" priority="80" operator="equal">
      <formula>FALSE</formula>
    </cfRule>
  </conditionalFormatting>
  <conditionalFormatting sqref="U41:W41 Y41:AA41 AF41:AH41">
    <cfRule type="cellIs" dxfId="1655" priority="77" operator="equal">
      <formula>TRUE</formula>
    </cfRule>
    <cfRule type="cellIs" dxfId="1654" priority="78" operator="equal">
      <formula>FALSE</formula>
    </cfRule>
  </conditionalFormatting>
  <conditionalFormatting sqref="X41">
    <cfRule type="cellIs" dxfId="1653" priority="75" operator="equal">
      <formula>TRUE</formula>
    </cfRule>
    <cfRule type="cellIs" dxfId="1652" priority="76" operator="equal">
      <formula>FALSE</formula>
    </cfRule>
  </conditionalFormatting>
  <conditionalFormatting sqref="AI41">
    <cfRule type="cellIs" dxfId="1651" priority="73" operator="equal">
      <formula>TRUE</formula>
    </cfRule>
    <cfRule type="cellIs" dxfId="1650" priority="74" operator="equal">
      <formula>FALSE</formula>
    </cfRule>
  </conditionalFormatting>
  <conditionalFormatting sqref="X45">
    <cfRule type="cellIs" dxfId="1649" priority="63" operator="equal">
      <formula>TRUE</formula>
    </cfRule>
    <cfRule type="cellIs" dxfId="1648" priority="64" operator="equal">
      <formula>FALSE</formula>
    </cfRule>
  </conditionalFormatting>
  <conditionalFormatting sqref="AI45">
    <cfRule type="cellIs" dxfId="1647" priority="61" operator="equal">
      <formula>TRUE</formula>
    </cfRule>
    <cfRule type="cellIs" dxfId="1646" priority="62" operator="equal">
      <formula>FALSE</formula>
    </cfRule>
  </conditionalFormatting>
  <conditionalFormatting sqref="U46:W46 Y46:AA46 AF46:AH46">
    <cfRule type="cellIs" dxfId="1645" priority="59" operator="equal">
      <formula>TRUE</formula>
    </cfRule>
    <cfRule type="cellIs" dxfId="1644" priority="60" operator="equal">
      <formula>FALSE</formula>
    </cfRule>
  </conditionalFormatting>
  <conditionalFormatting sqref="X46">
    <cfRule type="cellIs" dxfId="1643" priority="57" operator="equal">
      <formula>TRUE</formula>
    </cfRule>
    <cfRule type="cellIs" dxfId="1642" priority="58" operator="equal">
      <formula>FALSE</formula>
    </cfRule>
  </conditionalFormatting>
  <conditionalFormatting sqref="U45:W45 Y45:AA45 AF45:AH45">
    <cfRule type="cellIs" dxfId="1641" priority="65" operator="equal">
      <formula>TRUE</formula>
    </cfRule>
    <cfRule type="cellIs" dxfId="1640" priority="66" operator="equal">
      <formula>FALSE</formula>
    </cfRule>
  </conditionalFormatting>
  <conditionalFormatting sqref="AI46">
    <cfRule type="cellIs" dxfId="1639" priority="55" operator="equal">
      <formula>TRUE</formula>
    </cfRule>
    <cfRule type="cellIs" dxfId="1638" priority="56" operator="equal">
      <formula>FALSE</formula>
    </cfRule>
  </conditionalFormatting>
  <conditionalFormatting sqref="AI42">
    <cfRule type="cellIs" dxfId="1637" priority="7" operator="equal">
      <formula>TRUE</formula>
    </cfRule>
    <cfRule type="cellIs" dxfId="1636" priority="8" operator="equal">
      <formula>FALSE</formula>
    </cfRule>
  </conditionalFormatting>
  <conditionalFormatting sqref="X47">
    <cfRule type="cellIs" dxfId="1635" priority="51" operator="equal">
      <formula>TRUE</formula>
    </cfRule>
    <cfRule type="cellIs" dxfId="1634" priority="52" operator="equal">
      <formula>FALSE</formula>
    </cfRule>
  </conditionalFormatting>
  <conditionalFormatting sqref="AI47">
    <cfRule type="cellIs" dxfId="1633" priority="49" operator="equal">
      <formula>TRUE</formula>
    </cfRule>
    <cfRule type="cellIs" dxfId="1632" priority="50" operator="equal">
      <formula>FALSE</formula>
    </cfRule>
  </conditionalFormatting>
  <conditionalFormatting sqref="U47:W47 Y47:AA47 AF47:AH47">
    <cfRule type="cellIs" dxfId="1631" priority="53" operator="equal">
      <formula>TRUE</formula>
    </cfRule>
    <cfRule type="cellIs" dxfId="1630" priority="54" operator="equal">
      <formula>FALSE</formula>
    </cfRule>
  </conditionalFormatting>
  <conditionalFormatting sqref="U44:W44 Y44:AA44 AF44:AH44">
    <cfRule type="cellIs" dxfId="1629" priority="71" operator="equal">
      <formula>TRUE</formula>
    </cfRule>
    <cfRule type="cellIs" dxfId="1628" priority="72" operator="equal">
      <formula>FALSE</formula>
    </cfRule>
  </conditionalFormatting>
  <conditionalFormatting sqref="X44">
    <cfRule type="cellIs" dxfId="1627" priority="69" operator="equal">
      <formula>TRUE</formula>
    </cfRule>
    <cfRule type="cellIs" dxfId="1626" priority="70" operator="equal">
      <formula>FALSE</formula>
    </cfRule>
  </conditionalFormatting>
  <conditionalFormatting sqref="AI44">
    <cfRule type="cellIs" dxfId="1625" priority="67" operator="equal">
      <formula>TRUE</formula>
    </cfRule>
    <cfRule type="cellIs" dxfId="1624" priority="68" operator="equal">
      <formula>FALSE</formula>
    </cfRule>
  </conditionalFormatting>
  <conditionalFormatting sqref="AI43">
    <cfRule type="cellIs" dxfId="1623" priority="1" operator="equal">
      <formula>TRUE</formula>
    </cfRule>
    <cfRule type="cellIs" dxfId="1622" priority="2" operator="equal">
      <formula>FALSE</formula>
    </cfRule>
  </conditionalFormatting>
  <conditionalFormatting sqref="U48:W48 Y48:AA48 AF48:AH48">
    <cfRule type="cellIs" dxfId="1621" priority="47" operator="equal">
      <formula>TRUE</formula>
    </cfRule>
    <cfRule type="cellIs" dxfId="1620" priority="48" operator="equal">
      <formula>FALSE</formula>
    </cfRule>
  </conditionalFormatting>
  <conditionalFormatting sqref="X48">
    <cfRule type="cellIs" dxfId="1619" priority="45" operator="equal">
      <formula>TRUE</formula>
    </cfRule>
    <cfRule type="cellIs" dxfId="1618" priority="46" operator="equal">
      <formula>FALSE</formula>
    </cfRule>
  </conditionalFormatting>
  <conditionalFormatting sqref="AI48">
    <cfRule type="cellIs" dxfId="1617" priority="43" operator="equal">
      <formula>TRUE</formula>
    </cfRule>
    <cfRule type="cellIs" dxfId="1616" priority="44" operator="equal">
      <formula>FALSE</formula>
    </cfRule>
  </conditionalFormatting>
  <conditionalFormatting sqref="U49:W49 Y49:AA49 AF49:AH49">
    <cfRule type="cellIs" dxfId="1615" priority="41" operator="equal">
      <formula>TRUE</formula>
    </cfRule>
    <cfRule type="cellIs" dxfId="1614" priority="42" operator="equal">
      <formula>FALSE</formula>
    </cfRule>
  </conditionalFormatting>
  <conditionalFormatting sqref="X49">
    <cfRule type="cellIs" dxfId="1613" priority="39" operator="equal">
      <formula>TRUE</formula>
    </cfRule>
    <cfRule type="cellIs" dxfId="1612" priority="40" operator="equal">
      <formula>FALSE</formula>
    </cfRule>
  </conditionalFormatting>
  <conditionalFormatting sqref="AI49">
    <cfRule type="cellIs" dxfId="1611" priority="37" operator="equal">
      <formula>TRUE</formula>
    </cfRule>
    <cfRule type="cellIs" dxfId="1610" priority="38" operator="equal">
      <formula>FALSE</formula>
    </cfRule>
  </conditionalFormatting>
  <conditionalFormatting sqref="U50:W50 Y50:AA50 AF50:AH50">
    <cfRule type="cellIs" dxfId="1609" priority="35" operator="equal">
      <formula>TRUE</formula>
    </cfRule>
    <cfRule type="cellIs" dxfId="1608" priority="36" operator="equal">
      <formula>FALSE</formula>
    </cfRule>
  </conditionalFormatting>
  <conditionalFormatting sqref="X50">
    <cfRule type="cellIs" dxfId="1607" priority="33" operator="equal">
      <formula>TRUE</formula>
    </cfRule>
    <cfRule type="cellIs" dxfId="1606" priority="34" operator="equal">
      <formula>FALSE</formula>
    </cfRule>
  </conditionalFormatting>
  <conditionalFormatting sqref="AI50">
    <cfRule type="cellIs" dxfId="1605" priority="31" operator="equal">
      <formula>TRUE</formula>
    </cfRule>
    <cfRule type="cellIs" dxfId="1604" priority="32" operator="equal">
      <formula>FALSE</formula>
    </cfRule>
  </conditionalFormatting>
  <conditionalFormatting sqref="U51:W51 Y51:AA51 AF51:AH51">
    <cfRule type="cellIs" dxfId="1603" priority="29" operator="equal">
      <formula>TRUE</formula>
    </cfRule>
    <cfRule type="cellIs" dxfId="1602" priority="30" operator="equal">
      <formula>FALSE</formula>
    </cfRule>
  </conditionalFormatting>
  <conditionalFormatting sqref="X51">
    <cfRule type="cellIs" dxfId="1601" priority="27" operator="equal">
      <formula>TRUE</formula>
    </cfRule>
    <cfRule type="cellIs" dxfId="1600" priority="28" operator="equal">
      <formula>FALSE</formula>
    </cfRule>
  </conditionalFormatting>
  <conditionalFormatting sqref="AI51">
    <cfRule type="cellIs" dxfId="1599" priority="25" operator="equal">
      <formula>TRUE</formula>
    </cfRule>
    <cfRule type="cellIs" dxfId="1598" priority="26" operator="equal">
      <formula>FALSE</formula>
    </cfRule>
  </conditionalFormatting>
  <conditionalFormatting sqref="U52:W52 Y52:AA52 AF52:AH52">
    <cfRule type="cellIs" dxfId="1597" priority="23" operator="equal">
      <formula>TRUE</formula>
    </cfRule>
    <cfRule type="cellIs" dxfId="1596" priority="24" operator="equal">
      <formula>FALSE</formula>
    </cfRule>
  </conditionalFormatting>
  <conditionalFormatting sqref="X52">
    <cfRule type="cellIs" dxfId="1595" priority="21" operator="equal">
      <formula>TRUE</formula>
    </cfRule>
    <cfRule type="cellIs" dxfId="1594" priority="22" operator="equal">
      <formula>FALSE</formula>
    </cfRule>
  </conditionalFormatting>
  <conditionalFormatting sqref="AI52">
    <cfRule type="cellIs" dxfId="1593" priority="19" operator="equal">
      <formula>TRUE</formula>
    </cfRule>
    <cfRule type="cellIs" dxfId="1592" priority="20" operator="equal">
      <formula>FALSE</formula>
    </cfRule>
  </conditionalFormatting>
  <conditionalFormatting sqref="U53:W53 Y53:AA53 AF53:AH53">
    <cfRule type="cellIs" dxfId="1591" priority="17" operator="equal">
      <formula>TRUE</formula>
    </cfRule>
    <cfRule type="cellIs" dxfId="1590" priority="18" operator="equal">
      <formula>FALSE</formula>
    </cfRule>
  </conditionalFormatting>
  <conditionalFormatting sqref="X53">
    <cfRule type="cellIs" dxfId="1589" priority="15" operator="equal">
      <formula>TRUE</formula>
    </cfRule>
    <cfRule type="cellIs" dxfId="1588" priority="16" operator="equal">
      <formula>FALSE</formula>
    </cfRule>
  </conditionalFormatting>
  <conditionalFormatting sqref="AI53">
    <cfRule type="cellIs" dxfId="1587" priority="13" operator="equal">
      <formula>TRUE</formula>
    </cfRule>
    <cfRule type="cellIs" dxfId="1586" priority="14" operator="equal">
      <formula>FALSE</formula>
    </cfRule>
  </conditionalFormatting>
  <conditionalFormatting sqref="U42:W42 Y42:AA42 AF42:AH42">
    <cfRule type="cellIs" dxfId="1585" priority="11" operator="equal">
      <formula>TRUE</formula>
    </cfRule>
    <cfRule type="cellIs" dxfId="1584" priority="12" operator="equal">
      <formula>FALSE</formula>
    </cfRule>
  </conditionalFormatting>
  <conditionalFormatting sqref="X42">
    <cfRule type="cellIs" dxfId="1583" priority="9" operator="equal">
      <formula>TRUE</formula>
    </cfRule>
    <cfRule type="cellIs" dxfId="1582" priority="10" operator="equal">
      <formula>FALSE</formula>
    </cfRule>
  </conditionalFormatting>
  <conditionalFormatting sqref="X43">
    <cfRule type="cellIs" dxfId="1581" priority="3" operator="equal">
      <formula>TRUE</formula>
    </cfRule>
    <cfRule type="cellIs" dxfId="1580" priority="4" operator="equal">
      <formula>FALSE</formula>
    </cfRule>
  </conditionalFormatting>
  <conditionalFormatting sqref="U43:W43 Y43:AA43 AF43:AH43">
    <cfRule type="cellIs" dxfId="1579" priority="5" operator="equal">
      <formula>TRUE</formula>
    </cfRule>
    <cfRule type="cellIs" dxfId="1578" priority="6"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AI335"/>
  <sheetViews>
    <sheetView topLeftCell="A43" workbookViewId="0">
      <selection activeCell="C57" sqref="C57"/>
    </sheetView>
  </sheetViews>
  <sheetFormatPr defaultRowHeight="14.5" x14ac:dyDescent="0.35"/>
  <cols>
    <col min="1" max="1" width="15.08984375" style="52" bestFit="1" customWidth="1"/>
    <col min="2" max="2" width="31.54296875" style="52" customWidth="1"/>
    <col min="3" max="3" width="36.90625" style="11" customWidth="1"/>
    <col min="4" max="4" width="22.1796875" style="11" customWidth="1"/>
    <col min="5" max="5" width="13.1796875" style="142" customWidth="1"/>
    <col min="6" max="6" width="11.7265625" style="11" customWidth="1"/>
    <col min="7" max="7" width="10.90625" style="11" customWidth="1"/>
    <col min="8" max="8" width="16.36328125" style="11" customWidth="1"/>
    <col min="9" max="9" width="12.26953125" style="11" customWidth="1"/>
    <col min="10" max="10" width="11.1796875" style="11" customWidth="1"/>
    <col min="11" max="11" width="12.6328125" style="11" customWidth="1"/>
    <col min="12" max="12" width="13.453125" style="11" customWidth="1"/>
    <col min="13" max="13" width="15.7265625" style="11" customWidth="1"/>
    <col min="14" max="14" width="17.26953125" style="11" customWidth="1"/>
    <col min="15" max="15" width="18.453125" style="11" customWidth="1"/>
    <col min="16" max="17" width="13.453125" style="11" customWidth="1"/>
    <col min="18" max="19" width="21.36328125" style="56" customWidth="1"/>
    <col min="20" max="20" width="23.90625" style="56" customWidth="1"/>
    <col min="21" max="21" width="9.6328125" style="16" bestFit="1" customWidth="1"/>
    <col min="22" max="22" width="7.90625" style="56" bestFit="1" customWidth="1"/>
    <col min="23" max="23" width="11.7265625" style="56" bestFit="1" customWidth="1"/>
    <col min="24" max="24" width="8.08984375" style="56" bestFit="1" customWidth="1"/>
    <col min="25" max="25" width="19.1796875" style="56" bestFit="1" customWidth="1"/>
    <col min="26" max="26" width="20.26953125" style="56" customWidth="1"/>
    <col min="27" max="27" width="14.7265625" style="56" customWidth="1"/>
    <col min="28" max="28" width="13.54296875" style="56" customWidth="1"/>
    <col min="29" max="29" width="16" style="56" customWidth="1"/>
    <col min="30" max="30" width="20.54296875" style="56" customWidth="1"/>
    <col min="31" max="31" width="16" style="56" customWidth="1"/>
    <col min="32" max="32" width="14.6328125" style="17" bestFit="1" customWidth="1"/>
    <col min="33" max="33" width="12.26953125" style="52" bestFit="1" customWidth="1"/>
    <col min="34" max="34" width="8.1796875" style="52" bestFit="1" customWidth="1"/>
    <col min="35" max="35" width="5.54296875" style="52" bestFit="1" customWidth="1"/>
    <col min="36" max="16384" width="8.7265625" style="52"/>
  </cols>
  <sheetData>
    <row r="1" spans="1:35" x14ac:dyDescent="0.35">
      <c r="C1" s="43" t="s">
        <v>105</v>
      </c>
      <c r="D1" s="43"/>
      <c r="E1" s="10" t="s">
        <v>173</v>
      </c>
      <c r="F1" s="43"/>
      <c r="G1" s="43"/>
      <c r="H1" s="43"/>
      <c r="I1" s="43"/>
      <c r="J1" s="43"/>
      <c r="K1" s="43"/>
      <c r="L1" s="43"/>
      <c r="M1" s="43"/>
      <c r="N1" s="43"/>
      <c r="O1" s="43"/>
      <c r="P1" s="43"/>
      <c r="Q1" s="43"/>
      <c r="R1" s="43"/>
      <c r="S1" s="43"/>
      <c r="T1" s="44"/>
    </row>
    <row r="2" spans="1:35" ht="16.5" customHeight="1" x14ac:dyDescent="0.35">
      <c r="B2" s="529" t="s">
        <v>110</v>
      </c>
      <c r="C2" s="530" t="s">
        <v>104</v>
      </c>
      <c r="D2" s="10" t="s">
        <v>179</v>
      </c>
      <c r="E2" s="10" t="s">
        <v>67</v>
      </c>
      <c r="F2" s="10" t="s">
        <v>87</v>
      </c>
      <c r="G2" s="10">
        <v>2020</v>
      </c>
      <c r="H2" s="533" t="s">
        <v>127</v>
      </c>
      <c r="I2" s="532" t="s">
        <v>126</v>
      </c>
      <c r="J2" s="10" t="s">
        <v>59</v>
      </c>
      <c r="K2" s="10" t="s">
        <v>117</v>
      </c>
      <c r="L2" s="10" t="s">
        <v>117</v>
      </c>
      <c r="M2" s="535" t="s">
        <v>175</v>
      </c>
      <c r="N2" s="534" t="s">
        <v>176</v>
      </c>
      <c r="O2" s="536" t="s">
        <v>178</v>
      </c>
      <c r="P2" s="535" t="s">
        <v>121</v>
      </c>
      <c r="Q2" s="535" t="s">
        <v>122</v>
      </c>
      <c r="R2" s="22" t="s">
        <v>152</v>
      </c>
      <c r="S2" s="22" t="s">
        <v>152</v>
      </c>
      <c r="T2" s="23" t="s">
        <v>106</v>
      </c>
    </row>
    <row r="3" spans="1:35" x14ac:dyDescent="0.35">
      <c r="B3" s="529"/>
      <c r="C3" s="530"/>
      <c r="D3" s="10" t="s">
        <v>180</v>
      </c>
      <c r="E3" s="10" t="s">
        <v>84</v>
      </c>
      <c r="F3" s="10" t="s">
        <v>60</v>
      </c>
      <c r="G3" s="10">
        <v>2030</v>
      </c>
      <c r="H3" s="533"/>
      <c r="I3" s="532"/>
      <c r="J3" s="10" t="s">
        <v>68</v>
      </c>
      <c r="M3" s="535"/>
      <c r="N3" s="534"/>
      <c r="O3" s="536"/>
      <c r="P3" s="535"/>
      <c r="Q3" s="535"/>
      <c r="R3" s="21"/>
      <c r="S3" s="21"/>
      <c r="T3" s="21"/>
    </row>
    <row r="4" spans="1:35" x14ac:dyDescent="0.35">
      <c r="B4" s="529"/>
      <c r="C4" s="530"/>
      <c r="D4" s="10" t="s">
        <v>172</v>
      </c>
      <c r="E4" s="10" t="s">
        <v>275</v>
      </c>
      <c r="F4" s="10" t="s">
        <v>86</v>
      </c>
      <c r="G4" s="10">
        <v>2050</v>
      </c>
      <c r="H4" s="10"/>
      <c r="I4" s="532"/>
      <c r="J4" s="10" t="s">
        <v>167</v>
      </c>
      <c r="K4" s="10"/>
      <c r="L4" s="10"/>
      <c r="M4" s="535"/>
      <c r="N4" s="534"/>
      <c r="O4" s="536"/>
      <c r="P4" s="535"/>
      <c r="Q4" s="535"/>
      <c r="R4" s="21"/>
      <c r="S4" s="21"/>
      <c r="T4" s="21"/>
    </row>
    <row r="5" spans="1:35" x14ac:dyDescent="0.35">
      <c r="B5" s="529"/>
      <c r="C5" s="530"/>
      <c r="D5" s="10"/>
      <c r="E5" s="10" t="s">
        <v>276</v>
      </c>
      <c r="F5" s="10"/>
      <c r="G5" s="10"/>
      <c r="H5" s="10"/>
      <c r="I5" s="147"/>
      <c r="J5" s="10"/>
      <c r="K5" s="10"/>
      <c r="L5" s="10"/>
      <c r="M5" s="535"/>
      <c r="N5" s="534"/>
      <c r="O5" s="536"/>
      <c r="P5" s="535"/>
      <c r="Q5" s="535"/>
      <c r="R5" s="21"/>
      <c r="S5" s="21"/>
      <c r="T5" s="21"/>
    </row>
    <row r="6" spans="1:35" x14ac:dyDescent="0.35">
      <c r="B6" s="529"/>
      <c r="C6" s="530"/>
      <c r="D6" s="10"/>
      <c r="E6" s="10" t="s">
        <v>277</v>
      </c>
      <c r="F6" s="10"/>
      <c r="G6" s="10"/>
      <c r="H6" s="10"/>
      <c r="I6" s="147"/>
      <c r="J6" s="10"/>
      <c r="K6" s="10"/>
      <c r="L6" s="10"/>
      <c r="M6" s="535"/>
      <c r="N6" s="534"/>
      <c r="O6" s="536"/>
      <c r="P6" s="535"/>
      <c r="Q6" s="535"/>
      <c r="R6" s="21"/>
      <c r="S6" s="21"/>
      <c r="T6" s="21"/>
    </row>
    <row r="7" spans="1:35" x14ac:dyDescent="0.35">
      <c r="B7" s="529"/>
      <c r="C7" s="530"/>
      <c r="E7" s="10" t="s">
        <v>278</v>
      </c>
      <c r="F7" s="10"/>
      <c r="G7" s="10"/>
      <c r="H7" s="10"/>
      <c r="I7" s="10"/>
      <c r="J7" s="10"/>
      <c r="K7" s="10"/>
      <c r="L7" s="10"/>
      <c r="M7" s="535"/>
      <c r="N7" s="534"/>
      <c r="O7" s="536"/>
      <c r="P7" s="535"/>
      <c r="Q7" s="535"/>
      <c r="R7" s="14"/>
      <c r="S7" s="14"/>
      <c r="T7" s="14"/>
      <c r="V7" s="143" t="s">
        <v>103</v>
      </c>
      <c r="W7" s="14"/>
      <c r="X7" s="14"/>
      <c r="Y7" s="14"/>
      <c r="Z7" s="14"/>
      <c r="AA7" s="14"/>
      <c r="AB7" s="14"/>
      <c r="AC7" s="14"/>
      <c r="AD7" s="14"/>
      <c r="AE7" s="14"/>
      <c r="AF7" s="27"/>
      <c r="AG7" s="528" t="s">
        <v>107</v>
      </c>
      <c r="AH7" s="523"/>
      <c r="AI7" s="523"/>
    </row>
    <row r="8" spans="1:35" x14ac:dyDescent="0.35">
      <c r="B8" s="144"/>
      <c r="C8" s="145"/>
      <c r="E8" s="10" t="s">
        <v>291</v>
      </c>
      <c r="F8" s="10"/>
      <c r="G8" s="10"/>
      <c r="H8" s="10"/>
      <c r="I8" s="10"/>
      <c r="J8" s="10"/>
      <c r="K8" s="10"/>
      <c r="L8" s="10"/>
      <c r="M8" s="146"/>
      <c r="N8" s="148"/>
      <c r="O8" s="149"/>
      <c r="P8" s="146"/>
      <c r="Q8" s="146"/>
      <c r="R8" s="14"/>
      <c r="S8" s="14"/>
      <c r="T8" s="14"/>
      <c r="V8" s="14"/>
      <c r="W8" s="14"/>
      <c r="X8" s="14"/>
      <c r="Y8" s="14"/>
      <c r="Z8" s="14"/>
      <c r="AA8" s="14"/>
      <c r="AB8" s="14"/>
      <c r="AC8" s="14"/>
      <c r="AD8" s="14"/>
      <c r="AE8" s="14"/>
      <c r="AF8" s="27"/>
      <c r="AG8" s="14"/>
      <c r="AH8" s="142"/>
      <c r="AI8" s="142"/>
    </row>
    <row r="9" spans="1:35" x14ac:dyDescent="0.35">
      <c r="B9" s="144"/>
      <c r="C9" s="145"/>
      <c r="E9" s="10" t="s">
        <v>299</v>
      </c>
      <c r="F9" s="10"/>
      <c r="G9" s="10"/>
      <c r="H9" s="10"/>
      <c r="I9" s="10"/>
      <c r="J9" s="10"/>
      <c r="K9" s="10"/>
      <c r="L9" s="10"/>
      <c r="M9" s="146"/>
      <c r="N9" s="148"/>
      <c r="O9" s="149"/>
      <c r="P9" s="146"/>
      <c r="Q9" s="146"/>
      <c r="R9" s="14"/>
      <c r="S9" s="14"/>
      <c r="T9" s="14"/>
      <c r="V9" s="14"/>
      <c r="W9" s="14"/>
      <c r="X9" s="14"/>
      <c r="Y9" s="14"/>
      <c r="Z9" s="14"/>
      <c r="AA9" s="14"/>
      <c r="AB9" s="14"/>
      <c r="AC9" s="14"/>
      <c r="AD9" s="14"/>
      <c r="AE9" s="14"/>
      <c r="AF9" s="27"/>
      <c r="AG9" s="14"/>
      <c r="AH9" s="142"/>
      <c r="AI9" s="142"/>
    </row>
    <row r="10" spans="1:35" x14ac:dyDescent="0.35">
      <c r="R10" s="13"/>
      <c r="S10" s="13"/>
      <c r="T10" s="13"/>
      <c r="V10" s="14"/>
      <c r="W10" s="14"/>
      <c r="X10" s="14"/>
      <c r="Y10" s="14"/>
      <c r="Z10" s="14"/>
      <c r="AA10" s="14"/>
      <c r="AB10" s="14"/>
      <c r="AC10" s="14"/>
      <c r="AD10" s="14"/>
      <c r="AE10" s="14"/>
      <c r="AF10" s="27"/>
      <c r="AG10" s="142"/>
      <c r="AH10" s="142"/>
    </row>
    <row r="11" spans="1:35" s="141" customFormat="1" x14ac:dyDescent="0.35">
      <c r="A11" s="141" t="s">
        <v>69</v>
      </c>
      <c r="B11" s="141" t="s">
        <v>109</v>
      </c>
      <c r="C11" s="141" t="s">
        <v>108</v>
      </c>
      <c r="D11" s="141" t="s">
        <v>160</v>
      </c>
      <c r="E11" s="141" t="s">
        <v>70</v>
      </c>
      <c r="F11" s="141" t="s">
        <v>85</v>
      </c>
      <c r="G11" s="141" t="s">
        <v>124</v>
      </c>
      <c r="H11" s="24" t="s">
        <v>125</v>
      </c>
      <c r="I11" s="141" t="s">
        <v>73</v>
      </c>
      <c r="J11" s="141" t="s">
        <v>71</v>
      </c>
      <c r="K11" s="141" t="s">
        <v>118</v>
      </c>
      <c r="L11" s="141" t="s">
        <v>116</v>
      </c>
      <c r="M11" s="141" t="s">
        <v>163</v>
      </c>
      <c r="N11" s="141" t="s">
        <v>170</v>
      </c>
      <c r="O11" s="141" t="s">
        <v>177</v>
      </c>
      <c r="P11" s="141" t="s">
        <v>120</v>
      </c>
      <c r="Q11" s="141" t="s">
        <v>123</v>
      </c>
      <c r="R11" s="24" t="s">
        <v>72</v>
      </c>
      <c r="S11" s="24" t="s">
        <v>151</v>
      </c>
      <c r="T11" s="24" t="s">
        <v>74</v>
      </c>
      <c r="U11" s="25" t="s">
        <v>75</v>
      </c>
      <c r="V11" s="24" t="s">
        <v>76</v>
      </c>
      <c r="W11" s="24" t="s">
        <v>77</v>
      </c>
      <c r="X11" s="24" t="s">
        <v>78</v>
      </c>
      <c r="Y11" s="24" t="s">
        <v>79</v>
      </c>
      <c r="Z11" s="24" t="s">
        <v>88</v>
      </c>
      <c r="AA11" s="24" t="s">
        <v>89</v>
      </c>
      <c r="AB11" s="24" t="s">
        <v>90</v>
      </c>
      <c r="AC11" s="24" t="s">
        <v>91</v>
      </c>
      <c r="AD11" s="24" t="s">
        <v>283</v>
      </c>
      <c r="AE11" s="24" t="s">
        <v>284</v>
      </c>
      <c r="AF11" s="26" t="s">
        <v>80</v>
      </c>
      <c r="AG11" s="141" t="s">
        <v>81</v>
      </c>
      <c r="AH11" s="141" t="s">
        <v>82</v>
      </c>
      <c r="AI11" s="141" t="s">
        <v>83</v>
      </c>
    </row>
    <row r="12" spans="1:35" x14ac:dyDescent="0.35">
      <c r="A12" s="8">
        <f t="shared" ref="A12:A53" si="0">ROW(A12)-ROW($A$11)</f>
        <v>1</v>
      </c>
      <c r="B12" s="8" t="s">
        <v>303</v>
      </c>
      <c r="C12" s="11" t="s">
        <v>293</v>
      </c>
      <c r="D12" s="52" t="s">
        <v>179</v>
      </c>
      <c r="E12" s="142" t="s">
        <v>84</v>
      </c>
      <c r="F12" s="11" t="s">
        <v>86</v>
      </c>
      <c r="G12" s="11" t="s">
        <v>220</v>
      </c>
      <c r="H12" s="28" t="s">
        <v>171</v>
      </c>
      <c r="I12" s="11">
        <v>2019</v>
      </c>
      <c r="J12" s="11" t="s">
        <v>59</v>
      </c>
      <c r="K12" s="11">
        <v>0</v>
      </c>
      <c r="L12" s="11">
        <v>0</v>
      </c>
      <c r="M12" s="11">
        <v>-1</v>
      </c>
      <c r="N12" s="11" t="s">
        <v>86</v>
      </c>
      <c r="O12" s="11">
        <v>0</v>
      </c>
      <c r="P12" s="11">
        <v>1</v>
      </c>
      <c r="Q12" s="11">
        <v>0</v>
      </c>
      <c r="R12" s="56" t="s">
        <v>161</v>
      </c>
      <c r="S12" s="56" t="s">
        <v>162</v>
      </c>
      <c r="T12" s="56" t="s">
        <v>304</v>
      </c>
      <c r="U12" s="16" t="b">
        <v>0</v>
      </c>
      <c r="V12" s="56" t="b">
        <v>1</v>
      </c>
      <c r="W12" s="56" t="b">
        <v>0</v>
      </c>
      <c r="X12" s="56" t="b">
        <v>0</v>
      </c>
      <c r="Y12" s="56" t="b">
        <v>1</v>
      </c>
      <c r="Z12" s="56" t="b">
        <v>0</v>
      </c>
      <c r="AA12" s="56" t="b">
        <v>0</v>
      </c>
      <c r="AB12" s="56" t="b">
        <v>0</v>
      </c>
      <c r="AC12" s="56" t="b">
        <v>0</v>
      </c>
      <c r="AD12" s="56" t="b">
        <v>0</v>
      </c>
      <c r="AE12" s="56" t="b">
        <v>0</v>
      </c>
      <c r="AF12" s="17" t="b">
        <v>0</v>
      </c>
      <c r="AG12" s="52" t="b">
        <v>0</v>
      </c>
      <c r="AH12" s="52" t="b">
        <v>0</v>
      </c>
      <c r="AI12" s="52" t="b">
        <v>1</v>
      </c>
    </row>
    <row r="13" spans="1:35" x14ac:dyDescent="0.35">
      <c r="A13" s="8">
        <f t="shared" si="0"/>
        <v>2</v>
      </c>
      <c r="B13" s="8" t="s">
        <v>303</v>
      </c>
      <c r="C13" s="11" t="s">
        <v>293</v>
      </c>
      <c r="D13" s="52" t="s">
        <v>180</v>
      </c>
      <c r="E13" s="142" t="s">
        <v>84</v>
      </c>
      <c r="F13" s="11" t="s">
        <v>86</v>
      </c>
      <c r="G13" s="11" t="s">
        <v>220</v>
      </c>
      <c r="H13" s="28" t="s">
        <v>171</v>
      </c>
      <c r="I13" s="11">
        <v>2019</v>
      </c>
      <c r="J13" s="11" t="s">
        <v>59</v>
      </c>
      <c r="K13" s="11">
        <v>0</v>
      </c>
      <c r="L13" s="11">
        <v>0</v>
      </c>
      <c r="M13" s="11">
        <v>-1</v>
      </c>
      <c r="N13" s="11" t="s">
        <v>86</v>
      </c>
      <c r="O13" s="11">
        <v>0</v>
      </c>
      <c r="P13" s="11">
        <v>1</v>
      </c>
      <c r="Q13" s="11">
        <v>0</v>
      </c>
      <c r="R13" s="56" t="s">
        <v>161</v>
      </c>
      <c r="S13" s="56" t="s">
        <v>162</v>
      </c>
      <c r="T13" s="56" t="s">
        <v>304</v>
      </c>
      <c r="U13" s="16" t="b">
        <v>0</v>
      </c>
      <c r="V13" s="56" t="b">
        <v>1</v>
      </c>
      <c r="W13" s="56" t="b">
        <v>0</v>
      </c>
      <c r="X13" s="56" t="b">
        <v>0</v>
      </c>
      <c r="Y13" s="56" t="b">
        <v>1</v>
      </c>
      <c r="Z13" s="56" t="b">
        <v>0</v>
      </c>
      <c r="AA13" s="56" t="b">
        <v>0</v>
      </c>
      <c r="AB13" s="56" t="b">
        <v>0</v>
      </c>
      <c r="AC13" s="56" t="b">
        <v>0</v>
      </c>
      <c r="AD13" s="56" t="b">
        <v>0</v>
      </c>
      <c r="AE13" s="56" t="b">
        <v>0</v>
      </c>
      <c r="AF13" s="17" t="b">
        <v>0</v>
      </c>
      <c r="AG13" s="52" t="b">
        <v>0</v>
      </c>
      <c r="AH13" s="52" t="b">
        <v>0</v>
      </c>
      <c r="AI13" s="52" t="b">
        <v>1</v>
      </c>
    </row>
    <row r="14" spans="1:35" x14ac:dyDescent="0.35">
      <c r="A14" s="8">
        <f t="shared" si="0"/>
        <v>3</v>
      </c>
      <c r="B14" s="8" t="s">
        <v>303</v>
      </c>
      <c r="C14" s="11" t="s">
        <v>293</v>
      </c>
      <c r="D14" s="52" t="s">
        <v>172</v>
      </c>
      <c r="E14" s="142" t="s">
        <v>84</v>
      </c>
      <c r="F14" s="11" t="s">
        <v>86</v>
      </c>
      <c r="G14" s="11" t="s">
        <v>220</v>
      </c>
      <c r="H14" s="28" t="s">
        <v>171</v>
      </c>
      <c r="I14" s="11">
        <v>2019</v>
      </c>
      <c r="J14" s="11" t="s">
        <v>59</v>
      </c>
      <c r="K14" s="11">
        <v>0</v>
      </c>
      <c r="L14" s="11">
        <v>0</v>
      </c>
      <c r="M14" s="11">
        <v>-1</v>
      </c>
      <c r="N14" s="11" t="s">
        <v>86</v>
      </c>
      <c r="O14" s="11">
        <v>0</v>
      </c>
      <c r="P14" s="11">
        <v>1</v>
      </c>
      <c r="Q14" s="11">
        <v>0</v>
      </c>
      <c r="R14" s="56" t="s">
        <v>161</v>
      </c>
      <c r="S14" s="56" t="s">
        <v>162</v>
      </c>
      <c r="T14" s="56" t="s">
        <v>304</v>
      </c>
      <c r="U14" s="16" t="b">
        <v>0</v>
      </c>
      <c r="V14" s="56" t="b">
        <v>1</v>
      </c>
      <c r="W14" s="56" t="b">
        <v>0</v>
      </c>
      <c r="X14" s="56" t="b">
        <v>0</v>
      </c>
      <c r="Y14" s="56" t="b">
        <v>1</v>
      </c>
      <c r="Z14" s="56" t="b">
        <v>0</v>
      </c>
      <c r="AA14" s="56" t="b">
        <v>0</v>
      </c>
      <c r="AB14" s="56" t="b">
        <v>0</v>
      </c>
      <c r="AC14" s="56" t="b">
        <v>0</v>
      </c>
      <c r="AD14" s="56" t="b">
        <v>0</v>
      </c>
      <c r="AE14" s="56" t="b">
        <v>0</v>
      </c>
      <c r="AF14" s="17" t="b">
        <v>0</v>
      </c>
      <c r="AG14" s="52" t="b">
        <v>0</v>
      </c>
      <c r="AH14" s="52" t="b">
        <v>0</v>
      </c>
      <c r="AI14" s="52" t="b">
        <v>1</v>
      </c>
    </row>
    <row r="15" spans="1:35" x14ac:dyDescent="0.35">
      <c r="A15" s="8">
        <f t="shared" si="0"/>
        <v>4</v>
      </c>
      <c r="B15" s="8" t="s">
        <v>303</v>
      </c>
      <c r="C15" s="11" t="s">
        <v>293</v>
      </c>
      <c r="D15" s="52" t="s">
        <v>179</v>
      </c>
      <c r="E15" s="142" t="s">
        <v>84</v>
      </c>
      <c r="F15" s="11" t="s">
        <v>86</v>
      </c>
      <c r="G15" s="11" t="s">
        <v>220</v>
      </c>
      <c r="H15" s="28" t="s">
        <v>171</v>
      </c>
      <c r="I15" s="11">
        <v>2019</v>
      </c>
      <c r="J15" s="11" t="s">
        <v>68</v>
      </c>
      <c r="K15" s="11">
        <v>0</v>
      </c>
      <c r="L15" s="11">
        <v>0</v>
      </c>
      <c r="M15" s="11">
        <v>-1</v>
      </c>
      <c r="N15" s="11" t="s">
        <v>86</v>
      </c>
      <c r="O15" s="11">
        <v>0</v>
      </c>
      <c r="P15" s="11">
        <v>1</v>
      </c>
      <c r="Q15" s="11">
        <v>0</v>
      </c>
      <c r="R15" s="56" t="s">
        <v>161</v>
      </c>
      <c r="S15" s="56" t="s">
        <v>162</v>
      </c>
      <c r="T15" s="56" t="s">
        <v>304</v>
      </c>
      <c r="U15" s="16" t="b">
        <v>0</v>
      </c>
      <c r="V15" s="56" t="b">
        <v>1</v>
      </c>
      <c r="W15" s="56" t="b">
        <v>0</v>
      </c>
      <c r="X15" s="56" t="b">
        <v>0</v>
      </c>
      <c r="Y15" s="56" t="b">
        <v>1</v>
      </c>
      <c r="Z15" s="56" t="b">
        <v>0</v>
      </c>
      <c r="AA15" s="56" t="b">
        <v>0</v>
      </c>
      <c r="AB15" s="56" t="b">
        <v>0</v>
      </c>
      <c r="AC15" s="56" t="b">
        <v>0</v>
      </c>
      <c r="AD15" s="56" t="b">
        <v>0</v>
      </c>
      <c r="AE15" s="56" t="b">
        <v>0</v>
      </c>
      <c r="AF15" s="17" t="b">
        <v>0</v>
      </c>
      <c r="AG15" s="52" t="b">
        <v>0</v>
      </c>
      <c r="AH15" s="52" t="b">
        <v>0</v>
      </c>
      <c r="AI15" s="52" t="b">
        <v>1</v>
      </c>
    </row>
    <row r="16" spans="1:35" x14ac:dyDescent="0.35">
      <c r="A16" s="8">
        <f t="shared" si="0"/>
        <v>5</v>
      </c>
      <c r="B16" s="8" t="s">
        <v>303</v>
      </c>
      <c r="C16" s="11" t="s">
        <v>293</v>
      </c>
      <c r="D16" s="52" t="s">
        <v>180</v>
      </c>
      <c r="E16" s="142" t="s">
        <v>84</v>
      </c>
      <c r="F16" s="11" t="s">
        <v>86</v>
      </c>
      <c r="G16" s="11" t="s">
        <v>220</v>
      </c>
      <c r="H16" s="28" t="s">
        <v>171</v>
      </c>
      <c r="I16" s="11">
        <v>2019</v>
      </c>
      <c r="J16" s="11" t="s">
        <v>68</v>
      </c>
      <c r="K16" s="11">
        <v>0</v>
      </c>
      <c r="L16" s="11">
        <v>0</v>
      </c>
      <c r="M16" s="11">
        <v>-1</v>
      </c>
      <c r="N16" s="11" t="s">
        <v>86</v>
      </c>
      <c r="O16" s="11">
        <v>0</v>
      </c>
      <c r="P16" s="11">
        <v>1</v>
      </c>
      <c r="Q16" s="11">
        <v>0</v>
      </c>
      <c r="R16" s="56" t="s">
        <v>161</v>
      </c>
      <c r="S16" s="56" t="s">
        <v>162</v>
      </c>
      <c r="T16" s="56" t="s">
        <v>304</v>
      </c>
      <c r="U16" s="16" t="b">
        <v>0</v>
      </c>
      <c r="V16" s="56" t="b">
        <v>1</v>
      </c>
      <c r="W16" s="56" t="b">
        <v>0</v>
      </c>
      <c r="X16" s="56" t="b">
        <v>0</v>
      </c>
      <c r="Y16" s="56" t="b">
        <v>1</v>
      </c>
      <c r="Z16" s="56" t="b">
        <v>0</v>
      </c>
      <c r="AA16" s="56" t="b">
        <v>0</v>
      </c>
      <c r="AB16" s="56" t="b">
        <v>0</v>
      </c>
      <c r="AC16" s="56" t="b">
        <v>0</v>
      </c>
      <c r="AD16" s="56" t="b">
        <v>0</v>
      </c>
      <c r="AE16" s="56" t="b">
        <v>0</v>
      </c>
      <c r="AF16" s="17" t="b">
        <v>0</v>
      </c>
      <c r="AG16" s="52" t="b">
        <v>0</v>
      </c>
      <c r="AH16" s="52" t="b">
        <v>0</v>
      </c>
      <c r="AI16" s="52" t="b">
        <v>1</v>
      </c>
    </row>
    <row r="17" spans="1:35" x14ac:dyDescent="0.35">
      <c r="A17" s="8">
        <f t="shared" si="0"/>
        <v>6</v>
      </c>
      <c r="B17" s="8" t="s">
        <v>303</v>
      </c>
      <c r="C17" s="11" t="s">
        <v>293</v>
      </c>
      <c r="D17" s="52" t="s">
        <v>172</v>
      </c>
      <c r="E17" s="142" t="s">
        <v>84</v>
      </c>
      <c r="F17" s="11" t="s">
        <v>86</v>
      </c>
      <c r="G17" s="11" t="s">
        <v>220</v>
      </c>
      <c r="H17" s="28" t="s">
        <v>171</v>
      </c>
      <c r="I17" s="11">
        <v>2019</v>
      </c>
      <c r="J17" s="11" t="s">
        <v>68</v>
      </c>
      <c r="K17" s="11">
        <v>0</v>
      </c>
      <c r="L17" s="11">
        <v>0</v>
      </c>
      <c r="M17" s="11">
        <v>-1</v>
      </c>
      <c r="N17" s="11" t="s">
        <v>86</v>
      </c>
      <c r="O17" s="11">
        <v>0</v>
      </c>
      <c r="P17" s="11">
        <v>1</v>
      </c>
      <c r="Q17" s="11">
        <v>0</v>
      </c>
      <c r="R17" s="56" t="s">
        <v>161</v>
      </c>
      <c r="S17" s="56" t="s">
        <v>162</v>
      </c>
      <c r="T17" s="56" t="s">
        <v>304</v>
      </c>
      <c r="U17" s="16" t="b">
        <v>0</v>
      </c>
      <c r="V17" s="56" t="b">
        <v>1</v>
      </c>
      <c r="W17" s="56" t="b">
        <v>0</v>
      </c>
      <c r="X17" s="56" t="b">
        <v>0</v>
      </c>
      <c r="Y17" s="56" t="b">
        <v>1</v>
      </c>
      <c r="Z17" s="56" t="b">
        <v>0</v>
      </c>
      <c r="AA17" s="56" t="b">
        <v>0</v>
      </c>
      <c r="AB17" s="56" t="b">
        <v>0</v>
      </c>
      <c r="AC17" s="56" t="b">
        <v>0</v>
      </c>
      <c r="AD17" s="56" t="b">
        <v>0</v>
      </c>
      <c r="AE17" s="56" t="b">
        <v>0</v>
      </c>
      <c r="AF17" s="17" t="b">
        <v>0</v>
      </c>
      <c r="AG17" s="52" t="b">
        <v>0</v>
      </c>
      <c r="AH17" s="52" t="b">
        <v>0</v>
      </c>
      <c r="AI17" s="52" t="b">
        <v>1</v>
      </c>
    </row>
    <row r="18" spans="1:35" x14ac:dyDescent="0.35">
      <c r="A18" s="8">
        <f t="shared" si="0"/>
        <v>7</v>
      </c>
      <c r="B18" s="8" t="s">
        <v>303</v>
      </c>
      <c r="C18" s="11" t="s">
        <v>293</v>
      </c>
      <c r="D18" s="52" t="s">
        <v>179</v>
      </c>
      <c r="E18" s="142" t="s">
        <v>67</v>
      </c>
      <c r="F18" s="11" t="s">
        <v>87</v>
      </c>
      <c r="G18" s="11" t="s">
        <v>220</v>
      </c>
      <c r="H18" s="28" t="s">
        <v>171</v>
      </c>
      <c r="I18" s="11">
        <v>2019</v>
      </c>
      <c r="J18" s="11" t="s">
        <v>59</v>
      </c>
      <c r="K18" s="11">
        <v>0</v>
      </c>
      <c r="L18" s="11">
        <v>0</v>
      </c>
      <c r="M18" s="11">
        <v>-1</v>
      </c>
      <c r="N18" s="11" t="s">
        <v>86</v>
      </c>
      <c r="O18" s="11">
        <v>0</v>
      </c>
      <c r="P18" s="11">
        <v>1</v>
      </c>
      <c r="Q18" s="11">
        <v>0</v>
      </c>
      <c r="R18" s="56" t="s">
        <v>161</v>
      </c>
      <c r="S18" s="56" t="s">
        <v>162</v>
      </c>
      <c r="T18" s="56" t="s">
        <v>304</v>
      </c>
      <c r="U18" s="16" t="b">
        <v>0</v>
      </c>
      <c r="V18" s="56" t="b">
        <v>1</v>
      </c>
      <c r="W18" s="56" t="b">
        <v>0</v>
      </c>
      <c r="X18" s="56" t="b">
        <v>0</v>
      </c>
      <c r="Y18" s="56" t="b">
        <v>1</v>
      </c>
      <c r="Z18" s="56" t="b">
        <v>0</v>
      </c>
      <c r="AA18" s="56" t="b">
        <v>0</v>
      </c>
      <c r="AB18" s="56" t="b">
        <v>0</v>
      </c>
      <c r="AC18" s="56" t="b">
        <v>0</v>
      </c>
      <c r="AD18" s="56" t="b">
        <v>0</v>
      </c>
      <c r="AE18" s="56" t="b">
        <v>0</v>
      </c>
      <c r="AF18" s="17" t="b">
        <v>0</v>
      </c>
      <c r="AG18" s="52" t="b">
        <v>0</v>
      </c>
      <c r="AH18" s="52" t="b">
        <v>0</v>
      </c>
      <c r="AI18" s="52" t="b">
        <v>1</v>
      </c>
    </row>
    <row r="19" spans="1:35" x14ac:dyDescent="0.35">
      <c r="A19" s="8">
        <f t="shared" si="0"/>
        <v>8</v>
      </c>
      <c r="B19" s="8" t="s">
        <v>303</v>
      </c>
      <c r="C19" s="11" t="s">
        <v>293</v>
      </c>
      <c r="D19" s="52" t="s">
        <v>180</v>
      </c>
      <c r="E19" s="142" t="s">
        <v>67</v>
      </c>
      <c r="F19" s="11" t="s">
        <v>87</v>
      </c>
      <c r="G19" s="11" t="s">
        <v>220</v>
      </c>
      <c r="H19" s="28" t="s">
        <v>171</v>
      </c>
      <c r="I19" s="11">
        <v>2019</v>
      </c>
      <c r="J19" s="11" t="s">
        <v>59</v>
      </c>
      <c r="K19" s="11">
        <v>0</v>
      </c>
      <c r="L19" s="11">
        <v>0</v>
      </c>
      <c r="M19" s="11">
        <v>-1</v>
      </c>
      <c r="N19" s="11" t="s">
        <v>86</v>
      </c>
      <c r="O19" s="11">
        <v>0</v>
      </c>
      <c r="P19" s="11">
        <v>1</v>
      </c>
      <c r="Q19" s="11">
        <v>0</v>
      </c>
      <c r="R19" s="56" t="s">
        <v>161</v>
      </c>
      <c r="S19" s="56" t="s">
        <v>162</v>
      </c>
      <c r="T19" s="56" t="s">
        <v>304</v>
      </c>
      <c r="U19" s="16" t="b">
        <v>0</v>
      </c>
      <c r="V19" s="56" t="b">
        <v>1</v>
      </c>
      <c r="W19" s="56" t="b">
        <v>0</v>
      </c>
      <c r="X19" s="56" t="b">
        <v>0</v>
      </c>
      <c r="Y19" s="56" t="b">
        <v>1</v>
      </c>
      <c r="Z19" s="56" t="b">
        <v>0</v>
      </c>
      <c r="AA19" s="56" t="b">
        <v>0</v>
      </c>
      <c r="AB19" s="56" t="b">
        <v>0</v>
      </c>
      <c r="AC19" s="56" t="b">
        <v>0</v>
      </c>
      <c r="AD19" s="56" t="b">
        <v>0</v>
      </c>
      <c r="AE19" s="56" t="b">
        <v>0</v>
      </c>
      <c r="AF19" s="17" t="b">
        <v>0</v>
      </c>
      <c r="AG19" s="52" t="b">
        <v>0</v>
      </c>
      <c r="AH19" s="52" t="b">
        <v>0</v>
      </c>
      <c r="AI19" s="52" t="b">
        <v>1</v>
      </c>
    </row>
    <row r="20" spans="1:35" x14ac:dyDescent="0.35">
      <c r="A20" s="8">
        <f t="shared" si="0"/>
        <v>9</v>
      </c>
      <c r="B20" s="8" t="s">
        <v>303</v>
      </c>
      <c r="C20" s="11" t="s">
        <v>293</v>
      </c>
      <c r="D20" s="52" t="s">
        <v>172</v>
      </c>
      <c r="E20" s="142" t="s">
        <v>67</v>
      </c>
      <c r="F20" s="11" t="s">
        <v>87</v>
      </c>
      <c r="G20" s="11" t="s">
        <v>220</v>
      </c>
      <c r="H20" s="28" t="s">
        <v>171</v>
      </c>
      <c r="I20" s="11">
        <v>2019</v>
      </c>
      <c r="J20" s="11" t="s">
        <v>59</v>
      </c>
      <c r="K20" s="11">
        <v>0</v>
      </c>
      <c r="L20" s="11">
        <v>0</v>
      </c>
      <c r="M20" s="11">
        <v>-1</v>
      </c>
      <c r="N20" s="11" t="s">
        <v>86</v>
      </c>
      <c r="O20" s="11">
        <v>0</v>
      </c>
      <c r="P20" s="11">
        <v>1</v>
      </c>
      <c r="Q20" s="11">
        <v>0</v>
      </c>
      <c r="R20" s="56" t="s">
        <v>161</v>
      </c>
      <c r="S20" s="56" t="s">
        <v>162</v>
      </c>
      <c r="T20" s="56" t="s">
        <v>304</v>
      </c>
      <c r="U20" s="16" t="b">
        <v>0</v>
      </c>
      <c r="V20" s="56" t="b">
        <v>1</v>
      </c>
      <c r="W20" s="56" t="b">
        <v>0</v>
      </c>
      <c r="X20" s="56" t="b">
        <v>0</v>
      </c>
      <c r="Y20" s="56" t="b">
        <v>1</v>
      </c>
      <c r="Z20" s="56" t="b">
        <v>0</v>
      </c>
      <c r="AA20" s="56" t="b">
        <v>0</v>
      </c>
      <c r="AB20" s="56" t="b">
        <v>0</v>
      </c>
      <c r="AC20" s="56" t="b">
        <v>0</v>
      </c>
      <c r="AD20" s="56" t="b">
        <v>0</v>
      </c>
      <c r="AE20" s="56" t="b">
        <v>0</v>
      </c>
      <c r="AF20" s="17" t="b">
        <v>0</v>
      </c>
      <c r="AG20" s="52" t="b">
        <v>0</v>
      </c>
      <c r="AH20" s="52" t="b">
        <v>0</v>
      </c>
      <c r="AI20" s="52" t="b">
        <v>1</v>
      </c>
    </row>
    <row r="21" spans="1:35" x14ac:dyDescent="0.35">
      <c r="A21" s="8">
        <f t="shared" si="0"/>
        <v>10</v>
      </c>
      <c r="B21" s="8" t="s">
        <v>303</v>
      </c>
      <c r="C21" s="11" t="s">
        <v>293</v>
      </c>
      <c r="D21" s="52" t="s">
        <v>179</v>
      </c>
      <c r="E21" s="142" t="s">
        <v>67</v>
      </c>
      <c r="F21" s="11" t="s">
        <v>87</v>
      </c>
      <c r="G21" s="11" t="s">
        <v>220</v>
      </c>
      <c r="H21" s="28" t="s">
        <v>171</v>
      </c>
      <c r="I21" s="11">
        <v>2019</v>
      </c>
      <c r="J21" s="11" t="s">
        <v>68</v>
      </c>
      <c r="K21" s="11">
        <v>0</v>
      </c>
      <c r="L21" s="11">
        <v>0</v>
      </c>
      <c r="M21" s="11">
        <v>-1</v>
      </c>
      <c r="N21" s="11" t="s">
        <v>86</v>
      </c>
      <c r="O21" s="11">
        <v>0</v>
      </c>
      <c r="P21" s="11">
        <v>1</v>
      </c>
      <c r="Q21" s="11">
        <v>0</v>
      </c>
      <c r="R21" s="56" t="s">
        <v>161</v>
      </c>
      <c r="S21" s="56" t="s">
        <v>162</v>
      </c>
      <c r="T21" s="56" t="s">
        <v>304</v>
      </c>
      <c r="U21" s="16" t="b">
        <v>0</v>
      </c>
      <c r="V21" s="56" t="b">
        <v>1</v>
      </c>
      <c r="W21" s="56" t="b">
        <v>0</v>
      </c>
      <c r="X21" s="56" t="b">
        <v>0</v>
      </c>
      <c r="Y21" s="56" t="b">
        <v>1</v>
      </c>
      <c r="Z21" s="56" t="b">
        <v>0</v>
      </c>
      <c r="AA21" s="56" t="b">
        <v>0</v>
      </c>
      <c r="AB21" s="56" t="b">
        <v>0</v>
      </c>
      <c r="AC21" s="56" t="b">
        <v>0</v>
      </c>
      <c r="AD21" s="56" t="b">
        <v>0</v>
      </c>
      <c r="AE21" s="56" t="b">
        <v>0</v>
      </c>
      <c r="AF21" s="17" t="b">
        <v>0</v>
      </c>
      <c r="AG21" s="52" t="b">
        <v>0</v>
      </c>
      <c r="AH21" s="52" t="b">
        <v>0</v>
      </c>
      <c r="AI21" s="52" t="b">
        <v>1</v>
      </c>
    </row>
    <row r="22" spans="1:35" x14ac:dyDescent="0.35">
      <c r="A22" s="8">
        <f t="shared" si="0"/>
        <v>11</v>
      </c>
      <c r="B22" s="8" t="s">
        <v>303</v>
      </c>
      <c r="C22" s="11" t="s">
        <v>293</v>
      </c>
      <c r="D22" s="52" t="s">
        <v>180</v>
      </c>
      <c r="E22" s="142" t="s">
        <v>67</v>
      </c>
      <c r="F22" s="11" t="s">
        <v>87</v>
      </c>
      <c r="G22" s="11" t="s">
        <v>220</v>
      </c>
      <c r="H22" s="28" t="s">
        <v>171</v>
      </c>
      <c r="I22" s="11">
        <v>2019</v>
      </c>
      <c r="J22" s="11" t="s">
        <v>68</v>
      </c>
      <c r="K22" s="11">
        <v>0</v>
      </c>
      <c r="L22" s="11">
        <v>0</v>
      </c>
      <c r="M22" s="11">
        <v>-1</v>
      </c>
      <c r="N22" s="11" t="s">
        <v>86</v>
      </c>
      <c r="O22" s="11">
        <v>0</v>
      </c>
      <c r="P22" s="11">
        <v>1</v>
      </c>
      <c r="Q22" s="11">
        <v>0</v>
      </c>
      <c r="R22" s="56" t="s">
        <v>161</v>
      </c>
      <c r="S22" s="56" t="s">
        <v>162</v>
      </c>
      <c r="T22" s="56" t="s">
        <v>304</v>
      </c>
      <c r="U22" s="16" t="b">
        <v>0</v>
      </c>
      <c r="V22" s="56" t="b">
        <v>1</v>
      </c>
      <c r="W22" s="56" t="b">
        <v>0</v>
      </c>
      <c r="X22" s="56" t="b">
        <v>0</v>
      </c>
      <c r="Y22" s="56" t="b">
        <v>1</v>
      </c>
      <c r="Z22" s="56" t="b">
        <v>0</v>
      </c>
      <c r="AA22" s="56" t="b">
        <v>0</v>
      </c>
      <c r="AB22" s="56" t="b">
        <v>0</v>
      </c>
      <c r="AC22" s="56" t="b">
        <v>0</v>
      </c>
      <c r="AD22" s="56" t="b">
        <v>0</v>
      </c>
      <c r="AE22" s="56" t="b">
        <v>0</v>
      </c>
      <c r="AF22" s="17" t="b">
        <v>0</v>
      </c>
      <c r="AG22" s="52" t="b">
        <v>0</v>
      </c>
      <c r="AH22" s="52" t="b">
        <v>0</v>
      </c>
      <c r="AI22" s="52" t="b">
        <v>1</v>
      </c>
    </row>
    <row r="23" spans="1:35" x14ac:dyDescent="0.35">
      <c r="A23" s="8">
        <f t="shared" si="0"/>
        <v>12</v>
      </c>
      <c r="B23" s="8" t="s">
        <v>303</v>
      </c>
      <c r="C23" s="11" t="s">
        <v>293</v>
      </c>
      <c r="D23" s="52" t="s">
        <v>172</v>
      </c>
      <c r="E23" s="142" t="s">
        <v>67</v>
      </c>
      <c r="F23" s="11" t="s">
        <v>87</v>
      </c>
      <c r="G23" s="11" t="s">
        <v>220</v>
      </c>
      <c r="H23" s="28" t="s">
        <v>171</v>
      </c>
      <c r="I23" s="11">
        <v>2019</v>
      </c>
      <c r="J23" s="11" t="s">
        <v>68</v>
      </c>
      <c r="K23" s="11">
        <v>0</v>
      </c>
      <c r="L23" s="11">
        <v>0</v>
      </c>
      <c r="M23" s="11">
        <v>-1</v>
      </c>
      <c r="N23" s="11" t="s">
        <v>86</v>
      </c>
      <c r="O23" s="11">
        <v>0</v>
      </c>
      <c r="P23" s="11">
        <v>1</v>
      </c>
      <c r="Q23" s="11">
        <v>0</v>
      </c>
      <c r="R23" s="56" t="s">
        <v>161</v>
      </c>
      <c r="S23" s="56" t="s">
        <v>162</v>
      </c>
      <c r="T23" s="56" t="s">
        <v>304</v>
      </c>
      <c r="U23" s="16" t="b">
        <v>0</v>
      </c>
      <c r="V23" s="56" t="b">
        <v>1</v>
      </c>
      <c r="W23" s="56" t="b">
        <v>0</v>
      </c>
      <c r="X23" s="56" t="b">
        <v>0</v>
      </c>
      <c r="Y23" s="56" t="b">
        <v>1</v>
      </c>
      <c r="Z23" s="56" t="b">
        <v>0</v>
      </c>
      <c r="AA23" s="56" t="b">
        <v>0</v>
      </c>
      <c r="AB23" s="56" t="b">
        <v>0</v>
      </c>
      <c r="AC23" s="56" t="b">
        <v>0</v>
      </c>
      <c r="AD23" s="56" t="b">
        <v>0</v>
      </c>
      <c r="AE23" s="56" t="b">
        <v>0</v>
      </c>
      <c r="AF23" s="17" t="b">
        <v>0</v>
      </c>
      <c r="AG23" s="52" t="b">
        <v>0</v>
      </c>
      <c r="AH23" s="52" t="b">
        <v>0</v>
      </c>
      <c r="AI23" s="52" t="b">
        <v>1</v>
      </c>
    </row>
    <row r="24" spans="1:35" x14ac:dyDescent="0.35">
      <c r="A24" s="8">
        <f t="shared" si="0"/>
        <v>13</v>
      </c>
      <c r="B24" s="8" t="s">
        <v>303</v>
      </c>
      <c r="C24" s="11" t="s">
        <v>293</v>
      </c>
      <c r="D24" s="52" t="s">
        <v>179</v>
      </c>
      <c r="E24" s="142" t="s">
        <v>276</v>
      </c>
      <c r="F24" s="11" t="s">
        <v>86</v>
      </c>
      <c r="G24" s="11" t="s">
        <v>220</v>
      </c>
      <c r="H24" s="28" t="s">
        <v>171</v>
      </c>
      <c r="I24" s="11">
        <v>2019</v>
      </c>
      <c r="J24" s="11" t="s">
        <v>68</v>
      </c>
      <c r="K24" s="11">
        <v>0</v>
      </c>
      <c r="L24" s="11">
        <v>0</v>
      </c>
      <c r="M24" s="11">
        <v>-1</v>
      </c>
      <c r="N24" s="11" t="s">
        <v>86</v>
      </c>
      <c r="O24" s="11">
        <v>0</v>
      </c>
      <c r="P24" s="11">
        <v>1</v>
      </c>
      <c r="Q24" s="11">
        <v>0</v>
      </c>
      <c r="R24" s="56" t="s">
        <v>161</v>
      </c>
      <c r="S24" s="56" t="s">
        <v>162</v>
      </c>
      <c r="T24" s="56" t="s">
        <v>304</v>
      </c>
      <c r="U24" s="16" t="b">
        <v>0</v>
      </c>
      <c r="V24" s="56" t="b">
        <v>1</v>
      </c>
      <c r="W24" s="56" t="b">
        <v>0</v>
      </c>
      <c r="X24" s="56" t="b">
        <v>0</v>
      </c>
      <c r="Y24" s="56" t="b">
        <v>1</v>
      </c>
      <c r="Z24" s="56" t="b">
        <v>0</v>
      </c>
      <c r="AA24" s="56" t="b">
        <v>0</v>
      </c>
      <c r="AB24" s="56" t="b">
        <v>0</v>
      </c>
      <c r="AC24" s="56" t="b">
        <v>0</v>
      </c>
      <c r="AD24" s="56" t="b">
        <v>0</v>
      </c>
      <c r="AE24" s="56" t="b">
        <v>0</v>
      </c>
      <c r="AF24" s="17" t="b">
        <v>0</v>
      </c>
      <c r="AG24" s="52" t="b">
        <v>0</v>
      </c>
      <c r="AH24" s="52" t="b">
        <v>0</v>
      </c>
      <c r="AI24" s="52" t="b">
        <v>1</v>
      </c>
    </row>
    <row r="25" spans="1:35" x14ac:dyDescent="0.35">
      <c r="A25" s="8">
        <f t="shared" si="0"/>
        <v>14</v>
      </c>
      <c r="B25" s="8" t="s">
        <v>303</v>
      </c>
      <c r="C25" s="11" t="s">
        <v>293</v>
      </c>
      <c r="D25" s="52" t="s">
        <v>180</v>
      </c>
      <c r="E25" s="142" t="s">
        <v>276</v>
      </c>
      <c r="F25" s="11" t="s">
        <v>86</v>
      </c>
      <c r="G25" s="11" t="s">
        <v>220</v>
      </c>
      <c r="H25" s="28" t="s">
        <v>171</v>
      </c>
      <c r="I25" s="11">
        <v>2019</v>
      </c>
      <c r="J25" s="11" t="s">
        <v>68</v>
      </c>
      <c r="K25" s="11">
        <v>0</v>
      </c>
      <c r="L25" s="11">
        <v>0</v>
      </c>
      <c r="M25" s="11">
        <v>-1</v>
      </c>
      <c r="N25" s="11" t="s">
        <v>86</v>
      </c>
      <c r="O25" s="11">
        <v>0</v>
      </c>
      <c r="P25" s="11">
        <v>1</v>
      </c>
      <c r="Q25" s="11">
        <v>0</v>
      </c>
      <c r="R25" s="56" t="s">
        <v>161</v>
      </c>
      <c r="S25" s="56" t="s">
        <v>162</v>
      </c>
      <c r="T25" s="56" t="s">
        <v>304</v>
      </c>
      <c r="U25" s="16" t="b">
        <v>0</v>
      </c>
      <c r="V25" s="56" t="b">
        <v>1</v>
      </c>
      <c r="W25" s="56" t="b">
        <v>0</v>
      </c>
      <c r="X25" s="56" t="b">
        <v>0</v>
      </c>
      <c r="Y25" s="56" t="b">
        <v>1</v>
      </c>
      <c r="Z25" s="56" t="b">
        <v>0</v>
      </c>
      <c r="AA25" s="56" t="b">
        <v>0</v>
      </c>
      <c r="AB25" s="56" t="b">
        <v>0</v>
      </c>
      <c r="AC25" s="56" t="b">
        <v>0</v>
      </c>
      <c r="AD25" s="56" t="b">
        <v>0</v>
      </c>
      <c r="AE25" s="56" t="b">
        <v>0</v>
      </c>
      <c r="AF25" s="17" t="b">
        <v>0</v>
      </c>
      <c r="AG25" s="52" t="b">
        <v>0</v>
      </c>
      <c r="AH25" s="52" t="b">
        <v>0</v>
      </c>
      <c r="AI25" s="52" t="b">
        <v>1</v>
      </c>
    </row>
    <row r="26" spans="1:35" x14ac:dyDescent="0.35">
      <c r="A26" s="8">
        <f t="shared" si="0"/>
        <v>15</v>
      </c>
      <c r="B26" s="8" t="s">
        <v>303</v>
      </c>
      <c r="C26" s="11" t="s">
        <v>293</v>
      </c>
      <c r="D26" s="52" t="s">
        <v>172</v>
      </c>
      <c r="E26" s="142" t="s">
        <v>276</v>
      </c>
      <c r="F26" s="11" t="s">
        <v>86</v>
      </c>
      <c r="G26" s="11" t="s">
        <v>220</v>
      </c>
      <c r="H26" s="28" t="s">
        <v>171</v>
      </c>
      <c r="I26" s="11">
        <v>2019</v>
      </c>
      <c r="J26" s="11" t="s">
        <v>68</v>
      </c>
      <c r="K26" s="11">
        <v>0</v>
      </c>
      <c r="L26" s="11">
        <v>0</v>
      </c>
      <c r="M26" s="11">
        <v>-1</v>
      </c>
      <c r="N26" s="11" t="s">
        <v>86</v>
      </c>
      <c r="O26" s="11">
        <v>0</v>
      </c>
      <c r="P26" s="11">
        <v>1</v>
      </c>
      <c r="Q26" s="11">
        <v>0</v>
      </c>
      <c r="R26" s="56" t="s">
        <v>161</v>
      </c>
      <c r="S26" s="56" t="s">
        <v>162</v>
      </c>
      <c r="T26" s="56" t="s">
        <v>304</v>
      </c>
      <c r="U26" s="16" t="b">
        <v>0</v>
      </c>
      <c r="V26" s="56" t="b">
        <v>1</v>
      </c>
      <c r="W26" s="56" t="b">
        <v>0</v>
      </c>
      <c r="X26" s="56" t="b">
        <v>0</v>
      </c>
      <c r="Y26" s="56" t="b">
        <v>1</v>
      </c>
      <c r="Z26" s="56" t="b">
        <v>0</v>
      </c>
      <c r="AA26" s="56" t="b">
        <v>0</v>
      </c>
      <c r="AB26" s="56" t="b">
        <v>0</v>
      </c>
      <c r="AC26" s="56" t="b">
        <v>0</v>
      </c>
      <c r="AD26" s="56" t="b">
        <v>0</v>
      </c>
      <c r="AE26" s="56" t="b">
        <v>0</v>
      </c>
      <c r="AF26" s="17" t="b">
        <v>0</v>
      </c>
      <c r="AG26" s="52" t="b">
        <v>0</v>
      </c>
      <c r="AH26" s="52" t="b">
        <v>0</v>
      </c>
      <c r="AI26" s="52" t="b">
        <v>1</v>
      </c>
    </row>
    <row r="27" spans="1:35" x14ac:dyDescent="0.35">
      <c r="A27" s="8">
        <f t="shared" si="0"/>
        <v>16</v>
      </c>
      <c r="B27" s="8" t="s">
        <v>303</v>
      </c>
      <c r="C27" s="11" t="s">
        <v>293</v>
      </c>
      <c r="D27" s="52" t="s">
        <v>179</v>
      </c>
      <c r="E27" s="142" t="s">
        <v>173</v>
      </c>
      <c r="F27" s="11" t="s">
        <v>86</v>
      </c>
      <c r="G27" s="11" t="s">
        <v>220</v>
      </c>
      <c r="H27" s="28" t="s">
        <v>171</v>
      </c>
      <c r="I27" s="11">
        <v>2019</v>
      </c>
      <c r="J27" s="11" t="s">
        <v>59</v>
      </c>
      <c r="K27" s="11">
        <v>0</v>
      </c>
      <c r="L27" s="11">
        <v>0</v>
      </c>
      <c r="M27" s="11">
        <v>-1</v>
      </c>
      <c r="N27" s="11" t="s">
        <v>86</v>
      </c>
      <c r="O27" s="11">
        <v>0</v>
      </c>
      <c r="P27" s="11">
        <v>1</v>
      </c>
      <c r="Q27" s="11">
        <v>0</v>
      </c>
      <c r="R27" s="56" t="s">
        <v>161</v>
      </c>
      <c r="S27" s="56" t="s">
        <v>162</v>
      </c>
      <c r="T27" s="56" t="s">
        <v>304</v>
      </c>
      <c r="U27" s="16" t="b">
        <v>0</v>
      </c>
      <c r="V27" s="56" t="b">
        <v>1</v>
      </c>
      <c r="W27" s="56" t="b">
        <v>0</v>
      </c>
      <c r="X27" s="56" t="b">
        <v>0</v>
      </c>
      <c r="Y27" s="56" t="b">
        <v>1</v>
      </c>
      <c r="Z27" s="56" t="b">
        <v>0</v>
      </c>
      <c r="AA27" s="56" t="b">
        <v>0</v>
      </c>
      <c r="AB27" s="56" t="b">
        <v>0</v>
      </c>
      <c r="AC27" s="56" t="b">
        <v>0</v>
      </c>
      <c r="AD27" s="56" t="b">
        <v>0</v>
      </c>
      <c r="AE27" s="56" t="b">
        <v>0</v>
      </c>
      <c r="AF27" s="17" t="b">
        <v>0</v>
      </c>
      <c r="AG27" s="52" t="b">
        <v>0</v>
      </c>
      <c r="AH27" s="52" t="b">
        <v>0</v>
      </c>
      <c r="AI27" s="52" t="b">
        <v>1</v>
      </c>
    </row>
    <row r="28" spans="1:35" x14ac:dyDescent="0.35">
      <c r="A28" s="8">
        <f t="shared" si="0"/>
        <v>17</v>
      </c>
      <c r="B28" s="8" t="s">
        <v>303</v>
      </c>
      <c r="C28" s="11" t="s">
        <v>293</v>
      </c>
      <c r="D28" s="52" t="s">
        <v>180</v>
      </c>
      <c r="E28" s="142" t="s">
        <v>173</v>
      </c>
      <c r="F28" s="11" t="s">
        <v>86</v>
      </c>
      <c r="G28" s="11" t="s">
        <v>220</v>
      </c>
      <c r="H28" s="28" t="s">
        <v>171</v>
      </c>
      <c r="I28" s="11">
        <v>2019</v>
      </c>
      <c r="J28" s="11" t="s">
        <v>59</v>
      </c>
      <c r="K28" s="11">
        <v>0</v>
      </c>
      <c r="L28" s="11">
        <v>0</v>
      </c>
      <c r="M28" s="11">
        <v>-1</v>
      </c>
      <c r="N28" s="11" t="s">
        <v>86</v>
      </c>
      <c r="O28" s="11">
        <v>0</v>
      </c>
      <c r="P28" s="11">
        <v>1</v>
      </c>
      <c r="Q28" s="11">
        <v>0</v>
      </c>
      <c r="R28" s="56" t="s">
        <v>161</v>
      </c>
      <c r="S28" s="56" t="s">
        <v>162</v>
      </c>
      <c r="T28" s="56" t="s">
        <v>304</v>
      </c>
      <c r="U28" s="16" t="b">
        <v>0</v>
      </c>
      <c r="V28" s="56" t="b">
        <v>1</v>
      </c>
      <c r="W28" s="56" t="b">
        <v>0</v>
      </c>
      <c r="X28" s="56" t="b">
        <v>0</v>
      </c>
      <c r="Y28" s="56" t="b">
        <v>1</v>
      </c>
      <c r="Z28" s="56" t="b">
        <v>0</v>
      </c>
      <c r="AA28" s="56" t="b">
        <v>0</v>
      </c>
      <c r="AB28" s="56" t="b">
        <v>0</v>
      </c>
      <c r="AC28" s="56" t="b">
        <v>0</v>
      </c>
      <c r="AD28" s="56" t="b">
        <v>0</v>
      </c>
      <c r="AE28" s="56" t="b">
        <v>0</v>
      </c>
      <c r="AF28" s="17" t="b">
        <v>0</v>
      </c>
      <c r="AG28" s="52" t="b">
        <v>0</v>
      </c>
      <c r="AH28" s="52" t="b">
        <v>0</v>
      </c>
      <c r="AI28" s="52" t="b">
        <v>1</v>
      </c>
    </row>
    <row r="29" spans="1:35" x14ac:dyDescent="0.35">
      <c r="A29" s="8">
        <f t="shared" si="0"/>
        <v>18</v>
      </c>
      <c r="B29" s="8" t="s">
        <v>303</v>
      </c>
      <c r="C29" s="11" t="s">
        <v>293</v>
      </c>
      <c r="D29" s="52" t="s">
        <v>172</v>
      </c>
      <c r="E29" s="142" t="s">
        <v>173</v>
      </c>
      <c r="F29" s="11" t="s">
        <v>86</v>
      </c>
      <c r="G29" s="11" t="s">
        <v>220</v>
      </c>
      <c r="H29" s="28" t="s">
        <v>171</v>
      </c>
      <c r="I29" s="11">
        <v>2019</v>
      </c>
      <c r="J29" s="11" t="s">
        <v>59</v>
      </c>
      <c r="K29" s="11">
        <v>0</v>
      </c>
      <c r="L29" s="11">
        <v>0</v>
      </c>
      <c r="M29" s="11">
        <v>-1</v>
      </c>
      <c r="N29" s="11" t="s">
        <v>86</v>
      </c>
      <c r="O29" s="11">
        <v>0</v>
      </c>
      <c r="P29" s="11">
        <v>1</v>
      </c>
      <c r="Q29" s="11">
        <v>0</v>
      </c>
      <c r="R29" s="56" t="s">
        <v>161</v>
      </c>
      <c r="S29" s="56" t="s">
        <v>162</v>
      </c>
      <c r="T29" s="56" t="s">
        <v>304</v>
      </c>
      <c r="U29" s="16" t="b">
        <v>0</v>
      </c>
      <c r="V29" s="56" t="b">
        <v>1</v>
      </c>
      <c r="W29" s="56" t="b">
        <v>0</v>
      </c>
      <c r="X29" s="56" t="b">
        <v>0</v>
      </c>
      <c r="Y29" s="56" t="b">
        <v>1</v>
      </c>
      <c r="Z29" s="56" t="b">
        <v>0</v>
      </c>
      <c r="AA29" s="56" t="b">
        <v>0</v>
      </c>
      <c r="AB29" s="56" t="b">
        <v>0</v>
      </c>
      <c r="AC29" s="56" t="b">
        <v>0</v>
      </c>
      <c r="AD29" s="56" t="b">
        <v>0</v>
      </c>
      <c r="AE29" s="56" t="b">
        <v>0</v>
      </c>
      <c r="AF29" s="17" t="b">
        <v>0</v>
      </c>
      <c r="AG29" s="52" t="b">
        <v>0</v>
      </c>
      <c r="AH29" s="52" t="b">
        <v>0</v>
      </c>
      <c r="AI29" s="52" t="b">
        <v>1</v>
      </c>
    </row>
    <row r="30" spans="1:35" x14ac:dyDescent="0.35">
      <c r="A30" s="8">
        <f t="shared" si="0"/>
        <v>19</v>
      </c>
      <c r="B30" s="8" t="s">
        <v>303</v>
      </c>
      <c r="C30" s="11" t="s">
        <v>293</v>
      </c>
      <c r="D30" s="52" t="s">
        <v>179</v>
      </c>
      <c r="E30" s="142" t="s">
        <v>173</v>
      </c>
      <c r="F30" s="11" t="s">
        <v>86</v>
      </c>
      <c r="G30" s="11" t="s">
        <v>220</v>
      </c>
      <c r="H30" s="28" t="s">
        <v>171</v>
      </c>
      <c r="I30" s="11">
        <v>2019</v>
      </c>
      <c r="J30" s="11" t="s">
        <v>68</v>
      </c>
      <c r="K30" s="11">
        <v>0</v>
      </c>
      <c r="L30" s="11">
        <v>0</v>
      </c>
      <c r="M30" s="11">
        <v>-1</v>
      </c>
      <c r="N30" s="11" t="s">
        <v>86</v>
      </c>
      <c r="O30" s="11">
        <v>0</v>
      </c>
      <c r="P30" s="11">
        <v>1</v>
      </c>
      <c r="Q30" s="11">
        <v>0</v>
      </c>
      <c r="R30" s="56" t="s">
        <v>161</v>
      </c>
      <c r="S30" s="56" t="s">
        <v>162</v>
      </c>
      <c r="T30" s="56" t="s">
        <v>304</v>
      </c>
      <c r="U30" s="16" t="b">
        <v>0</v>
      </c>
      <c r="V30" s="56" t="b">
        <v>1</v>
      </c>
      <c r="W30" s="56" t="b">
        <v>0</v>
      </c>
      <c r="X30" s="56" t="b">
        <v>0</v>
      </c>
      <c r="Y30" s="56" t="b">
        <v>1</v>
      </c>
      <c r="Z30" s="56" t="b">
        <v>0</v>
      </c>
      <c r="AA30" s="56" t="b">
        <v>0</v>
      </c>
      <c r="AB30" s="56" t="b">
        <v>0</v>
      </c>
      <c r="AC30" s="56" t="b">
        <v>0</v>
      </c>
      <c r="AD30" s="56" t="b">
        <v>0</v>
      </c>
      <c r="AE30" s="56" t="b">
        <v>0</v>
      </c>
      <c r="AF30" s="17" t="b">
        <v>0</v>
      </c>
      <c r="AG30" s="52" t="b">
        <v>0</v>
      </c>
      <c r="AH30" s="52" t="b">
        <v>0</v>
      </c>
      <c r="AI30" s="52" t="b">
        <v>1</v>
      </c>
    </row>
    <row r="31" spans="1:35" x14ac:dyDescent="0.35">
      <c r="A31" s="8">
        <f t="shared" si="0"/>
        <v>20</v>
      </c>
      <c r="B31" s="8" t="s">
        <v>303</v>
      </c>
      <c r="C31" s="11" t="s">
        <v>293</v>
      </c>
      <c r="D31" s="52" t="s">
        <v>180</v>
      </c>
      <c r="E31" s="142" t="s">
        <v>173</v>
      </c>
      <c r="F31" s="11" t="s">
        <v>86</v>
      </c>
      <c r="G31" s="11" t="s">
        <v>220</v>
      </c>
      <c r="H31" s="28" t="s">
        <v>171</v>
      </c>
      <c r="I31" s="11">
        <v>2019</v>
      </c>
      <c r="J31" s="11" t="s">
        <v>68</v>
      </c>
      <c r="K31" s="11">
        <v>0</v>
      </c>
      <c r="L31" s="11">
        <v>0</v>
      </c>
      <c r="M31" s="11">
        <v>-1</v>
      </c>
      <c r="N31" s="11" t="s">
        <v>86</v>
      </c>
      <c r="O31" s="11">
        <v>0</v>
      </c>
      <c r="P31" s="11">
        <v>1</v>
      </c>
      <c r="Q31" s="11">
        <v>0</v>
      </c>
      <c r="R31" s="56" t="s">
        <v>161</v>
      </c>
      <c r="S31" s="56" t="s">
        <v>162</v>
      </c>
      <c r="T31" s="56" t="s">
        <v>304</v>
      </c>
      <c r="U31" s="16" t="b">
        <v>0</v>
      </c>
      <c r="V31" s="56" t="b">
        <v>1</v>
      </c>
      <c r="W31" s="56" t="b">
        <v>0</v>
      </c>
      <c r="X31" s="56" t="b">
        <v>0</v>
      </c>
      <c r="Y31" s="56" t="b">
        <v>1</v>
      </c>
      <c r="Z31" s="56" t="b">
        <v>0</v>
      </c>
      <c r="AA31" s="56" t="b">
        <v>0</v>
      </c>
      <c r="AB31" s="56" t="b">
        <v>0</v>
      </c>
      <c r="AC31" s="56" t="b">
        <v>0</v>
      </c>
      <c r="AD31" s="56" t="b">
        <v>0</v>
      </c>
      <c r="AE31" s="56" t="b">
        <v>0</v>
      </c>
      <c r="AF31" s="17" t="b">
        <v>0</v>
      </c>
      <c r="AG31" s="52" t="b">
        <v>0</v>
      </c>
      <c r="AH31" s="52" t="b">
        <v>0</v>
      </c>
      <c r="AI31" s="52" t="b">
        <v>1</v>
      </c>
    </row>
    <row r="32" spans="1:35" x14ac:dyDescent="0.35">
      <c r="A32" s="8">
        <f t="shared" si="0"/>
        <v>21</v>
      </c>
      <c r="B32" s="8" t="s">
        <v>303</v>
      </c>
      <c r="C32" s="11" t="s">
        <v>293</v>
      </c>
      <c r="D32" s="52" t="s">
        <v>172</v>
      </c>
      <c r="E32" s="142" t="s">
        <v>173</v>
      </c>
      <c r="F32" s="11" t="s">
        <v>86</v>
      </c>
      <c r="G32" s="11" t="s">
        <v>220</v>
      </c>
      <c r="H32" s="28" t="s">
        <v>171</v>
      </c>
      <c r="I32" s="11">
        <v>2019</v>
      </c>
      <c r="J32" s="11" t="s">
        <v>68</v>
      </c>
      <c r="K32" s="11">
        <v>0</v>
      </c>
      <c r="L32" s="11">
        <v>0</v>
      </c>
      <c r="M32" s="11">
        <v>-1</v>
      </c>
      <c r="N32" s="11" t="s">
        <v>86</v>
      </c>
      <c r="O32" s="11">
        <v>0</v>
      </c>
      <c r="P32" s="11">
        <v>1</v>
      </c>
      <c r="Q32" s="11">
        <v>0</v>
      </c>
      <c r="R32" s="56" t="s">
        <v>161</v>
      </c>
      <c r="S32" s="56" t="s">
        <v>162</v>
      </c>
      <c r="T32" s="56" t="s">
        <v>304</v>
      </c>
      <c r="U32" s="16" t="b">
        <v>0</v>
      </c>
      <c r="V32" s="56" t="b">
        <v>1</v>
      </c>
      <c r="W32" s="56" t="b">
        <v>0</v>
      </c>
      <c r="X32" s="56" t="b">
        <v>0</v>
      </c>
      <c r="Y32" s="56" t="b">
        <v>1</v>
      </c>
      <c r="Z32" s="56" t="b">
        <v>0</v>
      </c>
      <c r="AA32" s="56" t="b">
        <v>0</v>
      </c>
      <c r="AB32" s="56" t="b">
        <v>0</v>
      </c>
      <c r="AC32" s="56" t="b">
        <v>0</v>
      </c>
      <c r="AD32" s="56" t="b">
        <v>0</v>
      </c>
      <c r="AE32" s="56" t="b">
        <v>0</v>
      </c>
      <c r="AF32" s="17" t="b">
        <v>0</v>
      </c>
      <c r="AG32" s="52" t="b">
        <v>0</v>
      </c>
      <c r="AH32" s="52" t="b">
        <v>0</v>
      </c>
      <c r="AI32" s="52" t="b">
        <v>1</v>
      </c>
    </row>
    <row r="33" spans="1:35" x14ac:dyDescent="0.35">
      <c r="A33" s="8">
        <f t="shared" si="0"/>
        <v>22</v>
      </c>
      <c r="B33" s="8" t="s">
        <v>292</v>
      </c>
      <c r="C33" s="11" t="s">
        <v>292</v>
      </c>
      <c r="D33" s="52" t="s">
        <v>179</v>
      </c>
      <c r="E33" s="142" t="s">
        <v>84</v>
      </c>
      <c r="F33" s="11" t="s">
        <v>86</v>
      </c>
      <c r="G33" s="11" t="s">
        <v>220</v>
      </c>
      <c r="H33" s="28" t="s">
        <v>171</v>
      </c>
      <c r="I33" s="11">
        <v>2019</v>
      </c>
      <c r="J33" s="11" t="s">
        <v>59</v>
      </c>
      <c r="K33" s="11">
        <v>0</v>
      </c>
      <c r="L33" s="11">
        <v>0</v>
      </c>
      <c r="M33" s="11">
        <v>-1</v>
      </c>
      <c r="N33" s="11" t="s">
        <v>86</v>
      </c>
      <c r="O33" s="11">
        <v>0</v>
      </c>
      <c r="P33" s="11">
        <v>1</v>
      </c>
      <c r="Q33" s="11">
        <v>0</v>
      </c>
      <c r="R33" s="56" t="s">
        <v>161</v>
      </c>
      <c r="S33" s="56" t="s">
        <v>162</v>
      </c>
      <c r="T33" s="56" t="s">
        <v>304</v>
      </c>
      <c r="U33" s="16" t="b">
        <v>0</v>
      </c>
      <c r="V33" s="56" t="b">
        <v>1</v>
      </c>
      <c r="W33" s="56" t="b">
        <v>0</v>
      </c>
      <c r="X33" s="56" t="b">
        <v>0</v>
      </c>
      <c r="Y33" s="56" t="b">
        <v>1</v>
      </c>
      <c r="Z33" s="56" t="b">
        <v>0</v>
      </c>
      <c r="AA33" s="56" t="b">
        <v>0</v>
      </c>
      <c r="AB33" s="56" t="b">
        <v>0</v>
      </c>
      <c r="AC33" s="56" t="b">
        <v>0</v>
      </c>
      <c r="AD33" s="56" t="b">
        <v>0</v>
      </c>
      <c r="AE33" s="56" t="b">
        <v>0</v>
      </c>
      <c r="AF33" s="17" t="b">
        <v>0</v>
      </c>
      <c r="AG33" s="52" t="b">
        <v>0</v>
      </c>
      <c r="AH33" s="52" t="b">
        <v>0</v>
      </c>
      <c r="AI33" s="52" t="b">
        <v>1</v>
      </c>
    </row>
    <row r="34" spans="1:35" x14ac:dyDescent="0.35">
      <c r="A34" s="8">
        <f t="shared" si="0"/>
        <v>23</v>
      </c>
      <c r="B34" s="8" t="s">
        <v>292</v>
      </c>
      <c r="C34" s="11" t="s">
        <v>292</v>
      </c>
      <c r="D34" s="52" t="s">
        <v>180</v>
      </c>
      <c r="E34" s="142" t="s">
        <v>84</v>
      </c>
      <c r="F34" s="11" t="s">
        <v>86</v>
      </c>
      <c r="G34" s="11" t="s">
        <v>220</v>
      </c>
      <c r="H34" s="28" t="s">
        <v>171</v>
      </c>
      <c r="I34" s="11">
        <v>2019</v>
      </c>
      <c r="J34" s="11" t="s">
        <v>59</v>
      </c>
      <c r="K34" s="11">
        <v>0</v>
      </c>
      <c r="L34" s="11">
        <v>0</v>
      </c>
      <c r="M34" s="11">
        <v>-1</v>
      </c>
      <c r="N34" s="11" t="s">
        <v>86</v>
      </c>
      <c r="O34" s="11">
        <v>0</v>
      </c>
      <c r="P34" s="11">
        <v>1</v>
      </c>
      <c r="Q34" s="11">
        <v>0</v>
      </c>
      <c r="R34" s="56" t="s">
        <v>161</v>
      </c>
      <c r="S34" s="56" t="s">
        <v>162</v>
      </c>
      <c r="T34" s="56" t="s">
        <v>304</v>
      </c>
      <c r="U34" s="16" t="b">
        <v>0</v>
      </c>
      <c r="V34" s="56" t="b">
        <v>1</v>
      </c>
      <c r="W34" s="56" t="b">
        <v>0</v>
      </c>
      <c r="X34" s="56" t="b">
        <v>0</v>
      </c>
      <c r="Y34" s="56" t="b">
        <v>1</v>
      </c>
      <c r="Z34" s="56" t="b">
        <v>0</v>
      </c>
      <c r="AA34" s="56" t="b">
        <v>0</v>
      </c>
      <c r="AB34" s="56" t="b">
        <v>0</v>
      </c>
      <c r="AC34" s="56" t="b">
        <v>0</v>
      </c>
      <c r="AD34" s="56" t="b">
        <v>0</v>
      </c>
      <c r="AE34" s="56" t="b">
        <v>0</v>
      </c>
      <c r="AF34" s="17" t="b">
        <v>0</v>
      </c>
      <c r="AG34" s="52" t="b">
        <v>0</v>
      </c>
      <c r="AH34" s="52" t="b">
        <v>0</v>
      </c>
      <c r="AI34" s="52" t="b">
        <v>1</v>
      </c>
    </row>
    <row r="35" spans="1:35" x14ac:dyDescent="0.35">
      <c r="A35" s="8">
        <f t="shared" si="0"/>
        <v>24</v>
      </c>
      <c r="B35" s="8" t="s">
        <v>292</v>
      </c>
      <c r="C35" s="11" t="s">
        <v>292</v>
      </c>
      <c r="D35" s="52" t="s">
        <v>172</v>
      </c>
      <c r="E35" s="142" t="s">
        <v>84</v>
      </c>
      <c r="F35" s="11" t="s">
        <v>86</v>
      </c>
      <c r="G35" s="11" t="s">
        <v>220</v>
      </c>
      <c r="H35" s="28" t="s">
        <v>171</v>
      </c>
      <c r="I35" s="11">
        <v>2019</v>
      </c>
      <c r="J35" s="11" t="s">
        <v>59</v>
      </c>
      <c r="K35" s="11">
        <v>0</v>
      </c>
      <c r="L35" s="11">
        <v>0</v>
      </c>
      <c r="M35" s="11">
        <v>-1</v>
      </c>
      <c r="N35" s="11" t="s">
        <v>86</v>
      </c>
      <c r="O35" s="11">
        <v>0</v>
      </c>
      <c r="P35" s="11">
        <v>1</v>
      </c>
      <c r="Q35" s="11">
        <v>0</v>
      </c>
      <c r="R35" s="56" t="s">
        <v>161</v>
      </c>
      <c r="S35" s="56" t="s">
        <v>162</v>
      </c>
      <c r="T35" s="56" t="s">
        <v>304</v>
      </c>
      <c r="U35" s="16" t="b">
        <v>0</v>
      </c>
      <c r="V35" s="56" t="b">
        <v>1</v>
      </c>
      <c r="W35" s="56" t="b">
        <v>0</v>
      </c>
      <c r="X35" s="56" t="b">
        <v>0</v>
      </c>
      <c r="Y35" s="56" t="b">
        <v>1</v>
      </c>
      <c r="Z35" s="56" t="b">
        <v>0</v>
      </c>
      <c r="AA35" s="56" t="b">
        <v>0</v>
      </c>
      <c r="AB35" s="56" t="b">
        <v>0</v>
      </c>
      <c r="AC35" s="56" t="b">
        <v>0</v>
      </c>
      <c r="AD35" s="56" t="b">
        <v>0</v>
      </c>
      <c r="AE35" s="56" t="b">
        <v>0</v>
      </c>
      <c r="AF35" s="17" t="b">
        <v>0</v>
      </c>
      <c r="AG35" s="52" t="b">
        <v>0</v>
      </c>
      <c r="AH35" s="52" t="b">
        <v>0</v>
      </c>
      <c r="AI35" s="52" t="b">
        <v>1</v>
      </c>
    </row>
    <row r="36" spans="1:35" x14ac:dyDescent="0.35">
      <c r="A36" s="8">
        <f t="shared" si="0"/>
        <v>25</v>
      </c>
      <c r="B36" s="8" t="s">
        <v>292</v>
      </c>
      <c r="C36" s="11" t="s">
        <v>292</v>
      </c>
      <c r="D36" s="52" t="s">
        <v>179</v>
      </c>
      <c r="E36" s="142" t="s">
        <v>84</v>
      </c>
      <c r="F36" s="11" t="s">
        <v>86</v>
      </c>
      <c r="G36" s="11" t="s">
        <v>220</v>
      </c>
      <c r="H36" s="28" t="s">
        <v>171</v>
      </c>
      <c r="I36" s="11">
        <v>2019</v>
      </c>
      <c r="J36" s="11" t="s">
        <v>68</v>
      </c>
      <c r="K36" s="11">
        <v>0</v>
      </c>
      <c r="L36" s="11">
        <v>0</v>
      </c>
      <c r="M36" s="11">
        <v>-1</v>
      </c>
      <c r="N36" s="11" t="s">
        <v>86</v>
      </c>
      <c r="O36" s="11">
        <v>0</v>
      </c>
      <c r="P36" s="11">
        <v>1</v>
      </c>
      <c r="Q36" s="11">
        <v>0</v>
      </c>
      <c r="R36" s="56" t="s">
        <v>161</v>
      </c>
      <c r="S36" s="56" t="s">
        <v>162</v>
      </c>
      <c r="T36" s="56" t="s">
        <v>304</v>
      </c>
      <c r="U36" s="16" t="b">
        <v>0</v>
      </c>
      <c r="V36" s="56" t="b">
        <v>1</v>
      </c>
      <c r="W36" s="56" t="b">
        <v>0</v>
      </c>
      <c r="X36" s="56" t="b">
        <v>0</v>
      </c>
      <c r="Y36" s="56" t="b">
        <v>1</v>
      </c>
      <c r="Z36" s="56" t="b">
        <v>0</v>
      </c>
      <c r="AA36" s="56" t="b">
        <v>0</v>
      </c>
      <c r="AB36" s="56" t="b">
        <v>0</v>
      </c>
      <c r="AC36" s="56" t="b">
        <v>0</v>
      </c>
      <c r="AD36" s="56" t="b">
        <v>0</v>
      </c>
      <c r="AE36" s="56" t="b">
        <v>0</v>
      </c>
      <c r="AF36" s="17" t="b">
        <v>0</v>
      </c>
      <c r="AG36" s="52" t="b">
        <v>0</v>
      </c>
      <c r="AH36" s="52" t="b">
        <v>0</v>
      </c>
      <c r="AI36" s="52" t="b">
        <v>1</v>
      </c>
    </row>
    <row r="37" spans="1:35" x14ac:dyDescent="0.35">
      <c r="A37" s="8">
        <f t="shared" si="0"/>
        <v>26</v>
      </c>
      <c r="B37" s="8" t="s">
        <v>292</v>
      </c>
      <c r="C37" s="11" t="s">
        <v>292</v>
      </c>
      <c r="D37" s="52" t="s">
        <v>180</v>
      </c>
      <c r="E37" s="142" t="s">
        <v>84</v>
      </c>
      <c r="F37" s="11" t="s">
        <v>86</v>
      </c>
      <c r="G37" s="11" t="s">
        <v>220</v>
      </c>
      <c r="H37" s="28" t="s">
        <v>171</v>
      </c>
      <c r="I37" s="11">
        <v>2019</v>
      </c>
      <c r="J37" s="11" t="s">
        <v>68</v>
      </c>
      <c r="K37" s="11">
        <v>0</v>
      </c>
      <c r="L37" s="11">
        <v>0</v>
      </c>
      <c r="M37" s="11">
        <v>-1</v>
      </c>
      <c r="N37" s="11" t="s">
        <v>86</v>
      </c>
      <c r="O37" s="11">
        <v>0</v>
      </c>
      <c r="P37" s="11">
        <v>1</v>
      </c>
      <c r="Q37" s="11">
        <v>0</v>
      </c>
      <c r="R37" s="56" t="s">
        <v>161</v>
      </c>
      <c r="S37" s="56" t="s">
        <v>162</v>
      </c>
      <c r="T37" s="56" t="s">
        <v>304</v>
      </c>
      <c r="U37" s="16" t="b">
        <v>0</v>
      </c>
      <c r="V37" s="56" t="b">
        <v>1</v>
      </c>
      <c r="W37" s="56" t="b">
        <v>0</v>
      </c>
      <c r="X37" s="56" t="b">
        <v>0</v>
      </c>
      <c r="Y37" s="56" t="b">
        <v>1</v>
      </c>
      <c r="Z37" s="56" t="b">
        <v>0</v>
      </c>
      <c r="AA37" s="56" t="b">
        <v>0</v>
      </c>
      <c r="AB37" s="56" t="b">
        <v>0</v>
      </c>
      <c r="AC37" s="56" t="b">
        <v>0</v>
      </c>
      <c r="AD37" s="56" t="b">
        <v>0</v>
      </c>
      <c r="AE37" s="56" t="b">
        <v>0</v>
      </c>
      <c r="AF37" s="17" t="b">
        <v>0</v>
      </c>
      <c r="AG37" s="52" t="b">
        <v>0</v>
      </c>
      <c r="AH37" s="52" t="b">
        <v>0</v>
      </c>
      <c r="AI37" s="52" t="b">
        <v>1</v>
      </c>
    </row>
    <row r="38" spans="1:35" x14ac:dyDescent="0.35">
      <c r="A38" s="8">
        <f t="shared" si="0"/>
        <v>27</v>
      </c>
      <c r="B38" s="8" t="s">
        <v>292</v>
      </c>
      <c r="C38" s="11" t="s">
        <v>292</v>
      </c>
      <c r="D38" s="52" t="s">
        <v>172</v>
      </c>
      <c r="E38" s="142" t="s">
        <v>84</v>
      </c>
      <c r="F38" s="11" t="s">
        <v>86</v>
      </c>
      <c r="G38" s="11" t="s">
        <v>220</v>
      </c>
      <c r="H38" s="28" t="s">
        <v>171</v>
      </c>
      <c r="I38" s="11">
        <v>2019</v>
      </c>
      <c r="J38" s="11" t="s">
        <v>68</v>
      </c>
      <c r="K38" s="11">
        <v>0</v>
      </c>
      <c r="L38" s="11">
        <v>0</v>
      </c>
      <c r="M38" s="11">
        <v>-1</v>
      </c>
      <c r="N38" s="11" t="s">
        <v>86</v>
      </c>
      <c r="O38" s="11">
        <v>0</v>
      </c>
      <c r="P38" s="11">
        <v>1</v>
      </c>
      <c r="Q38" s="11">
        <v>0</v>
      </c>
      <c r="R38" s="56" t="s">
        <v>161</v>
      </c>
      <c r="S38" s="56" t="s">
        <v>162</v>
      </c>
      <c r="T38" s="56" t="s">
        <v>304</v>
      </c>
      <c r="U38" s="16" t="b">
        <v>0</v>
      </c>
      <c r="V38" s="56" t="b">
        <v>1</v>
      </c>
      <c r="W38" s="56" t="b">
        <v>0</v>
      </c>
      <c r="X38" s="56" t="b">
        <v>0</v>
      </c>
      <c r="Y38" s="56" t="b">
        <v>1</v>
      </c>
      <c r="Z38" s="56" t="b">
        <v>0</v>
      </c>
      <c r="AA38" s="56" t="b">
        <v>0</v>
      </c>
      <c r="AB38" s="56" t="b">
        <v>0</v>
      </c>
      <c r="AC38" s="56" t="b">
        <v>0</v>
      </c>
      <c r="AD38" s="56" t="b">
        <v>0</v>
      </c>
      <c r="AE38" s="56" t="b">
        <v>0</v>
      </c>
      <c r="AF38" s="17" t="b">
        <v>0</v>
      </c>
      <c r="AG38" s="52" t="b">
        <v>0</v>
      </c>
      <c r="AH38" s="52" t="b">
        <v>0</v>
      </c>
      <c r="AI38" s="52" t="b">
        <v>1</v>
      </c>
    </row>
    <row r="39" spans="1:35" x14ac:dyDescent="0.35">
      <c r="A39" s="8">
        <f t="shared" si="0"/>
        <v>28</v>
      </c>
      <c r="B39" s="8" t="s">
        <v>292</v>
      </c>
      <c r="C39" s="11" t="s">
        <v>292</v>
      </c>
      <c r="D39" s="52" t="s">
        <v>179</v>
      </c>
      <c r="E39" s="142" t="s">
        <v>67</v>
      </c>
      <c r="F39" s="11" t="s">
        <v>87</v>
      </c>
      <c r="G39" s="11" t="s">
        <v>220</v>
      </c>
      <c r="H39" s="28" t="s">
        <v>171</v>
      </c>
      <c r="I39" s="11">
        <v>2019</v>
      </c>
      <c r="J39" s="11" t="s">
        <v>59</v>
      </c>
      <c r="K39" s="11">
        <v>0</v>
      </c>
      <c r="L39" s="11">
        <v>0</v>
      </c>
      <c r="M39" s="11">
        <v>-1</v>
      </c>
      <c r="N39" s="11" t="s">
        <v>86</v>
      </c>
      <c r="O39" s="11">
        <v>0</v>
      </c>
      <c r="P39" s="11">
        <v>1</v>
      </c>
      <c r="Q39" s="11">
        <v>0</v>
      </c>
      <c r="R39" s="56" t="s">
        <v>161</v>
      </c>
      <c r="S39" s="56" t="s">
        <v>162</v>
      </c>
      <c r="T39" s="56" t="s">
        <v>304</v>
      </c>
      <c r="U39" s="16" t="b">
        <v>0</v>
      </c>
      <c r="V39" s="56" t="b">
        <v>1</v>
      </c>
      <c r="W39" s="56" t="b">
        <v>0</v>
      </c>
      <c r="X39" s="56" t="b">
        <v>0</v>
      </c>
      <c r="Y39" s="56" t="b">
        <v>1</v>
      </c>
      <c r="Z39" s="56" t="b">
        <v>0</v>
      </c>
      <c r="AA39" s="56" t="b">
        <v>0</v>
      </c>
      <c r="AB39" s="56" t="b">
        <v>0</v>
      </c>
      <c r="AC39" s="56" t="b">
        <v>0</v>
      </c>
      <c r="AD39" s="56" t="b">
        <v>0</v>
      </c>
      <c r="AE39" s="56" t="b">
        <v>0</v>
      </c>
      <c r="AF39" s="17" t="b">
        <v>0</v>
      </c>
      <c r="AG39" s="52" t="b">
        <v>0</v>
      </c>
      <c r="AH39" s="52" t="b">
        <v>0</v>
      </c>
      <c r="AI39" s="52" t="b">
        <v>1</v>
      </c>
    </row>
    <row r="40" spans="1:35" x14ac:dyDescent="0.35">
      <c r="A40" s="8">
        <f t="shared" si="0"/>
        <v>29</v>
      </c>
      <c r="B40" s="8" t="s">
        <v>292</v>
      </c>
      <c r="C40" s="11" t="s">
        <v>292</v>
      </c>
      <c r="D40" s="52" t="s">
        <v>180</v>
      </c>
      <c r="E40" s="142" t="s">
        <v>67</v>
      </c>
      <c r="F40" s="11" t="s">
        <v>87</v>
      </c>
      <c r="G40" s="11" t="s">
        <v>220</v>
      </c>
      <c r="H40" s="28" t="s">
        <v>171</v>
      </c>
      <c r="I40" s="11">
        <v>2019</v>
      </c>
      <c r="J40" s="11" t="s">
        <v>59</v>
      </c>
      <c r="K40" s="11">
        <v>0</v>
      </c>
      <c r="L40" s="11">
        <v>0</v>
      </c>
      <c r="M40" s="11">
        <v>-1</v>
      </c>
      <c r="N40" s="11" t="s">
        <v>86</v>
      </c>
      <c r="O40" s="11">
        <v>0</v>
      </c>
      <c r="P40" s="11">
        <v>1</v>
      </c>
      <c r="Q40" s="11">
        <v>0</v>
      </c>
      <c r="R40" s="56" t="s">
        <v>161</v>
      </c>
      <c r="S40" s="56" t="s">
        <v>162</v>
      </c>
      <c r="T40" s="56" t="s">
        <v>304</v>
      </c>
      <c r="U40" s="16" t="b">
        <v>0</v>
      </c>
      <c r="V40" s="56" t="b">
        <v>1</v>
      </c>
      <c r="W40" s="56" t="b">
        <v>0</v>
      </c>
      <c r="X40" s="56" t="b">
        <v>0</v>
      </c>
      <c r="Y40" s="56" t="b">
        <v>1</v>
      </c>
      <c r="Z40" s="56" t="b">
        <v>0</v>
      </c>
      <c r="AA40" s="56" t="b">
        <v>0</v>
      </c>
      <c r="AB40" s="56" t="b">
        <v>0</v>
      </c>
      <c r="AC40" s="56" t="b">
        <v>0</v>
      </c>
      <c r="AD40" s="56" t="b">
        <v>0</v>
      </c>
      <c r="AE40" s="56" t="b">
        <v>0</v>
      </c>
      <c r="AF40" s="17" t="b">
        <v>0</v>
      </c>
      <c r="AG40" s="52" t="b">
        <v>0</v>
      </c>
      <c r="AH40" s="52" t="b">
        <v>0</v>
      </c>
      <c r="AI40" s="52" t="b">
        <v>1</v>
      </c>
    </row>
    <row r="41" spans="1:35" x14ac:dyDescent="0.35">
      <c r="A41" s="8">
        <f t="shared" si="0"/>
        <v>30</v>
      </c>
      <c r="B41" s="8" t="s">
        <v>292</v>
      </c>
      <c r="C41" s="11" t="s">
        <v>292</v>
      </c>
      <c r="D41" s="52" t="s">
        <v>172</v>
      </c>
      <c r="E41" s="142" t="s">
        <v>67</v>
      </c>
      <c r="F41" s="11" t="s">
        <v>87</v>
      </c>
      <c r="G41" s="11" t="s">
        <v>220</v>
      </c>
      <c r="H41" s="28" t="s">
        <v>171</v>
      </c>
      <c r="I41" s="11">
        <v>2019</v>
      </c>
      <c r="J41" s="11" t="s">
        <v>59</v>
      </c>
      <c r="K41" s="11">
        <v>0</v>
      </c>
      <c r="L41" s="11">
        <v>0</v>
      </c>
      <c r="M41" s="11">
        <v>-1</v>
      </c>
      <c r="N41" s="11" t="s">
        <v>86</v>
      </c>
      <c r="O41" s="11">
        <v>0</v>
      </c>
      <c r="P41" s="11">
        <v>1</v>
      </c>
      <c r="Q41" s="11">
        <v>0</v>
      </c>
      <c r="R41" s="56" t="s">
        <v>161</v>
      </c>
      <c r="S41" s="56" t="s">
        <v>162</v>
      </c>
      <c r="T41" s="56" t="s">
        <v>304</v>
      </c>
      <c r="U41" s="16" t="b">
        <v>0</v>
      </c>
      <c r="V41" s="56" t="b">
        <v>1</v>
      </c>
      <c r="W41" s="56" t="b">
        <v>0</v>
      </c>
      <c r="X41" s="56" t="b">
        <v>0</v>
      </c>
      <c r="Y41" s="56" t="b">
        <v>1</v>
      </c>
      <c r="Z41" s="56" t="b">
        <v>0</v>
      </c>
      <c r="AA41" s="56" t="b">
        <v>0</v>
      </c>
      <c r="AB41" s="56" t="b">
        <v>0</v>
      </c>
      <c r="AC41" s="56" t="b">
        <v>0</v>
      </c>
      <c r="AD41" s="56" t="b">
        <v>0</v>
      </c>
      <c r="AE41" s="56" t="b">
        <v>0</v>
      </c>
      <c r="AF41" s="17" t="b">
        <v>0</v>
      </c>
      <c r="AG41" s="52" t="b">
        <v>0</v>
      </c>
      <c r="AH41" s="52" t="b">
        <v>0</v>
      </c>
      <c r="AI41" s="52" t="b">
        <v>1</v>
      </c>
    </row>
    <row r="42" spans="1:35" x14ac:dyDescent="0.35">
      <c r="A42" s="8">
        <f t="shared" si="0"/>
        <v>31</v>
      </c>
      <c r="B42" s="8" t="s">
        <v>292</v>
      </c>
      <c r="C42" s="11" t="s">
        <v>292</v>
      </c>
      <c r="D42" s="52" t="s">
        <v>179</v>
      </c>
      <c r="E42" s="142" t="s">
        <v>67</v>
      </c>
      <c r="F42" s="11" t="s">
        <v>87</v>
      </c>
      <c r="G42" s="11" t="s">
        <v>220</v>
      </c>
      <c r="H42" s="28" t="s">
        <v>171</v>
      </c>
      <c r="I42" s="11">
        <v>2019</v>
      </c>
      <c r="J42" s="11" t="s">
        <v>68</v>
      </c>
      <c r="K42" s="11">
        <v>0</v>
      </c>
      <c r="L42" s="11">
        <v>0</v>
      </c>
      <c r="M42" s="11">
        <v>-1</v>
      </c>
      <c r="N42" s="11" t="s">
        <v>86</v>
      </c>
      <c r="O42" s="11">
        <v>0</v>
      </c>
      <c r="P42" s="11">
        <v>1</v>
      </c>
      <c r="Q42" s="11">
        <v>0</v>
      </c>
      <c r="R42" s="56" t="s">
        <v>161</v>
      </c>
      <c r="S42" s="56" t="s">
        <v>162</v>
      </c>
      <c r="T42" s="56" t="s">
        <v>304</v>
      </c>
      <c r="U42" s="16" t="b">
        <v>0</v>
      </c>
      <c r="V42" s="56" t="b">
        <v>1</v>
      </c>
      <c r="W42" s="56" t="b">
        <v>0</v>
      </c>
      <c r="X42" s="56" t="b">
        <v>0</v>
      </c>
      <c r="Y42" s="56" t="b">
        <v>1</v>
      </c>
      <c r="Z42" s="56" t="b">
        <v>0</v>
      </c>
      <c r="AA42" s="56" t="b">
        <v>0</v>
      </c>
      <c r="AB42" s="56" t="b">
        <v>0</v>
      </c>
      <c r="AC42" s="56" t="b">
        <v>0</v>
      </c>
      <c r="AD42" s="56" t="b">
        <v>0</v>
      </c>
      <c r="AE42" s="56" t="b">
        <v>0</v>
      </c>
      <c r="AF42" s="17" t="b">
        <v>0</v>
      </c>
      <c r="AG42" s="52" t="b">
        <v>0</v>
      </c>
      <c r="AH42" s="52" t="b">
        <v>0</v>
      </c>
      <c r="AI42" s="52" t="b">
        <v>1</v>
      </c>
    </row>
    <row r="43" spans="1:35" x14ac:dyDescent="0.35">
      <c r="A43" s="8">
        <f t="shared" si="0"/>
        <v>32</v>
      </c>
      <c r="B43" s="8" t="s">
        <v>292</v>
      </c>
      <c r="C43" s="11" t="s">
        <v>292</v>
      </c>
      <c r="D43" s="52" t="s">
        <v>180</v>
      </c>
      <c r="E43" s="142" t="s">
        <v>67</v>
      </c>
      <c r="F43" s="11" t="s">
        <v>87</v>
      </c>
      <c r="G43" s="11" t="s">
        <v>220</v>
      </c>
      <c r="H43" s="28" t="s">
        <v>171</v>
      </c>
      <c r="I43" s="11">
        <v>2019</v>
      </c>
      <c r="J43" s="11" t="s">
        <v>68</v>
      </c>
      <c r="K43" s="11">
        <v>0</v>
      </c>
      <c r="L43" s="11">
        <v>0</v>
      </c>
      <c r="M43" s="11">
        <v>-1</v>
      </c>
      <c r="N43" s="11" t="s">
        <v>86</v>
      </c>
      <c r="O43" s="11">
        <v>0</v>
      </c>
      <c r="P43" s="11">
        <v>1</v>
      </c>
      <c r="Q43" s="11">
        <v>0</v>
      </c>
      <c r="R43" s="56" t="s">
        <v>161</v>
      </c>
      <c r="S43" s="56" t="s">
        <v>162</v>
      </c>
      <c r="T43" s="56" t="s">
        <v>304</v>
      </c>
      <c r="U43" s="16" t="b">
        <v>0</v>
      </c>
      <c r="V43" s="56" t="b">
        <v>1</v>
      </c>
      <c r="W43" s="56" t="b">
        <v>0</v>
      </c>
      <c r="X43" s="56" t="b">
        <v>0</v>
      </c>
      <c r="Y43" s="56" t="b">
        <v>1</v>
      </c>
      <c r="Z43" s="56" t="b">
        <v>0</v>
      </c>
      <c r="AA43" s="56" t="b">
        <v>0</v>
      </c>
      <c r="AB43" s="56" t="b">
        <v>0</v>
      </c>
      <c r="AC43" s="56" t="b">
        <v>0</v>
      </c>
      <c r="AD43" s="56" t="b">
        <v>0</v>
      </c>
      <c r="AE43" s="56" t="b">
        <v>0</v>
      </c>
      <c r="AF43" s="17" t="b">
        <v>0</v>
      </c>
      <c r="AG43" s="52" t="b">
        <v>0</v>
      </c>
      <c r="AH43" s="52" t="b">
        <v>0</v>
      </c>
      <c r="AI43" s="52" t="b">
        <v>1</v>
      </c>
    </row>
    <row r="44" spans="1:35" x14ac:dyDescent="0.35">
      <c r="A44" s="8">
        <f t="shared" si="0"/>
        <v>33</v>
      </c>
      <c r="B44" s="8" t="s">
        <v>292</v>
      </c>
      <c r="C44" s="11" t="s">
        <v>292</v>
      </c>
      <c r="D44" s="52" t="s">
        <v>172</v>
      </c>
      <c r="E44" s="142" t="s">
        <v>67</v>
      </c>
      <c r="F44" s="11" t="s">
        <v>87</v>
      </c>
      <c r="G44" s="11" t="s">
        <v>220</v>
      </c>
      <c r="H44" s="28" t="s">
        <v>171</v>
      </c>
      <c r="I44" s="11">
        <v>2019</v>
      </c>
      <c r="J44" s="11" t="s">
        <v>68</v>
      </c>
      <c r="K44" s="11">
        <v>0</v>
      </c>
      <c r="L44" s="11">
        <v>0</v>
      </c>
      <c r="M44" s="11">
        <v>-1</v>
      </c>
      <c r="N44" s="11" t="s">
        <v>86</v>
      </c>
      <c r="O44" s="11">
        <v>0</v>
      </c>
      <c r="P44" s="11">
        <v>1</v>
      </c>
      <c r="Q44" s="11">
        <v>0</v>
      </c>
      <c r="R44" s="56" t="s">
        <v>161</v>
      </c>
      <c r="S44" s="56" t="s">
        <v>162</v>
      </c>
      <c r="T44" s="56" t="s">
        <v>304</v>
      </c>
      <c r="U44" s="16" t="b">
        <v>0</v>
      </c>
      <c r="V44" s="56" t="b">
        <v>1</v>
      </c>
      <c r="W44" s="56" t="b">
        <v>0</v>
      </c>
      <c r="X44" s="56" t="b">
        <v>0</v>
      </c>
      <c r="Y44" s="56" t="b">
        <v>1</v>
      </c>
      <c r="Z44" s="56" t="b">
        <v>0</v>
      </c>
      <c r="AA44" s="56" t="b">
        <v>0</v>
      </c>
      <c r="AB44" s="56" t="b">
        <v>0</v>
      </c>
      <c r="AC44" s="56" t="b">
        <v>0</v>
      </c>
      <c r="AD44" s="56" t="b">
        <v>0</v>
      </c>
      <c r="AE44" s="56" t="b">
        <v>0</v>
      </c>
      <c r="AF44" s="17" t="b">
        <v>0</v>
      </c>
      <c r="AG44" s="52" t="b">
        <v>0</v>
      </c>
      <c r="AH44" s="52" t="b">
        <v>0</v>
      </c>
      <c r="AI44" s="52" t="b">
        <v>1</v>
      </c>
    </row>
    <row r="45" spans="1:35" x14ac:dyDescent="0.35">
      <c r="A45" s="8">
        <f t="shared" si="0"/>
        <v>34</v>
      </c>
      <c r="B45" s="8" t="s">
        <v>292</v>
      </c>
      <c r="C45" s="11" t="s">
        <v>292</v>
      </c>
      <c r="D45" s="52" t="s">
        <v>179</v>
      </c>
      <c r="E45" s="142" t="s">
        <v>276</v>
      </c>
      <c r="F45" s="11" t="s">
        <v>86</v>
      </c>
      <c r="G45" s="11" t="s">
        <v>220</v>
      </c>
      <c r="H45" s="28" t="s">
        <v>171</v>
      </c>
      <c r="I45" s="11">
        <v>2019</v>
      </c>
      <c r="J45" s="11" t="s">
        <v>68</v>
      </c>
      <c r="K45" s="11">
        <v>0</v>
      </c>
      <c r="L45" s="11">
        <v>0</v>
      </c>
      <c r="M45" s="11">
        <v>-1</v>
      </c>
      <c r="N45" s="11" t="s">
        <v>86</v>
      </c>
      <c r="O45" s="11">
        <v>0</v>
      </c>
      <c r="P45" s="11">
        <v>1</v>
      </c>
      <c r="Q45" s="11">
        <v>0</v>
      </c>
      <c r="R45" s="56" t="s">
        <v>161</v>
      </c>
      <c r="S45" s="56" t="s">
        <v>162</v>
      </c>
      <c r="T45" s="56" t="s">
        <v>304</v>
      </c>
      <c r="U45" s="16" t="b">
        <v>0</v>
      </c>
      <c r="V45" s="56" t="b">
        <v>1</v>
      </c>
      <c r="W45" s="56" t="b">
        <v>0</v>
      </c>
      <c r="X45" s="56" t="b">
        <v>0</v>
      </c>
      <c r="Y45" s="56" t="b">
        <v>1</v>
      </c>
      <c r="Z45" s="56" t="b">
        <v>0</v>
      </c>
      <c r="AA45" s="56" t="b">
        <v>0</v>
      </c>
      <c r="AB45" s="56" t="b">
        <v>0</v>
      </c>
      <c r="AC45" s="56" t="b">
        <v>0</v>
      </c>
      <c r="AD45" s="56" t="b">
        <v>0</v>
      </c>
      <c r="AE45" s="56" t="b">
        <v>0</v>
      </c>
      <c r="AF45" s="17" t="b">
        <v>0</v>
      </c>
      <c r="AG45" s="52" t="b">
        <v>0</v>
      </c>
      <c r="AH45" s="52" t="b">
        <v>0</v>
      </c>
      <c r="AI45" s="52" t="b">
        <v>1</v>
      </c>
    </row>
    <row r="46" spans="1:35" x14ac:dyDescent="0.35">
      <c r="A46" s="8">
        <f t="shared" si="0"/>
        <v>35</v>
      </c>
      <c r="B46" s="8" t="s">
        <v>292</v>
      </c>
      <c r="C46" s="11" t="s">
        <v>292</v>
      </c>
      <c r="D46" s="52" t="s">
        <v>180</v>
      </c>
      <c r="E46" s="142" t="s">
        <v>276</v>
      </c>
      <c r="F46" s="11" t="s">
        <v>86</v>
      </c>
      <c r="G46" s="11" t="s">
        <v>220</v>
      </c>
      <c r="H46" s="28" t="s">
        <v>171</v>
      </c>
      <c r="I46" s="11">
        <v>2019</v>
      </c>
      <c r="J46" s="11" t="s">
        <v>68</v>
      </c>
      <c r="K46" s="11">
        <v>0</v>
      </c>
      <c r="L46" s="11">
        <v>0</v>
      </c>
      <c r="M46" s="11">
        <v>-1</v>
      </c>
      <c r="N46" s="11" t="s">
        <v>86</v>
      </c>
      <c r="O46" s="11">
        <v>0</v>
      </c>
      <c r="P46" s="11">
        <v>1</v>
      </c>
      <c r="Q46" s="11">
        <v>0</v>
      </c>
      <c r="R46" s="56" t="s">
        <v>161</v>
      </c>
      <c r="S46" s="56" t="s">
        <v>162</v>
      </c>
      <c r="T46" s="56" t="s">
        <v>304</v>
      </c>
      <c r="U46" s="16" t="b">
        <v>0</v>
      </c>
      <c r="V46" s="56" t="b">
        <v>1</v>
      </c>
      <c r="W46" s="56" t="b">
        <v>0</v>
      </c>
      <c r="X46" s="56" t="b">
        <v>0</v>
      </c>
      <c r="Y46" s="56" t="b">
        <v>1</v>
      </c>
      <c r="Z46" s="56" t="b">
        <v>0</v>
      </c>
      <c r="AA46" s="56" t="b">
        <v>0</v>
      </c>
      <c r="AB46" s="56" t="b">
        <v>0</v>
      </c>
      <c r="AC46" s="56" t="b">
        <v>0</v>
      </c>
      <c r="AD46" s="56" t="b">
        <v>0</v>
      </c>
      <c r="AE46" s="56" t="b">
        <v>0</v>
      </c>
      <c r="AF46" s="17" t="b">
        <v>0</v>
      </c>
      <c r="AG46" s="52" t="b">
        <v>0</v>
      </c>
      <c r="AH46" s="52" t="b">
        <v>0</v>
      </c>
      <c r="AI46" s="52" t="b">
        <v>1</v>
      </c>
    </row>
    <row r="47" spans="1:35" x14ac:dyDescent="0.35">
      <c r="A47" s="8">
        <f t="shared" si="0"/>
        <v>36</v>
      </c>
      <c r="B47" s="8" t="s">
        <v>292</v>
      </c>
      <c r="C47" s="11" t="s">
        <v>292</v>
      </c>
      <c r="D47" s="52" t="s">
        <v>172</v>
      </c>
      <c r="E47" s="142" t="s">
        <v>276</v>
      </c>
      <c r="F47" s="11" t="s">
        <v>86</v>
      </c>
      <c r="G47" s="11" t="s">
        <v>220</v>
      </c>
      <c r="H47" s="28" t="s">
        <v>171</v>
      </c>
      <c r="I47" s="11">
        <v>2019</v>
      </c>
      <c r="J47" s="11" t="s">
        <v>68</v>
      </c>
      <c r="K47" s="11">
        <v>0</v>
      </c>
      <c r="L47" s="11">
        <v>0</v>
      </c>
      <c r="M47" s="11">
        <v>-1</v>
      </c>
      <c r="N47" s="11" t="s">
        <v>86</v>
      </c>
      <c r="O47" s="11">
        <v>0</v>
      </c>
      <c r="P47" s="11">
        <v>1</v>
      </c>
      <c r="Q47" s="11">
        <v>0</v>
      </c>
      <c r="R47" s="56" t="s">
        <v>161</v>
      </c>
      <c r="S47" s="56" t="s">
        <v>162</v>
      </c>
      <c r="T47" s="56" t="s">
        <v>304</v>
      </c>
      <c r="U47" s="16" t="b">
        <v>0</v>
      </c>
      <c r="V47" s="56" t="b">
        <v>1</v>
      </c>
      <c r="W47" s="56" t="b">
        <v>0</v>
      </c>
      <c r="X47" s="56" t="b">
        <v>0</v>
      </c>
      <c r="Y47" s="56" t="b">
        <v>1</v>
      </c>
      <c r="Z47" s="56" t="b">
        <v>0</v>
      </c>
      <c r="AA47" s="56" t="b">
        <v>0</v>
      </c>
      <c r="AB47" s="56" t="b">
        <v>0</v>
      </c>
      <c r="AC47" s="56" t="b">
        <v>0</v>
      </c>
      <c r="AD47" s="56" t="b">
        <v>0</v>
      </c>
      <c r="AE47" s="56" t="b">
        <v>0</v>
      </c>
      <c r="AF47" s="17" t="b">
        <v>0</v>
      </c>
      <c r="AG47" s="52" t="b">
        <v>0</v>
      </c>
      <c r="AH47" s="52" t="b">
        <v>0</v>
      </c>
      <c r="AI47" s="52" t="b">
        <v>1</v>
      </c>
    </row>
    <row r="48" spans="1:35" x14ac:dyDescent="0.35">
      <c r="A48" s="8">
        <f t="shared" si="0"/>
        <v>37</v>
      </c>
      <c r="B48" s="8" t="s">
        <v>292</v>
      </c>
      <c r="C48" s="11" t="s">
        <v>292</v>
      </c>
      <c r="D48" s="52" t="s">
        <v>179</v>
      </c>
      <c r="E48" s="142" t="s">
        <v>173</v>
      </c>
      <c r="F48" s="11" t="s">
        <v>86</v>
      </c>
      <c r="G48" s="11" t="s">
        <v>220</v>
      </c>
      <c r="H48" s="28" t="s">
        <v>171</v>
      </c>
      <c r="I48" s="11">
        <v>2019</v>
      </c>
      <c r="J48" s="11" t="s">
        <v>59</v>
      </c>
      <c r="K48" s="11">
        <v>0</v>
      </c>
      <c r="L48" s="11">
        <v>0</v>
      </c>
      <c r="M48" s="11">
        <v>-1</v>
      </c>
      <c r="N48" s="11" t="s">
        <v>86</v>
      </c>
      <c r="O48" s="11">
        <v>0</v>
      </c>
      <c r="P48" s="11">
        <v>1</v>
      </c>
      <c r="Q48" s="11">
        <v>0</v>
      </c>
      <c r="R48" s="56" t="s">
        <v>161</v>
      </c>
      <c r="S48" s="56" t="s">
        <v>162</v>
      </c>
      <c r="T48" s="56" t="s">
        <v>304</v>
      </c>
      <c r="U48" s="16" t="b">
        <v>0</v>
      </c>
      <c r="V48" s="56" t="b">
        <v>1</v>
      </c>
      <c r="W48" s="56" t="b">
        <v>0</v>
      </c>
      <c r="X48" s="56" t="b">
        <v>0</v>
      </c>
      <c r="Y48" s="56" t="b">
        <v>1</v>
      </c>
      <c r="Z48" s="56" t="b">
        <v>0</v>
      </c>
      <c r="AA48" s="56" t="b">
        <v>0</v>
      </c>
      <c r="AB48" s="56" t="b">
        <v>0</v>
      </c>
      <c r="AC48" s="56" t="b">
        <v>0</v>
      </c>
      <c r="AD48" s="56" t="b">
        <v>0</v>
      </c>
      <c r="AE48" s="56" t="b">
        <v>0</v>
      </c>
      <c r="AF48" s="17" t="b">
        <v>0</v>
      </c>
      <c r="AG48" s="52" t="b">
        <v>0</v>
      </c>
      <c r="AH48" s="52" t="b">
        <v>0</v>
      </c>
      <c r="AI48" s="52" t="b">
        <v>1</v>
      </c>
    </row>
    <row r="49" spans="1:35" x14ac:dyDescent="0.35">
      <c r="A49" s="8">
        <f t="shared" si="0"/>
        <v>38</v>
      </c>
      <c r="B49" s="8" t="s">
        <v>292</v>
      </c>
      <c r="C49" s="11" t="s">
        <v>292</v>
      </c>
      <c r="D49" s="52" t="s">
        <v>180</v>
      </c>
      <c r="E49" s="142" t="s">
        <v>173</v>
      </c>
      <c r="F49" s="11" t="s">
        <v>86</v>
      </c>
      <c r="G49" s="11" t="s">
        <v>220</v>
      </c>
      <c r="H49" s="28" t="s">
        <v>171</v>
      </c>
      <c r="I49" s="11">
        <v>2019</v>
      </c>
      <c r="J49" s="11" t="s">
        <v>59</v>
      </c>
      <c r="K49" s="11">
        <v>0</v>
      </c>
      <c r="L49" s="11">
        <v>0</v>
      </c>
      <c r="M49" s="11">
        <v>-1</v>
      </c>
      <c r="N49" s="11" t="s">
        <v>86</v>
      </c>
      <c r="O49" s="11">
        <v>0</v>
      </c>
      <c r="P49" s="11">
        <v>1</v>
      </c>
      <c r="Q49" s="11">
        <v>0</v>
      </c>
      <c r="R49" s="56" t="s">
        <v>161</v>
      </c>
      <c r="S49" s="56" t="s">
        <v>162</v>
      </c>
      <c r="T49" s="56" t="s">
        <v>304</v>
      </c>
      <c r="U49" s="16" t="b">
        <v>0</v>
      </c>
      <c r="V49" s="56" t="b">
        <v>1</v>
      </c>
      <c r="W49" s="56" t="b">
        <v>0</v>
      </c>
      <c r="X49" s="56" t="b">
        <v>0</v>
      </c>
      <c r="Y49" s="56" t="b">
        <v>1</v>
      </c>
      <c r="Z49" s="56" t="b">
        <v>0</v>
      </c>
      <c r="AA49" s="56" t="b">
        <v>0</v>
      </c>
      <c r="AB49" s="56" t="b">
        <v>0</v>
      </c>
      <c r="AC49" s="56" t="b">
        <v>0</v>
      </c>
      <c r="AD49" s="56" t="b">
        <v>0</v>
      </c>
      <c r="AE49" s="56" t="b">
        <v>0</v>
      </c>
      <c r="AF49" s="17" t="b">
        <v>0</v>
      </c>
      <c r="AG49" s="52" t="b">
        <v>0</v>
      </c>
      <c r="AH49" s="52" t="b">
        <v>0</v>
      </c>
      <c r="AI49" s="52" t="b">
        <v>1</v>
      </c>
    </row>
    <row r="50" spans="1:35" x14ac:dyDescent="0.35">
      <c r="A50" s="8">
        <f t="shared" si="0"/>
        <v>39</v>
      </c>
      <c r="B50" s="8" t="s">
        <v>292</v>
      </c>
      <c r="C50" s="11" t="s">
        <v>292</v>
      </c>
      <c r="D50" s="52" t="s">
        <v>172</v>
      </c>
      <c r="E50" s="142" t="s">
        <v>173</v>
      </c>
      <c r="F50" s="11" t="s">
        <v>86</v>
      </c>
      <c r="G50" s="11" t="s">
        <v>220</v>
      </c>
      <c r="H50" s="28" t="s">
        <v>171</v>
      </c>
      <c r="I50" s="11">
        <v>2019</v>
      </c>
      <c r="J50" s="11" t="s">
        <v>59</v>
      </c>
      <c r="K50" s="11">
        <v>0</v>
      </c>
      <c r="L50" s="11">
        <v>0</v>
      </c>
      <c r="M50" s="11">
        <v>-1</v>
      </c>
      <c r="N50" s="11" t="s">
        <v>86</v>
      </c>
      <c r="O50" s="11">
        <v>0</v>
      </c>
      <c r="P50" s="11">
        <v>1</v>
      </c>
      <c r="Q50" s="11">
        <v>0</v>
      </c>
      <c r="R50" s="56" t="s">
        <v>161</v>
      </c>
      <c r="S50" s="56" t="s">
        <v>162</v>
      </c>
      <c r="T50" s="56" t="s">
        <v>304</v>
      </c>
      <c r="U50" s="16" t="b">
        <v>0</v>
      </c>
      <c r="V50" s="56" t="b">
        <v>1</v>
      </c>
      <c r="W50" s="56" t="b">
        <v>0</v>
      </c>
      <c r="X50" s="56" t="b">
        <v>0</v>
      </c>
      <c r="Y50" s="56" t="b">
        <v>1</v>
      </c>
      <c r="Z50" s="56" t="b">
        <v>0</v>
      </c>
      <c r="AA50" s="56" t="b">
        <v>0</v>
      </c>
      <c r="AB50" s="56" t="b">
        <v>0</v>
      </c>
      <c r="AC50" s="56" t="b">
        <v>0</v>
      </c>
      <c r="AD50" s="56" t="b">
        <v>0</v>
      </c>
      <c r="AE50" s="56" t="b">
        <v>0</v>
      </c>
      <c r="AF50" s="17" t="b">
        <v>0</v>
      </c>
      <c r="AG50" s="52" t="b">
        <v>0</v>
      </c>
      <c r="AH50" s="52" t="b">
        <v>0</v>
      </c>
      <c r="AI50" s="52" t="b">
        <v>1</v>
      </c>
    </row>
    <row r="51" spans="1:35" x14ac:dyDescent="0.35">
      <c r="A51" s="8">
        <f t="shared" si="0"/>
        <v>40</v>
      </c>
      <c r="B51" s="8" t="s">
        <v>292</v>
      </c>
      <c r="C51" s="11" t="s">
        <v>292</v>
      </c>
      <c r="D51" s="52" t="s">
        <v>179</v>
      </c>
      <c r="E51" s="142" t="s">
        <v>173</v>
      </c>
      <c r="F51" s="11" t="s">
        <v>86</v>
      </c>
      <c r="G51" s="11" t="s">
        <v>220</v>
      </c>
      <c r="H51" s="28" t="s">
        <v>171</v>
      </c>
      <c r="I51" s="11">
        <v>2019</v>
      </c>
      <c r="J51" s="11" t="s">
        <v>68</v>
      </c>
      <c r="K51" s="11">
        <v>0</v>
      </c>
      <c r="L51" s="11">
        <v>0</v>
      </c>
      <c r="M51" s="11">
        <v>-1</v>
      </c>
      <c r="N51" s="11" t="s">
        <v>86</v>
      </c>
      <c r="O51" s="11">
        <v>0</v>
      </c>
      <c r="P51" s="11">
        <v>1</v>
      </c>
      <c r="Q51" s="11">
        <v>0</v>
      </c>
      <c r="R51" s="56" t="s">
        <v>161</v>
      </c>
      <c r="S51" s="56" t="s">
        <v>162</v>
      </c>
      <c r="T51" s="56" t="s">
        <v>304</v>
      </c>
      <c r="U51" s="16" t="b">
        <v>0</v>
      </c>
      <c r="V51" s="56" t="b">
        <v>1</v>
      </c>
      <c r="W51" s="56" t="b">
        <v>0</v>
      </c>
      <c r="X51" s="56" t="b">
        <v>0</v>
      </c>
      <c r="Y51" s="56" t="b">
        <v>1</v>
      </c>
      <c r="Z51" s="56" t="b">
        <v>0</v>
      </c>
      <c r="AA51" s="56" t="b">
        <v>0</v>
      </c>
      <c r="AB51" s="56" t="b">
        <v>0</v>
      </c>
      <c r="AC51" s="56" t="b">
        <v>0</v>
      </c>
      <c r="AD51" s="56" t="b">
        <v>0</v>
      </c>
      <c r="AE51" s="56" t="b">
        <v>0</v>
      </c>
      <c r="AF51" s="17" t="b">
        <v>0</v>
      </c>
      <c r="AG51" s="52" t="b">
        <v>0</v>
      </c>
      <c r="AH51" s="52" t="b">
        <v>0</v>
      </c>
      <c r="AI51" s="52" t="b">
        <v>1</v>
      </c>
    </row>
    <row r="52" spans="1:35" x14ac:dyDescent="0.35">
      <c r="A52" s="8">
        <f t="shared" si="0"/>
        <v>41</v>
      </c>
      <c r="B52" s="8" t="s">
        <v>292</v>
      </c>
      <c r="C52" s="11" t="s">
        <v>292</v>
      </c>
      <c r="D52" s="52" t="s">
        <v>180</v>
      </c>
      <c r="E52" s="142" t="s">
        <v>173</v>
      </c>
      <c r="F52" s="11" t="s">
        <v>86</v>
      </c>
      <c r="G52" s="11" t="s">
        <v>220</v>
      </c>
      <c r="H52" s="28" t="s">
        <v>171</v>
      </c>
      <c r="I52" s="11">
        <v>2019</v>
      </c>
      <c r="J52" s="11" t="s">
        <v>68</v>
      </c>
      <c r="K52" s="11">
        <v>0</v>
      </c>
      <c r="L52" s="11">
        <v>0</v>
      </c>
      <c r="M52" s="11">
        <v>-1</v>
      </c>
      <c r="N52" s="11" t="s">
        <v>86</v>
      </c>
      <c r="O52" s="11">
        <v>0</v>
      </c>
      <c r="P52" s="11">
        <v>1</v>
      </c>
      <c r="Q52" s="11">
        <v>0</v>
      </c>
      <c r="R52" s="56" t="s">
        <v>161</v>
      </c>
      <c r="S52" s="56" t="s">
        <v>162</v>
      </c>
      <c r="T52" s="56" t="s">
        <v>304</v>
      </c>
      <c r="U52" s="16" t="b">
        <v>0</v>
      </c>
      <c r="V52" s="56" t="b">
        <v>1</v>
      </c>
      <c r="W52" s="56" t="b">
        <v>0</v>
      </c>
      <c r="X52" s="56" t="b">
        <v>0</v>
      </c>
      <c r="Y52" s="56" t="b">
        <v>1</v>
      </c>
      <c r="Z52" s="56" t="b">
        <v>0</v>
      </c>
      <c r="AA52" s="56" t="b">
        <v>0</v>
      </c>
      <c r="AB52" s="56" t="b">
        <v>0</v>
      </c>
      <c r="AC52" s="56" t="b">
        <v>0</v>
      </c>
      <c r="AD52" s="56" t="b">
        <v>0</v>
      </c>
      <c r="AE52" s="56" t="b">
        <v>0</v>
      </c>
      <c r="AF52" s="17" t="b">
        <v>0</v>
      </c>
      <c r="AG52" s="52" t="b">
        <v>0</v>
      </c>
      <c r="AH52" s="52" t="b">
        <v>0</v>
      </c>
      <c r="AI52" s="52" t="b">
        <v>1</v>
      </c>
    </row>
    <row r="53" spans="1:35" x14ac:dyDescent="0.35">
      <c r="A53" s="8">
        <f t="shared" si="0"/>
        <v>42</v>
      </c>
      <c r="B53" s="8" t="s">
        <v>292</v>
      </c>
      <c r="C53" s="11" t="s">
        <v>292</v>
      </c>
      <c r="D53" s="52" t="s">
        <v>172</v>
      </c>
      <c r="E53" s="142" t="s">
        <v>173</v>
      </c>
      <c r="F53" s="11" t="s">
        <v>86</v>
      </c>
      <c r="G53" s="11" t="s">
        <v>220</v>
      </c>
      <c r="H53" s="28" t="s">
        <v>171</v>
      </c>
      <c r="I53" s="11">
        <v>2019</v>
      </c>
      <c r="J53" s="11" t="s">
        <v>68</v>
      </c>
      <c r="K53" s="11">
        <v>0</v>
      </c>
      <c r="L53" s="11">
        <v>0</v>
      </c>
      <c r="M53" s="11">
        <v>-1</v>
      </c>
      <c r="N53" s="11" t="s">
        <v>86</v>
      </c>
      <c r="O53" s="11">
        <v>0</v>
      </c>
      <c r="P53" s="11">
        <v>1</v>
      </c>
      <c r="Q53" s="11">
        <v>0</v>
      </c>
      <c r="R53" s="56" t="s">
        <v>161</v>
      </c>
      <c r="S53" s="56" t="s">
        <v>162</v>
      </c>
      <c r="T53" s="56" t="s">
        <v>304</v>
      </c>
      <c r="U53" s="16" t="b">
        <v>0</v>
      </c>
      <c r="V53" s="56" t="b">
        <v>1</v>
      </c>
      <c r="W53" s="56" t="b">
        <v>0</v>
      </c>
      <c r="X53" s="56" t="b">
        <v>0</v>
      </c>
      <c r="Y53" s="56" t="b">
        <v>1</v>
      </c>
      <c r="Z53" s="56" t="b">
        <v>0</v>
      </c>
      <c r="AA53" s="56" t="b">
        <v>0</v>
      </c>
      <c r="AB53" s="56" t="b">
        <v>0</v>
      </c>
      <c r="AC53" s="56" t="b">
        <v>0</v>
      </c>
      <c r="AD53" s="56" t="b">
        <v>0</v>
      </c>
      <c r="AE53" s="56" t="b">
        <v>0</v>
      </c>
      <c r="AF53" s="17" t="b">
        <v>0</v>
      </c>
      <c r="AG53" s="52" t="b">
        <v>0</v>
      </c>
      <c r="AH53" s="52" t="b">
        <v>0</v>
      </c>
      <c r="AI53" s="52" t="b">
        <v>1</v>
      </c>
    </row>
    <row r="54" spans="1:35" s="11" customFormat="1" x14ac:dyDescent="0.35">
      <c r="A54" s="8"/>
      <c r="B54" s="8"/>
      <c r="D54" s="52"/>
      <c r="E54" s="10"/>
      <c r="H54" s="28"/>
      <c r="R54" s="56"/>
      <c r="S54" s="56"/>
      <c r="T54" s="56"/>
      <c r="U54" s="16"/>
      <c r="V54" s="56"/>
      <c r="W54" s="56"/>
      <c r="X54" s="56"/>
      <c r="Y54" s="56"/>
      <c r="Z54" s="56"/>
      <c r="AA54" s="56"/>
      <c r="AB54" s="56"/>
      <c r="AC54" s="56"/>
      <c r="AD54" s="56"/>
      <c r="AE54" s="56"/>
      <c r="AF54" s="17"/>
      <c r="AG54" s="52"/>
      <c r="AH54" s="52"/>
      <c r="AI54" s="52"/>
    </row>
    <row r="55" spans="1:35" s="11" customFormat="1" x14ac:dyDescent="0.35">
      <c r="A55" s="8"/>
      <c r="B55" s="8"/>
      <c r="D55" s="52"/>
      <c r="E55" s="10"/>
      <c r="H55" s="28"/>
      <c r="R55" s="56"/>
      <c r="S55" s="56"/>
      <c r="T55" s="56"/>
      <c r="U55" s="16"/>
      <c r="V55" s="56"/>
      <c r="W55" s="56"/>
      <c r="X55" s="56"/>
      <c r="Y55" s="56"/>
      <c r="Z55" s="56"/>
      <c r="AA55" s="56"/>
      <c r="AB55" s="56"/>
      <c r="AC55" s="56"/>
      <c r="AD55" s="56"/>
      <c r="AE55" s="56"/>
      <c r="AF55" s="17"/>
      <c r="AG55" s="52"/>
      <c r="AH55" s="52"/>
      <c r="AI55" s="52"/>
    </row>
    <row r="56" spans="1:35" s="11" customFormat="1" x14ac:dyDescent="0.35">
      <c r="A56" s="8"/>
      <c r="B56" s="8"/>
      <c r="D56" s="52"/>
      <c r="E56" s="10"/>
      <c r="H56" s="28"/>
      <c r="R56" s="56"/>
      <c r="S56" s="56"/>
      <c r="T56" s="56"/>
      <c r="U56" s="16"/>
      <c r="V56" s="56"/>
      <c r="W56" s="56"/>
      <c r="X56" s="56"/>
      <c r="Y56" s="56"/>
      <c r="Z56" s="56"/>
      <c r="AA56" s="56"/>
      <c r="AB56" s="56"/>
      <c r="AC56" s="56"/>
      <c r="AD56" s="56"/>
      <c r="AE56" s="56"/>
      <c r="AF56" s="17"/>
      <c r="AG56" s="52"/>
      <c r="AH56" s="52"/>
      <c r="AI56" s="52"/>
    </row>
    <row r="57" spans="1:35" s="11" customFormat="1" x14ac:dyDescent="0.35">
      <c r="A57" s="8"/>
      <c r="B57" s="8"/>
      <c r="D57" s="52"/>
      <c r="E57" s="10"/>
      <c r="H57" s="28"/>
      <c r="R57" s="56"/>
      <c r="S57" s="56"/>
      <c r="T57" s="56"/>
      <c r="U57" s="16"/>
      <c r="V57" s="56"/>
      <c r="W57" s="56"/>
      <c r="X57" s="56"/>
      <c r="Y57" s="56"/>
      <c r="Z57" s="56"/>
      <c r="AA57" s="56"/>
      <c r="AB57" s="56"/>
      <c r="AC57" s="56"/>
      <c r="AD57" s="56"/>
      <c r="AE57" s="56"/>
      <c r="AF57" s="17"/>
      <c r="AG57" s="52"/>
      <c r="AH57" s="52"/>
      <c r="AI57" s="52"/>
    </row>
    <row r="58" spans="1:35" s="11" customFormat="1" x14ac:dyDescent="0.35">
      <c r="A58" s="8"/>
      <c r="B58" s="8"/>
      <c r="D58" s="52"/>
      <c r="E58" s="10"/>
      <c r="H58" s="28"/>
      <c r="R58" s="56"/>
      <c r="S58" s="56"/>
      <c r="T58" s="56"/>
      <c r="U58" s="16"/>
      <c r="V58" s="56"/>
      <c r="W58" s="56"/>
      <c r="X58" s="56"/>
      <c r="Y58" s="56"/>
      <c r="Z58" s="56"/>
      <c r="AA58" s="56"/>
      <c r="AB58" s="56"/>
      <c r="AC58" s="56"/>
      <c r="AD58" s="56"/>
      <c r="AE58" s="56"/>
      <c r="AF58" s="17"/>
      <c r="AG58" s="52"/>
      <c r="AH58" s="52"/>
      <c r="AI58" s="52"/>
    </row>
    <row r="59" spans="1:35" s="11" customFormat="1" x14ac:dyDescent="0.35">
      <c r="A59" s="8"/>
      <c r="B59" s="8"/>
      <c r="D59" s="52"/>
      <c r="E59" s="10"/>
      <c r="H59" s="28"/>
      <c r="R59" s="56"/>
      <c r="S59" s="56"/>
      <c r="T59" s="56"/>
      <c r="U59" s="16"/>
      <c r="V59" s="56"/>
      <c r="W59" s="56"/>
      <c r="X59" s="56"/>
      <c r="Y59" s="56"/>
      <c r="Z59" s="56"/>
      <c r="AA59" s="56"/>
      <c r="AB59" s="56"/>
      <c r="AC59" s="56"/>
      <c r="AD59" s="56"/>
      <c r="AE59" s="56"/>
      <c r="AF59" s="17"/>
      <c r="AG59" s="52"/>
      <c r="AH59" s="52"/>
      <c r="AI59" s="52"/>
    </row>
    <row r="60" spans="1:35" s="11" customFormat="1" x14ac:dyDescent="0.35">
      <c r="A60" s="8"/>
      <c r="B60" s="8"/>
      <c r="D60" s="52"/>
      <c r="E60" s="10"/>
      <c r="H60" s="28"/>
      <c r="R60" s="56"/>
      <c r="S60" s="56"/>
      <c r="T60" s="56"/>
      <c r="U60" s="16"/>
      <c r="V60" s="56"/>
      <c r="W60" s="56"/>
      <c r="X60" s="56"/>
      <c r="Y60" s="56"/>
      <c r="Z60" s="56"/>
      <c r="AA60" s="56"/>
      <c r="AB60" s="56"/>
      <c r="AC60" s="56"/>
      <c r="AD60" s="56"/>
      <c r="AE60" s="56"/>
      <c r="AF60" s="17"/>
      <c r="AG60" s="52"/>
      <c r="AH60" s="52"/>
      <c r="AI60" s="52"/>
    </row>
    <row r="61" spans="1:35" s="11" customFormat="1" x14ac:dyDescent="0.35">
      <c r="A61" s="8"/>
      <c r="B61" s="8"/>
      <c r="D61" s="52"/>
      <c r="E61" s="10"/>
      <c r="H61" s="28"/>
      <c r="R61" s="56"/>
      <c r="S61" s="56"/>
      <c r="T61" s="56"/>
      <c r="U61" s="16"/>
      <c r="V61" s="56"/>
      <c r="W61" s="56"/>
      <c r="X61" s="56"/>
      <c r="Y61" s="56"/>
      <c r="Z61" s="56"/>
      <c r="AA61" s="56"/>
      <c r="AB61" s="56"/>
      <c r="AC61" s="56"/>
      <c r="AD61" s="56"/>
      <c r="AE61" s="56"/>
      <c r="AF61" s="17"/>
      <c r="AG61" s="52"/>
      <c r="AH61" s="52"/>
      <c r="AI61" s="52"/>
    </row>
    <row r="62" spans="1:35" s="11" customFormat="1" x14ac:dyDescent="0.35">
      <c r="A62" s="8"/>
      <c r="B62" s="8"/>
      <c r="D62" s="52"/>
      <c r="E62" s="10"/>
      <c r="H62" s="28"/>
      <c r="R62" s="56"/>
      <c r="S62" s="56"/>
      <c r="T62" s="56"/>
      <c r="U62" s="16"/>
      <c r="V62" s="56"/>
      <c r="W62" s="56"/>
      <c r="X62" s="56"/>
      <c r="Y62" s="56"/>
      <c r="Z62" s="56"/>
      <c r="AA62" s="56"/>
      <c r="AB62" s="56"/>
      <c r="AC62" s="56"/>
      <c r="AD62" s="56"/>
      <c r="AE62" s="56"/>
      <c r="AF62" s="17"/>
      <c r="AG62" s="52"/>
      <c r="AH62" s="52"/>
      <c r="AI62" s="52"/>
    </row>
    <row r="63" spans="1:35" s="11" customFormat="1" x14ac:dyDescent="0.35">
      <c r="A63" s="8"/>
      <c r="B63" s="8"/>
      <c r="D63" s="52"/>
      <c r="E63" s="10"/>
      <c r="H63" s="28"/>
      <c r="R63" s="56"/>
      <c r="S63" s="56"/>
      <c r="T63" s="56"/>
      <c r="U63" s="16"/>
      <c r="V63" s="56"/>
      <c r="W63" s="56"/>
      <c r="X63" s="56"/>
      <c r="Y63" s="56"/>
      <c r="Z63" s="56"/>
      <c r="AA63" s="56"/>
      <c r="AB63" s="56"/>
      <c r="AC63" s="56"/>
      <c r="AD63" s="56"/>
      <c r="AE63" s="56"/>
      <c r="AF63" s="17"/>
      <c r="AG63" s="52"/>
      <c r="AH63" s="52"/>
      <c r="AI63" s="52"/>
    </row>
    <row r="64" spans="1:35" s="11" customFormat="1" x14ac:dyDescent="0.35">
      <c r="A64" s="8"/>
      <c r="B64" s="8"/>
      <c r="D64" s="52"/>
      <c r="E64" s="10"/>
      <c r="H64" s="28"/>
      <c r="R64" s="56"/>
      <c r="S64" s="56"/>
      <c r="T64" s="56"/>
      <c r="U64" s="16"/>
      <c r="V64" s="56"/>
      <c r="W64" s="56"/>
      <c r="X64" s="56"/>
      <c r="Y64" s="56"/>
      <c r="Z64" s="56"/>
      <c r="AA64" s="56"/>
      <c r="AB64" s="56"/>
      <c r="AC64" s="56"/>
      <c r="AD64" s="56"/>
      <c r="AE64" s="56"/>
      <c r="AF64" s="17"/>
      <c r="AG64" s="52"/>
      <c r="AH64" s="52"/>
      <c r="AI64" s="52"/>
    </row>
    <row r="65" spans="1:35" s="11" customFormat="1" x14ac:dyDescent="0.35">
      <c r="A65" s="8"/>
      <c r="B65" s="8"/>
      <c r="D65" s="52"/>
      <c r="E65" s="10"/>
      <c r="H65" s="28"/>
      <c r="R65" s="56"/>
      <c r="S65" s="56"/>
      <c r="T65" s="56"/>
      <c r="U65" s="16"/>
      <c r="V65" s="56"/>
      <c r="W65" s="56"/>
      <c r="X65" s="56"/>
      <c r="Y65" s="56"/>
      <c r="Z65" s="56"/>
      <c r="AA65" s="56"/>
      <c r="AB65" s="56"/>
      <c r="AC65" s="56"/>
      <c r="AD65" s="56"/>
      <c r="AE65" s="56"/>
      <c r="AF65" s="17"/>
      <c r="AG65" s="52"/>
      <c r="AH65" s="52"/>
      <c r="AI65" s="52"/>
    </row>
    <row r="66" spans="1:35" s="11" customFormat="1" x14ac:dyDescent="0.35">
      <c r="A66" s="8"/>
      <c r="B66" s="8"/>
      <c r="D66" s="52"/>
      <c r="E66" s="10"/>
      <c r="H66" s="28"/>
      <c r="R66" s="56"/>
      <c r="S66" s="56"/>
      <c r="T66" s="56"/>
      <c r="U66" s="16"/>
      <c r="V66" s="56"/>
      <c r="W66" s="56"/>
      <c r="X66" s="56"/>
      <c r="Y66" s="56"/>
      <c r="Z66" s="56"/>
      <c r="AA66" s="56"/>
      <c r="AB66" s="56"/>
      <c r="AC66" s="56"/>
      <c r="AD66" s="56"/>
      <c r="AE66" s="56"/>
      <c r="AF66" s="17"/>
      <c r="AG66" s="52"/>
      <c r="AH66" s="52"/>
      <c r="AI66" s="52"/>
    </row>
    <row r="67" spans="1:35" s="11" customFormat="1" x14ac:dyDescent="0.35">
      <c r="A67" s="8"/>
      <c r="B67" s="8"/>
      <c r="D67" s="52"/>
      <c r="E67" s="10"/>
      <c r="H67" s="28"/>
      <c r="R67" s="56"/>
      <c r="S67" s="56"/>
      <c r="T67" s="56"/>
      <c r="U67" s="16"/>
      <c r="V67" s="56"/>
      <c r="W67" s="56"/>
      <c r="X67" s="56"/>
      <c r="Y67" s="56"/>
      <c r="Z67" s="56"/>
      <c r="AA67" s="56"/>
      <c r="AB67" s="56"/>
      <c r="AC67" s="56"/>
      <c r="AD67" s="56"/>
      <c r="AE67" s="56"/>
      <c r="AF67" s="17"/>
      <c r="AG67" s="52"/>
      <c r="AH67" s="52"/>
      <c r="AI67" s="52"/>
    </row>
    <row r="68" spans="1:35" s="11" customFormat="1" x14ac:dyDescent="0.35">
      <c r="A68" s="8"/>
      <c r="B68" s="8"/>
      <c r="D68" s="52"/>
      <c r="E68" s="10"/>
      <c r="H68" s="28"/>
      <c r="R68" s="56"/>
      <c r="S68" s="56"/>
      <c r="T68" s="56"/>
      <c r="U68" s="16"/>
      <c r="V68" s="56"/>
      <c r="W68" s="56"/>
      <c r="X68" s="56"/>
      <c r="Y68" s="56"/>
      <c r="Z68" s="56"/>
      <c r="AA68" s="56"/>
      <c r="AB68" s="56"/>
      <c r="AC68" s="56"/>
      <c r="AD68" s="56"/>
      <c r="AE68" s="56"/>
      <c r="AF68" s="17"/>
      <c r="AG68" s="52"/>
      <c r="AH68" s="52"/>
      <c r="AI68" s="52"/>
    </row>
    <row r="69" spans="1:35" s="11" customFormat="1" x14ac:dyDescent="0.35">
      <c r="A69" s="8"/>
      <c r="B69" s="8"/>
      <c r="D69" s="52"/>
      <c r="E69" s="10"/>
      <c r="H69" s="28"/>
      <c r="R69" s="56"/>
      <c r="S69" s="56"/>
      <c r="T69" s="56"/>
      <c r="U69" s="16"/>
      <c r="V69" s="56"/>
      <c r="W69" s="56"/>
      <c r="X69" s="56"/>
      <c r="Y69" s="56"/>
      <c r="Z69" s="56"/>
      <c r="AA69" s="56"/>
      <c r="AB69" s="56"/>
      <c r="AC69" s="56"/>
      <c r="AD69" s="56"/>
      <c r="AE69" s="56"/>
      <c r="AF69" s="17"/>
      <c r="AG69" s="52"/>
      <c r="AH69" s="52"/>
      <c r="AI69" s="52"/>
    </row>
    <row r="70" spans="1:35" s="11" customFormat="1" x14ac:dyDescent="0.35">
      <c r="A70" s="8"/>
      <c r="B70" s="8"/>
      <c r="D70" s="52"/>
      <c r="E70" s="10"/>
      <c r="H70" s="28"/>
      <c r="R70" s="56"/>
      <c r="S70" s="56"/>
      <c r="T70" s="56"/>
      <c r="U70" s="16"/>
      <c r="V70" s="56"/>
      <c r="W70" s="56"/>
      <c r="X70" s="56"/>
      <c r="Y70" s="56"/>
      <c r="Z70" s="56"/>
      <c r="AA70" s="56"/>
      <c r="AB70" s="56"/>
      <c r="AC70" s="56"/>
      <c r="AD70" s="56"/>
      <c r="AE70" s="56"/>
      <c r="AF70" s="17"/>
      <c r="AG70" s="52"/>
      <c r="AH70" s="52"/>
      <c r="AI70" s="52"/>
    </row>
    <row r="71" spans="1:35" s="11" customFormat="1" x14ac:dyDescent="0.35">
      <c r="A71" s="8"/>
      <c r="B71" s="8"/>
      <c r="D71" s="52"/>
      <c r="E71" s="10"/>
      <c r="H71" s="28"/>
      <c r="R71" s="56"/>
      <c r="S71" s="56"/>
      <c r="T71" s="56"/>
      <c r="U71" s="16"/>
      <c r="V71" s="56"/>
      <c r="W71" s="56"/>
      <c r="X71" s="56"/>
      <c r="Y71" s="56"/>
      <c r="Z71" s="56"/>
      <c r="AA71" s="56"/>
      <c r="AB71" s="56"/>
      <c r="AC71" s="56"/>
      <c r="AD71" s="56"/>
      <c r="AE71" s="56"/>
      <c r="AF71" s="17"/>
      <c r="AG71" s="52"/>
      <c r="AH71" s="52"/>
      <c r="AI71" s="52"/>
    </row>
    <row r="72" spans="1:35" s="11" customFormat="1" x14ac:dyDescent="0.35">
      <c r="A72" s="8"/>
      <c r="B72" s="8"/>
      <c r="D72" s="52"/>
      <c r="E72" s="10"/>
      <c r="H72" s="28"/>
      <c r="R72" s="56"/>
      <c r="S72" s="56"/>
      <c r="T72" s="56"/>
      <c r="U72" s="16"/>
      <c r="V72" s="56"/>
      <c r="W72" s="56"/>
      <c r="X72" s="56"/>
      <c r="Y72" s="56"/>
      <c r="Z72" s="56"/>
      <c r="AA72" s="56"/>
      <c r="AB72" s="56"/>
      <c r="AC72" s="56"/>
      <c r="AD72" s="56"/>
      <c r="AE72" s="56"/>
      <c r="AF72" s="17"/>
      <c r="AG72" s="52"/>
      <c r="AH72" s="52"/>
      <c r="AI72" s="52"/>
    </row>
    <row r="73" spans="1:35" s="11" customFormat="1" x14ac:dyDescent="0.35">
      <c r="A73" s="8"/>
      <c r="B73" s="8"/>
      <c r="D73" s="52"/>
      <c r="E73" s="10"/>
      <c r="H73" s="28"/>
      <c r="R73" s="56"/>
      <c r="S73" s="56"/>
      <c r="T73" s="56"/>
      <c r="U73" s="16"/>
      <c r="V73" s="56"/>
      <c r="W73" s="56"/>
      <c r="X73" s="56"/>
      <c r="Y73" s="56"/>
      <c r="Z73" s="56"/>
      <c r="AA73" s="56"/>
      <c r="AB73" s="56"/>
      <c r="AC73" s="56"/>
      <c r="AD73" s="56"/>
      <c r="AE73" s="56"/>
      <c r="AF73" s="17"/>
      <c r="AG73" s="52"/>
      <c r="AH73" s="52"/>
      <c r="AI73" s="52"/>
    </row>
    <row r="74" spans="1:35" s="11" customFormat="1" x14ac:dyDescent="0.35">
      <c r="A74" s="8"/>
      <c r="B74" s="8"/>
      <c r="D74" s="52"/>
      <c r="E74" s="10"/>
      <c r="H74" s="28"/>
      <c r="R74" s="56"/>
      <c r="S74" s="56"/>
      <c r="T74" s="56"/>
      <c r="U74" s="16"/>
      <c r="V74" s="56"/>
      <c r="W74" s="56"/>
      <c r="X74" s="56"/>
      <c r="Y74" s="56"/>
      <c r="Z74" s="56"/>
      <c r="AA74" s="56"/>
      <c r="AB74" s="56"/>
      <c r="AC74" s="56"/>
      <c r="AD74" s="56"/>
      <c r="AE74" s="56"/>
      <c r="AF74" s="17"/>
      <c r="AG74" s="52"/>
      <c r="AH74" s="52"/>
      <c r="AI74" s="52"/>
    </row>
    <row r="75" spans="1:35" s="11" customFormat="1" x14ac:dyDescent="0.35">
      <c r="A75" s="8"/>
      <c r="B75" s="8"/>
      <c r="D75" s="52"/>
      <c r="E75" s="10"/>
      <c r="H75" s="28"/>
      <c r="R75" s="56"/>
      <c r="S75" s="56"/>
      <c r="T75" s="56"/>
      <c r="U75" s="16"/>
      <c r="V75" s="56"/>
      <c r="W75" s="56"/>
      <c r="X75" s="56"/>
      <c r="Y75" s="56"/>
      <c r="Z75" s="56"/>
      <c r="AA75" s="56"/>
      <c r="AB75" s="56"/>
      <c r="AC75" s="56"/>
      <c r="AD75" s="56"/>
      <c r="AE75" s="56"/>
      <c r="AF75" s="17"/>
      <c r="AG75" s="52"/>
      <c r="AH75" s="52"/>
      <c r="AI75" s="52"/>
    </row>
    <row r="76" spans="1:35" s="11" customFormat="1" x14ac:dyDescent="0.35">
      <c r="A76" s="8"/>
      <c r="B76" s="8"/>
      <c r="D76" s="52"/>
      <c r="E76" s="10"/>
      <c r="H76" s="28"/>
      <c r="R76" s="56"/>
      <c r="S76" s="56"/>
      <c r="T76" s="56"/>
      <c r="U76" s="16"/>
      <c r="V76" s="56"/>
      <c r="W76" s="56"/>
      <c r="X76" s="56"/>
      <c r="Y76" s="56"/>
      <c r="Z76" s="56"/>
      <c r="AA76" s="56"/>
      <c r="AB76" s="56"/>
      <c r="AC76" s="56"/>
      <c r="AD76" s="56"/>
      <c r="AE76" s="56"/>
      <c r="AF76" s="17"/>
      <c r="AG76" s="52"/>
      <c r="AH76" s="52"/>
      <c r="AI76" s="52"/>
    </row>
    <row r="77" spans="1:35" s="11" customFormat="1" x14ac:dyDescent="0.35">
      <c r="A77" s="8"/>
      <c r="B77" s="8"/>
      <c r="D77" s="52"/>
      <c r="E77" s="10"/>
      <c r="H77" s="28"/>
      <c r="R77" s="56"/>
      <c r="S77" s="56"/>
      <c r="T77" s="56"/>
      <c r="U77" s="16"/>
      <c r="V77" s="56"/>
      <c r="W77" s="56"/>
      <c r="X77" s="56"/>
      <c r="Y77" s="56"/>
      <c r="Z77" s="56"/>
      <c r="AA77" s="56"/>
      <c r="AB77" s="56"/>
      <c r="AC77" s="56"/>
      <c r="AD77" s="56"/>
      <c r="AE77" s="56"/>
      <c r="AF77" s="17"/>
      <c r="AG77" s="52"/>
      <c r="AH77" s="52"/>
      <c r="AI77" s="52"/>
    </row>
    <row r="78" spans="1:35" s="11" customFormat="1" x14ac:dyDescent="0.35">
      <c r="A78" s="8"/>
      <c r="B78" s="8"/>
      <c r="D78" s="52"/>
      <c r="E78" s="10"/>
      <c r="H78" s="28"/>
      <c r="R78" s="56"/>
      <c r="S78" s="56"/>
      <c r="T78" s="56"/>
      <c r="U78" s="16"/>
      <c r="V78" s="56"/>
      <c r="W78" s="56"/>
      <c r="X78" s="56"/>
      <c r="Y78" s="56"/>
      <c r="Z78" s="56"/>
      <c r="AA78" s="56"/>
      <c r="AB78" s="56"/>
      <c r="AC78" s="56"/>
      <c r="AD78" s="56"/>
      <c r="AE78" s="56"/>
      <c r="AF78" s="17"/>
      <c r="AG78" s="52"/>
      <c r="AH78" s="52"/>
      <c r="AI78" s="52"/>
    </row>
    <row r="79" spans="1:35" s="11" customFormat="1" x14ac:dyDescent="0.35">
      <c r="A79" s="8"/>
      <c r="B79" s="8"/>
      <c r="D79" s="52"/>
      <c r="E79" s="10"/>
      <c r="H79" s="28"/>
      <c r="R79" s="56"/>
      <c r="S79" s="56"/>
      <c r="T79" s="56"/>
      <c r="U79" s="16"/>
      <c r="V79" s="56"/>
      <c r="W79" s="56"/>
      <c r="X79" s="56"/>
      <c r="Y79" s="56"/>
      <c r="Z79" s="56"/>
      <c r="AA79" s="56"/>
      <c r="AB79" s="56"/>
      <c r="AC79" s="56"/>
      <c r="AD79" s="56"/>
      <c r="AE79" s="56"/>
      <c r="AF79" s="17"/>
      <c r="AG79" s="52"/>
      <c r="AH79" s="52"/>
      <c r="AI79" s="52"/>
    </row>
    <row r="80" spans="1:35" s="11" customFormat="1" x14ac:dyDescent="0.35">
      <c r="A80" s="8"/>
      <c r="B80" s="8"/>
      <c r="D80" s="52"/>
      <c r="E80" s="10"/>
      <c r="H80" s="28"/>
      <c r="R80" s="56"/>
      <c r="S80" s="56"/>
      <c r="T80" s="56"/>
      <c r="U80" s="16"/>
      <c r="V80" s="56"/>
      <c r="W80" s="56"/>
      <c r="X80" s="56"/>
      <c r="Y80" s="56"/>
      <c r="Z80" s="56"/>
      <c r="AA80" s="56"/>
      <c r="AB80" s="56"/>
      <c r="AC80" s="56"/>
      <c r="AD80" s="56"/>
      <c r="AE80" s="56"/>
      <c r="AF80" s="17"/>
      <c r="AG80" s="52"/>
      <c r="AH80" s="52"/>
      <c r="AI80" s="52"/>
    </row>
    <row r="81" spans="1:35" s="11" customFormat="1" x14ac:dyDescent="0.35">
      <c r="A81" s="8"/>
      <c r="B81" s="8"/>
      <c r="D81" s="52"/>
      <c r="E81" s="10"/>
      <c r="H81" s="28"/>
      <c r="R81" s="56"/>
      <c r="S81" s="56"/>
      <c r="T81" s="56"/>
      <c r="U81" s="16"/>
      <c r="V81" s="56"/>
      <c r="W81" s="56"/>
      <c r="X81" s="56"/>
      <c r="Y81" s="56"/>
      <c r="Z81" s="56"/>
      <c r="AA81" s="56"/>
      <c r="AB81" s="56"/>
      <c r="AC81" s="56"/>
      <c r="AD81" s="56"/>
      <c r="AE81" s="56"/>
      <c r="AF81" s="17"/>
      <c r="AG81" s="52"/>
      <c r="AH81" s="52"/>
      <c r="AI81" s="52"/>
    </row>
    <row r="82" spans="1:35" s="11" customFormat="1" x14ac:dyDescent="0.35">
      <c r="A82" s="8"/>
      <c r="B82" s="8"/>
      <c r="D82" s="52"/>
      <c r="E82" s="10"/>
      <c r="H82" s="28"/>
      <c r="R82" s="56"/>
      <c r="S82" s="56"/>
      <c r="T82" s="56"/>
      <c r="U82" s="16"/>
      <c r="V82" s="56"/>
      <c r="W82" s="56"/>
      <c r="X82" s="56"/>
      <c r="Y82" s="56"/>
      <c r="Z82" s="56"/>
      <c r="AA82" s="56"/>
      <c r="AB82" s="56"/>
      <c r="AC82" s="56"/>
      <c r="AD82" s="56"/>
      <c r="AE82" s="56"/>
      <c r="AF82" s="17"/>
      <c r="AG82" s="52"/>
      <c r="AH82" s="52"/>
      <c r="AI82" s="52"/>
    </row>
    <row r="83" spans="1:35" s="11" customFormat="1" x14ac:dyDescent="0.35">
      <c r="A83" s="8"/>
      <c r="B83" s="8"/>
      <c r="D83" s="52"/>
      <c r="E83" s="10"/>
      <c r="H83" s="28"/>
      <c r="R83" s="56"/>
      <c r="S83" s="56"/>
      <c r="T83" s="56"/>
      <c r="U83" s="16"/>
      <c r="V83" s="56"/>
      <c r="W83" s="56"/>
      <c r="X83" s="56"/>
      <c r="Y83" s="56"/>
      <c r="Z83" s="56"/>
      <c r="AA83" s="56"/>
      <c r="AB83" s="56"/>
      <c r="AC83" s="56"/>
      <c r="AD83" s="56"/>
      <c r="AE83" s="56"/>
      <c r="AF83" s="17"/>
      <c r="AG83" s="52"/>
      <c r="AH83" s="52"/>
      <c r="AI83" s="52"/>
    </row>
    <row r="84" spans="1:35" s="11" customFormat="1" x14ac:dyDescent="0.35">
      <c r="A84" s="8"/>
      <c r="B84" s="8"/>
      <c r="D84" s="52"/>
      <c r="E84" s="10"/>
      <c r="H84" s="28"/>
      <c r="R84" s="56"/>
      <c r="S84" s="56"/>
      <c r="T84" s="56"/>
      <c r="U84" s="16"/>
      <c r="V84" s="56"/>
      <c r="W84" s="56"/>
      <c r="X84" s="56"/>
      <c r="Y84" s="56"/>
      <c r="Z84" s="56"/>
      <c r="AA84" s="56"/>
      <c r="AB84" s="56"/>
      <c r="AC84" s="56"/>
      <c r="AD84" s="56"/>
      <c r="AE84" s="56"/>
      <c r="AF84" s="17"/>
      <c r="AG84" s="52"/>
      <c r="AH84" s="52"/>
      <c r="AI84" s="52"/>
    </row>
    <row r="85" spans="1:35" s="11" customFormat="1" x14ac:dyDescent="0.35">
      <c r="A85" s="8"/>
      <c r="B85" s="8"/>
      <c r="D85" s="52"/>
      <c r="E85" s="10"/>
      <c r="H85" s="28"/>
      <c r="R85" s="56"/>
      <c r="S85" s="56"/>
      <c r="T85" s="56"/>
      <c r="U85" s="16"/>
      <c r="V85" s="56"/>
      <c r="W85" s="56"/>
      <c r="X85" s="56"/>
      <c r="Y85" s="56"/>
      <c r="Z85" s="56"/>
      <c r="AA85" s="56"/>
      <c r="AB85" s="56"/>
      <c r="AC85" s="56"/>
      <c r="AD85" s="56"/>
      <c r="AE85" s="56"/>
      <c r="AF85" s="17"/>
      <c r="AG85" s="52"/>
      <c r="AH85" s="52"/>
      <c r="AI85" s="52"/>
    </row>
    <row r="86" spans="1:35" s="11" customFormat="1" x14ac:dyDescent="0.35">
      <c r="A86" s="8"/>
      <c r="B86" s="8"/>
      <c r="D86" s="52"/>
      <c r="E86" s="10"/>
      <c r="H86" s="28"/>
      <c r="R86" s="56"/>
      <c r="S86" s="56"/>
      <c r="T86" s="56"/>
      <c r="U86" s="16"/>
      <c r="V86" s="56"/>
      <c r="W86" s="56"/>
      <c r="X86" s="56"/>
      <c r="Y86" s="56"/>
      <c r="Z86" s="56"/>
      <c r="AA86" s="56"/>
      <c r="AB86" s="56"/>
      <c r="AC86" s="56"/>
      <c r="AD86" s="56"/>
      <c r="AE86" s="56"/>
      <c r="AF86" s="17"/>
      <c r="AG86" s="52"/>
      <c r="AH86" s="52"/>
      <c r="AI86" s="52"/>
    </row>
    <row r="87" spans="1:35" s="11" customFormat="1" x14ac:dyDescent="0.35">
      <c r="A87" s="8"/>
      <c r="B87" s="8"/>
      <c r="D87" s="52"/>
      <c r="E87" s="10"/>
      <c r="H87" s="28"/>
      <c r="R87" s="56"/>
      <c r="S87" s="56"/>
      <c r="T87" s="56"/>
      <c r="U87" s="16"/>
      <c r="V87" s="56"/>
      <c r="W87" s="56"/>
      <c r="X87" s="56"/>
      <c r="Y87" s="56"/>
      <c r="Z87" s="56"/>
      <c r="AA87" s="56"/>
      <c r="AB87" s="56"/>
      <c r="AC87" s="56"/>
      <c r="AD87" s="56"/>
      <c r="AE87" s="56"/>
      <c r="AF87" s="17"/>
      <c r="AG87" s="52"/>
      <c r="AH87" s="52"/>
      <c r="AI87" s="52"/>
    </row>
    <row r="88" spans="1:35" s="11" customFormat="1" x14ac:dyDescent="0.35">
      <c r="A88" s="8"/>
      <c r="B88" s="8"/>
      <c r="D88" s="52"/>
      <c r="E88" s="10"/>
      <c r="H88" s="28"/>
      <c r="R88" s="56"/>
      <c r="S88" s="56"/>
      <c r="T88" s="56"/>
      <c r="U88" s="16"/>
      <c r="V88" s="56"/>
      <c r="W88" s="56"/>
      <c r="X88" s="56"/>
      <c r="Y88" s="56"/>
      <c r="Z88" s="56"/>
      <c r="AA88" s="56"/>
      <c r="AB88" s="56"/>
      <c r="AC88" s="56"/>
      <c r="AD88" s="56"/>
      <c r="AE88" s="56"/>
      <c r="AF88" s="17"/>
      <c r="AG88" s="52"/>
      <c r="AH88" s="52"/>
      <c r="AI88" s="52"/>
    </row>
    <row r="89" spans="1:35" s="11" customFormat="1" x14ac:dyDescent="0.35">
      <c r="A89" s="8"/>
      <c r="B89" s="8"/>
      <c r="D89" s="52"/>
      <c r="E89" s="10"/>
      <c r="H89" s="28"/>
      <c r="R89" s="56"/>
      <c r="S89" s="56"/>
      <c r="T89" s="56"/>
      <c r="U89" s="16"/>
      <c r="V89" s="56"/>
      <c r="W89" s="56"/>
      <c r="X89" s="56"/>
      <c r="Y89" s="56"/>
      <c r="Z89" s="56"/>
      <c r="AA89" s="56"/>
      <c r="AB89" s="56"/>
      <c r="AC89" s="56"/>
      <c r="AD89" s="56"/>
      <c r="AE89" s="56"/>
      <c r="AF89" s="17"/>
      <c r="AG89" s="52"/>
      <c r="AH89" s="52"/>
      <c r="AI89" s="52"/>
    </row>
    <row r="90" spans="1:35" s="11" customFormat="1" x14ac:dyDescent="0.35">
      <c r="A90" s="8"/>
      <c r="B90" s="8"/>
      <c r="D90" s="52"/>
      <c r="E90" s="10"/>
      <c r="H90" s="28"/>
      <c r="R90" s="56"/>
      <c r="S90" s="56"/>
      <c r="T90" s="56"/>
      <c r="U90" s="16"/>
      <c r="V90" s="56"/>
      <c r="W90" s="56"/>
      <c r="X90" s="56"/>
      <c r="Y90" s="56"/>
      <c r="Z90" s="56"/>
      <c r="AA90" s="56"/>
      <c r="AB90" s="56"/>
      <c r="AC90" s="56"/>
      <c r="AD90" s="56"/>
      <c r="AE90" s="56"/>
      <c r="AF90" s="17"/>
      <c r="AG90" s="52"/>
      <c r="AH90" s="52"/>
      <c r="AI90" s="52"/>
    </row>
    <row r="91" spans="1:35" s="11" customFormat="1" x14ac:dyDescent="0.35">
      <c r="A91" s="8"/>
      <c r="B91" s="8"/>
      <c r="D91" s="52"/>
      <c r="E91" s="10"/>
      <c r="H91" s="28"/>
      <c r="R91" s="56"/>
      <c r="S91" s="56"/>
      <c r="T91" s="56"/>
      <c r="U91" s="16"/>
      <c r="V91" s="56"/>
      <c r="W91" s="56"/>
      <c r="X91" s="56"/>
      <c r="Y91" s="56"/>
      <c r="Z91" s="56"/>
      <c r="AA91" s="56"/>
      <c r="AB91" s="56"/>
      <c r="AC91" s="56"/>
      <c r="AD91" s="56"/>
      <c r="AE91" s="56"/>
      <c r="AF91" s="17"/>
      <c r="AG91" s="52"/>
      <c r="AH91" s="52"/>
      <c r="AI91" s="52"/>
    </row>
    <row r="92" spans="1:35" s="11" customFormat="1" x14ac:dyDescent="0.35">
      <c r="A92" s="8"/>
      <c r="B92" s="8"/>
      <c r="D92" s="52"/>
      <c r="E92" s="10"/>
      <c r="H92" s="28"/>
      <c r="R92" s="56"/>
      <c r="S92" s="56"/>
      <c r="T92" s="56"/>
      <c r="U92" s="16"/>
      <c r="V92" s="56"/>
      <c r="W92" s="56"/>
      <c r="X92" s="56"/>
      <c r="Y92" s="56"/>
      <c r="Z92" s="56"/>
      <c r="AA92" s="56"/>
      <c r="AB92" s="56"/>
      <c r="AC92" s="56"/>
      <c r="AD92" s="56"/>
      <c r="AE92" s="56"/>
      <c r="AF92" s="17"/>
      <c r="AG92" s="52"/>
      <c r="AH92" s="52"/>
      <c r="AI92" s="52"/>
    </row>
    <row r="93" spans="1:35" s="11" customFormat="1" x14ac:dyDescent="0.35">
      <c r="A93" s="8"/>
      <c r="B93" s="8"/>
      <c r="D93" s="52"/>
      <c r="E93" s="10"/>
      <c r="H93" s="28"/>
      <c r="R93" s="56"/>
      <c r="S93" s="56"/>
      <c r="T93" s="56"/>
      <c r="U93" s="16"/>
      <c r="V93" s="56"/>
      <c r="W93" s="56"/>
      <c r="X93" s="56"/>
      <c r="Y93" s="56"/>
      <c r="Z93" s="56"/>
      <c r="AA93" s="56"/>
      <c r="AB93" s="56"/>
      <c r="AC93" s="56"/>
      <c r="AD93" s="56"/>
      <c r="AE93" s="56"/>
      <c r="AF93" s="17"/>
      <c r="AG93" s="52"/>
      <c r="AH93" s="52"/>
      <c r="AI93" s="52"/>
    </row>
    <row r="94" spans="1:35" s="11" customFormat="1" x14ac:dyDescent="0.35">
      <c r="A94" s="8"/>
      <c r="B94" s="8"/>
      <c r="D94" s="52"/>
      <c r="E94" s="10"/>
      <c r="H94" s="28"/>
      <c r="R94" s="56"/>
      <c r="S94" s="56"/>
      <c r="T94" s="56"/>
      <c r="U94" s="16"/>
      <c r="V94" s="56"/>
      <c r="W94" s="56"/>
      <c r="X94" s="56"/>
      <c r="Y94" s="56"/>
      <c r="Z94" s="56"/>
      <c r="AA94" s="56"/>
      <c r="AB94" s="56"/>
      <c r="AC94" s="56"/>
      <c r="AD94" s="56"/>
      <c r="AE94" s="56"/>
      <c r="AF94" s="17"/>
      <c r="AG94" s="52"/>
      <c r="AH94" s="52"/>
      <c r="AI94" s="52"/>
    </row>
    <row r="95" spans="1:35" s="11" customFormat="1" x14ac:dyDescent="0.35">
      <c r="A95" s="8"/>
      <c r="B95" s="8"/>
      <c r="D95" s="52"/>
      <c r="E95" s="10"/>
      <c r="H95" s="28"/>
      <c r="R95" s="56"/>
      <c r="S95" s="56"/>
      <c r="T95" s="56"/>
      <c r="U95" s="16"/>
      <c r="V95" s="56"/>
      <c r="W95" s="56"/>
      <c r="X95" s="56"/>
      <c r="Y95" s="56"/>
      <c r="Z95" s="56"/>
      <c r="AA95" s="56"/>
      <c r="AB95" s="56"/>
      <c r="AC95" s="56"/>
      <c r="AD95" s="56"/>
      <c r="AE95" s="56"/>
      <c r="AF95" s="17"/>
      <c r="AG95" s="52"/>
      <c r="AH95" s="52"/>
      <c r="AI95" s="52"/>
    </row>
    <row r="96" spans="1:35" s="11" customFormat="1" x14ac:dyDescent="0.35">
      <c r="A96" s="8"/>
      <c r="B96" s="8"/>
      <c r="D96" s="52"/>
      <c r="E96" s="10"/>
      <c r="H96" s="28"/>
      <c r="R96" s="56"/>
      <c r="S96" s="56"/>
      <c r="T96" s="56"/>
      <c r="U96" s="16"/>
      <c r="V96" s="56"/>
      <c r="W96" s="56"/>
      <c r="X96" s="56"/>
      <c r="Y96" s="56"/>
      <c r="Z96" s="56"/>
      <c r="AA96" s="56"/>
      <c r="AB96" s="56"/>
      <c r="AC96" s="56"/>
      <c r="AD96" s="56"/>
      <c r="AE96" s="56"/>
      <c r="AF96" s="17"/>
      <c r="AG96" s="52"/>
      <c r="AH96" s="52"/>
      <c r="AI96" s="52"/>
    </row>
    <row r="97" spans="1:35" s="11" customFormat="1" x14ac:dyDescent="0.35">
      <c r="A97" s="8"/>
      <c r="B97" s="8"/>
      <c r="D97" s="52"/>
      <c r="E97" s="10"/>
      <c r="H97" s="28"/>
      <c r="R97" s="56"/>
      <c r="S97" s="56"/>
      <c r="T97" s="56"/>
      <c r="U97" s="16"/>
      <c r="V97" s="56"/>
      <c r="W97" s="56"/>
      <c r="X97" s="56"/>
      <c r="Y97" s="56"/>
      <c r="Z97" s="56"/>
      <c r="AA97" s="56"/>
      <c r="AB97" s="56"/>
      <c r="AC97" s="56"/>
      <c r="AD97" s="56"/>
      <c r="AE97" s="56"/>
      <c r="AF97" s="17"/>
      <c r="AG97" s="52"/>
      <c r="AH97" s="52"/>
      <c r="AI97" s="52"/>
    </row>
    <row r="98" spans="1:35" s="11" customFormat="1" x14ac:dyDescent="0.35">
      <c r="A98" s="8"/>
      <c r="B98" s="8"/>
      <c r="D98" s="52"/>
      <c r="E98" s="10"/>
      <c r="H98" s="28"/>
      <c r="R98" s="56"/>
      <c r="S98" s="56"/>
      <c r="T98" s="56"/>
      <c r="U98" s="16"/>
      <c r="V98" s="56"/>
      <c r="W98" s="56"/>
      <c r="X98" s="56"/>
      <c r="Y98" s="56"/>
      <c r="Z98" s="56"/>
      <c r="AA98" s="56"/>
      <c r="AB98" s="56"/>
      <c r="AC98" s="56"/>
      <c r="AD98" s="56"/>
      <c r="AE98" s="56"/>
      <c r="AF98" s="17"/>
      <c r="AG98" s="52"/>
      <c r="AH98" s="52"/>
      <c r="AI98" s="52"/>
    </row>
    <row r="99" spans="1:35" s="11" customFormat="1" x14ac:dyDescent="0.35">
      <c r="A99" s="8"/>
      <c r="B99" s="8"/>
      <c r="D99" s="52"/>
      <c r="E99" s="10"/>
      <c r="H99" s="28"/>
      <c r="R99" s="56"/>
      <c r="S99" s="56"/>
      <c r="T99" s="56"/>
      <c r="U99" s="16"/>
      <c r="V99" s="56"/>
      <c r="W99" s="56"/>
      <c r="X99" s="56"/>
      <c r="Y99" s="56"/>
      <c r="Z99" s="56"/>
      <c r="AA99" s="56"/>
      <c r="AB99" s="56"/>
      <c r="AC99" s="56"/>
      <c r="AD99" s="56"/>
      <c r="AE99" s="56"/>
      <c r="AF99" s="17"/>
      <c r="AG99" s="52"/>
      <c r="AH99" s="52"/>
      <c r="AI99" s="52"/>
    </row>
    <row r="100" spans="1:35" s="11" customFormat="1" x14ac:dyDescent="0.35">
      <c r="A100" s="8"/>
      <c r="B100" s="8"/>
      <c r="D100" s="52"/>
      <c r="E100" s="10"/>
      <c r="H100" s="28"/>
      <c r="R100" s="56"/>
      <c r="S100" s="56"/>
      <c r="T100" s="56"/>
      <c r="U100" s="16"/>
      <c r="V100" s="56"/>
      <c r="W100" s="56"/>
      <c r="X100" s="56"/>
      <c r="Y100" s="56"/>
      <c r="Z100" s="56"/>
      <c r="AA100" s="56"/>
      <c r="AB100" s="56"/>
      <c r="AC100" s="56"/>
      <c r="AD100" s="56"/>
      <c r="AE100" s="56"/>
      <c r="AF100" s="17"/>
      <c r="AG100" s="52"/>
      <c r="AH100" s="52"/>
      <c r="AI100" s="52"/>
    </row>
    <row r="101" spans="1:35" s="11" customFormat="1" x14ac:dyDescent="0.35">
      <c r="A101" s="8"/>
      <c r="B101" s="8"/>
      <c r="D101" s="52"/>
      <c r="E101" s="10"/>
      <c r="H101" s="28"/>
      <c r="R101" s="56"/>
      <c r="S101" s="56"/>
      <c r="T101" s="56"/>
      <c r="U101" s="16"/>
      <c r="V101" s="56"/>
      <c r="W101" s="56"/>
      <c r="X101" s="56"/>
      <c r="Y101" s="56"/>
      <c r="Z101" s="56"/>
      <c r="AA101" s="56"/>
      <c r="AB101" s="56"/>
      <c r="AC101" s="56"/>
      <c r="AD101" s="56"/>
      <c r="AE101" s="56"/>
      <c r="AF101" s="17"/>
      <c r="AG101" s="52"/>
      <c r="AH101" s="52"/>
      <c r="AI101" s="52"/>
    </row>
    <row r="102" spans="1:35" s="11" customFormat="1" x14ac:dyDescent="0.35">
      <c r="A102" s="8"/>
      <c r="B102" s="8"/>
      <c r="D102" s="52"/>
      <c r="E102" s="10"/>
      <c r="H102" s="28"/>
      <c r="R102" s="56"/>
      <c r="S102" s="56"/>
      <c r="T102" s="56"/>
      <c r="U102" s="16"/>
      <c r="V102" s="56"/>
      <c r="W102" s="56"/>
      <c r="X102" s="56"/>
      <c r="Y102" s="56"/>
      <c r="Z102" s="56"/>
      <c r="AA102" s="56"/>
      <c r="AB102" s="56"/>
      <c r="AC102" s="56"/>
      <c r="AD102" s="56"/>
      <c r="AE102" s="56"/>
      <c r="AF102" s="17"/>
      <c r="AG102" s="52"/>
      <c r="AH102" s="52"/>
      <c r="AI102" s="52"/>
    </row>
    <row r="103" spans="1:35" s="11" customFormat="1" x14ac:dyDescent="0.35">
      <c r="A103" s="8"/>
      <c r="B103" s="8"/>
      <c r="D103" s="52"/>
      <c r="E103" s="10"/>
      <c r="H103" s="28"/>
      <c r="R103" s="56"/>
      <c r="S103" s="56"/>
      <c r="T103" s="56"/>
      <c r="U103" s="16"/>
      <c r="V103" s="56"/>
      <c r="W103" s="56"/>
      <c r="X103" s="56"/>
      <c r="Y103" s="56"/>
      <c r="Z103" s="56"/>
      <c r="AA103" s="56"/>
      <c r="AB103" s="56"/>
      <c r="AC103" s="56"/>
      <c r="AD103" s="56"/>
      <c r="AE103" s="56"/>
      <c r="AF103" s="17"/>
      <c r="AG103" s="52"/>
      <c r="AH103" s="52"/>
      <c r="AI103" s="52"/>
    </row>
    <row r="104" spans="1:35" s="11" customFormat="1" x14ac:dyDescent="0.35">
      <c r="A104" s="8"/>
      <c r="B104" s="8"/>
      <c r="D104" s="52"/>
      <c r="E104" s="10"/>
      <c r="H104" s="28"/>
      <c r="R104" s="56"/>
      <c r="S104" s="56"/>
      <c r="T104" s="56"/>
      <c r="U104" s="16"/>
      <c r="V104" s="56"/>
      <c r="W104" s="56"/>
      <c r="X104" s="56"/>
      <c r="Y104" s="56"/>
      <c r="Z104" s="56"/>
      <c r="AA104" s="56"/>
      <c r="AB104" s="56"/>
      <c r="AC104" s="56"/>
      <c r="AD104" s="56"/>
      <c r="AE104" s="56"/>
      <c r="AF104" s="17"/>
      <c r="AG104" s="52"/>
      <c r="AH104" s="52"/>
      <c r="AI104" s="52"/>
    </row>
    <row r="105" spans="1:35" s="11" customFormat="1" x14ac:dyDescent="0.35">
      <c r="A105" s="8"/>
      <c r="B105" s="8"/>
      <c r="D105" s="52"/>
      <c r="E105" s="10"/>
      <c r="H105" s="28"/>
      <c r="R105" s="56"/>
      <c r="S105" s="56"/>
      <c r="T105" s="56"/>
      <c r="U105" s="16"/>
      <c r="V105" s="56"/>
      <c r="W105" s="56"/>
      <c r="X105" s="56"/>
      <c r="Y105" s="56"/>
      <c r="Z105" s="56"/>
      <c r="AA105" s="56"/>
      <c r="AB105" s="56"/>
      <c r="AC105" s="56"/>
      <c r="AD105" s="56"/>
      <c r="AE105" s="56"/>
      <c r="AF105" s="17"/>
      <c r="AG105" s="52"/>
      <c r="AH105" s="52"/>
      <c r="AI105" s="52"/>
    </row>
    <row r="106" spans="1:35" s="11" customFormat="1" x14ac:dyDescent="0.35">
      <c r="A106" s="8"/>
      <c r="B106" s="8"/>
      <c r="D106" s="52"/>
      <c r="E106" s="10"/>
      <c r="H106" s="28"/>
      <c r="R106" s="56"/>
      <c r="S106" s="56"/>
      <c r="T106" s="56"/>
      <c r="U106" s="16"/>
      <c r="V106" s="56"/>
      <c r="W106" s="56"/>
      <c r="X106" s="56"/>
      <c r="Y106" s="56"/>
      <c r="Z106" s="56"/>
      <c r="AA106" s="56"/>
      <c r="AB106" s="56"/>
      <c r="AC106" s="56"/>
      <c r="AD106" s="56"/>
      <c r="AE106" s="56"/>
      <c r="AF106" s="17"/>
      <c r="AG106" s="52"/>
      <c r="AH106" s="52"/>
      <c r="AI106" s="52"/>
    </row>
    <row r="107" spans="1:35" s="11" customFormat="1" x14ac:dyDescent="0.35">
      <c r="A107" s="8"/>
      <c r="B107" s="8"/>
      <c r="D107" s="52"/>
      <c r="E107" s="10"/>
      <c r="H107" s="28"/>
      <c r="R107" s="56"/>
      <c r="S107" s="56"/>
      <c r="T107" s="56"/>
      <c r="U107" s="16"/>
      <c r="V107" s="56"/>
      <c r="W107" s="56"/>
      <c r="X107" s="56"/>
      <c r="Y107" s="56"/>
      <c r="Z107" s="56"/>
      <c r="AA107" s="56"/>
      <c r="AB107" s="56"/>
      <c r="AC107" s="56"/>
      <c r="AD107" s="56"/>
      <c r="AE107" s="56"/>
      <c r="AF107" s="17"/>
      <c r="AG107" s="52"/>
      <c r="AH107" s="52"/>
      <c r="AI107" s="52"/>
    </row>
    <row r="108" spans="1:35" s="11" customFormat="1" x14ac:dyDescent="0.35">
      <c r="A108" s="8"/>
      <c r="B108" s="8"/>
      <c r="D108" s="52"/>
      <c r="E108" s="10"/>
      <c r="H108" s="28"/>
      <c r="R108" s="56"/>
      <c r="S108" s="56"/>
      <c r="T108" s="56"/>
      <c r="U108" s="16"/>
      <c r="V108" s="56"/>
      <c r="W108" s="56"/>
      <c r="X108" s="56"/>
      <c r="Y108" s="56"/>
      <c r="Z108" s="56"/>
      <c r="AA108" s="56"/>
      <c r="AB108" s="56"/>
      <c r="AC108" s="56"/>
      <c r="AD108" s="56"/>
      <c r="AE108" s="56"/>
      <c r="AF108" s="17"/>
      <c r="AG108" s="52"/>
      <c r="AH108" s="52"/>
      <c r="AI108" s="52"/>
    </row>
    <row r="109" spans="1:35" s="11" customFormat="1" x14ac:dyDescent="0.35">
      <c r="A109" s="8"/>
      <c r="B109" s="8"/>
      <c r="D109" s="52"/>
      <c r="E109" s="10"/>
      <c r="H109" s="28"/>
      <c r="R109" s="56"/>
      <c r="S109" s="56"/>
      <c r="T109" s="56"/>
      <c r="U109" s="16"/>
      <c r="V109" s="56"/>
      <c r="W109" s="56"/>
      <c r="X109" s="56"/>
      <c r="Y109" s="56"/>
      <c r="Z109" s="56"/>
      <c r="AA109" s="56"/>
      <c r="AB109" s="56"/>
      <c r="AC109" s="56"/>
      <c r="AD109" s="56"/>
      <c r="AE109" s="56"/>
      <c r="AF109" s="17"/>
      <c r="AG109" s="52"/>
      <c r="AH109" s="52"/>
      <c r="AI109" s="52"/>
    </row>
    <row r="110" spans="1:35" s="11" customFormat="1" x14ac:dyDescent="0.35">
      <c r="A110" s="8"/>
      <c r="B110" s="8"/>
      <c r="D110" s="52"/>
      <c r="E110" s="10"/>
      <c r="H110" s="28"/>
      <c r="R110" s="56"/>
      <c r="S110" s="56"/>
      <c r="T110" s="56"/>
      <c r="U110" s="16"/>
      <c r="V110" s="56"/>
      <c r="W110" s="56"/>
      <c r="X110" s="56"/>
      <c r="Y110" s="56"/>
      <c r="Z110" s="56"/>
      <c r="AA110" s="56"/>
      <c r="AB110" s="56"/>
      <c r="AC110" s="56"/>
      <c r="AD110" s="56"/>
      <c r="AE110" s="56"/>
      <c r="AF110" s="17"/>
      <c r="AG110" s="52"/>
      <c r="AH110" s="52"/>
      <c r="AI110" s="52"/>
    </row>
    <row r="111" spans="1:35" s="11" customFormat="1" x14ac:dyDescent="0.35">
      <c r="A111" s="8"/>
      <c r="B111" s="8"/>
      <c r="D111" s="52"/>
      <c r="E111" s="10"/>
      <c r="H111" s="28"/>
      <c r="R111" s="56"/>
      <c r="S111" s="56"/>
      <c r="T111" s="56"/>
      <c r="U111" s="16"/>
      <c r="V111" s="56"/>
      <c r="W111" s="56"/>
      <c r="X111" s="56"/>
      <c r="Y111" s="56"/>
      <c r="Z111" s="56"/>
      <c r="AA111" s="56"/>
      <c r="AB111" s="56"/>
      <c r="AC111" s="56"/>
      <c r="AD111" s="56"/>
      <c r="AE111" s="56"/>
      <c r="AF111" s="17"/>
      <c r="AG111" s="52"/>
      <c r="AH111" s="52"/>
      <c r="AI111" s="52"/>
    </row>
    <row r="112" spans="1:35" s="11" customFormat="1" x14ac:dyDescent="0.35">
      <c r="A112" s="8"/>
      <c r="B112" s="8"/>
      <c r="D112" s="52"/>
      <c r="E112" s="10"/>
      <c r="H112" s="28"/>
      <c r="R112" s="56"/>
      <c r="S112" s="56"/>
      <c r="T112" s="56"/>
      <c r="U112" s="16"/>
      <c r="V112" s="56"/>
      <c r="W112" s="56"/>
      <c r="X112" s="56"/>
      <c r="Y112" s="56"/>
      <c r="Z112" s="56"/>
      <c r="AA112" s="56"/>
      <c r="AB112" s="56"/>
      <c r="AC112" s="56"/>
      <c r="AD112" s="56"/>
      <c r="AE112" s="56"/>
      <c r="AF112" s="17"/>
      <c r="AG112" s="52"/>
      <c r="AH112" s="52"/>
      <c r="AI112" s="52"/>
    </row>
    <row r="113" spans="1:35" s="11" customFormat="1" x14ac:dyDescent="0.35">
      <c r="A113" s="8"/>
      <c r="B113" s="8"/>
      <c r="D113" s="52"/>
      <c r="E113" s="10"/>
      <c r="H113" s="28"/>
      <c r="R113" s="56"/>
      <c r="S113" s="56"/>
      <c r="T113" s="56"/>
      <c r="U113" s="16"/>
      <c r="V113" s="56"/>
      <c r="W113" s="56"/>
      <c r="X113" s="56"/>
      <c r="Y113" s="56"/>
      <c r="Z113" s="56"/>
      <c r="AA113" s="56"/>
      <c r="AB113" s="56"/>
      <c r="AC113" s="56"/>
      <c r="AD113" s="56"/>
      <c r="AE113" s="56"/>
      <c r="AF113" s="17"/>
      <c r="AG113" s="52"/>
      <c r="AH113" s="52"/>
      <c r="AI113" s="52"/>
    </row>
    <row r="114" spans="1:35" s="11" customFormat="1" x14ac:dyDescent="0.35">
      <c r="A114" s="8"/>
      <c r="B114" s="8"/>
      <c r="D114" s="52"/>
      <c r="E114" s="10"/>
      <c r="H114" s="28"/>
      <c r="R114" s="56"/>
      <c r="S114" s="56"/>
      <c r="T114" s="56"/>
      <c r="U114" s="16"/>
      <c r="V114" s="56"/>
      <c r="W114" s="56"/>
      <c r="X114" s="56"/>
      <c r="Y114" s="56"/>
      <c r="Z114" s="56"/>
      <c r="AA114" s="56"/>
      <c r="AB114" s="56"/>
      <c r="AC114" s="56"/>
      <c r="AD114" s="56"/>
      <c r="AE114" s="56"/>
      <c r="AF114" s="17"/>
      <c r="AG114" s="52"/>
      <c r="AH114" s="52"/>
      <c r="AI114" s="52"/>
    </row>
    <row r="115" spans="1:35" s="11" customFormat="1" x14ac:dyDescent="0.35">
      <c r="A115" s="8"/>
      <c r="B115" s="8"/>
      <c r="D115" s="52"/>
      <c r="E115" s="10"/>
      <c r="H115" s="28"/>
      <c r="R115" s="56"/>
      <c r="S115" s="56"/>
      <c r="T115" s="56"/>
      <c r="U115" s="16"/>
      <c r="V115" s="56"/>
      <c r="W115" s="56"/>
      <c r="X115" s="56"/>
      <c r="Y115" s="56"/>
      <c r="Z115" s="56"/>
      <c r="AA115" s="56"/>
      <c r="AB115" s="56"/>
      <c r="AC115" s="56"/>
      <c r="AD115" s="56"/>
      <c r="AE115" s="56"/>
      <c r="AF115" s="17"/>
      <c r="AG115" s="52"/>
      <c r="AH115" s="52"/>
      <c r="AI115" s="52"/>
    </row>
    <row r="116" spans="1:35" s="11" customFormat="1" x14ac:dyDescent="0.35">
      <c r="A116" s="8"/>
      <c r="B116" s="8"/>
      <c r="D116" s="52"/>
      <c r="E116" s="10"/>
      <c r="H116" s="28"/>
      <c r="R116" s="56"/>
      <c r="S116" s="56"/>
      <c r="T116" s="56"/>
      <c r="U116" s="16"/>
      <c r="V116" s="56"/>
      <c r="W116" s="56"/>
      <c r="X116" s="56"/>
      <c r="Y116" s="56"/>
      <c r="Z116" s="56"/>
      <c r="AA116" s="56"/>
      <c r="AB116" s="56"/>
      <c r="AC116" s="56"/>
      <c r="AD116" s="56"/>
      <c r="AE116" s="56"/>
      <c r="AF116" s="17"/>
      <c r="AG116" s="52"/>
      <c r="AH116" s="52"/>
      <c r="AI116" s="52"/>
    </row>
    <row r="117" spans="1:35" s="11" customFormat="1" x14ac:dyDescent="0.35">
      <c r="A117" s="8"/>
      <c r="B117" s="8"/>
      <c r="D117" s="52"/>
      <c r="E117" s="10"/>
      <c r="H117" s="28"/>
      <c r="R117" s="56"/>
      <c r="S117" s="56"/>
      <c r="T117" s="56"/>
      <c r="U117" s="16"/>
      <c r="V117" s="56"/>
      <c r="W117" s="56"/>
      <c r="X117" s="56"/>
      <c r="Y117" s="56"/>
      <c r="Z117" s="56"/>
      <c r="AA117" s="56"/>
      <c r="AB117" s="56"/>
      <c r="AC117" s="56"/>
      <c r="AD117" s="56"/>
      <c r="AE117" s="56"/>
      <c r="AF117" s="17"/>
      <c r="AG117" s="52"/>
      <c r="AH117" s="52"/>
      <c r="AI117" s="52"/>
    </row>
    <row r="118" spans="1:35" s="11" customFormat="1" x14ac:dyDescent="0.35">
      <c r="A118" s="8"/>
      <c r="B118" s="8"/>
      <c r="D118" s="52"/>
      <c r="E118" s="10"/>
      <c r="H118" s="28"/>
      <c r="R118" s="56"/>
      <c r="S118" s="56"/>
      <c r="T118" s="56"/>
      <c r="U118" s="16"/>
      <c r="V118" s="56"/>
      <c r="W118" s="56"/>
      <c r="X118" s="56"/>
      <c r="Y118" s="56"/>
      <c r="Z118" s="56"/>
      <c r="AA118" s="56"/>
      <c r="AB118" s="56"/>
      <c r="AC118" s="56"/>
      <c r="AD118" s="56"/>
      <c r="AE118" s="56"/>
      <c r="AF118" s="17"/>
      <c r="AG118" s="52"/>
      <c r="AH118" s="52"/>
      <c r="AI118" s="52"/>
    </row>
    <row r="119" spans="1:35" s="11" customFormat="1" x14ac:dyDescent="0.35">
      <c r="A119" s="8"/>
      <c r="B119" s="8"/>
      <c r="D119" s="52"/>
      <c r="E119" s="10"/>
      <c r="H119" s="28"/>
      <c r="R119" s="56"/>
      <c r="S119" s="56"/>
      <c r="T119" s="56"/>
      <c r="U119" s="16"/>
      <c r="V119" s="56"/>
      <c r="W119" s="56"/>
      <c r="X119" s="56"/>
      <c r="Y119" s="56"/>
      <c r="Z119" s="56"/>
      <c r="AA119" s="56"/>
      <c r="AB119" s="56"/>
      <c r="AC119" s="56"/>
      <c r="AD119" s="56"/>
      <c r="AE119" s="56"/>
      <c r="AF119" s="17"/>
      <c r="AG119" s="52"/>
      <c r="AH119" s="52"/>
      <c r="AI119" s="52"/>
    </row>
    <row r="120" spans="1:35" s="11" customFormat="1" x14ac:dyDescent="0.35">
      <c r="A120" s="8"/>
      <c r="B120" s="8"/>
      <c r="D120" s="52"/>
      <c r="E120" s="10"/>
      <c r="H120" s="28"/>
      <c r="R120" s="56"/>
      <c r="S120" s="56"/>
      <c r="T120" s="56"/>
      <c r="U120" s="16"/>
      <c r="V120" s="56"/>
      <c r="W120" s="56"/>
      <c r="X120" s="56"/>
      <c r="Y120" s="56"/>
      <c r="Z120" s="56"/>
      <c r="AA120" s="56"/>
      <c r="AB120" s="56"/>
      <c r="AC120" s="56"/>
      <c r="AD120" s="56"/>
      <c r="AE120" s="56"/>
      <c r="AF120" s="17"/>
      <c r="AG120" s="52"/>
      <c r="AH120" s="52"/>
      <c r="AI120" s="52"/>
    </row>
    <row r="121" spans="1:35" s="11" customFormat="1" x14ac:dyDescent="0.35">
      <c r="A121" s="8"/>
      <c r="B121" s="8"/>
      <c r="D121" s="52"/>
      <c r="E121" s="10"/>
      <c r="H121" s="28"/>
      <c r="R121" s="56"/>
      <c r="S121" s="56"/>
      <c r="T121" s="56"/>
      <c r="U121" s="16"/>
      <c r="V121" s="56"/>
      <c r="W121" s="56"/>
      <c r="X121" s="56"/>
      <c r="Y121" s="56"/>
      <c r="Z121" s="56"/>
      <c r="AA121" s="56"/>
      <c r="AB121" s="56"/>
      <c r="AC121" s="56"/>
      <c r="AD121" s="56"/>
      <c r="AE121" s="56"/>
      <c r="AF121" s="17"/>
      <c r="AG121" s="52"/>
      <c r="AH121" s="52"/>
      <c r="AI121" s="52"/>
    </row>
    <row r="122" spans="1:35" s="11" customFormat="1" x14ac:dyDescent="0.35">
      <c r="A122" s="8"/>
      <c r="B122" s="8"/>
      <c r="D122" s="52"/>
      <c r="E122" s="10"/>
      <c r="H122" s="28"/>
      <c r="R122" s="56"/>
      <c r="S122" s="56"/>
      <c r="T122" s="56"/>
      <c r="U122" s="16"/>
      <c r="V122" s="56"/>
      <c r="W122" s="56"/>
      <c r="X122" s="56"/>
      <c r="Y122" s="56"/>
      <c r="Z122" s="56"/>
      <c r="AA122" s="56"/>
      <c r="AB122" s="56"/>
      <c r="AC122" s="56"/>
      <c r="AD122" s="56"/>
      <c r="AE122" s="56"/>
      <c r="AF122" s="17"/>
      <c r="AG122" s="52"/>
      <c r="AH122" s="52"/>
      <c r="AI122" s="52"/>
    </row>
    <row r="123" spans="1:35" s="11" customFormat="1" x14ac:dyDescent="0.35">
      <c r="A123" s="8"/>
      <c r="B123" s="8"/>
      <c r="D123" s="52"/>
      <c r="E123" s="10"/>
      <c r="H123" s="28"/>
      <c r="R123" s="56"/>
      <c r="S123" s="56"/>
      <c r="T123" s="56"/>
      <c r="U123" s="16"/>
      <c r="V123" s="56"/>
      <c r="W123" s="56"/>
      <c r="X123" s="56"/>
      <c r="Y123" s="56"/>
      <c r="Z123" s="56"/>
      <c r="AA123" s="56"/>
      <c r="AB123" s="56"/>
      <c r="AC123" s="56"/>
      <c r="AD123" s="56"/>
      <c r="AE123" s="56"/>
      <c r="AF123" s="17"/>
      <c r="AG123" s="52"/>
      <c r="AH123" s="52"/>
      <c r="AI123" s="52"/>
    </row>
    <row r="124" spans="1:35" s="11" customFormat="1" x14ac:dyDescent="0.35">
      <c r="A124" s="8"/>
      <c r="B124" s="8"/>
      <c r="D124" s="52"/>
      <c r="E124" s="10"/>
      <c r="H124" s="28"/>
      <c r="R124" s="56"/>
      <c r="S124" s="56"/>
      <c r="T124" s="56"/>
      <c r="U124" s="16"/>
      <c r="V124" s="56"/>
      <c r="W124" s="56"/>
      <c r="X124" s="56"/>
      <c r="Y124" s="56"/>
      <c r="Z124" s="56"/>
      <c r="AA124" s="56"/>
      <c r="AB124" s="56"/>
      <c r="AC124" s="56"/>
      <c r="AD124" s="56"/>
      <c r="AE124" s="56"/>
      <c r="AF124" s="17"/>
      <c r="AG124" s="52"/>
      <c r="AH124" s="52"/>
      <c r="AI124" s="52"/>
    </row>
    <row r="125" spans="1:35" s="11" customFormat="1" x14ac:dyDescent="0.35">
      <c r="A125" s="8"/>
      <c r="B125" s="8"/>
      <c r="D125" s="52"/>
      <c r="E125" s="10"/>
      <c r="H125" s="28"/>
      <c r="R125" s="56"/>
      <c r="S125" s="56"/>
      <c r="T125" s="56"/>
      <c r="U125" s="16"/>
      <c r="V125" s="56"/>
      <c r="W125" s="56"/>
      <c r="X125" s="56"/>
      <c r="Y125" s="56"/>
      <c r="Z125" s="56"/>
      <c r="AA125" s="56"/>
      <c r="AB125" s="56"/>
      <c r="AC125" s="56"/>
      <c r="AD125" s="56"/>
      <c r="AE125" s="56"/>
      <c r="AF125" s="17"/>
      <c r="AG125" s="52"/>
      <c r="AH125" s="52"/>
      <c r="AI125" s="52"/>
    </row>
    <row r="126" spans="1:35" s="11" customFormat="1" x14ac:dyDescent="0.35">
      <c r="A126" s="8"/>
      <c r="B126" s="8"/>
      <c r="D126" s="52"/>
      <c r="E126" s="10"/>
      <c r="H126" s="28"/>
      <c r="R126" s="56"/>
      <c r="S126" s="56"/>
      <c r="T126" s="56"/>
      <c r="U126" s="16"/>
      <c r="V126" s="56"/>
      <c r="W126" s="56"/>
      <c r="X126" s="56"/>
      <c r="Y126" s="56"/>
      <c r="Z126" s="56"/>
      <c r="AA126" s="56"/>
      <c r="AB126" s="56"/>
      <c r="AC126" s="56"/>
      <c r="AD126" s="56"/>
      <c r="AE126" s="56"/>
      <c r="AF126" s="17"/>
      <c r="AG126" s="52"/>
      <c r="AH126" s="52"/>
      <c r="AI126" s="52"/>
    </row>
    <row r="127" spans="1:35" s="11" customFormat="1" x14ac:dyDescent="0.35">
      <c r="A127" s="8"/>
      <c r="B127" s="8"/>
      <c r="D127" s="52"/>
      <c r="E127" s="10"/>
      <c r="H127" s="28"/>
      <c r="R127" s="56"/>
      <c r="S127" s="56"/>
      <c r="T127" s="56"/>
      <c r="U127" s="16"/>
      <c r="V127" s="56"/>
      <c r="W127" s="56"/>
      <c r="X127" s="56"/>
      <c r="Y127" s="56"/>
      <c r="Z127" s="56"/>
      <c r="AA127" s="56"/>
      <c r="AB127" s="56"/>
      <c r="AC127" s="56"/>
      <c r="AD127" s="56"/>
      <c r="AE127" s="56"/>
      <c r="AF127" s="17"/>
      <c r="AG127" s="52"/>
      <c r="AH127" s="52"/>
      <c r="AI127" s="52"/>
    </row>
    <row r="128" spans="1:35" s="11" customFormat="1" x14ac:dyDescent="0.35">
      <c r="A128" s="8"/>
      <c r="B128" s="8"/>
      <c r="D128" s="52"/>
      <c r="E128" s="10"/>
      <c r="H128" s="28"/>
      <c r="R128" s="56"/>
      <c r="S128" s="56"/>
      <c r="T128" s="56"/>
      <c r="U128" s="16"/>
      <c r="V128" s="56"/>
      <c r="W128" s="56"/>
      <c r="X128" s="56"/>
      <c r="Y128" s="56"/>
      <c r="Z128" s="56"/>
      <c r="AA128" s="56"/>
      <c r="AB128" s="56"/>
      <c r="AC128" s="56"/>
      <c r="AD128" s="56"/>
      <c r="AE128" s="56"/>
      <c r="AF128" s="17"/>
      <c r="AG128" s="52"/>
      <c r="AH128" s="52"/>
      <c r="AI128" s="52"/>
    </row>
    <row r="129" spans="1:35" s="11" customFormat="1" x14ac:dyDescent="0.35">
      <c r="A129" s="8"/>
      <c r="B129" s="8"/>
      <c r="D129" s="52"/>
      <c r="E129" s="10"/>
      <c r="H129" s="28"/>
      <c r="R129" s="56"/>
      <c r="S129" s="56"/>
      <c r="T129" s="56"/>
      <c r="U129" s="16"/>
      <c r="V129" s="56"/>
      <c r="W129" s="56"/>
      <c r="X129" s="56"/>
      <c r="Y129" s="56"/>
      <c r="Z129" s="56"/>
      <c r="AA129" s="56"/>
      <c r="AB129" s="56"/>
      <c r="AC129" s="56"/>
      <c r="AD129" s="56"/>
      <c r="AE129" s="56"/>
      <c r="AF129" s="17"/>
      <c r="AG129" s="52"/>
      <c r="AH129" s="52"/>
      <c r="AI129" s="52"/>
    </row>
    <row r="130" spans="1:35" s="11" customFormat="1" x14ac:dyDescent="0.35">
      <c r="A130" s="8"/>
      <c r="B130" s="8"/>
      <c r="D130" s="52"/>
      <c r="E130" s="10"/>
      <c r="H130" s="28"/>
      <c r="R130" s="56"/>
      <c r="S130" s="56"/>
      <c r="T130" s="56"/>
      <c r="U130" s="16"/>
      <c r="V130" s="56"/>
      <c r="W130" s="56"/>
      <c r="X130" s="56"/>
      <c r="Y130" s="56"/>
      <c r="Z130" s="56"/>
      <c r="AA130" s="56"/>
      <c r="AB130" s="56"/>
      <c r="AC130" s="56"/>
      <c r="AD130" s="56"/>
      <c r="AE130" s="56"/>
      <c r="AF130" s="17"/>
      <c r="AG130" s="52"/>
      <c r="AH130" s="52"/>
      <c r="AI130" s="52"/>
    </row>
    <row r="131" spans="1:35" s="11" customFormat="1" x14ac:dyDescent="0.35">
      <c r="A131" s="8"/>
      <c r="B131" s="8"/>
      <c r="D131" s="52"/>
      <c r="E131" s="10"/>
      <c r="H131" s="28"/>
      <c r="R131" s="56"/>
      <c r="S131" s="56"/>
      <c r="T131" s="56"/>
      <c r="U131" s="16"/>
      <c r="V131" s="56"/>
      <c r="W131" s="56"/>
      <c r="X131" s="56"/>
      <c r="Y131" s="56"/>
      <c r="Z131" s="56"/>
      <c r="AA131" s="56"/>
      <c r="AB131" s="56"/>
      <c r="AC131" s="56"/>
      <c r="AD131" s="56"/>
      <c r="AE131" s="56"/>
      <c r="AF131" s="17"/>
      <c r="AG131" s="52"/>
      <c r="AH131" s="52"/>
      <c r="AI131" s="52"/>
    </row>
    <row r="132" spans="1:35" s="11" customFormat="1" x14ac:dyDescent="0.35">
      <c r="A132" s="8"/>
      <c r="B132" s="8"/>
      <c r="D132" s="52"/>
      <c r="E132" s="10"/>
      <c r="H132" s="28"/>
      <c r="R132" s="56"/>
      <c r="S132" s="56"/>
      <c r="T132" s="56"/>
      <c r="U132" s="16"/>
      <c r="V132" s="56"/>
      <c r="W132" s="56"/>
      <c r="X132" s="56"/>
      <c r="Y132" s="56"/>
      <c r="Z132" s="56"/>
      <c r="AA132" s="56"/>
      <c r="AB132" s="56"/>
      <c r="AC132" s="56"/>
      <c r="AD132" s="56"/>
      <c r="AE132" s="56"/>
      <c r="AF132" s="17"/>
      <c r="AG132" s="52"/>
      <c r="AH132" s="52"/>
      <c r="AI132" s="52"/>
    </row>
    <row r="133" spans="1:35" s="11" customFormat="1" x14ac:dyDescent="0.35">
      <c r="A133" s="8"/>
      <c r="B133" s="8"/>
      <c r="D133" s="52"/>
      <c r="E133" s="10"/>
      <c r="H133" s="28"/>
      <c r="R133" s="56"/>
      <c r="S133" s="56"/>
      <c r="T133" s="56"/>
      <c r="U133" s="16"/>
      <c r="V133" s="56"/>
      <c r="W133" s="56"/>
      <c r="X133" s="56"/>
      <c r="Y133" s="56"/>
      <c r="Z133" s="56"/>
      <c r="AA133" s="56"/>
      <c r="AB133" s="56"/>
      <c r="AC133" s="56"/>
      <c r="AD133" s="56"/>
      <c r="AE133" s="56"/>
      <c r="AF133" s="17"/>
      <c r="AG133" s="52"/>
      <c r="AH133" s="52"/>
      <c r="AI133" s="52"/>
    </row>
    <row r="134" spans="1:35" s="11" customFormat="1" x14ac:dyDescent="0.35">
      <c r="A134" s="8"/>
      <c r="B134" s="8"/>
      <c r="D134" s="52"/>
      <c r="E134" s="10"/>
      <c r="H134" s="28"/>
      <c r="R134" s="56"/>
      <c r="S134" s="56"/>
      <c r="T134" s="56"/>
      <c r="U134" s="16"/>
      <c r="V134" s="56"/>
      <c r="W134" s="56"/>
      <c r="X134" s="56"/>
      <c r="Y134" s="56"/>
      <c r="Z134" s="56"/>
      <c r="AA134" s="56"/>
      <c r="AB134" s="56"/>
      <c r="AC134" s="56"/>
      <c r="AD134" s="56"/>
      <c r="AE134" s="56"/>
      <c r="AF134" s="17"/>
      <c r="AG134" s="52"/>
      <c r="AH134" s="52"/>
      <c r="AI134" s="52"/>
    </row>
    <row r="135" spans="1:35" s="11" customFormat="1" x14ac:dyDescent="0.35">
      <c r="A135" s="8"/>
      <c r="B135" s="8"/>
      <c r="D135" s="52"/>
      <c r="E135" s="10"/>
      <c r="H135" s="28"/>
      <c r="R135" s="56"/>
      <c r="S135" s="56"/>
      <c r="T135" s="56"/>
      <c r="U135" s="16"/>
      <c r="V135" s="56"/>
      <c r="W135" s="56"/>
      <c r="X135" s="56"/>
      <c r="Y135" s="56"/>
      <c r="Z135" s="56"/>
      <c r="AA135" s="56"/>
      <c r="AB135" s="56"/>
      <c r="AC135" s="56"/>
      <c r="AD135" s="56"/>
      <c r="AE135" s="56"/>
      <c r="AF135" s="17"/>
      <c r="AG135" s="52"/>
      <c r="AH135" s="52"/>
      <c r="AI135" s="52"/>
    </row>
    <row r="136" spans="1:35" s="11" customFormat="1" x14ac:dyDescent="0.35">
      <c r="A136" s="8"/>
      <c r="B136" s="8"/>
      <c r="D136" s="52"/>
      <c r="E136" s="10"/>
      <c r="H136" s="28"/>
      <c r="R136" s="56"/>
      <c r="S136" s="56"/>
      <c r="T136" s="56"/>
      <c r="U136" s="16"/>
      <c r="V136" s="56"/>
      <c r="W136" s="56"/>
      <c r="X136" s="56"/>
      <c r="Y136" s="56"/>
      <c r="Z136" s="56"/>
      <c r="AA136" s="56"/>
      <c r="AB136" s="56"/>
      <c r="AC136" s="56"/>
      <c r="AD136" s="56"/>
      <c r="AE136" s="56"/>
      <c r="AF136" s="17"/>
      <c r="AG136" s="52"/>
      <c r="AH136" s="52"/>
      <c r="AI136" s="52"/>
    </row>
    <row r="137" spans="1:35" s="11" customFormat="1" x14ac:dyDescent="0.35">
      <c r="A137" s="8"/>
      <c r="B137" s="8"/>
      <c r="D137" s="52"/>
      <c r="E137" s="10"/>
      <c r="H137" s="28"/>
      <c r="R137" s="56"/>
      <c r="S137" s="56"/>
      <c r="T137" s="56"/>
      <c r="U137" s="16"/>
      <c r="V137" s="56"/>
      <c r="W137" s="56"/>
      <c r="X137" s="56"/>
      <c r="Y137" s="56"/>
      <c r="Z137" s="56"/>
      <c r="AA137" s="56"/>
      <c r="AB137" s="56"/>
      <c r="AC137" s="56"/>
      <c r="AD137" s="56"/>
      <c r="AE137" s="56"/>
      <c r="AF137" s="17"/>
      <c r="AG137" s="52"/>
      <c r="AH137" s="52"/>
      <c r="AI137" s="52"/>
    </row>
    <row r="138" spans="1:35" s="11" customFormat="1" x14ac:dyDescent="0.35">
      <c r="A138" s="8"/>
      <c r="B138" s="8"/>
      <c r="D138" s="52"/>
      <c r="E138" s="10"/>
      <c r="H138" s="28"/>
      <c r="R138" s="56"/>
      <c r="S138" s="56"/>
      <c r="T138" s="56"/>
      <c r="U138" s="16"/>
      <c r="V138" s="56"/>
      <c r="W138" s="56"/>
      <c r="X138" s="56"/>
      <c r="Y138" s="56"/>
      <c r="Z138" s="56"/>
      <c r="AA138" s="56"/>
      <c r="AB138" s="56"/>
      <c r="AC138" s="56"/>
      <c r="AD138" s="56"/>
      <c r="AE138" s="56"/>
      <c r="AF138" s="17"/>
      <c r="AG138" s="52"/>
      <c r="AH138" s="52"/>
      <c r="AI138" s="52"/>
    </row>
    <row r="139" spans="1:35" s="11" customFormat="1" x14ac:dyDescent="0.35">
      <c r="A139" s="8"/>
      <c r="B139" s="8"/>
      <c r="D139" s="52"/>
      <c r="E139" s="10"/>
      <c r="H139" s="28"/>
      <c r="R139" s="56"/>
      <c r="S139" s="56"/>
      <c r="T139" s="56"/>
      <c r="U139" s="16"/>
      <c r="V139" s="56"/>
      <c r="W139" s="56"/>
      <c r="X139" s="56"/>
      <c r="Y139" s="56"/>
      <c r="Z139" s="56"/>
      <c r="AA139" s="56"/>
      <c r="AB139" s="56"/>
      <c r="AC139" s="56"/>
      <c r="AD139" s="56"/>
      <c r="AE139" s="56"/>
      <c r="AF139" s="17"/>
      <c r="AG139" s="52"/>
      <c r="AH139" s="52"/>
      <c r="AI139" s="52"/>
    </row>
    <row r="140" spans="1:35" s="11" customFormat="1" x14ac:dyDescent="0.35">
      <c r="A140" s="8"/>
      <c r="B140" s="8"/>
      <c r="D140" s="52"/>
      <c r="E140" s="10"/>
      <c r="H140" s="28"/>
      <c r="R140" s="56"/>
      <c r="S140" s="56"/>
      <c r="T140" s="56"/>
      <c r="U140" s="16"/>
      <c r="V140" s="56"/>
      <c r="W140" s="56"/>
      <c r="X140" s="56"/>
      <c r="Y140" s="56"/>
      <c r="Z140" s="56"/>
      <c r="AA140" s="56"/>
      <c r="AB140" s="56"/>
      <c r="AC140" s="56"/>
      <c r="AD140" s="56"/>
      <c r="AE140" s="56"/>
      <c r="AF140" s="17"/>
      <c r="AG140" s="52"/>
      <c r="AH140" s="52"/>
      <c r="AI140" s="52"/>
    </row>
    <row r="141" spans="1:35" s="11" customFormat="1" x14ac:dyDescent="0.35">
      <c r="A141" s="8"/>
      <c r="B141" s="8"/>
      <c r="D141" s="52"/>
      <c r="E141" s="10"/>
      <c r="H141" s="28"/>
      <c r="R141" s="56"/>
      <c r="S141" s="56"/>
      <c r="T141" s="56"/>
      <c r="U141" s="16"/>
      <c r="V141" s="56"/>
      <c r="W141" s="56"/>
      <c r="X141" s="56"/>
      <c r="Y141" s="56"/>
      <c r="Z141" s="56"/>
      <c r="AA141" s="56"/>
      <c r="AB141" s="56"/>
      <c r="AC141" s="56"/>
      <c r="AD141" s="56"/>
      <c r="AE141" s="56"/>
      <c r="AF141" s="17"/>
      <c r="AG141" s="52"/>
      <c r="AH141" s="52"/>
      <c r="AI141" s="52"/>
    </row>
    <row r="142" spans="1:35" s="11" customFormat="1" x14ac:dyDescent="0.35">
      <c r="A142" s="8"/>
      <c r="B142" s="8"/>
      <c r="D142" s="52"/>
      <c r="E142" s="10"/>
      <c r="H142" s="28"/>
      <c r="R142" s="56"/>
      <c r="S142" s="56"/>
      <c r="T142" s="56"/>
      <c r="U142" s="16"/>
      <c r="V142" s="56"/>
      <c r="W142" s="56"/>
      <c r="X142" s="56"/>
      <c r="Y142" s="56"/>
      <c r="Z142" s="56"/>
      <c r="AA142" s="56"/>
      <c r="AB142" s="56"/>
      <c r="AC142" s="56"/>
      <c r="AD142" s="56"/>
      <c r="AE142" s="56"/>
      <c r="AF142" s="17"/>
      <c r="AG142" s="52"/>
      <c r="AH142" s="52"/>
      <c r="AI142" s="52"/>
    </row>
    <row r="143" spans="1:35" s="11" customFormat="1" x14ac:dyDescent="0.35">
      <c r="A143" s="8"/>
      <c r="B143" s="8"/>
      <c r="D143" s="52"/>
      <c r="E143" s="10"/>
      <c r="H143" s="28"/>
      <c r="R143" s="56"/>
      <c r="S143" s="56"/>
      <c r="T143" s="56"/>
      <c r="U143" s="16"/>
      <c r="V143" s="56"/>
      <c r="W143" s="56"/>
      <c r="X143" s="56"/>
      <c r="Y143" s="56"/>
      <c r="Z143" s="56"/>
      <c r="AA143" s="56"/>
      <c r="AB143" s="56"/>
      <c r="AC143" s="56"/>
      <c r="AD143" s="56"/>
      <c r="AE143" s="56"/>
      <c r="AF143" s="17"/>
      <c r="AG143" s="52"/>
      <c r="AH143" s="52"/>
      <c r="AI143" s="52"/>
    </row>
    <row r="144" spans="1:35" s="11" customFormat="1" x14ac:dyDescent="0.35">
      <c r="A144" s="8"/>
      <c r="B144" s="8"/>
      <c r="D144" s="52"/>
      <c r="E144" s="10"/>
      <c r="H144" s="28"/>
      <c r="R144" s="56"/>
      <c r="S144" s="56"/>
      <c r="T144" s="56"/>
      <c r="U144" s="16"/>
      <c r="V144" s="56"/>
      <c r="W144" s="56"/>
      <c r="X144" s="56"/>
      <c r="Y144" s="56"/>
      <c r="Z144" s="56"/>
      <c r="AA144" s="56"/>
      <c r="AB144" s="56"/>
      <c r="AC144" s="56"/>
      <c r="AD144" s="56"/>
      <c r="AE144" s="56"/>
      <c r="AF144" s="17"/>
      <c r="AG144" s="52"/>
      <c r="AH144" s="52"/>
      <c r="AI144" s="52"/>
    </row>
    <row r="145" spans="1:35" s="11" customFormat="1" x14ac:dyDescent="0.35">
      <c r="A145" s="8"/>
      <c r="B145" s="8"/>
      <c r="D145" s="52"/>
      <c r="E145" s="10"/>
      <c r="H145" s="28"/>
      <c r="R145" s="56"/>
      <c r="S145" s="56"/>
      <c r="T145" s="56"/>
      <c r="U145" s="16"/>
      <c r="V145" s="56"/>
      <c r="W145" s="56"/>
      <c r="X145" s="56"/>
      <c r="Y145" s="56"/>
      <c r="Z145" s="56"/>
      <c r="AA145" s="56"/>
      <c r="AB145" s="56"/>
      <c r="AC145" s="56"/>
      <c r="AD145" s="56"/>
      <c r="AE145" s="56"/>
      <c r="AF145" s="17"/>
      <c r="AG145" s="52"/>
      <c r="AH145" s="52"/>
      <c r="AI145" s="52"/>
    </row>
    <row r="146" spans="1:35" s="11" customFormat="1" x14ac:dyDescent="0.35">
      <c r="A146" s="8"/>
      <c r="B146" s="8"/>
      <c r="D146" s="52"/>
      <c r="E146" s="10"/>
      <c r="H146" s="28"/>
      <c r="R146" s="56"/>
      <c r="S146" s="56"/>
      <c r="T146" s="56"/>
      <c r="U146" s="16"/>
      <c r="V146" s="56"/>
      <c r="W146" s="56"/>
      <c r="X146" s="56"/>
      <c r="Y146" s="56"/>
      <c r="Z146" s="56"/>
      <c r="AA146" s="56"/>
      <c r="AB146" s="56"/>
      <c r="AC146" s="56"/>
      <c r="AD146" s="56"/>
      <c r="AE146" s="56"/>
      <c r="AF146" s="17"/>
      <c r="AG146" s="52"/>
      <c r="AH146" s="52"/>
      <c r="AI146" s="52"/>
    </row>
    <row r="147" spans="1:35" s="11" customFormat="1" x14ac:dyDescent="0.35">
      <c r="A147" s="8"/>
      <c r="B147" s="8"/>
      <c r="D147" s="52"/>
      <c r="E147" s="10"/>
      <c r="H147" s="28"/>
      <c r="R147" s="56"/>
      <c r="S147" s="56"/>
      <c r="T147" s="56"/>
      <c r="U147" s="16"/>
      <c r="V147" s="56"/>
      <c r="W147" s="56"/>
      <c r="X147" s="56"/>
      <c r="Y147" s="56"/>
      <c r="Z147" s="56"/>
      <c r="AA147" s="56"/>
      <c r="AB147" s="56"/>
      <c r="AC147" s="56"/>
      <c r="AD147" s="56"/>
      <c r="AE147" s="56"/>
      <c r="AF147" s="17"/>
      <c r="AG147" s="52"/>
      <c r="AH147" s="52"/>
      <c r="AI147" s="52"/>
    </row>
    <row r="148" spans="1:35" s="11" customFormat="1" x14ac:dyDescent="0.35">
      <c r="A148" s="8"/>
      <c r="B148" s="8"/>
      <c r="D148" s="52"/>
      <c r="E148" s="10"/>
      <c r="H148" s="28"/>
      <c r="R148" s="56"/>
      <c r="S148" s="56"/>
      <c r="T148" s="56"/>
      <c r="U148" s="16"/>
      <c r="V148" s="56"/>
      <c r="W148" s="56"/>
      <c r="X148" s="56"/>
      <c r="Y148" s="56"/>
      <c r="Z148" s="56"/>
      <c r="AA148" s="56"/>
      <c r="AB148" s="56"/>
      <c r="AC148" s="56"/>
      <c r="AD148" s="56"/>
      <c r="AE148" s="56"/>
      <c r="AF148" s="17"/>
      <c r="AG148" s="52"/>
      <c r="AH148" s="52"/>
      <c r="AI148" s="52"/>
    </row>
    <row r="149" spans="1:35" s="11" customFormat="1" x14ac:dyDescent="0.35">
      <c r="A149" s="8"/>
      <c r="B149" s="8"/>
      <c r="D149" s="52"/>
      <c r="E149" s="10"/>
      <c r="H149" s="28"/>
      <c r="R149" s="56"/>
      <c r="S149" s="56"/>
      <c r="T149" s="56"/>
      <c r="U149" s="16"/>
      <c r="V149" s="56"/>
      <c r="W149" s="56"/>
      <c r="X149" s="56"/>
      <c r="Y149" s="56"/>
      <c r="Z149" s="56"/>
      <c r="AA149" s="56"/>
      <c r="AB149" s="56"/>
      <c r="AC149" s="56"/>
      <c r="AD149" s="56"/>
      <c r="AE149" s="56"/>
      <c r="AF149" s="17"/>
      <c r="AG149" s="52"/>
      <c r="AH149" s="52"/>
      <c r="AI149" s="52"/>
    </row>
    <row r="150" spans="1:35" s="11" customFormat="1" x14ac:dyDescent="0.35">
      <c r="A150" s="8"/>
      <c r="B150" s="8"/>
      <c r="D150" s="52"/>
      <c r="E150" s="10"/>
      <c r="H150" s="28"/>
      <c r="R150" s="56"/>
      <c r="S150" s="56"/>
      <c r="T150" s="56"/>
      <c r="U150" s="16"/>
      <c r="V150" s="56"/>
      <c r="W150" s="56"/>
      <c r="X150" s="56"/>
      <c r="Y150" s="56"/>
      <c r="Z150" s="56"/>
      <c r="AA150" s="56"/>
      <c r="AB150" s="56"/>
      <c r="AC150" s="56"/>
      <c r="AD150" s="56"/>
      <c r="AE150" s="56"/>
      <c r="AF150" s="17"/>
      <c r="AG150" s="52"/>
      <c r="AH150" s="52"/>
      <c r="AI150" s="52"/>
    </row>
    <row r="151" spans="1:35" s="11" customFormat="1" x14ac:dyDescent="0.35">
      <c r="A151" s="8"/>
      <c r="B151" s="8"/>
      <c r="D151" s="52"/>
      <c r="E151" s="10"/>
      <c r="H151" s="28"/>
      <c r="R151" s="56"/>
      <c r="S151" s="56"/>
      <c r="T151" s="56"/>
      <c r="U151" s="16"/>
      <c r="V151" s="56"/>
      <c r="W151" s="56"/>
      <c r="X151" s="56"/>
      <c r="Y151" s="56"/>
      <c r="Z151" s="56"/>
      <c r="AA151" s="56"/>
      <c r="AB151" s="56"/>
      <c r="AC151" s="56"/>
      <c r="AD151" s="56"/>
      <c r="AE151" s="56"/>
      <c r="AF151" s="17"/>
      <c r="AG151" s="52"/>
      <c r="AH151" s="52"/>
      <c r="AI151" s="52"/>
    </row>
    <row r="152" spans="1:35" s="11" customFormat="1" x14ac:dyDescent="0.35">
      <c r="A152" s="8"/>
      <c r="B152" s="8"/>
      <c r="D152" s="52"/>
      <c r="E152" s="10"/>
      <c r="H152" s="28"/>
      <c r="R152" s="56"/>
      <c r="S152" s="56"/>
      <c r="T152" s="56"/>
      <c r="U152" s="16"/>
      <c r="V152" s="56"/>
      <c r="W152" s="56"/>
      <c r="X152" s="56"/>
      <c r="Y152" s="56"/>
      <c r="Z152" s="56"/>
      <c r="AA152" s="56"/>
      <c r="AB152" s="56"/>
      <c r="AC152" s="56"/>
      <c r="AD152" s="56"/>
      <c r="AE152" s="56"/>
      <c r="AF152" s="17"/>
      <c r="AG152" s="52"/>
      <c r="AH152" s="52"/>
      <c r="AI152" s="52"/>
    </row>
    <row r="153" spans="1:35" s="11" customFormat="1" x14ac:dyDescent="0.35">
      <c r="A153" s="8"/>
      <c r="B153" s="8"/>
      <c r="D153" s="52"/>
      <c r="E153" s="10"/>
      <c r="H153" s="28"/>
      <c r="R153" s="56"/>
      <c r="S153" s="56"/>
      <c r="T153" s="56"/>
      <c r="U153" s="16"/>
      <c r="V153" s="56"/>
      <c r="W153" s="56"/>
      <c r="X153" s="56"/>
      <c r="Y153" s="56"/>
      <c r="Z153" s="56"/>
      <c r="AA153" s="56"/>
      <c r="AB153" s="56"/>
      <c r="AC153" s="56"/>
      <c r="AD153" s="56"/>
      <c r="AE153" s="56"/>
      <c r="AF153" s="17"/>
      <c r="AG153" s="52"/>
      <c r="AH153" s="52"/>
      <c r="AI153" s="52"/>
    </row>
    <row r="154" spans="1:35" s="11" customFormat="1" x14ac:dyDescent="0.35">
      <c r="A154" s="8"/>
      <c r="B154" s="8"/>
      <c r="D154" s="52"/>
      <c r="E154" s="10"/>
      <c r="H154" s="28"/>
      <c r="R154" s="56"/>
      <c r="S154" s="56"/>
      <c r="T154" s="56"/>
      <c r="U154" s="16"/>
      <c r="V154" s="56"/>
      <c r="W154" s="56"/>
      <c r="X154" s="56"/>
      <c r="Y154" s="56"/>
      <c r="Z154" s="56"/>
      <c r="AA154" s="56"/>
      <c r="AB154" s="56"/>
      <c r="AC154" s="56"/>
      <c r="AD154" s="56"/>
      <c r="AE154" s="56"/>
      <c r="AF154" s="17"/>
      <c r="AG154" s="52"/>
      <c r="AH154" s="52"/>
      <c r="AI154" s="52"/>
    </row>
    <row r="155" spans="1:35" s="11" customFormat="1" x14ac:dyDescent="0.35">
      <c r="A155" s="8"/>
      <c r="B155" s="8"/>
      <c r="D155" s="52"/>
      <c r="E155" s="10"/>
      <c r="H155" s="28"/>
      <c r="R155" s="56"/>
      <c r="S155" s="56"/>
      <c r="T155" s="56"/>
      <c r="U155" s="16"/>
      <c r="V155" s="56"/>
      <c r="W155" s="56"/>
      <c r="X155" s="56"/>
      <c r="Y155" s="56"/>
      <c r="Z155" s="56"/>
      <c r="AA155" s="56"/>
      <c r="AB155" s="56"/>
      <c r="AC155" s="56"/>
      <c r="AD155" s="56"/>
      <c r="AE155" s="56"/>
      <c r="AF155" s="17"/>
      <c r="AG155" s="52"/>
      <c r="AH155" s="52"/>
      <c r="AI155" s="52"/>
    </row>
    <row r="156" spans="1:35" s="11" customFormat="1" x14ac:dyDescent="0.35">
      <c r="A156" s="8"/>
      <c r="B156" s="8"/>
      <c r="D156" s="52"/>
      <c r="E156" s="10"/>
      <c r="H156" s="28"/>
      <c r="R156" s="56"/>
      <c r="S156" s="56"/>
      <c r="T156" s="56"/>
      <c r="U156" s="16"/>
      <c r="V156" s="56"/>
      <c r="W156" s="56"/>
      <c r="X156" s="56"/>
      <c r="Y156" s="56"/>
      <c r="Z156" s="56"/>
      <c r="AA156" s="56"/>
      <c r="AB156" s="56"/>
      <c r="AC156" s="56"/>
      <c r="AD156" s="56"/>
      <c r="AE156" s="56"/>
      <c r="AF156" s="17"/>
      <c r="AG156" s="52"/>
      <c r="AH156" s="52"/>
      <c r="AI156" s="52"/>
    </row>
    <row r="157" spans="1:35" s="11" customFormat="1" x14ac:dyDescent="0.35">
      <c r="A157" s="8"/>
      <c r="B157" s="8"/>
      <c r="D157" s="52"/>
      <c r="E157" s="10"/>
      <c r="H157" s="28"/>
      <c r="R157" s="56"/>
      <c r="S157" s="56"/>
      <c r="T157" s="56"/>
      <c r="U157" s="16"/>
      <c r="V157" s="56"/>
      <c r="W157" s="56"/>
      <c r="X157" s="56"/>
      <c r="Y157" s="56"/>
      <c r="Z157" s="56"/>
      <c r="AA157" s="56"/>
      <c r="AB157" s="56"/>
      <c r="AC157" s="56"/>
      <c r="AD157" s="56"/>
      <c r="AE157" s="56"/>
      <c r="AF157" s="17"/>
      <c r="AG157" s="52"/>
      <c r="AH157" s="52"/>
      <c r="AI157" s="52"/>
    </row>
    <row r="158" spans="1:35" s="11" customFormat="1" x14ac:dyDescent="0.35">
      <c r="A158" s="8"/>
      <c r="B158" s="8"/>
      <c r="D158" s="52"/>
      <c r="E158" s="10"/>
      <c r="H158" s="28"/>
      <c r="R158" s="56"/>
      <c r="S158" s="56"/>
      <c r="T158" s="56"/>
      <c r="U158" s="16"/>
      <c r="V158" s="56"/>
      <c r="W158" s="56"/>
      <c r="X158" s="56"/>
      <c r="Y158" s="56"/>
      <c r="Z158" s="56"/>
      <c r="AA158" s="56"/>
      <c r="AB158" s="56"/>
      <c r="AC158" s="56"/>
      <c r="AD158" s="56"/>
      <c r="AE158" s="56"/>
      <c r="AF158" s="17"/>
      <c r="AG158" s="52"/>
      <c r="AH158" s="52"/>
      <c r="AI158" s="52"/>
    </row>
    <row r="159" spans="1:35" s="11" customFormat="1" x14ac:dyDescent="0.35">
      <c r="A159" s="8"/>
      <c r="B159" s="8"/>
      <c r="D159" s="52"/>
      <c r="E159" s="10"/>
      <c r="H159" s="28"/>
      <c r="R159" s="56"/>
      <c r="S159" s="56"/>
      <c r="T159" s="56"/>
      <c r="U159" s="16"/>
      <c r="V159" s="56"/>
      <c r="W159" s="56"/>
      <c r="X159" s="56"/>
      <c r="Y159" s="56"/>
      <c r="Z159" s="56"/>
      <c r="AA159" s="56"/>
      <c r="AB159" s="56"/>
      <c r="AC159" s="56"/>
      <c r="AD159" s="56"/>
      <c r="AE159" s="56"/>
      <c r="AF159" s="17"/>
      <c r="AG159" s="52"/>
      <c r="AH159" s="52"/>
      <c r="AI159" s="52"/>
    </row>
    <row r="160" spans="1:35" s="11" customFormat="1" x14ac:dyDescent="0.35">
      <c r="A160" s="8"/>
      <c r="B160" s="8"/>
      <c r="D160" s="52"/>
      <c r="E160" s="10"/>
      <c r="H160" s="28"/>
      <c r="R160" s="56"/>
      <c r="S160" s="56"/>
      <c r="T160" s="56"/>
      <c r="U160" s="16"/>
      <c r="V160" s="56"/>
      <c r="W160" s="56"/>
      <c r="X160" s="56"/>
      <c r="Y160" s="56"/>
      <c r="Z160" s="56"/>
      <c r="AA160" s="56"/>
      <c r="AB160" s="56"/>
      <c r="AC160" s="56"/>
      <c r="AD160" s="56"/>
      <c r="AE160" s="56"/>
      <c r="AF160" s="17"/>
      <c r="AG160" s="52"/>
      <c r="AH160" s="52"/>
      <c r="AI160" s="52"/>
    </row>
    <row r="161" spans="1:35" s="11" customFormat="1" x14ac:dyDescent="0.35">
      <c r="A161" s="8"/>
      <c r="B161" s="8"/>
      <c r="D161" s="52"/>
      <c r="E161" s="10"/>
      <c r="H161" s="28"/>
      <c r="R161" s="56"/>
      <c r="S161" s="56"/>
      <c r="T161" s="56"/>
      <c r="U161" s="16"/>
      <c r="V161" s="56"/>
      <c r="W161" s="56"/>
      <c r="X161" s="56"/>
      <c r="Y161" s="56"/>
      <c r="Z161" s="56"/>
      <c r="AA161" s="56"/>
      <c r="AB161" s="56"/>
      <c r="AC161" s="56"/>
      <c r="AD161" s="56"/>
      <c r="AE161" s="56"/>
      <c r="AF161" s="17"/>
      <c r="AG161" s="52"/>
      <c r="AH161" s="52"/>
      <c r="AI161" s="52"/>
    </row>
    <row r="162" spans="1:35" s="11" customFormat="1" x14ac:dyDescent="0.35">
      <c r="A162" s="8"/>
      <c r="B162" s="8"/>
      <c r="D162" s="52"/>
      <c r="E162" s="10"/>
      <c r="H162" s="28"/>
      <c r="R162" s="56"/>
      <c r="S162" s="56"/>
      <c r="T162" s="56"/>
      <c r="U162" s="16"/>
      <c r="V162" s="56"/>
      <c r="W162" s="56"/>
      <c r="X162" s="56"/>
      <c r="Y162" s="56"/>
      <c r="Z162" s="56"/>
      <c r="AA162" s="56"/>
      <c r="AB162" s="56"/>
      <c r="AC162" s="56"/>
      <c r="AD162" s="56"/>
      <c r="AE162" s="56"/>
      <c r="AF162" s="17"/>
      <c r="AG162" s="52"/>
      <c r="AH162" s="52"/>
      <c r="AI162" s="52"/>
    </row>
    <row r="163" spans="1:35" s="11" customFormat="1" x14ac:dyDescent="0.35">
      <c r="A163" s="8"/>
      <c r="B163" s="8"/>
      <c r="D163" s="52"/>
      <c r="E163" s="10"/>
      <c r="H163" s="28"/>
      <c r="R163" s="56"/>
      <c r="S163" s="56"/>
      <c r="T163" s="56"/>
      <c r="U163" s="16"/>
      <c r="V163" s="56"/>
      <c r="W163" s="56"/>
      <c r="X163" s="56"/>
      <c r="Y163" s="56"/>
      <c r="Z163" s="56"/>
      <c r="AA163" s="56"/>
      <c r="AB163" s="56"/>
      <c r="AC163" s="56"/>
      <c r="AD163" s="56"/>
      <c r="AE163" s="56"/>
      <c r="AF163" s="17"/>
      <c r="AG163" s="52"/>
      <c r="AH163" s="52"/>
      <c r="AI163" s="52"/>
    </row>
    <row r="164" spans="1:35" s="11" customFormat="1" x14ac:dyDescent="0.35">
      <c r="A164" s="8"/>
      <c r="B164" s="8"/>
      <c r="D164" s="52"/>
      <c r="E164" s="10"/>
      <c r="H164" s="28"/>
      <c r="R164" s="56"/>
      <c r="S164" s="56"/>
      <c r="T164" s="56"/>
      <c r="U164" s="16"/>
      <c r="V164" s="56"/>
      <c r="W164" s="56"/>
      <c r="X164" s="56"/>
      <c r="Y164" s="56"/>
      <c r="Z164" s="56"/>
      <c r="AA164" s="56"/>
      <c r="AB164" s="56"/>
      <c r="AC164" s="56"/>
      <c r="AD164" s="56"/>
      <c r="AE164" s="56"/>
      <c r="AF164" s="17"/>
      <c r="AG164" s="52"/>
      <c r="AH164" s="52"/>
      <c r="AI164" s="52"/>
    </row>
    <row r="165" spans="1:35" s="11" customFormat="1" x14ac:dyDescent="0.35">
      <c r="A165" s="8"/>
      <c r="B165" s="8"/>
      <c r="D165" s="52"/>
      <c r="E165" s="10"/>
      <c r="H165" s="28"/>
      <c r="R165" s="56"/>
      <c r="S165" s="56"/>
      <c r="T165" s="56"/>
      <c r="U165" s="16"/>
      <c r="V165" s="56"/>
      <c r="W165" s="56"/>
      <c r="X165" s="56"/>
      <c r="Y165" s="56"/>
      <c r="Z165" s="56"/>
      <c r="AA165" s="56"/>
      <c r="AB165" s="56"/>
      <c r="AC165" s="56"/>
      <c r="AD165" s="56"/>
      <c r="AE165" s="56"/>
      <c r="AF165" s="17"/>
      <c r="AG165" s="52"/>
      <c r="AH165" s="52"/>
      <c r="AI165" s="52"/>
    </row>
    <row r="166" spans="1:35" s="11" customFormat="1" x14ac:dyDescent="0.35">
      <c r="A166" s="8"/>
      <c r="B166" s="8"/>
      <c r="D166" s="52"/>
      <c r="E166" s="10"/>
      <c r="H166" s="28"/>
      <c r="R166" s="56"/>
      <c r="S166" s="56"/>
      <c r="T166" s="56"/>
      <c r="U166" s="16"/>
      <c r="V166" s="56"/>
      <c r="W166" s="56"/>
      <c r="X166" s="56"/>
      <c r="Y166" s="56"/>
      <c r="Z166" s="56"/>
      <c r="AA166" s="56"/>
      <c r="AB166" s="56"/>
      <c r="AC166" s="56"/>
      <c r="AD166" s="56"/>
      <c r="AE166" s="56"/>
      <c r="AF166" s="17"/>
      <c r="AG166" s="52"/>
      <c r="AH166" s="52"/>
      <c r="AI166" s="52"/>
    </row>
    <row r="167" spans="1:35" s="11" customFormat="1" x14ac:dyDescent="0.35">
      <c r="A167" s="8"/>
      <c r="B167" s="8"/>
      <c r="D167" s="52"/>
      <c r="E167" s="10"/>
      <c r="H167" s="28"/>
      <c r="R167" s="56"/>
      <c r="S167" s="56"/>
      <c r="T167" s="56"/>
      <c r="U167" s="16"/>
      <c r="V167" s="56"/>
      <c r="W167" s="56"/>
      <c r="X167" s="56"/>
      <c r="Y167" s="56"/>
      <c r="Z167" s="56"/>
      <c r="AA167" s="56"/>
      <c r="AB167" s="56"/>
      <c r="AC167" s="56"/>
      <c r="AD167" s="56"/>
      <c r="AE167" s="56"/>
      <c r="AF167" s="17"/>
      <c r="AG167" s="52"/>
      <c r="AH167" s="52"/>
      <c r="AI167" s="52"/>
    </row>
    <row r="168" spans="1:35" s="11" customFormat="1" x14ac:dyDescent="0.35">
      <c r="A168" s="8"/>
      <c r="B168" s="8"/>
      <c r="D168" s="52"/>
      <c r="E168" s="10"/>
      <c r="H168" s="28"/>
      <c r="R168" s="56"/>
      <c r="S168" s="56"/>
      <c r="T168" s="56"/>
      <c r="U168" s="16"/>
      <c r="V168" s="56"/>
      <c r="W168" s="56"/>
      <c r="X168" s="56"/>
      <c r="Y168" s="56"/>
      <c r="Z168" s="56"/>
      <c r="AA168" s="56"/>
      <c r="AB168" s="56"/>
      <c r="AC168" s="56"/>
      <c r="AD168" s="56"/>
      <c r="AE168" s="56"/>
      <c r="AF168" s="17"/>
      <c r="AG168" s="52"/>
      <c r="AH168" s="52"/>
      <c r="AI168" s="52"/>
    </row>
    <row r="169" spans="1:35" s="11" customFormat="1" x14ac:dyDescent="0.35">
      <c r="A169" s="8"/>
      <c r="B169" s="8"/>
      <c r="D169" s="52"/>
      <c r="E169" s="10"/>
      <c r="H169" s="28"/>
      <c r="R169" s="56"/>
      <c r="S169" s="56"/>
      <c r="T169" s="56"/>
      <c r="U169" s="16"/>
      <c r="V169" s="56"/>
      <c r="W169" s="56"/>
      <c r="X169" s="56"/>
      <c r="Y169" s="56"/>
      <c r="Z169" s="56"/>
      <c r="AA169" s="56"/>
      <c r="AB169" s="56"/>
      <c r="AC169" s="56"/>
      <c r="AD169" s="56"/>
      <c r="AE169" s="56"/>
      <c r="AF169" s="17"/>
      <c r="AG169" s="52"/>
      <c r="AH169" s="52"/>
      <c r="AI169" s="52"/>
    </row>
    <row r="170" spans="1:35" s="11" customFormat="1" x14ac:dyDescent="0.35">
      <c r="A170" s="8"/>
      <c r="B170" s="8"/>
      <c r="D170" s="52"/>
      <c r="E170" s="10"/>
      <c r="H170" s="28"/>
      <c r="R170" s="56"/>
      <c r="S170" s="56"/>
      <c r="T170" s="56"/>
      <c r="U170" s="16"/>
      <c r="V170" s="56"/>
      <c r="W170" s="56"/>
      <c r="X170" s="56"/>
      <c r="Y170" s="56"/>
      <c r="Z170" s="56"/>
      <c r="AA170" s="56"/>
      <c r="AB170" s="56"/>
      <c r="AC170" s="56"/>
      <c r="AD170" s="56"/>
      <c r="AE170" s="56"/>
      <c r="AF170" s="17"/>
      <c r="AG170" s="52"/>
      <c r="AH170" s="52"/>
      <c r="AI170" s="52"/>
    </row>
    <row r="171" spans="1:35" s="11" customFormat="1" x14ac:dyDescent="0.35">
      <c r="A171" s="8"/>
      <c r="B171" s="8"/>
      <c r="D171" s="52"/>
      <c r="E171" s="10"/>
      <c r="H171" s="28"/>
      <c r="R171" s="56"/>
      <c r="S171" s="56"/>
      <c r="T171" s="56"/>
      <c r="U171" s="16"/>
      <c r="V171" s="56"/>
      <c r="W171" s="56"/>
      <c r="X171" s="56"/>
      <c r="Y171" s="56"/>
      <c r="Z171" s="56"/>
      <c r="AA171" s="56"/>
      <c r="AB171" s="56"/>
      <c r="AC171" s="56"/>
      <c r="AD171" s="56"/>
      <c r="AE171" s="56"/>
      <c r="AF171" s="17"/>
      <c r="AG171" s="52"/>
      <c r="AH171" s="52"/>
      <c r="AI171" s="52"/>
    </row>
    <row r="172" spans="1:35" s="11" customFormat="1" x14ac:dyDescent="0.35">
      <c r="A172" s="8"/>
      <c r="B172" s="8"/>
      <c r="D172" s="52"/>
      <c r="E172" s="10"/>
      <c r="H172" s="28"/>
      <c r="R172" s="56"/>
      <c r="S172" s="56"/>
      <c r="T172" s="56"/>
      <c r="U172" s="16"/>
      <c r="V172" s="56"/>
      <c r="W172" s="56"/>
      <c r="X172" s="56"/>
      <c r="Y172" s="56"/>
      <c r="Z172" s="56"/>
      <c r="AA172" s="56"/>
      <c r="AB172" s="56"/>
      <c r="AC172" s="56"/>
      <c r="AD172" s="56"/>
      <c r="AE172" s="56"/>
      <c r="AF172" s="17"/>
      <c r="AG172" s="52"/>
      <c r="AH172" s="52"/>
      <c r="AI172" s="52"/>
    </row>
    <row r="173" spans="1:35" s="11" customFormat="1" x14ac:dyDescent="0.35">
      <c r="A173" s="8"/>
      <c r="B173" s="8"/>
      <c r="D173" s="52"/>
      <c r="E173" s="10"/>
      <c r="H173" s="28"/>
      <c r="R173" s="56"/>
      <c r="S173" s="56"/>
      <c r="T173" s="56"/>
      <c r="U173" s="16"/>
      <c r="V173" s="56"/>
      <c r="W173" s="56"/>
      <c r="X173" s="56"/>
      <c r="Y173" s="56"/>
      <c r="Z173" s="56"/>
      <c r="AA173" s="56"/>
      <c r="AB173" s="56"/>
      <c r="AC173" s="56"/>
      <c r="AD173" s="56"/>
      <c r="AE173" s="56"/>
      <c r="AF173" s="17"/>
      <c r="AG173" s="52"/>
      <c r="AH173" s="52"/>
      <c r="AI173" s="52"/>
    </row>
    <row r="174" spans="1:35" s="11" customFormat="1" x14ac:dyDescent="0.35">
      <c r="A174" s="8"/>
      <c r="B174" s="8"/>
      <c r="D174" s="52"/>
      <c r="E174" s="10"/>
      <c r="H174" s="28"/>
      <c r="R174" s="56"/>
      <c r="S174" s="56"/>
      <c r="T174" s="56"/>
      <c r="U174" s="16"/>
      <c r="V174" s="56"/>
      <c r="W174" s="56"/>
      <c r="X174" s="56"/>
      <c r="Y174" s="56"/>
      <c r="Z174" s="56"/>
      <c r="AA174" s="56"/>
      <c r="AB174" s="56"/>
      <c r="AC174" s="56"/>
      <c r="AD174" s="56"/>
      <c r="AE174" s="56"/>
      <c r="AF174" s="17"/>
      <c r="AG174" s="52"/>
      <c r="AH174" s="52"/>
      <c r="AI174" s="52"/>
    </row>
    <row r="175" spans="1:35" s="11" customFormat="1" x14ac:dyDescent="0.35">
      <c r="A175" s="8"/>
      <c r="B175" s="8"/>
      <c r="D175" s="52"/>
      <c r="E175" s="10"/>
      <c r="H175" s="28"/>
      <c r="R175" s="56"/>
      <c r="S175" s="56"/>
      <c r="T175" s="56"/>
      <c r="U175" s="16"/>
      <c r="V175" s="56"/>
      <c r="W175" s="56"/>
      <c r="X175" s="56"/>
      <c r="Y175" s="56"/>
      <c r="Z175" s="56"/>
      <c r="AA175" s="56"/>
      <c r="AB175" s="56"/>
      <c r="AC175" s="56"/>
      <c r="AD175" s="56"/>
      <c r="AE175" s="56"/>
      <c r="AF175" s="17"/>
      <c r="AG175" s="52"/>
      <c r="AH175" s="52"/>
      <c r="AI175" s="52"/>
    </row>
    <row r="176" spans="1:35" s="11" customFormat="1" x14ac:dyDescent="0.35">
      <c r="A176" s="8"/>
      <c r="B176" s="8"/>
      <c r="D176" s="52"/>
      <c r="E176" s="10"/>
      <c r="H176" s="28"/>
      <c r="R176" s="56"/>
      <c r="S176" s="56"/>
      <c r="T176" s="56"/>
      <c r="U176" s="16"/>
      <c r="V176" s="56"/>
      <c r="W176" s="56"/>
      <c r="X176" s="56"/>
      <c r="Y176" s="56"/>
      <c r="Z176" s="56"/>
      <c r="AA176" s="56"/>
      <c r="AB176" s="56"/>
      <c r="AC176" s="56"/>
      <c r="AD176" s="56"/>
      <c r="AE176" s="56"/>
      <c r="AF176" s="17"/>
      <c r="AG176" s="52"/>
      <c r="AH176" s="52"/>
      <c r="AI176" s="52"/>
    </row>
    <row r="177" spans="1:35" s="11" customFormat="1" x14ac:dyDescent="0.35">
      <c r="A177" s="8"/>
      <c r="B177" s="8"/>
      <c r="D177" s="52"/>
      <c r="E177" s="10"/>
      <c r="H177" s="28"/>
      <c r="R177" s="56"/>
      <c r="S177" s="56"/>
      <c r="T177" s="56"/>
      <c r="U177" s="16"/>
      <c r="V177" s="56"/>
      <c r="W177" s="56"/>
      <c r="X177" s="56"/>
      <c r="Y177" s="56"/>
      <c r="Z177" s="56"/>
      <c r="AA177" s="56"/>
      <c r="AB177" s="56"/>
      <c r="AC177" s="56"/>
      <c r="AD177" s="56"/>
      <c r="AE177" s="56"/>
      <c r="AF177" s="17"/>
      <c r="AG177" s="52"/>
      <c r="AH177" s="52"/>
      <c r="AI177" s="52"/>
    </row>
    <row r="178" spans="1:35" s="11" customFormat="1" x14ac:dyDescent="0.35">
      <c r="A178" s="8"/>
      <c r="B178" s="8"/>
      <c r="D178" s="52"/>
      <c r="E178" s="10"/>
      <c r="H178" s="28"/>
      <c r="R178" s="56"/>
      <c r="S178" s="56"/>
      <c r="T178" s="56"/>
      <c r="U178" s="16"/>
      <c r="V178" s="56"/>
      <c r="W178" s="56"/>
      <c r="X178" s="56"/>
      <c r="Y178" s="56"/>
      <c r="Z178" s="56"/>
      <c r="AA178" s="56"/>
      <c r="AB178" s="56"/>
      <c r="AC178" s="56"/>
      <c r="AD178" s="56"/>
      <c r="AE178" s="56"/>
      <c r="AF178" s="17"/>
      <c r="AG178" s="52"/>
      <c r="AH178" s="52"/>
      <c r="AI178" s="52"/>
    </row>
    <row r="179" spans="1:35" s="11" customFormat="1" x14ac:dyDescent="0.35">
      <c r="A179" s="8"/>
      <c r="B179" s="8"/>
      <c r="D179" s="52"/>
      <c r="E179" s="10"/>
      <c r="H179" s="28"/>
      <c r="R179" s="56"/>
      <c r="S179" s="56"/>
      <c r="T179" s="56"/>
      <c r="U179" s="16"/>
      <c r="V179" s="56"/>
      <c r="W179" s="56"/>
      <c r="X179" s="56"/>
      <c r="Y179" s="56"/>
      <c r="Z179" s="56"/>
      <c r="AA179" s="56"/>
      <c r="AB179" s="56"/>
      <c r="AC179" s="56"/>
      <c r="AD179" s="56"/>
      <c r="AE179" s="56"/>
      <c r="AF179" s="17"/>
      <c r="AG179" s="52"/>
      <c r="AH179" s="52"/>
      <c r="AI179" s="52"/>
    </row>
    <row r="180" spans="1:35" s="11" customFormat="1" x14ac:dyDescent="0.35">
      <c r="A180" s="8"/>
      <c r="B180" s="8"/>
      <c r="D180" s="52"/>
      <c r="E180" s="10"/>
      <c r="H180" s="28"/>
      <c r="R180" s="56"/>
      <c r="S180" s="56"/>
      <c r="T180" s="56"/>
      <c r="U180" s="16"/>
      <c r="V180" s="56"/>
      <c r="W180" s="56"/>
      <c r="X180" s="56"/>
      <c r="Y180" s="56"/>
      <c r="Z180" s="56"/>
      <c r="AA180" s="56"/>
      <c r="AB180" s="56"/>
      <c r="AC180" s="56"/>
      <c r="AD180" s="56"/>
      <c r="AE180" s="56"/>
      <c r="AF180" s="17"/>
      <c r="AG180" s="52"/>
      <c r="AH180" s="52"/>
      <c r="AI180" s="52"/>
    </row>
    <row r="181" spans="1:35" s="11" customFormat="1" x14ac:dyDescent="0.35">
      <c r="A181" s="8"/>
      <c r="B181" s="8"/>
      <c r="D181" s="52"/>
      <c r="E181" s="10"/>
      <c r="H181" s="28"/>
      <c r="R181" s="56"/>
      <c r="S181" s="56"/>
      <c r="T181" s="56"/>
      <c r="U181" s="16"/>
      <c r="V181" s="56"/>
      <c r="W181" s="56"/>
      <c r="X181" s="56"/>
      <c r="Y181" s="56"/>
      <c r="Z181" s="56"/>
      <c r="AA181" s="56"/>
      <c r="AB181" s="56"/>
      <c r="AC181" s="56"/>
      <c r="AD181" s="56"/>
      <c r="AE181" s="56"/>
      <c r="AF181" s="17"/>
      <c r="AG181" s="52"/>
      <c r="AH181" s="52"/>
      <c r="AI181" s="52"/>
    </row>
    <row r="182" spans="1:35" s="11" customFormat="1" x14ac:dyDescent="0.35">
      <c r="A182" s="8"/>
      <c r="B182" s="8"/>
      <c r="D182" s="52"/>
      <c r="E182" s="10"/>
      <c r="H182" s="28"/>
      <c r="R182" s="56"/>
      <c r="S182" s="56"/>
      <c r="T182" s="56"/>
      <c r="U182" s="16"/>
      <c r="V182" s="56"/>
      <c r="W182" s="56"/>
      <c r="X182" s="56"/>
      <c r="Y182" s="56"/>
      <c r="Z182" s="56"/>
      <c r="AA182" s="56"/>
      <c r="AB182" s="56"/>
      <c r="AC182" s="56"/>
      <c r="AD182" s="56"/>
      <c r="AE182" s="56"/>
      <c r="AF182" s="17"/>
      <c r="AG182" s="52"/>
      <c r="AH182" s="52"/>
      <c r="AI182" s="52"/>
    </row>
    <row r="183" spans="1:35" s="11" customFormat="1" x14ac:dyDescent="0.35">
      <c r="A183" s="8"/>
      <c r="B183" s="8"/>
      <c r="D183" s="52"/>
      <c r="E183" s="10"/>
      <c r="H183" s="28"/>
      <c r="R183" s="56"/>
      <c r="S183" s="56"/>
      <c r="T183" s="56"/>
      <c r="U183" s="16"/>
      <c r="V183" s="56"/>
      <c r="W183" s="56"/>
      <c r="X183" s="56"/>
      <c r="Y183" s="56"/>
      <c r="Z183" s="56"/>
      <c r="AA183" s="56"/>
      <c r="AB183" s="56"/>
      <c r="AC183" s="56"/>
      <c r="AD183" s="56"/>
      <c r="AE183" s="56"/>
      <c r="AF183" s="17"/>
      <c r="AG183" s="52"/>
      <c r="AH183" s="52"/>
      <c r="AI183" s="52"/>
    </row>
    <row r="184" spans="1:35" s="11" customFormat="1" x14ac:dyDescent="0.35">
      <c r="A184" s="8"/>
      <c r="B184" s="8"/>
      <c r="D184" s="52"/>
      <c r="E184" s="10"/>
      <c r="H184" s="28"/>
      <c r="R184" s="56"/>
      <c r="S184" s="56"/>
      <c r="T184" s="56"/>
      <c r="U184" s="16"/>
      <c r="V184" s="56"/>
      <c r="W184" s="56"/>
      <c r="X184" s="56"/>
      <c r="Y184" s="56"/>
      <c r="Z184" s="56"/>
      <c r="AA184" s="56"/>
      <c r="AB184" s="56"/>
      <c r="AC184" s="56"/>
      <c r="AD184" s="56"/>
      <c r="AE184" s="56"/>
      <c r="AF184" s="17"/>
      <c r="AG184" s="52"/>
      <c r="AH184" s="52"/>
      <c r="AI184" s="52"/>
    </row>
    <row r="185" spans="1:35" s="11" customFormat="1" x14ac:dyDescent="0.35">
      <c r="A185" s="8"/>
      <c r="B185" s="8"/>
      <c r="D185" s="52"/>
      <c r="E185" s="10"/>
      <c r="H185" s="28"/>
      <c r="R185" s="56"/>
      <c r="S185" s="56"/>
      <c r="T185" s="56"/>
      <c r="U185" s="16"/>
      <c r="V185" s="56"/>
      <c r="W185" s="56"/>
      <c r="X185" s="56"/>
      <c r="Y185" s="56"/>
      <c r="Z185" s="56"/>
      <c r="AA185" s="56"/>
      <c r="AB185" s="56"/>
      <c r="AC185" s="56"/>
      <c r="AD185" s="56"/>
      <c r="AE185" s="56"/>
      <c r="AF185" s="17"/>
      <c r="AG185" s="52"/>
      <c r="AH185" s="52"/>
      <c r="AI185" s="52"/>
    </row>
    <row r="186" spans="1:35" s="11" customFormat="1" x14ac:dyDescent="0.35">
      <c r="A186" s="8"/>
      <c r="B186" s="8"/>
      <c r="D186" s="52"/>
      <c r="E186" s="10"/>
      <c r="H186" s="28"/>
      <c r="R186" s="56"/>
      <c r="S186" s="56"/>
      <c r="T186" s="56"/>
      <c r="U186" s="16"/>
      <c r="V186" s="56"/>
      <c r="W186" s="56"/>
      <c r="X186" s="56"/>
      <c r="Y186" s="56"/>
      <c r="Z186" s="56"/>
      <c r="AA186" s="56"/>
      <c r="AB186" s="56"/>
      <c r="AC186" s="56"/>
      <c r="AD186" s="56"/>
      <c r="AE186" s="56"/>
      <c r="AF186" s="17"/>
      <c r="AG186" s="52"/>
      <c r="AH186" s="52"/>
      <c r="AI186" s="52"/>
    </row>
    <row r="187" spans="1:35" s="11" customFormat="1" x14ac:dyDescent="0.35">
      <c r="A187" s="8"/>
      <c r="B187" s="8"/>
      <c r="D187" s="52"/>
      <c r="E187" s="10"/>
      <c r="H187" s="28"/>
      <c r="R187" s="56"/>
      <c r="S187" s="56"/>
      <c r="T187" s="56"/>
      <c r="U187" s="16"/>
      <c r="V187" s="56"/>
      <c r="W187" s="56"/>
      <c r="X187" s="56"/>
      <c r="Y187" s="56"/>
      <c r="Z187" s="56"/>
      <c r="AA187" s="56"/>
      <c r="AB187" s="56"/>
      <c r="AC187" s="56"/>
      <c r="AD187" s="56"/>
      <c r="AE187" s="56"/>
      <c r="AF187" s="17"/>
      <c r="AG187" s="52"/>
      <c r="AH187" s="52"/>
      <c r="AI187" s="52"/>
    </row>
    <row r="188" spans="1:35" s="11" customFormat="1" x14ac:dyDescent="0.35">
      <c r="A188" s="8"/>
      <c r="B188" s="8"/>
      <c r="D188" s="52"/>
      <c r="E188" s="10"/>
      <c r="H188" s="28"/>
      <c r="R188" s="56"/>
      <c r="S188" s="56"/>
      <c r="T188" s="56"/>
      <c r="U188" s="16"/>
      <c r="V188" s="56"/>
      <c r="W188" s="56"/>
      <c r="X188" s="56"/>
      <c r="Y188" s="56"/>
      <c r="Z188" s="56"/>
      <c r="AA188" s="56"/>
      <c r="AB188" s="56"/>
      <c r="AC188" s="56"/>
      <c r="AD188" s="56"/>
      <c r="AE188" s="56"/>
      <c r="AF188" s="17"/>
      <c r="AG188" s="52"/>
      <c r="AH188" s="52"/>
      <c r="AI188" s="52"/>
    </row>
    <row r="189" spans="1:35" s="11" customFormat="1" x14ac:dyDescent="0.35">
      <c r="A189" s="8"/>
      <c r="B189" s="8"/>
      <c r="D189" s="52"/>
      <c r="E189" s="10"/>
      <c r="H189" s="28"/>
      <c r="R189" s="56"/>
      <c r="S189" s="56"/>
      <c r="T189" s="56"/>
      <c r="U189" s="16"/>
      <c r="V189" s="56"/>
      <c r="W189" s="56"/>
      <c r="X189" s="56"/>
      <c r="Y189" s="56"/>
      <c r="Z189" s="56"/>
      <c r="AA189" s="56"/>
      <c r="AB189" s="56"/>
      <c r="AC189" s="56"/>
      <c r="AD189" s="56"/>
      <c r="AE189" s="56"/>
      <c r="AF189" s="17"/>
      <c r="AG189" s="52"/>
      <c r="AH189" s="52"/>
      <c r="AI189" s="52"/>
    </row>
    <row r="190" spans="1:35" s="11" customFormat="1" x14ac:dyDescent="0.35">
      <c r="A190" s="8"/>
      <c r="B190" s="8"/>
      <c r="D190" s="52"/>
      <c r="E190" s="10"/>
      <c r="H190" s="28"/>
      <c r="R190" s="56"/>
      <c r="S190" s="56"/>
      <c r="T190" s="56"/>
      <c r="U190" s="16"/>
      <c r="V190" s="56"/>
      <c r="W190" s="56"/>
      <c r="X190" s="56"/>
      <c r="Y190" s="56"/>
      <c r="Z190" s="56"/>
      <c r="AA190" s="56"/>
      <c r="AB190" s="56"/>
      <c r="AC190" s="56"/>
      <c r="AD190" s="56"/>
      <c r="AE190" s="56"/>
      <c r="AF190" s="17"/>
      <c r="AG190" s="52"/>
      <c r="AH190" s="52"/>
      <c r="AI190" s="52"/>
    </row>
    <row r="191" spans="1:35" s="11" customFormat="1" x14ac:dyDescent="0.35">
      <c r="A191" s="8"/>
      <c r="B191" s="8"/>
      <c r="D191" s="52"/>
      <c r="E191" s="10"/>
      <c r="H191" s="28"/>
      <c r="R191" s="56"/>
      <c r="S191" s="56"/>
      <c r="T191" s="56"/>
      <c r="U191" s="16"/>
      <c r="V191" s="56"/>
      <c r="W191" s="56"/>
      <c r="X191" s="56"/>
      <c r="Y191" s="56"/>
      <c r="Z191" s="56"/>
      <c r="AA191" s="56"/>
      <c r="AB191" s="56"/>
      <c r="AC191" s="56"/>
      <c r="AD191" s="56"/>
      <c r="AE191" s="56"/>
      <c r="AF191" s="17"/>
      <c r="AG191" s="52"/>
      <c r="AH191" s="52"/>
      <c r="AI191" s="52"/>
    </row>
    <row r="192" spans="1:35" s="11" customFormat="1" x14ac:dyDescent="0.35">
      <c r="A192" s="8"/>
      <c r="B192" s="8"/>
      <c r="D192" s="52"/>
      <c r="E192" s="10"/>
      <c r="H192" s="28"/>
      <c r="R192" s="56"/>
      <c r="S192" s="56"/>
      <c r="T192" s="56"/>
      <c r="U192" s="16"/>
      <c r="V192" s="56"/>
      <c r="W192" s="56"/>
      <c r="X192" s="56"/>
      <c r="Y192" s="56"/>
      <c r="Z192" s="56"/>
      <c r="AA192" s="56"/>
      <c r="AB192" s="56"/>
      <c r="AC192" s="56"/>
      <c r="AD192" s="56"/>
      <c r="AE192" s="56"/>
      <c r="AF192" s="17"/>
      <c r="AG192" s="52"/>
      <c r="AH192" s="52"/>
      <c r="AI192" s="52"/>
    </row>
    <row r="193" spans="1:35" s="11" customFormat="1" x14ac:dyDescent="0.35">
      <c r="A193" s="8"/>
      <c r="B193" s="8"/>
      <c r="D193" s="52"/>
      <c r="E193" s="10"/>
      <c r="H193" s="28"/>
      <c r="R193" s="56"/>
      <c r="S193" s="56"/>
      <c r="T193" s="56"/>
      <c r="U193" s="16"/>
      <c r="V193" s="56"/>
      <c r="W193" s="56"/>
      <c r="X193" s="56"/>
      <c r="Y193" s="56"/>
      <c r="Z193" s="56"/>
      <c r="AA193" s="56"/>
      <c r="AB193" s="56"/>
      <c r="AC193" s="56"/>
      <c r="AD193" s="56"/>
      <c r="AE193" s="56"/>
      <c r="AF193" s="17"/>
      <c r="AG193" s="52"/>
      <c r="AH193" s="52"/>
      <c r="AI193" s="52"/>
    </row>
    <row r="194" spans="1:35" s="11" customFormat="1" x14ac:dyDescent="0.35">
      <c r="A194" s="8"/>
      <c r="B194" s="8"/>
      <c r="D194" s="52"/>
      <c r="E194" s="10"/>
      <c r="H194" s="28"/>
      <c r="R194" s="56"/>
      <c r="S194" s="56"/>
      <c r="T194" s="56"/>
      <c r="U194" s="16"/>
      <c r="V194" s="56"/>
      <c r="W194" s="56"/>
      <c r="X194" s="56"/>
      <c r="Y194" s="56"/>
      <c r="Z194" s="56"/>
      <c r="AA194" s="56"/>
      <c r="AB194" s="56"/>
      <c r="AC194" s="56"/>
      <c r="AD194" s="56"/>
      <c r="AE194" s="56"/>
      <c r="AF194" s="17"/>
      <c r="AG194" s="52"/>
      <c r="AH194" s="52"/>
      <c r="AI194" s="52"/>
    </row>
    <row r="195" spans="1:35" s="11" customFormat="1" x14ac:dyDescent="0.35">
      <c r="A195" s="8"/>
      <c r="B195" s="8"/>
      <c r="D195" s="52"/>
      <c r="E195" s="10"/>
      <c r="H195" s="28"/>
      <c r="R195" s="56"/>
      <c r="S195" s="56"/>
      <c r="T195" s="56"/>
      <c r="U195" s="16"/>
      <c r="V195" s="56"/>
      <c r="W195" s="56"/>
      <c r="X195" s="56"/>
      <c r="Y195" s="56"/>
      <c r="Z195" s="56"/>
      <c r="AA195" s="56"/>
      <c r="AB195" s="56"/>
      <c r="AC195" s="56"/>
      <c r="AD195" s="56"/>
      <c r="AE195" s="56"/>
      <c r="AF195" s="17"/>
      <c r="AG195" s="52"/>
      <c r="AH195" s="52"/>
      <c r="AI195" s="52"/>
    </row>
    <row r="196" spans="1:35" s="11" customFormat="1" x14ac:dyDescent="0.35">
      <c r="A196" s="8"/>
      <c r="B196" s="8"/>
      <c r="D196" s="52"/>
      <c r="E196" s="10"/>
      <c r="H196" s="28"/>
      <c r="R196" s="56"/>
      <c r="S196" s="56"/>
      <c r="T196" s="56"/>
      <c r="U196" s="16"/>
      <c r="V196" s="56"/>
      <c r="W196" s="56"/>
      <c r="X196" s="56"/>
      <c r="Y196" s="56"/>
      <c r="Z196" s="56"/>
      <c r="AA196" s="56"/>
      <c r="AB196" s="56"/>
      <c r="AC196" s="56"/>
      <c r="AD196" s="56"/>
      <c r="AE196" s="56"/>
      <c r="AF196" s="17"/>
      <c r="AG196" s="52"/>
      <c r="AH196" s="52"/>
      <c r="AI196" s="52"/>
    </row>
    <row r="197" spans="1:35" s="11" customFormat="1" x14ac:dyDescent="0.35">
      <c r="A197" s="8"/>
      <c r="B197" s="8"/>
      <c r="D197" s="52"/>
      <c r="E197" s="10"/>
      <c r="H197" s="28"/>
      <c r="R197" s="56"/>
      <c r="S197" s="56"/>
      <c r="T197" s="56"/>
      <c r="U197" s="16"/>
      <c r="V197" s="56"/>
      <c r="W197" s="56"/>
      <c r="X197" s="56"/>
      <c r="Y197" s="56"/>
      <c r="Z197" s="56"/>
      <c r="AA197" s="56"/>
      <c r="AB197" s="56"/>
      <c r="AC197" s="56"/>
      <c r="AD197" s="56"/>
      <c r="AE197" s="56"/>
      <c r="AF197" s="17"/>
      <c r="AG197" s="52"/>
      <c r="AH197" s="52"/>
      <c r="AI197" s="52"/>
    </row>
    <row r="198" spans="1:35" s="11" customFormat="1" x14ac:dyDescent="0.35">
      <c r="A198" s="8"/>
      <c r="B198" s="8"/>
      <c r="D198" s="52"/>
      <c r="E198" s="10"/>
      <c r="H198" s="28"/>
      <c r="R198" s="56"/>
      <c r="S198" s="56"/>
      <c r="T198" s="56"/>
      <c r="U198" s="16"/>
      <c r="V198" s="56"/>
      <c r="W198" s="56"/>
      <c r="X198" s="56"/>
      <c r="Y198" s="56"/>
      <c r="Z198" s="56"/>
      <c r="AA198" s="56"/>
      <c r="AB198" s="56"/>
      <c r="AC198" s="56"/>
      <c r="AD198" s="56"/>
      <c r="AE198" s="56"/>
      <c r="AF198" s="17"/>
      <c r="AG198" s="52"/>
      <c r="AH198" s="52"/>
      <c r="AI198" s="52"/>
    </row>
    <row r="199" spans="1:35" s="11" customFormat="1" x14ac:dyDescent="0.35">
      <c r="A199" s="8"/>
      <c r="B199" s="8"/>
      <c r="D199" s="52"/>
      <c r="E199" s="10"/>
      <c r="H199" s="28"/>
      <c r="R199" s="56"/>
      <c r="S199" s="56"/>
      <c r="T199" s="56"/>
      <c r="U199" s="16"/>
      <c r="V199" s="56"/>
      <c r="W199" s="56"/>
      <c r="X199" s="56"/>
      <c r="Y199" s="56"/>
      <c r="Z199" s="56"/>
      <c r="AA199" s="56"/>
      <c r="AB199" s="56"/>
      <c r="AC199" s="56"/>
      <c r="AD199" s="56"/>
      <c r="AE199" s="56"/>
      <c r="AF199" s="17"/>
      <c r="AG199" s="52"/>
      <c r="AH199" s="52"/>
      <c r="AI199" s="52"/>
    </row>
    <row r="200" spans="1:35" s="11" customFormat="1" x14ac:dyDescent="0.35">
      <c r="A200" s="8"/>
      <c r="B200" s="8"/>
      <c r="D200" s="52"/>
      <c r="E200" s="10"/>
      <c r="H200" s="28"/>
      <c r="R200" s="56"/>
      <c r="S200" s="56"/>
      <c r="T200" s="56"/>
      <c r="U200" s="16"/>
      <c r="V200" s="56"/>
      <c r="W200" s="56"/>
      <c r="X200" s="56"/>
      <c r="Y200" s="56"/>
      <c r="Z200" s="56"/>
      <c r="AA200" s="56"/>
      <c r="AB200" s="56"/>
      <c r="AC200" s="56"/>
      <c r="AD200" s="56"/>
      <c r="AE200" s="56"/>
      <c r="AF200" s="17"/>
      <c r="AG200" s="52"/>
      <c r="AH200" s="52"/>
      <c r="AI200" s="52"/>
    </row>
    <row r="201" spans="1:35" s="11" customFormat="1" x14ac:dyDescent="0.35">
      <c r="A201" s="8"/>
      <c r="B201" s="8"/>
      <c r="D201" s="52"/>
      <c r="E201" s="10"/>
      <c r="H201" s="28"/>
      <c r="R201" s="56"/>
      <c r="S201" s="56"/>
      <c r="T201" s="56"/>
      <c r="U201" s="16"/>
      <c r="V201" s="56"/>
      <c r="W201" s="56"/>
      <c r="X201" s="56"/>
      <c r="Y201" s="56"/>
      <c r="Z201" s="56"/>
      <c r="AA201" s="56"/>
      <c r="AB201" s="56"/>
      <c r="AC201" s="56"/>
      <c r="AD201" s="56"/>
      <c r="AE201" s="56"/>
      <c r="AF201" s="17"/>
      <c r="AG201" s="52"/>
      <c r="AH201" s="52"/>
      <c r="AI201" s="52"/>
    </row>
    <row r="202" spans="1:35" s="11" customFormat="1" x14ac:dyDescent="0.35">
      <c r="A202" s="8"/>
      <c r="B202" s="8"/>
      <c r="D202" s="52"/>
      <c r="E202" s="10"/>
      <c r="H202" s="28"/>
      <c r="R202" s="56"/>
      <c r="S202" s="56"/>
      <c r="T202" s="56"/>
      <c r="U202" s="16"/>
      <c r="V202" s="56"/>
      <c r="W202" s="56"/>
      <c r="X202" s="56"/>
      <c r="Y202" s="56"/>
      <c r="Z202" s="56"/>
      <c r="AA202" s="56"/>
      <c r="AB202" s="56"/>
      <c r="AC202" s="56"/>
      <c r="AD202" s="56"/>
      <c r="AE202" s="56"/>
      <c r="AF202" s="17"/>
      <c r="AG202" s="52"/>
      <c r="AH202" s="52"/>
      <c r="AI202" s="52"/>
    </row>
    <row r="203" spans="1:35" s="11" customFormat="1" x14ac:dyDescent="0.35">
      <c r="A203" s="8"/>
      <c r="B203" s="8"/>
      <c r="D203" s="52"/>
      <c r="E203" s="10"/>
      <c r="H203" s="28"/>
      <c r="R203" s="56"/>
      <c r="S203" s="56"/>
      <c r="T203" s="56"/>
      <c r="U203" s="16"/>
      <c r="V203" s="56"/>
      <c r="W203" s="56"/>
      <c r="X203" s="56"/>
      <c r="Y203" s="56"/>
      <c r="Z203" s="56"/>
      <c r="AA203" s="56"/>
      <c r="AB203" s="56"/>
      <c r="AC203" s="56"/>
      <c r="AD203" s="56"/>
      <c r="AE203" s="56"/>
      <c r="AF203" s="17"/>
      <c r="AG203" s="52"/>
      <c r="AH203" s="52"/>
      <c r="AI203" s="52"/>
    </row>
    <row r="204" spans="1:35" s="11" customFormat="1" x14ac:dyDescent="0.35">
      <c r="A204" s="8"/>
      <c r="B204" s="8"/>
      <c r="D204" s="52"/>
      <c r="E204" s="10"/>
      <c r="H204" s="28"/>
      <c r="R204" s="56"/>
      <c r="S204" s="56"/>
      <c r="T204" s="56"/>
      <c r="U204" s="16"/>
      <c r="V204" s="56"/>
      <c r="W204" s="56"/>
      <c r="X204" s="56"/>
      <c r="Y204" s="56"/>
      <c r="Z204" s="56"/>
      <c r="AA204" s="56"/>
      <c r="AB204" s="56"/>
      <c r="AC204" s="56"/>
      <c r="AD204" s="56"/>
      <c r="AE204" s="56"/>
      <c r="AF204" s="17"/>
      <c r="AG204" s="52"/>
      <c r="AH204" s="52"/>
      <c r="AI204" s="52"/>
    </row>
    <row r="205" spans="1:35" s="11" customFormat="1" x14ac:dyDescent="0.35">
      <c r="A205" s="8"/>
      <c r="B205" s="8"/>
      <c r="D205" s="52"/>
      <c r="E205" s="10"/>
      <c r="H205" s="28"/>
      <c r="R205" s="56"/>
      <c r="S205" s="56"/>
      <c r="T205" s="56"/>
      <c r="U205" s="16"/>
      <c r="V205" s="56"/>
      <c r="W205" s="56"/>
      <c r="X205" s="56"/>
      <c r="Y205" s="56"/>
      <c r="Z205" s="56"/>
      <c r="AA205" s="56"/>
      <c r="AB205" s="56"/>
      <c r="AC205" s="56"/>
      <c r="AD205" s="56"/>
      <c r="AE205" s="56"/>
      <c r="AF205" s="17"/>
      <c r="AG205" s="52"/>
      <c r="AH205" s="52"/>
      <c r="AI205" s="52"/>
    </row>
    <row r="206" spans="1:35" s="11" customFormat="1" x14ac:dyDescent="0.35">
      <c r="A206" s="8"/>
      <c r="B206" s="8"/>
      <c r="D206" s="52"/>
      <c r="E206" s="10"/>
      <c r="H206" s="28"/>
      <c r="R206" s="56"/>
      <c r="S206" s="56"/>
      <c r="T206" s="56"/>
      <c r="U206" s="16"/>
      <c r="V206" s="56"/>
      <c r="W206" s="56"/>
      <c r="X206" s="56"/>
      <c r="Y206" s="56"/>
      <c r="Z206" s="56"/>
      <c r="AA206" s="56"/>
      <c r="AB206" s="56"/>
      <c r="AC206" s="56"/>
      <c r="AD206" s="56"/>
      <c r="AE206" s="56"/>
      <c r="AF206" s="17"/>
      <c r="AG206" s="52"/>
      <c r="AH206" s="52"/>
      <c r="AI206" s="52"/>
    </row>
    <row r="207" spans="1:35" s="11" customFormat="1" x14ac:dyDescent="0.35">
      <c r="A207" s="8"/>
      <c r="B207" s="8"/>
      <c r="D207" s="52"/>
      <c r="E207" s="10"/>
      <c r="H207" s="28"/>
      <c r="R207" s="56"/>
      <c r="S207" s="56"/>
      <c r="T207" s="56"/>
      <c r="U207" s="16"/>
      <c r="V207" s="56"/>
      <c r="W207" s="56"/>
      <c r="X207" s="56"/>
      <c r="Y207" s="56"/>
      <c r="Z207" s="56"/>
      <c r="AA207" s="56"/>
      <c r="AB207" s="56"/>
      <c r="AC207" s="56"/>
      <c r="AD207" s="56"/>
      <c r="AE207" s="56"/>
      <c r="AF207" s="17"/>
      <c r="AG207" s="52"/>
      <c r="AH207" s="52"/>
      <c r="AI207" s="52"/>
    </row>
    <row r="208" spans="1:35" s="11" customFormat="1" x14ac:dyDescent="0.35">
      <c r="A208" s="8"/>
      <c r="B208" s="8"/>
      <c r="D208" s="52"/>
      <c r="E208" s="10"/>
      <c r="H208" s="28"/>
      <c r="R208" s="56"/>
      <c r="S208" s="56"/>
      <c r="T208" s="56"/>
      <c r="U208" s="16"/>
      <c r="V208" s="56"/>
      <c r="W208" s="56"/>
      <c r="X208" s="56"/>
      <c r="Y208" s="56"/>
      <c r="Z208" s="56"/>
      <c r="AA208" s="56"/>
      <c r="AB208" s="56"/>
      <c r="AC208" s="56"/>
      <c r="AD208" s="56"/>
      <c r="AE208" s="56"/>
      <c r="AF208" s="17"/>
      <c r="AG208" s="52"/>
      <c r="AH208" s="52"/>
      <c r="AI208" s="52"/>
    </row>
    <row r="209" spans="1:35" s="11" customFormat="1" x14ac:dyDescent="0.35">
      <c r="A209" s="8"/>
      <c r="B209" s="8"/>
      <c r="D209" s="52"/>
      <c r="E209" s="10"/>
      <c r="H209" s="28"/>
      <c r="R209" s="56"/>
      <c r="S209" s="56"/>
      <c r="T209" s="56"/>
      <c r="U209" s="16"/>
      <c r="V209" s="56"/>
      <c r="W209" s="56"/>
      <c r="X209" s="56"/>
      <c r="Y209" s="56"/>
      <c r="Z209" s="56"/>
      <c r="AA209" s="56"/>
      <c r="AB209" s="56"/>
      <c r="AC209" s="56"/>
      <c r="AD209" s="56"/>
      <c r="AE209" s="56"/>
      <c r="AF209" s="17"/>
      <c r="AG209" s="52"/>
      <c r="AH209" s="52"/>
      <c r="AI209" s="52"/>
    </row>
    <row r="210" spans="1:35" s="11" customFormat="1" x14ac:dyDescent="0.35">
      <c r="A210" s="8"/>
      <c r="B210" s="8"/>
      <c r="D210" s="52"/>
      <c r="E210" s="10"/>
      <c r="H210" s="28"/>
      <c r="R210" s="56"/>
      <c r="S210" s="56"/>
      <c r="T210" s="56"/>
      <c r="U210" s="16"/>
      <c r="V210" s="56"/>
      <c r="W210" s="56"/>
      <c r="X210" s="56"/>
      <c r="Y210" s="56"/>
      <c r="Z210" s="56"/>
      <c r="AA210" s="56"/>
      <c r="AB210" s="56"/>
      <c r="AC210" s="56"/>
      <c r="AD210" s="56"/>
      <c r="AE210" s="56"/>
      <c r="AF210" s="17"/>
      <c r="AG210" s="52"/>
      <c r="AH210" s="52"/>
      <c r="AI210" s="52"/>
    </row>
    <row r="211" spans="1:35" s="11" customFormat="1" x14ac:dyDescent="0.35">
      <c r="A211" s="8"/>
      <c r="B211" s="8"/>
      <c r="D211" s="52"/>
      <c r="E211" s="10"/>
      <c r="H211" s="28"/>
      <c r="R211" s="56"/>
      <c r="S211" s="56"/>
      <c r="T211" s="56"/>
      <c r="U211" s="16"/>
      <c r="V211" s="56"/>
      <c r="W211" s="56"/>
      <c r="X211" s="56"/>
      <c r="Y211" s="56"/>
      <c r="Z211" s="56"/>
      <c r="AA211" s="56"/>
      <c r="AB211" s="56"/>
      <c r="AC211" s="56"/>
      <c r="AD211" s="56"/>
      <c r="AE211" s="56"/>
      <c r="AF211" s="17"/>
      <c r="AG211" s="52"/>
      <c r="AH211" s="52"/>
      <c r="AI211" s="52"/>
    </row>
    <row r="212" spans="1:35" s="11" customFormat="1" x14ac:dyDescent="0.35">
      <c r="A212" s="8"/>
      <c r="B212" s="8"/>
      <c r="D212" s="52"/>
      <c r="E212" s="10"/>
      <c r="H212" s="28"/>
      <c r="R212" s="56"/>
      <c r="S212" s="56"/>
      <c r="T212" s="56"/>
      <c r="U212" s="16"/>
      <c r="V212" s="56"/>
      <c r="W212" s="56"/>
      <c r="X212" s="56"/>
      <c r="Y212" s="56"/>
      <c r="Z212" s="56"/>
      <c r="AA212" s="56"/>
      <c r="AB212" s="56"/>
      <c r="AC212" s="56"/>
      <c r="AD212" s="56"/>
      <c r="AE212" s="56"/>
      <c r="AF212" s="17"/>
      <c r="AG212" s="52"/>
      <c r="AH212" s="52"/>
      <c r="AI212" s="52"/>
    </row>
    <row r="213" spans="1:35" s="11" customFormat="1" x14ac:dyDescent="0.35">
      <c r="A213" s="8"/>
      <c r="B213" s="8"/>
      <c r="D213" s="52"/>
      <c r="E213" s="10"/>
      <c r="H213" s="28"/>
      <c r="R213" s="56"/>
      <c r="S213" s="56"/>
      <c r="T213" s="56"/>
      <c r="U213" s="16"/>
      <c r="V213" s="56"/>
      <c r="W213" s="56"/>
      <c r="X213" s="56"/>
      <c r="Y213" s="56"/>
      <c r="Z213" s="56"/>
      <c r="AA213" s="56"/>
      <c r="AB213" s="56"/>
      <c r="AC213" s="56"/>
      <c r="AD213" s="56"/>
      <c r="AE213" s="56"/>
      <c r="AF213" s="17"/>
      <c r="AG213" s="52"/>
      <c r="AH213" s="52"/>
      <c r="AI213" s="52"/>
    </row>
    <row r="214" spans="1:35" s="11" customFormat="1" x14ac:dyDescent="0.35">
      <c r="A214" s="8"/>
      <c r="B214" s="8"/>
      <c r="D214" s="52"/>
      <c r="E214" s="10"/>
      <c r="H214" s="28"/>
      <c r="R214" s="56"/>
      <c r="S214" s="56"/>
      <c r="T214" s="56"/>
      <c r="U214" s="16"/>
      <c r="V214" s="56"/>
      <c r="W214" s="56"/>
      <c r="X214" s="56"/>
      <c r="Y214" s="56"/>
      <c r="Z214" s="56"/>
      <c r="AA214" s="56"/>
      <c r="AB214" s="56"/>
      <c r="AC214" s="56"/>
      <c r="AD214" s="56"/>
      <c r="AE214" s="56"/>
      <c r="AF214" s="17"/>
      <c r="AG214" s="52"/>
      <c r="AH214" s="52"/>
      <c r="AI214" s="52"/>
    </row>
    <row r="215" spans="1:35" s="11" customFormat="1" x14ac:dyDescent="0.35">
      <c r="A215" s="8"/>
      <c r="B215" s="8"/>
      <c r="D215" s="52"/>
      <c r="E215" s="10"/>
      <c r="H215" s="28"/>
      <c r="R215" s="56"/>
      <c r="S215" s="56"/>
      <c r="T215" s="56"/>
      <c r="U215" s="16"/>
      <c r="V215" s="56"/>
      <c r="W215" s="56"/>
      <c r="X215" s="56"/>
      <c r="Y215" s="56"/>
      <c r="Z215" s="56"/>
      <c r="AA215" s="56"/>
      <c r="AB215" s="56"/>
      <c r="AC215" s="56"/>
      <c r="AD215" s="56"/>
      <c r="AE215" s="56"/>
      <c r="AF215" s="17"/>
      <c r="AG215" s="52"/>
      <c r="AH215" s="52"/>
      <c r="AI215" s="52"/>
    </row>
    <row r="216" spans="1:35" s="11" customFormat="1" x14ac:dyDescent="0.35">
      <c r="A216" s="8"/>
      <c r="B216" s="8"/>
      <c r="D216" s="52"/>
      <c r="E216" s="10"/>
      <c r="H216" s="28"/>
      <c r="R216" s="56"/>
      <c r="S216" s="56"/>
      <c r="T216" s="56"/>
      <c r="U216" s="16"/>
      <c r="V216" s="56"/>
      <c r="W216" s="56"/>
      <c r="X216" s="56"/>
      <c r="Y216" s="56"/>
      <c r="Z216" s="56"/>
      <c r="AA216" s="56"/>
      <c r="AB216" s="56"/>
      <c r="AC216" s="56"/>
      <c r="AD216" s="56"/>
      <c r="AE216" s="56"/>
      <c r="AF216" s="17"/>
      <c r="AG216" s="52"/>
      <c r="AH216" s="52"/>
      <c r="AI216" s="52"/>
    </row>
    <row r="217" spans="1:35" s="11" customFormat="1" x14ac:dyDescent="0.35">
      <c r="A217" s="8"/>
      <c r="B217" s="8"/>
      <c r="D217" s="52"/>
      <c r="E217" s="10"/>
      <c r="H217" s="28"/>
      <c r="R217" s="56"/>
      <c r="S217" s="56"/>
      <c r="T217" s="56"/>
      <c r="U217" s="16"/>
      <c r="V217" s="56"/>
      <c r="W217" s="56"/>
      <c r="X217" s="56"/>
      <c r="Y217" s="56"/>
      <c r="Z217" s="56"/>
      <c r="AA217" s="56"/>
      <c r="AB217" s="56"/>
      <c r="AC217" s="56"/>
      <c r="AD217" s="56"/>
      <c r="AE217" s="56"/>
      <c r="AF217" s="17"/>
      <c r="AG217" s="52"/>
      <c r="AH217" s="52"/>
      <c r="AI217" s="52"/>
    </row>
    <row r="218" spans="1:35" s="11" customFormat="1" x14ac:dyDescent="0.35">
      <c r="A218" s="8"/>
      <c r="B218" s="8"/>
      <c r="D218" s="52"/>
      <c r="E218" s="10"/>
      <c r="H218" s="28"/>
      <c r="R218" s="56"/>
      <c r="S218" s="56"/>
      <c r="T218" s="56"/>
      <c r="U218" s="16"/>
      <c r="V218" s="56"/>
      <c r="W218" s="56"/>
      <c r="X218" s="56"/>
      <c r="Y218" s="56"/>
      <c r="Z218" s="56"/>
      <c r="AA218" s="56"/>
      <c r="AB218" s="56"/>
      <c r="AC218" s="56"/>
      <c r="AD218" s="56"/>
      <c r="AE218" s="56"/>
      <c r="AF218" s="17"/>
      <c r="AG218" s="52"/>
      <c r="AH218" s="52"/>
      <c r="AI218" s="52"/>
    </row>
    <row r="219" spans="1:35" s="11" customFormat="1" x14ac:dyDescent="0.35">
      <c r="A219" s="8"/>
      <c r="B219" s="8"/>
      <c r="D219" s="52"/>
      <c r="E219" s="10"/>
      <c r="H219" s="28"/>
      <c r="R219" s="56"/>
      <c r="S219" s="56"/>
      <c r="T219" s="56"/>
      <c r="U219" s="16"/>
      <c r="V219" s="56"/>
      <c r="W219" s="56"/>
      <c r="X219" s="56"/>
      <c r="Y219" s="56"/>
      <c r="Z219" s="56"/>
      <c r="AA219" s="56"/>
      <c r="AB219" s="56"/>
      <c r="AC219" s="56"/>
      <c r="AD219" s="56"/>
      <c r="AE219" s="56"/>
      <c r="AF219" s="17"/>
      <c r="AG219" s="52"/>
      <c r="AH219" s="52"/>
      <c r="AI219" s="52"/>
    </row>
    <row r="220" spans="1:35" s="11" customFormat="1" x14ac:dyDescent="0.35">
      <c r="A220" s="8"/>
      <c r="B220" s="8"/>
      <c r="D220" s="52"/>
      <c r="E220" s="10"/>
      <c r="H220" s="28"/>
      <c r="R220" s="56"/>
      <c r="S220" s="56"/>
      <c r="T220" s="56"/>
      <c r="U220" s="16"/>
      <c r="V220" s="56"/>
      <c r="W220" s="56"/>
      <c r="X220" s="56"/>
      <c r="Y220" s="56"/>
      <c r="Z220" s="56"/>
      <c r="AA220" s="56"/>
      <c r="AB220" s="56"/>
      <c r="AC220" s="56"/>
      <c r="AD220" s="56"/>
      <c r="AE220" s="56"/>
      <c r="AF220" s="17"/>
      <c r="AG220" s="52"/>
      <c r="AH220" s="52"/>
      <c r="AI220" s="52"/>
    </row>
    <row r="221" spans="1:35" s="11" customFormat="1" x14ac:dyDescent="0.35">
      <c r="A221" s="8"/>
      <c r="B221" s="8"/>
      <c r="D221" s="52"/>
      <c r="E221" s="10"/>
      <c r="H221" s="28"/>
      <c r="R221" s="56"/>
      <c r="S221" s="56"/>
      <c r="T221" s="56"/>
      <c r="U221" s="16"/>
      <c r="V221" s="56"/>
      <c r="W221" s="56"/>
      <c r="X221" s="56"/>
      <c r="Y221" s="56"/>
      <c r="Z221" s="56"/>
      <c r="AA221" s="56"/>
      <c r="AB221" s="56"/>
      <c r="AC221" s="56"/>
      <c r="AD221" s="56"/>
      <c r="AE221" s="56"/>
      <c r="AF221" s="17"/>
      <c r="AG221" s="52"/>
      <c r="AH221" s="52"/>
      <c r="AI221" s="52"/>
    </row>
    <row r="222" spans="1:35" s="11" customFormat="1" x14ac:dyDescent="0.35">
      <c r="A222" s="8"/>
      <c r="B222" s="8"/>
      <c r="D222" s="52"/>
      <c r="E222" s="10"/>
      <c r="H222" s="28"/>
      <c r="R222" s="56"/>
      <c r="S222" s="56"/>
      <c r="T222" s="56"/>
      <c r="U222" s="16"/>
      <c r="V222" s="56"/>
      <c r="W222" s="56"/>
      <c r="X222" s="56"/>
      <c r="Y222" s="56"/>
      <c r="Z222" s="56"/>
      <c r="AA222" s="56"/>
      <c r="AB222" s="56"/>
      <c r="AC222" s="56"/>
      <c r="AD222" s="56"/>
      <c r="AE222" s="56"/>
      <c r="AF222" s="17"/>
      <c r="AG222" s="52"/>
      <c r="AH222" s="52"/>
      <c r="AI222" s="52"/>
    </row>
    <row r="223" spans="1:35" s="11" customFormat="1" x14ac:dyDescent="0.35">
      <c r="A223" s="8"/>
      <c r="B223" s="8"/>
      <c r="D223" s="52"/>
      <c r="E223" s="10"/>
      <c r="H223" s="28"/>
      <c r="R223" s="56"/>
      <c r="S223" s="56"/>
      <c r="T223" s="56"/>
      <c r="U223" s="16"/>
      <c r="V223" s="56"/>
      <c r="W223" s="56"/>
      <c r="X223" s="56"/>
      <c r="Y223" s="56"/>
      <c r="Z223" s="56"/>
      <c r="AA223" s="56"/>
      <c r="AB223" s="56"/>
      <c r="AC223" s="56"/>
      <c r="AD223" s="56"/>
      <c r="AE223" s="56"/>
      <c r="AF223" s="17"/>
      <c r="AG223" s="52"/>
      <c r="AH223" s="52"/>
      <c r="AI223" s="52"/>
    </row>
    <row r="224" spans="1:35" s="11" customFormat="1" x14ac:dyDescent="0.35">
      <c r="A224" s="8"/>
      <c r="B224" s="8"/>
      <c r="D224" s="52"/>
      <c r="E224" s="10"/>
      <c r="H224" s="28"/>
      <c r="R224" s="56"/>
      <c r="S224" s="56"/>
      <c r="T224" s="56"/>
      <c r="U224" s="16"/>
      <c r="V224" s="56"/>
      <c r="W224" s="56"/>
      <c r="X224" s="56"/>
      <c r="Y224" s="56"/>
      <c r="Z224" s="56"/>
      <c r="AA224" s="56"/>
      <c r="AB224" s="56"/>
      <c r="AC224" s="56"/>
      <c r="AD224" s="56"/>
      <c r="AE224" s="56"/>
      <c r="AF224" s="17"/>
      <c r="AG224" s="52"/>
      <c r="AH224" s="52"/>
      <c r="AI224" s="52"/>
    </row>
    <row r="225" spans="1:35" s="11" customFormat="1" x14ac:dyDescent="0.35">
      <c r="A225" s="8"/>
      <c r="B225" s="8"/>
      <c r="D225" s="52"/>
      <c r="E225" s="10"/>
      <c r="H225" s="28"/>
      <c r="R225" s="56"/>
      <c r="S225" s="56"/>
      <c r="T225" s="56"/>
      <c r="U225" s="16"/>
      <c r="V225" s="56"/>
      <c r="W225" s="56"/>
      <c r="X225" s="56"/>
      <c r="Y225" s="56"/>
      <c r="Z225" s="56"/>
      <c r="AA225" s="56"/>
      <c r="AB225" s="56"/>
      <c r="AC225" s="56"/>
      <c r="AD225" s="56"/>
      <c r="AE225" s="56"/>
      <c r="AF225" s="17"/>
      <c r="AG225" s="52"/>
      <c r="AH225" s="52"/>
      <c r="AI225" s="52"/>
    </row>
    <row r="226" spans="1:35" s="11" customFormat="1" x14ac:dyDescent="0.35">
      <c r="A226" s="8"/>
      <c r="B226" s="8"/>
      <c r="D226" s="52"/>
      <c r="E226" s="10"/>
      <c r="H226" s="28"/>
      <c r="R226" s="56"/>
      <c r="S226" s="56"/>
      <c r="T226" s="56"/>
      <c r="U226" s="16"/>
      <c r="V226" s="56"/>
      <c r="W226" s="56"/>
      <c r="X226" s="56"/>
      <c r="Y226" s="56"/>
      <c r="Z226" s="56"/>
      <c r="AA226" s="56"/>
      <c r="AB226" s="56"/>
      <c r="AC226" s="56"/>
      <c r="AD226" s="56"/>
      <c r="AE226" s="56"/>
      <c r="AF226" s="17"/>
      <c r="AG226" s="52"/>
      <c r="AH226" s="52"/>
      <c r="AI226" s="52"/>
    </row>
    <row r="227" spans="1:35" s="11" customFormat="1" x14ac:dyDescent="0.35">
      <c r="A227" s="8"/>
      <c r="B227" s="8"/>
      <c r="D227" s="52"/>
      <c r="E227" s="10"/>
      <c r="H227" s="28"/>
      <c r="R227" s="56"/>
      <c r="S227" s="56"/>
      <c r="T227" s="56"/>
      <c r="U227" s="16"/>
      <c r="V227" s="56"/>
      <c r="W227" s="56"/>
      <c r="X227" s="56"/>
      <c r="Y227" s="56"/>
      <c r="Z227" s="56"/>
      <c r="AA227" s="56"/>
      <c r="AB227" s="56"/>
      <c r="AC227" s="56"/>
      <c r="AD227" s="56"/>
      <c r="AE227" s="56"/>
      <c r="AF227" s="17"/>
      <c r="AG227" s="52"/>
      <c r="AH227" s="52"/>
      <c r="AI227" s="52"/>
    </row>
    <row r="228" spans="1:35" s="11" customFormat="1" x14ac:dyDescent="0.35">
      <c r="A228" s="8"/>
      <c r="B228" s="8"/>
      <c r="D228" s="52"/>
      <c r="E228" s="10"/>
      <c r="H228" s="28"/>
      <c r="R228" s="56"/>
      <c r="S228" s="56"/>
      <c r="T228" s="56"/>
      <c r="U228" s="16"/>
      <c r="V228" s="56"/>
      <c r="W228" s="56"/>
      <c r="X228" s="56"/>
      <c r="Y228" s="56"/>
      <c r="Z228" s="56"/>
      <c r="AA228" s="56"/>
      <c r="AB228" s="56"/>
      <c r="AC228" s="56"/>
      <c r="AD228" s="56"/>
      <c r="AE228" s="56"/>
      <c r="AF228" s="17"/>
      <c r="AG228" s="52"/>
      <c r="AH228" s="52"/>
      <c r="AI228" s="52"/>
    </row>
    <row r="229" spans="1:35" s="11" customFormat="1" x14ac:dyDescent="0.35">
      <c r="A229" s="8"/>
      <c r="B229" s="8"/>
      <c r="D229" s="52"/>
      <c r="E229" s="10"/>
      <c r="H229" s="28"/>
      <c r="R229" s="56"/>
      <c r="S229" s="56"/>
      <c r="T229" s="56"/>
      <c r="U229" s="16"/>
      <c r="V229" s="56"/>
      <c r="W229" s="56"/>
      <c r="X229" s="56"/>
      <c r="Y229" s="56"/>
      <c r="Z229" s="56"/>
      <c r="AA229" s="56"/>
      <c r="AB229" s="56"/>
      <c r="AC229" s="56"/>
      <c r="AD229" s="56"/>
      <c r="AE229" s="56"/>
      <c r="AF229" s="17"/>
      <c r="AG229" s="52"/>
      <c r="AH229" s="52"/>
      <c r="AI229" s="52"/>
    </row>
    <row r="230" spans="1:35" s="11" customFormat="1" x14ac:dyDescent="0.35">
      <c r="A230" s="8"/>
      <c r="B230" s="8"/>
      <c r="D230" s="52"/>
      <c r="E230" s="10"/>
      <c r="H230" s="28"/>
      <c r="R230" s="56"/>
      <c r="S230" s="56"/>
      <c r="T230" s="56"/>
      <c r="U230" s="16"/>
      <c r="V230" s="56"/>
      <c r="W230" s="56"/>
      <c r="X230" s="56"/>
      <c r="Y230" s="56"/>
      <c r="Z230" s="56"/>
      <c r="AA230" s="56"/>
      <c r="AB230" s="56"/>
      <c r="AC230" s="56"/>
      <c r="AD230" s="56"/>
      <c r="AE230" s="56"/>
      <c r="AF230" s="17"/>
      <c r="AG230" s="52"/>
      <c r="AH230" s="52"/>
      <c r="AI230" s="52"/>
    </row>
    <row r="231" spans="1:35" s="11" customFormat="1" x14ac:dyDescent="0.35">
      <c r="A231" s="8"/>
      <c r="B231" s="8"/>
      <c r="D231" s="52"/>
      <c r="E231" s="10"/>
      <c r="H231" s="28"/>
      <c r="R231" s="56"/>
      <c r="S231" s="56"/>
      <c r="T231" s="56"/>
      <c r="U231" s="16"/>
      <c r="V231" s="56"/>
      <c r="W231" s="56"/>
      <c r="X231" s="56"/>
      <c r="Y231" s="56"/>
      <c r="Z231" s="56"/>
      <c r="AA231" s="56"/>
      <c r="AB231" s="56"/>
      <c r="AC231" s="56"/>
      <c r="AD231" s="56"/>
      <c r="AE231" s="56"/>
      <c r="AF231" s="17"/>
      <c r="AG231" s="52"/>
      <c r="AH231" s="52"/>
      <c r="AI231" s="52"/>
    </row>
    <row r="232" spans="1:35" s="11" customFormat="1" x14ac:dyDescent="0.35">
      <c r="A232" s="8"/>
      <c r="B232" s="8"/>
      <c r="D232" s="52"/>
      <c r="E232" s="10"/>
      <c r="H232" s="28"/>
      <c r="R232" s="56"/>
      <c r="S232" s="56"/>
      <c r="T232" s="56"/>
      <c r="U232" s="16"/>
      <c r="V232" s="56"/>
      <c r="W232" s="56"/>
      <c r="X232" s="56"/>
      <c r="Y232" s="56"/>
      <c r="Z232" s="56"/>
      <c r="AA232" s="56"/>
      <c r="AB232" s="56"/>
      <c r="AC232" s="56"/>
      <c r="AD232" s="56"/>
      <c r="AE232" s="56"/>
      <c r="AF232" s="17"/>
      <c r="AG232" s="52"/>
      <c r="AH232" s="52"/>
      <c r="AI232" s="52"/>
    </row>
    <row r="233" spans="1:35" s="11" customFormat="1" x14ac:dyDescent="0.35">
      <c r="A233" s="8"/>
      <c r="B233" s="8"/>
      <c r="D233" s="52"/>
      <c r="E233" s="10"/>
      <c r="H233" s="28"/>
      <c r="R233" s="56"/>
      <c r="S233" s="56"/>
      <c r="T233" s="56"/>
      <c r="U233" s="16"/>
      <c r="V233" s="56"/>
      <c r="W233" s="56"/>
      <c r="X233" s="56"/>
      <c r="Y233" s="56"/>
      <c r="Z233" s="56"/>
      <c r="AA233" s="56"/>
      <c r="AB233" s="56"/>
      <c r="AC233" s="56"/>
      <c r="AD233" s="56"/>
      <c r="AE233" s="56"/>
      <c r="AF233" s="17"/>
      <c r="AG233" s="52"/>
      <c r="AH233" s="52"/>
      <c r="AI233" s="52"/>
    </row>
    <row r="234" spans="1:35" s="11" customFormat="1" x14ac:dyDescent="0.35">
      <c r="A234" s="8"/>
      <c r="B234" s="8"/>
      <c r="D234" s="52"/>
      <c r="E234" s="10"/>
      <c r="H234" s="28"/>
      <c r="R234" s="56"/>
      <c r="S234" s="56"/>
      <c r="T234" s="56"/>
      <c r="U234" s="16"/>
      <c r="V234" s="56"/>
      <c r="W234" s="56"/>
      <c r="X234" s="56"/>
      <c r="Y234" s="56"/>
      <c r="Z234" s="56"/>
      <c r="AA234" s="56"/>
      <c r="AB234" s="56"/>
      <c r="AC234" s="56"/>
      <c r="AD234" s="56"/>
      <c r="AE234" s="56"/>
      <c r="AF234" s="17"/>
      <c r="AG234" s="52"/>
      <c r="AH234" s="52"/>
      <c r="AI234" s="52"/>
    </row>
    <row r="235" spans="1:35" s="11" customFormat="1" x14ac:dyDescent="0.35">
      <c r="A235" s="8"/>
      <c r="B235" s="8"/>
      <c r="D235" s="52"/>
      <c r="E235" s="10"/>
      <c r="H235" s="28"/>
      <c r="R235" s="56"/>
      <c r="S235" s="56"/>
      <c r="T235" s="56"/>
      <c r="U235" s="16"/>
      <c r="V235" s="56"/>
      <c r="W235" s="56"/>
      <c r="X235" s="56"/>
      <c r="Y235" s="56"/>
      <c r="Z235" s="56"/>
      <c r="AA235" s="56"/>
      <c r="AB235" s="56"/>
      <c r="AC235" s="56"/>
      <c r="AD235" s="56"/>
      <c r="AE235" s="56"/>
      <c r="AF235" s="17"/>
      <c r="AG235" s="52"/>
      <c r="AH235" s="52"/>
      <c r="AI235" s="52"/>
    </row>
    <row r="236" spans="1:35" s="11" customFormat="1" x14ac:dyDescent="0.35">
      <c r="A236" s="8"/>
      <c r="B236" s="8"/>
      <c r="D236" s="52"/>
      <c r="E236" s="10"/>
      <c r="H236" s="28"/>
      <c r="R236" s="56"/>
      <c r="S236" s="56"/>
      <c r="T236" s="56"/>
      <c r="U236" s="16"/>
      <c r="V236" s="56"/>
      <c r="W236" s="56"/>
      <c r="X236" s="56"/>
      <c r="Y236" s="56"/>
      <c r="Z236" s="56"/>
      <c r="AA236" s="56"/>
      <c r="AB236" s="56"/>
      <c r="AC236" s="56"/>
      <c r="AD236" s="56"/>
      <c r="AE236" s="56"/>
      <c r="AF236" s="17"/>
      <c r="AG236" s="52"/>
      <c r="AH236" s="52"/>
      <c r="AI236" s="52"/>
    </row>
    <row r="237" spans="1:35" s="11" customFormat="1" x14ac:dyDescent="0.35">
      <c r="A237" s="8"/>
      <c r="B237" s="8"/>
      <c r="D237" s="52"/>
      <c r="E237" s="10"/>
      <c r="H237" s="28"/>
      <c r="R237" s="56"/>
      <c r="S237" s="56"/>
      <c r="T237" s="56"/>
      <c r="U237" s="16"/>
      <c r="V237" s="56"/>
      <c r="W237" s="56"/>
      <c r="X237" s="56"/>
      <c r="Y237" s="56"/>
      <c r="Z237" s="56"/>
      <c r="AA237" s="56"/>
      <c r="AB237" s="56"/>
      <c r="AC237" s="56"/>
      <c r="AD237" s="56"/>
      <c r="AE237" s="56"/>
      <c r="AF237" s="17"/>
      <c r="AG237" s="52"/>
      <c r="AH237" s="52"/>
      <c r="AI237" s="52"/>
    </row>
    <row r="238" spans="1:35" s="11" customFormat="1" x14ac:dyDescent="0.35">
      <c r="A238" s="8"/>
      <c r="B238" s="8"/>
      <c r="D238" s="52"/>
      <c r="E238" s="10"/>
      <c r="H238" s="28"/>
      <c r="R238" s="56"/>
      <c r="S238" s="56"/>
      <c r="T238" s="56"/>
      <c r="U238" s="16"/>
      <c r="V238" s="56"/>
      <c r="W238" s="56"/>
      <c r="X238" s="56"/>
      <c r="Y238" s="56"/>
      <c r="Z238" s="56"/>
      <c r="AA238" s="56"/>
      <c r="AB238" s="56"/>
      <c r="AC238" s="56"/>
      <c r="AD238" s="56"/>
      <c r="AE238" s="56"/>
      <c r="AF238" s="17"/>
      <c r="AG238" s="52"/>
      <c r="AH238" s="52"/>
      <c r="AI238" s="52"/>
    </row>
    <row r="239" spans="1:35" s="11" customFormat="1" x14ac:dyDescent="0.35">
      <c r="A239" s="8"/>
      <c r="B239" s="8"/>
      <c r="D239" s="52"/>
      <c r="E239" s="10"/>
      <c r="H239" s="28"/>
      <c r="R239" s="56"/>
      <c r="S239" s="56"/>
      <c r="T239" s="56"/>
      <c r="U239" s="16"/>
      <c r="V239" s="56"/>
      <c r="W239" s="56"/>
      <c r="X239" s="56"/>
      <c r="Y239" s="56"/>
      <c r="Z239" s="56"/>
      <c r="AA239" s="56"/>
      <c r="AB239" s="56"/>
      <c r="AC239" s="56"/>
      <c r="AD239" s="56"/>
      <c r="AE239" s="56"/>
      <c r="AF239" s="17"/>
      <c r="AG239" s="52"/>
      <c r="AH239" s="52"/>
      <c r="AI239" s="52"/>
    </row>
    <row r="240" spans="1:35" s="11" customFormat="1" x14ac:dyDescent="0.35">
      <c r="A240" s="8"/>
      <c r="B240" s="8"/>
      <c r="D240" s="52"/>
      <c r="E240" s="10"/>
      <c r="H240" s="28"/>
      <c r="R240" s="56"/>
      <c r="S240" s="56"/>
      <c r="T240" s="56"/>
      <c r="U240" s="16"/>
      <c r="V240" s="56"/>
      <c r="W240" s="56"/>
      <c r="X240" s="56"/>
      <c r="Y240" s="56"/>
      <c r="Z240" s="56"/>
      <c r="AA240" s="56"/>
      <c r="AB240" s="56"/>
      <c r="AC240" s="56"/>
      <c r="AD240" s="56"/>
      <c r="AE240" s="56"/>
      <c r="AF240" s="17"/>
      <c r="AG240" s="52"/>
      <c r="AH240" s="52"/>
      <c r="AI240" s="52"/>
    </row>
    <row r="241" spans="1:35" s="11" customFormat="1" x14ac:dyDescent="0.35">
      <c r="A241" s="8"/>
      <c r="B241" s="8"/>
      <c r="D241" s="52"/>
      <c r="E241" s="10"/>
      <c r="H241" s="28"/>
      <c r="R241" s="56"/>
      <c r="S241" s="56"/>
      <c r="T241" s="56"/>
      <c r="U241" s="16"/>
      <c r="V241" s="56"/>
      <c r="W241" s="56"/>
      <c r="X241" s="56"/>
      <c r="Y241" s="56"/>
      <c r="Z241" s="56"/>
      <c r="AA241" s="56"/>
      <c r="AB241" s="56"/>
      <c r="AC241" s="56"/>
      <c r="AD241" s="56"/>
      <c r="AE241" s="56"/>
      <c r="AF241" s="17"/>
      <c r="AG241" s="52"/>
      <c r="AH241" s="52"/>
      <c r="AI241" s="52"/>
    </row>
    <row r="242" spans="1:35" s="11" customFormat="1" x14ac:dyDescent="0.35">
      <c r="A242" s="8"/>
      <c r="B242" s="8"/>
      <c r="D242" s="52"/>
      <c r="E242" s="10"/>
      <c r="H242" s="28"/>
      <c r="R242" s="56"/>
      <c r="S242" s="56"/>
      <c r="T242" s="56"/>
      <c r="U242" s="16"/>
      <c r="V242" s="56"/>
      <c r="W242" s="56"/>
      <c r="X242" s="56"/>
      <c r="Y242" s="56"/>
      <c r="Z242" s="56"/>
      <c r="AA242" s="56"/>
      <c r="AB242" s="56"/>
      <c r="AC242" s="56"/>
      <c r="AD242" s="56"/>
      <c r="AE242" s="56"/>
      <c r="AF242" s="17"/>
      <c r="AG242" s="52"/>
      <c r="AH242" s="52"/>
      <c r="AI242" s="52"/>
    </row>
    <row r="243" spans="1:35" s="11" customFormat="1" x14ac:dyDescent="0.35">
      <c r="A243" s="8"/>
      <c r="B243" s="8"/>
      <c r="D243" s="52"/>
      <c r="E243" s="10"/>
      <c r="H243" s="28"/>
      <c r="R243" s="56"/>
      <c r="S243" s="56"/>
      <c r="T243" s="56"/>
      <c r="U243" s="16"/>
      <c r="V243" s="56"/>
      <c r="W243" s="56"/>
      <c r="X243" s="56"/>
      <c r="Y243" s="56"/>
      <c r="Z243" s="56"/>
      <c r="AA243" s="56"/>
      <c r="AB243" s="56"/>
      <c r="AC243" s="56"/>
      <c r="AD243" s="56"/>
      <c r="AE243" s="56"/>
      <c r="AF243" s="17"/>
      <c r="AG243" s="52"/>
      <c r="AH243" s="52"/>
      <c r="AI243" s="52"/>
    </row>
    <row r="244" spans="1:35" s="11" customFormat="1" x14ac:dyDescent="0.35">
      <c r="A244" s="8"/>
      <c r="B244" s="8"/>
      <c r="D244" s="52"/>
      <c r="E244" s="10"/>
      <c r="H244" s="28"/>
      <c r="R244" s="56"/>
      <c r="S244" s="56"/>
      <c r="T244" s="56"/>
      <c r="U244" s="16"/>
      <c r="V244" s="56"/>
      <c r="W244" s="56"/>
      <c r="X244" s="56"/>
      <c r="Y244" s="56"/>
      <c r="Z244" s="56"/>
      <c r="AA244" s="56"/>
      <c r="AB244" s="56"/>
      <c r="AC244" s="56"/>
      <c r="AD244" s="56"/>
      <c r="AE244" s="56"/>
      <c r="AF244" s="17"/>
      <c r="AG244" s="52"/>
      <c r="AH244" s="52"/>
      <c r="AI244" s="52"/>
    </row>
    <row r="245" spans="1:35" s="11" customFormat="1" x14ac:dyDescent="0.35">
      <c r="A245" s="8"/>
      <c r="B245" s="8"/>
      <c r="D245" s="52"/>
      <c r="E245" s="10"/>
      <c r="H245" s="28"/>
      <c r="R245" s="56"/>
      <c r="S245" s="56"/>
      <c r="T245" s="56"/>
      <c r="U245" s="16"/>
      <c r="V245" s="56"/>
      <c r="W245" s="56"/>
      <c r="X245" s="56"/>
      <c r="Y245" s="56"/>
      <c r="Z245" s="56"/>
      <c r="AA245" s="56"/>
      <c r="AB245" s="56"/>
      <c r="AC245" s="56"/>
      <c r="AD245" s="56"/>
      <c r="AE245" s="56"/>
      <c r="AF245" s="17"/>
      <c r="AG245" s="52"/>
      <c r="AH245" s="52"/>
      <c r="AI245" s="52"/>
    </row>
    <row r="246" spans="1:35" s="11" customFormat="1" x14ac:dyDescent="0.35">
      <c r="A246" s="8"/>
      <c r="B246" s="8"/>
      <c r="D246" s="52"/>
      <c r="E246" s="10"/>
      <c r="H246" s="28"/>
      <c r="R246" s="56"/>
      <c r="S246" s="56"/>
      <c r="T246" s="56"/>
      <c r="U246" s="16"/>
      <c r="V246" s="56"/>
      <c r="W246" s="56"/>
      <c r="X246" s="56"/>
      <c r="Y246" s="56"/>
      <c r="Z246" s="56"/>
      <c r="AA246" s="56"/>
      <c r="AB246" s="56"/>
      <c r="AC246" s="56"/>
      <c r="AD246" s="56"/>
      <c r="AE246" s="56"/>
      <c r="AF246" s="17"/>
      <c r="AG246" s="52"/>
      <c r="AH246" s="52"/>
      <c r="AI246" s="52"/>
    </row>
    <row r="247" spans="1:35" s="11" customFormat="1" x14ac:dyDescent="0.35">
      <c r="A247" s="8"/>
      <c r="B247" s="8"/>
      <c r="D247" s="52"/>
      <c r="E247" s="10"/>
      <c r="H247" s="28"/>
      <c r="R247" s="56"/>
      <c r="S247" s="56"/>
      <c r="T247" s="56"/>
      <c r="U247" s="16"/>
      <c r="V247" s="56"/>
      <c r="W247" s="56"/>
      <c r="X247" s="56"/>
      <c r="Y247" s="56"/>
      <c r="Z247" s="56"/>
      <c r="AA247" s="56"/>
      <c r="AB247" s="56"/>
      <c r="AC247" s="56"/>
      <c r="AD247" s="56"/>
      <c r="AE247" s="56"/>
      <c r="AF247" s="17"/>
      <c r="AG247" s="52"/>
      <c r="AH247" s="52"/>
      <c r="AI247" s="52"/>
    </row>
    <row r="248" spans="1:35" s="11" customFormat="1" x14ac:dyDescent="0.35">
      <c r="A248" s="8"/>
      <c r="B248" s="8"/>
      <c r="D248" s="52"/>
      <c r="E248" s="10"/>
      <c r="H248" s="28"/>
      <c r="R248" s="56"/>
      <c r="S248" s="56"/>
      <c r="T248" s="56"/>
      <c r="U248" s="16"/>
      <c r="V248" s="56"/>
      <c r="W248" s="56"/>
      <c r="X248" s="56"/>
      <c r="Y248" s="56"/>
      <c r="Z248" s="56"/>
      <c r="AA248" s="56"/>
      <c r="AB248" s="56"/>
      <c r="AC248" s="56"/>
      <c r="AD248" s="56"/>
      <c r="AE248" s="56"/>
      <c r="AF248" s="17"/>
      <c r="AG248" s="52"/>
      <c r="AH248" s="52"/>
      <c r="AI248" s="52"/>
    </row>
    <row r="249" spans="1:35" s="11" customFormat="1" x14ac:dyDescent="0.35">
      <c r="A249" s="8"/>
      <c r="B249" s="8"/>
      <c r="D249" s="52"/>
      <c r="E249" s="10"/>
      <c r="H249" s="28"/>
      <c r="R249" s="56"/>
      <c r="S249" s="56"/>
      <c r="T249" s="56"/>
      <c r="U249" s="16"/>
      <c r="V249" s="56"/>
      <c r="W249" s="56"/>
      <c r="X249" s="56"/>
      <c r="Y249" s="56"/>
      <c r="Z249" s="56"/>
      <c r="AA249" s="56"/>
      <c r="AB249" s="56"/>
      <c r="AC249" s="56"/>
      <c r="AD249" s="56"/>
      <c r="AE249" s="56"/>
      <c r="AF249" s="17"/>
      <c r="AG249" s="52"/>
      <c r="AH249" s="52"/>
      <c r="AI249" s="52"/>
    </row>
    <row r="250" spans="1:35" s="11" customFormat="1" x14ac:dyDescent="0.35">
      <c r="A250" s="8"/>
      <c r="B250" s="8"/>
      <c r="D250" s="52"/>
      <c r="E250" s="10"/>
      <c r="H250" s="28"/>
      <c r="R250" s="56"/>
      <c r="S250" s="56"/>
      <c r="T250" s="56"/>
      <c r="U250" s="16"/>
      <c r="V250" s="56"/>
      <c r="W250" s="56"/>
      <c r="X250" s="56"/>
      <c r="Y250" s="56"/>
      <c r="Z250" s="56"/>
      <c r="AA250" s="56"/>
      <c r="AB250" s="56"/>
      <c r="AC250" s="56"/>
      <c r="AD250" s="56"/>
      <c r="AE250" s="56"/>
      <c r="AF250" s="17"/>
      <c r="AG250" s="52"/>
      <c r="AH250" s="52"/>
      <c r="AI250" s="52"/>
    </row>
    <row r="251" spans="1:35" s="11" customFormat="1" x14ac:dyDescent="0.35">
      <c r="A251" s="8"/>
      <c r="B251" s="8"/>
      <c r="D251" s="52"/>
      <c r="E251" s="10"/>
      <c r="H251" s="28"/>
      <c r="R251" s="56"/>
      <c r="S251" s="56"/>
      <c r="T251" s="56"/>
      <c r="U251" s="16"/>
      <c r="V251" s="56"/>
      <c r="W251" s="56"/>
      <c r="X251" s="56"/>
      <c r="Y251" s="56"/>
      <c r="Z251" s="56"/>
      <c r="AA251" s="56"/>
      <c r="AB251" s="56"/>
      <c r="AC251" s="56"/>
      <c r="AD251" s="56"/>
      <c r="AE251" s="56"/>
      <c r="AF251" s="17"/>
      <c r="AG251" s="52"/>
      <c r="AH251" s="52"/>
      <c r="AI251" s="52"/>
    </row>
    <row r="252" spans="1:35" s="11" customFormat="1" x14ac:dyDescent="0.35">
      <c r="A252" s="8"/>
      <c r="B252" s="8"/>
      <c r="D252" s="52"/>
      <c r="E252" s="10"/>
      <c r="H252" s="28"/>
      <c r="R252" s="56"/>
      <c r="S252" s="56"/>
      <c r="T252" s="56"/>
      <c r="U252" s="16"/>
      <c r="V252" s="56"/>
      <c r="W252" s="56"/>
      <c r="X252" s="56"/>
      <c r="Y252" s="56"/>
      <c r="Z252" s="56"/>
      <c r="AA252" s="56"/>
      <c r="AB252" s="56"/>
      <c r="AC252" s="56"/>
      <c r="AD252" s="56"/>
      <c r="AE252" s="56"/>
      <c r="AF252" s="17"/>
      <c r="AG252" s="52"/>
      <c r="AH252" s="52"/>
      <c r="AI252" s="52"/>
    </row>
    <row r="253" spans="1:35" s="11" customFormat="1" x14ac:dyDescent="0.35">
      <c r="A253" s="8"/>
      <c r="B253" s="8"/>
      <c r="D253" s="52"/>
      <c r="E253" s="10"/>
      <c r="H253" s="28"/>
      <c r="R253" s="56"/>
      <c r="S253" s="56"/>
      <c r="T253" s="56"/>
      <c r="U253" s="16"/>
      <c r="V253" s="56"/>
      <c r="W253" s="56"/>
      <c r="X253" s="56"/>
      <c r="Y253" s="56"/>
      <c r="Z253" s="56"/>
      <c r="AA253" s="56"/>
      <c r="AB253" s="56"/>
      <c r="AC253" s="56"/>
      <c r="AD253" s="56"/>
      <c r="AE253" s="56"/>
      <c r="AF253" s="17"/>
      <c r="AG253" s="52"/>
      <c r="AH253" s="52"/>
      <c r="AI253" s="52"/>
    </row>
    <row r="254" spans="1:35" s="11" customFormat="1" x14ac:dyDescent="0.35">
      <c r="A254" s="8"/>
      <c r="B254" s="8"/>
      <c r="D254" s="52"/>
      <c r="E254" s="10"/>
      <c r="H254" s="28"/>
      <c r="R254" s="56"/>
      <c r="S254" s="56"/>
      <c r="T254" s="56"/>
      <c r="U254" s="16"/>
      <c r="V254" s="56"/>
      <c r="W254" s="56"/>
      <c r="X254" s="56"/>
      <c r="Y254" s="56"/>
      <c r="Z254" s="56"/>
      <c r="AA254" s="56"/>
      <c r="AB254" s="56"/>
      <c r="AC254" s="56"/>
      <c r="AD254" s="56"/>
      <c r="AE254" s="56"/>
      <c r="AF254" s="17"/>
      <c r="AG254" s="52"/>
      <c r="AH254" s="52"/>
      <c r="AI254" s="52"/>
    </row>
    <row r="255" spans="1:35" s="11" customFormat="1" x14ac:dyDescent="0.35">
      <c r="A255" s="8"/>
      <c r="B255" s="8"/>
      <c r="D255" s="52"/>
      <c r="E255" s="10"/>
      <c r="H255" s="28"/>
      <c r="R255" s="56"/>
      <c r="S255" s="56"/>
      <c r="T255" s="56"/>
      <c r="U255" s="16"/>
      <c r="V255" s="56"/>
      <c r="W255" s="56"/>
      <c r="X255" s="56"/>
      <c r="Y255" s="56"/>
      <c r="Z255" s="56"/>
      <c r="AA255" s="56"/>
      <c r="AB255" s="56"/>
      <c r="AC255" s="56"/>
      <c r="AD255" s="56"/>
      <c r="AE255" s="56"/>
      <c r="AF255" s="17"/>
      <c r="AG255" s="52"/>
      <c r="AH255" s="52"/>
      <c r="AI255" s="52"/>
    </row>
    <row r="256" spans="1:35" s="11" customFormat="1" x14ac:dyDescent="0.35">
      <c r="A256" s="8"/>
      <c r="B256" s="8"/>
      <c r="D256" s="52"/>
      <c r="E256" s="10"/>
      <c r="H256" s="28"/>
      <c r="R256" s="56"/>
      <c r="S256" s="56"/>
      <c r="T256" s="56"/>
      <c r="U256" s="16"/>
      <c r="V256" s="56"/>
      <c r="W256" s="56"/>
      <c r="X256" s="56"/>
      <c r="Y256" s="56"/>
      <c r="Z256" s="56"/>
      <c r="AA256" s="56"/>
      <c r="AB256" s="56"/>
      <c r="AC256" s="56"/>
      <c r="AD256" s="56"/>
      <c r="AE256" s="56"/>
      <c r="AF256" s="17"/>
      <c r="AG256" s="52"/>
      <c r="AH256" s="52"/>
      <c r="AI256" s="52"/>
    </row>
    <row r="257" spans="1:35" s="11" customFormat="1" x14ac:dyDescent="0.35">
      <c r="A257" s="8"/>
      <c r="B257" s="8"/>
      <c r="D257" s="52"/>
      <c r="E257" s="10"/>
      <c r="H257" s="28"/>
      <c r="R257" s="56"/>
      <c r="S257" s="56"/>
      <c r="T257" s="56"/>
      <c r="U257" s="16"/>
      <c r="V257" s="56"/>
      <c r="W257" s="56"/>
      <c r="X257" s="56"/>
      <c r="Y257" s="56"/>
      <c r="Z257" s="56"/>
      <c r="AA257" s="56"/>
      <c r="AB257" s="56"/>
      <c r="AC257" s="56"/>
      <c r="AD257" s="56"/>
      <c r="AE257" s="56"/>
      <c r="AF257" s="17"/>
      <c r="AG257" s="52"/>
      <c r="AH257" s="52"/>
      <c r="AI257" s="52"/>
    </row>
    <row r="258" spans="1:35" s="11" customFormat="1" x14ac:dyDescent="0.35">
      <c r="A258" s="8"/>
      <c r="B258" s="8"/>
      <c r="D258" s="52"/>
      <c r="E258" s="10"/>
      <c r="H258" s="28"/>
      <c r="R258" s="56"/>
      <c r="S258" s="56"/>
      <c r="T258" s="56"/>
      <c r="U258" s="16"/>
      <c r="V258" s="56"/>
      <c r="W258" s="56"/>
      <c r="X258" s="56"/>
      <c r="Y258" s="56"/>
      <c r="Z258" s="56"/>
      <c r="AA258" s="56"/>
      <c r="AB258" s="56"/>
      <c r="AC258" s="56"/>
      <c r="AD258" s="56"/>
      <c r="AE258" s="56"/>
      <c r="AF258" s="17"/>
      <c r="AG258" s="52"/>
      <c r="AH258" s="52"/>
      <c r="AI258" s="52"/>
    </row>
    <row r="259" spans="1:35" s="11" customFormat="1" x14ac:dyDescent="0.35">
      <c r="A259" s="8"/>
      <c r="B259" s="8"/>
      <c r="D259" s="52"/>
      <c r="E259" s="10"/>
      <c r="H259" s="28"/>
      <c r="R259" s="56"/>
      <c r="S259" s="56"/>
      <c r="T259" s="56"/>
      <c r="U259" s="16"/>
      <c r="V259" s="56"/>
      <c r="W259" s="56"/>
      <c r="X259" s="56"/>
      <c r="Y259" s="56"/>
      <c r="Z259" s="56"/>
      <c r="AA259" s="56"/>
      <c r="AB259" s="56"/>
      <c r="AC259" s="56"/>
      <c r="AD259" s="56"/>
      <c r="AE259" s="56"/>
      <c r="AF259" s="17"/>
      <c r="AG259" s="52"/>
      <c r="AH259" s="52"/>
      <c r="AI259" s="52"/>
    </row>
    <row r="260" spans="1:35" s="11" customFormat="1" x14ac:dyDescent="0.35">
      <c r="A260" s="8"/>
      <c r="B260" s="8"/>
      <c r="D260" s="52"/>
      <c r="E260" s="10"/>
      <c r="H260" s="28"/>
      <c r="R260" s="56"/>
      <c r="S260" s="56"/>
      <c r="T260" s="56"/>
      <c r="U260" s="16"/>
      <c r="V260" s="56"/>
      <c r="W260" s="56"/>
      <c r="X260" s="56"/>
      <c r="Y260" s="56"/>
      <c r="Z260" s="56"/>
      <c r="AA260" s="56"/>
      <c r="AB260" s="56"/>
      <c r="AC260" s="56"/>
      <c r="AD260" s="56"/>
      <c r="AE260" s="56"/>
      <c r="AF260" s="17"/>
      <c r="AG260" s="52"/>
      <c r="AH260" s="52"/>
      <c r="AI260" s="52"/>
    </row>
    <row r="261" spans="1:35" s="11" customFormat="1" x14ac:dyDescent="0.35">
      <c r="A261" s="8"/>
      <c r="B261" s="8"/>
      <c r="D261" s="52"/>
      <c r="E261" s="10"/>
      <c r="H261" s="28"/>
      <c r="R261" s="56"/>
      <c r="S261" s="56"/>
      <c r="T261" s="56"/>
      <c r="U261" s="16"/>
      <c r="V261" s="56"/>
      <c r="W261" s="56"/>
      <c r="X261" s="56"/>
      <c r="Y261" s="56"/>
      <c r="Z261" s="56"/>
      <c r="AA261" s="56"/>
      <c r="AB261" s="56"/>
      <c r="AC261" s="56"/>
      <c r="AD261" s="56"/>
      <c r="AE261" s="56"/>
      <c r="AF261" s="17"/>
      <c r="AG261" s="52"/>
      <c r="AH261" s="52"/>
      <c r="AI261" s="52"/>
    </row>
    <row r="262" spans="1:35" s="11" customFormat="1" x14ac:dyDescent="0.35">
      <c r="A262" s="8"/>
      <c r="B262" s="8"/>
      <c r="D262" s="52"/>
      <c r="E262" s="10"/>
      <c r="H262" s="28"/>
      <c r="R262" s="56"/>
      <c r="S262" s="56"/>
      <c r="T262" s="56"/>
      <c r="U262" s="16"/>
      <c r="V262" s="56"/>
      <c r="W262" s="56"/>
      <c r="X262" s="56"/>
      <c r="Y262" s="56"/>
      <c r="Z262" s="56"/>
      <c r="AA262" s="56"/>
      <c r="AB262" s="56"/>
      <c r="AC262" s="56"/>
      <c r="AD262" s="56"/>
      <c r="AE262" s="56"/>
      <c r="AF262" s="17"/>
      <c r="AG262" s="52"/>
      <c r="AH262" s="52"/>
      <c r="AI262" s="52"/>
    </row>
    <row r="263" spans="1:35" s="11" customFormat="1" x14ac:dyDescent="0.35">
      <c r="A263" s="8"/>
      <c r="B263" s="8"/>
      <c r="D263" s="52"/>
      <c r="E263" s="10"/>
      <c r="H263" s="28"/>
      <c r="R263" s="56"/>
      <c r="S263" s="56"/>
      <c r="T263" s="56"/>
      <c r="U263" s="16"/>
      <c r="V263" s="56"/>
      <c r="W263" s="56"/>
      <c r="X263" s="56"/>
      <c r="Y263" s="56"/>
      <c r="Z263" s="56"/>
      <c r="AA263" s="56"/>
      <c r="AB263" s="56"/>
      <c r="AC263" s="56"/>
      <c r="AD263" s="56"/>
      <c r="AE263" s="56"/>
      <c r="AF263" s="17"/>
      <c r="AG263" s="52"/>
      <c r="AH263" s="52"/>
      <c r="AI263" s="52"/>
    </row>
    <row r="264" spans="1:35" s="11" customFormat="1" x14ac:dyDescent="0.35">
      <c r="A264" s="8"/>
      <c r="B264" s="8"/>
      <c r="D264" s="52"/>
      <c r="E264" s="10"/>
      <c r="H264" s="28"/>
      <c r="R264" s="56"/>
      <c r="S264" s="56"/>
      <c r="T264" s="56"/>
      <c r="U264" s="16"/>
      <c r="V264" s="56"/>
      <c r="W264" s="56"/>
      <c r="X264" s="56"/>
      <c r="Y264" s="56"/>
      <c r="Z264" s="56"/>
      <c r="AA264" s="56"/>
      <c r="AB264" s="56"/>
      <c r="AC264" s="56"/>
      <c r="AD264" s="56"/>
      <c r="AE264" s="56"/>
      <c r="AF264" s="17"/>
      <c r="AG264" s="52"/>
      <c r="AH264" s="52"/>
      <c r="AI264" s="52"/>
    </row>
    <row r="265" spans="1:35" s="11" customFormat="1" x14ac:dyDescent="0.35">
      <c r="A265" s="8"/>
      <c r="B265" s="8"/>
      <c r="D265" s="52"/>
      <c r="E265" s="10"/>
      <c r="H265" s="28"/>
      <c r="R265" s="56"/>
      <c r="S265" s="56"/>
      <c r="T265" s="56"/>
      <c r="U265" s="16"/>
      <c r="V265" s="56"/>
      <c r="W265" s="56"/>
      <c r="X265" s="56"/>
      <c r="Y265" s="56"/>
      <c r="Z265" s="56"/>
      <c r="AA265" s="56"/>
      <c r="AB265" s="56"/>
      <c r="AC265" s="56"/>
      <c r="AD265" s="56"/>
      <c r="AE265" s="56"/>
      <c r="AF265" s="17"/>
      <c r="AG265" s="52"/>
      <c r="AH265" s="52"/>
      <c r="AI265" s="52"/>
    </row>
    <row r="266" spans="1:35" s="11" customFormat="1" x14ac:dyDescent="0.35">
      <c r="A266" s="8"/>
      <c r="B266" s="8"/>
      <c r="D266" s="52"/>
      <c r="E266" s="10"/>
      <c r="H266" s="28"/>
      <c r="R266" s="56"/>
      <c r="S266" s="56"/>
      <c r="T266" s="56"/>
      <c r="U266" s="16"/>
      <c r="V266" s="56"/>
      <c r="W266" s="56"/>
      <c r="X266" s="56"/>
      <c r="Y266" s="56"/>
      <c r="Z266" s="56"/>
      <c r="AA266" s="56"/>
      <c r="AB266" s="56"/>
      <c r="AC266" s="56"/>
      <c r="AD266" s="56"/>
      <c r="AE266" s="56"/>
      <c r="AF266" s="17"/>
      <c r="AG266" s="52"/>
      <c r="AH266" s="52"/>
      <c r="AI266" s="52"/>
    </row>
    <row r="267" spans="1:35" s="11" customFormat="1" x14ac:dyDescent="0.35">
      <c r="A267" s="8"/>
      <c r="B267" s="8"/>
      <c r="D267" s="52"/>
      <c r="E267" s="10"/>
      <c r="H267" s="28"/>
      <c r="R267" s="56"/>
      <c r="S267" s="56"/>
      <c r="T267" s="56"/>
      <c r="U267" s="16"/>
      <c r="V267" s="56"/>
      <c r="W267" s="56"/>
      <c r="X267" s="56"/>
      <c r="Y267" s="56"/>
      <c r="Z267" s="56"/>
      <c r="AA267" s="56"/>
      <c r="AB267" s="56"/>
      <c r="AC267" s="56"/>
      <c r="AD267" s="56"/>
      <c r="AE267" s="56"/>
      <c r="AF267" s="17"/>
      <c r="AG267" s="52"/>
      <c r="AH267" s="52"/>
      <c r="AI267" s="52"/>
    </row>
    <row r="268" spans="1:35" s="11" customFormat="1" x14ac:dyDescent="0.35">
      <c r="A268" s="8"/>
      <c r="B268" s="8"/>
      <c r="D268" s="52"/>
      <c r="E268" s="10"/>
      <c r="H268" s="28"/>
      <c r="R268" s="56"/>
      <c r="S268" s="56"/>
      <c r="T268" s="56"/>
      <c r="U268" s="16"/>
      <c r="V268" s="56"/>
      <c r="W268" s="56"/>
      <c r="X268" s="56"/>
      <c r="Y268" s="56"/>
      <c r="Z268" s="56"/>
      <c r="AA268" s="56"/>
      <c r="AB268" s="56"/>
      <c r="AC268" s="56"/>
      <c r="AD268" s="56"/>
      <c r="AE268" s="56"/>
      <c r="AF268" s="17"/>
      <c r="AG268" s="52"/>
      <c r="AH268" s="52"/>
      <c r="AI268" s="52"/>
    </row>
    <row r="269" spans="1:35" s="11" customFormat="1" x14ac:dyDescent="0.35">
      <c r="A269" s="8"/>
      <c r="B269" s="8"/>
      <c r="D269" s="52"/>
      <c r="E269" s="10"/>
      <c r="H269" s="28"/>
      <c r="R269" s="56"/>
      <c r="S269" s="56"/>
      <c r="T269" s="56"/>
      <c r="U269" s="16"/>
      <c r="V269" s="56"/>
      <c r="W269" s="56"/>
      <c r="X269" s="56"/>
      <c r="Y269" s="56"/>
      <c r="Z269" s="56"/>
      <c r="AA269" s="56"/>
      <c r="AB269" s="56"/>
      <c r="AC269" s="56"/>
      <c r="AD269" s="56"/>
      <c r="AE269" s="56"/>
      <c r="AF269" s="17"/>
      <c r="AG269" s="52"/>
      <c r="AH269" s="52"/>
      <c r="AI269" s="52"/>
    </row>
    <row r="270" spans="1:35" s="11" customFormat="1" x14ac:dyDescent="0.35">
      <c r="A270" s="8"/>
      <c r="B270" s="8"/>
      <c r="D270" s="52"/>
      <c r="E270" s="10"/>
      <c r="H270" s="28"/>
      <c r="R270" s="56"/>
      <c r="S270" s="56"/>
      <c r="T270" s="56"/>
      <c r="U270" s="16"/>
      <c r="V270" s="56"/>
      <c r="W270" s="56"/>
      <c r="X270" s="56"/>
      <c r="Y270" s="56"/>
      <c r="Z270" s="56"/>
      <c r="AA270" s="56"/>
      <c r="AB270" s="56"/>
      <c r="AC270" s="56"/>
      <c r="AD270" s="56"/>
      <c r="AE270" s="56"/>
      <c r="AF270" s="17"/>
      <c r="AG270" s="52"/>
      <c r="AH270" s="52"/>
      <c r="AI270" s="52"/>
    </row>
    <row r="271" spans="1:35" s="11" customFormat="1" x14ac:dyDescent="0.35">
      <c r="A271" s="8"/>
      <c r="B271" s="8"/>
      <c r="D271" s="52"/>
      <c r="E271" s="10"/>
      <c r="H271" s="28"/>
      <c r="R271" s="56"/>
      <c r="S271" s="56"/>
      <c r="T271" s="56"/>
      <c r="U271" s="16"/>
      <c r="V271" s="56"/>
      <c r="W271" s="56"/>
      <c r="X271" s="56"/>
      <c r="Y271" s="56"/>
      <c r="Z271" s="56"/>
      <c r="AA271" s="56"/>
      <c r="AB271" s="56"/>
      <c r="AC271" s="56"/>
      <c r="AD271" s="56"/>
      <c r="AE271" s="56"/>
      <c r="AF271" s="17"/>
      <c r="AG271" s="52"/>
      <c r="AH271" s="52"/>
      <c r="AI271" s="52"/>
    </row>
    <row r="272" spans="1:35" s="11" customFormat="1" x14ac:dyDescent="0.35">
      <c r="A272" s="8"/>
      <c r="B272" s="8"/>
      <c r="D272" s="52"/>
      <c r="E272" s="10"/>
      <c r="H272" s="28"/>
      <c r="R272" s="56"/>
      <c r="S272" s="56"/>
      <c r="T272" s="56"/>
      <c r="U272" s="16"/>
      <c r="V272" s="56"/>
      <c r="W272" s="56"/>
      <c r="X272" s="56"/>
      <c r="Y272" s="56"/>
      <c r="Z272" s="56"/>
      <c r="AA272" s="56"/>
      <c r="AB272" s="56"/>
      <c r="AC272" s="56"/>
      <c r="AD272" s="56"/>
      <c r="AE272" s="56"/>
      <c r="AF272" s="17"/>
      <c r="AG272" s="52"/>
      <c r="AH272" s="52"/>
      <c r="AI272" s="52"/>
    </row>
    <row r="273" spans="1:35" s="11" customFormat="1" x14ac:dyDescent="0.35">
      <c r="A273" s="8"/>
      <c r="B273" s="8"/>
      <c r="D273" s="52"/>
      <c r="E273" s="10"/>
      <c r="H273" s="28"/>
      <c r="R273" s="56"/>
      <c r="S273" s="56"/>
      <c r="T273" s="56"/>
      <c r="U273" s="16"/>
      <c r="V273" s="56"/>
      <c r="W273" s="56"/>
      <c r="X273" s="56"/>
      <c r="Y273" s="56"/>
      <c r="Z273" s="56"/>
      <c r="AA273" s="56"/>
      <c r="AB273" s="56"/>
      <c r="AC273" s="56"/>
      <c r="AD273" s="56"/>
      <c r="AE273" s="56"/>
      <c r="AF273" s="17"/>
      <c r="AG273" s="52"/>
      <c r="AH273" s="52"/>
      <c r="AI273" s="52"/>
    </row>
    <row r="274" spans="1:35" s="11" customFormat="1" x14ac:dyDescent="0.35">
      <c r="A274" s="8"/>
      <c r="B274" s="8"/>
      <c r="D274" s="52"/>
      <c r="E274" s="10"/>
      <c r="H274" s="28"/>
      <c r="R274" s="56"/>
      <c r="S274" s="56"/>
      <c r="T274" s="56"/>
      <c r="U274" s="16"/>
      <c r="V274" s="56"/>
      <c r="W274" s="56"/>
      <c r="X274" s="56"/>
      <c r="Y274" s="56"/>
      <c r="Z274" s="56"/>
      <c r="AA274" s="56"/>
      <c r="AB274" s="56"/>
      <c r="AC274" s="56"/>
      <c r="AD274" s="56"/>
      <c r="AE274" s="56"/>
      <c r="AF274" s="17"/>
      <c r="AG274" s="52"/>
      <c r="AH274" s="52"/>
      <c r="AI274" s="52"/>
    </row>
    <row r="275" spans="1:35" s="11" customFormat="1" x14ac:dyDescent="0.35">
      <c r="A275" s="8"/>
      <c r="B275" s="8"/>
      <c r="D275" s="52"/>
      <c r="E275" s="10"/>
      <c r="H275" s="28"/>
      <c r="R275" s="56"/>
      <c r="S275" s="56"/>
      <c r="T275" s="56"/>
      <c r="U275" s="16"/>
      <c r="V275" s="56"/>
      <c r="W275" s="56"/>
      <c r="X275" s="56"/>
      <c r="Y275" s="56"/>
      <c r="Z275" s="56"/>
      <c r="AA275" s="56"/>
      <c r="AB275" s="56"/>
      <c r="AC275" s="56"/>
      <c r="AD275" s="56"/>
      <c r="AE275" s="56"/>
      <c r="AF275" s="17"/>
      <c r="AG275" s="52"/>
      <c r="AH275" s="52"/>
      <c r="AI275" s="52"/>
    </row>
    <row r="276" spans="1:35" s="11" customFormat="1" x14ac:dyDescent="0.35">
      <c r="A276" s="8"/>
      <c r="B276" s="8"/>
      <c r="D276" s="52"/>
      <c r="E276" s="10"/>
      <c r="H276" s="28"/>
      <c r="R276" s="56"/>
      <c r="S276" s="56"/>
      <c r="T276" s="56"/>
      <c r="U276" s="16"/>
      <c r="V276" s="56"/>
      <c r="W276" s="56"/>
      <c r="X276" s="56"/>
      <c r="Y276" s="56"/>
      <c r="Z276" s="56"/>
      <c r="AA276" s="56"/>
      <c r="AB276" s="56"/>
      <c r="AC276" s="56"/>
      <c r="AD276" s="56"/>
      <c r="AE276" s="56"/>
      <c r="AF276" s="17"/>
      <c r="AG276" s="52"/>
      <c r="AH276" s="52"/>
      <c r="AI276" s="52"/>
    </row>
    <row r="277" spans="1:35" s="11" customFormat="1" x14ac:dyDescent="0.35">
      <c r="A277" s="8"/>
      <c r="B277" s="8"/>
      <c r="D277" s="52"/>
      <c r="E277" s="10"/>
      <c r="H277" s="28"/>
      <c r="R277" s="56"/>
      <c r="S277" s="56"/>
      <c r="T277" s="56"/>
      <c r="U277" s="16"/>
      <c r="V277" s="56"/>
      <c r="W277" s="56"/>
      <c r="X277" s="56"/>
      <c r="Y277" s="56"/>
      <c r="Z277" s="56"/>
      <c r="AA277" s="56"/>
      <c r="AB277" s="56"/>
      <c r="AC277" s="56"/>
      <c r="AD277" s="56"/>
      <c r="AE277" s="56"/>
      <c r="AF277" s="17"/>
      <c r="AG277" s="52"/>
      <c r="AH277" s="52"/>
      <c r="AI277" s="52"/>
    </row>
    <row r="278" spans="1:35" s="11" customFormat="1" x14ac:dyDescent="0.35">
      <c r="A278" s="8"/>
      <c r="B278" s="8"/>
      <c r="D278" s="52"/>
      <c r="E278" s="10"/>
      <c r="H278" s="28"/>
      <c r="R278" s="56"/>
      <c r="S278" s="56"/>
      <c r="T278" s="56"/>
      <c r="U278" s="16"/>
      <c r="V278" s="56"/>
      <c r="W278" s="56"/>
      <c r="X278" s="56"/>
      <c r="Y278" s="56"/>
      <c r="Z278" s="56"/>
      <c r="AA278" s="56"/>
      <c r="AB278" s="56"/>
      <c r="AC278" s="56"/>
      <c r="AD278" s="56"/>
      <c r="AE278" s="56"/>
      <c r="AF278" s="17"/>
      <c r="AG278" s="52"/>
      <c r="AH278" s="52"/>
      <c r="AI278" s="52"/>
    </row>
    <row r="279" spans="1:35" s="11" customFormat="1" x14ac:dyDescent="0.35">
      <c r="A279" s="8"/>
      <c r="B279" s="8"/>
      <c r="D279" s="52"/>
      <c r="E279" s="10"/>
      <c r="H279" s="28"/>
      <c r="R279" s="56"/>
      <c r="S279" s="56"/>
      <c r="T279" s="56"/>
      <c r="U279" s="16"/>
      <c r="V279" s="56"/>
      <c r="W279" s="56"/>
      <c r="X279" s="56"/>
      <c r="Y279" s="56"/>
      <c r="Z279" s="56"/>
      <c r="AA279" s="56"/>
      <c r="AB279" s="56"/>
      <c r="AC279" s="56"/>
      <c r="AD279" s="56"/>
      <c r="AE279" s="56"/>
      <c r="AF279" s="17"/>
      <c r="AG279" s="52"/>
      <c r="AH279" s="52"/>
      <c r="AI279" s="52"/>
    </row>
    <row r="280" spans="1:35" s="11" customFormat="1" x14ac:dyDescent="0.35">
      <c r="A280" s="8"/>
      <c r="B280" s="8"/>
      <c r="D280" s="52"/>
      <c r="E280" s="10"/>
      <c r="H280" s="28"/>
      <c r="R280" s="56"/>
      <c r="S280" s="56"/>
      <c r="T280" s="56"/>
      <c r="U280" s="16"/>
      <c r="V280" s="56"/>
      <c r="W280" s="56"/>
      <c r="X280" s="56"/>
      <c r="Y280" s="56"/>
      <c r="Z280" s="56"/>
      <c r="AA280" s="56"/>
      <c r="AB280" s="56"/>
      <c r="AC280" s="56"/>
      <c r="AD280" s="56"/>
      <c r="AE280" s="56"/>
      <c r="AF280" s="17"/>
      <c r="AG280" s="52"/>
      <c r="AH280" s="52"/>
      <c r="AI280" s="52"/>
    </row>
    <row r="281" spans="1:35" s="11" customFormat="1" x14ac:dyDescent="0.35">
      <c r="A281" s="8"/>
      <c r="B281" s="8"/>
      <c r="D281" s="52"/>
      <c r="E281" s="10"/>
      <c r="H281" s="28"/>
      <c r="R281" s="56"/>
      <c r="S281" s="56"/>
      <c r="T281" s="56"/>
      <c r="U281" s="16"/>
      <c r="V281" s="56"/>
      <c r="W281" s="56"/>
      <c r="X281" s="56"/>
      <c r="Y281" s="56"/>
      <c r="Z281" s="56"/>
      <c r="AA281" s="56"/>
      <c r="AB281" s="56"/>
      <c r="AC281" s="56"/>
      <c r="AD281" s="56"/>
      <c r="AE281" s="56"/>
      <c r="AF281" s="17"/>
      <c r="AG281" s="52"/>
      <c r="AH281" s="52"/>
      <c r="AI281" s="52"/>
    </row>
    <row r="282" spans="1:35" s="11" customFormat="1" x14ac:dyDescent="0.35">
      <c r="A282" s="8"/>
      <c r="B282" s="8"/>
      <c r="D282" s="52"/>
      <c r="E282" s="10"/>
      <c r="H282" s="28"/>
      <c r="R282" s="56"/>
      <c r="S282" s="56"/>
      <c r="T282" s="56"/>
      <c r="U282" s="16"/>
      <c r="V282" s="56"/>
      <c r="W282" s="56"/>
      <c r="X282" s="56"/>
      <c r="Y282" s="56"/>
      <c r="Z282" s="56"/>
      <c r="AA282" s="56"/>
      <c r="AB282" s="56"/>
      <c r="AC282" s="56"/>
      <c r="AD282" s="56"/>
      <c r="AE282" s="56"/>
      <c r="AF282" s="17"/>
      <c r="AG282" s="52"/>
      <c r="AH282" s="52"/>
      <c r="AI282" s="52"/>
    </row>
    <row r="283" spans="1:35" s="11" customFormat="1" x14ac:dyDescent="0.35">
      <c r="A283" s="8"/>
      <c r="B283" s="8"/>
      <c r="D283" s="52"/>
      <c r="E283" s="10"/>
      <c r="H283" s="28"/>
      <c r="R283" s="56"/>
      <c r="S283" s="56"/>
      <c r="T283" s="56"/>
      <c r="U283" s="16"/>
      <c r="V283" s="56"/>
      <c r="W283" s="56"/>
      <c r="X283" s="56"/>
      <c r="Y283" s="56"/>
      <c r="Z283" s="56"/>
      <c r="AA283" s="56"/>
      <c r="AB283" s="56"/>
      <c r="AC283" s="56"/>
      <c r="AD283" s="56"/>
      <c r="AE283" s="56"/>
      <c r="AF283" s="17"/>
      <c r="AG283" s="52"/>
      <c r="AH283" s="52"/>
      <c r="AI283" s="52"/>
    </row>
    <row r="284" spans="1:35" s="11" customFormat="1" x14ac:dyDescent="0.35">
      <c r="A284" s="8"/>
      <c r="B284" s="8"/>
      <c r="D284" s="52"/>
      <c r="E284" s="10"/>
      <c r="H284" s="28"/>
      <c r="R284" s="56"/>
      <c r="S284" s="56"/>
      <c r="T284" s="56"/>
      <c r="U284" s="16"/>
      <c r="V284" s="56"/>
      <c r="W284" s="56"/>
      <c r="X284" s="56"/>
      <c r="Y284" s="56"/>
      <c r="Z284" s="56"/>
      <c r="AA284" s="56"/>
      <c r="AB284" s="56"/>
      <c r="AC284" s="56"/>
      <c r="AD284" s="56"/>
      <c r="AE284" s="56"/>
      <c r="AF284" s="17"/>
      <c r="AG284" s="52"/>
      <c r="AH284" s="52"/>
      <c r="AI284" s="52"/>
    </row>
    <row r="285" spans="1:35" s="11" customFormat="1" x14ac:dyDescent="0.35">
      <c r="A285" s="8"/>
      <c r="B285" s="8"/>
      <c r="D285" s="52"/>
      <c r="E285" s="10"/>
      <c r="H285" s="28"/>
      <c r="R285" s="56"/>
      <c r="S285" s="56"/>
      <c r="T285" s="56"/>
      <c r="U285" s="16"/>
      <c r="V285" s="56"/>
      <c r="W285" s="56"/>
      <c r="X285" s="56"/>
      <c r="Y285" s="56"/>
      <c r="Z285" s="56"/>
      <c r="AA285" s="56"/>
      <c r="AB285" s="56"/>
      <c r="AC285" s="56"/>
      <c r="AD285" s="56"/>
      <c r="AE285" s="56"/>
      <c r="AF285" s="17"/>
      <c r="AG285" s="52"/>
      <c r="AH285" s="52"/>
      <c r="AI285" s="52"/>
    </row>
    <row r="286" spans="1:35" s="11" customFormat="1" x14ac:dyDescent="0.35">
      <c r="A286" s="8"/>
      <c r="B286" s="8"/>
      <c r="D286" s="52"/>
      <c r="E286" s="10"/>
      <c r="H286" s="28"/>
      <c r="R286" s="56"/>
      <c r="S286" s="56"/>
      <c r="T286" s="56"/>
      <c r="U286" s="16"/>
      <c r="V286" s="56"/>
      <c r="W286" s="56"/>
      <c r="X286" s="56"/>
      <c r="Y286" s="56"/>
      <c r="Z286" s="56"/>
      <c r="AA286" s="56"/>
      <c r="AB286" s="56"/>
      <c r="AC286" s="56"/>
      <c r="AD286" s="56"/>
      <c r="AE286" s="56"/>
      <c r="AF286" s="17"/>
      <c r="AG286" s="52"/>
      <c r="AH286" s="52"/>
      <c r="AI286" s="52"/>
    </row>
    <row r="287" spans="1:35" s="11" customFormat="1" x14ac:dyDescent="0.35">
      <c r="A287" s="8"/>
      <c r="B287" s="8"/>
      <c r="D287" s="52"/>
      <c r="E287" s="10"/>
      <c r="H287" s="28"/>
      <c r="R287" s="56"/>
      <c r="S287" s="56"/>
      <c r="T287" s="56"/>
      <c r="U287" s="16"/>
      <c r="V287" s="56"/>
      <c r="W287" s="56"/>
      <c r="X287" s="56"/>
      <c r="Y287" s="56"/>
      <c r="Z287" s="56"/>
      <c r="AA287" s="56"/>
      <c r="AB287" s="56"/>
      <c r="AC287" s="56"/>
      <c r="AD287" s="56"/>
      <c r="AE287" s="56"/>
      <c r="AF287" s="17"/>
      <c r="AG287" s="52"/>
      <c r="AH287" s="52"/>
      <c r="AI287" s="52"/>
    </row>
    <row r="288" spans="1:35" s="11" customFormat="1" x14ac:dyDescent="0.35">
      <c r="A288" s="8"/>
      <c r="B288" s="8"/>
      <c r="D288" s="52"/>
      <c r="E288" s="10"/>
      <c r="H288" s="28"/>
      <c r="R288" s="56"/>
      <c r="S288" s="56"/>
      <c r="T288" s="56"/>
      <c r="U288" s="16"/>
      <c r="V288" s="56"/>
      <c r="W288" s="56"/>
      <c r="X288" s="56"/>
      <c r="Y288" s="56"/>
      <c r="Z288" s="56"/>
      <c r="AA288" s="56"/>
      <c r="AB288" s="56"/>
      <c r="AC288" s="56"/>
      <c r="AD288" s="56"/>
      <c r="AE288" s="56"/>
      <c r="AF288" s="17"/>
      <c r="AG288" s="52"/>
      <c r="AH288" s="52"/>
      <c r="AI288" s="52"/>
    </row>
    <row r="289" spans="1:35" s="11" customFormat="1" x14ac:dyDescent="0.35">
      <c r="A289" s="8"/>
      <c r="B289" s="8"/>
      <c r="D289" s="52"/>
      <c r="E289" s="10"/>
      <c r="H289" s="28"/>
      <c r="R289" s="56"/>
      <c r="S289" s="56"/>
      <c r="T289" s="56"/>
      <c r="U289" s="16"/>
      <c r="V289" s="56"/>
      <c r="W289" s="56"/>
      <c r="X289" s="56"/>
      <c r="Y289" s="56"/>
      <c r="Z289" s="56"/>
      <c r="AA289" s="56"/>
      <c r="AB289" s="56"/>
      <c r="AC289" s="56"/>
      <c r="AD289" s="56"/>
      <c r="AE289" s="56"/>
      <c r="AF289" s="17"/>
      <c r="AG289" s="52"/>
      <c r="AH289" s="52"/>
      <c r="AI289" s="52"/>
    </row>
    <row r="290" spans="1:35" s="11" customFormat="1" x14ac:dyDescent="0.35">
      <c r="A290" s="8"/>
      <c r="B290" s="8"/>
      <c r="D290" s="52"/>
      <c r="E290" s="10"/>
      <c r="H290" s="28"/>
      <c r="R290" s="56"/>
      <c r="S290" s="56"/>
      <c r="T290" s="56"/>
      <c r="U290" s="16"/>
      <c r="V290" s="56"/>
      <c r="W290" s="56"/>
      <c r="X290" s="56"/>
      <c r="Y290" s="56"/>
      <c r="Z290" s="56"/>
      <c r="AA290" s="56"/>
      <c r="AB290" s="56"/>
      <c r="AC290" s="56"/>
      <c r="AD290" s="56"/>
      <c r="AE290" s="56"/>
      <c r="AF290" s="17"/>
      <c r="AG290" s="52"/>
      <c r="AH290" s="52"/>
      <c r="AI290" s="52"/>
    </row>
    <row r="291" spans="1:35" s="11" customFormat="1" x14ac:dyDescent="0.35">
      <c r="A291" s="8"/>
      <c r="B291" s="8"/>
      <c r="D291" s="52"/>
      <c r="E291" s="10"/>
      <c r="H291" s="28"/>
      <c r="R291" s="56"/>
      <c r="S291" s="56"/>
      <c r="T291" s="56"/>
      <c r="U291" s="16"/>
      <c r="V291" s="56"/>
      <c r="W291" s="56"/>
      <c r="X291" s="56"/>
      <c r="Y291" s="56"/>
      <c r="Z291" s="56"/>
      <c r="AA291" s="56"/>
      <c r="AB291" s="56"/>
      <c r="AC291" s="56"/>
      <c r="AD291" s="56"/>
      <c r="AE291" s="56"/>
      <c r="AF291" s="17"/>
      <c r="AG291" s="52"/>
      <c r="AH291" s="52"/>
      <c r="AI291" s="52"/>
    </row>
    <row r="292" spans="1:35" s="11" customFormat="1" x14ac:dyDescent="0.35">
      <c r="A292" s="8"/>
      <c r="B292" s="8"/>
      <c r="D292" s="52"/>
      <c r="E292" s="10"/>
      <c r="H292" s="28"/>
      <c r="R292" s="56"/>
      <c r="S292" s="56"/>
      <c r="T292" s="56"/>
      <c r="U292" s="16"/>
      <c r="V292" s="56"/>
      <c r="W292" s="56"/>
      <c r="X292" s="56"/>
      <c r="Y292" s="56"/>
      <c r="Z292" s="56"/>
      <c r="AA292" s="56"/>
      <c r="AB292" s="56"/>
      <c r="AC292" s="56"/>
      <c r="AD292" s="56"/>
      <c r="AE292" s="56"/>
      <c r="AF292" s="17"/>
      <c r="AG292" s="52"/>
      <c r="AH292" s="52"/>
      <c r="AI292" s="52"/>
    </row>
    <row r="293" spans="1:35" s="11" customFormat="1" x14ac:dyDescent="0.35">
      <c r="A293" s="8"/>
      <c r="B293" s="8"/>
      <c r="D293" s="52"/>
      <c r="E293" s="10"/>
      <c r="H293" s="28"/>
      <c r="R293" s="56"/>
      <c r="S293" s="56"/>
      <c r="T293" s="56"/>
      <c r="U293" s="16"/>
      <c r="V293" s="56"/>
      <c r="W293" s="56"/>
      <c r="X293" s="56"/>
      <c r="Y293" s="56"/>
      <c r="Z293" s="56"/>
      <c r="AA293" s="56"/>
      <c r="AB293" s="56"/>
      <c r="AC293" s="56"/>
      <c r="AD293" s="56"/>
      <c r="AE293" s="56"/>
      <c r="AF293" s="17"/>
      <c r="AG293" s="52"/>
      <c r="AH293" s="52"/>
      <c r="AI293" s="52"/>
    </row>
    <row r="294" spans="1:35" s="11" customFormat="1" x14ac:dyDescent="0.35">
      <c r="A294" s="8"/>
      <c r="B294" s="8"/>
      <c r="D294" s="52"/>
      <c r="E294" s="10"/>
      <c r="H294" s="28"/>
      <c r="R294" s="56"/>
      <c r="S294" s="56"/>
      <c r="T294" s="56"/>
      <c r="U294" s="16"/>
      <c r="V294" s="56"/>
      <c r="W294" s="56"/>
      <c r="X294" s="56"/>
      <c r="Y294" s="56"/>
      <c r="Z294" s="56"/>
      <c r="AA294" s="56"/>
      <c r="AB294" s="56"/>
      <c r="AC294" s="56"/>
      <c r="AD294" s="56"/>
      <c r="AE294" s="56"/>
      <c r="AF294" s="17"/>
      <c r="AG294" s="52"/>
      <c r="AH294" s="52"/>
      <c r="AI294" s="52"/>
    </row>
    <row r="295" spans="1:35" s="11" customFormat="1" x14ac:dyDescent="0.35">
      <c r="A295" s="8"/>
      <c r="B295" s="8"/>
      <c r="D295" s="52"/>
      <c r="E295" s="10"/>
      <c r="H295" s="28"/>
      <c r="R295" s="56"/>
      <c r="S295" s="56"/>
      <c r="T295" s="56"/>
      <c r="U295" s="16"/>
      <c r="V295" s="56"/>
      <c r="W295" s="56"/>
      <c r="X295" s="56"/>
      <c r="Y295" s="56"/>
      <c r="Z295" s="56"/>
      <c r="AA295" s="56"/>
      <c r="AB295" s="56"/>
      <c r="AC295" s="56"/>
      <c r="AD295" s="56"/>
      <c r="AE295" s="56"/>
      <c r="AF295" s="17"/>
      <c r="AG295" s="52"/>
      <c r="AH295" s="52"/>
      <c r="AI295" s="52"/>
    </row>
    <row r="296" spans="1:35" s="11" customFormat="1" x14ac:dyDescent="0.35">
      <c r="A296" s="8"/>
      <c r="B296" s="8"/>
      <c r="D296" s="52"/>
      <c r="E296" s="10"/>
      <c r="H296" s="28"/>
      <c r="R296" s="56"/>
      <c r="S296" s="56"/>
      <c r="T296" s="56"/>
      <c r="U296" s="16"/>
      <c r="V296" s="56"/>
      <c r="W296" s="56"/>
      <c r="X296" s="56"/>
      <c r="Y296" s="56"/>
      <c r="Z296" s="56"/>
      <c r="AA296" s="56"/>
      <c r="AB296" s="56"/>
      <c r="AC296" s="56"/>
      <c r="AD296" s="56"/>
      <c r="AE296" s="56"/>
      <c r="AF296" s="17"/>
      <c r="AG296" s="52"/>
      <c r="AH296" s="52"/>
      <c r="AI296" s="52"/>
    </row>
    <row r="297" spans="1:35" s="11" customFormat="1" x14ac:dyDescent="0.35">
      <c r="A297" s="8"/>
      <c r="B297" s="8"/>
      <c r="D297" s="52"/>
      <c r="E297" s="10"/>
      <c r="H297" s="28"/>
      <c r="R297" s="56"/>
      <c r="S297" s="56"/>
      <c r="T297" s="56"/>
      <c r="U297" s="16"/>
      <c r="V297" s="56"/>
      <c r="W297" s="56"/>
      <c r="X297" s="56"/>
      <c r="Y297" s="56"/>
      <c r="Z297" s="56"/>
      <c r="AA297" s="56"/>
      <c r="AB297" s="56"/>
      <c r="AC297" s="56"/>
      <c r="AD297" s="56"/>
      <c r="AE297" s="56"/>
      <c r="AF297" s="17"/>
      <c r="AG297" s="52"/>
      <c r="AH297" s="52"/>
      <c r="AI297" s="52"/>
    </row>
    <row r="298" spans="1:35" s="11" customFormat="1" x14ac:dyDescent="0.35">
      <c r="A298" s="8"/>
      <c r="B298" s="8"/>
      <c r="D298" s="52"/>
      <c r="E298" s="10"/>
      <c r="H298" s="28"/>
      <c r="R298" s="56"/>
      <c r="S298" s="56"/>
      <c r="T298" s="56"/>
      <c r="U298" s="16"/>
      <c r="V298" s="56"/>
      <c r="W298" s="56"/>
      <c r="X298" s="56"/>
      <c r="Y298" s="56"/>
      <c r="Z298" s="56"/>
      <c r="AA298" s="56"/>
      <c r="AB298" s="56"/>
      <c r="AC298" s="56"/>
      <c r="AD298" s="56"/>
      <c r="AE298" s="56"/>
      <c r="AF298" s="17"/>
      <c r="AG298" s="52"/>
      <c r="AH298" s="52"/>
      <c r="AI298" s="52"/>
    </row>
    <row r="299" spans="1:35" s="11" customFormat="1" x14ac:dyDescent="0.35">
      <c r="A299" s="8"/>
      <c r="B299" s="8"/>
      <c r="D299" s="52"/>
      <c r="E299" s="10"/>
      <c r="H299" s="28"/>
      <c r="R299" s="56"/>
      <c r="S299" s="56"/>
      <c r="T299" s="56"/>
      <c r="U299" s="16"/>
      <c r="V299" s="56"/>
      <c r="W299" s="56"/>
      <c r="X299" s="56"/>
      <c r="Y299" s="56"/>
      <c r="Z299" s="56"/>
      <c r="AA299" s="56"/>
      <c r="AB299" s="56"/>
      <c r="AC299" s="56"/>
      <c r="AD299" s="56"/>
      <c r="AE299" s="56"/>
      <c r="AF299" s="17"/>
      <c r="AG299" s="52"/>
      <c r="AH299" s="52"/>
      <c r="AI299" s="52"/>
    </row>
    <row r="300" spans="1:35" s="11" customFormat="1" x14ac:dyDescent="0.35">
      <c r="A300" s="8"/>
      <c r="B300" s="8"/>
      <c r="D300" s="52"/>
      <c r="E300" s="10"/>
      <c r="H300" s="28"/>
      <c r="R300" s="56"/>
      <c r="S300" s="56"/>
      <c r="T300" s="56"/>
      <c r="U300" s="16"/>
      <c r="V300" s="56"/>
      <c r="W300" s="56"/>
      <c r="X300" s="56"/>
      <c r="Y300" s="56"/>
      <c r="Z300" s="56"/>
      <c r="AA300" s="56"/>
      <c r="AB300" s="56"/>
      <c r="AC300" s="56"/>
      <c r="AD300" s="56"/>
      <c r="AE300" s="56"/>
      <c r="AF300" s="17"/>
      <c r="AG300" s="52"/>
      <c r="AH300" s="52"/>
      <c r="AI300" s="52"/>
    </row>
    <row r="301" spans="1:35" s="11" customFormat="1" x14ac:dyDescent="0.35">
      <c r="A301" s="8"/>
      <c r="B301" s="8"/>
      <c r="D301" s="52"/>
      <c r="E301" s="10"/>
      <c r="H301" s="28"/>
      <c r="R301" s="56"/>
      <c r="S301" s="56"/>
      <c r="T301" s="56"/>
      <c r="U301" s="16"/>
      <c r="V301" s="56"/>
      <c r="W301" s="56"/>
      <c r="X301" s="56"/>
      <c r="Y301" s="56"/>
      <c r="Z301" s="56"/>
      <c r="AA301" s="56"/>
      <c r="AB301" s="56"/>
      <c r="AC301" s="56"/>
      <c r="AD301" s="56"/>
      <c r="AE301" s="56"/>
      <c r="AF301" s="17"/>
      <c r="AG301" s="52"/>
      <c r="AH301" s="52"/>
      <c r="AI301" s="52"/>
    </row>
    <row r="302" spans="1:35" s="11" customFormat="1" x14ac:dyDescent="0.35">
      <c r="A302" s="8"/>
      <c r="B302" s="8"/>
      <c r="D302" s="52"/>
      <c r="E302" s="10"/>
      <c r="H302" s="28"/>
      <c r="R302" s="56"/>
      <c r="S302" s="56"/>
      <c r="T302" s="56"/>
      <c r="U302" s="16"/>
      <c r="V302" s="56"/>
      <c r="W302" s="56"/>
      <c r="X302" s="56"/>
      <c r="Y302" s="56"/>
      <c r="Z302" s="56"/>
      <c r="AA302" s="56"/>
      <c r="AB302" s="56"/>
      <c r="AC302" s="56"/>
      <c r="AD302" s="56"/>
      <c r="AE302" s="56"/>
      <c r="AF302" s="17"/>
      <c r="AG302" s="52"/>
      <c r="AH302" s="52"/>
      <c r="AI302" s="52"/>
    </row>
    <row r="303" spans="1:35" s="11" customFormat="1" x14ac:dyDescent="0.35">
      <c r="A303" s="8"/>
      <c r="B303" s="8"/>
      <c r="D303" s="52"/>
      <c r="E303" s="10"/>
      <c r="H303" s="28"/>
      <c r="R303" s="56"/>
      <c r="S303" s="56"/>
      <c r="T303" s="56"/>
      <c r="U303" s="16"/>
      <c r="V303" s="56"/>
      <c r="W303" s="56"/>
      <c r="X303" s="56"/>
      <c r="Y303" s="56"/>
      <c r="Z303" s="56"/>
      <c r="AA303" s="56"/>
      <c r="AB303" s="56"/>
      <c r="AC303" s="56"/>
      <c r="AD303" s="56"/>
      <c r="AE303" s="56"/>
      <c r="AF303" s="17"/>
      <c r="AG303" s="52"/>
      <c r="AH303" s="52"/>
      <c r="AI303" s="52"/>
    </row>
    <row r="304" spans="1:35" s="11" customFormat="1" x14ac:dyDescent="0.35">
      <c r="A304" s="8"/>
      <c r="B304" s="8"/>
      <c r="D304" s="52"/>
      <c r="E304" s="10"/>
      <c r="H304" s="28"/>
      <c r="R304" s="56"/>
      <c r="S304" s="56"/>
      <c r="T304" s="56"/>
      <c r="U304" s="16"/>
      <c r="V304" s="56"/>
      <c r="W304" s="56"/>
      <c r="X304" s="56"/>
      <c r="Y304" s="56"/>
      <c r="Z304" s="56"/>
      <c r="AA304" s="56"/>
      <c r="AB304" s="56"/>
      <c r="AC304" s="56"/>
      <c r="AD304" s="56"/>
      <c r="AE304" s="56"/>
      <c r="AF304" s="17"/>
      <c r="AG304" s="52"/>
      <c r="AH304" s="52"/>
      <c r="AI304" s="52"/>
    </row>
    <row r="305" spans="1:35" s="11" customFormat="1" x14ac:dyDescent="0.35">
      <c r="A305" s="8"/>
      <c r="B305" s="8"/>
      <c r="D305" s="52"/>
      <c r="E305" s="10"/>
      <c r="H305" s="28"/>
      <c r="R305" s="56"/>
      <c r="S305" s="56"/>
      <c r="T305" s="56"/>
      <c r="U305" s="16"/>
      <c r="V305" s="56"/>
      <c r="W305" s="56"/>
      <c r="X305" s="56"/>
      <c r="Y305" s="56"/>
      <c r="Z305" s="56"/>
      <c r="AA305" s="56"/>
      <c r="AB305" s="56"/>
      <c r="AC305" s="56"/>
      <c r="AD305" s="56"/>
      <c r="AE305" s="56"/>
      <c r="AF305" s="17"/>
      <c r="AG305" s="52"/>
      <c r="AH305" s="52"/>
      <c r="AI305" s="52"/>
    </row>
    <row r="306" spans="1:35" s="11" customFormat="1" x14ac:dyDescent="0.35">
      <c r="A306" s="8"/>
      <c r="B306" s="8"/>
      <c r="D306" s="52"/>
      <c r="E306" s="10"/>
      <c r="H306" s="28"/>
      <c r="R306" s="56"/>
      <c r="S306" s="56"/>
      <c r="T306" s="56"/>
      <c r="U306" s="16"/>
      <c r="V306" s="56"/>
      <c r="W306" s="56"/>
      <c r="X306" s="56"/>
      <c r="Y306" s="56"/>
      <c r="Z306" s="56"/>
      <c r="AA306" s="56"/>
      <c r="AB306" s="56"/>
      <c r="AC306" s="56"/>
      <c r="AD306" s="56"/>
      <c r="AE306" s="56"/>
      <c r="AF306" s="17"/>
      <c r="AG306" s="52"/>
      <c r="AH306" s="52"/>
      <c r="AI306" s="52"/>
    </row>
    <row r="307" spans="1:35" s="11" customFormat="1" x14ac:dyDescent="0.35">
      <c r="A307" s="8"/>
      <c r="B307" s="8"/>
      <c r="D307" s="52"/>
      <c r="E307" s="10"/>
      <c r="H307" s="28"/>
      <c r="R307" s="56"/>
      <c r="S307" s="56"/>
      <c r="T307" s="56"/>
      <c r="U307" s="16"/>
      <c r="V307" s="56"/>
      <c r="W307" s="56"/>
      <c r="X307" s="56"/>
      <c r="Y307" s="56"/>
      <c r="Z307" s="56"/>
      <c r="AA307" s="56"/>
      <c r="AB307" s="56"/>
      <c r="AC307" s="56"/>
      <c r="AD307" s="56"/>
      <c r="AE307" s="56"/>
      <c r="AF307" s="17"/>
      <c r="AG307" s="52"/>
      <c r="AH307" s="52"/>
      <c r="AI307" s="52"/>
    </row>
    <row r="308" spans="1:35" s="11" customFormat="1" x14ac:dyDescent="0.35">
      <c r="A308" s="8"/>
      <c r="B308" s="8"/>
      <c r="D308" s="52"/>
      <c r="E308" s="10"/>
      <c r="H308" s="28"/>
      <c r="R308" s="56"/>
      <c r="S308" s="56"/>
      <c r="T308" s="56"/>
      <c r="U308" s="16"/>
      <c r="V308" s="56"/>
      <c r="W308" s="56"/>
      <c r="X308" s="56"/>
      <c r="Y308" s="56"/>
      <c r="Z308" s="56"/>
      <c r="AA308" s="56"/>
      <c r="AB308" s="56"/>
      <c r="AC308" s="56"/>
      <c r="AD308" s="56"/>
      <c r="AE308" s="56"/>
      <c r="AF308" s="17"/>
      <c r="AG308" s="52"/>
      <c r="AH308" s="52"/>
      <c r="AI308" s="52"/>
    </row>
    <row r="309" spans="1:35" s="11" customFormat="1" x14ac:dyDescent="0.35">
      <c r="A309" s="8"/>
      <c r="B309" s="8"/>
      <c r="D309" s="52"/>
      <c r="E309" s="10"/>
      <c r="H309" s="28"/>
      <c r="R309" s="56"/>
      <c r="S309" s="56"/>
      <c r="T309" s="56"/>
      <c r="U309" s="16"/>
      <c r="V309" s="56"/>
      <c r="W309" s="56"/>
      <c r="X309" s="56"/>
      <c r="Y309" s="56"/>
      <c r="Z309" s="56"/>
      <c r="AA309" s="56"/>
      <c r="AB309" s="56"/>
      <c r="AC309" s="56"/>
      <c r="AD309" s="56"/>
      <c r="AE309" s="56"/>
      <c r="AF309" s="17"/>
      <c r="AG309" s="52"/>
      <c r="AH309" s="52"/>
      <c r="AI309" s="52"/>
    </row>
    <row r="310" spans="1:35" s="11" customFormat="1" x14ac:dyDescent="0.35">
      <c r="A310" s="8"/>
      <c r="B310" s="8"/>
      <c r="D310" s="52"/>
      <c r="E310" s="10"/>
      <c r="H310" s="28"/>
      <c r="R310" s="56"/>
      <c r="S310" s="56"/>
      <c r="T310" s="56"/>
      <c r="U310" s="16"/>
      <c r="V310" s="56"/>
      <c r="W310" s="56"/>
      <c r="X310" s="56"/>
      <c r="Y310" s="56"/>
      <c r="Z310" s="56"/>
      <c r="AA310" s="56"/>
      <c r="AB310" s="56"/>
      <c r="AC310" s="56"/>
      <c r="AD310" s="56"/>
      <c r="AE310" s="56"/>
      <c r="AF310" s="17"/>
      <c r="AG310" s="52"/>
      <c r="AH310" s="52"/>
      <c r="AI310" s="52"/>
    </row>
    <row r="311" spans="1:35" s="11" customFormat="1" x14ac:dyDescent="0.35">
      <c r="A311" s="8"/>
      <c r="B311" s="8"/>
      <c r="D311" s="52"/>
      <c r="E311" s="10"/>
      <c r="H311" s="28"/>
      <c r="R311" s="56"/>
      <c r="S311" s="56"/>
      <c r="T311" s="56"/>
      <c r="U311" s="16"/>
      <c r="V311" s="56"/>
      <c r="W311" s="56"/>
      <c r="X311" s="56"/>
      <c r="Y311" s="56"/>
      <c r="Z311" s="56"/>
      <c r="AA311" s="56"/>
      <c r="AB311" s="56"/>
      <c r="AC311" s="56"/>
      <c r="AD311" s="56"/>
      <c r="AE311" s="56"/>
      <c r="AF311" s="17"/>
      <c r="AG311" s="52"/>
      <c r="AH311" s="52"/>
      <c r="AI311" s="52"/>
    </row>
    <row r="312" spans="1:35" s="11" customFormat="1" x14ac:dyDescent="0.35">
      <c r="A312" s="8"/>
      <c r="B312" s="8"/>
      <c r="D312" s="52"/>
      <c r="E312" s="10"/>
      <c r="H312" s="28"/>
      <c r="R312" s="56"/>
      <c r="S312" s="56"/>
      <c r="T312" s="56"/>
      <c r="U312" s="16"/>
      <c r="V312" s="56"/>
      <c r="W312" s="56"/>
      <c r="X312" s="56"/>
      <c r="Y312" s="56"/>
      <c r="Z312" s="56"/>
      <c r="AA312" s="56"/>
      <c r="AB312" s="56"/>
      <c r="AC312" s="56"/>
      <c r="AD312" s="56"/>
      <c r="AE312" s="56"/>
      <c r="AF312" s="17"/>
      <c r="AG312" s="52"/>
      <c r="AH312" s="52"/>
      <c r="AI312" s="52"/>
    </row>
    <row r="313" spans="1:35" s="11" customFormat="1" x14ac:dyDescent="0.35">
      <c r="A313" s="8"/>
      <c r="B313" s="8"/>
      <c r="D313" s="52"/>
      <c r="E313" s="10"/>
      <c r="H313" s="28"/>
      <c r="R313" s="56"/>
      <c r="S313" s="56"/>
      <c r="T313" s="56"/>
      <c r="U313" s="16"/>
      <c r="V313" s="56"/>
      <c r="W313" s="56"/>
      <c r="X313" s="56"/>
      <c r="Y313" s="56"/>
      <c r="Z313" s="56"/>
      <c r="AA313" s="56"/>
      <c r="AB313" s="56"/>
      <c r="AC313" s="56"/>
      <c r="AD313" s="56"/>
      <c r="AE313" s="56"/>
      <c r="AF313" s="17"/>
      <c r="AG313" s="52"/>
      <c r="AH313" s="52"/>
      <c r="AI313" s="52"/>
    </row>
    <row r="314" spans="1:35" s="11" customFormat="1" x14ac:dyDescent="0.35">
      <c r="A314" s="8"/>
      <c r="B314" s="8"/>
      <c r="D314" s="52"/>
      <c r="E314" s="10"/>
      <c r="H314" s="28"/>
      <c r="R314" s="56"/>
      <c r="S314" s="56"/>
      <c r="T314" s="56"/>
      <c r="U314" s="16"/>
      <c r="V314" s="56"/>
      <c r="W314" s="56"/>
      <c r="X314" s="56"/>
      <c r="Y314" s="56"/>
      <c r="Z314" s="56"/>
      <c r="AA314" s="56"/>
      <c r="AB314" s="56"/>
      <c r="AC314" s="56"/>
      <c r="AD314" s="56"/>
      <c r="AE314" s="56"/>
      <c r="AF314" s="17"/>
      <c r="AG314" s="52"/>
      <c r="AH314" s="52"/>
      <c r="AI314" s="52"/>
    </row>
    <row r="315" spans="1:35" s="11" customFormat="1" x14ac:dyDescent="0.35">
      <c r="A315" s="8"/>
      <c r="B315" s="8"/>
      <c r="D315" s="52"/>
      <c r="E315" s="10"/>
      <c r="H315" s="28"/>
      <c r="R315" s="56"/>
      <c r="S315" s="56"/>
      <c r="T315" s="56"/>
      <c r="U315" s="16"/>
      <c r="V315" s="56"/>
      <c r="W315" s="56"/>
      <c r="X315" s="56"/>
      <c r="Y315" s="56"/>
      <c r="Z315" s="56"/>
      <c r="AA315" s="56"/>
      <c r="AB315" s="56"/>
      <c r="AC315" s="56"/>
      <c r="AD315" s="56"/>
      <c r="AE315" s="56"/>
      <c r="AF315" s="17"/>
      <c r="AG315" s="52"/>
      <c r="AH315" s="52"/>
      <c r="AI315" s="52"/>
    </row>
    <row r="316" spans="1:35" s="11" customFormat="1" x14ac:dyDescent="0.35">
      <c r="A316" s="8"/>
      <c r="B316" s="8"/>
      <c r="D316" s="52"/>
      <c r="E316" s="10"/>
      <c r="H316" s="28"/>
      <c r="R316" s="56"/>
      <c r="S316" s="56"/>
      <c r="T316" s="56"/>
      <c r="U316" s="16"/>
      <c r="V316" s="56"/>
      <c r="W316" s="56"/>
      <c r="X316" s="56"/>
      <c r="Y316" s="56"/>
      <c r="Z316" s="56"/>
      <c r="AA316" s="56"/>
      <c r="AB316" s="56"/>
      <c r="AC316" s="56"/>
      <c r="AD316" s="56"/>
      <c r="AE316" s="56"/>
      <c r="AF316" s="17"/>
      <c r="AG316" s="52"/>
      <c r="AH316" s="52"/>
      <c r="AI316" s="52"/>
    </row>
    <row r="317" spans="1:35" s="11" customFormat="1" x14ac:dyDescent="0.35">
      <c r="A317" s="8"/>
      <c r="B317" s="8"/>
      <c r="D317" s="52"/>
      <c r="E317" s="10"/>
      <c r="H317" s="28"/>
      <c r="R317" s="56"/>
      <c r="S317" s="56"/>
      <c r="T317" s="56"/>
      <c r="U317" s="16"/>
      <c r="V317" s="56"/>
      <c r="W317" s="56"/>
      <c r="X317" s="56"/>
      <c r="Y317" s="56"/>
      <c r="Z317" s="56"/>
      <c r="AA317" s="56"/>
      <c r="AB317" s="56"/>
      <c r="AC317" s="56"/>
      <c r="AD317" s="56"/>
      <c r="AE317" s="56"/>
      <c r="AF317" s="17"/>
      <c r="AG317" s="52"/>
      <c r="AH317" s="52"/>
      <c r="AI317" s="52"/>
    </row>
    <row r="318" spans="1:35" s="11" customFormat="1" x14ac:dyDescent="0.35">
      <c r="A318" s="8"/>
      <c r="B318" s="8"/>
      <c r="D318" s="52"/>
      <c r="E318" s="10"/>
      <c r="H318" s="28"/>
      <c r="R318" s="56"/>
      <c r="S318" s="56"/>
      <c r="T318" s="56"/>
      <c r="U318" s="16"/>
      <c r="V318" s="56"/>
      <c r="W318" s="56"/>
      <c r="X318" s="56"/>
      <c r="Y318" s="56"/>
      <c r="Z318" s="56"/>
      <c r="AA318" s="56"/>
      <c r="AB318" s="56"/>
      <c r="AC318" s="56"/>
      <c r="AD318" s="56"/>
      <c r="AE318" s="56"/>
      <c r="AF318" s="17"/>
      <c r="AG318" s="52"/>
      <c r="AH318" s="52"/>
      <c r="AI318" s="52"/>
    </row>
    <row r="319" spans="1:35" s="11" customFormat="1" x14ac:dyDescent="0.35">
      <c r="A319" s="8"/>
      <c r="B319" s="8"/>
      <c r="D319" s="52"/>
      <c r="E319" s="10"/>
      <c r="H319" s="28"/>
      <c r="R319" s="56"/>
      <c r="S319" s="56"/>
      <c r="T319" s="56"/>
      <c r="U319" s="16"/>
      <c r="V319" s="56"/>
      <c r="W319" s="56"/>
      <c r="X319" s="56"/>
      <c r="Y319" s="56"/>
      <c r="Z319" s="56"/>
      <c r="AA319" s="56"/>
      <c r="AB319" s="56"/>
      <c r="AC319" s="56"/>
      <c r="AD319" s="56"/>
      <c r="AE319" s="56"/>
      <c r="AF319" s="17"/>
      <c r="AG319" s="52"/>
      <c r="AH319" s="52"/>
      <c r="AI319" s="52"/>
    </row>
    <row r="320" spans="1:35" s="11" customFormat="1" x14ac:dyDescent="0.35">
      <c r="A320" s="8"/>
      <c r="B320" s="8"/>
      <c r="D320" s="52"/>
      <c r="E320" s="10"/>
      <c r="H320" s="28"/>
      <c r="R320" s="56"/>
      <c r="S320" s="56"/>
      <c r="T320" s="56"/>
      <c r="U320" s="16"/>
      <c r="V320" s="56"/>
      <c r="W320" s="56"/>
      <c r="X320" s="56"/>
      <c r="Y320" s="56"/>
      <c r="Z320" s="56"/>
      <c r="AA320" s="56"/>
      <c r="AB320" s="56"/>
      <c r="AC320" s="56"/>
      <c r="AD320" s="56"/>
      <c r="AE320" s="56"/>
      <c r="AF320" s="17"/>
      <c r="AG320" s="52"/>
      <c r="AH320" s="52"/>
      <c r="AI320" s="52"/>
    </row>
    <row r="321" spans="1:35" s="11" customFormat="1" x14ac:dyDescent="0.35">
      <c r="A321" s="8"/>
      <c r="B321" s="8"/>
      <c r="D321" s="52"/>
      <c r="E321" s="10"/>
      <c r="H321" s="28"/>
      <c r="R321" s="56"/>
      <c r="S321" s="56"/>
      <c r="T321" s="56"/>
      <c r="U321" s="16"/>
      <c r="V321" s="56"/>
      <c r="W321" s="56"/>
      <c r="X321" s="56"/>
      <c r="Y321" s="56"/>
      <c r="Z321" s="56"/>
      <c r="AA321" s="56"/>
      <c r="AB321" s="56"/>
      <c r="AC321" s="56"/>
      <c r="AD321" s="56"/>
      <c r="AE321" s="56"/>
      <c r="AF321" s="17"/>
      <c r="AG321" s="52"/>
      <c r="AH321" s="52"/>
      <c r="AI321" s="52"/>
    </row>
    <row r="322" spans="1:35" s="11" customFormat="1" x14ac:dyDescent="0.35">
      <c r="A322" s="8"/>
      <c r="B322" s="8"/>
      <c r="D322" s="52"/>
      <c r="E322" s="10"/>
      <c r="H322" s="28"/>
      <c r="R322" s="56"/>
      <c r="S322" s="56"/>
      <c r="T322" s="56"/>
      <c r="U322" s="16"/>
      <c r="V322" s="56"/>
      <c r="W322" s="56"/>
      <c r="X322" s="56"/>
      <c r="Y322" s="56"/>
      <c r="Z322" s="56"/>
      <c r="AA322" s="56"/>
      <c r="AB322" s="56"/>
      <c r="AC322" s="56"/>
      <c r="AD322" s="56"/>
      <c r="AE322" s="56"/>
      <c r="AF322" s="17"/>
      <c r="AG322" s="52"/>
      <c r="AH322" s="52"/>
      <c r="AI322" s="52"/>
    </row>
    <row r="323" spans="1:35" s="11" customFormat="1" x14ac:dyDescent="0.35">
      <c r="A323" s="8"/>
      <c r="B323" s="8"/>
      <c r="D323" s="52"/>
      <c r="E323" s="10"/>
      <c r="H323" s="28"/>
      <c r="R323" s="56"/>
      <c r="S323" s="56"/>
      <c r="T323" s="56"/>
      <c r="U323" s="16"/>
      <c r="V323" s="56"/>
      <c r="W323" s="56"/>
      <c r="X323" s="56"/>
      <c r="Y323" s="56"/>
      <c r="Z323" s="56"/>
      <c r="AA323" s="56"/>
      <c r="AB323" s="56"/>
      <c r="AC323" s="56"/>
      <c r="AD323" s="56"/>
      <c r="AE323" s="56"/>
      <c r="AF323" s="17"/>
      <c r="AG323" s="52"/>
      <c r="AH323" s="52"/>
      <c r="AI323" s="52"/>
    </row>
    <row r="324" spans="1:35" s="11" customFormat="1" x14ac:dyDescent="0.35">
      <c r="A324" s="8"/>
      <c r="B324" s="8"/>
      <c r="D324" s="52"/>
      <c r="E324" s="10"/>
      <c r="H324" s="28"/>
      <c r="R324" s="56"/>
      <c r="S324" s="56"/>
      <c r="T324" s="56"/>
      <c r="U324" s="16"/>
      <c r="V324" s="56"/>
      <c r="W324" s="56"/>
      <c r="X324" s="56"/>
      <c r="Y324" s="56"/>
      <c r="Z324" s="56"/>
      <c r="AA324" s="56"/>
      <c r="AB324" s="56"/>
      <c r="AC324" s="56"/>
      <c r="AD324" s="56"/>
      <c r="AE324" s="56"/>
      <c r="AF324" s="17"/>
      <c r="AG324" s="52"/>
      <c r="AH324" s="52"/>
      <c r="AI324" s="52"/>
    </row>
    <row r="325" spans="1:35" s="11" customFormat="1" x14ac:dyDescent="0.35">
      <c r="A325" s="8"/>
      <c r="B325" s="8"/>
      <c r="D325" s="52"/>
      <c r="E325" s="10"/>
      <c r="H325" s="28"/>
      <c r="R325" s="56"/>
      <c r="S325" s="56"/>
      <c r="T325" s="56"/>
      <c r="U325" s="16"/>
      <c r="V325" s="56"/>
      <c r="W325" s="56"/>
      <c r="X325" s="56"/>
      <c r="Y325" s="56"/>
      <c r="Z325" s="56"/>
      <c r="AA325" s="56"/>
      <c r="AB325" s="56"/>
      <c r="AC325" s="56"/>
      <c r="AD325" s="56"/>
      <c r="AE325" s="56"/>
      <c r="AF325" s="17"/>
      <c r="AG325" s="52"/>
      <c r="AH325" s="52"/>
      <c r="AI325" s="52"/>
    </row>
    <row r="326" spans="1:35" s="11" customFormat="1" x14ac:dyDescent="0.35">
      <c r="A326" s="8"/>
      <c r="B326" s="8"/>
      <c r="D326" s="52"/>
      <c r="E326" s="10"/>
      <c r="H326" s="28"/>
      <c r="R326" s="56"/>
      <c r="S326" s="56"/>
      <c r="T326" s="56"/>
      <c r="U326" s="16"/>
      <c r="V326" s="56"/>
      <c r="W326" s="56"/>
      <c r="X326" s="56"/>
      <c r="Y326" s="56"/>
      <c r="Z326" s="56"/>
      <c r="AA326" s="56"/>
      <c r="AB326" s="56"/>
      <c r="AC326" s="56"/>
      <c r="AD326" s="56"/>
      <c r="AE326" s="56"/>
      <c r="AF326" s="17"/>
      <c r="AG326" s="52"/>
      <c r="AH326" s="52"/>
      <c r="AI326" s="52"/>
    </row>
    <row r="327" spans="1:35" s="11" customFormat="1" x14ac:dyDescent="0.35">
      <c r="A327" s="8"/>
      <c r="B327" s="8"/>
      <c r="D327" s="52"/>
      <c r="E327" s="10"/>
      <c r="H327" s="28"/>
      <c r="R327" s="56"/>
      <c r="S327" s="56"/>
      <c r="T327" s="56"/>
      <c r="U327" s="16"/>
      <c r="V327" s="56"/>
      <c r="W327" s="56"/>
      <c r="X327" s="56"/>
      <c r="Y327" s="56"/>
      <c r="Z327" s="56"/>
      <c r="AA327" s="56"/>
      <c r="AB327" s="56"/>
      <c r="AC327" s="56"/>
      <c r="AD327" s="56"/>
      <c r="AE327" s="56"/>
      <c r="AF327" s="17"/>
      <c r="AG327" s="52"/>
      <c r="AH327" s="52"/>
      <c r="AI327" s="52"/>
    </row>
    <row r="328" spans="1:35" s="11" customFormat="1" x14ac:dyDescent="0.35">
      <c r="A328" s="8"/>
      <c r="B328" s="8"/>
      <c r="D328" s="52"/>
      <c r="E328" s="10"/>
      <c r="H328" s="28"/>
      <c r="R328" s="56"/>
      <c r="S328" s="56"/>
      <c r="T328" s="56"/>
      <c r="U328" s="16"/>
      <c r="V328" s="56"/>
      <c r="W328" s="56"/>
      <c r="X328" s="56"/>
      <c r="Y328" s="56"/>
      <c r="Z328" s="56"/>
      <c r="AA328" s="56"/>
      <c r="AB328" s="56"/>
      <c r="AC328" s="56"/>
      <c r="AD328" s="56"/>
      <c r="AE328" s="56"/>
      <c r="AF328" s="17"/>
      <c r="AG328" s="52"/>
      <c r="AH328" s="52"/>
      <c r="AI328" s="52"/>
    </row>
    <row r="329" spans="1:35" s="11" customFormat="1" x14ac:dyDescent="0.35">
      <c r="A329" s="8"/>
      <c r="B329" s="8"/>
      <c r="D329" s="52"/>
      <c r="E329" s="10"/>
      <c r="H329" s="28"/>
      <c r="R329" s="56"/>
      <c r="S329" s="56"/>
      <c r="T329" s="56"/>
      <c r="U329" s="16"/>
      <c r="V329" s="56"/>
      <c r="W329" s="56"/>
      <c r="X329" s="56"/>
      <c r="Y329" s="56"/>
      <c r="Z329" s="56"/>
      <c r="AA329" s="56"/>
      <c r="AB329" s="56"/>
      <c r="AC329" s="56"/>
      <c r="AD329" s="56"/>
      <c r="AE329" s="56"/>
      <c r="AF329" s="17"/>
      <c r="AG329" s="52"/>
      <c r="AH329" s="52"/>
      <c r="AI329" s="52"/>
    </row>
    <row r="330" spans="1:35" s="11" customFormat="1" x14ac:dyDescent="0.35">
      <c r="A330" s="8"/>
      <c r="B330" s="8"/>
      <c r="D330" s="52"/>
      <c r="E330" s="10"/>
      <c r="H330" s="28"/>
      <c r="R330" s="56"/>
      <c r="S330" s="56"/>
      <c r="T330" s="56"/>
      <c r="U330" s="16"/>
      <c r="V330" s="56"/>
      <c r="W330" s="56"/>
      <c r="X330" s="56"/>
      <c r="Y330" s="56"/>
      <c r="Z330" s="56"/>
      <c r="AA330" s="56"/>
      <c r="AB330" s="56"/>
      <c r="AC330" s="56"/>
      <c r="AD330" s="56"/>
      <c r="AE330" s="56"/>
      <c r="AF330" s="17"/>
      <c r="AG330" s="52"/>
      <c r="AH330" s="52"/>
      <c r="AI330" s="52"/>
    </row>
    <row r="331" spans="1:35" s="11" customFormat="1" x14ac:dyDescent="0.35">
      <c r="A331" s="8"/>
      <c r="B331" s="8"/>
      <c r="D331" s="52"/>
      <c r="E331" s="10"/>
      <c r="H331" s="28"/>
      <c r="R331" s="56"/>
      <c r="S331" s="56"/>
      <c r="T331" s="56"/>
      <c r="U331" s="16"/>
      <c r="V331" s="56"/>
      <c r="W331" s="56"/>
      <c r="X331" s="56"/>
      <c r="Y331" s="56"/>
      <c r="Z331" s="56"/>
      <c r="AA331" s="56"/>
      <c r="AB331" s="56"/>
      <c r="AC331" s="56"/>
      <c r="AD331" s="56"/>
      <c r="AE331" s="56"/>
      <c r="AF331" s="17"/>
      <c r="AG331" s="52"/>
      <c r="AH331" s="52"/>
      <c r="AI331" s="52"/>
    </row>
    <row r="332" spans="1:35" s="11" customFormat="1" x14ac:dyDescent="0.35">
      <c r="A332" s="8"/>
      <c r="B332" s="8"/>
      <c r="D332" s="52"/>
      <c r="E332" s="10"/>
      <c r="H332" s="28"/>
      <c r="R332" s="56"/>
      <c r="S332" s="56"/>
      <c r="T332" s="56"/>
      <c r="U332" s="16"/>
      <c r="V332" s="56"/>
      <c r="W332" s="56"/>
      <c r="X332" s="56"/>
      <c r="Y332" s="56"/>
      <c r="Z332" s="56"/>
      <c r="AA332" s="56"/>
      <c r="AB332" s="56"/>
      <c r="AC332" s="56"/>
      <c r="AD332" s="56"/>
      <c r="AE332" s="56"/>
      <c r="AF332" s="17"/>
      <c r="AG332" s="52"/>
      <c r="AH332" s="52"/>
      <c r="AI332" s="52"/>
    </row>
    <row r="333" spans="1:35" s="11" customFormat="1" x14ac:dyDescent="0.35">
      <c r="A333" s="8"/>
      <c r="B333" s="8"/>
      <c r="D333" s="52"/>
      <c r="E333" s="10"/>
      <c r="H333" s="28"/>
      <c r="R333" s="56"/>
      <c r="S333" s="56"/>
      <c r="T333" s="56"/>
      <c r="U333" s="16"/>
      <c r="V333" s="56"/>
      <c r="W333" s="56"/>
      <c r="X333" s="56"/>
      <c r="Y333" s="56"/>
      <c r="Z333" s="56"/>
      <c r="AA333" s="56"/>
      <c r="AB333" s="56"/>
      <c r="AC333" s="56"/>
      <c r="AD333" s="56"/>
      <c r="AE333" s="56"/>
      <c r="AF333" s="17"/>
      <c r="AG333" s="52"/>
      <c r="AH333" s="52"/>
      <c r="AI333" s="52"/>
    </row>
    <row r="334" spans="1:35" s="11" customFormat="1" x14ac:dyDescent="0.35">
      <c r="A334" s="8"/>
      <c r="B334" s="8"/>
      <c r="D334" s="52"/>
      <c r="E334" s="10"/>
      <c r="H334" s="28"/>
      <c r="R334" s="56"/>
      <c r="S334" s="56"/>
      <c r="T334" s="56"/>
      <c r="U334" s="16"/>
      <c r="V334" s="56"/>
      <c r="W334" s="56"/>
      <c r="X334" s="56"/>
      <c r="Y334" s="56"/>
      <c r="Z334" s="56"/>
      <c r="AA334" s="56"/>
      <c r="AB334" s="56"/>
      <c r="AC334" s="56"/>
      <c r="AD334" s="56"/>
      <c r="AE334" s="56"/>
      <c r="AF334" s="17"/>
      <c r="AG334" s="52"/>
      <c r="AH334" s="52"/>
      <c r="AI334" s="52"/>
    </row>
    <row r="335" spans="1:35" s="11" customFormat="1" x14ac:dyDescent="0.35">
      <c r="A335" s="8"/>
      <c r="B335" s="8"/>
      <c r="D335" s="52"/>
      <c r="E335" s="10"/>
      <c r="H335" s="28"/>
      <c r="R335" s="56"/>
      <c r="S335" s="56"/>
      <c r="T335" s="56"/>
      <c r="U335" s="16"/>
      <c r="V335" s="56"/>
      <c r="W335" s="56"/>
      <c r="X335" s="56"/>
      <c r="Y335" s="56"/>
      <c r="Z335" s="56"/>
      <c r="AA335" s="56"/>
      <c r="AB335" s="56"/>
      <c r="AC335" s="56"/>
      <c r="AD335" s="56"/>
      <c r="AE335" s="56"/>
      <c r="AF335" s="17"/>
      <c r="AG335" s="52"/>
      <c r="AH335" s="52"/>
      <c r="AI335" s="52"/>
    </row>
  </sheetData>
  <mergeCells count="10">
    <mergeCell ref="O2:O7"/>
    <mergeCell ref="P2:P7"/>
    <mergeCell ref="Q2:Q7"/>
    <mergeCell ref="AG7:AI7"/>
    <mergeCell ref="B2:B7"/>
    <mergeCell ref="C2:C7"/>
    <mergeCell ref="H2:H3"/>
    <mergeCell ref="I2:I4"/>
    <mergeCell ref="M2:M7"/>
    <mergeCell ref="N2:N7"/>
  </mergeCells>
  <conditionalFormatting sqref="AB90:AD125 AB132:AD149 AA151:AD335 AI151:AI335 AB61:AD83 AE61:AE335 AB12:AE60">
    <cfRule type="cellIs" dxfId="1577" priority="1875" operator="equal">
      <formula>TRUE</formula>
    </cfRule>
    <cfRule type="cellIs" dxfId="1576" priority="1876" operator="equal">
      <formula>FALSE</formula>
    </cfRule>
  </conditionalFormatting>
  <conditionalFormatting sqref="U12:W12 Y12:AA12 AF12:AH12">
    <cfRule type="cellIs" dxfId="1575" priority="1873" operator="equal">
      <formula>TRUE</formula>
    </cfRule>
    <cfRule type="cellIs" dxfId="1574" priority="1874" operator="equal">
      <formula>FALSE</formula>
    </cfRule>
  </conditionalFormatting>
  <conditionalFormatting sqref="X12">
    <cfRule type="cellIs" dxfId="1573" priority="1871" operator="equal">
      <formula>TRUE</formula>
    </cfRule>
    <cfRule type="cellIs" dxfId="1572" priority="1872" operator="equal">
      <formula>FALSE</formula>
    </cfRule>
  </conditionalFormatting>
  <conditionalFormatting sqref="AI12">
    <cfRule type="cellIs" dxfId="1571" priority="1869" operator="equal">
      <formula>TRUE</formula>
    </cfRule>
    <cfRule type="cellIs" dxfId="1570" priority="1870" operator="equal">
      <formula>FALSE</formula>
    </cfRule>
  </conditionalFormatting>
  <conditionalFormatting sqref="X297">
    <cfRule type="cellIs" dxfId="1569" priority="593" operator="equal">
      <formula>TRUE</formula>
    </cfRule>
    <cfRule type="cellIs" dxfId="1568" priority="594" operator="equal">
      <formula>FALSE</formula>
    </cfRule>
  </conditionalFormatting>
  <conditionalFormatting sqref="U298:W298 Y298:Z298 AF298:AH298">
    <cfRule type="cellIs" dxfId="1567" priority="591" operator="equal">
      <formula>TRUE</formula>
    </cfRule>
    <cfRule type="cellIs" dxfId="1566" priority="592" operator="equal">
      <formula>FALSE</formula>
    </cfRule>
  </conditionalFormatting>
  <conditionalFormatting sqref="X298">
    <cfRule type="cellIs" dxfId="1565" priority="589" operator="equal">
      <formula>TRUE</formula>
    </cfRule>
    <cfRule type="cellIs" dxfId="1564" priority="590" operator="equal">
      <formula>FALSE</formula>
    </cfRule>
  </conditionalFormatting>
  <conditionalFormatting sqref="U299:W299 Y299:Z299 AF299:AH299">
    <cfRule type="cellIs" dxfId="1563" priority="587" operator="equal">
      <formula>TRUE</formula>
    </cfRule>
    <cfRule type="cellIs" dxfId="1562" priority="588" operator="equal">
      <formula>FALSE</formula>
    </cfRule>
  </conditionalFormatting>
  <conditionalFormatting sqref="X299">
    <cfRule type="cellIs" dxfId="1561" priority="585" operator="equal">
      <formula>TRUE</formula>
    </cfRule>
    <cfRule type="cellIs" dxfId="1560" priority="586" operator="equal">
      <formula>FALSE</formula>
    </cfRule>
  </conditionalFormatting>
  <conditionalFormatting sqref="U300:W300 Y300:Z300 AF300:AH300">
    <cfRule type="cellIs" dxfId="1559" priority="583" operator="equal">
      <formula>TRUE</formula>
    </cfRule>
    <cfRule type="cellIs" dxfId="1558" priority="584" operator="equal">
      <formula>FALSE</formula>
    </cfRule>
  </conditionalFormatting>
  <conditionalFormatting sqref="U13:W13 Y13:AA13 AF13:AH13">
    <cfRule type="cellIs" dxfId="1557" priority="1867" operator="equal">
      <formula>TRUE</formula>
    </cfRule>
    <cfRule type="cellIs" dxfId="1556" priority="1868" operator="equal">
      <formula>FALSE</formula>
    </cfRule>
  </conditionalFormatting>
  <conditionalFormatting sqref="X13">
    <cfRule type="cellIs" dxfId="1555" priority="1865" operator="equal">
      <formula>TRUE</formula>
    </cfRule>
    <cfRule type="cellIs" dxfId="1554" priority="1866" operator="equal">
      <formula>FALSE</formula>
    </cfRule>
  </conditionalFormatting>
  <conditionalFormatting sqref="AI13">
    <cfRule type="cellIs" dxfId="1553" priority="1863" operator="equal">
      <formula>TRUE</formula>
    </cfRule>
    <cfRule type="cellIs" dxfId="1552" priority="1864" operator="equal">
      <formula>FALSE</formula>
    </cfRule>
  </conditionalFormatting>
  <conditionalFormatting sqref="X303">
    <cfRule type="cellIs" dxfId="1551" priority="569" operator="equal">
      <formula>TRUE</formula>
    </cfRule>
    <cfRule type="cellIs" dxfId="1550" priority="570" operator="equal">
      <formula>FALSE</formula>
    </cfRule>
  </conditionalFormatting>
  <conditionalFormatting sqref="U304:W304 Y304:Z304 AF304:AH304">
    <cfRule type="cellIs" dxfId="1549" priority="567" operator="equal">
      <formula>TRUE</formula>
    </cfRule>
    <cfRule type="cellIs" dxfId="1548" priority="568" operator="equal">
      <formula>FALSE</formula>
    </cfRule>
  </conditionalFormatting>
  <conditionalFormatting sqref="X304">
    <cfRule type="cellIs" dxfId="1547" priority="565" operator="equal">
      <formula>TRUE</formula>
    </cfRule>
    <cfRule type="cellIs" dxfId="1546" priority="566" operator="equal">
      <formula>FALSE</formula>
    </cfRule>
  </conditionalFormatting>
  <conditionalFormatting sqref="U305:W305 Y305:Z305 AF305:AH305">
    <cfRule type="cellIs" dxfId="1545" priority="563" operator="equal">
      <formula>TRUE</formula>
    </cfRule>
    <cfRule type="cellIs" dxfId="1544" priority="564" operator="equal">
      <formula>FALSE</formula>
    </cfRule>
  </conditionalFormatting>
  <conditionalFormatting sqref="X269">
    <cfRule type="cellIs" dxfId="1543" priority="681" operator="equal">
      <formula>TRUE</formula>
    </cfRule>
    <cfRule type="cellIs" dxfId="1542" priority="682" operator="equal">
      <formula>FALSE</formula>
    </cfRule>
  </conditionalFormatting>
  <conditionalFormatting sqref="U306:W306 Y306:Z306 AF306:AH306">
    <cfRule type="cellIs" dxfId="1541" priority="559" operator="equal">
      <formula>TRUE</formula>
    </cfRule>
    <cfRule type="cellIs" dxfId="1540" priority="560" operator="equal">
      <formula>FALSE</formula>
    </cfRule>
  </conditionalFormatting>
  <conditionalFormatting sqref="X306">
    <cfRule type="cellIs" dxfId="1539" priority="557" operator="equal">
      <formula>TRUE</formula>
    </cfRule>
    <cfRule type="cellIs" dxfId="1538" priority="558" operator="equal">
      <formula>FALSE</formula>
    </cfRule>
  </conditionalFormatting>
  <conditionalFormatting sqref="U293:W293 Y293:Z293 AF293:AH293">
    <cfRule type="cellIs" dxfId="1537" priority="611" operator="equal">
      <formula>TRUE</formula>
    </cfRule>
    <cfRule type="cellIs" dxfId="1536" priority="612" operator="equal">
      <formula>FALSE</formula>
    </cfRule>
  </conditionalFormatting>
  <conditionalFormatting sqref="X293">
    <cfRule type="cellIs" dxfId="1535" priority="609" operator="equal">
      <formula>TRUE</formula>
    </cfRule>
    <cfRule type="cellIs" dxfId="1534" priority="610" operator="equal">
      <formula>FALSE</formula>
    </cfRule>
  </conditionalFormatting>
  <conditionalFormatting sqref="U294:W294 Y294:Z294 AF294:AH294">
    <cfRule type="cellIs" dxfId="1533" priority="607" operator="equal">
      <formula>TRUE</formula>
    </cfRule>
    <cfRule type="cellIs" dxfId="1532" priority="608" operator="equal">
      <formula>FALSE</formula>
    </cfRule>
  </conditionalFormatting>
  <conditionalFormatting sqref="X294">
    <cfRule type="cellIs" dxfId="1531" priority="605" operator="equal">
      <formula>TRUE</formula>
    </cfRule>
    <cfRule type="cellIs" dxfId="1530" priority="606" operator="equal">
      <formula>FALSE</formula>
    </cfRule>
  </conditionalFormatting>
  <conditionalFormatting sqref="U289:W289 Y289:Z289 AF289:AH289">
    <cfRule type="cellIs" dxfId="1529" priority="627" operator="equal">
      <formula>TRUE</formula>
    </cfRule>
    <cfRule type="cellIs" dxfId="1528" priority="628" operator="equal">
      <formula>FALSE</formula>
    </cfRule>
  </conditionalFormatting>
  <conditionalFormatting sqref="X289">
    <cfRule type="cellIs" dxfId="1527" priority="625" operator="equal">
      <formula>TRUE</formula>
    </cfRule>
    <cfRule type="cellIs" dxfId="1526" priority="626" operator="equal">
      <formula>FALSE</formula>
    </cfRule>
  </conditionalFormatting>
  <conditionalFormatting sqref="U290:W290 Y290:Z290 AF290:AH290">
    <cfRule type="cellIs" dxfId="1525" priority="623" operator="equal">
      <formula>TRUE</formula>
    </cfRule>
    <cfRule type="cellIs" dxfId="1524" priority="624" operator="equal">
      <formula>FALSE</formula>
    </cfRule>
  </conditionalFormatting>
  <conditionalFormatting sqref="X290">
    <cfRule type="cellIs" dxfId="1523" priority="621" operator="equal">
      <formula>TRUE</formula>
    </cfRule>
    <cfRule type="cellIs" dxfId="1522" priority="622" operator="equal">
      <formula>FALSE</formula>
    </cfRule>
  </conditionalFormatting>
  <conditionalFormatting sqref="X291">
    <cfRule type="cellIs" dxfId="1521" priority="617" operator="equal">
      <formula>TRUE</formula>
    </cfRule>
    <cfRule type="cellIs" dxfId="1520" priority="618" operator="equal">
      <formula>FALSE</formula>
    </cfRule>
  </conditionalFormatting>
  <conditionalFormatting sqref="U292:W292 Y292:Z292 AF292:AH292">
    <cfRule type="cellIs" dxfId="1519" priority="615" operator="equal">
      <formula>TRUE</formula>
    </cfRule>
    <cfRule type="cellIs" dxfId="1518" priority="616" operator="equal">
      <formula>FALSE</formula>
    </cfRule>
  </conditionalFormatting>
  <conditionalFormatting sqref="U311:W311 Y311:Z311 AF311:AH311">
    <cfRule type="cellIs" dxfId="1517" priority="539" operator="equal">
      <formula>TRUE</formula>
    </cfRule>
    <cfRule type="cellIs" dxfId="1516" priority="540" operator="equal">
      <formula>FALSE</formula>
    </cfRule>
  </conditionalFormatting>
  <conditionalFormatting sqref="X305">
    <cfRule type="cellIs" dxfId="1515" priority="561" operator="equal">
      <formula>TRUE</formula>
    </cfRule>
    <cfRule type="cellIs" dxfId="1514" priority="562" operator="equal">
      <formula>FALSE</formula>
    </cfRule>
  </conditionalFormatting>
  <conditionalFormatting sqref="U318:W318 Y318:Z318 AF318:AH318">
    <cfRule type="cellIs" dxfId="1513" priority="535" operator="equal">
      <formula>TRUE</formula>
    </cfRule>
    <cfRule type="cellIs" dxfId="1512" priority="536" operator="equal">
      <formula>FALSE</formula>
    </cfRule>
  </conditionalFormatting>
  <conditionalFormatting sqref="X300">
    <cfRule type="cellIs" dxfId="1511" priority="581" operator="equal">
      <formula>TRUE</formula>
    </cfRule>
    <cfRule type="cellIs" dxfId="1510" priority="582" operator="equal">
      <formula>FALSE</formula>
    </cfRule>
  </conditionalFormatting>
  <conditionalFormatting sqref="X295">
    <cfRule type="cellIs" dxfId="1509" priority="601" operator="equal">
      <formula>TRUE</formula>
    </cfRule>
    <cfRule type="cellIs" dxfId="1508" priority="602" operator="equal">
      <formula>FALSE</formula>
    </cfRule>
  </conditionalFormatting>
  <conditionalFormatting sqref="U296:W296 Y296:Z296 AF296:AH296">
    <cfRule type="cellIs" dxfId="1507" priority="599" operator="equal">
      <formula>TRUE</formula>
    </cfRule>
    <cfRule type="cellIs" dxfId="1506" priority="600" operator="equal">
      <formula>FALSE</formula>
    </cfRule>
  </conditionalFormatting>
  <conditionalFormatting sqref="U291:W291 Y291:Z291 AF291:AH291">
    <cfRule type="cellIs" dxfId="1505" priority="619" operator="equal">
      <formula>TRUE</formula>
    </cfRule>
    <cfRule type="cellIs" dxfId="1504" priority="620" operator="equal">
      <formula>FALSE</formula>
    </cfRule>
  </conditionalFormatting>
  <conditionalFormatting sqref="X309">
    <cfRule type="cellIs" dxfId="1503" priority="545" operator="equal">
      <formula>TRUE</formula>
    </cfRule>
    <cfRule type="cellIs" dxfId="1502" priority="546" operator="equal">
      <formula>FALSE</formula>
    </cfRule>
  </conditionalFormatting>
  <conditionalFormatting sqref="X17">
    <cfRule type="cellIs" dxfId="1501" priority="1853" operator="equal">
      <formula>TRUE</formula>
    </cfRule>
    <cfRule type="cellIs" dxfId="1500" priority="1854" operator="equal">
      <formula>FALSE</formula>
    </cfRule>
  </conditionalFormatting>
  <conditionalFormatting sqref="AI17">
    <cfRule type="cellIs" dxfId="1499" priority="1851" operator="equal">
      <formula>TRUE</formula>
    </cfRule>
    <cfRule type="cellIs" dxfId="1498" priority="1852" operator="equal">
      <formula>FALSE</formula>
    </cfRule>
  </conditionalFormatting>
  <conditionalFormatting sqref="U18:W18 Y18:AA18 AF18:AH18">
    <cfRule type="cellIs" dxfId="1497" priority="1849" operator="equal">
      <formula>TRUE</formula>
    </cfRule>
    <cfRule type="cellIs" dxfId="1496" priority="1850" operator="equal">
      <formula>FALSE</formula>
    </cfRule>
  </conditionalFormatting>
  <conditionalFormatting sqref="X18">
    <cfRule type="cellIs" dxfId="1495" priority="1847" operator="equal">
      <formula>TRUE</formula>
    </cfRule>
    <cfRule type="cellIs" dxfId="1494" priority="1848" operator="equal">
      <formula>FALSE</formula>
    </cfRule>
  </conditionalFormatting>
  <conditionalFormatting sqref="U17:W17 Y17:AA17 AF17:AH17">
    <cfRule type="cellIs" dxfId="1493" priority="1855" operator="equal">
      <formula>TRUE</formula>
    </cfRule>
    <cfRule type="cellIs" dxfId="1492" priority="1856" operator="equal">
      <formula>FALSE</formula>
    </cfRule>
  </conditionalFormatting>
  <conditionalFormatting sqref="X323">
    <cfRule type="cellIs" dxfId="1491" priority="513" operator="equal">
      <formula>TRUE</formula>
    </cfRule>
    <cfRule type="cellIs" dxfId="1490" priority="514" operator="equal">
      <formula>FALSE</formula>
    </cfRule>
  </conditionalFormatting>
  <conditionalFormatting sqref="U324:W324 Y324:Z324 AF324:AH324">
    <cfRule type="cellIs" dxfId="1489" priority="511" operator="equal">
      <formula>TRUE</formula>
    </cfRule>
    <cfRule type="cellIs" dxfId="1488" priority="512" operator="equal">
      <formula>FALSE</formula>
    </cfRule>
  </conditionalFormatting>
  <conditionalFormatting sqref="X325">
    <cfRule type="cellIs" dxfId="1487" priority="505" operator="equal">
      <formula>TRUE</formula>
    </cfRule>
    <cfRule type="cellIs" dxfId="1486" priority="506" operator="equal">
      <formula>FALSE</formula>
    </cfRule>
  </conditionalFormatting>
  <conditionalFormatting sqref="AI18">
    <cfRule type="cellIs" dxfId="1485" priority="1845" operator="equal">
      <formula>TRUE</formula>
    </cfRule>
    <cfRule type="cellIs" dxfId="1484" priority="1846" operator="equal">
      <formula>FALSE</formula>
    </cfRule>
  </conditionalFormatting>
  <conditionalFormatting sqref="U326:W326 Y326:Z326 AF326:AH326">
    <cfRule type="cellIs" dxfId="1483" priority="503" operator="equal">
      <formula>TRUE</formula>
    </cfRule>
    <cfRule type="cellIs" dxfId="1482" priority="504" operator="equal">
      <formula>FALSE</formula>
    </cfRule>
  </conditionalFormatting>
  <conditionalFormatting sqref="AI14">
    <cfRule type="cellIs" dxfId="1481" priority="1203" operator="equal">
      <formula>TRUE</formula>
    </cfRule>
    <cfRule type="cellIs" dxfId="1480" priority="1204" operator="equal">
      <formula>FALSE</formula>
    </cfRule>
  </conditionalFormatting>
  <conditionalFormatting sqref="X327">
    <cfRule type="cellIs" dxfId="1479" priority="497" operator="equal">
      <formula>TRUE</formula>
    </cfRule>
    <cfRule type="cellIs" dxfId="1478" priority="498" operator="equal">
      <formula>FALSE</formula>
    </cfRule>
  </conditionalFormatting>
  <conditionalFormatting sqref="U328:W328 Y328:Z328 AF328:AH328">
    <cfRule type="cellIs" dxfId="1477" priority="495" operator="equal">
      <formula>TRUE</formula>
    </cfRule>
    <cfRule type="cellIs" dxfId="1476" priority="496" operator="equal">
      <formula>FALSE</formula>
    </cfRule>
  </conditionalFormatting>
  <conditionalFormatting sqref="X19">
    <cfRule type="cellIs" dxfId="1475" priority="1841" operator="equal">
      <formula>TRUE</formula>
    </cfRule>
    <cfRule type="cellIs" dxfId="1474" priority="1842" operator="equal">
      <formula>FALSE</formula>
    </cfRule>
  </conditionalFormatting>
  <conditionalFormatting sqref="AI19">
    <cfRule type="cellIs" dxfId="1473" priority="1839" operator="equal">
      <formula>TRUE</formula>
    </cfRule>
    <cfRule type="cellIs" dxfId="1472" priority="1840" operator="equal">
      <formula>FALSE</formula>
    </cfRule>
  </conditionalFormatting>
  <conditionalFormatting sqref="U325:W325 Y325:Z325 AF325:AH325">
    <cfRule type="cellIs" dxfId="1471" priority="507" operator="equal">
      <formula>TRUE</formula>
    </cfRule>
    <cfRule type="cellIs" dxfId="1470" priority="508" operator="equal">
      <formula>FALSE</formula>
    </cfRule>
  </conditionalFormatting>
  <conditionalFormatting sqref="X326">
    <cfRule type="cellIs" dxfId="1469" priority="501" operator="equal">
      <formula>TRUE</formula>
    </cfRule>
    <cfRule type="cellIs" dxfId="1468" priority="502" operator="equal">
      <formula>FALSE</formula>
    </cfRule>
  </conditionalFormatting>
  <conditionalFormatting sqref="U19:W19 Y19:AA19 AF19:AH19">
    <cfRule type="cellIs" dxfId="1467" priority="1843" operator="equal">
      <formula>TRUE</formula>
    </cfRule>
    <cfRule type="cellIs" dxfId="1466" priority="1844" operator="equal">
      <formula>FALSE</formula>
    </cfRule>
  </conditionalFormatting>
  <conditionalFormatting sqref="X329">
    <cfRule type="cellIs" dxfId="1465" priority="489" operator="equal">
      <formula>TRUE</formula>
    </cfRule>
    <cfRule type="cellIs" dxfId="1464" priority="490" operator="equal">
      <formula>FALSE</formula>
    </cfRule>
  </conditionalFormatting>
  <conditionalFormatting sqref="U16:W16 Y16:AA16 AF16:AH16">
    <cfRule type="cellIs" dxfId="1463" priority="1861" operator="equal">
      <formula>TRUE</formula>
    </cfRule>
    <cfRule type="cellIs" dxfId="1462" priority="1862" operator="equal">
      <formula>FALSE</formula>
    </cfRule>
  </conditionalFormatting>
  <conditionalFormatting sqref="X16">
    <cfRule type="cellIs" dxfId="1461" priority="1859" operator="equal">
      <formula>TRUE</formula>
    </cfRule>
    <cfRule type="cellIs" dxfId="1460" priority="1860" operator="equal">
      <formula>FALSE</formula>
    </cfRule>
  </conditionalFormatting>
  <conditionalFormatting sqref="AI16">
    <cfRule type="cellIs" dxfId="1459" priority="1857" operator="equal">
      <formula>TRUE</formula>
    </cfRule>
    <cfRule type="cellIs" dxfId="1458" priority="1858" operator="equal">
      <formula>FALSE</formula>
    </cfRule>
  </conditionalFormatting>
  <conditionalFormatting sqref="U322:W322 Y322:Z322 AF322:AH322">
    <cfRule type="cellIs" dxfId="1457" priority="519" operator="equal">
      <formula>TRUE</formula>
    </cfRule>
    <cfRule type="cellIs" dxfId="1456" priority="520" operator="equal">
      <formula>FALSE</formula>
    </cfRule>
  </conditionalFormatting>
  <conditionalFormatting sqref="X322">
    <cfRule type="cellIs" dxfId="1455" priority="517" operator="equal">
      <formula>TRUE</formula>
    </cfRule>
    <cfRule type="cellIs" dxfId="1454" priority="518" operator="equal">
      <formula>FALSE</formula>
    </cfRule>
  </conditionalFormatting>
  <conditionalFormatting sqref="U323:W323 Y323:Z323 AF323:AH323">
    <cfRule type="cellIs" dxfId="1453" priority="515" operator="equal">
      <formula>TRUE</formula>
    </cfRule>
    <cfRule type="cellIs" dxfId="1452" priority="516" operator="equal">
      <formula>FALSE</formula>
    </cfRule>
  </conditionalFormatting>
  <conditionalFormatting sqref="X324">
    <cfRule type="cellIs" dxfId="1451" priority="509" operator="equal">
      <formula>TRUE</formula>
    </cfRule>
    <cfRule type="cellIs" dxfId="1450" priority="510" operator="equal">
      <formula>FALSE</formula>
    </cfRule>
  </conditionalFormatting>
  <conditionalFormatting sqref="U327:W327 Y327:Z327 AF327:AH327">
    <cfRule type="cellIs" dxfId="1449" priority="499" operator="equal">
      <formula>TRUE</formula>
    </cfRule>
    <cfRule type="cellIs" dxfId="1448" priority="500" operator="equal">
      <formula>FALSE</formula>
    </cfRule>
  </conditionalFormatting>
  <conditionalFormatting sqref="X328">
    <cfRule type="cellIs" dxfId="1447" priority="493" operator="equal">
      <formula>TRUE</formula>
    </cfRule>
    <cfRule type="cellIs" dxfId="1446" priority="494" operator="equal">
      <formula>FALSE</formula>
    </cfRule>
  </conditionalFormatting>
  <conditionalFormatting sqref="U329:W329 Y329:Z329 AF329:AH329">
    <cfRule type="cellIs" dxfId="1445" priority="491" operator="equal">
      <formula>TRUE</formula>
    </cfRule>
    <cfRule type="cellIs" dxfId="1444" priority="492" operator="equal">
      <formula>FALSE</formula>
    </cfRule>
  </conditionalFormatting>
  <conditionalFormatting sqref="AI15">
    <cfRule type="cellIs" dxfId="1443" priority="1197" operator="equal">
      <formula>TRUE</formula>
    </cfRule>
    <cfRule type="cellIs" dxfId="1442" priority="1198" operator="equal">
      <formula>FALSE</formula>
    </cfRule>
  </conditionalFormatting>
  <conditionalFormatting sqref="U20:W20 Y20:AA20 AF20:AH20">
    <cfRule type="cellIs" dxfId="1441" priority="1837" operator="equal">
      <formula>TRUE</formula>
    </cfRule>
    <cfRule type="cellIs" dxfId="1440" priority="1838" operator="equal">
      <formula>FALSE</formula>
    </cfRule>
  </conditionalFormatting>
  <conditionalFormatting sqref="X20">
    <cfRule type="cellIs" dxfId="1439" priority="1835" operator="equal">
      <formula>TRUE</formula>
    </cfRule>
    <cfRule type="cellIs" dxfId="1438" priority="1836" operator="equal">
      <formula>FALSE</formula>
    </cfRule>
  </conditionalFormatting>
  <conditionalFormatting sqref="AI20">
    <cfRule type="cellIs" dxfId="1437" priority="1833" operator="equal">
      <formula>TRUE</formula>
    </cfRule>
    <cfRule type="cellIs" dxfId="1436" priority="1834" operator="equal">
      <formula>FALSE</formula>
    </cfRule>
  </conditionalFormatting>
  <conditionalFormatting sqref="U21:W21 Y21:AA21 AF21:AH21">
    <cfRule type="cellIs" dxfId="1435" priority="1831" operator="equal">
      <formula>TRUE</formula>
    </cfRule>
    <cfRule type="cellIs" dxfId="1434" priority="1832" operator="equal">
      <formula>FALSE</formula>
    </cfRule>
  </conditionalFormatting>
  <conditionalFormatting sqref="X21">
    <cfRule type="cellIs" dxfId="1433" priority="1829" operator="equal">
      <formula>TRUE</formula>
    </cfRule>
    <cfRule type="cellIs" dxfId="1432" priority="1830" operator="equal">
      <formula>FALSE</formula>
    </cfRule>
  </conditionalFormatting>
  <conditionalFormatting sqref="AI21">
    <cfRule type="cellIs" dxfId="1431" priority="1827" operator="equal">
      <formula>TRUE</formula>
    </cfRule>
    <cfRule type="cellIs" dxfId="1430" priority="1828" operator="equal">
      <formula>FALSE</formula>
    </cfRule>
  </conditionalFormatting>
  <conditionalFormatting sqref="U22:W22 Y22:AA22 AF22:AH22">
    <cfRule type="cellIs" dxfId="1429" priority="1825" operator="equal">
      <formula>TRUE</formula>
    </cfRule>
    <cfRule type="cellIs" dxfId="1428" priority="1826" operator="equal">
      <formula>FALSE</formula>
    </cfRule>
  </conditionalFormatting>
  <conditionalFormatting sqref="X22">
    <cfRule type="cellIs" dxfId="1427" priority="1823" operator="equal">
      <formula>TRUE</formula>
    </cfRule>
    <cfRule type="cellIs" dxfId="1426" priority="1824" operator="equal">
      <formula>FALSE</formula>
    </cfRule>
  </conditionalFormatting>
  <conditionalFormatting sqref="AI22">
    <cfRule type="cellIs" dxfId="1425" priority="1821" operator="equal">
      <formula>TRUE</formula>
    </cfRule>
    <cfRule type="cellIs" dxfId="1424" priority="1822" operator="equal">
      <formula>FALSE</formula>
    </cfRule>
  </conditionalFormatting>
  <conditionalFormatting sqref="U23:W23 Y23:AA23 AF23:AH23">
    <cfRule type="cellIs" dxfId="1423" priority="1819" operator="equal">
      <formula>TRUE</formula>
    </cfRule>
    <cfRule type="cellIs" dxfId="1422" priority="1820" operator="equal">
      <formula>FALSE</formula>
    </cfRule>
  </conditionalFormatting>
  <conditionalFormatting sqref="X23">
    <cfRule type="cellIs" dxfId="1421" priority="1817" operator="equal">
      <formula>TRUE</formula>
    </cfRule>
    <cfRule type="cellIs" dxfId="1420" priority="1818" operator="equal">
      <formula>FALSE</formula>
    </cfRule>
  </conditionalFormatting>
  <conditionalFormatting sqref="AI23">
    <cfRule type="cellIs" dxfId="1419" priority="1815" operator="equal">
      <formula>TRUE</formula>
    </cfRule>
    <cfRule type="cellIs" dxfId="1418" priority="1816" operator="equal">
      <formula>FALSE</formula>
    </cfRule>
  </conditionalFormatting>
  <conditionalFormatting sqref="U54:W54 Y54:AA54 AF54:AH54">
    <cfRule type="cellIs" dxfId="1417" priority="1711" operator="equal">
      <formula>TRUE</formula>
    </cfRule>
    <cfRule type="cellIs" dxfId="1416" priority="1712" operator="equal">
      <formula>FALSE</formula>
    </cfRule>
  </conditionalFormatting>
  <conditionalFormatting sqref="AI54">
    <cfRule type="cellIs" dxfId="1415" priority="1707" operator="equal">
      <formula>TRUE</formula>
    </cfRule>
    <cfRule type="cellIs" dxfId="1414" priority="1708" operator="equal">
      <formula>FALSE</formula>
    </cfRule>
  </conditionalFormatting>
  <conditionalFormatting sqref="U55:W55 Y55:AA55 AF55:AH55">
    <cfRule type="cellIs" dxfId="1413" priority="1705" operator="equal">
      <formula>TRUE</formula>
    </cfRule>
    <cfRule type="cellIs" dxfId="1412" priority="1706" operator="equal">
      <formula>FALSE</formula>
    </cfRule>
  </conditionalFormatting>
  <conditionalFormatting sqref="X55">
    <cfRule type="cellIs" dxfId="1411" priority="1703" operator="equal">
      <formula>TRUE</formula>
    </cfRule>
    <cfRule type="cellIs" dxfId="1410" priority="1704" operator="equal">
      <formula>FALSE</formula>
    </cfRule>
  </conditionalFormatting>
  <conditionalFormatting sqref="U56:W56 Y56:AA56 AF56:AH56">
    <cfRule type="cellIs" dxfId="1409" priority="1699" operator="equal">
      <formula>TRUE</formula>
    </cfRule>
    <cfRule type="cellIs" dxfId="1408" priority="1700" operator="equal">
      <formula>FALSE</formula>
    </cfRule>
  </conditionalFormatting>
  <conditionalFormatting sqref="X56">
    <cfRule type="cellIs" dxfId="1407" priority="1697" operator="equal">
      <formula>TRUE</formula>
    </cfRule>
    <cfRule type="cellIs" dxfId="1406" priority="1698" operator="equal">
      <formula>FALSE</formula>
    </cfRule>
  </conditionalFormatting>
  <conditionalFormatting sqref="AI56">
    <cfRule type="cellIs" dxfId="1405" priority="1695" operator="equal">
      <formula>TRUE</formula>
    </cfRule>
    <cfRule type="cellIs" dxfId="1404" priority="1696" operator="equal">
      <formula>FALSE</formula>
    </cfRule>
  </conditionalFormatting>
  <conditionalFormatting sqref="X57">
    <cfRule type="cellIs" dxfId="1403" priority="1691" operator="equal">
      <formula>TRUE</formula>
    </cfRule>
    <cfRule type="cellIs" dxfId="1402" priority="1692" operator="equal">
      <formula>FALSE</formula>
    </cfRule>
  </conditionalFormatting>
  <conditionalFormatting sqref="AI57">
    <cfRule type="cellIs" dxfId="1401" priority="1689" operator="equal">
      <formula>TRUE</formula>
    </cfRule>
    <cfRule type="cellIs" dxfId="1400" priority="1690" operator="equal">
      <formula>FALSE</formula>
    </cfRule>
  </conditionalFormatting>
  <conditionalFormatting sqref="U58:W58 Y58:AA58 AF58:AH58">
    <cfRule type="cellIs" dxfId="1399" priority="1687" operator="equal">
      <formula>TRUE</formula>
    </cfRule>
    <cfRule type="cellIs" dxfId="1398" priority="1688" operator="equal">
      <formula>FALSE</formula>
    </cfRule>
  </conditionalFormatting>
  <conditionalFormatting sqref="X54">
    <cfRule type="cellIs" dxfId="1397" priority="1709" operator="equal">
      <formula>TRUE</formula>
    </cfRule>
    <cfRule type="cellIs" dxfId="1396" priority="1710" operator="equal">
      <formula>FALSE</formula>
    </cfRule>
  </conditionalFormatting>
  <conditionalFormatting sqref="AI55">
    <cfRule type="cellIs" dxfId="1395" priority="1701" operator="equal">
      <formula>TRUE</formula>
    </cfRule>
    <cfRule type="cellIs" dxfId="1394" priority="1702" operator="equal">
      <formula>FALSE</formula>
    </cfRule>
  </conditionalFormatting>
  <conditionalFormatting sqref="U57:W57 Y57:AA57 AF57:AH57">
    <cfRule type="cellIs" dxfId="1393" priority="1693" operator="equal">
      <formula>TRUE</formula>
    </cfRule>
    <cfRule type="cellIs" dxfId="1392" priority="1694" operator="equal">
      <formula>FALSE</formula>
    </cfRule>
  </conditionalFormatting>
  <conditionalFormatting sqref="X58">
    <cfRule type="cellIs" dxfId="1391" priority="1685" operator="equal">
      <formula>TRUE</formula>
    </cfRule>
    <cfRule type="cellIs" dxfId="1390" priority="1686" operator="equal">
      <formula>FALSE</formula>
    </cfRule>
  </conditionalFormatting>
  <conditionalFormatting sqref="AI58">
    <cfRule type="cellIs" dxfId="1389" priority="1683" operator="equal">
      <formula>TRUE</formula>
    </cfRule>
    <cfRule type="cellIs" dxfId="1388" priority="1684" operator="equal">
      <formula>FALSE</formula>
    </cfRule>
  </conditionalFormatting>
  <conditionalFormatting sqref="X59">
    <cfRule type="cellIs" dxfId="1387" priority="1679" operator="equal">
      <formula>TRUE</formula>
    </cfRule>
    <cfRule type="cellIs" dxfId="1386" priority="1680" operator="equal">
      <formula>FALSE</formula>
    </cfRule>
  </conditionalFormatting>
  <conditionalFormatting sqref="AI59">
    <cfRule type="cellIs" dxfId="1385" priority="1677" operator="equal">
      <formula>TRUE</formula>
    </cfRule>
    <cfRule type="cellIs" dxfId="1384" priority="1678" operator="equal">
      <formula>FALSE</formula>
    </cfRule>
  </conditionalFormatting>
  <conditionalFormatting sqref="U60:W60 Y60:AA60 AF60:AH60">
    <cfRule type="cellIs" dxfId="1383" priority="1675" operator="equal">
      <formula>TRUE</formula>
    </cfRule>
    <cfRule type="cellIs" dxfId="1382" priority="1676" operator="equal">
      <formula>FALSE</formula>
    </cfRule>
  </conditionalFormatting>
  <conditionalFormatting sqref="U59:W59 Y59:AA59 AF59:AH59">
    <cfRule type="cellIs" dxfId="1381" priority="1681" operator="equal">
      <formula>TRUE</formula>
    </cfRule>
    <cfRule type="cellIs" dxfId="1380" priority="1682" operator="equal">
      <formula>FALSE</formula>
    </cfRule>
  </conditionalFormatting>
  <conditionalFormatting sqref="X60">
    <cfRule type="cellIs" dxfId="1379" priority="1673" operator="equal">
      <formula>TRUE</formula>
    </cfRule>
    <cfRule type="cellIs" dxfId="1378" priority="1674" operator="equal">
      <formula>FALSE</formula>
    </cfRule>
  </conditionalFormatting>
  <conditionalFormatting sqref="AI60">
    <cfRule type="cellIs" dxfId="1377" priority="1671" operator="equal">
      <formula>TRUE</formula>
    </cfRule>
    <cfRule type="cellIs" dxfId="1376" priority="1672" operator="equal">
      <formula>FALSE</formula>
    </cfRule>
  </conditionalFormatting>
  <conditionalFormatting sqref="U61:W61 Y61:AA61 AF61:AH61">
    <cfRule type="cellIs" dxfId="1375" priority="1669" operator="equal">
      <formula>TRUE</formula>
    </cfRule>
    <cfRule type="cellIs" dxfId="1374" priority="1670" operator="equal">
      <formula>FALSE</formula>
    </cfRule>
  </conditionalFormatting>
  <conditionalFormatting sqref="X61">
    <cfRule type="cellIs" dxfId="1373" priority="1667" operator="equal">
      <formula>TRUE</formula>
    </cfRule>
    <cfRule type="cellIs" dxfId="1372" priority="1668" operator="equal">
      <formula>FALSE</formula>
    </cfRule>
  </conditionalFormatting>
  <conditionalFormatting sqref="AI61">
    <cfRule type="cellIs" dxfId="1371" priority="1665" operator="equal">
      <formula>TRUE</formula>
    </cfRule>
    <cfRule type="cellIs" dxfId="1370" priority="1666" operator="equal">
      <formula>FALSE</formula>
    </cfRule>
  </conditionalFormatting>
  <conditionalFormatting sqref="U62:W62 Y62:AA62 AF62:AH62">
    <cfRule type="cellIs" dxfId="1369" priority="1663" operator="equal">
      <formula>TRUE</formula>
    </cfRule>
    <cfRule type="cellIs" dxfId="1368" priority="1664" operator="equal">
      <formula>FALSE</formula>
    </cfRule>
  </conditionalFormatting>
  <conditionalFormatting sqref="X62">
    <cfRule type="cellIs" dxfId="1367" priority="1661" operator="equal">
      <formula>TRUE</formula>
    </cfRule>
    <cfRule type="cellIs" dxfId="1366" priority="1662" operator="equal">
      <formula>FALSE</formula>
    </cfRule>
  </conditionalFormatting>
  <conditionalFormatting sqref="AI62">
    <cfRule type="cellIs" dxfId="1365" priority="1659" operator="equal">
      <formula>TRUE</formula>
    </cfRule>
    <cfRule type="cellIs" dxfId="1364" priority="1660" operator="equal">
      <formula>FALSE</formula>
    </cfRule>
  </conditionalFormatting>
  <conditionalFormatting sqref="U63:W63 Y63:AA63 AF63:AH63">
    <cfRule type="cellIs" dxfId="1363" priority="1657" operator="equal">
      <formula>TRUE</formula>
    </cfRule>
    <cfRule type="cellIs" dxfId="1362" priority="1658" operator="equal">
      <formula>FALSE</formula>
    </cfRule>
  </conditionalFormatting>
  <conditionalFormatting sqref="X63">
    <cfRule type="cellIs" dxfId="1361" priority="1655" operator="equal">
      <formula>TRUE</formula>
    </cfRule>
    <cfRule type="cellIs" dxfId="1360" priority="1656" operator="equal">
      <formula>FALSE</formula>
    </cfRule>
  </conditionalFormatting>
  <conditionalFormatting sqref="AI63">
    <cfRule type="cellIs" dxfId="1359" priority="1653" operator="equal">
      <formula>TRUE</formula>
    </cfRule>
    <cfRule type="cellIs" dxfId="1358" priority="1654" operator="equal">
      <formula>FALSE</formula>
    </cfRule>
  </conditionalFormatting>
  <conditionalFormatting sqref="U64:W64 Y64:AA64 AF64:AH64">
    <cfRule type="cellIs" dxfId="1357" priority="1651" operator="equal">
      <formula>TRUE</formula>
    </cfRule>
    <cfRule type="cellIs" dxfId="1356" priority="1652" operator="equal">
      <formula>FALSE</formula>
    </cfRule>
  </conditionalFormatting>
  <conditionalFormatting sqref="X64">
    <cfRule type="cellIs" dxfId="1355" priority="1649" operator="equal">
      <formula>TRUE</formula>
    </cfRule>
    <cfRule type="cellIs" dxfId="1354" priority="1650" operator="equal">
      <formula>FALSE</formula>
    </cfRule>
  </conditionalFormatting>
  <conditionalFormatting sqref="AI64">
    <cfRule type="cellIs" dxfId="1353" priority="1647" operator="equal">
      <formula>TRUE</formula>
    </cfRule>
    <cfRule type="cellIs" dxfId="1352" priority="1648" operator="equal">
      <formula>FALSE</formula>
    </cfRule>
  </conditionalFormatting>
  <conditionalFormatting sqref="U65:W65 Y65:AA65 AF65:AH65">
    <cfRule type="cellIs" dxfId="1351" priority="1645" operator="equal">
      <formula>TRUE</formula>
    </cfRule>
    <cfRule type="cellIs" dxfId="1350" priority="1646" operator="equal">
      <formula>FALSE</formula>
    </cfRule>
  </conditionalFormatting>
  <conditionalFormatting sqref="X65">
    <cfRule type="cellIs" dxfId="1349" priority="1643" operator="equal">
      <formula>TRUE</formula>
    </cfRule>
    <cfRule type="cellIs" dxfId="1348" priority="1644" operator="equal">
      <formula>FALSE</formula>
    </cfRule>
  </conditionalFormatting>
  <conditionalFormatting sqref="AI65">
    <cfRule type="cellIs" dxfId="1347" priority="1641" operator="equal">
      <formula>TRUE</formula>
    </cfRule>
    <cfRule type="cellIs" dxfId="1346" priority="1642" operator="equal">
      <formula>FALSE</formula>
    </cfRule>
  </conditionalFormatting>
  <conditionalFormatting sqref="U66:W66 Y66:AA66 AF66:AH66">
    <cfRule type="cellIs" dxfId="1345" priority="1639" operator="equal">
      <formula>TRUE</formula>
    </cfRule>
    <cfRule type="cellIs" dxfId="1344" priority="1640" operator="equal">
      <formula>FALSE</formula>
    </cfRule>
  </conditionalFormatting>
  <conditionalFormatting sqref="X66">
    <cfRule type="cellIs" dxfId="1343" priority="1637" operator="equal">
      <formula>TRUE</formula>
    </cfRule>
    <cfRule type="cellIs" dxfId="1342" priority="1638" operator="equal">
      <formula>FALSE</formula>
    </cfRule>
  </conditionalFormatting>
  <conditionalFormatting sqref="AI66">
    <cfRule type="cellIs" dxfId="1341" priority="1635" operator="equal">
      <formula>TRUE</formula>
    </cfRule>
    <cfRule type="cellIs" dxfId="1340" priority="1636" operator="equal">
      <formula>FALSE</formula>
    </cfRule>
  </conditionalFormatting>
  <conditionalFormatting sqref="U67:W67 Y67:AA67 AF67:AH67">
    <cfRule type="cellIs" dxfId="1339" priority="1633" operator="equal">
      <formula>TRUE</formula>
    </cfRule>
    <cfRule type="cellIs" dxfId="1338" priority="1634" operator="equal">
      <formula>FALSE</formula>
    </cfRule>
  </conditionalFormatting>
  <conditionalFormatting sqref="X67">
    <cfRule type="cellIs" dxfId="1337" priority="1631" operator="equal">
      <formula>TRUE</formula>
    </cfRule>
    <cfRule type="cellIs" dxfId="1336" priority="1632" operator="equal">
      <formula>FALSE</formula>
    </cfRule>
  </conditionalFormatting>
  <conditionalFormatting sqref="AI67">
    <cfRule type="cellIs" dxfId="1335" priority="1629" operator="equal">
      <formula>TRUE</formula>
    </cfRule>
    <cfRule type="cellIs" dxfId="1334" priority="1630" operator="equal">
      <formula>FALSE</formula>
    </cfRule>
  </conditionalFormatting>
  <conditionalFormatting sqref="U68:W68 Y68:AA68 AF68:AH68">
    <cfRule type="cellIs" dxfId="1333" priority="1627" operator="equal">
      <formula>TRUE</formula>
    </cfRule>
    <cfRule type="cellIs" dxfId="1332" priority="1628" operator="equal">
      <formula>FALSE</formula>
    </cfRule>
  </conditionalFormatting>
  <conditionalFormatting sqref="X68">
    <cfRule type="cellIs" dxfId="1331" priority="1625" operator="equal">
      <formula>TRUE</formula>
    </cfRule>
    <cfRule type="cellIs" dxfId="1330" priority="1626" operator="equal">
      <formula>FALSE</formula>
    </cfRule>
  </conditionalFormatting>
  <conditionalFormatting sqref="AI68">
    <cfRule type="cellIs" dxfId="1329" priority="1623" operator="equal">
      <formula>TRUE</formula>
    </cfRule>
    <cfRule type="cellIs" dxfId="1328" priority="1624" operator="equal">
      <formula>FALSE</formula>
    </cfRule>
  </conditionalFormatting>
  <conditionalFormatting sqref="U69:W69 Y69:AA69 AF69:AH69">
    <cfRule type="cellIs" dxfId="1327" priority="1621" operator="equal">
      <formula>TRUE</formula>
    </cfRule>
    <cfRule type="cellIs" dxfId="1326" priority="1622" operator="equal">
      <formula>FALSE</formula>
    </cfRule>
  </conditionalFormatting>
  <conditionalFormatting sqref="X69">
    <cfRule type="cellIs" dxfId="1325" priority="1619" operator="equal">
      <formula>TRUE</formula>
    </cfRule>
    <cfRule type="cellIs" dxfId="1324" priority="1620" operator="equal">
      <formula>FALSE</formula>
    </cfRule>
  </conditionalFormatting>
  <conditionalFormatting sqref="AI69">
    <cfRule type="cellIs" dxfId="1323" priority="1617" operator="equal">
      <formula>TRUE</formula>
    </cfRule>
    <cfRule type="cellIs" dxfId="1322" priority="1618" operator="equal">
      <formula>FALSE</formula>
    </cfRule>
  </conditionalFormatting>
  <conditionalFormatting sqref="U70:W70 Y70:AA70 AF70:AH70">
    <cfRule type="cellIs" dxfId="1321" priority="1615" operator="equal">
      <formula>TRUE</formula>
    </cfRule>
    <cfRule type="cellIs" dxfId="1320" priority="1616" operator="equal">
      <formula>FALSE</formula>
    </cfRule>
  </conditionalFormatting>
  <conditionalFormatting sqref="X70">
    <cfRule type="cellIs" dxfId="1319" priority="1613" operator="equal">
      <formula>TRUE</formula>
    </cfRule>
    <cfRule type="cellIs" dxfId="1318" priority="1614" operator="equal">
      <formula>FALSE</formula>
    </cfRule>
  </conditionalFormatting>
  <conditionalFormatting sqref="AI70">
    <cfRule type="cellIs" dxfId="1317" priority="1611" operator="equal">
      <formula>TRUE</formula>
    </cfRule>
    <cfRule type="cellIs" dxfId="1316" priority="1612" operator="equal">
      <formula>FALSE</formula>
    </cfRule>
  </conditionalFormatting>
  <conditionalFormatting sqref="U71:W71 Y71:AA71 AF71:AH71">
    <cfRule type="cellIs" dxfId="1315" priority="1609" operator="equal">
      <formula>TRUE</formula>
    </cfRule>
    <cfRule type="cellIs" dxfId="1314" priority="1610" operator="equal">
      <formula>FALSE</formula>
    </cfRule>
  </conditionalFormatting>
  <conditionalFormatting sqref="X71">
    <cfRule type="cellIs" dxfId="1313" priority="1607" operator="equal">
      <formula>TRUE</formula>
    </cfRule>
    <cfRule type="cellIs" dxfId="1312" priority="1608" operator="equal">
      <formula>FALSE</formula>
    </cfRule>
  </conditionalFormatting>
  <conditionalFormatting sqref="AI71">
    <cfRule type="cellIs" dxfId="1311" priority="1605" operator="equal">
      <formula>TRUE</formula>
    </cfRule>
    <cfRule type="cellIs" dxfId="1310" priority="1606" operator="equal">
      <formula>FALSE</formula>
    </cfRule>
  </conditionalFormatting>
  <conditionalFormatting sqref="U72:W72 Y72:AA72 AF72:AH72">
    <cfRule type="cellIs" dxfId="1309" priority="1603" operator="equal">
      <formula>TRUE</formula>
    </cfRule>
    <cfRule type="cellIs" dxfId="1308" priority="1604" operator="equal">
      <formula>FALSE</formula>
    </cfRule>
  </conditionalFormatting>
  <conditionalFormatting sqref="X72">
    <cfRule type="cellIs" dxfId="1307" priority="1601" operator="equal">
      <formula>TRUE</formula>
    </cfRule>
    <cfRule type="cellIs" dxfId="1306" priority="1602" operator="equal">
      <formula>FALSE</formula>
    </cfRule>
  </conditionalFormatting>
  <conditionalFormatting sqref="AI72">
    <cfRule type="cellIs" dxfId="1305" priority="1599" operator="equal">
      <formula>TRUE</formula>
    </cfRule>
    <cfRule type="cellIs" dxfId="1304" priority="1600" operator="equal">
      <formula>FALSE</formula>
    </cfRule>
  </conditionalFormatting>
  <conditionalFormatting sqref="U73:W73 Y73:AA73 AF73:AH73">
    <cfRule type="cellIs" dxfId="1303" priority="1597" operator="equal">
      <formula>TRUE</formula>
    </cfRule>
    <cfRule type="cellIs" dxfId="1302" priority="1598" operator="equal">
      <formula>FALSE</formula>
    </cfRule>
  </conditionalFormatting>
  <conditionalFormatting sqref="X73">
    <cfRule type="cellIs" dxfId="1301" priority="1595" operator="equal">
      <formula>TRUE</formula>
    </cfRule>
    <cfRule type="cellIs" dxfId="1300" priority="1596" operator="equal">
      <formula>FALSE</formula>
    </cfRule>
  </conditionalFormatting>
  <conditionalFormatting sqref="AI73">
    <cfRule type="cellIs" dxfId="1299" priority="1593" operator="equal">
      <formula>TRUE</formula>
    </cfRule>
    <cfRule type="cellIs" dxfId="1298" priority="1594" operator="equal">
      <formula>FALSE</formula>
    </cfRule>
  </conditionalFormatting>
  <conditionalFormatting sqref="U74:W74 Y74:AA74 AF74:AH74">
    <cfRule type="cellIs" dxfId="1297" priority="1591" operator="equal">
      <formula>TRUE</formula>
    </cfRule>
    <cfRule type="cellIs" dxfId="1296" priority="1592" operator="equal">
      <formula>FALSE</formula>
    </cfRule>
  </conditionalFormatting>
  <conditionalFormatting sqref="X74">
    <cfRule type="cellIs" dxfId="1295" priority="1589" operator="equal">
      <formula>TRUE</formula>
    </cfRule>
    <cfRule type="cellIs" dxfId="1294" priority="1590" operator="equal">
      <formula>FALSE</formula>
    </cfRule>
  </conditionalFormatting>
  <conditionalFormatting sqref="AI74">
    <cfRule type="cellIs" dxfId="1293" priority="1587" operator="equal">
      <formula>TRUE</formula>
    </cfRule>
    <cfRule type="cellIs" dxfId="1292" priority="1588" operator="equal">
      <formula>FALSE</formula>
    </cfRule>
  </conditionalFormatting>
  <conditionalFormatting sqref="U75:W75 Y75:AA75 AF75:AH75">
    <cfRule type="cellIs" dxfId="1291" priority="1585" operator="equal">
      <formula>TRUE</formula>
    </cfRule>
    <cfRule type="cellIs" dxfId="1290" priority="1586" operator="equal">
      <formula>FALSE</formula>
    </cfRule>
  </conditionalFormatting>
  <conditionalFormatting sqref="X75">
    <cfRule type="cellIs" dxfId="1289" priority="1583" operator="equal">
      <formula>TRUE</formula>
    </cfRule>
    <cfRule type="cellIs" dxfId="1288" priority="1584" operator="equal">
      <formula>FALSE</formula>
    </cfRule>
  </conditionalFormatting>
  <conditionalFormatting sqref="AI75">
    <cfRule type="cellIs" dxfId="1287" priority="1581" operator="equal">
      <formula>TRUE</formula>
    </cfRule>
    <cfRule type="cellIs" dxfId="1286" priority="1582" operator="equal">
      <formula>FALSE</formula>
    </cfRule>
  </conditionalFormatting>
  <conditionalFormatting sqref="U76:W76 Y76:AA76 AF76:AH76">
    <cfRule type="cellIs" dxfId="1285" priority="1579" operator="equal">
      <formula>TRUE</formula>
    </cfRule>
    <cfRule type="cellIs" dxfId="1284" priority="1580" operator="equal">
      <formula>FALSE</formula>
    </cfRule>
  </conditionalFormatting>
  <conditionalFormatting sqref="X76">
    <cfRule type="cellIs" dxfId="1283" priority="1577" operator="equal">
      <formula>TRUE</formula>
    </cfRule>
    <cfRule type="cellIs" dxfId="1282" priority="1578" operator="equal">
      <formula>FALSE</formula>
    </cfRule>
  </conditionalFormatting>
  <conditionalFormatting sqref="AI76">
    <cfRule type="cellIs" dxfId="1281" priority="1575" operator="equal">
      <formula>TRUE</formula>
    </cfRule>
    <cfRule type="cellIs" dxfId="1280" priority="1576" operator="equal">
      <formula>FALSE</formula>
    </cfRule>
  </conditionalFormatting>
  <conditionalFormatting sqref="U77:W77 Y77:AA77 AF77:AH77">
    <cfRule type="cellIs" dxfId="1279" priority="1573" operator="equal">
      <formula>TRUE</formula>
    </cfRule>
    <cfRule type="cellIs" dxfId="1278" priority="1574" operator="equal">
      <formula>FALSE</formula>
    </cfRule>
  </conditionalFormatting>
  <conditionalFormatting sqref="X77">
    <cfRule type="cellIs" dxfId="1277" priority="1571" operator="equal">
      <formula>TRUE</formula>
    </cfRule>
    <cfRule type="cellIs" dxfId="1276" priority="1572" operator="equal">
      <formula>FALSE</formula>
    </cfRule>
  </conditionalFormatting>
  <conditionalFormatting sqref="AI77">
    <cfRule type="cellIs" dxfId="1275" priority="1569" operator="equal">
      <formula>TRUE</formula>
    </cfRule>
    <cfRule type="cellIs" dxfId="1274" priority="1570" operator="equal">
      <formula>FALSE</formula>
    </cfRule>
  </conditionalFormatting>
  <conditionalFormatting sqref="U78:W78 Y78:AA78 AF78:AH78">
    <cfRule type="cellIs" dxfId="1273" priority="1567" operator="equal">
      <formula>TRUE</formula>
    </cfRule>
    <cfRule type="cellIs" dxfId="1272" priority="1568" operator="equal">
      <formula>FALSE</formula>
    </cfRule>
  </conditionalFormatting>
  <conditionalFormatting sqref="X78">
    <cfRule type="cellIs" dxfId="1271" priority="1565" operator="equal">
      <formula>TRUE</formula>
    </cfRule>
    <cfRule type="cellIs" dxfId="1270" priority="1566" operator="equal">
      <formula>FALSE</formula>
    </cfRule>
  </conditionalFormatting>
  <conditionalFormatting sqref="AI78">
    <cfRule type="cellIs" dxfId="1269" priority="1563" operator="equal">
      <formula>TRUE</formula>
    </cfRule>
    <cfRule type="cellIs" dxfId="1268" priority="1564" operator="equal">
      <formula>FALSE</formula>
    </cfRule>
  </conditionalFormatting>
  <conditionalFormatting sqref="U79:W79 Y79:AA79 AF79:AH79">
    <cfRule type="cellIs" dxfId="1267" priority="1561" operator="equal">
      <formula>TRUE</formula>
    </cfRule>
    <cfRule type="cellIs" dxfId="1266" priority="1562" operator="equal">
      <formula>FALSE</formula>
    </cfRule>
  </conditionalFormatting>
  <conditionalFormatting sqref="X79">
    <cfRule type="cellIs" dxfId="1265" priority="1559" operator="equal">
      <formula>TRUE</formula>
    </cfRule>
    <cfRule type="cellIs" dxfId="1264" priority="1560" operator="equal">
      <formula>FALSE</formula>
    </cfRule>
  </conditionalFormatting>
  <conditionalFormatting sqref="AI79">
    <cfRule type="cellIs" dxfId="1263" priority="1557" operator="equal">
      <formula>TRUE</formula>
    </cfRule>
    <cfRule type="cellIs" dxfId="1262" priority="1558" operator="equal">
      <formula>FALSE</formula>
    </cfRule>
  </conditionalFormatting>
  <conditionalFormatting sqref="U80:W80 Y80:AA80 AF80:AH80">
    <cfRule type="cellIs" dxfId="1261" priority="1555" operator="equal">
      <formula>TRUE</formula>
    </cfRule>
    <cfRule type="cellIs" dxfId="1260" priority="1556" operator="equal">
      <formula>FALSE</formula>
    </cfRule>
  </conditionalFormatting>
  <conditionalFormatting sqref="X80">
    <cfRule type="cellIs" dxfId="1259" priority="1553" operator="equal">
      <formula>TRUE</formula>
    </cfRule>
    <cfRule type="cellIs" dxfId="1258" priority="1554" operator="equal">
      <formula>FALSE</formula>
    </cfRule>
  </conditionalFormatting>
  <conditionalFormatting sqref="AI80">
    <cfRule type="cellIs" dxfId="1257" priority="1551" operator="equal">
      <formula>TRUE</formula>
    </cfRule>
    <cfRule type="cellIs" dxfId="1256" priority="1552" operator="equal">
      <formula>FALSE</formula>
    </cfRule>
  </conditionalFormatting>
  <conditionalFormatting sqref="U81:W81 Y81:AA81 AF81:AH81">
    <cfRule type="cellIs" dxfId="1255" priority="1549" operator="equal">
      <formula>TRUE</formula>
    </cfRule>
    <cfRule type="cellIs" dxfId="1254" priority="1550" operator="equal">
      <formula>FALSE</formula>
    </cfRule>
  </conditionalFormatting>
  <conditionalFormatting sqref="X81">
    <cfRule type="cellIs" dxfId="1253" priority="1547" operator="equal">
      <formula>TRUE</formula>
    </cfRule>
    <cfRule type="cellIs" dxfId="1252" priority="1548" operator="equal">
      <formula>FALSE</formula>
    </cfRule>
  </conditionalFormatting>
  <conditionalFormatting sqref="AI81">
    <cfRule type="cellIs" dxfId="1251" priority="1545" operator="equal">
      <formula>TRUE</formula>
    </cfRule>
    <cfRule type="cellIs" dxfId="1250" priority="1546" operator="equal">
      <formula>FALSE</formula>
    </cfRule>
  </conditionalFormatting>
  <conditionalFormatting sqref="U82:W82 Y82:AA82 AF82:AH82">
    <cfRule type="cellIs" dxfId="1249" priority="1543" operator="equal">
      <formula>TRUE</formula>
    </cfRule>
    <cfRule type="cellIs" dxfId="1248" priority="1544" operator="equal">
      <formula>FALSE</formula>
    </cfRule>
  </conditionalFormatting>
  <conditionalFormatting sqref="X82">
    <cfRule type="cellIs" dxfId="1247" priority="1541" operator="equal">
      <formula>TRUE</formula>
    </cfRule>
    <cfRule type="cellIs" dxfId="1246" priority="1542" operator="equal">
      <formula>FALSE</formula>
    </cfRule>
  </conditionalFormatting>
  <conditionalFormatting sqref="AI82">
    <cfRule type="cellIs" dxfId="1245" priority="1539" operator="equal">
      <formula>TRUE</formula>
    </cfRule>
    <cfRule type="cellIs" dxfId="1244" priority="1540" operator="equal">
      <formula>FALSE</formula>
    </cfRule>
  </conditionalFormatting>
  <conditionalFormatting sqref="U83:W83 Y83:AA83 AF83:AH83">
    <cfRule type="cellIs" dxfId="1243" priority="1537" operator="equal">
      <formula>TRUE</formula>
    </cfRule>
    <cfRule type="cellIs" dxfId="1242" priority="1538" operator="equal">
      <formula>FALSE</formula>
    </cfRule>
  </conditionalFormatting>
  <conditionalFormatting sqref="X83">
    <cfRule type="cellIs" dxfId="1241" priority="1535" operator="equal">
      <formula>TRUE</formula>
    </cfRule>
    <cfRule type="cellIs" dxfId="1240" priority="1536" operator="equal">
      <formula>FALSE</formula>
    </cfRule>
  </conditionalFormatting>
  <conditionalFormatting sqref="AI83">
    <cfRule type="cellIs" dxfId="1239" priority="1533" operator="equal">
      <formula>TRUE</formula>
    </cfRule>
    <cfRule type="cellIs" dxfId="1238" priority="1534" operator="equal">
      <formula>FALSE</formula>
    </cfRule>
  </conditionalFormatting>
  <conditionalFormatting sqref="U94:W94 Y94:AA94 AF94:AH94">
    <cfRule type="cellIs" dxfId="1237" priority="1507" operator="equal">
      <formula>TRUE</formula>
    </cfRule>
    <cfRule type="cellIs" dxfId="1236" priority="1508" operator="equal">
      <formula>FALSE</formula>
    </cfRule>
  </conditionalFormatting>
  <conditionalFormatting sqref="X94">
    <cfRule type="cellIs" dxfId="1235" priority="1505" operator="equal">
      <formula>TRUE</formula>
    </cfRule>
    <cfRule type="cellIs" dxfId="1234" priority="1506" operator="equal">
      <formula>FALSE</formula>
    </cfRule>
  </conditionalFormatting>
  <conditionalFormatting sqref="AI94">
    <cfRule type="cellIs" dxfId="1233" priority="1503" operator="equal">
      <formula>TRUE</formula>
    </cfRule>
    <cfRule type="cellIs" dxfId="1232" priority="1504" operator="equal">
      <formula>FALSE</formula>
    </cfRule>
  </conditionalFormatting>
  <conditionalFormatting sqref="X95">
    <cfRule type="cellIs" dxfId="1231" priority="1499" operator="equal">
      <formula>TRUE</formula>
    </cfRule>
    <cfRule type="cellIs" dxfId="1230" priority="1500" operator="equal">
      <formula>FALSE</formula>
    </cfRule>
  </conditionalFormatting>
  <conditionalFormatting sqref="AI95">
    <cfRule type="cellIs" dxfId="1229" priority="1497" operator="equal">
      <formula>TRUE</formula>
    </cfRule>
    <cfRule type="cellIs" dxfId="1228" priority="1498" operator="equal">
      <formula>FALSE</formula>
    </cfRule>
  </conditionalFormatting>
  <conditionalFormatting sqref="U96:W96 Y96:AA96 AF96:AH96">
    <cfRule type="cellIs" dxfId="1227" priority="1495" operator="equal">
      <formula>TRUE</formula>
    </cfRule>
    <cfRule type="cellIs" dxfId="1226" priority="1496" operator="equal">
      <formula>FALSE</formula>
    </cfRule>
  </conditionalFormatting>
  <conditionalFormatting sqref="AI96">
    <cfRule type="cellIs" dxfId="1225" priority="1491" operator="equal">
      <formula>TRUE</formula>
    </cfRule>
    <cfRule type="cellIs" dxfId="1224" priority="1492" operator="equal">
      <formula>FALSE</formula>
    </cfRule>
  </conditionalFormatting>
  <conditionalFormatting sqref="U97:W97 Y97:AA97 AF97:AH97">
    <cfRule type="cellIs" dxfId="1223" priority="1489" operator="equal">
      <formula>TRUE</formula>
    </cfRule>
    <cfRule type="cellIs" dxfId="1222" priority="1490" operator="equal">
      <formula>FALSE</formula>
    </cfRule>
  </conditionalFormatting>
  <conditionalFormatting sqref="X97">
    <cfRule type="cellIs" dxfId="1221" priority="1487" operator="equal">
      <formula>TRUE</formula>
    </cfRule>
    <cfRule type="cellIs" dxfId="1220" priority="1488" operator="equal">
      <formula>FALSE</formula>
    </cfRule>
  </conditionalFormatting>
  <conditionalFormatting sqref="U98:W98 Y98:AA98 AF98:AH98">
    <cfRule type="cellIs" dxfId="1219" priority="1483" operator="equal">
      <formula>TRUE</formula>
    </cfRule>
    <cfRule type="cellIs" dxfId="1218" priority="1484" operator="equal">
      <formula>FALSE</formula>
    </cfRule>
  </conditionalFormatting>
  <conditionalFormatting sqref="X98">
    <cfRule type="cellIs" dxfId="1217" priority="1481" operator="equal">
      <formula>TRUE</formula>
    </cfRule>
    <cfRule type="cellIs" dxfId="1216" priority="1482" operator="equal">
      <formula>FALSE</formula>
    </cfRule>
  </conditionalFormatting>
  <conditionalFormatting sqref="AI98">
    <cfRule type="cellIs" dxfId="1215" priority="1479" operator="equal">
      <formula>TRUE</formula>
    </cfRule>
    <cfRule type="cellIs" dxfId="1214" priority="1480" operator="equal">
      <formula>FALSE</formula>
    </cfRule>
  </conditionalFormatting>
  <conditionalFormatting sqref="X99">
    <cfRule type="cellIs" dxfId="1213" priority="1475" operator="equal">
      <formula>TRUE</formula>
    </cfRule>
    <cfRule type="cellIs" dxfId="1212" priority="1476" operator="equal">
      <formula>FALSE</formula>
    </cfRule>
  </conditionalFormatting>
  <conditionalFormatting sqref="AI99">
    <cfRule type="cellIs" dxfId="1211" priority="1473" operator="equal">
      <formula>TRUE</formula>
    </cfRule>
    <cfRule type="cellIs" dxfId="1210" priority="1474" operator="equal">
      <formula>FALSE</formula>
    </cfRule>
  </conditionalFormatting>
  <conditionalFormatting sqref="U100:W100 Y100:AA100 AF100:AH100">
    <cfRule type="cellIs" dxfId="1209" priority="1471" operator="equal">
      <formula>TRUE</formula>
    </cfRule>
    <cfRule type="cellIs" dxfId="1208" priority="1472" operator="equal">
      <formula>FALSE</formula>
    </cfRule>
  </conditionalFormatting>
  <conditionalFormatting sqref="U95:W95 Y95:AA95 AF95:AH95">
    <cfRule type="cellIs" dxfId="1207" priority="1501" operator="equal">
      <formula>TRUE</formula>
    </cfRule>
    <cfRule type="cellIs" dxfId="1206" priority="1502" operator="equal">
      <formula>FALSE</formula>
    </cfRule>
  </conditionalFormatting>
  <conditionalFormatting sqref="X96">
    <cfRule type="cellIs" dxfId="1205" priority="1493" operator="equal">
      <formula>TRUE</formula>
    </cfRule>
    <cfRule type="cellIs" dxfId="1204" priority="1494" operator="equal">
      <formula>FALSE</formula>
    </cfRule>
  </conditionalFormatting>
  <conditionalFormatting sqref="AI97">
    <cfRule type="cellIs" dxfId="1203" priority="1485" operator="equal">
      <formula>TRUE</formula>
    </cfRule>
    <cfRule type="cellIs" dxfId="1202" priority="1486" operator="equal">
      <formula>FALSE</formula>
    </cfRule>
  </conditionalFormatting>
  <conditionalFormatting sqref="U99:W99 Y99:AA99 AF99:AH99">
    <cfRule type="cellIs" dxfId="1201" priority="1477" operator="equal">
      <formula>TRUE</formula>
    </cfRule>
    <cfRule type="cellIs" dxfId="1200" priority="1478" operator="equal">
      <formula>FALSE</formula>
    </cfRule>
  </conditionalFormatting>
  <conditionalFormatting sqref="X100">
    <cfRule type="cellIs" dxfId="1199" priority="1469" operator="equal">
      <formula>TRUE</formula>
    </cfRule>
    <cfRule type="cellIs" dxfId="1198" priority="1470" operator="equal">
      <formula>FALSE</formula>
    </cfRule>
  </conditionalFormatting>
  <conditionalFormatting sqref="AI100">
    <cfRule type="cellIs" dxfId="1197" priority="1467" operator="equal">
      <formula>TRUE</formula>
    </cfRule>
    <cfRule type="cellIs" dxfId="1196" priority="1468" operator="equal">
      <formula>FALSE</formula>
    </cfRule>
  </conditionalFormatting>
  <conditionalFormatting sqref="X101">
    <cfRule type="cellIs" dxfId="1195" priority="1463" operator="equal">
      <formula>TRUE</formula>
    </cfRule>
    <cfRule type="cellIs" dxfId="1194" priority="1464" operator="equal">
      <formula>FALSE</formula>
    </cfRule>
  </conditionalFormatting>
  <conditionalFormatting sqref="AI101">
    <cfRule type="cellIs" dxfId="1193" priority="1461" operator="equal">
      <formula>TRUE</formula>
    </cfRule>
    <cfRule type="cellIs" dxfId="1192" priority="1462" operator="equal">
      <formula>FALSE</formula>
    </cfRule>
  </conditionalFormatting>
  <conditionalFormatting sqref="U102:W102 Y102:AA102 AF102:AH102">
    <cfRule type="cellIs" dxfId="1191" priority="1459" operator="equal">
      <formula>TRUE</formula>
    </cfRule>
    <cfRule type="cellIs" dxfId="1190" priority="1460" operator="equal">
      <formula>FALSE</formula>
    </cfRule>
  </conditionalFormatting>
  <conditionalFormatting sqref="U101:W101 Y101:AA101 AF101:AH101">
    <cfRule type="cellIs" dxfId="1189" priority="1465" operator="equal">
      <formula>TRUE</formula>
    </cfRule>
    <cfRule type="cellIs" dxfId="1188" priority="1466" operator="equal">
      <formula>FALSE</formula>
    </cfRule>
  </conditionalFormatting>
  <conditionalFormatting sqref="U90:W90 Y90:AA90 AF90:AH90">
    <cfRule type="cellIs" dxfId="1187" priority="1531" operator="equal">
      <formula>TRUE</formula>
    </cfRule>
    <cfRule type="cellIs" dxfId="1186" priority="1532" operator="equal">
      <formula>FALSE</formula>
    </cfRule>
  </conditionalFormatting>
  <conditionalFormatting sqref="X90">
    <cfRule type="cellIs" dxfId="1185" priority="1529" operator="equal">
      <formula>TRUE</formula>
    </cfRule>
    <cfRule type="cellIs" dxfId="1184" priority="1530" operator="equal">
      <formula>FALSE</formula>
    </cfRule>
  </conditionalFormatting>
  <conditionalFormatting sqref="AI90">
    <cfRule type="cellIs" dxfId="1183" priority="1527" operator="equal">
      <formula>TRUE</formula>
    </cfRule>
    <cfRule type="cellIs" dxfId="1182" priority="1528" operator="equal">
      <formula>FALSE</formula>
    </cfRule>
  </conditionalFormatting>
  <conditionalFormatting sqref="U91:W91 Y91:AA91 AF91:AH91">
    <cfRule type="cellIs" dxfId="1181" priority="1525" operator="equal">
      <formula>TRUE</formula>
    </cfRule>
    <cfRule type="cellIs" dxfId="1180" priority="1526" operator="equal">
      <formula>FALSE</formula>
    </cfRule>
  </conditionalFormatting>
  <conditionalFormatting sqref="X91">
    <cfRule type="cellIs" dxfId="1179" priority="1523" operator="equal">
      <formula>TRUE</formula>
    </cfRule>
    <cfRule type="cellIs" dxfId="1178" priority="1524" operator="equal">
      <formula>FALSE</formula>
    </cfRule>
  </conditionalFormatting>
  <conditionalFormatting sqref="AI91">
    <cfRule type="cellIs" dxfId="1177" priority="1521" operator="equal">
      <formula>TRUE</formula>
    </cfRule>
    <cfRule type="cellIs" dxfId="1176" priority="1522" operator="equal">
      <formula>FALSE</formula>
    </cfRule>
  </conditionalFormatting>
  <conditionalFormatting sqref="U92:W92 Y92:AA92 AF92:AH92">
    <cfRule type="cellIs" dxfId="1175" priority="1519" operator="equal">
      <formula>TRUE</formula>
    </cfRule>
    <cfRule type="cellIs" dxfId="1174" priority="1520" operator="equal">
      <formula>FALSE</formula>
    </cfRule>
  </conditionalFormatting>
  <conditionalFormatting sqref="X92">
    <cfRule type="cellIs" dxfId="1173" priority="1517" operator="equal">
      <formula>TRUE</formula>
    </cfRule>
    <cfRule type="cellIs" dxfId="1172" priority="1518" operator="equal">
      <formula>FALSE</formula>
    </cfRule>
  </conditionalFormatting>
  <conditionalFormatting sqref="AI92">
    <cfRule type="cellIs" dxfId="1171" priority="1515" operator="equal">
      <formula>TRUE</formula>
    </cfRule>
    <cfRule type="cellIs" dxfId="1170" priority="1516" operator="equal">
      <formula>FALSE</formula>
    </cfRule>
  </conditionalFormatting>
  <conditionalFormatting sqref="U93:W93 Y93:AA93 AF93:AH93">
    <cfRule type="cellIs" dxfId="1169" priority="1513" operator="equal">
      <formula>TRUE</formula>
    </cfRule>
    <cfRule type="cellIs" dxfId="1168" priority="1514" operator="equal">
      <formula>FALSE</formula>
    </cfRule>
  </conditionalFormatting>
  <conditionalFormatting sqref="X93">
    <cfRule type="cellIs" dxfId="1167" priority="1511" operator="equal">
      <formula>TRUE</formula>
    </cfRule>
    <cfRule type="cellIs" dxfId="1166" priority="1512" operator="equal">
      <formula>FALSE</formula>
    </cfRule>
  </conditionalFormatting>
  <conditionalFormatting sqref="AI93">
    <cfRule type="cellIs" dxfId="1165" priority="1509" operator="equal">
      <formula>TRUE</formula>
    </cfRule>
    <cfRule type="cellIs" dxfId="1164" priority="1510" operator="equal">
      <formula>FALSE</formula>
    </cfRule>
  </conditionalFormatting>
  <conditionalFormatting sqref="X102">
    <cfRule type="cellIs" dxfId="1163" priority="1457" operator="equal">
      <formula>TRUE</formula>
    </cfRule>
    <cfRule type="cellIs" dxfId="1162" priority="1458" operator="equal">
      <formula>FALSE</formula>
    </cfRule>
  </conditionalFormatting>
  <conditionalFormatting sqref="AI102">
    <cfRule type="cellIs" dxfId="1161" priority="1455" operator="equal">
      <formula>TRUE</formula>
    </cfRule>
    <cfRule type="cellIs" dxfId="1160" priority="1456" operator="equal">
      <formula>FALSE</formula>
    </cfRule>
  </conditionalFormatting>
  <conditionalFormatting sqref="U103:W103 Y103:AA103 AF103:AH103">
    <cfRule type="cellIs" dxfId="1159" priority="1453" operator="equal">
      <formula>TRUE</formula>
    </cfRule>
    <cfRule type="cellIs" dxfId="1158" priority="1454" operator="equal">
      <formula>FALSE</formula>
    </cfRule>
  </conditionalFormatting>
  <conditionalFormatting sqref="X103">
    <cfRule type="cellIs" dxfId="1157" priority="1451" operator="equal">
      <formula>TRUE</formula>
    </cfRule>
    <cfRule type="cellIs" dxfId="1156" priority="1452" operator="equal">
      <formula>FALSE</formula>
    </cfRule>
  </conditionalFormatting>
  <conditionalFormatting sqref="AI103">
    <cfRule type="cellIs" dxfId="1155" priority="1449" operator="equal">
      <formula>TRUE</formula>
    </cfRule>
    <cfRule type="cellIs" dxfId="1154" priority="1450" operator="equal">
      <formula>FALSE</formula>
    </cfRule>
  </conditionalFormatting>
  <conditionalFormatting sqref="U104:W104 Y104:AA104 AF104:AH104">
    <cfRule type="cellIs" dxfId="1153" priority="1447" operator="equal">
      <formula>TRUE</formula>
    </cfRule>
    <cfRule type="cellIs" dxfId="1152" priority="1448" operator="equal">
      <formula>FALSE</formula>
    </cfRule>
  </conditionalFormatting>
  <conditionalFormatting sqref="X104">
    <cfRule type="cellIs" dxfId="1151" priority="1445" operator="equal">
      <formula>TRUE</formula>
    </cfRule>
    <cfRule type="cellIs" dxfId="1150" priority="1446" operator="equal">
      <formula>FALSE</formula>
    </cfRule>
  </conditionalFormatting>
  <conditionalFormatting sqref="AI104">
    <cfRule type="cellIs" dxfId="1149" priority="1443" operator="equal">
      <formula>TRUE</formula>
    </cfRule>
    <cfRule type="cellIs" dxfId="1148" priority="1444" operator="equal">
      <formula>FALSE</formula>
    </cfRule>
  </conditionalFormatting>
  <conditionalFormatting sqref="U105:W105 Y105:AA105 AF105:AH105">
    <cfRule type="cellIs" dxfId="1147" priority="1441" operator="equal">
      <formula>TRUE</formula>
    </cfRule>
    <cfRule type="cellIs" dxfId="1146" priority="1442" operator="equal">
      <formula>FALSE</formula>
    </cfRule>
  </conditionalFormatting>
  <conditionalFormatting sqref="X105">
    <cfRule type="cellIs" dxfId="1145" priority="1439" operator="equal">
      <formula>TRUE</formula>
    </cfRule>
    <cfRule type="cellIs" dxfId="1144" priority="1440" operator="equal">
      <formula>FALSE</formula>
    </cfRule>
  </conditionalFormatting>
  <conditionalFormatting sqref="AI105">
    <cfRule type="cellIs" dxfId="1143" priority="1437" operator="equal">
      <formula>TRUE</formula>
    </cfRule>
    <cfRule type="cellIs" dxfId="1142" priority="1438" operator="equal">
      <formula>FALSE</formula>
    </cfRule>
  </conditionalFormatting>
  <conditionalFormatting sqref="U106:W106 Y106:AA106 AF106:AH106">
    <cfRule type="cellIs" dxfId="1141" priority="1435" operator="equal">
      <formula>TRUE</formula>
    </cfRule>
    <cfRule type="cellIs" dxfId="1140" priority="1436" operator="equal">
      <formula>FALSE</formula>
    </cfRule>
  </conditionalFormatting>
  <conditionalFormatting sqref="X106">
    <cfRule type="cellIs" dxfId="1139" priority="1433" operator="equal">
      <formula>TRUE</formula>
    </cfRule>
    <cfRule type="cellIs" dxfId="1138" priority="1434" operator="equal">
      <formula>FALSE</formula>
    </cfRule>
  </conditionalFormatting>
  <conditionalFormatting sqref="AI106">
    <cfRule type="cellIs" dxfId="1137" priority="1431" operator="equal">
      <formula>TRUE</formula>
    </cfRule>
    <cfRule type="cellIs" dxfId="1136" priority="1432" operator="equal">
      <formula>FALSE</formula>
    </cfRule>
  </conditionalFormatting>
  <conditionalFormatting sqref="U107:W107 Y107:AA107 AF107:AH107">
    <cfRule type="cellIs" dxfId="1135" priority="1429" operator="equal">
      <formula>TRUE</formula>
    </cfRule>
    <cfRule type="cellIs" dxfId="1134" priority="1430" operator="equal">
      <formula>FALSE</formula>
    </cfRule>
  </conditionalFormatting>
  <conditionalFormatting sqref="X107">
    <cfRule type="cellIs" dxfId="1133" priority="1427" operator="equal">
      <formula>TRUE</formula>
    </cfRule>
    <cfRule type="cellIs" dxfId="1132" priority="1428" operator="equal">
      <formula>FALSE</formula>
    </cfRule>
  </conditionalFormatting>
  <conditionalFormatting sqref="AI107">
    <cfRule type="cellIs" dxfId="1131" priority="1425" operator="equal">
      <formula>TRUE</formula>
    </cfRule>
    <cfRule type="cellIs" dxfId="1130" priority="1426" operator="equal">
      <formula>FALSE</formula>
    </cfRule>
  </conditionalFormatting>
  <conditionalFormatting sqref="U108:W108 Y108:AA108 AF108:AH108">
    <cfRule type="cellIs" dxfId="1129" priority="1423" operator="equal">
      <formula>TRUE</formula>
    </cfRule>
    <cfRule type="cellIs" dxfId="1128" priority="1424" operator="equal">
      <formula>FALSE</formula>
    </cfRule>
  </conditionalFormatting>
  <conditionalFormatting sqref="X108">
    <cfRule type="cellIs" dxfId="1127" priority="1421" operator="equal">
      <formula>TRUE</formula>
    </cfRule>
    <cfRule type="cellIs" dxfId="1126" priority="1422" operator="equal">
      <formula>FALSE</formula>
    </cfRule>
  </conditionalFormatting>
  <conditionalFormatting sqref="AI108">
    <cfRule type="cellIs" dxfId="1125" priority="1419" operator="equal">
      <formula>TRUE</formula>
    </cfRule>
    <cfRule type="cellIs" dxfId="1124" priority="1420" operator="equal">
      <formula>FALSE</formula>
    </cfRule>
  </conditionalFormatting>
  <conditionalFormatting sqref="U109:W109 Y109:AA109 AF109:AH109">
    <cfRule type="cellIs" dxfId="1123" priority="1417" operator="equal">
      <formula>TRUE</formula>
    </cfRule>
    <cfRule type="cellIs" dxfId="1122" priority="1418" operator="equal">
      <formula>FALSE</formula>
    </cfRule>
  </conditionalFormatting>
  <conditionalFormatting sqref="X109">
    <cfRule type="cellIs" dxfId="1121" priority="1415" operator="equal">
      <formula>TRUE</formula>
    </cfRule>
    <cfRule type="cellIs" dxfId="1120" priority="1416" operator="equal">
      <formula>FALSE</formula>
    </cfRule>
  </conditionalFormatting>
  <conditionalFormatting sqref="AI109">
    <cfRule type="cellIs" dxfId="1119" priority="1413" operator="equal">
      <formula>TRUE</formula>
    </cfRule>
    <cfRule type="cellIs" dxfId="1118" priority="1414" operator="equal">
      <formula>FALSE</formula>
    </cfRule>
  </conditionalFormatting>
  <conditionalFormatting sqref="U110:W110 Y110:AA110 AF110:AH110">
    <cfRule type="cellIs" dxfId="1117" priority="1411" operator="equal">
      <formula>TRUE</formula>
    </cfRule>
    <cfRule type="cellIs" dxfId="1116" priority="1412" operator="equal">
      <formula>FALSE</formula>
    </cfRule>
  </conditionalFormatting>
  <conditionalFormatting sqref="X110">
    <cfRule type="cellIs" dxfId="1115" priority="1409" operator="equal">
      <formula>TRUE</formula>
    </cfRule>
    <cfRule type="cellIs" dxfId="1114" priority="1410" operator="equal">
      <formula>FALSE</formula>
    </cfRule>
  </conditionalFormatting>
  <conditionalFormatting sqref="AI110">
    <cfRule type="cellIs" dxfId="1113" priority="1407" operator="equal">
      <formula>TRUE</formula>
    </cfRule>
    <cfRule type="cellIs" dxfId="1112" priority="1408" operator="equal">
      <formula>FALSE</formula>
    </cfRule>
  </conditionalFormatting>
  <conditionalFormatting sqref="U111:W111 Y111:AA111 AF111:AH111">
    <cfRule type="cellIs" dxfId="1111" priority="1405" operator="equal">
      <formula>TRUE</formula>
    </cfRule>
    <cfRule type="cellIs" dxfId="1110" priority="1406" operator="equal">
      <formula>FALSE</formula>
    </cfRule>
  </conditionalFormatting>
  <conditionalFormatting sqref="X111">
    <cfRule type="cellIs" dxfId="1109" priority="1403" operator="equal">
      <formula>TRUE</formula>
    </cfRule>
    <cfRule type="cellIs" dxfId="1108" priority="1404" operator="equal">
      <formula>FALSE</formula>
    </cfRule>
  </conditionalFormatting>
  <conditionalFormatting sqref="AI111">
    <cfRule type="cellIs" dxfId="1107" priority="1401" operator="equal">
      <formula>TRUE</formula>
    </cfRule>
    <cfRule type="cellIs" dxfId="1106" priority="1402" operator="equal">
      <formula>FALSE</formula>
    </cfRule>
  </conditionalFormatting>
  <conditionalFormatting sqref="U112:W112 Y112:AA112 AF112:AH112">
    <cfRule type="cellIs" dxfId="1105" priority="1399" operator="equal">
      <formula>TRUE</formula>
    </cfRule>
    <cfRule type="cellIs" dxfId="1104" priority="1400" operator="equal">
      <formula>FALSE</formula>
    </cfRule>
  </conditionalFormatting>
  <conditionalFormatting sqref="X112">
    <cfRule type="cellIs" dxfId="1103" priority="1397" operator="equal">
      <formula>TRUE</formula>
    </cfRule>
    <cfRule type="cellIs" dxfId="1102" priority="1398" operator="equal">
      <formula>FALSE</formula>
    </cfRule>
  </conditionalFormatting>
  <conditionalFormatting sqref="AI112">
    <cfRule type="cellIs" dxfId="1101" priority="1395" operator="equal">
      <formula>TRUE</formula>
    </cfRule>
    <cfRule type="cellIs" dxfId="1100" priority="1396" operator="equal">
      <formula>FALSE</formula>
    </cfRule>
  </conditionalFormatting>
  <conditionalFormatting sqref="U113:W113 Y113:AA113 AF113:AH113">
    <cfRule type="cellIs" dxfId="1099" priority="1393" operator="equal">
      <formula>TRUE</formula>
    </cfRule>
    <cfRule type="cellIs" dxfId="1098" priority="1394" operator="equal">
      <formula>FALSE</formula>
    </cfRule>
  </conditionalFormatting>
  <conditionalFormatting sqref="X113">
    <cfRule type="cellIs" dxfId="1097" priority="1391" operator="equal">
      <formula>TRUE</formula>
    </cfRule>
    <cfRule type="cellIs" dxfId="1096" priority="1392" operator="equal">
      <formula>FALSE</formula>
    </cfRule>
  </conditionalFormatting>
  <conditionalFormatting sqref="AI113">
    <cfRule type="cellIs" dxfId="1095" priority="1389" operator="equal">
      <formula>TRUE</formula>
    </cfRule>
    <cfRule type="cellIs" dxfId="1094" priority="1390" operator="equal">
      <formula>FALSE</formula>
    </cfRule>
  </conditionalFormatting>
  <conditionalFormatting sqref="U114:W114 Y114:AA114 AF114:AH114">
    <cfRule type="cellIs" dxfId="1093" priority="1387" operator="equal">
      <formula>TRUE</formula>
    </cfRule>
    <cfRule type="cellIs" dxfId="1092" priority="1388" operator="equal">
      <formula>FALSE</formula>
    </cfRule>
  </conditionalFormatting>
  <conditionalFormatting sqref="X114">
    <cfRule type="cellIs" dxfId="1091" priority="1385" operator="equal">
      <formula>TRUE</formula>
    </cfRule>
    <cfRule type="cellIs" dxfId="1090" priority="1386" operator="equal">
      <formula>FALSE</formula>
    </cfRule>
  </conditionalFormatting>
  <conditionalFormatting sqref="AI114">
    <cfRule type="cellIs" dxfId="1089" priority="1383" operator="equal">
      <formula>TRUE</formula>
    </cfRule>
    <cfRule type="cellIs" dxfId="1088" priority="1384" operator="equal">
      <formula>FALSE</formula>
    </cfRule>
  </conditionalFormatting>
  <conditionalFormatting sqref="U115:W115 Y115:AA115 AF115:AH115">
    <cfRule type="cellIs" dxfId="1087" priority="1381" operator="equal">
      <formula>TRUE</formula>
    </cfRule>
    <cfRule type="cellIs" dxfId="1086" priority="1382" operator="equal">
      <formula>FALSE</formula>
    </cfRule>
  </conditionalFormatting>
  <conditionalFormatting sqref="X115">
    <cfRule type="cellIs" dxfId="1085" priority="1379" operator="equal">
      <formula>TRUE</formula>
    </cfRule>
    <cfRule type="cellIs" dxfId="1084" priority="1380" operator="equal">
      <formula>FALSE</formula>
    </cfRule>
  </conditionalFormatting>
  <conditionalFormatting sqref="AI115">
    <cfRule type="cellIs" dxfId="1083" priority="1377" operator="equal">
      <formula>TRUE</formula>
    </cfRule>
    <cfRule type="cellIs" dxfId="1082" priority="1378" operator="equal">
      <formula>FALSE</formula>
    </cfRule>
  </conditionalFormatting>
  <conditionalFormatting sqref="U116:W116 Y116:AA116 AF116:AH116">
    <cfRule type="cellIs" dxfId="1081" priority="1375" operator="equal">
      <formula>TRUE</formula>
    </cfRule>
    <cfRule type="cellIs" dxfId="1080" priority="1376" operator="equal">
      <formula>FALSE</formula>
    </cfRule>
  </conditionalFormatting>
  <conditionalFormatting sqref="X116">
    <cfRule type="cellIs" dxfId="1079" priority="1373" operator="equal">
      <formula>TRUE</formula>
    </cfRule>
    <cfRule type="cellIs" dxfId="1078" priority="1374" operator="equal">
      <formula>FALSE</formula>
    </cfRule>
  </conditionalFormatting>
  <conditionalFormatting sqref="AI116">
    <cfRule type="cellIs" dxfId="1077" priority="1371" operator="equal">
      <formula>TRUE</formula>
    </cfRule>
    <cfRule type="cellIs" dxfId="1076" priority="1372" operator="equal">
      <formula>FALSE</formula>
    </cfRule>
  </conditionalFormatting>
  <conditionalFormatting sqref="U117:W117 Y117:AA117 AF117:AH117">
    <cfRule type="cellIs" dxfId="1075" priority="1369" operator="equal">
      <formula>TRUE</formula>
    </cfRule>
    <cfRule type="cellIs" dxfId="1074" priority="1370" operator="equal">
      <formula>FALSE</formula>
    </cfRule>
  </conditionalFormatting>
  <conditionalFormatting sqref="X117">
    <cfRule type="cellIs" dxfId="1073" priority="1367" operator="equal">
      <formula>TRUE</formula>
    </cfRule>
    <cfRule type="cellIs" dxfId="1072" priority="1368" operator="equal">
      <formula>FALSE</formula>
    </cfRule>
  </conditionalFormatting>
  <conditionalFormatting sqref="AI117">
    <cfRule type="cellIs" dxfId="1071" priority="1365" operator="equal">
      <formula>TRUE</formula>
    </cfRule>
    <cfRule type="cellIs" dxfId="1070" priority="1366" operator="equal">
      <formula>FALSE</formula>
    </cfRule>
  </conditionalFormatting>
  <conditionalFormatting sqref="U118:W118 Y118:AA118 AF118:AH118">
    <cfRule type="cellIs" dxfId="1069" priority="1363" operator="equal">
      <formula>TRUE</formula>
    </cfRule>
    <cfRule type="cellIs" dxfId="1068" priority="1364" operator="equal">
      <formula>FALSE</formula>
    </cfRule>
  </conditionalFormatting>
  <conditionalFormatting sqref="X118">
    <cfRule type="cellIs" dxfId="1067" priority="1361" operator="equal">
      <formula>TRUE</formula>
    </cfRule>
    <cfRule type="cellIs" dxfId="1066" priority="1362" operator="equal">
      <formula>FALSE</formula>
    </cfRule>
  </conditionalFormatting>
  <conditionalFormatting sqref="AI118">
    <cfRule type="cellIs" dxfId="1065" priority="1359" operator="equal">
      <formula>TRUE</formula>
    </cfRule>
    <cfRule type="cellIs" dxfId="1064" priority="1360" operator="equal">
      <formula>FALSE</formula>
    </cfRule>
  </conditionalFormatting>
  <conditionalFormatting sqref="U119:W119 Y119:AA119 AF119:AH119">
    <cfRule type="cellIs" dxfId="1063" priority="1357" operator="equal">
      <formula>TRUE</formula>
    </cfRule>
    <cfRule type="cellIs" dxfId="1062" priority="1358" operator="equal">
      <formula>FALSE</formula>
    </cfRule>
  </conditionalFormatting>
  <conditionalFormatting sqref="X119">
    <cfRule type="cellIs" dxfId="1061" priority="1355" operator="equal">
      <formula>TRUE</formula>
    </cfRule>
    <cfRule type="cellIs" dxfId="1060" priority="1356" operator="equal">
      <formula>FALSE</formula>
    </cfRule>
  </conditionalFormatting>
  <conditionalFormatting sqref="AI119">
    <cfRule type="cellIs" dxfId="1059" priority="1353" operator="equal">
      <formula>TRUE</formula>
    </cfRule>
    <cfRule type="cellIs" dxfId="1058" priority="1354" operator="equal">
      <formula>FALSE</formula>
    </cfRule>
  </conditionalFormatting>
  <conditionalFormatting sqref="U120:W120 Y120:AA120 AF120:AH120">
    <cfRule type="cellIs" dxfId="1057" priority="1351" operator="equal">
      <formula>TRUE</formula>
    </cfRule>
    <cfRule type="cellIs" dxfId="1056" priority="1352" operator="equal">
      <formula>FALSE</formula>
    </cfRule>
  </conditionalFormatting>
  <conditionalFormatting sqref="X120">
    <cfRule type="cellIs" dxfId="1055" priority="1349" operator="equal">
      <formula>TRUE</formula>
    </cfRule>
    <cfRule type="cellIs" dxfId="1054" priority="1350" operator="equal">
      <formula>FALSE</formula>
    </cfRule>
  </conditionalFormatting>
  <conditionalFormatting sqref="AI120">
    <cfRule type="cellIs" dxfId="1053" priority="1347" operator="equal">
      <formula>TRUE</formula>
    </cfRule>
    <cfRule type="cellIs" dxfId="1052" priority="1348" operator="equal">
      <formula>FALSE</formula>
    </cfRule>
  </conditionalFormatting>
  <conditionalFormatting sqref="U121:W121 Y121:AA121 AF121:AH121">
    <cfRule type="cellIs" dxfId="1051" priority="1345" operator="equal">
      <formula>TRUE</formula>
    </cfRule>
    <cfRule type="cellIs" dxfId="1050" priority="1346" operator="equal">
      <formula>FALSE</formula>
    </cfRule>
  </conditionalFormatting>
  <conditionalFormatting sqref="X121">
    <cfRule type="cellIs" dxfId="1049" priority="1343" operator="equal">
      <formula>TRUE</formula>
    </cfRule>
    <cfRule type="cellIs" dxfId="1048" priority="1344" operator="equal">
      <formula>FALSE</formula>
    </cfRule>
  </conditionalFormatting>
  <conditionalFormatting sqref="AI121">
    <cfRule type="cellIs" dxfId="1047" priority="1341" operator="equal">
      <formula>TRUE</formula>
    </cfRule>
    <cfRule type="cellIs" dxfId="1046" priority="1342" operator="equal">
      <formula>FALSE</formula>
    </cfRule>
  </conditionalFormatting>
  <conditionalFormatting sqref="U122:W122 Y122:AA122 AF122:AH122">
    <cfRule type="cellIs" dxfId="1045" priority="1339" operator="equal">
      <formula>TRUE</formula>
    </cfRule>
    <cfRule type="cellIs" dxfId="1044" priority="1340" operator="equal">
      <formula>FALSE</formula>
    </cfRule>
  </conditionalFormatting>
  <conditionalFormatting sqref="X122">
    <cfRule type="cellIs" dxfId="1043" priority="1337" operator="equal">
      <formula>TRUE</formula>
    </cfRule>
    <cfRule type="cellIs" dxfId="1042" priority="1338" operator="equal">
      <formula>FALSE</formula>
    </cfRule>
  </conditionalFormatting>
  <conditionalFormatting sqref="AI122">
    <cfRule type="cellIs" dxfId="1041" priority="1335" operator="equal">
      <formula>TRUE</formula>
    </cfRule>
    <cfRule type="cellIs" dxfId="1040" priority="1336" operator="equal">
      <formula>FALSE</formula>
    </cfRule>
  </conditionalFormatting>
  <conditionalFormatting sqref="U123:W123 Y123:AA123 AF123:AH123">
    <cfRule type="cellIs" dxfId="1039" priority="1333" operator="equal">
      <formula>TRUE</formula>
    </cfRule>
    <cfRule type="cellIs" dxfId="1038" priority="1334" operator="equal">
      <formula>FALSE</formula>
    </cfRule>
  </conditionalFormatting>
  <conditionalFormatting sqref="X123">
    <cfRule type="cellIs" dxfId="1037" priority="1331" operator="equal">
      <formula>TRUE</formula>
    </cfRule>
    <cfRule type="cellIs" dxfId="1036" priority="1332" operator="equal">
      <formula>FALSE</formula>
    </cfRule>
  </conditionalFormatting>
  <conditionalFormatting sqref="AI123">
    <cfRule type="cellIs" dxfId="1035" priority="1329" operator="equal">
      <formula>TRUE</formula>
    </cfRule>
    <cfRule type="cellIs" dxfId="1034" priority="1330" operator="equal">
      <formula>FALSE</formula>
    </cfRule>
  </conditionalFormatting>
  <conditionalFormatting sqref="U124:W124 Y124:AA124 AF124:AH124">
    <cfRule type="cellIs" dxfId="1033" priority="1327" operator="equal">
      <formula>TRUE</formula>
    </cfRule>
    <cfRule type="cellIs" dxfId="1032" priority="1328" operator="equal">
      <formula>FALSE</formula>
    </cfRule>
  </conditionalFormatting>
  <conditionalFormatting sqref="X124">
    <cfRule type="cellIs" dxfId="1031" priority="1325" operator="equal">
      <formula>TRUE</formula>
    </cfRule>
    <cfRule type="cellIs" dxfId="1030" priority="1326" operator="equal">
      <formula>FALSE</formula>
    </cfRule>
  </conditionalFormatting>
  <conditionalFormatting sqref="AI124">
    <cfRule type="cellIs" dxfId="1029" priority="1323" operator="equal">
      <formula>TRUE</formula>
    </cfRule>
    <cfRule type="cellIs" dxfId="1028" priority="1324" operator="equal">
      <formula>FALSE</formula>
    </cfRule>
  </conditionalFormatting>
  <conditionalFormatting sqref="U125:W125 Y125:AA125 AF125:AH125">
    <cfRule type="cellIs" dxfId="1027" priority="1321" operator="equal">
      <formula>TRUE</formula>
    </cfRule>
    <cfRule type="cellIs" dxfId="1026" priority="1322" operator="equal">
      <formula>FALSE</formula>
    </cfRule>
  </conditionalFormatting>
  <conditionalFormatting sqref="X125">
    <cfRule type="cellIs" dxfId="1025" priority="1319" operator="equal">
      <formula>TRUE</formula>
    </cfRule>
    <cfRule type="cellIs" dxfId="1024" priority="1320" operator="equal">
      <formula>FALSE</formula>
    </cfRule>
  </conditionalFormatting>
  <conditionalFormatting sqref="AI125">
    <cfRule type="cellIs" dxfId="1023" priority="1317" operator="equal">
      <formula>TRUE</formula>
    </cfRule>
    <cfRule type="cellIs" dxfId="1022" priority="1318" operator="equal">
      <formula>FALSE</formula>
    </cfRule>
  </conditionalFormatting>
  <conditionalFormatting sqref="U136:W136 Y136:AA136 AF136:AH136">
    <cfRule type="cellIs" dxfId="1021" priority="1291" operator="equal">
      <formula>TRUE</formula>
    </cfRule>
    <cfRule type="cellIs" dxfId="1020" priority="1292" operator="equal">
      <formula>FALSE</formula>
    </cfRule>
  </conditionalFormatting>
  <conditionalFormatting sqref="X136">
    <cfRule type="cellIs" dxfId="1019" priority="1289" operator="equal">
      <formula>TRUE</formula>
    </cfRule>
    <cfRule type="cellIs" dxfId="1018" priority="1290" operator="equal">
      <formula>FALSE</formula>
    </cfRule>
  </conditionalFormatting>
  <conditionalFormatting sqref="AI136">
    <cfRule type="cellIs" dxfId="1017" priority="1287" operator="equal">
      <formula>TRUE</formula>
    </cfRule>
    <cfRule type="cellIs" dxfId="1016" priority="1288" operator="equal">
      <formula>FALSE</formula>
    </cfRule>
  </conditionalFormatting>
  <conditionalFormatting sqref="X137">
    <cfRule type="cellIs" dxfId="1015" priority="1283" operator="equal">
      <formula>TRUE</formula>
    </cfRule>
    <cfRule type="cellIs" dxfId="1014" priority="1284" operator="equal">
      <formula>FALSE</formula>
    </cfRule>
  </conditionalFormatting>
  <conditionalFormatting sqref="AI137">
    <cfRule type="cellIs" dxfId="1013" priority="1281" operator="equal">
      <formula>TRUE</formula>
    </cfRule>
    <cfRule type="cellIs" dxfId="1012" priority="1282" operator="equal">
      <formula>FALSE</formula>
    </cfRule>
  </conditionalFormatting>
  <conditionalFormatting sqref="U138:W138 Y138:AA138 AF138:AH138">
    <cfRule type="cellIs" dxfId="1011" priority="1279" operator="equal">
      <formula>TRUE</formula>
    </cfRule>
    <cfRule type="cellIs" dxfId="1010" priority="1280" operator="equal">
      <formula>FALSE</formula>
    </cfRule>
  </conditionalFormatting>
  <conditionalFormatting sqref="AI138">
    <cfRule type="cellIs" dxfId="1009" priority="1275" operator="equal">
      <formula>TRUE</formula>
    </cfRule>
    <cfRule type="cellIs" dxfId="1008" priority="1276" operator="equal">
      <formula>FALSE</formula>
    </cfRule>
  </conditionalFormatting>
  <conditionalFormatting sqref="U139:W139 Y139:AA139 AF139:AH139">
    <cfRule type="cellIs" dxfId="1007" priority="1273" operator="equal">
      <formula>TRUE</formula>
    </cfRule>
    <cfRule type="cellIs" dxfId="1006" priority="1274" operator="equal">
      <formula>FALSE</formula>
    </cfRule>
  </conditionalFormatting>
  <conditionalFormatting sqref="X139">
    <cfRule type="cellIs" dxfId="1005" priority="1271" operator="equal">
      <formula>TRUE</formula>
    </cfRule>
    <cfRule type="cellIs" dxfId="1004" priority="1272" operator="equal">
      <formula>FALSE</formula>
    </cfRule>
  </conditionalFormatting>
  <conditionalFormatting sqref="U140:W140 Y140:AA140 AF140:AH140">
    <cfRule type="cellIs" dxfId="1003" priority="1267" operator="equal">
      <formula>TRUE</formula>
    </cfRule>
    <cfRule type="cellIs" dxfId="1002" priority="1268" operator="equal">
      <formula>FALSE</formula>
    </cfRule>
  </conditionalFormatting>
  <conditionalFormatting sqref="X140">
    <cfRule type="cellIs" dxfId="1001" priority="1265" operator="equal">
      <formula>TRUE</formula>
    </cfRule>
    <cfRule type="cellIs" dxfId="1000" priority="1266" operator="equal">
      <formula>FALSE</formula>
    </cfRule>
  </conditionalFormatting>
  <conditionalFormatting sqref="AI140">
    <cfRule type="cellIs" dxfId="999" priority="1263" operator="equal">
      <formula>TRUE</formula>
    </cfRule>
    <cfRule type="cellIs" dxfId="998" priority="1264" operator="equal">
      <formula>FALSE</formula>
    </cfRule>
  </conditionalFormatting>
  <conditionalFormatting sqref="X141">
    <cfRule type="cellIs" dxfId="997" priority="1259" operator="equal">
      <formula>TRUE</formula>
    </cfRule>
    <cfRule type="cellIs" dxfId="996" priority="1260" operator="equal">
      <formula>FALSE</formula>
    </cfRule>
  </conditionalFormatting>
  <conditionalFormatting sqref="AI141">
    <cfRule type="cellIs" dxfId="995" priority="1257" operator="equal">
      <formula>TRUE</formula>
    </cfRule>
    <cfRule type="cellIs" dxfId="994" priority="1258" operator="equal">
      <formula>FALSE</formula>
    </cfRule>
  </conditionalFormatting>
  <conditionalFormatting sqref="U142:W142 Y142:AA142 AF142:AH142">
    <cfRule type="cellIs" dxfId="993" priority="1255" operator="equal">
      <formula>TRUE</formula>
    </cfRule>
    <cfRule type="cellIs" dxfId="992" priority="1256" operator="equal">
      <formula>FALSE</formula>
    </cfRule>
  </conditionalFormatting>
  <conditionalFormatting sqref="U137:W137 Y137:AA137 AF137:AH137">
    <cfRule type="cellIs" dxfId="991" priority="1285" operator="equal">
      <formula>TRUE</formula>
    </cfRule>
    <cfRule type="cellIs" dxfId="990" priority="1286" operator="equal">
      <formula>FALSE</formula>
    </cfRule>
  </conditionalFormatting>
  <conditionalFormatting sqref="X138">
    <cfRule type="cellIs" dxfId="989" priority="1277" operator="equal">
      <formula>TRUE</formula>
    </cfRule>
    <cfRule type="cellIs" dxfId="988" priority="1278" operator="equal">
      <formula>FALSE</formula>
    </cfRule>
  </conditionalFormatting>
  <conditionalFormatting sqref="AI139">
    <cfRule type="cellIs" dxfId="987" priority="1269" operator="equal">
      <formula>TRUE</formula>
    </cfRule>
    <cfRule type="cellIs" dxfId="986" priority="1270" operator="equal">
      <formula>FALSE</formula>
    </cfRule>
  </conditionalFormatting>
  <conditionalFormatting sqref="U141:W141 Y141:AA141 AF141:AH141">
    <cfRule type="cellIs" dxfId="985" priority="1261" operator="equal">
      <formula>TRUE</formula>
    </cfRule>
    <cfRule type="cellIs" dxfId="984" priority="1262" operator="equal">
      <formula>FALSE</formula>
    </cfRule>
  </conditionalFormatting>
  <conditionalFormatting sqref="X142">
    <cfRule type="cellIs" dxfId="983" priority="1253" operator="equal">
      <formula>TRUE</formula>
    </cfRule>
    <cfRule type="cellIs" dxfId="982" priority="1254" operator="equal">
      <formula>FALSE</formula>
    </cfRule>
  </conditionalFormatting>
  <conditionalFormatting sqref="AI142">
    <cfRule type="cellIs" dxfId="981" priority="1251" operator="equal">
      <formula>TRUE</formula>
    </cfRule>
    <cfRule type="cellIs" dxfId="980" priority="1252" operator="equal">
      <formula>FALSE</formula>
    </cfRule>
  </conditionalFormatting>
  <conditionalFormatting sqref="X143">
    <cfRule type="cellIs" dxfId="979" priority="1247" operator="equal">
      <formula>TRUE</formula>
    </cfRule>
    <cfRule type="cellIs" dxfId="978" priority="1248" operator="equal">
      <formula>FALSE</formula>
    </cfRule>
  </conditionalFormatting>
  <conditionalFormatting sqref="AI143">
    <cfRule type="cellIs" dxfId="977" priority="1245" operator="equal">
      <formula>TRUE</formula>
    </cfRule>
    <cfRule type="cellIs" dxfId="976" priority="1246" operator="equal">
      <formula>FALSE</formula>
    </cfRule>
  </conditionalFormatting>
  <conditionalFormatting sqref="U143:W143 Y143:AA143 AF143:AH143">
    <cfRule type="cellIs" dxfId="975" priority="1249" operator="equal">
      <formula>TRUE</formula>
    </cfRule>
    <cfRule type="cellIs" dxfId="974" priority="1250" operator="equal">
      <formula>FALSE</formula>
    </cfRule>
  </conditionalFormatting>
  <conditionalFormatting sqref="U132:W132 Y132:AA132 AF132:AH132">
    <cfRule type="cellIs" dxfId="973" priority="1315" operator="equal">
      <formula>TRUE</formula>
    </cfRule>
    <cfRule type="cellIs" dxfId="972" priority="1316" operator="equal">
      <formula>FALSE</formula>
    </cfRule>
  </conditionalFormatting>
  <conditionalFormatting sqref="X132">
    <cfRule type="cellIs" dxfId="971" priority="1313" operator="equal">
      <formula>TRUE</formula>
    </cfRule>
    <cfRule type="cellIs" dxfId="970" priority="1314" operator="equal">
      <formula>FALSE</formula>
    </cfRule>
  </conditionalFormatting>
  <conditionalFormatting sqref="AI132">
    <cfRule type="cellIs" dxfId="969" priority="1311" operator="equal">
      <formula>TRUE</formula>
    </cfRule>
    <cfRule type="cellIs" dxfId="968" priority="1312" operator="equal">
      <formula>FALSE</formula>
    </cfRule>
  </conditionalFormatting>
  <conditionalFormatting sqref="U133:W133 Y133:AA133 AF133:AH133">
    <cfRule type="cellIs" dxfId="967" priority="1309" operator="equal">
      <formula>TRUE</formula>
    </cfRule>
    <cfRule type="cellIs" dxfId="966" priority="1310" operator="equal">
      <formula>FALSE</formula>
    </cfRule>
  </conditionalFormatting>
  <conditionalFormatting sqref="X133">
    <cfRule type="cellIs" dxfId="965" priority="1307" operator="equal">
      <formula>TRUE</formula>
    </cfRule>
    <cfRule type="cellIs" dxfId="964" priority="1308" operator="equal">
      <formula>FALSE</formula>
    </cfRule>
  </conditionalFormatting>
  <conditionalFormatting sqref="AI133">
    <cfRule type="cellIs" dxfId="963" priority="1305" operator="equal">
      <formula>TRUE</formula>
    </cfRule>
    <cfRule type="cellIs" dxfId="962" priority="1306" operator="equal">
      <formula>FALSE</formula>
    </cfRule>
  </conditionalFormatting>
  <conditionalFormatting sqref="U134:W134 Y134:AA134 AF134:AH134">
    <cfRule type="cellIs" dxfId="961" priority="1303" operator="equal">
      <formula>TRUE</formula>
    </cfRule>
    <cfRule type="cellIs" dxfId="960" priority="1304" operator="equal">
      <formula>FALSE</formula>
    </cfRule>
  </conditionalFormatting>
  <conditionalFormatting sqref="X134">
    <cfRule type="cellIs" dxfId="959" priority="1301" operator="equal">
      <formula>TRUE</formula>
    </cfRule>
    <cfRule type="cellIs" dxfId="958" priority="1302" operator="equal">
      <formula>FALSE</formula>
    </cfRule>
  </conditionalFormatting>
  <conditionalFormatting sqref="AI134">
    <cfRule type="cellIs" dxfId="957" priority="1299" operator="equal">
      <formula>TRUE</formula>
    </cfRule>
    <cfRule type="cellIs" dxfId="956" priority="1300" operator="equal">
      <formula>FALSE</formula>
    </cfRule>
  </conditionalFormatting>
  <conditionalFormatting sqref="U135:W135 Y135:AA135 AF135:AH135">
    <cfRule type="cellIs" dxfId="955" priority="1297" operator="equal">
      <formula>TRUE</formula>
    </cfRule>
    <cfRule type="cellIs" dxfId="954" priority="1298" operator="equal">
      <formula>FALSE</formula>
    </cfRule>
  </conditionalFormatting>
  <conditionalFormatting sqref="X135">
    <cfRule type="cellIs" dxfId="953" priority="1295" operator="equal">
      <formula>TRUE</formula>
    </cfRule>
    <cfRule type="cellIs" dxfId="952" priority="1296" operator="equal">
      <formula>FALSE</formula>
    </cfRule>
  </conditionalFormatting>
  <conditionalFormatting sqref="AI135">
    <cfRule type="cellIs" dxfId="951" priority="1293" operator="equal">
      <formula>TRUE</formula>
    </cfRule>
    <cfRule type="cellIs" dxfId="950" priority="1294" operator="equal">
      <formula>FALSE</formula>
    </cfRule>
  </conditionalFormatting>
  <conditionalFormatting sqref="U144:W144 Y144:AA144 AF144:AH144">
    <cfRule type="cellIs" dxfId="949" priority="1243" operator="equal">
      <formula>TRUE</formula>
    </cfRule>
    <cfRule type="cellIs" dxfId="948" priority="1244" operator="equal">
      <formula>FALSE</formula>
    </cfRule>
  </conditionalFormatting>
  <conditionalFormatting sqref="X144">
    <cfRule type="cellIs" dxfId="947" priority="1241" operator="equal">
      <formula>TRUE</formula>
    </cfRule>
    <cfRule type="cellIs" dxfId="946" priority="1242" operator="equal">
      <formula>FALSE</formula>
    </cfRule>
  </conditionalFormatting>
  <conditionalFormatting sqref="AI144">
    <cfRule type="cellIs" dxfId="945" priority="1239" operator="equal">
      <formula>TRUE</formula>
    </cfRule>
    <cfRule type="cellIs" dxfId="944" priority="1240" operator="equal">
      <formula>FALSE</formula>
    </cfRule>
  </conditionalFormatting>
  <conditionalFormatting sqref="U145:W145 Y145:AA145 AF145:AH145">
    <cfRule type="cellIs" dxfId="943" priority="1237" operator="equal">
      <formula>TRUE</formula>
    </cfRule>
    <cfRule type="cellIs" dxfId="942" priority="1238" operator="equal">
      <formula>FALSE</formula>
    </cfRule>
  </conditionalFormatting>
  <conditionalFormatting sqref="X145">
    <cfRule type="cellIs" dxfId="941" priority="1235" operator="equal">
      <formula>TRUE</formula>
    </cfRule>
    <cfRule type="cellIs" dxfId="940" priority="1236" operator="equal">
      <formula>FALSE</formula>
    </cfRule>
  </conditionalFormatting>
  <conditionalFormatting sqref="AI145">
    <cfRule type="cellIs" dxfId="939" priority="1233" operator="equal">
      <formula>TRUE</formula>
    </cfRule>
    <cfRule type="cellIs" dxfId="938" priority="1234" operator="equal">
      <formula>FALSE</formula>
    </cfRule>
  </conditionalFormatting>
  <conditionalFormatting sqref="U146:W146 Y146:AA146 AF146:AH146">
    <cfRule type="cellIs" dxfId="937" priority="1231" operator="equal">
      <formula>TRUE</formula>
    </cfRule>
    <cfRule type="cellIs" dxfId="936" priority="1232" operator="equal">
      <formula>FALSE</formula>
    </cfRule>
  </conditionalFormatting>
  <conditionalFormatting sqref="X146">
    <cfRule type="cellIs" dxfId="935" priority="1229" operator="equal">
      <formula>TRUE</formula>
    </cfRule>
    <cfRule type="cellIs" dxfId="934" priority="1230" operator="equal">
      <formula>FALSE</formula>
    </cfRule>
  </conditionalFormatting>
  <conditionalFormatting sqref="AI146">
    <cfRule type="cellIs" dxfId="933" priority="1227" operator="equal">
      <formula>TRUE</formula>
    </cfRule>
    <cfRule type="cellIs" dxfId="932" priority="1228" operator="equal">
      <formula>FALSE</formula>
    </cfRule>
  </conditionalFormatting>
  <conditionalFormatting sqref="U147:W147 Y147:AA147 AF147:AH147">
    <cfRule type="cellIs" dxfId="931" priority="1225" operator="equal">
      <formula>TRUE</formula>
    </cfRule>
    <cfRule type="cellIs" dxfId="930" priority="1226" operator="equal">
      <formula>FALSE</formula>
    </cfRule>
  </conditionalFormatting>
  <conditionalFormatting sqref="X147">
    <cfRule type="cellIs" dxfId="929" priority="1223" operator="equal">
      <formula>TRUE</formula>
    </cfRule>
    <cfRule type="cellIs" dxfId="928" priority="1224" operator="equal">
      <formula>FALSE</formula>
    </cfRule>
  </conditionalFormatting>
  <conditionalFormatting sqref="AI147">
    <cfRule type="cellIs" dxfId="927" priority="1221" operator="equal">
      <formula>TRUE</formula>
    </cfRule>
    <cfRule type="cellIs" dxfId="926" priority="1222" operator="equal">
      <formula>FALSE</formula>
    </cfRule>
  </conditionalFormatting>
  <conditionalFormatting sqref="U148:W148 Y148:AA148 AF148:AH148">
    <cfRule type="cellIs" dxfId="925" priority="1219" operator="equal">
      <formula>TRUE</formula>
    </cfRule>
    <cfRule type="cellIs" dxfId="924" priority="1220" operator="equal">
      <formula>FALSE</formula>
    </cfRule>
  </conditionalFormatting>
  <conditionalFormatting sqref="X148">
    <cfRule type="cellIs" dxfId="923" priority="1217" operator="equal">
      <formula>TRUE</formula>
    </cfRule>
    <cfRule type="cellIs" dxfId="922" priority="1218" operator="equal">
      <formula>FALSE</formula>
    </cfRule>
  </conditionalFormatting>
  <conditionalFormatting sqref="AI148">
    <cfRule type="cellIs" dxfId="921" priority="1215" operator="equal">
      <formula>TRUE</formula>
    </cfRule>
    <cfRule type="cellIs" dxfId="920" priority="1216" operator="equal">
      <formula>FALSE</formula>
    </cfRule>
  </conditionalFormatting>
  <conditionalFormatting sqref="U149:W149 Y149:AA149 AF149:AH149">
    <cfRule type="cellIs" dxfId="919" priority="1213" operator="equal">
      <formula>TRUE</formula>
    </cfRule>
    <cfRule type="cellIs" dxfId="918" priority="1214" operator="equal">
      <formula>FALSE</formula>
    </cfRule>
  </conditionalFormatting>
  <conditionalFormatting sqref="X149">
    <cfRule type="cellIs" dxfId="917" priority="1211" operator="equal">
      <formula>TRUE</formula>
    </cfRule>
    <cfRule type="cellIs" dxfId="916" priority="1212" operator="equal">
      <formula>FALSE</formula>
    </cfRule>
  </conditionalFormatting>
  <conditionalFormatting sqref="AI149">
    <cfRule type="cellIs" dxfId="915" priority="1209" operator="equal">
      <formula>TRUE</formula>
    </cfRule>
    <cfRule type="cellIs" dxfId="914" priority="1210" operator="equal">
      <formula>FALSE</formula>
    </cfRule>
  </conditionalFormatting>
  <conditionalFormatting sqref="U150:W150 Y150:AD150 AF150:AI150">
    <cfRule type="cellIs" dxfId="913" priority="1087" operator="equal">
      <formula>TRUE</formula>
    </cfRule>
    <cfRule type="cellIs" dxfId="912" priority="1088" operator="equal">
      <formula>FALSE</formula>
    </cfRule>
  </conditionalFormatting>
  <conditionalFormatting sqref="X150">
    <cfRule type="cellIs" dxfId="911" priority="1085" operator="equal">
      <formula>TRUE</formula>
    </cfRule>
    <cfRule type="cellIs" dxfId="910" priority="1086" operator="equal">
      <formula>FALSE</formula>
    </cfRule>
  </conditionalFormatting>
  <conditionalFormatting sqref="U151:W151 Y151:Z151 AF151:AH151">
    <cfRule type="cellIs" dxfId="909" priority="1083" operator="equal">
      <formula>TRUE</formula>
    </cfRule>
    <cfRule type="cellIs" dxfId="908" priority="1084" operator="equal">
      <formula>FALSE</formula>
    </cfRule>
  </conditionalFormatting>
  <conditionalFormatting sqref="X151">
    <cfRule type="cellIs" dxfId="907" priority="1081" operator="equal">
      <formula>TRUE</formula>
    </cfRule>
    <cfRule type="cellIs" dxfId="906" priority="1082" operator="equal">
      <formula>FALSE</formula>
    </cfRule>
  </conditionalFormatting>
  <conditionalFormatting sqref="U152:W152 Y152:Z152 AF152:AH152">
    <cfRule type="cellIs" dxfId="905" priority="1079" operator="equal">
      <formula>TRUE</formula>
    </cfRule>
    <cfRule type="cellIs" dxfId="904" priority="1080" operator="equal">
      <formula>FALSE</formula>
    </cfRule>
  </conditionalFormatting>
  <conditionalFormatting sqref="X152">
    <cfRule type="cellIs" dxfId="903" priority="1077" operator="equal">
      <formula>TRUE</formula>
    </cfRule>
    <cfRule type="cellIs" dxfId="902" priority="1078" operator="equal">
      <formula>FALSE</formula>
    </cfRule>
  </conditionalFormatting>
  <conditionalFormatting sqref="U153:W153 Y153:Z153 AF153:AH153">
    <cfRule type="cellIs" dxfId="901" priority="1075" operator="equal">
      <formula>TRUE</formula>
    </cfRule>
    <cfRule type="cellIs" dxfId="900" priority="1076" operator="equal">
      <formula>FALSE</formula>
    </cfRule>
  </conditionalFormatting>
  <conditionalFormatting sqref="X153">
    <cfRule type="cellIs" dxfId="899" priority="1073" operator="equal">
      <formula>TRUE</formula>
    </cfRule>
    <cfRule type="cellIs" dxfId="898" priority="1074" operator="equal">
      <formula>FALSE</formula>
    </cfRule>
  </conditionalFormatting>
  <conditionalFormatting sqref="U154:W154 Y154:Z154 AF154:AH154">
    <cfRule type="cellIs" dxfId="897" priority="1071" operator="equal">
      <formula>TRUE</formula>
    </cfRule>
    <cfRule type="cellIs" dxfId="896" priority="1072" operator="equal">
      <formula>FALSE</formula>
    </cfRule>
  </conditionalFormatting>
  <conditionalFormatting sqref="X154">
    <cfRule type="cellIs" dxfId="895" priority="1069" operator="equal">
      <formula>TRUE</formula>
    </cfRule>
    <cfRule type="cellIs" dxfId="894" priority="1070" operator="equal">
      <formula>FALSE</formula>
    </cfRule>
  </conditionalFormatting>
  <conditionalFormatting sqref="U155:W155 Y155:Z155 AF155:AH155">
    <cfRule type="cellIs" dxfId="893" priority="1067" operator="equal">
      <formula>TRUE</formula>
    </cfRule>
    <cfRule type="cellIs" dxfId="892" priority="1068" operator="equal">
      <formula>FALSE</formula>
    </cfRule>
  </conditionalFormatting>
  <conditionalFormatting sqref="X155">
    <cfRule type="cellIs" dxfId="891" priority="1065" operator="equal">
      <formula>TRUE</formula>
    </cfRule>
    <cfRule type="cellIs" dxfId="890" priority="1066" operator="equal">
      <formula>FALSE</formula>
    </cfRule>
  </conditionalFormatting>
  <conditionalFormatting sqref="U166:W166 Y166:Z166 AF166:AH166">
    <cfRule type="cellIs" dxfId="889" priority="1047" operator="equal">
      <formula>TRUE</formula>
    </cfRule>
    <cfRule type="cellIs" dxfId="888" priority="1048" operator="equal">
      <formula>FALSE</formula>
    </cfRule>
  </conditionalFormatting>
  <conditionalFormatting sqref="X166">
    <cfRule type="cellIs" dxfId="887" priority="1045" operator="equal">
      <formula>TRUE</formula>
    </cfRule>
    <cfRule type="cellIs" dxfId="886" priority="1046" operator="equal">
      <formula>FALSE</formula>
    </cfRule>
  </conditionalFormatting>
  <conditionalFormatting sqref="X167">
    <cfRule type="cellIs" dxfId="885" priority="1041" operator="equal">
      <formula>TRUE</formula>
    </cfRule>
    <cfRule type="cellIs" dxfId="884" priority="1042" operator="equal">
      <formula>FALSE</formula>
    </cfRule>
  </conditionalFormatting>
  <conditionalFormatting sqref="U168:W168 Y168:Z168 AF168:AH168">
    <cfRule type="cellIs" dxfId="883" priority="1039" operator="equal">
      <formula>TRUE</formula>
    </cfRule>
    <cfRule type="cellIs" dxfId="882" priority="1040" operator="equal">
      <formula>FALSE</formula>
    </cfRule>
  </conditionalFormatting>
  <conditionalFormatting sqref="U169:W169 Y169:Z169 AF169:AH169">
    <cfRule type="cellIs" dxfId="881" priority="1035" operator="equal">
      <formula>TRUE</formula>
    </cfRule>
    <cfRule type="cellIs" dxfId="880" priority="1036" operator="equal">
      <formula>FALSE</formula>
    </cfRule>
  </conditionalFormatting>
  <conditionalFormatting sqref="X169">
    <cfRule type="cellIs" dxfId="879" priority="1033" operator="equal">
      <formula>TRUE</formula>
    </cfRule>
    <cfRule type="cellIs" dxfId="878" priority="1034" operator="equal">
      <formula>FALSE</formula>
    </cfRule>
  </conditionalFormatting>
  <conditionalFormatting sqref="U170:W170 Y170:Z170 AF170:AH170">
    <cfRule type="cellIs" dxfId="877" priority="1031" operator="equal">
      <formula>TRUE</formula>
    </cfRule>
    <cfRule type="cellIs" dxfId="876" priority="1032" operator="equal">
      <formula>FALSE</formula>
    </cfRule>
  </conditionalFormatting>
  <conditionalFormatting sqref="X170">
    <cfRule type="cellIs" dxfId="875" priority="1029" operator="equal">
      <formula>TRUE</formula>
    </cfRule>
    <cfRule type="cellIs" dxfId="874" priority="1030" operator="equal">
      <formula>FALSE</formula>
    </cfRule>
  </conditionalFormatting>
  <conditionalFormatting sqref="X171">
    <cfRule type="cellIs" dxfId="873" priority="1025" operator="equal">
      <formula>TRUE</formula>
    </cfRule>
    <cfRule type="cellIs" dxfId="872" priority="1026" operator="equal">
      <formula>FALSE</formula>
    </cfRule>
  </conditionalFormatting>
  <conditionalFormatting sqref="U172:W172 Y172:Z172 AF172:AH172">
    <cfRule type="cellIs" dxfId="871" priority="1023" operator="equal">
      <formula>TRUE</formula>
    </cfRule>
    <cfRule type="cellIs" dxfId="870" priority="1024" operator="equal">
      <formula>FALSE</formula>
    </cfRule>
  </conditionalFormatting>
  <conditionalFormatting sqref="U167:W167 Y167:Z167 AF167:AH167">
    <cfRule type="cellIs" dxfId="869" priority="1043" operator="equal">
      <formula>TRUE</formula>
    </cfRule>
    <cfRule type="cellIs" dxfId="868" priority="1044" operator="equal">
      <formula>FALSE</formula>
    </cfRule>
  </conditionalFormatting>
  <conditionalFormatting sqref="X168">
    <cfRule type="cellIs" dxfId="867" priority="1037" operator="equal">
      <formula>TRUE</formula>
    </cfRule>
    <cfRule type="cellIs" dxfId="866" priority="1038" operator="equal">
      <formula>FALSE</formula>
    </cfRule>
  </conditionalFormatting>
  <conditionalFormatting sqref="U171:W171 Y171:Z171 AF171:AH171">
    <cfRule type="cellIs" dxfId="865" priority="1027" operator="equal">
      <formula>TRUE</formula>
    </cfRule>
    <cfRule type="cellIs" dxfId="864" priority="1028" operator="equal">
      <formula>FALSE</formula>
    </cfRule>
  </conditionalFormatting>
  <conditionalFormatting sqref="X172">
    <cfRule type="cellIs" dxfId="863" priority="1021" operator="equal">
      <formula>TRUE</formula>
    </cfRule>
    <cfRule type="cellIs" dxfId="862" priority="1022" operator="equal">
      <formula>FALSE</formula>
    </cfRule>
  </conditionalFormatting>
  <conditionalFormatting sqref="X173">
    <cfRule type="cellIs" dxfId="861" priority="1017" operator="equal">
      <formula>TRUE</formula>
    </cfRule>
    <cfRule type="cellIs" dxfId="860" priority="1018" operator="equal">
      <formula>FALSE</formula>
    </cfRule>
  </conditionalFormatting>
  <conditionalFormatting sqref="U174:W174 Y174:Z174 AF174:AH174">
    <cfRule type="cellIs" dxfId="859" priority="1015" operator="equal">
      <formula>TRUE</formula>
    </cfRule>
    <cfRule type="cellIs" dxfId="858" priority="1016" operator="equal">
      <formula>FALSE</formula>
    </cfRule>
  </conditionalFormatting>
  <conditionalFormatting sqref="U173:W173 Y173:Z173 AF173:AH173">
    <cfRule type="cellIs" dxfId="857" priority="1019" operator="equal">
      <formula>TRUE</formula>
    </cfRule>
    <cfRule type="cellIs" dxfId="856" priority="1020" operator="equal">
      <formula>FALSE</formula>
    </cfRule>
  </conditionalFormatting>
  <conditionalFormatting sqref="U162:W162 Y162:Z162 AF162:AH162">
    <cfRule type="cellIs" dxfId="855" priority="1063" operator="equal">
      <formula>TRUE</formula>
    </cfRule>
    <cfRule type="cellIs" dxfId="854" priority="1064" operator="equal">
      <formula>FALSE</formula>
    </cfRule>
  </conditionalFormatting>
  <conditionalFormatting sqref="X162">
    <cfRule type="cellIs" dxfId="853" priority="1061" operator="equal">
      <formula>TRUE</formula>
    </cfRule>
    <cfRule type="cellIs" dxfId="852" priority="1062" operator="equal">
      <formula>FALSE</formula>
    </cfRule>
  </conditionalFormatting>
  <conditionalFormatting sqref="U163:W163 Y163:Z163 AF163:AH163">
    <cfRule type="cellIs" dxfId="851" priority="1059" operator="equal">
      <formula>TRUE</formula>
    </cfRule>
    <cfRule type="cellIs" dxfId="850" priority="1060" operator="equal">
      <formula>FALSE</formula>
    </cfRule>
  </conditionalFormatting>
  <conditionalFormatting sqref="X163">
    <cfRule type="cellIs" dxfId="849" priority="1057" operator="equal">
      <formula>TRUE</formula>
    </cfRule>
    <cfRule type="cellIs" dxfId="848" priority="1058" operator="equal">
      <formula>FALSE</formula>
    </cfRule>
  </conditionalFormatting>
  <conditionalFormatting sqref="U164:W164 Y164:Z164 AF164:AH164">
    <cfRule type="cellIs" dxfId="847" priority="1055" operator="equal">
      <formula>TRUE</formula>
    </cfRule>
    <cfRule type="cellIs" dxfId="846" priority="1056" operator="equal">
      <formula>FALSE</formula>
    </cfRule>
  </conditionalFormatting>
  <conditionalFormatting sqref="X164">
    <cfRule type="cellIs" dxfId="845" priority="1053" operator="equal">
      <formula>TRUE</formula>
    </cfRule>
    <cfRule type="cellIs" dxfId="844" priority="1054" operator="equal">
      <formula>FALSE</formula>
    </cfRule>
  </conditionalFormatting>
  <conditionalFormatting sqref="U165:W165 Y165:Z165 AF165:AH165">
    <cfRule type="cellIs" dxfId="843" priority="1051" operator="equal">
      <formula>TRUE</formula>
    </cfRule>
    <cfRule type="cellIs" dxfId="842" priority="1052" operator="equal">
      <formula>FALSE</formula>
    </cfRule>
  </conditionalFormatting>
  <conditionalFormatting sqref="X165">
    <cfRule type="cellIs" dxfId="841" priority="1049" operator="equal">
      <formula>TRUE</formula>
    </cfRule>
    <cfRule type="cellIs" dxfId="840" priority="1050" operator="equal">
      <formula>FALSE</formula>
    </cfRule>
  </conditionalFormatting>
  <conditionalFormatting sqref="X174">
    <cfRule type="cellIs" dxfId="839" priority="1013" operator="equal">
      <formula>TRUE</formula>
    </cfRule>
    <cfRule type="cellIs" dxfId="838" priority="1014" operator="equal">
      <formula>FALSE</formula>
    </cfRule>
  </conditionalFormatting>
  <conditionalFormatting sqref="U175:W175 Y175:Z175 AF175:AH175">
    <cfRule type="cellIs" dxfId="837" priority="1011" operator="equal">
      <formula>TRUE</formula>
    </cfRule>
    <cfRule type="cellIs" dxfId="836" priority="1012" operator="equal">
      <formula>FALSE</formula>
    </cfRule>
  </conditionalFormatting>
  <conditionalFormatting sqref="X175">
    <cfRule type="cellIs" dxfId="835" priority="1009" operator="equal">
      <formula>TRUE</formula>
    </cfRule>
    <cfRule type="cellIs" dxfId="834" priority="1010" operator="equal">
      <formula>FALSE</formula>
    </cfRule>
  </conditionalFormatting>
  <conditionalFormatting sqref="U176:W176 Y176:Z176 AF176:AH176">
    <cfRule type="cellIs" dxfId="833" priority="1007" operator="equal">
      <formula>TRUE</formula>
    </cfRule>
    <cfRule type="cellIs" dxfId="832" priority="1008" operator="equal">
      <formula>FALSE</formula>
    </cfRule>
  </conditionalFormatting>
  <conditionalFormatting sqref="X176">
    <cfRule type="cellIs" dxfId="831" priority="1005" operator="equal">
      <formula>TRUE</formula>
    </cfRule>
    <cfRule type="cellIs" dxfId="830" priority="1006" operator="equal">
      <formula>FALSE</formula>
    </cfRule>
  </conditionalFormatting>
  <conditionalFormatting sqref="U177:W177 Y177:Z177 AF177:AH177">
    <cfRule type="cellIs" dxfId="829" priority="1003" operator="equal">
      <formula>TRUE</formula>
    </cfRule>
    <cfRule type="cellIs" dxfId="828" priority="1004" operator="equal">
      <formula>FALSE</formula>
    </cfRule>
  </conditionalFormatting>
  <conditionalFormatting sqref="X177">
    <cfRule type="cellIs" dxfId="827" priority="1001" operator="equal">
      <formula>TRUE</formula>
    </cfRule>
    <cfRule type="cellIs" dxfId="826" priority="1002" operator="equal">
      <formula>FALSE</formula>
    </cfRule>
  </conditionalFormatting>
  <conditionalFormatting sqref="U178:W178 Y178:Z178 AF178:AH178">
    <cfRule type="cellIs" dxfId="825" priority="999" operator="equal">
      <formula>TRUE</formula>
    </cfRule>
    <cfRule type="cellIs" dxfId="824" priority="1000" operator="equal">
      <formula>FALSE</formula>
    </cfRule>
  </conditionalFormatting>
  <conditionalFormatting sqref="X178">
    <cfRule type="cellIs" dxfId="823" priority="997" operator="equal">
      <formula>TRUE</formula>
    </cfRule>
    <cfRule type="cellIs" dxfId="822" priority="998" operator="equal">
      <formula>FALSE</formula>
    </cfRule>
  </conditionalFormatting>
  <conditionalFormatting sqref="U179:W179 Y179:Z179 AF179:AH179">
    <cfRule type="cellIs" dxfId="821" priority="995" operator="equal">
      <formula>TRUE</formula>
    </cfRule>
    <cfRule type="cellIs" dxfId="820" priority="996" operator="equal">
      <formula>FALSE</formula>
    </cfRule>
  </conditionalFormatting>
  <conditionalFormatting sqref="X179">
    <cfRule type="cellIs" dxfId="819" priority="993" operator="equal">
      <formula>TRUE</formula>
    </cfRule>
    <cfRule type="cellIs" dxfId="818" priority="994" operator="equal">
      <formula>FALSE</formula>
    </cfRule>
  </conditionalFormatting>
  <conditionalFormatting sqref="U180:W180 Y180:Z180 AF180:AH180">
    <cfRule type="cellIs" dxfId="817" priority="991" operator="equal">
      <formula>TRUE</formula>
    </cfRule>
    <cfRule type="cellIs" dxfId="816" priority="992" operator="equal">
      <formula>FALSE</formula>
    </cfRule>
  </conditionalFormatting>
  <conditionalFormatting sqref="X180">
    <cfRule type="cellIs" dxfId="815" priority="989" operator="equal">
      <formula>TRUE</formula>
    </cfRule>
    <cfRule type="cellIs" dxfId="814" priority="990" operator="equal">
      <formula>FALSE</formula>
    </cfRule>
  </conditionalFormatting>
  <conditionalFormatting sqref="U181:W181 Y181:Z181 AF181:AH181">
    <cfRule type="cellIs" dxfId="813" priority="987" operator="equal">
      <formula>TRUE</formula>
    </cfRule>
    <cfRule type="cellIs" dxfId="812" priority="988" operator="equal">
      <formula>FALSE</formula>
    </cfRule>
  </conditionalFormatting>
  <conditionalFormatting sqref="X181">
    <cfRule type="cellIs" dxfId="811" priority="985" operator="equal">
      <formula>TRUE</formula>
    </cfRule>
    <cfRule type="cellIs" dxfId="810" priority="986" operator="equal">
      <formula>FALSE</formula>
    </cfRule>
  </conditionalFormatting>
  <conditionalFormatting sqref="U182:W182 Y182:Z182 AF182:AH182">
    <cfRule type="cellIs" dxfId="809" priority="983" operator="equal">
      <formula>TRUE</formula>
    </cfRule>
    <cfRule type="cellIs" dxfId="808" priority="984" operator="equal">
      <formula>FALSE</formula>
    </cfRule>
  </conditionalFormatting>
  <conditionalFormatting sqref="X182">
    <cfRule type="cellIs" dxfId="807" priority="981" operator="equal">
      <formula>TRUE</formula>
    </cfRule>
    <cfRule type="cellIs" dxfId="806" priority="982" operator="equal">
      <formula>FALSE</formula>
    </cfRule>
  </conditionalFormatting>
  <conditionalFormatting sqref="U183:W183 Y183:Z183 AF183:AH183">
    <cfRule type="cellIs" dxfId="805" priority="979" operator="equal">
      <formula>TRUE</formula>
    </cfRule>
    <cfRule type="cellIs" dxfId="804" priority="980" operator="equal">
      <formula>FALSE</formula>
    </cfRule>
  </conditionalFormatting>
  <conditionalFormatting sqref="X183">
    <cfRule type="cellIs" dxfId="803" priority="977" operator="equal">
      <formula>TRUE</formula>
    </cfRule>
    <cfRule type="cellIs" dxfId="802" priority="978" operator="equal">
      <formula>FALSE</formula>
    </cfRule>
  </conditionalFormatting>
  <conditionalFormatting sqref="U184:W184 Y184:Z184 AF184:AH184">
    <cfRule type="cellIs" dxfId="801" priority="975" operator="equal">
      <formula>TRUE</formula>
    </cfRule>
    <cfRule type="cellIs" dxfId="800" priority="976" operator="equal">
      <formula>FALSE</formula>
    </cfRule>
  </conditionalFormatting>
  <conditionalFormatting sqref="X184">
    <cfRule type="cellIs" dxfId="799" priority="973" operator="equal">
      <formula>TRUE</formula>
    </cfRule>
    <cfRule type="cellIs" dxfId="798" priority="974" operator="equal">
      <formula>FALSE</formula>
    </cfRule>
  </conditionalFormatting>
  <conditionalFormatting sqref="U185:W185 Y185:Z185 AF185:AH185">
    <cfRule type="cellIs" dxfId="797" priority="971" operator="equal">
      <formula>TRUE</formula>
    </cfRule>
    <cfRule type="cellIs" dxfId="796" priority="972" operator="equal">
      <formula>FALSE</formula>
    </cfRule>
  </conditionalFormatting>
  <conditionalFormatting sqref="X185">
    <cfRule type="cellIs" dxfId="795" priority="969" operator="equal">
      <formula>TRUE</formula>
    </cfRule>
    <cfRule type="cellIs" dxfId="794" priority="970" operator="equal">
      <formula>FALSE</formula>
    </cfRule>
  </conditionalFormatting>
  <conditionalFormatting sqref="U186:W186 Y186:Z186 AF186:AH186">
    <cfRule type="cellIs" dxfId="793" priority="967" operator="equal">
      <formula>TRUE</formula>
    </cfRule>
    <cfRule type="cellIs" dxfId="792" priority="968" operator="equal">
      <formula>FALSE</formula>
    </cfRule>
  </conditionalFormatting>
  <conditionalFormatting sqref="X186">
    <cfRule type="cellIs" dxfId="791" priority="965" operator="equal">
      <formula>TRUE</formula>
    </cfRule>
    <cfRule type="cellIs" dxfId="790" priority="966" operator="equal">
      <formula>FALSE</formula>
    </cfRule>
  </conditionalFormatting>
  <conditionalFormatting sqref="U187:W187 Y187:Z187 AF187:AH187">
    <cfRule type="cellIs" dxfId="789" priority="963" operator="equal">
      <formula>TRUE</formula>
    </cfRule>
    <cfRule type="cellIs" dxfId="788" priority="964" operator="equal">
      <formula>FALSE</formula>
    </cfRule>
  </conditionalFormatting>
  <conditionalFormatting sqref="X187">
    <cfRule type="cellIs" dxfId="787" priority="961" operator="equal">
      <formula>TRUE</formula>
    </cfRule>
    <cfRule type="cellIs" dxfId="786" priority="962" operator="equal">
      <formula>FALSE</formula>
    </cfRule>
  </conditionalFormatting>
  <conditionalFormatting sqref="U188:W188 Y188:Z188 AF188:AH188">
    <cfRule type="cellIs" dxfId="785" priority="959" operator="equal">
      <formula>TRUE</formula>
    </cfRule>
    <cfRule type="cellIs" dxfId="784" priority="960" operator="equal">
      <formula>FALSE</formula>
    </cfRule>
  </conditionalFormatting>
  <conditionalFormatting sqref="X188">
    <cfRule type="cellIs" dxfId="783" priority="957" operator="equal">
      <formula>TRUE</formula>
    </cfRule>
    <cfRule type="cellIs" dxfId="782" priority="958" operator="equal">
      <formula>FALSE</formula>
    </cfRule>
  </conditionalFormatting>
  <conditionalFormatting sqref="U189:W189 Y189:Z189 AF189:AH189">
    <cfRule type="cellIs" dxfId="781" priority="955" operator="equal">
      <formula>TRUE</formula>
    </cfRule>
    <cfRule type="cellIs" dxfId="780" priority="956" operator="equal">
      <formula>FALSE</formula>
    </cfRule>
  </conditionalFormatting>
  <conditionalFormatting sqref="X189">
    <cfRule type="cellIs" dxfId="779" priority="953" operator="equal">
      <formula>TRUE</formula>
    </cfRule>
    <cfRule type="cellIs" dxfId="778" priority="954" operator="equal">
      <formula>FALSE</formula>
    </cfRule>
  </conditionalFormatting>
  <conditionalFormatting sqref="U190:W190 Y190:Z190 AF190:AH190">
    <cfRule type="cellIs" dxfId="777" priority="951" operator="equal">
      <formula>TRUE</formula>
    </cfRule>
    <cfRule type="cellIs" dxfId="776" priority="952" operator="equal">
      <formula>FALSE</formula>
    </cfRule>
  </conditionalFormatting>
  <conditionalFormatting sqref="X190">
    <cfRule type="cellIs" dxfId="775" priority="949" operator="equal">
      <formula>TRUE</formula>
    </cfRule>
    <cfRule type="cellIs" dxfId="774" priority="950" operator="equal">
      <formula>FALSE</formula>
    </cfRule>
  </conditionalFormatting>
  <conditionalFormatting sqref="U191:W191 Y191:Z191 AF191:AH191">
    <cfRule type="cellIs" dxfId="773" priority="947" operator="equal">
      <formula>TRUE</formula>
    </cfRule>
    <cfRule type="cellIs" dxfId="772" priority="948" operator="equal">
      <formula>FALSE</formula>
    </cfRule>
  </conditionalFormatting>
  <conditionalFormatting sqref="X191">
    <cfRule type="cellIs" dxfId="771" priority="945" operator="equal">
      <formula>TRUE</formula>
    </cfRule>
    <cfRule type="cellIs" dxfId="770" priority="946" operator="equal">
      <formula>FALSE</formula>
    </cfRule>
  </conditionalFormatting>
  <conditionalFormatting sqref="U192:W192 Y192:Z192 AF192:AH192">
    <cfRule type="cellIs" dxfId="769" priority="943" operator="equal">
      <formula>TRUE</formula>
    </cfRule>
    <cfRule type="cellIs" dxfId="768" priority="944" operator="equal">
      <formula>FALSE</formula>
    </cfRule>
  </conditionalFormatting>
  <conditionalFormatting sqref="X192">
    <cfRule type="cellIs" dxfId="767" priority="941" operator="equal">
      <formula>TRUE</formula>
    </cfRule>
    <cfRule type="cellIs" dxfId="766" priority="942" operator="equal">
      <formula>FALSE</formula>
    </cfRule>
  </conditionalFormatting>
  <conditionalFormatting sqref="U193:W193 Y193:Z193 AF193:AH193">
    <cfRule type="cellIs" dxfId="765" priority="939" operator="equal">
      <formula>TRUE</formula>
    </cfRule>
    <cfRule type="cellIs" dxfId="764" priority="940" operator="equal">
      <formula>FALSE</formula>
    </cfRule>
  </conditionalFormatting>
  <conditionalFormatting sqref="X193">
    <cfRule type="cellIs" dxfId="763" priority="937" operator="equal">
      <formula>TRUE</formula>
    </cfRule>
    <cfRule type="cellIs" dxfId="762" priority="938" operator="equal">
      <formula>FALSE</formula>
    </cfRule>
  </conditionalFormatting>
  <conditionalFormatting sqref="U194:W194 Y194:Z194 AF194:AH194">
    <cfRule type="cellIs" dxfId="761" priority="935" operator="equal">
      <formula>TRUE</formula>
    </cfRule>
    <cfRule type="cellIs" dxfId="760" priority="936" operator="equal">
      <formula>FALSE</formula>
    </cfRule>
  </conditionalFormatting>
  <conditionalFormatting sqref="X194">
    <cfRule type="cellIs" dxfId="759" priority="933" operator="equal">
      <formula>TRUE</formula>
    </cfRule>
    <cfRule type="cellIs" dxfId="758" priority="934" operator="equal">
      <formula>FALSE</formula>
    </cfRule>
  </conditionalFormatting>
  <conditionalFormatting sqref="U195:W195 Y195:Z195 AF195:AH195">
    <cfRule type="cellIs" dxfId="757" priority="931" operator="equal">
      <formula>TRUE</formula>
    </cfRule>
    <cfRule type="cellIs" dxfId="756" priority="932" operator="equal">
      <formula>FALSE</formula>
    </cfRule>
  </conditionalFormatting>
  <conditionalFormatting sqref="X195">
    <cfRule type="cellIs" dxfId="755" priority="929" operator="equal">
      <formula>TRUE</formula>
    </cfRule>
    <cfRule type="cellIs" dxfId="754" priority="930" operator="equal">
      <formula>FALSE</formula>
    </cfRule>
  </conditionalFormatting>
  <conditionalFormatting sqref="U196:W196 Y196:Z196 AF196:AH196">
    <cfRule type="cellIs" dxfId="753" priority="927" operator="equal">
      <formula>TRUE</formula>
    </cfRule>
    <cfRule type="cellIs" dxfId="752" priority="928" operator="equal">
      <formula>FALSE</formula>
    </cfRule>
  </conditionalFormatting>
  <conditionalFormatting sqref="X196">
    <cfRule type="cellIs" dxfId="751" priority="925" operator="equal">
      <formula>TRUE</formula>
    </cfRule>
    <cfRule type="cellIs" dxfId="750" priority="926" operator="equal">
      <formula>FALSE</formula>
    </cfRule>
  </conditionalFormatting>
  <conditionalFormatting sqref="U197:W197 Y197:Z197 AF197:AH197">
    <cfRule type="cellIs" dxfId="749" priority="923" operator="equal">
      <formula>TRUE</formula>
    </cfRule>
    <cfRule type="cellIs" dxfId="748" priority="924" operator="equal">
      <formula>FALSE</formula>
    </cfRule>
  </conditionalFormatting>
  <conditionalFormatting sqref="X197">
    <cfRule type="cellIs" dxfId="747" priority="921" operator="equal">
      <formula>TRUE</formula>
    </cfRule>
    <cfRule type="cellIs" dxfId="746" priority="922" operator="equal">
      <formula>FALSE</formula>
    </cfRule>
  </conditionalFormatting>
  <conditionalFormatting sqref="U208:W208 Y208:Z208 AF208:AH208">
    <cfRule type="cellIs" dxfId="745" priority="903" operator="equal">
      <formula>TRUE</formula>
    </cfRule>
    <cfRule type="cellIs" dxfId="744" priority="904" operator="equal">
      <formula>FALSE</formula>
    </cfRule>
  </conditionalFormatting>
  <conditionalFormatting sqref="X208">
    <cfRule type="cellIs" dxfId="743" priority="901" operator="equal">
      <formula>TRUE</formula>
    </cfRule>
    <cfRule type="cellIs" dxfId="742" priority="902" operator="equal">
      <formula>FALSE</formula>
    </cfRule>
  </conditionalFormatting>
  <conditionalFormatting sqref="X209">
    <cfRule type="cellIs" dxfId="741" priority="897" operator="equal">
      <formula>TRUE</formula>
    </cfRule>
    <cfRule type="cellIs" dxfId="740" priority="898" operator="equal">
      <formula>FALSE</formula>
    </cfRule>
  </conditionalFormatting>
  <conditionalFormatting sqref="U210:W210 Y210:Z210 AF210:AH210">
    <cfRule type="cellIs" dxfId="739" priority="895" operator="equal">
      <formula>TRUE</formula>
    </cfRule>
    <cfRule type="cellIs" dxfId="738" priority="896" operator="equal">
      <formula>FALSE</formula>
    </cfRule>
  </conditionalFormatting>
  <conditionalFormatting sqref="U211:W211 Y211:Z211 AF211:AH211">
    <cfRule type="cellIs" dxfId="737" priority="891" operator="equal">
      <formula>TRUE</formula>
    </cfRule>
    <cfRule type="cellIs" dxfId="736" priority="892" operator="equal">
      <formula>FALSE</formula>
    </cfRule>
  </conditionalFormatting>
  <conditionalFormatting sqref="X211">
    <cfRule type="cellIs" dxfId="735" priority="889" operator="equal">
      <formula>TRUE</formula>
    </cfRule>
    <cfRule type="cellIs" dxfId="734" priority="890" operator="equal">
      <formula>FALSE</formula>
    </cfRule>
  </conditionalFormatting>
  <conditionalFormatting sqref="U212:W212 Y212:Z212 AF212:AH212">
    <cfRule type="cellIs" dxfId="733" priority="887" operator="equal">
      <formula>TRUE</formula>
    </cfRule>
    <cfRule type="cellIs" dxfId="732" priority="888" operator="equal">
      <formula>FALSE</formula>
    </cfRule>
  </conditionalFormatting>
  <conditionalFormatting sqref="X212">
    <cfRule type="cellIs" dxfId="731" priority="885" operator="equal">
      <formula>TRUE</formula>
    </cfRule>
    <cfRule type="cellIs" dxfId="730" priority="886" operator="equal">
      <formula>FALSE</formula>
    </cfRule>
  </conditionalFormatting>
  <conditionalFormatting sqref="X213">
    <cfRule type="cellIs" dxfId="729" priority="881" operator="equal">
      <formula>TRUE</formula>
    </cfRule>
    <cfRule type="cellIs" dxfId="728" priority="882" operator="equal">
      <formula>FALSE</formula>
    </cfRule>
  </conditionalFormatting>
  <conditionalFormatting sqref="U214:W214 Y214:Z214 AF214:AH214">
    <cfRule type="cellIs" dxfId="727" priority="879" operator="equal">
      <formula>TRUE</formula>
    </cfRule>
    <cfRule type="cellIs" dxfId="726" priority="880" operator="equal">
      <formula>FALSE</formula>
    </cfRule>
  </conditionalFormatting>
  <conditionalFormatting sqref="U209:W209 Y209:Z209 AF209:AH209">
    <cfRule type="cellIs" dxfId="725" priority="899" operator="equal">
      <formula>TRUE</formula>
    </cfRule>
    <cfRule type="cellIs" dxfId="724" priority="900" operator="equal">
      <formula>FALSE</formula>
    </cfRule>
  </conditionalFormatting>
  <conditionalFormatting sqref="X210">
    <cfRule type="cellIs" dxfId="723" priority="893" operator="equal">
      <formula>TRUE</formula>
    </cfRule>
    <cfRule type="cellIs" dxfId="722" priority="894" operator="equal">
      <formula>FALSE</formula>
    </cfRule>
  </conditionalFormatting>
  <conditionalFormatting sqref="U213:W213 Y213:Z213 AF213:AH213">
    <cfRule type="cellIs" dxfId="721" priority="883" operator="equal">
      <formula>TRUE</formula>
    </cfRule>
    <cfRule type="cellIs" dxfId="720" priority="884" operator="equal">
      <formula>FALSE</formula>
    </cfRule>
  </conditionalFormatting>
  <conditionalFormatting sqref="X214">
    <cfRule type="cellIs" dxfId="719" priority="877" operator="equal">
      <formula>TRUE</formula>
    </cfRule>
    <cfRule type="cellIs" dxfId="718" priority="878" operator="equal">
      <formula>FALSE</formula>
    </cfRule>
  </conditionalFormatting>
  <conditionalFormatting sqref="X215">
    <cfRule type="cellIs" dxfId="717" priority="873" operator="equal">
      <formula>TRUE</formula>
    </cfRule>
    <cfRule type="cellIs" dxfId="716" priority="874" operator="equal">
      <formula>FALSE</formula>
    </cfRule>
  </conditionalFormatting>
  <conditionalFormatting sqref="U215:W215 Y215:Z215 AF215:AH215">
    <cfRule type="cellIs" dxfId="715" priority="875" operator="equal">
      <formula>TRUE</formula>
    </cfRule>
    <cfRule type="cellIs" dxfId="714" priority="876" operator="equal">
      <formula>FALSE</formula>
    </cfRule>
  </conditionalFormatting>
  <conditionalFormatting sqref="U204:W204 Y204:Z204 AF204:AH204">
    <cfRule type="cellIs" dxfId="713" priority="919" operator="equal">
      <formula>TRUE</formula>
    </cfRule>
    <cfRule type="cellIs" dxfId="712" priority="920" operator="equal">
      <formula>FALSE</formula>
    </cfRule>
  </conditionalFormatting>
  <conditionalFormatting sqref="X204">
    <cfRule type="cellIs" dxfId="711" priority="917" operator="equal">
      <formula>TRUE</formula>
    </cfRule>
    <cfRule type="cellIs" dxfId="710" priority="918" operator="equal">
      <formula>FALSE</formula>
    </cfRule>
  </conditionalFormatting>
  <conditionalFormatting sqref="U205:W205 Y205:Z205 AF205:AH205">
    <cfRule type="cellIs" dxfId="709" priority="915" operator="equal">
      <formula>TRUE</formula>
    </cfRule>
    <cfRule type="cellIs" dxfId="708" priority="916" operator="equal">
      <formula>FALSE</formula>
    </cfRule>
  </conditionalFormatting>
  <conditionalFormatting sqref="X205">
    <cfRule type="cellIs" dxfId="707" priority="913" operator="equal">
      <formula>TRUE</formula>
    </cfRule>
    <cfRule type="cellIs" dxfId="706" priority="914" operator="equal">
      <formula>FALSE</formula>
    </cfRule>
  </conditionalFormatting>
  <conditionalFormatting sqref="U206:W206 Y206:Z206 AF206:AH206">
    <cfRule type="cellIs" dxfId="705" priority="911" operator="equal">
      <formula>TRUE</formula>
    </cfRule>
    <cfRule type="cellIs" dxfId="704" priority="912" operator="equal">
      <formula>FALSE</formula>
    </cfRule>
  </conditionalFormatting>
  <conditionalFormatting sqref="X206">
    <cfRule type="cellIs" dxfId="703" priority="909" operator="equal">
      <formula>TRUE</formula>
    </cfRule>
    <cfRule type="cellIs" dxfId="702" priority="910" operator="equal">
      <formula>FALSE</formula>
    </cfRule>
  </conditionalFormatting>
  <conditionalFormatting sqref="U207:W207 Y207:Z207 AF207:AH207">
    <cfRule type="cellIs" dxfId="701" priority="907" operator="equal">
      <formula>TRUE</formula>
    </cfRule>
    <cfRule type="cellIs" dxfId="700" priority="908" operator="equal">
      <formula>FALSE</formula>
    </cfRule>
  </conditionalFormatting>
  <conditionalFormatting sqref="X207">
    <cfRule type="cellIs" dxfId="699" priority="905" operator="equal">
      <formula>TRUE</formula>
    </cfRule>
    <cfRule type="cellIs" dxfId="698" priority="906" operator="equal">
      <formula>FALSE</formula>
    </cfRule>
  </conditionalFormatting>
  <conditionalFormatting sqref="U216:W216 Y216:Z216 AF216:AH216">
    <cfRule type="cellIs" dxfId="697" priority="871" operator="equal">
      <formula>TRUE</formula>
    </cfRule>
    <cfRule type="cellIs" dxfId="696" priority="872" operator="equal">
      <formula>FALSE</formula>
    </cfRule>
  </conditionalFormatting>
  <conditionalFormatting sqref="X216">
    <cfRule type="cellIs" dxfId="695" priority="869" operator="equal">
      <formula>TRUE</formula>
    </cfRule>
    <cfRule type="cellIs" dxfId="694" priority="870" operator="equal">
      <formula>FALSE</formula>
    </cfRule>
  </conditionalFormatting>
  <conditionalFormatting sqref="U217:W217 Y217:Z217 AF217:AH217">
    <cfRule type="cellIs" dxfId="693" priority="867" operator="equal">
      <formula>TRUE</formula>
    </cfRule>
    <cfRule type="cellIs" dxfId="692" priority="868" operator="equal">
      <formula>FALSE</formula>
    </cfRule>
  </conditionalFormatting>
  <conditionalFormatting sqref="X217">
    <cfRule type="cellIs" dxfId="691" priority="865" operator="equal">
      <formula>TRUE</formula>
    </cfRule>
    <cfRule type="cellIs" dxfId="690" priority="866" operator="equal">
      <formula>FALSE</formula>
    </cfRule>
  </conditionalFormatting>
  <conditionalFormatting sqref="U218:W218 Y218:Z218 AF218:AH218">
    <cfRule type="cellIs" dxfId="689" priority="863" operator="equal">
      <formula>TRUE</formula>
    </cfRule>
    <cfRule type="cellIs" dxfId="688" priority="864" operator="equal">
      <formula>FALSE</formula>
    </cfRule>
  </conditionalFormatting>
  <conditionalFormatting sqref="X218">
    <cfRule type="cellIs" dxfId="687" priority="861" operator="equal">
      <formula>TRUE</formula>
    </cfRule>
    <cfRule type="cellIs" dxfId="686" priority="862" operator="equal">
      <formula>FALSE</formula>
    </cfRule>
  </conditionalFormatting>
  <conditionalFormatting sqref="U219:W219 Y219:Z219 AF219:AH219">
    <cfRule type="cellIs" dxfId="685" priority="859" operator="equal">
      <formula>TRUE</formula>
    </cfRule>
    <cfRule type="cellIs" dxfId="684" priority="860" operator="equal">
      <formula>FALSE</formula>
    </cfRule>
  </conditionalFormatting>
  <conditionalFormatting sqref="X219">
    <cfRule type="cellIs" dxfId="683" priority="857" operator="equal">
      <formula>TRUE</formula>
    </cfRule>
    <cfRule type="cellIs" dxfId="682" priority="858" operator="equal">
      <formula>FALSE</formula>
    </cfRule>
  </conditionalFormatting>
  <conditionalFormatting sqref="U220:W220 Y220:Z220 AF220:AH220">
    <cfRule type="cellIs" dxfId="681" priority="855" operator="equal">
      <formula>TRUE</formula>
    </cfRule>
    <cfRule type="cellIs" dxfId="680" priority="856" operator="equal">
      <formula>FALSE</formula>
    </cfRule>
  </conditionalFormatting>
  <conditionalFormatting sqref="X220">
    <cfRule type="cellIs" dxfId="679" priority="853" operator="equal">
      <formula>TRUE</formula>
    </cfRule>
    <cfRule type="cellIs" dxfId="678" priority="854" operator="equal">
      <formula>FALSE</formula>
    </cfRule>
  </conditionalFormatting>
  <conditionalFormatting sqref="U221:W221 Y221:Z221 AF221:AH221">
    <cfRule type="cellIs" dxfId="677" priority="851" operator="equal">
      <formula>TRUE</formula>
    </cfRule>
    <cfRule type="cellIs" dxfId="676" priority="852" operator="equal">
      <formula>FALSE</formula>
    </cfRule>
  </conditionalFormatting>
  <conditionalFormatting sqref="X221">
    <cfRule type="cellIs" dxfId="675" priority="849" operator="equal">
      <formula>TRUE</formula>
    </cfRule>
    <cfRule type="cellIs" dxfId="674" priority="850" operator="equal">
      <formula>FALSE</formula>
    </cfRule>
  </conditionalFormatting>
  <conditionalFormatting sqref="U222:W222 Y222:Z222 AF222:AH222">
    <cfRule type="cellIs" dxfId="673" priority="847" operator="equal">
      <formula>TRUE</formula>
    </cfRule>
    <cfRule type="cellIs" dxfId="672" priority="848" operator="equal">
      <formula>FALSE</formula>
    </cfRule>
  </conditionalFormatting>
  <conditionalFormatting sqref="X222">
    <cfRule type="cellIs" dxfId="671" priority="845" operator="equal">
      <formula>TRUE</formula>
    </cfRule>
    <cfRule type="cellIs" dxfId="670" priority="846" operator="equal">
      <formula>FALSE</formula>
    </cfRule>
  </conditionalFormatting>
  <conditionalFormatting sqref="U223:W223 Y223:Z223 AF223:AH223">
    <cfRule type="cellIs" dxfId="669" priority="843" operator="equal">
      <formula>TRUE</formula>
    </cfRule>
    <cfRule type="cellIs" dxfId="668" priority="844" operator="equal">
      <formula>FALSE</formula>
    </cfRule>
  </conditionalFormatting>
  <conditionalFormatting sqref="X223">
    <cfRule type="cellIs" dxfId="667" priority="841" operator="equal">
      <formula>TRUE</formula>
    </cfRule>
    <cfRule type="cellIs" dxfId="666" priority="842" operator="equal">
      <formula>FALSE</formula>
    </cfRule>
  </conditionalFormatting>
  <conditionalFormatting sqref="U224:W224 Y224:Z224 AF224:AH224">
    <cfRule type="cellIs" dxfId="665" priority="839" operator="equal">
      <formula>TRUE</formula>
    </cfRule>
    <cfRule type="cellIs" dxfId="664" priority="840" operator="equal">
      <formula>FALSE</formula>
    </cfRule>
  </conditionalFormatting>
  <conditionalFormatting sqref="X224">
    <cfRule type="cellIs" dxfId="663" priority="837" operator="equal">
      <formula>TRUE</formula>
    </cfRule>
    <cfRule type="cellIs" dxfId="662" priority="838" operator="equal">
      <formula>FALSE</formula>
    </cfRule>
  </conditionalFormatting>
  <conditionalFormatting sqref="U225:W225 Y225:Z225 AF225:AH225">
    <cfRule type="cellIs" dxfId="661" priority="835" operator="equal">
      <formula>TRUE</formula>
    </cfRule>
    <cfRule type="cellIs" dxfId="660" priority="836" operator="equal">
      <formula>FALSE</formula>
    </cfRule>
  </conditionalFormatting>
  <conditionalFormatting sqref="X225">
    <cfRule type="cellIs" dxfId="659" priority="833" operator="equal">
      <formula>TRUE</formula>
    </cfRule>
    <cfRule type="cellIs" dxfId="658" priority="834" operator="equal">
      <formula>FALSE</formula>
    </cfRule>
  </conditionalFormatting>
  <conditionalFormatting sqref="U226:W226 Y226:Z226 AF226:AH226">
    <cfRule type="cellIs" dxfId="657" priority="831" operator="equal">
      <formula>TRUE</formula>
    </cfRule>
    <cfRule type="cellIs" dxfId="656" priority="832" operator="equal">
      <formula>FALSE</formula>
    </cfRule>
  </conditionalFormatting>
  <conditionalFormatting sqref="X226">
    <cfRule type="cellIs" dxfId="655" priority="829" operator="equal">
      <formula>TRUE</formula>
    </cfRule>
    <cfRule type="cellIs" dxfId="654" priority="830" operator="equal">
      <formula>FALSE</formula>
    </cfRule>
  </conditionalFormatting>
  <conditionalFormatting sqref="U227:W227 Y227:Z227 AF227:AH227">
    <cfRule type="cellIs" dxfId="653" priority="827" operator="equal">
      <formula>TRUE</formula>
    </cfRule>
    <cfRule type="cellIs" dxfId="652" priority="828" operator="equal">
      <formula>FALSE</formula>
    </cfRule>
  </conditionalFormatting>
  <conditionalFormatting sqref="X227">
    <cfRule type="cellIs" dxfId="651" priority="825" operator="equal">
      <formula>TRUE</formula>
    </cfRule>
    <cfRule type="cellIs" dxfId="650" priority="826" operator="equal">
      <formula>FALSE</formula>
    </cfRule>
  </conditionalFormatting>
  <conditionalFormatting sqref="U238:W238 Y238:Z238 AF238:AH238">
    <cfRule type="cellIs" dxfId="649" priority="807" operator="equal">
      <formula>TRUE</formula>
    </cfRule>
    <cfRule type="cellIs" dxfId="648" priority="808" operator="equal">
      <formula>FALSE</formula>
    </cfRule>
  </conditionalFormatting>
  <conditionalFormatting sqref="X238">
    <cfRule type="cellIs" dxfId="647" priority="805" operator="equal">
      <formula>TRUE</formula>
    </cfRule>
    <cfRule type="cellIs" dxfId="646" priority="806" operator="equal">
      <formula>FALSE</formula>
    </cfRule>
  </conditionalFormatting>
  <conditionalFormatting sqref="X239">
    <cfRule type="cellIs" dxfId="645" priority="801" operator="equal">
      <formula>TRUE</formula>
    </cfRule>
    <cfRule type="cellIs" dxfId="644" priority="802" operator="equal">
      <formula>FALSE</formula>
    </cfRule>
  </conditionalFormatting>
  <conditionalFormatting sqref="U240:W240 Y240:Z240 AF240:AH240">
    <cfRule type="cellIs" dxfId="643" priority="799" operator="equal">
      <formula>TRUE</formula>
    </cfRule>
    <cfRule type="cellIs" dxfId="642" priority="800" operator="equal">
      <formula>FALSE</formula>
    </cfRule>
  </conditionalFormatting>
  <conditionalFormatting sqref="U241:W241 Y241:Z241 AF241:AH241">
    <cfRule type="cellIs" dxfId="641" priority="795" operator="equal">
      <formula>TRUE</formula>
    </cfRule>
    <cfRule type="cellIs" dxfId="640" priority="796" operator="equal">
      <formula>FALSE</formula>
    </cfRule>
  </conditionalFormatting>
  <conditionalFormatting sqref="X241">
    <cfRule type="cellIs" dxfId="639" priority="793" operator="equal">
      <formula>TRUE</formula>
    </cfRule>
    <cfRule type="cellIs" dxfId="638" priority="794" operator="equal">
      <formula>FALSE</formula>
    </cfRule>
  </conditionalFormatting>
  <conditionalFormatting sqref="U242:W242 Y242:Z242 AF242:AH242">
    <cfRule type="cellIs" dxfId="637" priority="791" operator="equal">
      <formula>TRUE</formula>
    </cfRule>
    <cfRule type="cellIs" dxfId="636" priority="792" operator="equal">
      <formula>FALSE</formula>
    </cfRule>
  </conditionalFormatting>
  <conditionalFormatting sqref="X242">
    <cfRule type="cellIs" dxfId="635" priority="789" operator="equal">
      <formula>TRUE</formula>
    </cfRule>
    <cfRule type="cellIs" dxfId="634" priority="790" operator="equal">
      <formula>FALSE</formula>
    </cfRule>
  </conditionalFormatting>
  <conditionalFormatting sqref="X243">
    <cfRule type="cellIs" dxfId="633" priority="785" operator="equal">
      <formula>TRUE</formula>
    </cfRule>
    <cfRule type="cellIs" dxfId="632" priority="786" operator="equal">
      <formula>FALSE</formula>
    </cfRule>
  </conditionalFormatting>
  <conditionalFormatting sqref="U244:W244 Y244:Z244 AF244:AH244">
    <cfRule type="cellIs" dxfId="631" priority="783" operator="equal">
      <formula>TRUE</formula>
    </cfRule>
    <cfRule type="cellIs" dxfId="630" priority="784" operator="equal">
      <formula>FALSE</formula>
    </cfRule>
  </conditionalFormatting>
  <conditionalFormatting sqref="U239:W239 Y239:Z239 AF239:AH239">
    <cfRule type="cellIs" dxfId="629" priority="803" operator="equal">
      <formula>TRUE</formula>
    </cfRule>
    <cfRule type="cellIs" dxfId="628" priority="804" operator="equal">
      <formula>FALSE</formula>
    </cfRule>
  </conditionalFormatting>
  <conditionalFormatting sqref="X240">
    <cfRule type="cellIs" dxfId="627" priority="797" operator="equal">
      <formula>TRUE</formula>
    </cfRule>
    <cfRule type="cellIs" dxfId="626" priority="798" operator="equal">
      <formula>FALSE</formula>
    </cfRule>
  </conditionalFormatting>
  <conditionalFormatting sqref="U243:W243 Y243:Z243 AF243:AH243">
    <cfRule type="cellIs" dxfId="625" priority="787" operator="equal">
      <formula>TRUE</formula>
    </cfRule>
    <cfRule type="cellIs" dxfId="624" priority="788" operator="equal">
      <formula>FALSE</formula>
    </cfRule>
  </conditionalFormatting>
  <conditionalFormatting sqref="X244">
    <cfRule type="cellIs" dxfId="623" priority="781" operator="equal">
      <formula>TRUE</formula>
    </cfRule>
    <cfRule type="cellIs" dxfId="622" priority="782" operator="equal">
      <formula>FALSE</formula>
    </cfRule>
  </conditionalFormatting>
  <conditionalFormatting sqref="X245">
    <cfRule type="cellIs" dxfId="621" priority="777" operator="equal">
      <formula>TRUE</formula>
    </cfRule>
    <cfRule type="cellIs" dxfId="620" priority="778" operator="equal">
      <formula>FALSE</formula>
    </cfRule>
  </conditionalFormatting>
  <conditionalFormatting sqref="U246:W246 Y246:Z246 AF246:AH246">
    <cfRule type="cellIs" dxfId="619" priority="775" operator="equal">
      <formula>TRUE</formula>
    </cfRule>
    <cfRule type="cellIs" dxfId="618" priority="776" operator="equal">
      <formula>FALSE</formula>
    </cfRule>
  </conditionalFormatting>
  <conditionalFormatting sqref="U245:W245 Y245:Z245 AF245:AH245">
    <cfRule type="cellIs" dxfId="617" priority="779" operator="equal">
      <formula>TRUE</formula>
    </cfRule>
    <cfRule type="cellIs" dxfId="616" priority="780" operator="equal">
      <formula>FALSE</formula>
    </cfRule>
  </conditionalFormatting>
  <conditionalFormatting sqref="U234:W234 Y234:Z234 AF234:AH234">
    <cfRule type="cellIs" dxfId="615" priority="823" operator="equal">
      <formula>TRUE</formula>
    </cfRule>
    <cfRule type="cellIs" dxfId="614" priority="824" operator="equal">
      <formula>FALSE</formula>
    </cfRule>
  </conditionalFormatting>
  <conditionalFormatting sqref="X234">
    <cfRule type="cellIs" dxfId="613" priority="821" operator="equal">
      <formula>TRUE</formula>
    </cfRule>
    <cfRule type="cellIs" dxfId="612" priority="822" operator="equal">
      <formula>FALSE</formula>
    </cfRule>
  </conditionalFormatting>
  <conditionalFormatting sqref="U235:W235 Y235:Z235 AF235:AH235">
    <cfRule type="cellIs" dxfId="611" priority="819" operator="equal">
      <formula>TRUE</formula>
    </cfRule>
    <cfRule type="cellIs" dxfId="610" priority="820" operator="equal">
      <formula>FALSE</formula>
    </cfRule>
  </conditionalFormatting>
  <conditionalFormatting sqref="X235">
    <cfRule type="cellIs" dxfId="609" priority="817" operator="equal">
      <formula>TRUE</formula>
    </cfRule>
    <cfRule type="cellIs" dxfId="608" priority="818" operator="equal">
      <formula>FALSE</formula>
    </cfRule>
  </conditionalFormatting>
  <conditionalFormatting sqref="U236:W236 Y236:Z236 AF236:AH236">
    <cfRule type="cellIs" dxfId="607" priority="815" operator="equal">
      <formula>TRUE</formula>
    </cfRule>
    <cfRule type="cellIs" dxfId="606" priority="816" operator="equal">
      <formula>FALSE</formula>
    </cfRule>
  </conditionalFormatting>
  <conditionalFormatting sqref="X236">
    <cfRule type="cellIs" dxfId="605" priority="813" operator="equal">
      <formula>TRUE</formula>
    </cfRule>
    <cfRule type="cellIs" dxfId="604" priority="814" operator="equal">
      <formula>FALSE</formula>
    </cfRule>
  </conditionalFormatting>
  <conditionalFormatting sqref="U237:W237 Y237:Z237 AF237:AH237">
    <cfRule type="cellIs" dxfId="603" priority="811" operator="equal">
      <formula>TRUE</formula>
    </cfRule>
    <cfRule type="cellIs" dxfId="602" priority="812" operator="equal">
      <formula>FALSE</formula>
    </cfRule>
  </conditionalFormatting>
  <conditionalFormatting sqref="X237">
    <cfRule type="cellIs" dxfId="601" priority="809" operator="equal">
      <formula>TRUE</formula>
    </cfRule>
    <cfRule type="cellIs" dxfId="600" priority="810" operator="equal">
      <formula>FALSE</formula>
    </cfRule>
  </conditionalFormatting>
  <conditionalFormatting sqref="X246">
    <cfRule type="cellIs" dxfId="599" priority="773" operator="equal">
      <formula>TRUE</formula>
    </cfRule>
    <cfRule type="cellIs" dxfId="598" priority="774" operator="equal">
      <formula>FALSE</formula>
    </cfRule>
  </conditionalFormatting>
  <conditionalFormatting sqref="U247:W247 Y247:Z247 AF247:AH247">
    <cfRule type="cellIs" dxfId="597" priority="771" operator="equal">
      <formula>TRUE</formula>
    </cfRule>
    <cfRule type="cellIs" dxfId="596" priority="772" operator="equal">
      <formula>FALSE</formula>
    </cfRule>
  </conditionalFormatting>
  <conditionalFormatting sqref="X247">
    <cfRule type="cellIs" dxfId="595" priority="769" operator="equal">
      <formula>TRUE</formula>
    </cfRule>
    <cfRule type="cellIs" dxfId="594" priority="770" operator="equal">
      <formula>FALSE</formula>
    </cfRule>
  </conditionalFormatting>
  <conditionalFormatting sqref="U248:W248 Y248:Z248 AF248:AH248">
    <cfRule type="cellIs" dxfId="593" priority="767" operator="equal">
      <formula>TRUE</formula>
    </cfRule>
    <cfRule type="cellIs" dxfId="592" priority="768" operator="equal">
      <formula>FALSE</formula>
    </cfRule>
  </conditionalFormatting>
  <conditionalFormatting sqref="X248">
    <cfRule type="cellIs" dxfId="591" priority="765" operator="equal">
      <formula>TRUE</formula>
    </cfRule>
    <cfRule type="cellIs" dxfId="590" priority="766" operator="equal">
      <formula>FALSE</formula>
    </cfRule>
  </conditionalFormatting>
  <conditionalFormatting sqref="U249:W249 Y249:Z249 AF249:AH249">
    <cfRule type="cellIs" dxfId="589" priority="763" operator="equal">
      <formula>TRUE</formula>
    </cfRule>
    <cfRule type="cellIs" dxfId="588" priority="764" operator="equal">
      <formula>FALSE</formula>
    </cfRule>
  </conditionalFormatting>
  <conditionalFormatting sqref="X249">
    <cfRule type="cellIs" dxfId="587" priority="761" operator="equal">
      <formula>TRUE</formula>
    </cfRule>
    <cfRule type="cellIs" dxfId="586" priority="762" operator="equal">
      <formula>FALSE</formula>
    </cfRule>
  </conditionalFormatting>
  <conditionalFormatting sqref="U250:W250 Y250:Z250 AF250:AH250">
    <cfRule type="cellIs" dxfId="585" priority="759" operator="equal">
      <formula>TRUE</formula>
    </cfRule>
    <cfRule type="cellIs" dxfId="584" priority="760" operator="equal">
      <formula>FALSE</formula>
    </cfRule>
  </conditionalFormatting>
  <conditionalFormatting sqref="X250">
    <cfRule type="cellIs" dxfId="583" priority="757" operator="equal">
      <formula>TRUE</formula>
    </cfRule>
    <cfRule type="cellIs" dxfId="582" priority="758" operator="equal">
      <formula>FALSE</formula>
    </cfRule>
  </conditionalFormatting>
  <conditionalFormatting sqref="U251:W251 Y251:Z251 AF251:AH251">
    <cfRule type="cellIs" dxfId="581" priority="755" operator="equal">
      <formula>TRUE</formula>
    </cfRule>
    <cfRule type="cellIs" dxfId="580" priority="756" operator="equal">
      <formula>FALSE</formula>
    </cfRule>
  </conditionalFormatting>
  <conditionalFormatting sqref="X251">
    <cfRule type="cellIs" dxfId="579" priority="753" operator="equal">
      <formula>TRUE</formula>
    </cfRule>
    <cfRule type="cellIs" dxfId="578" priority="754" operator="equal">
      <formula>FALSE</formula>
    </cfRule>
  </conditionalFormatting>
  <conditionalFormatting sqref="U252:W252 Y252:Z252 AF252:AH252">
    <cfRule type="cellIs" dxfId="577" priority="751" operator="equal">
      <formula>TRUE</formula>
    </cfRule>
    <cfRule type="cellIs" dxfId="576" priority="752" operator="equal">
      <formula>FALSE</formula>
    </cfRule>
  </conditionalFormatting>
  <conditionalFormatting sqref="X252">
    <cfRule type="cellIs" dxfId="575" priority="749" operator="equal">
      <formula>TRUE</formula>
    </cfRule>
    <cfRule type="cellIs" dxfId="574" priority="750" operator="equal">
      <formula>FALSE</formula>
    </cfRule>
  </conditionalFormatting>
  <conditionalFormatting sqref="U253:W253 Y253:Z253 AF253:AH253">
    <cfRule type="cellIs" dxfId="573" priority="747" operator="equal">
      <formula>TRUE</formula>
    </cfRule>
    <cfRule type="cellIs" dxfId="572" priority="748" operator="equal">
      <formula>FALSE</formula>
    </cfRule>
  </conditionalFormatting>
  <conditionalFormatting sqref="X253">
    <cfRule type="cellIs" dxfId="571" priority="745" operator="equal">
      <formula>TRUE</formula>
    </cfRule>
    <cfRule type="cellIs" dxfId="570" priority="746" operator="equal">
      <formula>FALSE</formula>
    </cfRule>
  </conditionalFormatting>
  <conditionalFormatting sqref="U254:W254 Y254:Z254 AF254:AH254">
    <cfRule type="cellIs" dxfId="569" priority="743" operator="equal">
      <formula>TRUE</formula>
    </cfRule>
    <cfRule type="cellIs" dxfId="568" priority="744" operator="equal">
      <formula>FALSE</formula>
    </cfRule>
  </conditionalFormatting>
  <conditionalFormatting sqref="X254">
    <cfRule type="cellIs" dxfId="567" priority="741" operator="equal">
      <formula>TRUE</formula>
    </cfRule>
    <cfRule type="cellIs" dxfId="566" priority="742" operator="equal">
      <formula>FALSE</formula>
    </cfRule>
  </conditionalFormatting>
  <conditionalFormatting sqref="U255:W255 Y255:Z255 AF255:AH255">
    <cfRule type="cellIs" dxfId="565" priority="739" operator="equal">
      <formula>TRUE</formula>
    </cfRule>
    <cfRule type="cellIs" dxfId="564" priority="740" operator="equal">
      <formula>FALSE</formula>
    </cfRule>
  </conditionalFormatting>
  <conditionalFormatting sqref="X255">
    <cfRule type="cellIs" dxfId="563" priority="737" operator="equal">
      <formula>TRUE</formula>
    </cfRule>
    <cfRule type="cellIs" dxfId="562" priority="738" operator="equal">
      <formula>FALSE</formula>
    </cfRule>
  </conditionalFormatting>
  <conditionalFormatting sqref="U256:W256 Y256:Z256 AF256:AH256">
    <cfRule type="cellIs" dxfId="561" priority="735" operator="equal">
      <formula>TRUE</formula>
    </cfRule>
    <cfRule type="cellIs" dxfId="560" priority="736" operator="equal">
      <formula>FALSE</formula>
    </cfRule>
  </conditionalFormatting>
  <conditionalFormatting sqref="X256">
    <cfRule type="cellIs" dxfId="559" priority="733" operator="equal">
      <formula>TRUE</formula>
    </cfRule>
    <cfRule type="cellIs" dxfId="558" priority="734" operator="equal">
      <formula>FALSE</formula>
    </cfRule>
  </conditionalFormatting>
  <conditionalFormatting sqref="U257:W257 Y257:Z257 AF257:AH257">
    <cfRule type="cellIs" dxfId="557" priority="731" operator="equal">
      <formula>TRUE</formula>
    </cfRule>
    <cfRule type="cellIs" dxfId="556" priority="732" operator="equal">
      <formula>FALSE</formula>
    </cfRule>
  </conditionalFormatting>
  <conditionalFormatting sqref="X257">
    <cfRule type="cellIs" dxfId="555" priority="729" operator="equal">
      <formula>TRUE</formula>
    </cfRule>
    <cfRule type="cellIs" dxfId="554" priority="730" operator="equal">
      <formula>FALSE</formula>
    </cfRule>
  </conditionalFormatting>
  <conditionalFormatting sqref="U258:W258 Y258:Z258 AF258:AH258">
    <cfRule type="cellIs" dxfId="553" priority="727" operator="equal">
      <formula>TRUE</formula>
    </cfRule>
    <cfRule type="cellIs" dxfId="552" priority="728" operator="equal">
      <formula>FALSE</formula>
    </cfRule>
  </conditionalFormatting>
  <conditionalFormatting sqref="X258">
    <cfRule type="cellIs" dxfId="551" priority="725" operator="equal">
      <formula>TRUE</formula>
    </cfRule>
    <cfRule type="cellIs" dxfId="550" priority="726" operator="equal">
      <formula>FALSE</formula>
    </cfRule>
  </conditionalFormatting>
  <conditionalFormatting sqref="U259:W259 Y259:Z259 AF259:AH259">
    <cfRule type="cellIs" dxfId="549" priority="723" operator="equal">
      <formula>TRUE</formula>
    </cfRule>
    <cfRule type="cellIs" dxfId="548" priority="724" operator="equal">
      <formula>FALSE</formula>
    </cfRule>
  </conditionalFormatting>
  <conditionalFormatting sqref="X259">
    <cfRule type="cellIs" dxfId="547" priority="721" operator="equal">
      <formula>TRUE</formula>
    </cfRule>
    <cfRule type="cellIs" dxfId="546" priority="722" operator="equal">
      <formula>FALSE</formula>
    </cfRule>
  </conditionalFormatting>
  <conditionalFormatting sqref="U260:W260 Y260:Z260 AF260:AH260">
    <cfRule type="cellIs" dxfId="545" priority="719" operator="equal">
      <formula>TRUE</formula>
    </cfRule>
    <cfRule type="cellIs" dxfId="544" priority="720" operator="equal">
      <formula>FALSE</formula>
    </cfRule>
  </conditionalFormatting>
  <conditionalFormatting sqref="X260">
    <cfRule type="cellIs" dxfId="543" priority="717" operator="equal">
      <formula>TRUE</formula>
    </cfRule>
    <cfRule type="cellIs" dxfId="542" priority="718" operator="equal">
      <formula>FALSE</formula>
    </cfRule>
  </conditionalFormatting>
  <conditionalFormatting sqref="U261:W261 Y261:Z261 AF261:AH261">
    <cfRule type="cellIs" dxfId="541" priority="715" operator="equal">
      <formula>TRUE</formula>
    </cfRule>
    <cfRule type="cellIs" dxfId="540" priority="716" operator="equal">
      <formula>FALSE</formula>
    </cfRule>
  </conditionalFormatting>
  <conditionalFormatting sqref="X261">
    <cfRule type="cellIs" dxfId="539" priority="713" operator="equal">
      <formula>TRUE</formula>
    </cfRule>
    <cfRule type="cellIs" dxfId="538" priority="714" operator="equal">
      <formula>FALSE</formula>
    </cfRule>
  </conditionalFormatting>
  <conditionalFormatting sqref="U262:W262 Y262:Z262 AF262:AH262">
    <cfRule type="cellIs" dxfId="537" priority="711" operator="equal">
      <formula>TRUE</formula>
    </cfRule>
    <cfRule type="cellIs" dxfId="536" priority="712" operator="equal">
      <formula>FALSE</formula>
    </cfRule>
  </conditionalFormatting>
  <conditionalFormatting sqref="X262">
    <cfRule type="cellIs" dxfId="535" priority="709" operator="equal">
      <formula>TRUE</formula>
    </cfRule>
    <cfRule type="cellIs" dxfId="534" priority="710" operator="equal">
      <formula>FALSE</formula>
    </cfRule>
  </conditionalFormatting>
  <conditionalFormatting sqref="U263:W263 Y263:Z263 AF263:AH263">
    <cfRule type="cellIs" dxfId="533" priority="707" operator="equal">
      <formula>TRUE</formula>
    </cfRule>
    <cfRule type="cellIs" dxfId="532" priority="708" operator="equal">
      <formula>FALSE</formula>
    </cfRule>
  </conditionalFormatting>
  <conditionalFormatting sqref="X263">
    <cfRule type="cellIs" dxfId="531" priority="705" operator="equal">
      <formula>TRUE</formula>
    </cfRule>
    <cfRule type="cellIs" dxfId="530" priority="706" operator="equal">
      <formula>FALSE</formula>
    </cfRule>
  </conditionalFormatting>
  <conditionalFormatting sqref="U264:W264 Y264:Z264 AF264:AH264">
    <cfRule type="cellIs" dxfId="529" priority="703" operator="equal">
      <formula>TRUE</formula>
    </cfRule>
    <cfRule type="cellIs" dxfId="528" priority="704" operator="equal">
      <formula>FALSE</formula>
    </cfRule>
  </conditionalFormatting>
  <conditionalFormatting sqref="X264">
    <cfRule type="cellIs" dxfId="527" priority="701" operator="equal">
      <formula>TRUE</formula>
    </cfRule>
    <cfRule type="cellIs" dxfId="526" priority="702" operator="equal">
      <formula>FALSE</formula>
    </cfRule>
  </conditionalFormatting>
  <conditionalFormatting sqref="U265:W265 Y265:Z265 AF265:AH265">
    <cfRule type="cellIs" dxfId="525" priority="699" operator="equal">
      <formula>TRUE</formula>
    </cfRule>
    <cfRule type="cellIs" dxfId="524" priority="700" operator="equal">
      <formula>FALSE</formula>
    </cfRule>
  </conditionalFormatting>
  <conditionalFormatting sqref="X265">
    <cfRule type="cellIs" dxfId="523" priority="697" operator="equal">
      <formula>TRUE</formula>
    </cfRule>
    <cfRule type="cellIs" dxfId="522" priority="698" operator="equal">
      <formula>FALSE</formula>
    </cfRule>
  </conditionalFormatting>
  <conditionalFormatting sqref="U266:W266 Y266:Z266 AF266:AH266">
    <cfRule type="cellIs" dxfId="521" priority="695" operator="equal">
      <formula>TRUE</formula>
    </cfRule>
    <cfRule type="cellIs" dxfId="520" priority="696" operator="equal">
      <formula>FALSE</formula>
    </cfRule>
  </conditionalFormatting>
  <conditionalFormatting sqref="X266">
    <cfRule type="cellIs" dxfId="519" priority="693" operator="equal">
      <formula>TRUE</formula>
    </cfRule>
    <cfRule type="cellIs" dxfId="518" priority="694" operator="equal">
      <formula>FALSE</formula>
    </cfRule>
  </conditionalFormatting>
  <conditionalFormatting sqref="U267:W267 Y267:Z267 AF267:AH267">
    <cfRule type="cellIs" dxfId="517" priority="691" operator="equal">
      <formula>TRUE</formula>
    </cfRule>
    <cfRule type="cellIs" dxfId="516" priority="692" operator="equal">
      <formula>FALSE</formula>
    </cfRule>
  </conditionalFormatting>
  <conditionalFormatting sqref="X267">
    <cfRule type="cellIs" dxfId="515" priority="689" operator="equal">
      <formula>TRUE</formula>
    </cfRule>
    <cfRule type="cellIs" dxfId="514" priority="690" operator="equal">
      <formula>FALSE</formula>
    </cfRule>
  </conditionalFormatting>
  <conditionalFormatting sqref="U268:W268 Y268:Z268 AF268:AH268">
    <cfRule type="cellIs" dxfId="513" priority="687" operator="equal">
      <formula>TRUE</formula>
    </cfRule>
    <cfRule type="cellIs" dxfId="512" priority="688" operator="equal">
      <formula>FALSE</formula>
    </cfRule>
  </conditionalFormatting>
  <conditionalFormatting sqref="X268">
    <cfRule type="cellIs" dxfId="511" priority="685" operator="equal">
      <formula>TRUE</formula>
    </cfRule>
    <cfRule type="cellIs" dxfId="510" priority="686" operator="equal">
      <formula>FALSE</formula>
    </cfRule>
  </conditionalFormatting>
  <conditionalFormatting sqref="U269:W269 Y269:Z269 AF269:AH269">
    <cfRule type="cellIs" dxfId="509" priority="683" operator="equal">
      <formula>TRUE</formula>
    </cfRule>
    <cfRule type="cellIs" dxfId="508" priority="684" operator="equal">
      <formula>FALSE</formula>
    </cfRule>
  </conditionalFormatting>
  <conditionalFormatting sqref="X281">
    <cfRule type="cellIs" dxfId="507" priority="657" operator="equal">
      <formula>TRUE</formula>
    </cfRule>
    <cfRule type="cellIs" dxfId="506" priority="658" operator="equal">
      <formula>FALSE</formula>
    </cfRule>
  </conditionalFormatting>
  <conditionalFormatting sqref="U280:W280 Y280:Z280 AF280:AH280">
    <cfRule type="cellIs" dxfId="505" priority="663" operator="equal">
      <formula>TRUE</formula>
    </cfRule>
    <cfRule type="cellIs" dxfId="504" priority="664" operator="equal">
      <formula>FALSE</formula>
    </cfRule>
  </conditionalFormatting>
  <conditionalFormatting sqref="X280">
    <cfRule type="cellIs" dxfId="503" priority="661" operator="equal">
      <formula>TRUE</formula>
    </cfRule>
    <cfRule type="cellIs" dxfId="502" priority="662" operator="equal">
      <formula>FALSE</formula>
    </cfRule>
  </conditionalFormatting>
  <conditionalFormatting sqref="X287">
    <cfRule type="cellIs" dxfId="501" priority="633" operator="equal">
      <formula>TRUE</formula>
    </cfRule>
    <cfRule type="cellIs" dxfId="500" priority="634" operator="equal">
      <formula>FALSE</formula>
    </cfRule>
  </conditionalFormatting>
  <conditionalFormatting sqref="U282:W282 Y282:Z282 AF282:AH282">
    <cfRule type="cellIs" dxfId="499" priority="655" operator="equal">
      <formula>TRUE</formula>
    </cfRule>
    <cfRule type="cellIs" dxfId="498" priority="656" operator="equal">
      <formula>FALSE</formula>
    </cfRule>
  </conditionalFormatting>
  <conditionalFormatting sqref="U283:W283 Y283:Z283 AF283:AH283">
    <cfRule type="cellIs" dxfId="497" priority="651" operator="equal">
      <formula>TRUE</formula>
    </cfRule>
    <cfRule type="cellIs" dxfId="496" priority="652" operator="equal">
      <formula>FALSE</formula>
    </cfRule>
  </conditionalFormatting>
  <conditionalFormatting sqref="X283">
    <cfRule type="cellIs" dxfId="495" priority="649" operator="equal">
      <formula>TRUE</formula>
    </cfRule>
    <cfRule type="cellIs" dxfId="494" priority="650" operator="equal">
      <formula>FALSE</formula>
    </cfRule>
  </conditionalFormatting>
  <conditionalFormatting sqref="U284:W284 Y284:Z284 AF284:AH284">
    <cfRule type="cellIs" dxfId="493" priority="647" operator="equal">
      <formula>TRUE</formula>
    </cfRule>
    <cfRule type="cellIs" dxfId="492" priority="648" operator="equal">
      <formula>FALSE</formula>
    </cfRule>
  </conditionalFormatting>
  <conditionalFormatting sqref="X284">
    <cfRule type="cellIs" dxfId="491" priority="645" operator="equal">
      <formula>TRUE</formula>
    </cfRule>
    <cfRule type="cellIs" dxfId="490" priority="646" operator="equal">
      <formula>FALSE</formula>
    </cfRule>
  </conditionalFormatting>
  <conditionalFormatting sqref="X285">
    <cfRule type="cellIs" dxfId="489" priority="641" operator="equal">
      <formula>TRUE</formula>
    </cfRule>
    <cfRule type="cellIs" dxfId="488" priority="642" operator="equal">
      <formula>FALSE</formula>
    </cfRule>
  </conditionalFormatting>
  <conditionalFormatting sqref="U286:W286 Y286:Z286 AF286:AH286">
    <cfRule type="cellIs" dxfId="487" priority="639" operator="equal">
      <formula>TRUE</formula>
    </cfRule>
    <cfRule type="cellIs" dxfId="486" priority="640" operator="equal">
      <formula>FALSE</formula>
    </cfRule>
  </conditionalFormatting>
  <conditionalFormatting sqref="U281:W281 Y281:Z281 AF281:AH281">
    <cfRule type="cellIs" dxfId="485" priority="659" operator="equal">
      <formula>TRUE</formula>
    </cfRule>
    <cfRule type="cellIs" dxfId="484" priority="660" operator="equal">
      <formula>FALSE</formula>
    </cfRule>
  </conditionalFormatting>
  <conditionalFormatting sqref="X282">
    <cfRule type="cellIs" dxfId="483" priority="653" operator="equal">
      <formula>TRUE</formula>
    </cfRule>
    <cfRule type="cellIs" dxfId="482" priority="654" operator="equal">
      <formula>FALSE</formula>
    </cfRule>
  </conditionalFormatting>
  <conditionalFormatting sqref="U285:W285 Y285:Z285 AF285:AH285">
    <cfRule type="cellIs" dxfId="481" priority="643" operator="equal">
      <formula>TRUE</formula>
    </cfRule>
    <cfRule type="cellIs" dxfId="480" priority="644" operator="equal">
      <formula>FALSE</formula>
    </cfRule>
  </conditionalFormatting>
  <conditionalFormatting sqref="X286">
    <cfRule type="cellIs" dxfId="479" priority="637" operator="equal">
      <formula>TRUE</formula>
    </cfRule>
    <cfRule type="cellIs" dxfId="478" priority="638" operator="equal">
      <formula>FALSE</formula>
    </cfRule>
  </conditionalFormatting>
  <conditionalFormatting sqref="U288:W288 Y288:Z288 AF288:AH288">
    <cfRule type="cellIs" dxfId="477" priority="631" operator="equal">
      <formula>TRUE</formula>
    </cfRule>
    <cfRule type="cellIs" dxfId="476" priority="632" operator="equal">
      <formula>FALSE</formula>
    </cfRule>
  </conditionalFormatting>
  <conditionalFormatting sqref="U287:W287 Y287:Z287 AF287:AH287">
    <cfRule type="cellIs" dxfId="475" priority="635" operator="equal">
      <formula>TRUE</formula>
    </cfRule>
    <cfRule type="cellIs" dxfId="474" priority="636" operator="equal">
      <formula>FALSE</formula>
    </cfRule>
  </conditionalFormatting>
  <conditionalFormatting sqref="U276:W276 Y276:Z276 AF276:AH276">
    <cfRule type="cellIs" dxfId="473" priority="679" operator="equal">
      <formula>TRUE</formula>
    </cfRule>
    <cfRule type="cellIs" dxfId="472" priority="680" operator="equal">
      <formula>FALSE</formula>
    </cfRule>
  </conditionalFormatting>
  <conditionalFormatting sqref="X276">
    <cfRule type="cellIs" dxfId="471" priority="677" operator="equal">
      <formula>TRUE</formula>
    </cfRule>
    <cfRule type="cellIs" dxfId="470" priority="678" operator="equal">
      <formula>FALSE</formula>
    </cfRule>
  </conditionalFormatting>
  <conditionalFormatting sqref="U277:W277 Y277:Z277 AF277:AH277">
    <cfRule type="cellIs" dxfId="469" priority="675" operator="equal">
      <formula>TRUE</formula>
    </cfRule>
    <cfRule type="cellIs" dxfId="468" priority="676" operator="equal">
      <formula>FALSE</formula>
    </cfRule>
  </conditionalFormatting>
  <conditionalFormatting sqref="X277">
    <cfRule type="cellIs" dxfId="467" priority="673" operator="equal">
      <formula>TRUE</formula>
    </cfRule>
    <cfRule type="cellIs" dxfId="466" priority="674" operator="equal">
      <formula>FALSE</formula>
    </cfRule>
  </conditionalFormatting>
  <conditionalFormatting sqref="U278:W278 Y278:Z278 AF278:AH278">
    <cfRule type="cellIs" dxfId="465" priority="671" operator="equal">
      <formula>TRUE</formula>
    </cfRule>
    <cfRule type="cellIs" dxfId="464" priority="672" operator="equal">
      <formula>FALSE</formula>
    </cfRule>
  </conditionalFormatting>
  <conditionalFormatting sqref="X278">
    <cfRule type="cellIs" dxfId="463" priority="669" operator="equal">
      <formula>TRUE</formula>
    </cfRule>
    <cfRule type="cellIs" dxfId="462" priority="670" operator="equal">
      <formula>FALSE</formula>
    </cfRule>
  </conditionalFormatting>
  <conditionalFormatting sqref="U279:W279 Y279:Z279 AF279:AH279">
    <cfRule type="cellIs" dxfId="461" priority="667" operator="equal">
      <formula>TRUE</formula>
    </cfRule>
    <cfRule type="cellIs" dxfId="460" priority="668" operator="equal">
      <formula>FALSE</formula>
    </cfRule>
  </conditionalFormatting>
  <conditionalFormatting sqref="X279">
    <cfRule type="cellIs" dxfId="459" priority="665" operator="equal">
      <formula>TRUE</formula>
    </cfRule>
    <cfRule type="cellIs" dxfId="458" priority="666" operator="equal">
      <formula>FALSE</formula>
    </cfRule>
  </conditionalFormatting>
  <conditionalFormatting sqref="X288">
    <cfRule type="cellIs" dxfId="457" priority="629" operator="equal">
      <formula>TRUE</formula>
    </cfRule>
    <cfRule type="cellIs" dxfId="456" priority="630" operator="equal">
      <formula>FALSE</formula>
    </cfRule>
  </conditionalFormatting>
  <conditionalFormatting sqref="U295:W295 Y295:Z295 AF295:AH295">
    <cfRule type="cellIs" dxfId="455" priority="603" operator="equal">
      <formula>TRUE</formula>
    </cfRule>
    <cfRule type="cellIs" dxfId="454" priority="604" operator="equal">
      <formula>FALSE</formula>
    </cfRule>
  </conditionalFormatting>
  <conditionalFormatting sqref="X301">
    <cfRule type="cellIs" dxfId="453" priority="577" operator="equal">
      <formula>TRUE</formula>
    </cfRule>
    <cfRule type="cellIs" dxfId="452" priority="578" operator="equal">
      <formula>FALSE</formula>
    </cfRule>
  </conditionalFormatting>
  <conditionalFormatting sqref="U302:W302 Y302:Z302 AF302:AH302">
    <cfRule type="cellIs" dxfId="451" priority="575" operator="equal">
      <formula>TRUE</formula>
    </cfRule>
    <cfRule type="cellIs" dxfId="450" priority="576" operator="equal">
      <formula>FALSE</formula>
    </cfRule>
  </conditionalFormatting>
  <conditionalFormatting sqref="X296">
    <cfRule type="cellIs" dxfId="449" priority="597" operator="equal">
      <formula>TRUE</formula>
    </cfRule>
    <cfRule type="cellIs" dxfId="448" priority="598" operator="equal">
      <formula>FALSE</formula>
    </cfRule>
  </conditionalFormatting>
  <conditionalFormatting sqref="U297:W297 Y297:Z297 AF297:AH297">
    <cfRule type="cellIs" dxfId="447" priority="595" operator="equal">
      <formula>TRUE</formula>
    </cfRule>
    <cfRule type="cellIs" dxfId="446" priority="596" operator="equal">
      <formula>FALSE</formula>
    </cfRule>
  </conditionalFormatting>
  <conditionalFormatting sqref="X321">
    <cfRule type="cellIs" dxfId="445" priority="521" operator="equal">
      <formula>TRUE</formula>
    </cfRule>
    <cfRule type="cellIs" dxfId="444" priority="522" operator="equal">
      <formula>FALSE</formula>
    </cfRule>
  </conditionalFormatting>
  <conditionalFormatting sqref="U310:W310 Y310:Z310 AF310:AH310">
    <cfRule type="cellIs" dxfId="443" priority="543" operator="equal">
      <formula>TRUE</formula>
    </cfRule>
    <cfRule type="cellIs" dxfId="442" priority="544" operator="equal">
      <formula>FALSE</formula>
    </cfRule>
  </conditionalFormatting>
  <conditionalFormatting sqref="X292">
    <cfRule type="cellIs" dxfId="441" priority="613" operator="equal">
      <formula>TRUE</formula>
    </cfRule>
    <cfRule type="cellIs" dxfId="440" priority="614" operator="equal">
      <formula>FALSE</formula>
    </cfRule>
  </conditionalFormatting>
  <conditionalFormatting sqref="X311">
    <cfRule type="cellIs" dxfId="439" priority="537" operator="equal">
      <formula>TRUE</formula>
    </cfRule>
    <cfRule type="cellIs" dxfId="438" priority="538" operator="equal">
      <formula>FALSE</formula>
    </cfRule>
  </conditionalFormatting>
  <conditionalFormatting sqref="X318">
    <cfRule type="cellIs" dxfId="437" priority="533" operator="equal">
      <formula>TRUE</formula>
    </cfRule>
    <cfRule type="cellIs" dxfId="436" priority="534" operator="equal">
      <formula>FALSE</formula>
    </cfRule>
  </conditionalFormatting>
  <conditionalFormatting sqref="U301:W301 Y301:Z301 AF301:AH301">
    <cfRule type="cellIs" dxfId="435" priority="579" operator="equal">
      <formula>TRUE</formula>
    </cfRule>
    <cfRule type="cellIs" dxfId="434" priority="580" operator="equal">
      <formula>FALSE</formula>
    </cfRule>
  </conditionalFormatting>
  <conditionalFormatting sqref="X307">
    <cfRule type="cellIs" dxfId="433" priority="553" operator="equal">
      <formula>TRUE</formula>
    </cfRule>
    <cfRule type="cellIs" dxfId="432" priority="554" operator="equal">
      <formula>FALSE</formula>
    </cfRule>
  </conditionalFormatting>
  <conditionalFormatting sqref="U308:W308 Y308:Z308 AF308:AH308">
    <cfRule type="cellIs" dxfId="431" priority="551" operator="equal">
      <formula>TRUE</formula>
    </cfRule>
    <cfRule type="cellIs" dxfId="430" priority="552" operator="equal">
      <formula>FALSE</formula>
    </cfRule>
  </conditionalFormatting>
  <conditionalFormatting sqref="X302">
    <cfRule type="cellIs" dxfId="429" priority="573" operator="equal">
      <formula>TRUE</formula>
    </cfRule>
    <cfRule type="cellIs" dxfId="428" priority="574" operator="equal">
      <formula>FALSE</formula>
    </cfRule>
  </conditionalFormatting>
  <conditionalFormatting sqref="U303:W303 Y303:Z303 AF303:AH303">
    <cfRule type="cellIs" dxfId="427" priority="571" operator="equal">
      <formula>TRUE</formula>
    </cfRule>
    <cfRule type="cellIs" dxfId="426" priority="572" operator="equal">
      <formula>FALSE</formula>
    </cfRule>
  </conditionalFormatting>
  <conditionalFormatting sqref="X310">
    <cfRule type="cellIs" dxfId="425" priority="541" operator="equal">
      <formula>TRUE</formula>
    </cfRule>
    <cfRule type="cellIs" dxfId="424" priority="542" operator="equal">
      <formula>FALSE</formula>
    </cfRule>
  </conditionalFormatting>
  <conditionalFormatting sqref="U307:W307 Y307:Z307 AF307:AH307">
    <cfRule type="cellIs" dxfId="423" priority="555" operator="equal">
      <formula>TRUE</formula>
    </cfRule>
    <cfRule type="cellIs" dxfId="422" priority="556" operator="equal">
      <formula>FALSE</formula>
    </cfRule>
  </conditionalFormatting>
  <conditionalFormatting sqref="X319">
    <cfRule type="cellIs" dxfId="421" priority="529" operator="equal">
      <formula>TRUE</formula>
    </cfRule>
    <cfRule type="cellIs" dxfId="420" priority="530" operator="equal">
      <formula>FALSE</formula>
    </cfRule>
  </conditionalFormatting>
  <conditionalFormatting sqref="U320:W320 Y320:Z320 AF320:AH320">
    <cfRule type="cellIs" dxfId="419" priority="527" operator="equal">
      <formula>TRUE</formula>
    </cfRule>
    <cfRule type="cellIs" dxfId="418" priority="528" operator="equal">
      <formula>FALSE</formula>
    </cfRule>
  </conditionalFormatting>
  <conditionalFormatting sqref="X308">
    <cfRule type="cellIs" dxfId="417" priority="549" operator="equal">
      <formula>TRUE</formula>
    </cfRule>
    <cfRule type="cellIs" dxfId="416" priority="550" operator="equal">
      <formula>FALSE</formula>
    </cfRule>
  </conditionalFormatting>
  <conditionalFormatting sqref="U309:W309 Y309:Z309 AF309:AH309">
    <cfRule type="cellIs" dxfId="415" priority="547" operator="equal">
      <formula>TRUE</formula>
    </cfRule>
    <cfRule type="cellIs" dxfId="414" priority="548" operator="equal">
      <formula>FALSE</formula>
    </cfRule>
  </conditionalFormatting>
  <conditionalFormatting sqref="U319:W319 Y319:Z319 AF319:AH319">
    <cfRule type="cellIs" dxfId="413" priority="531" operator="equal">
      <formula>TRUE</formula>
    </cfRule>
    <cfRule type="cellIs" dxfId="412" priority="532" operator="equal">
      <formula>FALSE</formula>
    </cfRule>
  </conditionalFormatting>
  <conditionalFormatting sqref="X320">
    <cfRule type="cellIs" dxfId="411" priority="525" operator="equal">
      <formula>TRUE</formula>
    </cfRule>
    <cfRule type="cellIs" dxfId="410" priority="526" operator="equal">
      <formula>FALSE</formula>
    </cfRule>
  </conditionalFormatting>
  <conditionalFormatting sqref="U321:W321 Y321:Z321 AF321:AH321">
    <cfRule type="cellIs" dxfId="409" priority="523" operator="equal">
      <formula>TRUE</formula>
    </cfRule>
    <cfRule type="cellIs" dxfId="408" priority="524" operator="equal">
      <formula>FALSE</formula>
    </cfRule>
  </conditionalFormatting>
  <conditionalFormatting sqref="U334:W334 Y334:Z334 AF334:AH334">
    <cfRule type="cellIs" dxfId="407" priority="471" operator="equal">
      <formula>TRUE</formula>
    </cfRule>
    <cfRule type="cellIs" dxfId="406" priority="472" operator="equal">
      <formula>FALSE</formula>
    </cfRule>
  </conditionalFormatting>
  <conditionalFormatting sqref="X335">
    <cfRule type="cellIs" dxfId="405" priority="465" operator="equal">
      <formula>TRUE</formula>
    </cfRule>
    <cfRule type="cellIs" dxfId="404" priority="466" operator="equal">
      <formula>FALSE</formula>
    </cfRule>
  </conditionalFormatting>
  <conditionalFormatting sqref="U330:W330 Y330:Z330 AF330:AH330">
    <cfRule type="cellIs" dxfId="403" priority="487" operator="equal">
      <formula>TRUE</formula>
    </cfRule>
    <cfRule type="cellIs" dxfId="402" priority="488" operator="equal">
      <formula>FALSE</formula>
    </cfRule>
  </conditionalFormatting>
  <conditionalFormatting sqref="X331">
    <cfRule type="cellIs" dxfId="401" priority="481" operator="equal">
      <formula>TRUE</formula>
    </cfRule>
    <cfRule type="cellIs" dxfId="400" priority="482" operator="equal">
      <formula>FALSE</formula>
    </cfRule>
  </conditionalFormatting>
  <conditionalFormatting sqref="U332:W332 Y332:Z332 AF332:AH332">
    <cfRule type="cellIs" dxfId="399" priority="479" operator="equal">
      <formula>TRUE</formula>
    </cfRule>
    <cfRule type="cellIs" dxfId="398" priority="480" operator="equal">
      <formula>FALSE</formula>
    </cfRule>
  </conditionalFormatting>
  <conditionalFormatting sqref="X333">
    <cfRule type="cellIs" dxfId="397" priority="473" operator="equal">
      <formula>TRUE</formula>
    </cfRule>
    <cfRule type="cellIs" dxfId="396" priority="474" operator="equal">
      <formula>FALSE</formula>
    </cfRule>
  </conditionalFormatting>
  <conditionalFormatting sqref="U160:W160 Y160:Z160 AF160:AH160">
    <cfRule type="cellIs" dxfId="395" priority="447" operator="equal">
      <formula>TRUE</formula>
    </cfRule>
    <cfRule type="cellIs" dxfId="394" priority="448" operator="equal">
      <formula>FALSE</formula>
    </cfRule>
  </conditionalFormatting>
  <conditionalFormatting sqref="X161">
    <cfRule type="cellIs" dxfId="393" priority="441" operator="equal">
      <formula>TRUE</formula>
    </cfRule>
    <cfRule type="cellIs" dxfId="392" priority="442" operator="equal">
      <formula>FALSE</formula>
    </cfRule>
  </conditionalFormatting>
  <conditionalFormatting sqref="X330">
    <cfRule type="cellIs" dxfId="391" priority="485" operator="equal">
      <formula>TRUE</formula>
    </cfRule>
    <cfRule type="cellIs" dxfId="390" priority="486" operator="equal">
      <formula>FALSE</formula>
    </cfRule>
  </conditionalFormatting>
  <conditionalFormatting sqref="U331:W331 Y331:Z331 AF331:AH331">
    <cfRule type="cellIs" dxfId="389" priority="483" operator="equal">
      <formula>TRUE</formula>
    </cfRule>
    <cfRule type="cellIs" dxfId="388" priority="484" operator="equal">
      <formula>FALSE</formula>
    </cfRule>
  </conditionalFormatting>
  <conditionalFormatting sqref="U14:W14 Y14:AA14 AF14:AH14">
    <cfRule type="cellIs" dxfId="387" priority="1207" operator="equal">
      <formula>TRUE</formula>
    </cfRule>
    <cfRule type="cellIs" dxfId="386" priority="1208" operator="equal">
      <formula>FALSE</formula>
    </cfRule>
  </conditionalFormatting>
  <conditionalFormatting sqref="X332">
    <cfRule type="cellIs" dxfId="385" priority="477" operator="equal">
      <formula>TRUE</formula>
    </cfRule>
    <cfRule type="cellIs" dxfId="384" priority="478" operator="equal">
      <formula>FALSE</formula>
    </cfRule>
  </conditionalFormatting>
  <conditionalFormatting sqref="X334">
    <cfRule type="cellIs" dxfId="383" priority="469" operator="equal">
      <formula>TRUE</formula>
    </cfRule>
    <cfRule type="cellIs" dxfId="382" priority="470" operator="equal">
      <formula>FALSE</formula>
    </cfRule>
  </conditionalFormatting>
  <conditionalFormatting sqref="U335:W335 Y335:Z335 AF335:AH335">
    <cfRule type="cellIs" dxfId="381" priority="467" operator="equal">
      <formula>TRUE</formula>
    </cfRule>
    <cfRule type="cellIs" dxfId="380" priority="468" operator="equal">
      <formula>FALSE</formula>
    </cfRule>
  </conditionalFormatting>
  <conditionalFormatting sqref="U198:W198 Y198:Z198 AF198:AH198">
    <cfRule type="cellIs" dxfId="379" priority="439" operator="equal">
      <formula>TRUE</formula>
    </cfRule>
    <cfRule type="cellIs" dxfId="378" priority="440" operator="equal">
      <formula>FALSE</formula>
    </cfRule>
  </conditionalFormatting>
  <conditionalFormatting sqref="X199">
    <cfRule type="cellIs" dxfId="377" priority="433" operator="equal">
      <formula>TRUE</formula>
    </cfRule>
    <cfRule type="cellIs" dxfId="376" priority="434" operator="equal">
      <formula>FALSE</formula>
    </cfRule>
  </conditionalFormatting>
  <conditionalFormatting sqref="U200:W200 Y200:Z200 AF200:AH200">
    <cfRule type="cellIs" dxfId="375" priority="431" operator="equal">
      <formula>TRUE</formula>
    </cfRule>
    <cfRule type="cellIs" dxfId="374" priority="432" operator="equal">
      <formula>FALSE</formula>
    </cfRule>
  </conditionalFormatting>
  <conditionalFormatting sqref="X14">
    <cfRule type="cellIs" dxfId="373" priority="1205" operator="equal">
      <formula>TRUE</formula>
    </cfRule>
    <cfRule type="cellIs" dxfId="372" priority="1206" operator="equal">
      <formula>FALSE</formula>
    </cfRule>
  </conditionalFormatting>
  <conditionalFormatting sqref="U333:W333 Y333:Z333 AF333:AH333">
    <cfRule type="cellIs" dxfId="371" priority="475" operator="equal">
      <formula>TRUE</formula>
    </cfRule>
    <cfRule type="cellIs" dxfId="370" priority="476" operator="equal">
      <formula>FALSE</formula>
    </cfRule>
  </conditionalFormatting>
  <conditionalFormatting sqref="X201">
    <cfRule type="cellIs" dxfId="369" priority="425" operator="equal">
      <formula>TRUE</formula>
    </cfRule>
    <cfRule type="cellIs" dxfId="368" priority="426" operator="equal">
      <formula>FALSE</formula>
    </cfRule>
  </conditionalFormatting>
  <conditionalFormatting sqref="U202:W202 Y202:Z202 AF202:AH202">
    <cfRule type="cellIs" dxfId="367" priority="423" operator="equal">
      <formula>TRUE</formula>
    </cfRule>
    <cfRule type="cellIs" dxfId="366" priority="424" operator="equal">
      <formula>FALSE</formula>
    </cfRule>
  </conditionalFormatting>
  <conditionalFormatting sqref="X160">
    <cfRule type="cellIs" dxfId="365" priority="445" operator="equal">
      <formula>TRUE</formula>
    </cfRule>
    <cfRule type="cellIs" dxfId="364" priority="446" operator="equal">
      <formula>FALSE</formula>
    </cfRule>
  </conditionalFormatting>
  <conditionalFormatting sqref="U161:W161 Y161:Z161 AF161:AH161">
    <cfRule type="cellIs" dxfId="363" priority="443" operator="equal">
      <formula>TRUE</formula>
    </cfRule>
    <cfRule type="cellIs" dxfId="362" priority="444" operator="equal">
      <formula>FALSE</formula>
    </cfRule>
  </conditionalFormatting>
  <conditionalFormatting sqref="X15">
    <cfRule type="cellIs" dxfId="361" priority="1199" operator="equal">
      <formula>TRUE</formula>
    </cfRule>
    <cfRule type="cellIs" dxfId="360" priority="1200" operator="equal">
      <formula>FALSE</formula>
    </cfRule>
  </conditionalFormatting>
  <conditionalFormatting sqref="U199:W199 Y199:Z199 AF199:AH199">
    <cfRule type="cellIs" dxfId="359" priority="435" operator="equal">
      <formula>TRUE</formula>
    </cfRule>
    <cfRule type="cellIs" dxfId="358" priority="436" operator="equal">
      <formula>FALSE</formula>
    </cfRule>
  </conditionalFormatting>
  <conditionalFormatting sqref="X200">
    <cfRule type="cellIs" dxfId="357" priority="429" operator="equal">
      <formula>TRUE</formula>
    </cfRule>
    <cfRule type="cellIs" dxfId="356" priority="430" operator="equal">
      <formula>FALSE</formula>
    </cfRule>
  </conditionalFormatting>
  <conditionalFormatting sqref="U15:W15 Y15:AA15 AF15:AH15">
    <cfRule type="cellIs" dxfId="355" priority="1201" operator="equal">
      <formula>TRUE</formula>
    </cfRule>
    <cfRule type="cellIs" dxfId="354" priority="1202" operator="equal">
      <formula>FALSE</formula>
    </cfRule>
  </conditionalFormatting>
  <conditionalFormatting sqref="X203">
    <cfRule type="cellIs" dxfId="353" priority="417" operator="equal">
      <formula>TRUE</formula>
    </cfRule>
    <cfRule type="cellIs" dxfId="352" priority="418" operator="equal">
      <formula>FALSE</formula>
    </cfRule>
  </conditionalFormatting>
  <conditionalFormatting sqref="X198">
    <cfRule type="cellIs" dxfId="351" priority="437" operator="equal">
      <formula>TRUE</formula>
    </cfRule>
    <cfRule type="cellIs" dxfId="350" priority="438" operator="equal">
      <formula>FALSE</formula>
    </cfRule>
  </conditionalFormatting>
  <conditionalFormatting sqref="U201:W201 Y201:Z201 AF201:AH201">
    <cfRule type="cellIs" dxfId="349" priority="427" operator="equal">
      <formula>TRUE</formula>
    </cfRule>
    <cfRule type="cellIs" dxfId="348" priority="428" operator="equal">
      <formula>FALSE</formula>
    </cfRule>
  </conditionalFormatting>
  <conditionalFormatting sqref="X202">
    <cfRule type="cellIs" dxfId="347" priority="421" operator="equal">
      <formula>TRUE</formula>
    </cfRule>
    <cfRule type="cellIs" dxfId="346" priority="422" operator="equal">
      <formula>FALSE</formula>
    </cfRule>
  </conditionalFormatting>
  <conditionalFormatting sqref="U203:W203 Y203:Z203 AF203:AH203">
    <cfRule type="cellIs" dxfId="345" priority="419" operator="equal">
      <formula>TRUE</formula>
    </cfRule>
    <cfRule type="cellIs" dxfId="344" priority="420" operator="equal">
      <formula>FALSE</formula>
    </cfRule>
  </conditionalFormatting>
  <conditionalFormatting sqref="U228:W228 Y228:Z228 AF228:AH228">
    <cfRule type="cellIs" dxfId="343" priority="415" operator="equal">
      <formula>TRUE</formula>
    </cfRule>
    <cfRule type="cellIs" dxfId="342" priority="416" operator="equal">
      <formula>FALSE</formula>
    </cfRule>
  </conditionalFormatting>
  <conditionalFormatting sqref="AI84">
    <cfRule type="cellIs" dxfId="341" priority="1155" operator="equal">
      <formula>TRUE</formula>
    </cfRule>
    <cfRule type="cellIs" dxfId="340" priority="1156" operator="equal">
      <formula>FALSE</formula>
    </cfRule>
  </conditionalFormatting>
  <conditionalFormatting sqref="AI85">
    <cfRule type="cellIs" dxfId="339" priority="1149" operator="equal">
      <formula>TRUE</formula>
    </cfRule>
    <cfRule type="cellIs" dxfId="338" priority="1150" operator="equal">
      <formula>FALSE</formula>
    </cfRule>
  </conditionalFormatting>
  <conditionalFormatting sqref="AI86">
    <cfRule type="cellIs" dxfId="337" priority="1143" operator="equal">
      <formula>TRUE</formula>
    </cfRule>
    <cfRule type="cellIs" dxfId="336" priority="1144" operator="equal">
      <formula>FALSE</formula>
    </cfRule>
  </conditionalFormatting>
  <conditionalFormatting sqref="AI87">
    <cfRule type="cellIs" dxfId="335" priority="1137" operator="equal">
      <formula>TRUE</formula>
    </cfRule>
    <cfRule type="cellIs" dxfId="334" priority="1138" operator="equal">
      <formula>FALSE</formula>
    </cfRule>
  </conditionalFormatting>
  <conditionalFormatting sqref="AI88">
    <cfRule type="cellIs" dxfId="333" priority="1131" operator="equal">
      <formula>TRUE</formula>
    </cfRule>
    <cfRule type="cellIs" dxfId="332" priority="1132" operator="equal">
      <formula>FALSE</formula>
    </cfRule>
  </conditionalFormatting>
  <conditionalFormatting sqref="AI89">
    <cfRule type="cellIs" dxfId="331" priority="1125" operator="equal">
      <formula>TRUE</formula>
    </cfRule>
    <cfRule type="cellIs" dxfId="330" priority="1126" operator="equal">
      <formula>FALSE</formula>
    </cfRule>
  </conditionalFormatting>
  <conditionalFormatting sqref="U84:W84 Y84:AD84 AB85:AD89 AF84:AH84">
    <cfRule type="cellIs" dxfId="329" priority="1159" operator="equal">
      <formula>TRUE</formula>
    </cfRule>
    <cfRule type="cellIs" dxfId="328" priority="1160" operator="equal">
      <formula>FALSE</formula>
    </cfRule>
  </conditionalFormatting>
  <conditionalFormatting sqref="X84">
    <cfRule type="cellIs" dxfId="327" priority="1157" operator="equal">
      <formula>TRUE</formula>
    </cfRule>
    <cfRule type="cellIs" dxfId="326" priority="1158" operator="equal">
      <formula>FALSE</formula>
    </cfRule>
  </conditionalFormatting>
  <conditionalFormatting sqref="U85:W85 Y85:AA85 AF85:AH85">
    <cfRule type="cellIs" dxfId="325" priority="1153" operator="equal">
      <formula>TRUE</formula>
    </cfRule>
    <cfRule type="cellIs" dxfId="324" priority="1154" operator="equal">
      <formula>FALSE</formula>
    </cfRule>
  </conditionalFormatting>
  <conditionalFormatting sqref="X85">
    <cfRule type="cellIs" dxfId="323" priority="1151" operator="equal">
      <formula>TRUE</formula>
    </cfRule>
    <cfRule type="cellIs" dxfId="322" priority="1152" operator="equal">
      <formula>FALSE</formula>
    </cfRule>
  </conditionalFormatting>
  <conditionalFormatting sqref="U86:W86 Y86:AA86 AF86:AH86">
    <cfRule type="cellIs" dxfId="321" priority="1147" operator="equal">
      <formula>TRUE</formula>
    </cfRule>
    <cfRule type="cellIs" dxfId="320" priority="1148" operator="equal">
      <formula>FALSE</formula>
    </cfRule>
  </conditionalFormatting>
  <conditionalFormatting sqref="X86">
    <cfRule type="cellIs" dxfId="319" priority="1145" operator="equal">
      <formula>TRUE</formula>
    </cfRule>
    <cfRule type="cellIs" dxfId="318" priority="1146" operator="equal">
      <formula>FALSE</formula>
    </cfRule>
  </conditionalFormatting>
  <conditionalFormatting sqref="U87:W87 Y87:AA87 AF87:AH87">
    <cfRule type="cellIs" dxfId="317" priority="1141" operator="equal">
      <formula>TRUE</formula>
    </cfRule>
    <cfRule type="cellIs" dxfId="316" priority="1142" operator="equal">
      <formula>FALSE</formula>
    </cfRule>
  </conditionalFormatting>
  <conditionalFormatting sqref="X87">
    <cfRule type="cellIs" dxfId="315" priority="1139" operator="equal">
      <formula>TRUE</formula>
    </cfRule>
    <cfRule type="cellIs" dxfId="314" priority="1140" operator="equal">
      <formula>FALSE</formula>
    </cfRule>
  </conditionalFormatting>
  <conditionalFormatting sqref="U88:W88 Y88:AA88 AF88:AH88">
    <cfRule type="cellIs" dxfId="313" priority="1135" operator="equal">
      <formula>TRUE</formula>
    </cfRule>
    <cfRule type="cellIs" dxfId="312" priority="1136" operator="equal">
      <formula>FALSE</formula>
    </cfRule>
  </conditionalFormatting>
  <conditionalFormatting sqref="X88">
    <cfRule type="cellIs" dxfId="311" priority="1133" operator="equal">
      <formula>TRUE</formula>
    </cfRule>
    <cfRule type="cellIs" dxfId="310" priority="1134" operator="equal">
      <formula>FALSE</formula>
    </cfRule>
  </conditionalFormatting>
  <conditionalFormatting sqref="U89:W89 Y89:AA89 AF89:AH89">
    <cfRule type="cellIs" dxfId="309" priority="1129" operator="equal">
      <formula>TRUE</formula>
    </cfRule>
    <cfRule type="cellIs" dxfId="308" priority="1130" operator="equal">
      <formula>FALSE</formula>
    </cfRule>
  </conditionalFormatting>
  <conditionalFormatting sqref="X89">
    <cfRule type="cellIs" dxfId="307" priority="1127" operator="equal">
      <formula>TRUE</formula>
    </cfRule>
    <cfRule type="cellIs" dxfId="306" priority="1128" operator="equal">
      <formula>FALSE</formula>
    </cfRule>
  </conditionalFormatting>
  <conditionalFormatting sqref="AI126">
    <cfRule type="cellIs" dxfId="305" priority="1119" operator="equal">
      <formula>TRUE</formula>
    </cfRule>
    <cfRule type="cellIs" dxfId="304" priority="1120" operator="equal">
      <formula>FALSE</formula>
    </cfRule>
  </conditionalFormatting>
  <conditionalFormatting sqref="AI127">
    <cfRule type="cellIs" dxfId="303" priority="1113" operator="equal">
      <formula>TRUE</formula>
    </cfRule>
    <cfRule type="cellIs" dxfId="302" priority="1114" operator="equal">
      <formula>FALSE</formula>
    </cfRule>
  </conditionalFormatting>
  <conditionalFormatting sqref="AI128">
    <cfRule type="cellIs" dxfId="301" priority="1107" operator="equal">
      <formula>TRUE</formula>
    </cfRule>
    <cfRule type="cellIs" dxfId="300" priority="1108" operator="equal">
      <formula>FALSE</formula>
    </cfRule>
  </conditionalFormatting>
  <conditionalFormatting sqref="AI129">
    <cfRule type="cellIs" dxfId="299" priority="1101" operator="equal">
      <formula>TRUE</formula>
    </cfRule>
    <cfRule type="cellIs" dxfId="298" priority="1102" operator="equal">
      <formula>FALSE</formula>
    </cfRule>
  </conditionalFormatting>
  <conditionalFormatting sqref="AI130">
    <cfRule type="cellIs" dxfId="297" priority="1095" operator="equal">
      <formula>TRUE</formula>
    </cfRule>
    <cfRule type="cellIs" dxfId="296" priority="1096" operator="equal">
      <formula>FALSE</formula>
    </cfRule>
  </conditionalFormatting>
  <conditionalFormatting sqref="AI131">
    <cfRule type="cellIs" dxfId="295" priority="1089" operator="equal">
      <formula>TRUE</formula>
    </cfRule>
    <cfRule type="cellIs" dxfId="294" priority="1090" operator="equal">
      <formula>FALSE</formula>
    </cfRule>
  </conditionalFormatting>
  <conditionalFormatting sqref="U126:W126 Y126:AD126 AB127:AD131 AF126:AH126">
    <cfRule type="cellIs" dxfId="293" priority="1123" operator="equal">
      <formula>TRUE</formula>
    </cfRule>
    <cfRule type="cellIs" dxfId="292" priority="1124" operator="equal">
      <formula>FALSE</formula>
    </cfRule>
  </conditionalFormatting>
  <conditionalFormatting sqref="X126">
    <cfRule type="cellIs" dxfId="291" priority="1121" operator="equal">
      <formula>TRUE</formula>
    </cfRule>
    <cfRule type="cellIs" dxfId="290" priority="1122" operator="equal">
      <formula>FALSE</formula>
    </cfRule>
  </conditionalFormatting>
  <conditionalFormatting sqref="U127:W127 Y127:AA127 AF127:AH127">
    <cfRule type="cellIs" dxfId="289" priority="1117" operator="equal">
      <formula>TRUE</formula>
    </cfRule>
    <cfRule type="cellIs" dxfId="288" priority="1118" operator="equal">
      <formula>FALSE</formula>
    </cfRule>
  </conditionalFormatting>
  <conditionalFormatting sqref="X127">
    <cfRule type="cellIs" dxfId="287" priority="1115" operator="equal">
      <formula>TRUE</formula>
    </cfRule>
    <cfRule type="cellIs" dxfId="286" priority="1116" operator="equal">
      <formula>FALSE</formula>
    </cfRule>
  </conditionalFormatting>
  <conditionalFormatting sqref="U128:W128 Y128:AA128 AF128:AH128">
    <cfRule type="cellIs" dxfId="285" priority="1111" operator="equal">
      <formula>TRUE</formula>
    </cfRule>
    <cfRule type="cellIs" dxfId="284" priority="1112" operator="equal">
      <formula>FALSE</formula>
    </cfRule>
  </conditionalFormatting>
  <conditionalFormatting sqref="X128">
    <cfRule type="cellIs" dxfId="283" priority="1109" operator="equal">
      <formula>TRUE</formula>
    </cfRule>
    <cfRule type="cellIs" dxfId="282" priority="1110" operator="equal">
      <formula>FALSE</formula>
    </cfRule>
  </conditionalFormatting>
  <conditionalFormatting sqref="U129:W129 Y129:AA129 AF129:AH129">
    <cfRule type="cellIs" dxfId="281" priority="1105" operator="equal">
      <formula>TRUE</formula>
    </cfRule>
    <cfRule type="cellIs" dxfId="280" priority="1106" operator="equal">
      <formula>FALSE</formula>
    </cfRule>
  </conditionalFormatting>
  <conditionalFormatting sqref="X129">
    <cfRule type="cellIs" dxfId="279" priority="1103" operator="equal">
      <formula>TRUE</formula>
    </cfRule>
    <cfRule type="cellIs" dxfId="278" priority="1104" operator="equal">
      <formula>FALSE</formula>
    </cfRule>
  </conditionalFormatting>
  <conditionalFormatting sqref="U130:W130 Y130:AA130 AF130:AH130">
    <cfRule type="cellIs" dxfId="277" priority="1099" operator="equal">
      <formula>TRUE</formula>
    </cfRule>
    <cfRule type="cellIs" dxfId="276" priority="1100" operator="equal">
      <formula>FALSE</formula>
    </cfRule>
  </conditionalFormatting>
  <conditionalFormatting sqref="X130">
    <cfRule type="cellIs" dxfId="275" priority="1097" operator="equal">
      <formula>TRUE</formula>
    </cfRule>
    <cfRule type="cellIs" dxfId="274" priority="1098" operator="equal">
      <formula>FALSE</formula>
    </cfRule>
  </conditionalFormatting>
  <conditionalFormatting sqref="U131:W131 Y131:AA131 AF131:AH131">
    <cfRule type="cellIs" dxfId="273" priority="1093" operator="equal">
      <formula>TRUE</formula>
    </cfRule>
    <cfRule type="cellIs" dxfId="272" priority="1094" operator="equal">
      <formula>FALSE</formula>
    </cfRule>
  </conditionalFormatting>
  <conditionalFormatting sqref="X131">
    <cfRule type="cellIs" dxfId="271" priority="1091" operator="equal">
      <formula>TRUE</formula>
    </cfRule>
    <cfRule type="cellIs" dxfId="270" priority="1092" operator="equal">
      <formula>FALSE</formula>
    </cfRule>
  </conditionalFormatting>
  <conditionalFormatting sqref="U156:W156 Y156:Z156 AF156:AH156">
    <cfRule type="cellIs" dxfId="269" priority="463" operator="equal">
      <formula>TRUE</formula>
    </cfRule>
    <cfRule type="cellIs" dxfId="268" priority="464" operator="equal">
      <formula>FALSE</formula>
    </cfRule>
  </conditionalFormatting>
  <conditionalFormatting sqref="X157">
    <cfRule type="cellIs" dxfId="267" priority="457" operator="equal">
      <formula>TRUE</formula>
    </cfRule>
    <cfRule type="cellIs" dxfId="266" priority="458" operator="equal">
      <formula>FALSE</formula>
    </cfRule>
  </conditionalFormatting>
  <conditionalFormatting sqref="U158:W158 Y158:Z158 AF158:AH158">
    <cfRule type="cellIs" dxfId="265" priority="455" operator="equal">
      <formula>TRUE</formula>
    </cfRule>
    <cfRule type="cellIs" dxfId="264" priority="456" operator="equal">
      <formula>FALSE</formula>
    </cfRule>
  </conditionalFormatting>
  <conditionalFormatting sqref="X159">
    <cfRule type="cellIs" dxfId="263" priority="449" operator="equal">
      <formula>TRUE</formula>
    </cfRule>
    <cfRule type="cellIs" dxfId="262" priority="450" operator="equal">
      <formula>FALSE</formula>
    </cfRule>
  </conditionalFormatting>
  <conditionalFormatting sqref="U157:W157 Y157:Z157 AF157:AH157">
    <cfRule type="cellIs" dxfId="261" priority="459" operator="equal">
      <formula>TRUE</formula>
    </cfRule>
    <cfRule type="cellIs" dxfId="260" priority="460" operator="equal">
      <formula>FALSE</formula>
    </cfRule>
  </conditionalFormatting>
  <conditionalFormatting sqref="X158">
    <cfRule type="cellIs" dxfId="259" priority="453" operator="equal">
      <formula>TRUE</formula>
    </cfRule>
    <cfRule type="cellIs" dxfId="258" priority="454" operator="equal">
      <formula>FALSE</formula>
    </cfRule>
  </conditionalFormatting>
  <conditionalFormatting sqref="X156">
    <cfRule type="cellIs" dxfId="257" priority="461" operator="equal">
      <formula>TRUE</formula>
    </cfRule>
    <cfRule type="cellIs" dxfId="256" priority="462" operator="equal">
      <formula>FALSE</formula>
    </cfRule>
  </conditionalFormatting>
  <conditionalFormatting sqref="U159:W159 Y159:Z159 AF159:AH159">
    <cfRule type="cellIs" dxfId="255" priority="451" operator="equal">
      <formula>TRUE</formula>
    </cfRule>
    <cfRule type="cellIs" dxfId="254" priority="452" operator="equal">
      <formula>FALSE</formula>
    </cfRule>
  </conditionalFormatting>
  <conditionalFormatting sqref="X228">
    <cfRule type="cellIs" dxfId="253" priority="413" operator="equal">
      <formula>TRUE</formula>
    </cfRule>
    <cfRule type="cellIs" dxfId="252" priority="414" operator="equal">
      <formula>FALSE</formula>
    </cfRule>
  </conditionalFormatting>
  <conditionalFormatting sqref="U229:W229 Y229:Z229 AF229:AH229">
    <cfRule type="cellIs" dxfId="251" priority="411" operator="equal">
      <formula>TRUE</formula>
    </cfRule>
    <cfRule type="cellIs" dxfId="250" priority="412" operator="equal">
      <formula>FALSE</formula>
    </cfRule>
  </conditionalFormatting>
  <conditionalFormatting sqref="X229">
    <cfRule type="cellIs" dxfId="249" priority="409" operator="equal">
      <formula>TRUE</formula>
    </cfRule>
    <cfRule type="cellIs" dxfId="248" priority="410" operator="equal">
      <formula>FALSE</formula>
    </cfRule>
  </conditionalFormatting>
  <conditionalFormatting sqref="U230:W230 Y230:Z230 AF230:AH230">
    <cfRule type="cellIs" dxfId="247" priority="407" operator="equal">
      <formula>TRUE</formula>
    </cfRule>
    <cfRule type="cellIs" dxfId="246" priority="408" operator="equal">
      <formula>FALSE</formula>
    </cfRule>
  </conditionalFormatting>
  <conditionalFormatting sqref="X230">
    <cfRule type="cellIs" dxfId="245" priority="405" operator="equal">
      <formula>TRUE</formula>
    </cfRule>
    <cfRule type="cellIs" dxfId="244" priority="406" operator="equal">
      <formula>FALSE</formula>
    </cfRule>
  </conditionalFormatting>
  <conditionalFormatting sqref="U231:W231 Y231:Z231 AF231:AH231">
    <cfRule type="cellIs" dxfId="243" priority="403" operator="equal">
      <formula>TRUE</formula>
    </cfRule>
    <cfRule type="cellIs" dxfId="242" priority="404" operator="equal">
      <formula>FALSE</formula>
    </cfRule>
  </conditionalFormatting>
  <conditionalFormatting sqref="X231">
    <cfRule type="cellIs" dxfId="241" priority="401" operator="equal">
      <formula>TRUE</formula>
    </cfRule>
    <cfRule type="cellIs" dxfId="240" priority="402" operator="equal">
      <formula>FALSE</formula>
    </cfRule>
  </conditionalFormatting>
  <conditionalFormatting sqref="U232:W232 Y232:Z232 AF232:AH232">
    <cfRule type="cellIs" dxfId="239" priority="399" operator="equal">
      <formula>TRUE</formula>
    </cfRule>
    <cfRule type="cellIs" dxfId="238" priority="400" operator="equal">
      <formula>FALSE</formula>
    </cfRule>
  </conditionalFormatting>
  <conditionalFormatting sqref="X232">
    <cfRule type="cellIs" dxfId="237" priority="397" operator="equal">
      <formula>TRUE</formula>
    </cfRule>
    <cfRule type="cellIs" dxfId="236" priority="398" operator="equal">
      <formula>FALSE</formula>
    </cfRule>
  </conditionalFormatting>
  <conditionalFormatting sqref="U233:W233 Y233:Z233 AF233:AH233">
    <cfRule type="cellIs" dxfId="235" priority="395" operator="equal">
      <formula>TRUE</formula>
    </cfRule>
    <cfRule type="cellIs" dxfId="234" priority="396" operator="equal">
      <formula>FALSE</formula>
    </cfRule>
  </conditionalFormatting>
  <conditionalFormatting sqref="X233">
    <cfRule type="cellIs" dxfId="233" priority="393" operator="equal">
      <formula>TRUE</formula>
    </cfRule>
    <cfRule type="cellIs" dxfId="232" priority="394" operator="equal">
      <formula>FALSE</formula>
    </cfRule>
  </conditionalFormatting>
  <conditionalFormatting sqref="U270:W270 Y270:Z270 AF270:AH270">
    <cfRule type="cellIs" dxfId="231" priority="391" operator="equal">
      <formula>TRUE</formula>
    </cfRule>
    <cfRule type="cellIs" dxfId="230" priority="392" operator="equal">
      <formula>FALSE</formula>
    </cfRule>
  </conditionalFormatting>
  <conditionalFormatting sqref="X270">
    <cfRule type="cellIs" dxfId="229" priority="389" operator="equal">
      <formula>TRUE</formula>
    </cfRule>
    <cfRule type="cellIs" dxfId="228" priority="390" operator="equal">
      <formula>FALSE</formula>
    </cfRule>
  </conditionalFormatting>
  <conditionalFormatting sqref="U271:W271 Y271:Z271 AF271:AH271">
    <cfRule type="cellIs" dxfId="227" priority="387" operator="equal">
      <formula>TRUE</formula>
    </cfRule>
    <cfRule type="cellIs" dxfId="226" priority="388" operator="equal">
      <formula>FALSE</formula>
    </cfRule>
  </conditionalFormatting>
  <conditionalFormatting sqref="X271">
    <cfRule type="cellIs" dxfId="225" priority="385" operator="equal">
      <formula>TRUE</formula>
    </cfRule>
    <cfRule type="cellIs" dxfId="224" priority="386" operator="equal">
      <formula>FALSE</formula>
    </cfRule>
  </conditionalFormatting>
  <conditionalFormatting sqref="U272:W272 Y272:Z272 AF272:AH272">
    <cfRule type="cellIs" dxfId="223" priority="383" operator="equal">
      <formula>TRUE</formula>
    </cfRule>
    <cfRule type="cellIs" dxfId="222" priority="384" operator="equal">
      <formula>FALSE</formula>
    </cfRule>
  </conditionalFormatting>
  <conditionalFormatting sqref="X272">
    <cfRule type="cellIs" dxfId="221" priority="381" operator="equal">
      <formula>TRUE</formula>
    </cfRule>
    <cfRule type="cellIs" dxfId="220" priority="382" operator="equal">
      <formula>FALSE</formula>
    </cfRule>
  </conditionalFormatting>
  <conditionalFormatting sqref="U273:W273 Y273:Z273 AF273:AH273">
    <cfRule type="cellIs" dxfId="219" priority="379" operator="equal">
      <formula>TRUE</formula>
    </cfRule>
    <cfRule type="cellIs" dxfId="218" priority="380" operator="equal">
      <formula>FALSE</formula>
    </cfRule>
  </conditionalFormatting>
  <conditionalFormatting sqref="X273">
    <cfRule type="cellIs" dxfId="217" priority="377" operator="equal">
      <formula>TRUE</formula>
    </cfRule>
    <cfRule type="cellIs" dxfId="216" priority="378" operator="equal">
      <formula>FALSE</formula>
    </cfRule>
  </conditionalFormatting>
  <conditionalFormatting sqref="U274:W274 Y274:Z274 AF274:AH274">
    <cfRule type="cellIs" dxfId="215" priority="375" operator="equal">
      <formula>TRUE</formula>
    </cfRule>
    <cfRule type="cellIs" dxfId="214" priority="376" operator="equal">
      <formula>FALSE</formula>
    </cfRule>
  </conditionalFormatting>
  <conditionalFormatting sqref="X274">
    <cfRule type="cellIs" dxfId="213" priority="373" operator="equal">
      <formula>TRUE</formula>
    </cfRule>
    <cfRule type="cellIs" dxfId="212" priority="374" operator="equal">
      <formula>FALSE</formula>
    </cfRule>
  </conditionalFormatting>
  <conditionalFormatting sqref="U275:W275 Y275:Z275 AF275:AH275">
    <cfRule type="cellIs" dxfId="211" priority="371" operator="equal">
      <formula>TRUE</formula>
    </cfRule>
    <cfRule type="cellIs" dxfId="210" priority="372" operator="equal">
      <formula>FALSE</formula>
    </cfRule>
  </conditionalFormatting>
  <conditionalFormatting sqref="X275">
    <cfRule type="cellIs" dxfId="209" priority="369" operator="equal">
      <formula>TRUE</formula>
    </cfRule>
    <cfRule type="cellIs" dxfId="208" priority="370" operator="equal">
      <formula>FALSE</formula>
    </cfRule>
  </conditionalFormatting>
  <conditionalFormatting sqref="U312:W312 Y312:Z312 AF312:AH312">
    <cfRule type="cellIs" dxfId="207" priority="367" operator="equal">
      <formula>TRUE</formula>
    </cfRule>
    <cfRule type="cellIs" dxfId="206" priority="368" operator="equal">
      <formula>FALSE</formula>
    </cfRule>
  </conditionalFormatting>
  <conditionalFormatting sqref="X312">
    <cfRule type="cellIs" dxfId="205" priority="365" operator="equal">
      <formula>TRUE</formula>
    </cfRule>
    <cfRule type="cellIs" dxfId="204" priority="366" operator="equal">
      <formula>FALSE</formula>
    </cfRule>
  </conditionalFormatting>
  <conditionalFormatting sqref="U313:W313 Y313:Z313 AF313:AH313">
    <cfRule type="cellIs" dxfId="203" priority="363" operator="equal">
      <formula>TRUE</formula>
    </cfRule>
    <cfRule type="cellIs" dxfId="202" priority="364" operator="equal">
      <formula>FALSE</formula>
    </cfRule>
  </conditionalFormatting>
  <conditionalFormatting sqref="X313">
    <cfRule type="cellIs" dxfId="201" priority="361" operator="equal">
      <formula>TRUE</formula>
    </cfRule>
    <cfRule type="cellIs" dxfId="200" priority="362" operator="equal">
      <formula>FALSE</formula>
    </cfRule>
  </conditionalFormatting>
  <conditionalFormatting sqref="U314:W314 Y314:Z314 AF314:AH314">
    <cfRule type="cellIs" dxfId="199" priority="359" operator="equal">
      <formula>TRUE</formula>
    </cfRule>
    <cfRule type="cellIs" dxfId="198" priority="360" operator="equal">
      <formula>FALSE</formula>
    </cfRule>
  </conditionalFormatting>
  <conditionalFormatting sqref="X314">
    <cfRule type="cellIs" dxfId="197" priority="357" operator="equal">
      <formula>TRUE</formula>
    </cfRule>
    <cfRule type="cellIs" dxfId="196" priority="358" operator="equal">
      <formula>FALSE</formula>
    </cfRule>
  </conditionalFormatting>
  <conditionalFormatting sqref="U315:W315 Y315:Z315 AF315:AH315">
    <cfRule type="cellIs" dxfId="195" priority="355" operator="equal">
      <formula>TRUE</formula>
    </cfRule>
    <cfRule type="cellIs" dxfId="194" priority="356" operator="equal">
      <formula>FALSE</formula>
    </cfRule>
  </conditionalFormatting>
  <conditionalFormatting sqref="X315">
    <cfRule type="cellIs" dxfId="193" priority="353" operator="equal">
      <formula>TRUE</formula>
    </cfRule>
    <cfRule type="cellIs" dxfId="192" priority="354" operator="equal">
      <formula>FALSE</formula>
    </cfRule>
  </conditionalFormatting>
  <conditionalFormatting sqref="U316:W316 Y316:Z316 AF316:AH316">
    <cfRule type="cellIs" dxfId="191" priority="351" operator="equal">
      <formula>TRUE</formula>
    </cfRule>
    <cfRule type="cellIs" dxfId="190" priority="352" operator="equal">
      <formula>FALSE</formula>
    </cfRule>
  </conditionalFormatting>
  <conditionalFormatting sqref="X316">
    <cfRule type="cellIs" dxfId="189" priority="349" operator="equal">
      <formula>TRUE</formula>
    </cfRule>
    <cfRule type="cellIs" dxfId="188" priority="350" operator="equal">
      <formula>FALSE</formula>
    </cfRule>
  </conditionalFormatting>
  <conditionalFormatting sqref="U317:W317 Y317:Z317 AF317:AH317">
    <cfRule type="cellIs" dxfId="187" priority="347" operator="equal">
      <formula>TRUE</formula>
    </cfRule>
    <cfRule type="cellIs" dxfId="186" priority="348" operator="equal">
      <formula>FALSE</formula>
    </cfRule>
  </conditionalFormatting>
  <conditionalFormatting sqref="X317">
    <cfRule type="cellIs" dxfId="185" priority="345" operator="equal">
      <formula>TRUE</formula>
    </cfRule>
    <cfRule type="cellIs" dxfId="184" priority="346" operator="equal">
      <formula>FALSE</formula>
    </cfRule>
  </conditionalFormatting>
  <conditionalFormatting sqref="U24:W24 Y24:AA24 AF24:AH24">
    <cfRule type="cellIs" dxfId="183" priority="335" operator="equal">
      <formula>TRUE</formula>
    </cfRule>
    <cfRule type="cellIs" dxfId="182" priority="336" operator="equal">
      <formula>FALSE</formula>
    </cfRule>
  </conditionalFormatting>
  <conditionalFormatting sqref="X24">
    <cfRule type="cellIs" dxfId="181" priority="333" operator="equal">
      <formula>TRUE</formula>
    </cfRule>
    <cfRule type="cellIs" dxfId="180" priority="334" operator="equal">
      <formula>FALSE</formula>
    </cfRule>
  </conditionalFormatting>
  <conditionalFormatting sqref="AI24">
    <cfRule type="cellIs" dxfId="179" priority="331" operator="equal">
      <formula>TRUE</formula>
    </cfRule>
    <cfRule type="cellIs" dxfId="178" priority="332" operator="equal">
      <formula>FALSE</formula>
    </cfRule>
  </conditionalFormatting>
  <conditionalFormatting sqref="AI25">
    <cfRule type="cellIs" dxfId="177" priority="265" operator="equal">
      <formula>TRUE</formula>
    </cfRule>
    <cfRule type="cellIs" dxfId="176" priority="266" operator="equal">
      <formula>FALSE</formula>
    </cfRule>
  </conditionalFormatting>
  <conditionalFormatting sqref="AI26">
    <cfRule type="cellIs" dxfId="175" priority="259" operator="equal">
      <formula>TRUE</formula>
    </cfRule>
    <cfRule type="cellIs" dxfId="174" priority="260" operator="equal">
      <formula>FALSE</formula>
    </cfRule>
  </conditionalFormatting>
  <conditionalFormatting sqref="U25:W25 Y25:AA25 AF25:AH25">
    <cfRule type="cellIs" dxfId="173" priority="269" operator="equal">
      <formula>TRUE</formula>
    </cfRule>
    <cfRule type="cellIs" dxfId="172" priority="270" operator="equal">
      <formula>FALSE</formula>
    </cfRule>
  </conditionalFormatting>
  <conditionalFormatting sqref="X25">
    <cfRule type="cellIs" dxfId="171" priority="267" operator="equal">
      <formula>TRUE</formula>
    </cfRule>
    <cfRule type="cellIs" dxfId="170" priority="268" operator="equal">
      <formula>FALSE</formula>
    </cfRule>
  </conditionalFormatting>
  <conditionalFormatting sqref="X26">
    <cfRule type="cellIs" dxfId="169" priority="261" operator="equal">
      <formula>TRUE</formula>
    </cfRule>
    <cfRule type="cellIs" dxfId="168" priority="262" operator="equal">
      <formula>FALSE</formula>
    </cfRule>
  </conditionalFormatting>
  <conditionalFormatting sqref="U26:W26 Y26:AA26 AF26:AH26">
    <cfRule type="cellIs" dxfId="167" priority="263" operator="equal">
      <formula>TRUE</formula>
    </cfRule>
    <cfRule type="cellIs" dxfId="166" priority="264" operator="equal">
      <formula>FALSE</formula>
    </cfRule>
  </conditionalFormatting>
  <conditionalFormatting sqref="U30:W30 Y30:AA30 AF30:AH30">
    <cfRule type="cellIs" dxfId="165" priority="169" operator="equal">
      <formula>TRUE</formula>
    </cfRule>
    <cfRule type="cellIs" dxfId="164" priority="170" operator="equal">
      <formula>FALSE</formula>
    </cfRule>
  </conditionalFormatting>
  <conditionalFormatting sqref="X30">
    <cfRule type="cellIs" dxfId="163" priority="167" operator="equal">
      <formula>TRUE</formula>
    </cfRule>
    <cfRule type="cellIs" dxfId="162" priority="168" operator="equal">
      <formula>FALSE</formula>
    </cfRule>
  </conditionalFormatting>
  <conditionalFormatting sqref="AI30">
    <cfRule type="cellIs" dxfId="161" priority="165" operator="equal">
      <formula>TRUE</formula>
    </cfRule>
    <cfRule type="cellIs" dxfId="160" priority="166" operator="equal">
      <formula>FALSE</formula>
    </cfRule>
  </conditionalFormatting>
  <conditionalFormatting sqref="AI31">
    <cfRule type="cellIs" dxfId="159" priority="159" operator="equal">
      <formula>TRUE</formula>
    </cfRule>
    <cfRule type="cellIs" dxfId="158" priority="160" operator="equal">
      <formula>FALSE</formula>
    </cfRule>
  </conditionalFormatting>
  <conditionalFormatting sqref="AI32">
    <cfRule type="cellIs" dxfId="157" priority="153" operator="equal">
      <formula>TRUE</formula>
    </cfRule>
    <cfRule type="cellIs" dxfId="156" priority="154" operator="equal">
      <formula>FALSE</formula>
    </cfRule>
  </conditionalFormatting>
  <conditionalFormatting sqref="U31:W31 Y31:AA31 AF31:AH31">
    <cfRule type="cellIs" dxfId="155" priority="163" operator="equal">
      <formula>TRUE</formula>
    </cfRule>
    <cfRule type="cellIs" dxfId="154" priority="164" operator="equal">
      <formula>FALSE</formula>
    </cfRule>
  </conditionalFormatting>
  <conditionalFormatting sqref="X31">
    <cfRule type="cellIs" dxfId="153" priority="161" operator="equal">
      <formula>TRUE</formula>
    </cfRule>
    <cfRule type="cellIs" dxfId="152" priority="162" operator="equal">
      <formula>FALSE</formula>
    </cfRule>
  </conditionalFormatting>
  <conditionalFormatting sqref="X32">
    <cfRule type="cellIs" dxfId="151" priority="155" operator="equal">
      <formula>TRUE</formula>
    </cfRule>
    <cfRule type="cellIs" dxfId="150" priority="156" operator="equal">
      <formula>FALSE</formula>
    </cfRule>
  </conditionalFormatting>
  <conditionalFormatting sqref="U32:W32 Y32:AA32 AF32:AH32">
    <cfRule type="cellIs" dxfId="149" priority="157" operator="equal">
      <formula>TRUE</formula>
    </cfRule>
    <cfRule type="cellIs" dxfId="148" priority="158" operator="equal">
      <formula>FALSE</formula>
    </cfRule>
  </conditionalFormatting>
  <conditionalFormatting sqref="U27:W27 Y27:AA27 AF27:AH27">
    <cfRule type="cellIs" dxfId="147" priority="149" operator="equal">
      <formula>TRUE</formula>
    </cfRule>
    <cfRule type="cellIs" dxfId="146" priority="150" operator="equal">
      <formula>FALSE</formula>
    </cfRule>
  </conditionalFormatting>
  <conditionalFormatting sqref="X27">
    <cfRule type="cellIs" dxfId="145" priority="147" operator="equal">
      <formula>TRUE</formula>
    </cfRule>
    <cfRule type="cellIs" dxfId="144" priority="148" operator="equal">
      <formula>FALSE</formula>
    </cfRule>
  </conditionalFormatting>
  <conditionalFormatting sqref="AI27">
    <cfRule type="cellIs" dxfId="143" priority="145" operator="equal">
      <formula>TRUE</formula>
    </cfRule>
    <cfRule type="cellIs" dxfId="142" priority="146" operator="equal">
      <formula>FALSE</formula>
    </cfRule>
  </conditionalFormatting>
  <conditionalFormatting sqref="AI28">
    <cfRule type="cellIs" dxfId="141" priority="139" operator="equal">
      <formula>TRUE</formula>
    </cfRule>
    <cfRule type="cellIs" dxfId="140" priority="140" operator="equal">
      <formula>FALSE</formula>
    </cfRule>
  </conditionalFormatting>
  <conditionalFormatting sqref="AI29">
    <cfRule type="cellIs" dxfId="139" priority="133" operator="equal">
      <formula>TRUE</formula>
    </cfRule>
    <cfRule type="cellIs" dxfId="138" priority="134" operator="equal">
      <formula>FALSE</formula>
    </cfRule>
  </conditionalFormatting>
  <conditionalFormatting sqref="U28:W28 Y28:AA28 AF28:AH28">
    <cfRule type="cellIs" dxfId="137" priority="143" operator="equal">
      <formula>TRUE</formula>
    </cfRule>
    <cfRule type="cellIs" dxfId="136" priority="144" operator="equal">
      <formula>FALSE</formula>
    </cfRule>
  </conditionalFormatting>
  <conditionalFormatting sqref="X28">
    <cfRule type="cellIs" dxfId="135" priority="141" operator="equal">
      <formula>TRUE</formula>
    </cfRule>
    <cfRule type="cellIs" dxfId="134" priority="142" operator="equal">
      <formula>FALSE</formula>
    </cfRule>
  </conditionalFormatting>
  <conditionalFormatting sqref="X29">
    <cfRule type="cellIs" dxfId="133" priority="135" operator="equal">
      <formula>TRUE</formula>
    </cfRule>
    <cfRule type="cellIs" dxfId="132" priority="136" operator="equal">
      <formula>FALSE</formula>
    </cfRule>
  </conditionalFormatting>
  <conditionalFormatting sqref="U29:W29 Y29:AA29 AF29:AH29">
    <cfRule type="cellIs" dxfId="131" priority="137" operator="equal">
      <formula>TRUE</formula>
    </cfRule>
    <cfRule type="cellIs" dxfId="130" priority="138" operator="equal">
      <formula>FALSE</formula>
    </cfRule>
  </conditionalFormatting>
  <conditionalFormatting sqref="U33:W33 Y33:AA33 AF33:AH33">
    <cfRule type="cellIs" dxfId="129" priority="129" operator="equal">
      <formula>TRUE</formula>
    </cfRule>
    <cfRule type="cellIs" dxfId="128" priority="130" operator="equal">
      <formula>FALSE</formula>
    </cfRule>
  </conditionalFormatting>
  <conditionalFormatting sqref="X33">
    <cfRule type="cellIs" dxfId="127" priority="127" operator="equal">
      <formula>TRUE</formula>
    </cfRule>
    <cfRule type="cellIs" dxfId="126" priority="128" operator="equal">
      <formula>FALSE</formula>
    </cfRule>
  </conditionalFormatting>
  <conditionalFormatting sqref="AI33">
    <cfRule type="cellIs" dxfId="125" priority="125" operator="equal">
      <formula>TRUE</formula>
    </cfRule>
    <cfRule type="cellIs" dxfId="124" priority="126" operator="equal">
      <formula>FALSE</formula>
    </cfRule>
  </conditionalFormatting>
  <conditionalFormatting sqref="U34:W34 Y34:AA34 AF34:AH34">
    <cfRule type="cellIs" dxfId="123" priority="123" operator="equal">
      <formula>TRUE</formula>
    </cfRule>
    <cfRule type="cellIs" dxfId="122" priority="124" operator="equal">
      <formula>FALSE</formula>
    </cfRule>
  </conditionalFormatting>
  <conditionalFormatting sqref="X34">
    <cfRule type="cellIs" dxfId="121" priority="121" operator="equal">
      <formula>TRUE</formula>
    </cfRule>
    <cfRule type="cellIs" dxfId="120" priority="122" operator="equal">
      <formula>FALSE</formula>
    </cfRule>
  </conditionalFormatting>
  <conditionalFormatting sqref="AI34">
    <cfRule type="cellIs" dxfId="119" priority="119" operator="equal">
      <formula>TRUE</formula>
    </cfRule>
    <cfRule type="cellIs" dxfId="118" priority="120" operator="equal">
      <formula>FALSE</formula>
    </cfRule>
  </conditionalFormatting>
  <conditionalFormatting sqref="X38">
    <cfRule type="cellIs" dxfId="117" priority="109" operator="equal">
      <formula>TRUE</formula>
    </cfRule>
    <cfRule type="cellIs" dxfId="116" priority="110" operator="equal">
      <formula>FALSE</formula>
    </cfRule>
  </conditionalFormatting>
  <conditionalFormatting sqref="AI38">
    <cfRule type="cellIs" dxfId="115" priority="107" operator="equal">
      <formula>TRUE</formula>
    </cfRule>
    <cfRule type="cellIs" dxfId="114" priority="108" operator="equal">
      <formula>FALSE</formula>
    </cfRule>
  </conditionalFormatting>
  <conditionalFormatting sqref="U39:W39 Y39:AA39 AF39:AH39">
    <cfRule type="cellIs" dxfId="113" priority="105" operator="equal">
      <formula>TRUE</formula>
    </cfRule>
    <cfRule type="cellIs" dxfId="112" priority="106" operator="equal">
      <formula>FALSE</formula>
    </cfRule>
  </conditionalFormatting>
  <conditionalFormatting sqref="X39">
    <cfRule type="cellIs" dxfId="111" priority="103" operator="equal">
      <formula>TRUE</formula>
    </cfRule>
    <cfRule type="cellIs" dxfId="110" priority="104" operator="equal">
      <formula>FALSE</formula>
    </cfRule>
  </conditionalFormatting>
  <conditionalFormatting sqref="U38:W38 Y38:AA38 AF38:AH38">
    <cfRule type="cellIs" dxfId="109" priority="111" operator="equal">
      <formula>TRUE</formula>
    </cfRule>
    <cfRule type="cellIs" dxfId="108" priority="112" operator="equal">
      <formula>FALSE</formula>
    </cfRule>
  </conditionalFormatting>
  <conditionalFormatting sqref="AI39">
    <cfRule type="cellIs" dxfId="107" priority="101" operator="equal">
      <formula>TRUE</formula>
    </cfRule>
    <cfRule type="cellIs" dxfId="106" priority="102" operator="equal">
      <formula>FALSE</formula>
    </cfRule>
  </conditionalFormatting>
  <conditionalFormatting sqref="AI35">
    <cfRule type="cellIs" dxfId="105" priority="65" operator="equal">
      <formula>TRUE</formula>
    </cfRule>
    <cfRule type="cellIs" dxfId="104" priority="66" operator="equal">
      <formula>FALSE</formula>
    </cfRule>
  </conditionalFormatting>
  <conditionalFormatting sqref="X40">
    <cfRule type="cellIs" dxfId="103" priority="97" operator="equal">
      <formula>TRUE</formula>
    </cfRule>
    <cfRule type="cellIs" dxfId="102" priority="98" operator="equal">
      <formula>FALSE</formula>
    </cfRule>
  </conditionalFormatting>
  <conditionalFormatting sqref="AI40">
    <cfRule type="cellIs" dxfId="101" priority="95" operator="equal">
      <formula>TRUE</formula>
    </cfRule>
    <cfRule type="cellIs" dxfId="100" priority="96" operator="equal">
      <formula>FALSE</formula>
    </cfRule>
  </conditionalFormatting>
  <conditionalFormatting sqref="U40:W40 Y40:AA40 AF40:AH40">
    <cfRule type="cellIs" dxfId="99" priority="99" operator="equal">
      <formula>TRUE</formula>
    </cfRule>
    <cfRule type="cellIs" dxfId="98" priority="100" operator="equal">
      <formula>FALSE</formula>
    </cfRule>
  </conditionalFormatting>
  <conditionalFormatting sqref="U37:W37 Y37:AA37 AF37:AH37">
    <cfRule type="cellIs" dxfId="97" priority="117" operator="equal">
      <formula>TRUE</formula>
    </cfRule>
    <cfRule type="cellIs" dxfId="96" priority="118" operator="equal">
      <formula>FALSE</formula>
    </cfRule>
  </conditionalFormatting>
  <conditionalFormatting sqref="X37">
    <cfRule type="cellIs" dxfId="95" priority="115" operator="equal">
      <formula>TRUE</formula>
    </cfRule>
    <cfRule type="cellIs" dxfId="94" priority="116" operator="equal">
      <formula>FALSE</formula>
    </cfRule>
  </conditionalFormatting>
  <conditionalFormatting sqref="AI37">
    <cfRule type="cellIs" dxfId="93" priority="113" operator="equal">
      <formula>TRUE</formula>
    </cfRule>
    <cfRule type="cellIs" dxfId="92" priority="114" operator="equal">
      <formula>FALSE</formula>
    </cfRule>
  </conditionalFormatting>
  <conditionalFormatting sqref="AI36">
    <cfRule type="cellIs" dxfId="91" priority="59" operator="equal">
      <formula>TRUE</formula>
    </cfRule>
    <cfRule type="cellIs" dxfId="90" priority="60" operator="equal">
      <formula>FALSE</formula>
    </cfRule>
  </conditionalFormatting>
  <conditionalFormatting sqref="U41:W41 Y41:AA41 AF41:AH41">
    <cfRule type="cellIs" dxfId="89" priority="93" operator="equal">
      <formula>TRUE</formula>
    </cfRule>
    <cfRule type="cellIs" dxfId="88" priority="94" operator="equal">
      <formula>FALSE</formula>
    </cfRule>
  </conditionalFormatting>
  <conditionalFormatting sqref="X41">
    <cfRule type="cellIs" dxfId="87" priority="91" operator="equal">
      <formula>TRUE</formula>
    </cfRule>
    <cfRule type="cellIs" dxfId="86" priority="92" operator="equal">
      <formula>FALSE</formula>
    </cfRule>
  </conditionalFormatting>
  <conditionalFormatting sqref="AI41">
    <cfRule type="cellIs" dxfId="85" priority="89" operator="equal">
      <formula>TRUE</formula>
    </cfRule>
    <cfRule type="cellIs" dxfId="84" priority="90" operator="equal">
      <formula>FALSE</formula>
    </cfRule>
  </conditionalFormatting>
  <conditionalFormatting sqref="U42:W42 Y42:AA42 AF42:AH42">
    <cfRule type="cellIs" dxfId="83" priority="87" operator="equal">
      <formula>TRUE</formula>
    </cfRule>
    <cfRule type="cellIs" dxfId="82" priority="88" operator="equal">
      <formula>FALSE</formula>
    </cfRule>
  </conditionalFormatting>
  <conditionalFormatting sqref="X42">
    <cfRule type="cellIs" dxfId="81" priority="85" operator="equal">
      <formula>TRUE</formula>
    </cfRule>
    <cfRule type="cellIs" dxfId="80" priority="86" operator="equal">
      <formula>FALSE</formula>
    </cfRule>
  </conditionalFormatting>
  <conditionalFormatting sqref="AI42">
    <cfRule type="cellIs" dxfId="79" priority="83" operator="equal">
      <formula>TRUE</formula>
    </cfRule>
    <cfRule type="cellIs" dxfId="78" priority="84" operator="equal">
      <formula>FALSE</formula>
    </cfRule>
  </conditionalFormatting>
  <conditionalFormatting sqref="U43:W43 Y43:AA43 AF43:AH43">
    <cfRule type="cellIs" dxfId="77" priority="81" operator="equal">
      <formula>TRUE</formula>
    </cfRule>
    <cfRule type="cellIs" dxfId="76" priority="82" operator="equal">
      <formula>FALSE</formula>
    </cfRule>
  </conditionalFormatting>
  <conditionalFormatting sqref="X43">
    <cfRule type="cellIs" dxfId="75" priority="79" operator="equal">
      <formula>TRUE</formula>
    </cfRule>
    <cfRule type="cellIs" dxfId="74" priority="80" operator="equal">
      <formula>FALSE</formula>
    </cfRule>
  </conditionalFormatting>
  <conditionalFormatting sqref="AI43">
    <cfRule type="cellIs" dxfId="73" priority="77" operator="equal">
      <formula>TRUE</formula>
    </cfRule>
    <cfRule type="cellIs" dxfId="72" priority="78" operator="equal">
      <formula>FALSE</formula>
    </cfRule>
  </conditionalFormatting>
  <conditionalFormatting sqref="U44:W44 Y44:AA44 AF44:AH44">
    <cfRule type="cellIs" dxfId="71" priority="75" operator="equal">
      <formula>TRUE</formula>
    </cfRule>
    <cfRule type="cellIs" dxfId="70" priority="76" operator="equal">
      <formula>FALSE</formula>
    </cfRule>
  </conditionalFormatting>
  <conditionalFormatting sqref="X44">
    <cfRule type="cellIs" dxfId="69" priority="73" operator="equal">
      <formula>TRUE</formula>
    </cfRule>
    <cfRule type="cellIs" dxfId="68" priority="74" operator="equal">
      <formula>FALSE</formula>
    </cfRule>
  </conditionalFormatting>
  <conditionalFormatting sqref="AI44">
    <cfRule type="cellIs" dxfId="67" priority="71" operator="equal">
      <formula>TRUE</formula>
    </cfRule>
    <cfRule type="cellIs" dxfId="66" priority="72" operator="equal">
      <formula>FALSE</formula>
    </cfRule>
  </conditionalFormatting>
  <conditionalFormatting sqref="U35:W35 Y35:AA35 AF35:AH35">
    <cfRule type="cellIs" dxfId="65" priority="69" operator="equal">
      <formula>TRUE</formula>
    </cfRule>
    <cfRule type="cellIs" dxfId="64" priority="70" operator="equal">
      <formula>FALSE</formula>
    </cfRule>
  </conditionalFormatting>
  <conditionalFormatting sqref="X35">
    <cfRule type="cellIs" dxfId="63" priority="67" operator="equal">
      <formula>TRUE</formula>
    </cfRule>
    <cfRule type="cellIs" dxfId="62" priority="68" operator="equal">
      <formula>FALSE</formula>
    </cfRule>
  </conditionalFormatting>
  <conditionalFormatting sqref="X36">
    <cfRule type="cellIs" dxfId="61" priority="61" operator="equal">
      <formula>TRUE</formula>
    </cfRule>
    <cfRule type="cellIs" dxfId="60" priority="62" operator="equal">
      <formula>FALSE</formula>
    </cfRule>
  </conditionalFormatting>
  <conditionalFormatting sqref="U36:W36 Y36:AA36 AF36:AH36">
    <cfRule type="cellIs" dxfId="59" priority="63" operator="equal">
      <formula>TRUE</formula>
    </cfRule>
    <cfRule type="cellIs" dxfId="58" priority="64" operator="equal">
      <formula>FALSE</formula>
    </cfRule>
  </conditionalFormatting>
  <conditionalFormatting sqref="U45:W45 Y45:AA45 AF45:AH45">
    <cfRule type="cellIs" dxfId="57" priority="57" operator="equal">
      <formula>TRUE</formula>
    </cfRule>
    <cfRule type="cellIs" dxfId="56" priority="58" operator="equal">
      <formula>FALSE</formula>
    </cfRule>
  </conditionalFormatting>
  <conditionalFormatting sqref="X45">
    <cfRule type="cellIs" dxfId="55" priority="55" operator="equal">
      <formula>TRUE</formula>
    </cfRule>
    <cfRule type="cellIs" dxfId="54" priority="56" operator="equal">
      <formula>FALSE</formula>
    </cfRule>
  </conditionalFormatting>
  <conditionalFormatting sqref="AI45">
    <cfRule type="cellIs" dxfId="53" priority="53" operator="equal">
      <formula>TRUE</formula>
    </cfRule>
    <cfRule type="cellIs" dxfId="52" priority="54" operator="equal">
      <formula>FALSE</formula>
    </cfRule>
  </conditionalFormatting>
  <conditionalFormatting sqref="AI46">
    <cfRule type="cellIs" dxfId="51" priority="47" operator="equal">
      <formula>TRUE</formula>
    </cfRule>
    <cfRule type="cellIs" dxfId="50" priority="48" operator="equal">
      <formula>FALSE</formula>
    </cfRule>
  </conditionalFormatting>
  <conditionalFormatting sqref="AI47">
    <cfRule type="cellIs" dxfId="49" priority="41" operator="equal">
      <formula>TRUE</formula>
    </cfRule>
    <cfRule type="cellIs" dxfId="48" priority="42" operator="equal">
      <formula>FALSE</formula>
    </cfRule>
  </conditionalFormatting>
  <conditionalFormatting sqref="U46:W46 Y46:AA46 AF46:AH46">
    <cfRule type="cellIs" dxfId="47" priority="51" operator="equal">
      <formula>TRUE</formula>
    </cfRule>
    <cfRule type="cellIs" dxfId="46" priority="52" operator="equal">
      <formula>FALSE</formula>
    </cfRule>
  </conditionalFormatting>
  <conditionalFormatting sqref="X46">
    <cfRule type="cellIs" dxfId="45" priority="49" operator="equal">
      <formula>TRUE</formula>
    </cfRule>
    <cfRule type="cellIs" dxfId="44" priority="50" operator="equal">
      <formula>FALSE</formula>
    </cfRule>
  </conditionalFormatting>
  <conditionalFormatting sqref="X47">
    <cfRule type="cellIs" dxfId="43" priority="43" operator="equal">
      <formula>TRUE</formula>
    </cfRule>
    <cfRule type="cellIs" dxfId="42" priority="44" operator="equal">
      <formula>FALSE</formula>
    </cfRule>
  </conditionalFormatting>
  <conditionalFormatting sqref="U47:W47 Y47:AA47 AF47:AH47">
    <cfRule type="cellIs" dxfId="41" priority="45" operator="equal">
      <formula>TRUE</formula>
    </cfRule>
    <cfRule type="cellIs" dxfId="40" priority="46" operator="equal">
      <formula>FALSE</formula>
    </cfRule>
  </conditionalFormatting>
  <conditionalFormatting sqref="U51:W51 Y51:AA51 AF51:AH51">
    <cfRule type="cellIs" dxfId="39" priority="37" operator="equal">
      <formula>TRUE</formula>
    </cfRule>
    <cfRule type="cellIs" dxfId="38" priority="38" operator="equal">
      <formula>FALSE</formula>
    </cfRule>
  </conditionalFormatting>
  <conditionalFormatting sqref="X51">
    <cfRule type="cellIs" dxfId="37" priority="35" operator="equal">
      <formula>TRUE</formula>
    </cfRule>
    <cfRule type="cellIs" dxfId="36" priority="36" operator="equal">
      <formula>FALSE</formula>
    </cfRule>
  </conditionalFormatting>
  <conditionalFormatting sqref="AI51">
    <cfRule type="cellIs" dxfId="35" priority="33" operator="equal">
      <formula>TRUE</formula>
    </cfRule>
    <cfRule type="cellIs" dxfId="34" priority="34" operator="equal">
      <formula>FALSE</formula>
    </cfRule>
  </conditionalFormatting>
  <conditionalFormatting sqref="AI52">
    <cfRule type="cellIs" dxfId="33" priority="27" operator="equal">
      <formula>TRUE</formula>
    </cfRule>
    <cfRule type="cellIs" dxfId="32" priority="28" operator="equal">
      <formula>FALSE</formula>
    </cfRule>
  </conditionalFormatting>
  <conditionalFormatting sqref="AI53">
    <cfRule type="cellIs" dxfId="31" priority="21" operator="equal">
      <formula>TRUE</formula>
    </cfRule>
    <cfRule type="cellIs" dxfId="30" priority="22" operator="equal">
      <formula>FALSE</formula>
    </cfRule>
  </conditionalFormatting>
  <conditionalFormatting sqref="U52:W52 Y52:AA52 AF52:AH52">
    <cfRule type="cellIs" dxfId="29" priority="31" operator="equal">
      <formula>TRUE</formula>
    </cfRule>
    <cfRule type="cellIs" dxfId="28" priority="32" operator="equal">
      <formula>FALSE</formula>
    </cfRule>
  </conditionalFormatting>
  <conditionalFormatting sqref="X52">
    <cfRule type="cellIs" dxfId="27" priority="29" operator="equal">
      <formula>TRUE</formula>
    </cfRule>
    <cfRule type="cellIs" dxfId="26" priority="30" operator="equal">
      <formula>FALSE</formula>
    </cfRule>
  </conditionalFormatting>
  <conditionalFormatting sqref="X53">
    <cfRule type="cellIs" dxfId="25" priority="23" operator="equal">
      <formula>TRUE</formula>
    </cfRule>
    <cfRule type="cellIs" dxfId="24" priority="24" operator="equal">
      <formula>FALSE</formula>
    </cfRule>
  </conditionalFormatting>
  <conditionalFormatting sqref="U53:W53 Y53:AA53 AF53:AH53">
    <cfRule type="cellIs" dxfId="23" priority="25" operator="equal">
      <formula>TRUE</formula>
    </cfRule>
    <cfRule type="cellIs" dxfId="22" priority="26" operator="equal">
      <formula>FALSE</formula>
    </cfRule>
  </conditionalFormatting>
  <conditionalFormatting sqref="U48:W48 Y48:AA48 AF48:AH48">
    <cfRule type="cellIs" dxfId="21" priority="17" operator="equal">
      <formula>TRUE</formula>
    </cfRule>
    <cfRule type="cellIs" dxfId="20" priority="18" operator="equal">
      <formula>FALSE</formula>
    </cfRule>
  </conditionalFormatting>
  <conditionalFormatting sqref="X48">
    <cfRule type="cellIs" dxfId="19" priority="15" operator="equal">
      <formula>TRUE</formula>
    </cfRule>
    <cfRule type="cellIs" dxfId="18" priority="16" operator="equal">
      <formula>FALSE</formula>
    </cfRule>
  </conditionalFormatting>
  <conditionalFormatting sqref="AI48">
    <cfRule type="cellIs" dxfId="17" priority="13" operator="equal">
      <formula>TRUE</formula>
    </cfRule>
    <cfRule type="cellIs" dxfId="16" priority="14" operator="equal">
      <formula>FALSE</formula>
    </cfRule>
  </conditionalFormatting>
  <conditionalFormatting sqref="AI49">
    <cfRule type="cellIs" dxfId="15" priority="7" operator="equal">
      <formula>TRUE</formula>
    </cfRule>
    <cfRule type="cellIs" dxfId="14" priority="8" operator="equal">
      <formula>FALSE</formula>
    </cfRule>
  </conditionalFormatting>
  <conditionalFormatting sqref="AI50">
    <cfRule type="cellIs" dxfId="13" priority="1" operator="equal">
      <formula>TRUE</formula>
    </cfRule>
    <cfRule type="cellIs" dxfId="12" priority="2" operator="equal">
      <formula>FALSE</formula>
    </cfRule>
  </conditionalFormatting>
  <conditionalFormatting sqref="U49:W49 Y49:AA49 AF49:AH49">
    <cfRule type="cellIs" dxfId="11" priority="11" operator="equal">
      <formula>TRUE</formula>
    </cfRule>
    <cfRule type="cellIs" dxfId="10" priority="12" operator="equal">
      <formula>FALSE</formula>
    </cfRule>
  </conditionalFormatting>
  <conditionalFormatting sqref="X49">
    <cfRule type="cellIs" dxfId="9" priority="9" operator="equal">
      <formula>TRUE</formula>
    </cfRule>
    <cfRule type="cellIs" dxfId="8" priority="10" operator="equal">
      <formula>FALSE</formula>
    </cfRule>
  </conditionalFormatting>
  <conditionalFormatting sqref="X50">
    <cfRule type="cellIs" dxfId="7" priority="3" operator="equal">
      <formula>TRUE</formula>
    </cfRule>
    <cfRule type="cellIs" dxfId="6" priority="4" operator="equal">
      <formula>FALSE</formula>
    </cfRule>
  </conditionalFormatting>
  <conditionalFormatting sqref="U50:W50 Y50:AA50 AF50:AH50">
    <cfRule type="cellIs" dxfId="5" priority="5" operator="equal">
      <formula>TRUE</formula>
    </cfRule>
    <cfRule type="cellIs" dxfId="4" priority="6"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CB82"/>
  <sheetViews>
    <sheetView workbookViewId="0">
      <pane xSplit="5" ySplit="8" topLeftCell="F9" activePane="bottomRight" state="frozen"/>
      <selection pane="topRight" activeCell="F1" sqref="F1"/>
      <selection pane="bottomLeft" activeCell="A12" sqref="A12"/>
      <selection pane="bottomRight" activeCell="D15" sqref="D15"/>
    </sheetView>
  </sheetViews>
  <sheetFormatPr defaultColWidth="8.7265625" defaultRowHeight="14.5" x14ac:dyDescent="0.35"/>
  <cols>
    <col min="1" max="1" width="8.08984375" style="52" customWidth="1"/>
    <col min="2" max="2" width="20.6328125" style="2" customWidth="1"/>
    <col min="3" max="3" width="22.6328125" style="3" customWidth="1"/>
    <col min="4" max="4" width="32.6328125" style="448" customWidth="1"/>
    <col min="5" max="5" width="3.81640625" style="6" customWidth="1"/>
    <col min="6" max="6" width="13.1796875" style="27" customWidth="1"/>
    <col min="7" max="8" width="29.7265625" style="176" customWidth="1"/>
    <col min="9" max="9" width="24.7265625" style="189" customWidth="1"/>
    <col min="10" max="10" width="20.26953125" style="189" customWidth="1"/>
    <col min="11" max="11" width="9.54296875" style="189" customWidth="1"/>
    <col min="12" max="13" width="11.81640625" style="189" customWidth="1"/>
    <col min="14" max="15" width="10.453125" style="189" customWidth="1"/>
    <col min="16" max="16" width="12.1796875" style="17" customWidth="1"/>
    <col min="17" max="17" width="9.7265625" style="52" customWidth="1"/>
    <col min="18" max="18" width="9.453125" style="52" customWidth="1"/>
    <col min="19" max="19" width="8.26953125" style="52" customWidth="1"/>
    <col min="20" max="20" width="10.7265625" style="17" customWidth="1"/>
    <col min="21" max="21" width="10.54296875" style="52" customWidth="1"/>
    <col min="22" max="22" width="7.90625" style="52" customWidth="1"/>
    <col min="23" max="23" width="7.54296875" style="52" customWidth="1"/>
    <col min="24" max="24" width="6.90625" style="17" customWidth="1"/>
    <col min="25" max="25" width="10.54296875" style="52" customWidth="1"/>
    <col min="26" max="26" width="7.90625" style="52" customWidth="1"/>
    <col min="27" max="27" width="7.54296875" style="52" customWidth="1"/>
    <col min="28" max="28" width="7.36328125" style="17" customWidth="1"/>
    <col min="29" max="29" width="10.54296875" style="52" customWidth="1"/>
    <col min="30" max="30" width="7.90625" style="52" customWidth="1"/>
    <col min="31" max="31" width="7.54296875" style="52" customWidth="1"/>
    <col min="32" max="32" width="6.6328125" style="17" customWidth="1"/>
    <col min="33" max="33" width="8.7265625" style="52" customWidth="1"/>
    <col min="34" max="34" width="7.90625" style="52" customWidth="1"/>
    <col min="35" max="35" width="7.54296875" style="52" customWidth="1"/>
    <col min="36" max="36" width="6.6328125" style="17" customWidth="1"/>
    <col min="37" max="37" width="9.1796875" style="52" customWidth="1"/>
    <col min="38" max="38" width="7.90625" style="52" customWidth="1"/>
    <col min="39" max="39" width="8.7265625" style="52" customWidth="1"/>
    <col min="40" max="40" width="6.6328125" style="17" customWidth="1"/>
    <col min="41" max="41" width="10.54296875" style="52" customWidth="1"/>
    <col min="42" max="42" width="7.90625" style="52" customWidth="1"/>
    <col min="43" max="43" width="7.54296875" style="52" customWidth="1"/>
    <col min="44" max="44" width="6.6328125" style="17" customWidth="1"/>
    <col min="45" max="45" width="10.54296875" style="52" customWidth="1"/>
    <col min="46" max="46" width="7.90625" style="52" customWidth="1"/>
    <col min="47" max="47" width="7.54296875" style="52" customWidth="1"/>
    <col min="48" max="48" width="8.6328125" style="17" customWidth="1"/>
    <col min="49" max="49" width="10.54296875" style="52" customWidth="1"/>
    <col min="50" max="50" width="7.90625" style="52" customWidth="1"/>
    <col min="51" max="51" width="7.54296875" style="52" customWidth="1"/>
    <col min="52" max="52" width="6.6328125" style="17" customWidth="1"/>
    <col min="53" max="53" width="7.54296875" style="52" customWidth="1"/>
    <col min="54" max="54" width="7" style="52" customWidth="1"/>
    <col min="55" max="55" width="7.54296875" style="52" customWidth="1"/>
    <col min="56" max="56" width="7.1796875" style="17" customWidth="1"/>
    <col min="57" max="57" width="8.81640625" style="52" customWidth="1"/>
    <col min="58" max="58" width="7.90625" style="52" customWidth="1"/>
    <col min="59" max="59" width="7.54296875" style="52" customWidth="1"/>
    <col min="60" max="60" width="6.6328125" style="17" customWidth="1"/>
    <col min="61" max="61" width="10.54296875" style="52" customWidth="1"/>
    <col min="62" max="62" width="9.1796875" style="52" customWidth="1"/>
    <col min="63" max="63" width="8.6328125" style="52" customWidth="1"/>
    <col min="64" max="64" width="8.54296875" style="17" customWidth="1"/>
    <col min="65" max="65" width="10.54296875" style="52" customWidth="1"/>
    <col min="66" max="66" width="9.26953125" style="52" customWidth="1"/>
    <col min="67" max="67" width="7.54296875" style="52" customWidth="1"/>
    <col min="68" max="68" width="6.6328125" style="17" customWidth="1"/>
    <col min="69" max="69" width="6.7265625" style="52" customWidth="1"/>
    <col min="70" max="70" width="6.453125" style="52" customWidth="1"/>
    <col min="71" max="71" width="7.54296875" style="52" customWidth="1"/>
    <col min="72" max="72" width="7.54296875" style="17" customWidth="1"/>
    <col min="73" max="73" width="11" style="19" customWidth="1"/>
    <col min="74" max="74" width="11.1796875" style="19" customWidth="1"/>
    <col min="75" max="75" width="8.7265625" style="19"/>
    <col min="76" max="76" width="8.7265625" style="242"/>
    <col min="77" max="16384" width="8.7265625" style="52"/>
  </cols>
  <sheetData>
    <row r="1" spans="1:80" ht="16" customHeight="1" x14ac:dyDescent="0.35">
      <c r="A1" s="523"/>
      <c r="B1" s="523"/>
      <c r="C1" s="523"/>
      <c r="D1" s="4"/>
      <c r="E1" s="53"/>
      <c r="F1" s="164" t="s">
        <v>93</v>
      </c>
      <c r="G1" s="177" t="s">
        <v>371</v>
      </c>
      <c r="H1" s="177" t="s">
        <v>372</v>
      </c>
      <c r="I1" s="190" t="s">
        <v>404</v>
      </c>
      <c r="J1" s="196" t="s">
        <v>2</v>
      </c>
      <c r="K1" s="190" t="s">
        <v>4</v>
      </c>
      <c r="L1" s="190" t="s">
        <v>5</v>
      </c>
      <c r="M1" s="190" t="s">
        <v>274</v>
      </c>
      <c r="N1" s="196" t="s">
        <v>3</v>
      </c>
      <c r="O1" s="196" t="s">
        <v>181</v>
      </c>
      <c r="P1" s="248" t="s">
        <v>6</v>
      </c>
      <c r="Q1" s="515" t="s">
        <v>51</v>
      </c>
      <c r="R1" s="516"/>
      <c r="S1" s="516"/>
      <c r="T1" s="517"/>
      <c r="U1" s="515" t="s">
        <v>52</v>
      </c>
      <c r="V1" s="516"/>
      <c r="W1" s="516"/>
      <c r="X1" s="517"/>
      <c r="Y1" s="515" t="s">
        <v>273</v>
      </c>
      <c r="Z1" s="516"/>
      <c r="AA1" s="516"/>
      <c r="AB1" s="517"/>
      <c r="AC1" s="515" t="s">
        <v>53</v>
      </c>
      <c r="AD1" s="516"/>
      <c r="AE1" s="516"/>
      <c r="AF1" s="517"/>
      <c r="AG1" s="515" t="s">
        <v>54</v>
      </c>
      <c r="AH1" s="516"/>
      <c r="AI1" s="516"/>
      <c r="AJ1" s="517"/>
      <c r="AK1" s="515" t="s">
        <v>55</v>
      </c>
      <c r="AL1" s="516"/>
      <c r="AM1" s="516"/>
      <c r="AN1" s="517"/>
      <c r="AO1" s="515" t="s">
        <v>56</v>
      </c>
      <c r="AP1" s="516"/>
      <c r="AQ1" s="516"/>
      <c r="AR1" s="517"/>
      <c r="AS1" s="515" t="s">
        <v>128</v>
      </c>
      <c r="AT1" s="516"/>
      <c r="AU1" s="516"/>
      <c r="AV1" s="517"/>
      <c r="AW1" s="515" t="s">
        <v>129</v>
      </c>
      <c r="AX1" s="516"/>
      <c r="AY1" s="516"/>
      <c r="AZ1" s="517"/>
      <c r="BA1" s="515" t="s">
        <v>403</v>
      </c>
      <c r="BB1" s="516"/>
      <c r="BC1" s="516"/>
      <c r="BD1" s="517"/>
      <c r="BE1" s="515" t="s">
        <v>130</v>
      </c>
      <c r="BF1" s="516"/>
      <c r="BG1" s="516"/>
      <c r="BH1" s="517"/>
      <c r="BI1" s="515" t="s">
        <v>94</v>
      </c>
      <c r="BJ1" s="516"/>
      <c r="BK1" s="516"/>
      <c r="BL1" s="517"/>
      <c r="BM1" s="515" t="s">
        <v>57</v>
      </c>
      <c r="BN1" s="516"/>
      <c r="BO1" s="516"/>
      <c r="BP1" s="517"/>
      <c r="BQ1" s="515" t="s">
        <v>58</v>
      </c>
      <c r="BR1" s="516"/>
      <c r="BS1" s="516"/>
      <c r="BT1" s="517"/>
      <c r="BU1" s="518" t="s">
        <v>307</v>
      </c>
      <c r="BV1" s="519"/>
      <c r="BW1" s="519"/>
      <c r="BX1" s="520"/>
      <c r="BY1" s="521" t="s">
        <v>308</v>
      </c>
      <c r="BZ1" s="521"/>
      <c r="CA1" s="521"/>
      <c r="CB1" s="521"/>
    </row>
    <row r="2" spans="1:80" s="4" customFormat="1" ht="15" customHeight="1" x14ac:dyDescent="0.35">
      <c r="A2" s="29"/>
      <c r="B2" s="524" t="s">
        <v>7</v>
      </c>
      <c r="C2" s="525" t="s">
        <v>8</v>
      </c>
      <c r="D2" s="524" t="s">
        <v>9</v>
      </c>
      <c r="E2" s="40" t="s">
        <v>1</v>
      </c>
      <c r="F2" s="165" t="s">
        <v>93</v>
      </c>
      <c r="G2" s="178" t="str">
        <f>G1</f>
        <v>Capacity units</v>
      </c>
      <c r="H2" s="178" t="str">
        <f>H1</f>
        <v>Output units</v>
      </c>
      <c r="I2" s="178" t="str">
        <f>I1</f>
        <v>Yearly demand (output)</v>
      </c>
      <c r="J2" s="191" t="s">
        <v>2</v>
      </c>
      <c r="K2" s="191" t="s">
        <v>4</v>
      </c>
      <c r="L2" s="191" t="s">
        <v>5</v>
      </c>
      <c r="M2" s="191" t="s">
        <v>274</v>
      </c>
      <c r="N2" s="200" t="s">
        <v>3</v>
      </c>
      <c r="O2" s="200" t="s">
        <v>181</v>
      </c>
      <c r="P2" s="249" t="s">
        <v>6</v>
      </c>
      <c r="Q2" s="18" t="s">
        <v>51</v>
      </c>
      <c r="R2" s="18" t="s">
        <v>51</v>
      </c>
      <c r="S2" s="18" t="s">
        <v>51</v>
      </c>
      <c r="T2" s="202" t="s">
        <v>51</v>
      </c>
      <c r="U2" s="18" t="s">
        <v>52</v>
      </c>
      <c r="V2" s="18" t="s">
        <v>52</v>
      </c>
      <c r="W2" s="18" t="s">
        <v>52</v>
      </c>
      <c r="X2" s="202" t="s">
        <v>52</v>
      </c>
      <c r="Y2" s="18" t="s">
        <v>273</v>
      </c>
      <c r="Z2" s="18" t="s">
        <v>273</v>
      </c>
      <c r="AA2" s="18" t="s">
        <v>273</v>
      </c>
      <c r="AB2" s="202" t="s">
        <v>273</v>
      </c>
      <c r="AC2" s="18" t="s">
        <v>53</v>
      </c>
      <c r="AD2" s="18" t="s">
        <v>53</v>
      </c>
      <c r="AE2" s="18" t="s">
        <v>53</v>
      </c>
      <c r="AF2" s="202" t="s">
        <v>53</v>
      </c>
      <c r="AG2" s="18" t="s">
        <v>54</v>
      </c>
      <c r="AH2" s="18" t="s">
        <v>54</v>
      </c>
      <c r="AI2" s="18" t="s">
        <v>54</v>
      </c>
      <c r="AJ2" s="202" t="s">
        <v>54</v>
      </c>
      <c r="AK2" s="18" t="s">
        <v>55</v>
      </c>
      <c r="AL2" s="18" t="s">
        <v>55</v>
      </c>
      <c r="AM2" s="18" t="s">
        <v>55</v>
      </c>
      <c r="AN2" s="202" t="s">
        <v>55</v>
      </c>
      <c r="AO2" s="18" t="s">
        <v>56</v>
      </c>
      <c r="AP2" s="18" t="s">
        <v>56</v>
      </c>
      <c r="AQ2" s="18" t="s">
        <v>56</v>
      </c>
      <c r="AR2" s="202" t="s">
        <v>56</v>
      </c>
      <c r="AS2" s="18" t="s">
        <v>128</v>
      </c>
      <c r="AT2" s="18" t="s">
        <v>128</v>
      </c>
      <c r="AU2" s="18" t="s">
        <v>128</v>
      </c>
      <c r="AV2" s="202" t="s">
        <v>128</v>
      </c>
      <c r="AW2" s="18" t="s">
        <v>129</v>
      </c>
      <c r="AX2" s="18" t="s">
        <v>129</v>
      </c>
      <c r="AY2" s="18" t="s">
        <v>129</v>
      </c>
      <c r="AZ2" s="202" t="s">
        <v>129</v>
      </c>
      <c r="BA2" s="18" t="s">
        <v>403</v>
      </c>
      <c r="BB2" s="18" t="s">
        <v>403</v>
      </c>
      <c r="BC2" s="18" t="s">
        <v>403</v>
      </c>
      <c r="BD2" s="18" t="s">
        <v>403</v>
      </c>
      <c r="BE2" s="18" t="s">
        <v>130</v>
      </c>
      <c r="BF2" s="18" t="s">
        <v>130</v>
      </c>
      <c r="BG2" s="18" t="s">
        <v>130</v>
      </c>
      <c r="BH2" s="202" t="s">
        <v>130</v>
      </c>
      <c r="BI2" s="18" t="s">
        <v>94</v>
      </c>
      <c r="BJ2" s="18" t="s">
        <v>94</v>
      </c>
      <c r="BK2" s="18" t="s">
        <v>94</v>
      </c>
      <c r="BL2" s="202" t="s">
        <v>94</v>
      </c>
      <c r="BM2" s="18" t="s">
        <v>57</v>
      </c>
      <c r="BN2" s="18" t="s">
        <v>57</v>
      </c>
      <c r="BO2" s="18" t="s">
        <v>57</v>
      </c>
      <c r="BP2" s="202" t="s">
        <v>57</v>
      </c>
      <c r="BQ2" s="18" t="s">
        <v>58</v>
      </c>
      <c r="BR2" s="18" t="s">
        <v>58</v>
      </c>
      <c r="BS2" s="18" t="s">
        <v>58</v>
      </c>
      <c r="BT2" s="202" t="s">
        <v>58</v>
      </c>
      <c r="BU2" s="236" t="s">
        <v>307</v>
      </c>
      <c r="BV2" s="236" t="s">
        <v>307</v>
      </c>
      <c r="BW2" s="236" t="s">
        <v>307</v>
      </c>
      <c r="BX2" s="237" t="s">
        <v>307</v>
      </c>
      <c r="BY2" s="18" t="s">
        <v>308</v>
      </c>
      <c r="BZ2" s="18" t="s">
        <v>308</v>
      </c>
      <c r="CA2" s="18" t="s">
        <v>308</v>
      </c>
      <c r="CB2" s="18" t="s">
        <v>308</v>
      </c>
    </row>
    <row r="3" spans="1:80" s="62" customFormat="1" ht="14" customHeight="1" x14ac:dyDescent="0.35">
      <c r="A3" s="60"/>
      <c r="B3" s="524"/>
      <c r="C3" s="525"/>
      <c r="D3" s="524"/>
      <c r="E3" s="61" t="s">
        <v>66</v>
      </c>
      <c r="F3" s="166" t="s">
        <v>95</v>
      </c>
      <c r="G3" s="179" t="s">
        <v>95</v>
      </c>
      <c r="H3" s="179" t="s">
        <v>95</v>
      </c>
      <c r="I3" s="179" t="s">
        <v>95</v>
      </c>
      <c r="J3" s="179" t="s">
        <v>95</v>
      </c>
      <c r="K3" s="179" t="s">
        <v>95</v>
      </c>
      <c r="L3" s="179" t="s">
        <v>95</v>
      </c>
      <c r="M3" s="179" t="s">
        <v>95</v>
      </c>
      <c r="N3" s="201" t="s">
        <v>95</v>
      </c>
      <c r="O3" s="201" t="s">
        <v>95</v>
      </c>
      <c r="P3" s="166" t="s">
        <v>95</v>
      </c>
      <c r="Q3" s="163">
        <v>0</v>
      </c>
      <c r="R3" s="163">
        <v>0</v>
      </c>
      <c r="S3" s="163">
        <v>0</v>
      </c>
      <c r="T3" s="203">
        <v>0</v>
      </c>
      <c r="U3" s="163">
        <v>0</v>
      </c>
      <c r="V3" s="163">
        <v>0</v>
      </c>
      <c r="W3" s="163">
        <v>0</v>
      </c>
      <c r="X3" s="203">
        <v>0</v>
      </c>
      <c r="Y3" s="163">
        <v>0</v>
      </c>
      <c r="Z3" s="163">
        <v>0</v>
      </c>
      <c r="AA3" s="163">
        <v>0</v>
      </c>
      <c r="AB3" s="203">
        <v>0</v>
      </c>
      <c r="AC3" s="163">
        <v>0</v>
      </c>
      <c r="AD3" s="163">
        <v>0</v>
      </c>
      <c r="AE3" s="163">
        <v>0</v>
      </c>
      <c r="AF3" s="203">
        <v>0</v>
      </c>
      <c r="AG3" s="163">
        <v>0</v>
      </c>
      <c r="AH3" s="163">
        <v>0</v>
      </c>
      <c r="AI3" s="163">
        <v>0</v>
      </c>
      <c r="AJ3" s="203">
        <v>0</v>
      </c>
      <c r="AK3" s="163">
        <v>0</v>
      </c>
      <c r="AL3" s="163">
        <v>0</v>
      </c>
      <c r="AM3" s="163">
        <v>0</v>
      </c>
      <c r="AN3" s="203">
        <v>0</v>
      </c>
      <c r="AO3" s="163">
        <v>0</v>
      </c>
      <c r="AP3" s="163">
        <v>0</v>
      </c>
      <c r="AQ3" s="163">
        <v>0</v>
      </c>
      <c r="AR3" s="203">
        <v>0</v>
      </c>
      <c r="AS3" s="163">
        <v>0</v>
      </c>
      <c r="AT3" s="163">
        <v>0</v>
      </c>
      <c r="AU3" s="163">
        <v>0</v>
      </c>
      <c r="AV3" s="203">
        <v>0</v>
      </c>
      <c r="AW3" s="163">
        <v>0</v>
      </c>
      <c r="AX3" s="163">
        <v>0</v>
      </c>
      <c r="AY3" s="163">
        <v>0</v>
      </c>
      <c r="AZ3" s="203">
        <v>0</v>
      </c>
      <c r="BA3" s="163">
        <v>0</v>
      </c>
      <c r="BB3" s="163">
        <v>0</v>
      </c>
      <c r="BC3" s="163">
        <v>0</v>
      </c>
      <c r="BD3" s="203">
        <v>0</v>
      </c>
      <c r="BE3" s="163">
        <v>0</v>
      </c>
      <c r="BF3" s="163">
        <v>0</v>
      </c>
      <c r="BG3" s="163">
        <v>0</v>
      </c>
      <c r="BH3" s="203">
        <v>0</v>
      </c>
      <c r="BI3" s="163">
        <v>0</v>
      </c>
      <c r="BJ3" s="163">
        <v>0</v>
      </c>
      <c r="BK3" s="163">
        <v>0</v>
      </c>
      <c r="BL3" s="203">
        <v>0</v>
      </c>
      <c r="BM3" s="163">
        <v>0</v>
      </c>
      <c r="BN3" s="163">
        <v>0</v>
      </c>
      <c r="BO3" s="163">
        <v>0</v>
      </c>
      <c r="BP3" s="203">
        <v>0</v>
      </c>
      <c r="BQ3" s="163">
        <v>0</v>
      </c>
      <c r="BR3" s="163">
        <v>0</v>
      </c>
      <c r="BS3" s="163">
        <v>0</v>
      </c>
      <c r="BT3" s="203">
        <v>0</v>
      </c>
      <c r="BU3" s="163">
        <v>0</v>
      </c>
      <c r="BV3" s="163">
        <v>0</v>
      </c>
      <c r="BW3" s="163">
        <v>0</v>
      </c>
      <c r="BX3" s="203">
        <v>0</v>
      </c>
      <c r="BY3" s="163">
        <v>0</v>
      </c>
      <c r="BZ3" s="163">
        <v>0</v>
      </c>
      <c r="CA3" s="163">
        <v>0</v>
      </c>
      <c r="CB3" s="163">
        <v>0</v>
      </c>
    </row>
    <row r="4" spans="1:80" s="4" customFormat="1" ht="5.5" customHeight="1" x14ac:dyDescent="0.35">
      <c r="A4" s="39"/>
      <c r="B4" s="524"/>
      <c r="C4" s="525"/>
      <c r="D4" s="524"/>
      <c r="E4" s="40"/>
      <c r="F4" s="167" t="str">
        <f>F2&amp;F3</f>
        <v>Used (1 or 0)All</v>
      </c>
      <c r="G4" s="180" t="str">
        <f>G2&amp;G3</f>
        <v>Capacity unitsAll</v>
      </c>
      <c r="H4" s="180" t="str">
        <f>H2&amp;H3</f>
        <v>Output unitsAll</v>
      </c>
      <c r="I4" s="180" t="str">
        <f t="shared" ref="I4:BT4" si="0">I2&amp;I3</f>
        <v>Yearly demand (output)All</v>
      </c>
      <c r="J4" s="180" t="str">
        <f t="shared" si="0"/>
        <v>Produced fromAll</v>
      </c>
      <c r="K4" s="180" t="str">
        <f t="shared" si="0"/>
        <v>El balanceAll</v>
      </c>
      <c r="L4" s="180" t="str">
        <f t="shared" si="0"/>
        <v>Heat balanceAll</v>
      </c>
      <c r="M4" s="180" t="str">
        <f t="shared" si="0"/>
        <v>Process heat balanceAll</v>
      </c>
      <c r="N4" s="180" t="str">
        <f t="shared" si="0"/>
        <v>H2 balanceAll</v>
      </c>
      <c r="O4" s="180" t="str">
        <f t="shared" si="0"/>
        <v>CSP balanceAll</v>
      </c>
      <c r="P4" s="167" t="str">
        <f t="shared" si="0"/>
        <v>Max CapacityAll</v>
      </c>
      <c r="Q4" s="12" t="str">
        <f t="shared" si="0"/>
        <v>Fuel production rate (kg output/kg input)0</v>
      </c>
      <c r="R4" s="12" t="str">
        <f t="shared" si="0"/>
        <v>Fuel production rate (kg output/kg input)0</v>
      </c>
      <c r="S4" s="12" t="str">
        <f t="shared" si="0"/>
        <v>Fuel production rate (kg output/kg input)0</v>
      </c>
      <c r="T4" s="167" t="str">
        <f t="shared" si="0"/>
        <v>Fuel production rate (kg output/kg input)0</v>
      </c>
      <c r="U4" s="12" t="str">
        <f t="shared" si="0"/>
        <v>Heat generated (kWh/output)0</v>
      </c>
      <c r="V4" s="12" t="str">
        <f t="shared" si="0"/>
        <v>Heat generated (kWh/output)0</v>
      </c>
      <c r="W4" s="12" t="str">
        <f t="shared" si="0"/>
        <v>Heat generated (kWh/output)0</v>
      </c>
      <c r="X4" s="167" t="str">
        <f t="shared" si="0"/>
        <v>Heat generated (kWh/output)0</v>
      </c>
      <c r="Y4" s="12" t="str">
        <f t="shared" si="0"/>
        <v>Process heat generated (kWh/output)0</v>
      </c>
      <c r="Z4" s="12" t="str">
        <f t="shared" si="0"/>
        <v>Process heat generated (kWh/output)0</v>
      </c>
      <c r="AA4" s="12" t="str">
        <f t="shared" si="0"/>
        <v>Process heat generated (kWh/output)0</v>
      </c>
      <c r="AB4" s="167" t="str">
        <f t="shared" si="0"/>
        <v>Process heat generated (kWh/output)0</v>
      </c>
      <c r="AC4" s="12" t="str">
        <f t="shared" si="0"/>
        <v>Load min (% of max capacity)0</v>
      </c>
      <c r="AD4" s="12" t="str">
        <f t="shared" si="0"/>
        <v>Load min (% of max capacity)0</v>
      </c>
      <c r="AE4" s="12" t="str">
        <f t="shared" si="0"/>
        <v>Load min (% of max capacity)0</v>
      </c>
      <c r="AF4" s="167" t="str">
        <f t="shared" si="0"/>
        <v>Load min (% of max capacity)0</v>
      </c>
      <c r="AG4" s="12" t="str">
        <f t="shared" si="0"/>
        <v>Ramp up (% of capacity /h)0</v>
      </c>
      <c r="AH4" s="12" t="str">
        <f t="shared" si="0"/>
        <v>Ramp up (% of capacity /h)0</v>
      </c>
      <c r="AI4" s="12" t="str">
        <f t="shared" si="0"/>
        <v>Ramp up (% of capacity /h)0</v>
      </c>
      <c r="AJ4" s="167" t="str">
        <f t="shared" si="0"/>
        <v>Ramp up (% of capacity /h)0</v>
      </c>
      <c r="AK4" s="12" t="str">
        <f t="shared" si="0"/>
        <v>Ramp down (% of capacity /h)0</v>
      </c>
      <c r="AL4" s="12" t="str">
        <f t="shared" si="0"/>
        <v>Ramp down (% of capacity /h)0</v>
      </c>
      <c r="AM4" s="12" t="str">
        <f t="shared" si="0"/>
        <v>Ramp down (% of capacity /h)0</v>
      </c>
      <c r="AN4" s="167" t="str">
        <f t="shared" si="0"/>
        <v>Ramp down (% of capacity /h)0</v>
      </c>
      <c r="AO4" s="12" t="str">
        <f t="shared" si="0"/>
        <v>Electrical consumption (kWh/output)0</v>
      </c>
      <c r="AP4" s="12" t="str">
        <f t="shared" si="0"/>
        <v>Electrical consumption (kWh/output)0</v>
      </c>
      <c r="AQ4" s="12" t="str">
        <f t="shared" si="0"/>
        <v>Electrical consumption (kWh/output)0</v>
      </c>
      <c r="AR4" s="167" t="str">
        <f t="shared" si="0"/>
        <v>Electrical consumption (kWh/output)0</v>
      </c>
      <c r="AS4" s="12" t="str">
        <f t="shared" si="0"/>
        <v>Investment (EUR/Capacity installed)0</v>
      </c>
      <c r="AT4" s="12" t="str">
        <f t="shared" si="0"/>
        <v>Investment (EUR/Capacity installed)0</v>
      </c>
      <c r="AU4" s="12" t="str">
        <f t="shared" si="0"/>
        <v>Investment (EUR/Capacity installed)0</v>
      </c>
      <c r="AV4" s="167" t="str">
        <f t="shared" si="0"/>
        <v>Investment (EUR/Capacity installed)0</v>
      </c>
      <c r="AW4" s="12" t="str">
        <f t="shared" si="0"/>
        <v>Fixed cost (EUR/Capacity installed/y)0</v>
      </c>
      <c r="AX4" s="12" t="str">
        <f t="shared" si="0"/>
        <v>Fixed cost (EUR/Capacity installed/y)0</v>
      </c>
      <c r="AY4" s="12" t="str">
        <f t="shared" si="0"/>
        <v>Fixed cost (EUR/Capacity installed/y)0</v>
      </c>
      <c r="AZ4" s="167" t="str">
        <f t="shared" si="0"/>
        <v>Fixed cost (EUR/Capacity installed/y)0</v>
      </c>
      <c r="BA4" s="12" t="str">
        <f t="shared" si="0"/>
        <v>Variable cost (EUR/output)0</v>
      </c>
      <c r="BB4" s="12" t="str">
        <f t="shared" si="0"/>
        <v>Variable cost (EUR/output)0</v>
      </c>
      <c r="BC4" s="12" t="str">
        <f t="shared" si="0"/>
        <v>Variable cost (EUR/output)0</v>
      </c>
      <c r="BD4" s="167" t="str">
        <f t="shared" si="0"/>
        <v>Variable cost (EUR/output)0</v>
      </c>
      <c r="BE4" s="12" t="str">
        <f t="shared" si="0"/>
        <v>Fuel selling price (EUR/output)0</v>
      </c>
      <c r="BF4" s="12" t="str">
        <f t="shared" si="0"/>
        <v>Fuel selling price (EUR/output)0</v>
      </c>
      <c r="BG4" s="12" t="str">
        <f t="shared" si="0"/>
        <v>Fuel selling price (EUR/output)0</v>
      </c>
      <c r="BH4" s="167" t="str">
        <f t="shared" si="0"/>
        <v>Fuel selling price (EUR/output)0</v>
      </c>
      <c r="BI4" s="12" t="str">
        <f t="shared" si="0"/>
        <v>CO2e infrastructure (kg CO2e/Capacity/y)0</v>
      </c>
      <c r="BJ4" s="12" t="str">
        <f t="shared" si="0"/>
        <v>CO2e infrastructure (kg CO2e/Capacity/y)0</v>
      </c>
      <c r="BK4" s="12" t="str">
        <f t="shared" si="0"/>
        <v>CO2e infrastructure (kg CO2e/Capacity/y)0</v>
      </c>
      <c r="BL4" s="167" t="str">
        <f t="shared" si="0"/>
        <v>CO2e infrastructure (kg CO2e/Capacity/y)0</v>
      </c>
      <c r="BM4" s="12" t="str">
        <f t="shared" si="0"/>
        <v>CO2e process (kg CO2e/output)0</v>
      </c>
      <c r="BN4" s="12" t="str">
        <f t="shared" si="0"/>
        <v>CO2e process (kg CO2e/output)0</v>
      </c>
      <c r="BO4" s="12" t="str">
        <f t="shared" si="0"/>
        <v>CO2e process (kg CO2e/output)0</v>
      </c>
      <c r="BP4" s="167" t="str">
        <f t="shared" si="0"/>
        <v>CO2e process (kg CO2e/output)0</v>
      </c>
      <c r="BQ4" s="12" t="str">
        <f t="shared" si="0"/>
        <v>Annuity factor0</v>
      </c>
      <c r="BR4" s="12" t="str">
        <f t="shared" si="0"/>
        <v>Annuity factor0</v>
      </c>
      <c r="BS4" s="12" t="str">
        <f t="shared" si="0"/>
        <v>Annuity factor0</v>
      </c>
      <c r="BT4" s="167" t="str">
        <f t="shared" si="0"/>
        <v>Annuity factor0</v>
      </c>
      <c r="BU4" s="12" t="str">
        <f t="shared" ref="BU4:CB4" si="1">BU2&amp;BU3</f>
        <v>Lifetime (years)0</v>
      </c>
      <c r="BV4" s="12" t="str">
        <f t="shared" si="1"/>
        <v>Lifetime (years)0</v>
      </c>
      <c r="BW4" s="12" t="str">
        <f t="shared" si="1"/>
        <v>Lifetime (years)0</v>
      </c>
      <c r="BX4" s="167" t="str">
        <f t="shared" si="1"/>
        <v>Lifetime (years)0</v>
      </c>
      <c r="BY4" s="12" t="str">
        <f t="shared" si="1"/>
        <v>Discount rate (%)0</v>
      </c>
      <c r="BZ4" s="12" t="str">
        <f t="shared" si="1"/>
        <v>Discount rate (%)0</v>
      </c>
      <c r="CA4" s="12" t="str">
        <f t="shared" si="1"/>
        <v>Discount rate (%)0</v>
      </c>
      <c r="CB4" s="12" t="str">
        <f t="shared" si="1"/>
        <v>Discount rate (%)0</v>
      </c>
    </row>
    <row r="5" spans="1:80" s="5" customFormat="1" ht="16" customHeight="1" x14ac:dyDescent="0.35">
      <c r="B5" s="524"/>
      <c r="C5" s="525"/>
      <c r="D5" s="524"/>
      <c r="E5" s="449" t="s">
        <v>10</v>
      </c>
      <c r="F5" s="168">
        <v>0</v>
      </c>
      <c r="G5" s="181">
        <v>0</v>
      </c>
      <c r="H5" s="181">
        <v>0</v>
      </c>
      <c r="I5" s="181">
        <v>0</v>
      </c>
      <c r="J5" s="181">
        <v>0</v>
      </c>
      <c r="K5" s="181">
        <v>0</v>
      </c>
      <c r="L5" s="181">
        <v>0</v>
      </c>
      <c r="M5" s="181">
        <v>0</v>
      </c>
      <c r="N5" s="181">
        <v>0</v>
      </c>
      <c r="O5" s="181">
        <v>0</v>
      </c>
      <c r="P5" s="168">
        <v>0</v>
      </c>
      <c r="Q5" s="5">
        <v>0</v>
      </c>
      <c r="R5" s="5">
        <v>0</v>
      </c>
      <c r="S5" s="5">
        <v>0</v>
      </c>
      <c r="T5" s="168">
        <v>0</v>
      </c>
      <c r="U5" s="5">
        <v>0</v>
      </c>
      <c r="V5" s="5">
        <v>0</v>
      </c>
      <c r="W5" s="5">
        <v>0</v>
      </c>
      <c r="X5" s="168">
        <v>0</v>
      </c>
      <c r="Y5" s="5">
        <v>0</v>
      </c>
      <c r="Z5" s="5">
        <v>0</v>
      </c>
      <c r="AA5" s="5">
        <v>0</v>
      </c>
      <c r="AB5" s="168">
        <v>0</v>
      </c>
      <c r="AC5" s="5">
        <v>0</v>
      </c>
      <c r="AD5" s="5">
        <v>0</v>
      </c>
      <c r="AE5" s="5">
        <v>0</v>
      </c>
      <c r="AF5" s="168">
        <v>0</v>
      </c>
      <c r="AG5" s="5">
        <v>0</v>
      </c>
      <c r="AH5" s="5">
        <v>0</v>
      </c>
      <c r="AI5" s="5">
        <v>0</v>
      </c>
      <c r="AJ5" s="168">
        <v>0</v>
      </c>
      <c r="AK5" s="5">
        <v>0</v>
      </c>
      <c r="AL5" s="5">
        <v>0</v>
      </c>
      <c r="AM5" s="5">
        <v>0</v>
      </c>
      <c r="AN5" s="168">
        <v>0</v>
      </c>
      <c r="AO5" s="5">
        <v>0</v>
      </c>
      <c r="AP5" s="5">
        <v>0</v>
      </c>
      <c r="AQ5" s="5">
        <v>0</v>
      </c>
      <c r="AR5" s="168">
        <v>0</v>
      </c>
      <c r="AS5" s="5">
        <v>0</v>
      </c>
      <c r="AT5" s="5">
        <v>0</v>
      </c>
      <c r="AU5" s="5">
        <v>0</v>
      </c>
      <c r="AV5" s="168">
        <v>0</v>
      </c>
      <c r="AW5" s="5">
        <v>0</v>
      </c>
      <c r="AX5" s="5">
        <v>0</v>
      </c>
      <c r="AY5" s="5">
        <v>0</v>
      </c>
      <c r="AZ5" s="168">
        <v>0</v>
      </c>
      <c r="BA5" s="5">
        <v>0</v>
      </c>
      <c r="BB5" s="5">
        <v>0</v>
      </c>
      <c r="BC5" s="5">
        <v>0</v>
      </c>
      <c r="BD5" s="168">
        <v>0</v>
      </c>
      <c r="BE5" s="5">
        <v>0</v>
      </c>
      <c r="BF5" s="5">
        <v>0</v>
      </c>
      <c r="BG5" s="5">
        <v>0</v>
      </c>
      <c r="BH5" s="168">
        <v>0</v>
      </c>
      <c r="BI5" s="5">
        <v>0</v>
      </c>
      <c r="BJ5" s="5">
        <v>0</v>
      </c>
      <c r="BK5" s="5">
        <v>0</v>
      </c>
      <c r="BL5" s="168">
        <v>0</v>
      </c>
      <c r="BM5" s="5">
        <v>0</v>
      </c>
      <c r="BN5" s="5">
        <v>0</v>
      </c>
      <c r="BO5" s="5">
        <v>0</v>
      </c>
      <c r="BP5" s="168">
        <v>0</v>
      </c>
      <c r="BQ5" s="5">
        <v>0</v>
      </c>
      <c r="BR5" s="5">
        <v>0</v>
      </c>
      <c r="BS5" s="5">
        <v>0</v>
      </c>
      <c r="BT5" s="168">
        <v>0</v>
      </c>
      <c r="BU5" s="5">
        <v>0</v>
      </c>
      <c r="BV5" s="5">
        <v>0</v>
      </c>
      <c r="BW5" s="5">
        <v>0</v>
      </c>
      <c r="BX5" s="168">
        <v>0</v>
      </c>
      <c r="BY5" s="5">
        <v>0</v>
      </c>
      <c r="BZ5" s="5">
        <v>0</v>
      </c>
      <c r="CA5" s="5">
        <v>0</v>
      </c>
      <c r="CB5" s="5">
        <v>0</v>
      </c>
    </row>
    <row r="6" spans="1:80" s="33" customFormat="1" ht="18" customHeight="1" x14ac:dyDescent="0.35">
      <c r="A6" s="522" t="s">
        <v>11</v>
      </c>
      <c r="B6" s="381" t="s">
        <v>97</v>
      </c>
      <c r="C6" s="382" t="s">
        <v>184</v>
      </c>
      <c r="D6" s="383" t="s">
        <v>425</v>
      </c>
      <c r="E6" s="6">
        <v>0</v>
      </c>
      <c r="F6" s="395">
        <v>0</v>
      </c>
      <c r="G6" s="397" t="s">
        <v>426</v>
      </c>
      <c r="H6" s="397" t="s">
        <v>427</v>
      </c>
      <c r="I6" s="399">
        <v>0</v>
      </c>
      <c r="J6" s="408" t="str">
        <f>B7</f>
        <v>Product/Reactant1</v>
      </c>
      <c r="K6" s="417">
        <v>0</v>
      </c>
      <c r="L6" s="417">
        <v>0</v>
      </c>
      <c r="M6" s="417">
        <v>0</v>
      </c>
      <c r="N6" s="417">
        <v>0</v>
      </c>
      <c r="O6" s="417">
        <v>0</v>
      </c>
      <c r="P6" s="385">
        <v>0</v>
      </c>
      <c r="Q6" s="384">
        <v>0</v>
      </c>
      <c r="R6" s="424">
        <v>0</v>
      </c>
      <c r="S6" s="424">
        <v>0</v>
      </c>
      <c r="T6" s="385">
        <v>0</v>
      </c>
      <c r="U6" s="424">
        <v>0</v>
      </c>
      <c r="V6" s="424">
        <v>0</v>
      </c>
      <c r="W6" s="424">
        <v>0</v>
      </c>
      <c r="X6" s="385">
        <v>0</v>
      </c>
      <c r="Y6" s="424">
        <v>0</v>
      </c>
      <c r="Z6" s="424">
        <v>0</v>
      </c>
      <c r="AA6" s="424">
        <v>0</v>
      </c>
      <c r="AB6" s="385">
        <v>0</v>
      </c>
      <c r="AC6" s="387">
        <v>0</v>
      </c>
      <c r="AD6" s="425">
        <v>0</v>
      </c>
      <c r="AE6" s="425">
        <v>0</v>
      </c>
      <c r="AF6" s="425">
        <v>0</v>
      </c>
      <c r="AG6" s="387">
        <v>0</v>
      </c>
      <c r="AH6" s="425">
        <v>0</v>
      </c>
      <c r="AI6" s="425">
        <v>0</v>
      </c>
      <c r="AJ6" s="425">
        <v>0</v>
      </c>
      <c r="AK6" s="387">
        <v>0</v>
      </c>
      <c r="AL6" s="425">
        <v>0</v>
      </c>
      <c r="AM6" s="425">
        <v>0</v>
      </c>
      <c r="AN6" s="457">
        <v>0</v>
      </c>
      <c r="AO6" s="427">
        <v>0</v>
      </c>
      <c r="AP6" s="427">
        <v>0</v>
      </c>
      <c r="AQ6" s="427">
        <v>0</v>
      </c>
      <c r="AR6" s="464">
        <v>0</v>
      </c>
      <c r="AS6" s="430">
        <v>0</v>
      </c>
      <c r="AT6" s="430">
        <v>0</v>
      </c>
      <c r="AU6" s="430">
        <v>0</v>
      </c>
      <c r="AV6" s="430">
        <v>0</v>
      </c>
      <c r="AW6" s="386">
        <v>0</v>
      </c>
      <c r="AX6" s="424">
        <v>0</v>
      </c>
      <c r="AY6" s="424">
        <v>0</v>
      </c>
      <c r="AZ6" s="424">
        <v>0</v>
      </c>
      <c r="BA6" s="388">
        <v>0</v>
      </c>
      <c r="BB6" s="428">
        <v>0</v>
      </c>
      <c r="BC6" s="428">
        <v>0</v>
      </c>
      <c r="BD6" s="428">
        <v>0</v>
      </c>
      <c r="BE6" s="386">
        <v>0</v>
      </c>
      <c r="BF6" s="424">
        <v>0</v>
      </c>
      <c r="BG6" s="424">
        <v>0</v>
      </c>
      <c r="BH6" s="385">
        <v>0</v>
      </c>
      <c r="BI6" s="424">
        <v>0</v>
      </c>
      <c r="BJ6" s="424">
        <v>0</v>
      </c>
      <c r="BK6" s="424">
        <v>0</v>
      </c>
      <c r="BL6" s="385">
        <v>0</v>
      </c>
      <c r="BM6" s="424">
        <v>0</v>
      </c>
      <c r="BN6" s="424">
        <v>0</v>
      </c>
      <c r="BO6" s="424">
        <v>0</v>
      </c>
      <c r="BP6" s="385">
        <v>0</v>
      </c>
      <c r="BQ6" s="424">
        <v>0</v>
      </c>
      <c r="BR6" s="424">
        <v>0</v>
      </c>
      <c r="BS6" s="424">
        <v>0</v>
      </c>
      <c r="BT6" s="385">
        <v>0</v>
      </c>
      <c r="BU6" s="424">
        <v>0</v>
      </c>
      <c r="BV6" s="424">
        <v>0</v>
      </c>
      <c r="BW6" s="424">
        <v>0</v>
      </c>
      <c r="BX6" s="385">
        <v>0</v>
      </c>
      <c r="BY6" s="424">
        <v>0</v>
      </c>
      <c r="BZ6" s="424">
        <v>0</v>
      </c>
      <c r="CA6" s="424">
        <v>0</v>
      </c>
      <c r="CB6" s="424">
        <v>0</v>
      </c>
    </row>
    <row r="7" spans="1:80" x14ac:dyDescent="0.35">
      <c r="A7" s="522"/>
      <c r="B7" s="381" t="s">
        <v>96</v>
      </c>
      <c r="C7" s="382" t="s">
        <v>184</v>
      </c>
      <c r="D7" s="383" t="s">
        <v>429</v>
      </c>
      <c r="E7" s="6">
        <v>0</v>
      </c>
      <c r="F7" s="395">
        <v>0</v>
      </c>
      <c r="G7" s="397" t="s">
        <v>373</v>
      </c>
      <c r="H7" s="397" t="s">
        <v>374</v>
      </c>
      <c r="I7" s="400">
        <v>0</v>
      </c>
      <c r="J7" s="408" t="str">
        <f>B8</f>
        <v>Product/Reactant2</v>
      </c>
      <c r="K7" s="417">
        <v>0</v>
      </c>
      <c r="L7" s="417">
        <v>0</v>
      </c>
      <c r="M7" s="417">
        <v>0</v>
      </c>
      <c r="N7" s="417">
        <v>0</v>
      </c>
      <c r="O7" s="417">
        <v>0</v>
      </c>
      <c r="P7" s="385">
        <v>0</v>
      </c>
      <c r="Q7" s="384">
        <v>0</v>
      </c>
      <c r="R7" s="424">
        <v>0</v>
      </c>
      <c r="S7" s="424">
        <v>0</v>
      </c>
      <c r="T7" s="385">
        <v>0</v>
      </c>
      <c r="U7" s="424">
        <v>0</v>
      </c>
      <c r="V7" s="424">
        <v>0</v>
      </c>
      <c r="W7" s="424">
        <v>0</v>
      </c>
      <c r="X7" s="385">
        <v>0</v>
      </c>
      <c r="Y7" s="424">
        <v>0</v>
      </c>
      <c r="Z7" s="424">
        <v>0</v>
      </c>
      <c r="AA7" s="424">
        <v>0</v>
      </c>
      <c r="AB7" s="385">
        <v>0</v>
      </c>
      <c r="AC7" s="387">
        <v>0</v>
      </c>
      <c r="AD7" s="425">
        <v>0</v>
      </c>
      <c r="AE7" s="425">
        <v>0</v>
      </c>
      <c r="AF7" s="425">
        <v>0</v>
      </c>
      <c r="AG7" s="387">
        <v>0</v>
      </c>
      <c r="AH7" s="425">
        <v>0</v>
      </c>
      <c r="AI7" s="425">
        <v>0</v>
      </c>
      <c r="AJ7" s="425">
        <v>0</v>
      </c>
      <c r="AK7" s="387">
        <v>0</v>
      </c>
      <c r="AL7" s="425">
        <v>0</v>
      </c>
      <c r="AM7" s="425">
        <v>0</v>
      </c>
      <c r="AN7" s="457">
        <v>0</v>
      </c>
      <c r="AO7" s="428">
        <v>0</v>
      </c>
      <c r="AP7" s="428">
        <v>0</v>
      </c>
      <c r="AQ7" s="428">
        <v>0</v>
      </c>
      <c r="AR7" s="465">
        <v>0</v>
      </c>
      <c r="AS7" s="431">
        <v>0</v>
      </c>
      <c r="AT7" s="431">
        <v>0</v>
      </c>
      <c r="AU7" s="431">
        <v>0</v>
      </c>
      <c r="AV7" s="431">
        <v>0</v>
      </c>
      <c r="AW7" s="388">
        <v>0</v>
      </c>
      <c r="AX7" s="428">
        <v>0</v>
      </c>
      <c r="AY7" s="428">
        <v>0</v>
      </c>
      <c r="AZ7" s="428">
        <v>0</v>
      </c>
      <c r="BA7" s="388">
        <v>0</v>
      </c>
      <c r="BB7" s="428">
        <v>0</v>
      </c>
      <c r="BC7" s="428">
        <v>0</v>
      </c>
      <c r="BD7" s="428">
        <v>0</v>
      </c>
      <c r="BE7" s="386">
        <v>0</v>
      </c>
      <c r="BF7" s="424">
        <v>0</v>
      </c>
      <c r="BG7" s="424">
        <v>0</v>
      </c>
      <c r="BH7" s="385">
        <v>0</v>
      </c>
      <c r="BI7" s="424">
        <v>0</v>
      </c>
      <c r="BJ7" s="424">
        <v>0</v>
      </c>
      <c r="BK7" s="424">
        <v>0</v>
      </c>
      <c r="BL7" s="385">
        <v>0</v>
      </c>
      <c r="BM7" s="424">
        <v>0</v>
      </c>
      <c r="BN7" s="424">
        <v>0</v>
      </c>
      <c r="BO7" s="424">
        <v>0</v>
      </c>
      <c r="BP7" s="385">
        <v>0</v>
      </c>
      <c r="BQ7" s="424">
        <v>0</v>
      </c>
      <c r="BR7" s="424">
        <v>0</v>
      </c>
      <c r="BS7" s="424">
        <v>0</v>
      </c>
      <c r="BT7" s="385">
        <v>0</v>
      </c>
      <c r="BU7" s="424">
        <v>0</v>
      </c>
      <c r="BV7" s="424">
        <v>0</v>
      </c>
      <c r="BW7" s="424">
        <v>0</v>
      </c>
      <c r="BX7" s="385">
        <v>0</v>
      </c>
      <c r="BY7" s="424">
        <v>0</v>
      </c>
      <c r="BZ7" s="424">
        <v>0</v>
      </c>
      <c r="CA7" s="424">
        <v>0</v>
      </c>
      <c r="CB7" s="424">
        <v>0</v>
      </c>
    </row>
    <row r="8" spans="1:80" x14ac:dyDescent="0.35">
      <c r="A8" s="522"/>
      <c r="B8" s="381" t="s">
        <v>428</v>
      </c>
      <c r="C8" s="389" t="s">
        <v>119</v>
      </c>
      <c r="D8" s="383" t="s">
        <v>447</v>
      </c>
      <c r="E8" s="6">
        <v>0</v>
      </c>
      <c r="F8" s="395">
        <v>0</v>
      </c>
      <c r="G8" s="397" t="s">
        <v>375</v>
      </c>
      <c r="H8" s="397" t="s">
        <v>376</v>
      </c>
      <c r="I8" s="400">
        <v>0</v>
      </c>
      <c r="J8" s="408" t="str">
        <f>B34</f>
        <v>Reactant10</v>
      </c>
      <c r="K8" s="417">
        <v>0</v>
      </c>
      <c r="L8" s="417">
        <v>0</v>
      </c>
      <c r="M8" s="417">
        <v>0</v>
      </c>
      <c r="N8" s="417">
        <v>0</v>
      </c>
      <c r="O8" s="417">
        <v>0</v>
      </c>
      <c r="P8" s="385">
        <v>0</v>
      </c>
      <c r="Q8" s="384">
        <v>0</v>
      </c>
      <c r="R8" s="424">
        <v>0</v>
      </c>
      <c r="S8" s="424">
        <v>0</v>
      </c>
      <c r="T8" s="385">
        <v>0</v>
      </c>
      <c r="U8" s="424">
        <v>0</v>
      </c>
      <c r="V8" s="424" t="s">
        <v>450</v>
      </c>
      <c r="W8" s="424">
        <v>0</v>
      </c>
      <c r="X8" s="385">
        <v>0</v>
      </c>
      <c r="Y8" s="424">
        <v>0</v>
      </c>
      <c r="Z8" s="424">
        <v>0</v>
      </c>
      <c r="AA8" s="424">
        <v>0</v>
      </c>
      <c r="AB8" s="424">
        <v>0</v>
      </c>
      <c r="AC8" s="387">
        <v>0</v>
      </c>
      <c r="AD8" s="425" t="s">
        <v>451</v>
      </c>
      <c r="AE8" s="425">
        <v>0</v>
      </c>
      <c r="AF8" s="425">
        <v>0</v>
      </c>
      <c r="AG8" s="387">
        <v>0</v>
      </c>
      <c r="AH8" s="425" t="s">
        <v>452</v>
      </c>
      <c r="AI8" s="425">
        <v>0</v>
      </c>
      <c r="AJ8" s="425">
        <v>0</v>
      </c>
      <c r="AK8" s="387">
        <v>0</v>
      </c>
      <c r="AL8" s="425" t="s">
        <v>452</v>
      </c>
      <c r="AM8" s="425">
        <v>0</v>
      </c>
      <c r="AN8" s="457">
        <v>0</v>
      </c>
      <c r="AO8" s="427">
        <v>0</v>
      </c>
      <c r="AP8" s="427" t="s">
        <v>452</v>
      </c>
      <c r="AQ8" s="427">
        <v>0</v>
      </c>
      <c r="AR8" s="464">
        <v>0</v>
      </c>
      <c r="AS8" s="430">
        <v>0</v>
      </c>
      <c r="AT8" s="430" t="s">
        <v>453</v>
      </c>
      <c r="AU8" s="430">
        <v>0</v>
      </c>
      <c r="AV8" s="430">
        <v>0</v>
      </c>
      <c r="AW8" s="386">
        <v>0</v>
      </c>
      <c r="AX8" s="424" t="s">
        <v>454</v>
      </c>
      <c r="AY8" s="424">
        <v>0</v>
      </c>
      <c r="AZ8" s="424">
        <v>0</v>
      </c>
      <c r="BA8" s="388">
        <v>0</v>
      </c>
      <c r="BB8" s="428">
        <v>0</v>
      </c>
      <c r="BC8" s="428">
        <v>0</v>
      </c>
      <c r="BD8" s="428">
        <v>0</v>
      </c>
      <c r="BE8" s="386">
        <v>0</v>
      </c>
      <c r="BF8" s="424">
        <v>0</v>
      </c>
      <c r="BG8" s="424">
        <v>0</v>
      </c>
      <c r="BH8" s="385">
        <v>0</v>
      </c>
      <c r="BI8" s="424">
        <v>0</v>
      </c>
      <c r="BJ8" s="424">
        <v>0</v>
      </c>
      <c r="BK8" s="424">
        <v>0</v>
      </c>
      <c r="BL8" s="385">
        <v>0</v>
      </c>
      <c r="BM8" s="424">
        <v>0</v>
      </c>
      <c r="BN8" s="424">
        <v>0</v>
      </c>
      <c r="BO8" s="424">
        <v>0</v>
      </c>
      <c r="BP8" s="385">
        <v>0</v>
      </c>
      <c r="BQ8" s="424">
        <v>0</v>
      </c>
      <c r="BR8" s="424" t="s">
        <v>455</v>
      </c>
      <c r="BS8" s="424">
        <v>0</v>
      </c>
      <c r="BT8" s="385">
        <v>0</v>
      </c>
      <c r="BU8" s="424">
        <v>0</v>
      </c>
      <c r="BV8" s="424">
        <v>0</v>
      </c>
      <c r="BW8" s="424">
        <v>0</v>
      </c>
      <c r="BX8" s="385">
        <v>0</v>
      </c>
      <c r="BY8" s="424">
        <v>0</v>
      </c>
      <c r="BZ8" s="424">
        <v>0</v>
      </c>
      <c r="CA8" s="424">
        <v>0</v>
      </c>
      <c r="CB8" s="424">
        <v>0</v>
      </c>
    </row>
    <row r="9" spans="1:80" s="477" customFormat="1" x14ac:dyDescent="0.35">
      <c r="A9" s="522"/>
      <c r="B9" s="467" t="s">
        <v>97</v>
      </c>
      <c r="C9" s="468" t="s">
        <v>184</v>
      </c>
      <c r="D9" s="469" t="s">
        <v>430</v>
      </c>
      <c r="E9" s="470">
        <v>0</v>
      </c>
      <c r="F9" s="471">
        <v>0</v>
      </c>
      <c r="G9" s="472" t="s">
        <v>426</v>
      </c>
      <c r="H9" s="472" t="s">
        <v>427</v>
      </c>
      <c r="I9" s="473">
        <v>0</v>
      </c>
      <c r="J9" s="474" t="str">
        <f>B10</f>
        <v>Product/Reactant3</v>
      </c>
      <c r="K9" s="475">
        <v>0</v>
      </c>
      <c r="L9" s="475">
        <v>0</v>
      </c>
      <c r="M9" s="475">
        <v>0</v>
      </c>
      <c r="N9" s="475">
        <v>0</v>
      </c>
      <c r="O9" s="475">
        <v>0</v>
      </c>
      <c r="P9" s="476">
        <v>0</v>
      </c>
      <c r="Q9" s="477">
        <v>0</v>
      </c>
      <c r="R9" s="478" t="s">
        <v>456</v>
      </c>
      <c r="S9" s="478">
        <v>0</v>
      </c>
      <c r="T9" s="476">
        <v>0</v>
      </c>
      <c r="U9" s="478">
        <v>0</v>
      </c>
      <c r="V9" s="478">
        <v>0</v>
      </c>
      <c r="W9" s="478">
        <v>0</v>
      </c>
      <c r="X9" s="476">
        <v>0</v>
      </c>
      <c r="Y9" s="478">
        <v>0</v>
      </c>
      <c r="Z9" s="478">
        <v>0</v>
      </c>
      <c r="AA9" s="478">
        <v>0</v>
      </c>
      <c r="AB9" s="476">
        <v>0</v>
      </c>
      <c r="AC9" s="479">
        <v>0</v>
      </c>
      <c r="AD9" s="480">
        <v>0</v>
      </c>
      <c r="AE9" s="480">
        <v>0</v>
      </c>
      <c r="AF9" s="480">
        <v>0</v>
      </c>
      <c r="AG9" s="479">
        <v>0</v>
      </c>
      <c r="AH9" s="480">
        <v>0</v>
      </c>
      <c r="AI9" s="480">
        <v>0</v>
      </c>
      <c r="AJ9" s="480">
        <v>0</v>
      </c>
      <c r="AK9" s="479">
        <v>0</v>
      </c>
      <c r="AL9" s="480">
        <v>0</v>
      </c>
      <c r="AM9" s="480">
        <v>0</v>
      </c>
      <c r="AN9" s="481">
        <v>0</v>
      </c>
      <c r="AO9" s="482">
        <v>0</v>
      </c>
      <c r="AP9" s="482">
        <v>0</v>
      </c>
      <c r="AQ9" s="482">
        <v>0</v>
      </c>
      <c r="AR9" s="483">
        <v>0</v>
      </c>
      <c r="AS9" s="484">
        <v>0</v>
      </c>
      <c r="AT9" s="484">
        <v>0</v>
      </c>
      <c r="AU9" s="484">
        <v>0</v>
      </c>
      <c r="AV9" s="484">
        <v>0</v>
      </c>
      <c r="AW9" s="485">
        <v>0</v>
      </c>
      <c r="AX9" s="478">
        <v>0</v>
      </c>
      <c r="AY9" s="478">
        <v>0</v>
      </c>
      <c r="AZ9" s="478">
        <v>0</v>
      </c>
      <c r="BA9" s="486">
        <v>0</v>
      </c>
      <c r="BB9" s="487">
        <v>0</v>
      </c>
      <c r="BC9" s="487">
        <v>0</v>
      </c>
      <c r="BD9" s="487">
        <v>0</v>
      </c>
      <c r="BE9" s="485">
        <v>0</v>
      </c>
      <c r="BF9" s="478">
        <v>0</v>
      </c>
      <c r="BG9" s="478">
        <v>0</v>
      </c>
      <c r="BH9" s="476">
        <v>0</v>
      </c>
      <c r="BI9" s="478">
        <v>0</v>
      </c>
      <c r="BJ9" s="478">
        <v>0</v>
      </c>
      <c r="BK9" s="478">
        <v>0</v>
      </c>
      <c r="BL9" s="476">
        <v>0</v>
      </c>
      <c r="BM9" s="478">
        <v>0</v>
      </c>
      <c r="BN9" s="478">
        <v>0</v>
      </c>
      <c r="BO9" s="478">
        <v>0</v>
      </c>
      <c r="BP9" s="476">
        <v>0</v>
      </c>
      <c r="BQ9" s="478">
        <v>0</v>
      </c>
      <c r="BR9" s="478">
        <v>0</v>
      </c>
      <c r="BS9" s="478">
        <v>0</v>
      </c>
      <c r="BT9" s="476">
        <v>0</v>
      </c>
      <c r="BU9" s="478">
        <v>0</v>
      </c>
      <c r="BV9" s="478">
        <v>0</v>
      </c>
      <c r="BW9" s="478">
        <v>0</v>
      </c>
      <c r="BX9" s="476">
        <v>0</v>
      </c>
      <c r="BY9" s="478">
        <v>0</v>
      </c>
      <c r="BZ9" s="478">
        <v>0</v>
      </c>
      <c r="CA9" s="478">
        <v>0</v>
      </c>
      <c r="CB9" s="478">
        <v>0</v>
      </c>
    </row>
    <row r="10" spans="1:80" s="477" customFormat="1" x14ac:dyDescent="0.35">
      <c r="A10" s="522"/>
      <c r="B10" s="467" t="s">
        <v>98</v>
      </c>
      <c r="C10" s="488" t="s">
        <v>119</v>
      </c>
      <c r="D10" s="469" t="s">
        <v>448</v>
      </c>
      <c r="E10" s="470">
        <v>0</v>
      </c>
      <c r="F10" s="471">
        <v>0</v>
      </c>
      <c r="G10" s="472" t="s">
        <v>375</v>
      </c>
      <c r="H10" s="472" t="s">
        <v>376</v>
      </c>
      <c r="I10" s="473">
        <v>0</v>
      </c>
      <c r="J10" s="474" t="str">
        <f>B34</f>
        <v>Reactant10</v>
      </c>
      <c r="K10" s="475">
        <v>0</v>
      </c>
      <c r="L10" s="475">
        <v>0</v>
      </c>
      <c r="M10" s="475">
        <v>0</v>
      </c>
      <c r="N10" s="475">
        <v>0</v>
      </c>
      <c r="O10" s="475">
        <v>0</v>
      </c>
      <c r="P10" s="476">
        <v>0</v>
      </c>
      <c r="Q10" s="477">
        <v>0</v>
      </c>
      <c r="R10" s="478" t="s">
        <v>457</v>
      </c>
      <c r="S10" s="478">
        <v>0</v>
      </c>
      <c r="T10" s="476">
        <v>0</v>
      </c>
      <c r="U10" s="478">
        <v>0</v>
      </c>
      <c r="V10" s="478" t="s">
        <v>458</v>
      </c>
      <c r="W10" s="478">
        <v>0</v>
      </c>
      <c r="X10" s="476">
        <v>0</v>
      </c>
      <c r="Y10" s="478">
        <v>0</v>
      </c>
      <c r="Z10" s="478">
        <v>0</v>
      </c>
      <c r="AA10" s="478">
        <v>0</v>
      </c>
      <c r="AB10" s="478">
        <v>0</v>
      </c>
      <c r="AC10" s="479">
        <v>0</v>
      </c>
      <c r="AD10" s="480" t="s">
        <v>451</v>
      </c>
      <c r="AE10" s="480">
        <v>0</v>
      </c>
      <c r="AF10" s="480">
        <v>0</v>
      </c>
      <c r="AG10" s="479">
        <v>0</v>
      </c>
      <c r="AH10" s="480" t="s">
        <v>452</v>
      </c>
      <c r="AI10" s="480">
        <v>0</v>
      </c>
      <c r="AJ10" s="480">
        <v>0</v>
      </c>
      <c r="AK10" s="479">
        <v>0</v>
      </c>
      <c r="AL10" s="480" t="s">
        <v>452</v>
      </c>
      <c r="AM10" s="480">
        <v>0</v>
      </c>
      <c r="AN10" s="481">
        <v>0</v>
      </c>
      <c r="AO10" s="482">
        <v>0</v>
      </c>
      <c r="AP10" s="482">
        <v>0</v>
      </c>
      <c r="AQ10" s="482">
        <v>0</v>
      </c>
      <c r="AR10" s="483">
        <v>0</v>
      </c>
      <c r="AS10" s="484">
        <v>0</v>
      </c>
      <c r="AT10" s="484" t="s">
        <v>459</v>
      </c>
      <c r="AU10" s="484"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484"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489">
        <v>0</v>
      </c>
      <c r="AX10" s="478" t="s">
        <v>460</v>
      </c>
      <c r="AY10" s="478">
        <v>0</v>
      </c>
      <c r="AZ10" s="478">
        <v>0</v>
      </c>
      <c r="BA10" s="486">
        <v>0</v>
      </c>
      <c r="BB10" s="487">
        <v>0</v>
      </c>
      <c r="BC10" s="487">
        <v>0</v>
      </c>
      <c r="BD10" s="487">
        <v>0</v>
      </c>
      <c r="BE10" s="485">
        <v>0</v>
      </c>
      <c r="BF10" s="478">
        <v>0</v>
      </c>
      <c r="BG10" s="478">
        <v>0</v>
      </c>
      <c r="BH10" s="476">
        <v>0</v>
      </c>
      <c r="BI10" s="478">
        <v>0</v>
      </c>
      <c r="BJ10" s="478">
        <v>0</v>
      </c>
      <c r="BK10" s="478">
        <v>0</v>
      </c>
      <c r="BL10" s="476">
        <v>0</v>
      </c>
      <c r="BM10" s="478">
        <v>0</v>
      </c>
      <c r="BN10" s="478">
        <v>0</v>
      </c>
      <c r="BO10" s="478">
        <v>0</v>
      </c>
      <c r="BP10" s="476">
        <v>0</v>
      </c>
      <c r="BQ10" s="478">
        <v>0</v>
      </c>
      <c r="BR10" s="478" t="s">
        <v>455</v>
      </c>
      <c r="BS10" s="478">
        <v>0</v>
      </c>
      <c r="BT10" s="476">
        <v>0</v>
      </c>
      <c r="BU10" s="478">
        <v>0</v>
      </c>
      <c r="BV10" s="478">
        <v>0</v>
      </c>
      <c r="BW10" s="478">
        <v>0</v>
      </c>
      <c r="BX10" s="476">
        <v>0</v>
      </c>
      <c r="BY10" s="478">
        <v>0</v>
      </c>
      <c r="BZ10" s="478">
        <v>0</v>
      </c>
      <c r="CA10" s="478">
        <v>0</v>
      </c>
      <c r="CB10" s="478">
        <v>0</v>
      </c>
    </row>
    <row r="11" spans="1:80" x14ac:dyDescent="0.35">
      <c r="A11" s="522"/>
      <c r="B11" s="109" t="s">
        <v>97</v>
      </c>
      <c r="C11" s="110" t="s">
        <v>184</v>
      </c>
      <c r="D11" s="111" t="s">
        <v>432</v>
      </c>
      <c r="E11" s="6">
        <v>0</v>
      </c>
      <c r="F11" s="396">
        <v>0</v>
      </c>
      <c r="G11" s="398" t="s">
        <v>426</v>
      </c>
      <c r="H11" s="398" t="s">
        <v>427</v>
      </c>
      <c r="I11" s="399">
        <v>0</v>
      </c>
      <c r="J11" s="410" t="str">
        <f>B12</f>
        <v>Product/Reactant4</v>
      </c>
      <c r="K11" s="418">
        <v>0</v>
      </c>
      <c r="L11" s="418">
        <v>0</v>
      </c>
      <c r="M11" s="418">
        <v>0</v>
      </c>
      <c r="N11" s="418">
        <v>0</v>
      </c>
      <c r="O11" s="418">
        <v>0</v>
      </c>
      <c r="P11" s="391">
        <v>0</v>
      </c>
      <c r="Q11" s="390">
        <v>0</v>
      </c>
      <c r="R11" s="423">
        <v>0</v>
      </c>
      <c r="S11" s="423">
        <v>0</v>
      </c>
      <c r="T11" s="391">
        <v>0</v>
      </c>
      <c r="U11" s="423">
        <v>0</v>
      </c>
      <c r="V11" s="423">
        <v>0</v>
      </c>
      <c r="W11" s="423">
        <v>0</v>
      </c>
      <c r="X11" s="391">
        <v>0</v>
      </c>
      <c r="Y11" s="423">
        <v>0</v>
      </c>
      <c r="Z11" s="423">
        <v>0</v>
      </c>
      <c r="AA11" s="423">
        <v>0</v>
      </c>
      <c r="AB11" s="391">
        <v>0</v>
      </c>
      <c r="AC11" s="393">
        <v>0</v>
      </c>
      <c r="AD11" s="426">
        <v>0</v>
      </c>
      <c r="AE11" s="426">
        <v>0</v>
      </c>
      <c r="AF11" s="426">
        <v>0</v>
      </c>
      <c r="AG11" s="393">
        <v>0</v>
      </c>
      <c r="AH11" s="426">
        <v>0</v>
      </c>
      <c r="AI11" s="426">
        <v>0</v>
      </c>
      <c r="AJ11" s="426">
        <v>0</v>
      </c>
      <c r="AK11" s="393">
        <v>0</v>
      </c>
      <c r="AL11" s="426">
        <v>0</v>
      </c>
      <c r="AM11" s="426">
        <v>0</v>
      </c>
      <c r="AN11" s="458">
        <v>0</v>
      </c>
      <c r="AO11" s="429">
        <v>0</v>
      </c>
      <c r="AP11" s="429">
        <v>0</v>
      </c>
      <c r="AQ11" s="429">
        <v>0</v>
      </c>
      <c r="AR11" s="466">
        <v>0</v>
      </c>
      <c r="AS11" s="463">
        <v>0</v>
      </c>
      <c r="AT11" s="423">
        <v>0</v>
      </c>
      <c r="AU11" s="423">
        <v>0</v>
      </c>
      <c r="AV11" s="423">
        <v>0</v>
      </c>
      <c r="AW11" s="392">
        <v>0</v>
      </c>
      <c r="AX11" s="423">
        <v>0</v>
      </c>
      <c r="AY11" s="423">
        <v>0</v>
      </c>
      <c r="AZ11" s="423">
        <v>0</v>
      </c>
      <c r="BA11" s="394">
        <v>0</v>
      </c>
      <c r="BB11" s="429">
        <v>0</v>
      </c>
      <c r="BC11" s="429">
        <v>0</v>
      </c>
      <c r="BD11" s="429">
        <v>0</v>
      </c>
      <c r="BE11" s="392">
        <v>0</v>
      </c>
      <c r="BF11" s="423">
        <v>0</v>
      </c>
      <c r="BG11" s="423">
        <v>0</v>
      </c>
      <c r="BH11" s="391">
        <v>0</v>
      </c>
      <c r="BI11" s="423">
        <v>0</v>
      </c>
      <c r="BJ11" s="423">
        <v>0</v>
      </c>
      <c r="BK11" s="423">
        <v>0</v>
      </c>
      <c r="BL11" s="391">
        <v>0</v>
      </c>
      <c r="BM11" s="423">
        <v>0</v>
      </c>
      <c r="BN11" s="423">
        <v>0</v>
      </c>
      <c r="BO11" s="423">
        <v>0</v>
      </c>
      <c r="BP11" s="391">
        <v>0</v>
      </c>
      <c r="BQ11" s="423">
        <v>0</v>
      </c>
      <c r="BR11" s="423">
        <v>0</v>
      </c>
      <c r="BS11" s="423">
        <v>0</v>
      </c>
      <c r="BT11" s="391">
        <v>0</v>
      </c>
      <c r="BU11" s="423">
        <v>0</v>
      </c>
      <c r="BV11" s="423">
        <v>0</v>
      </c>
      <c r="BW11" s="423">
        <v>0</v>
      </c>
      <c r="BX11" s="391">
        <v>0</v>
      </c>
      <c r="BY11" s="423">
        <v>0</v>
      </c>
      <c r="BZ11" s="423">
        <v>0</v>
      </c>
      <c r="CA11" s="423">
        <v>0</v>
      </c>
      <c r="CB11" s="423">
        <v>0</v>
      </c>
    </row>
    <row r="12" spans="1:80" x14ac:dyDescent="0.35">
      <c r="A12" s="522"/>
      <c r="B12" s="109" t="s">
        <v>431</v>
      </c>
      <c r="C12" s="117" t="s">
        <v>119</v>
      </c>
      <c r="D12" s="111" t="s">
        <v>446</v>
      </c>
      <c r="E12" s="6">
        <v>0</v>
      </c>
      <c r="F12" s="396">
        <v>0</v>
      </c>
      <c r="G12" s="398" t="s">
        <v>434</v>
      </c>
      <c r="H12" s="398" t="s">
        <v>435</v>
      </c>
      <c r="I12" s="402">
        <v>0</v>
      </c>
      <c r="J12" s="410" t="str">
        <f>B34</f>
        <v>Reactant10</v>
      </c>
      <c r="K12" s="418">
        <v>0</v>
      </c>
      <c r="L12" s="418">
        <v>0</v>
      </c>
      <c r="M12" s="418">
        <v>0</v>
      </c>
      <c r="N12" s="418">
        <v>0</v>
      </c>
      <c r="O12" s="418">
        <v>0</v>
      </c>
      <c r="P12" s="391">
        <v>0</v>
      </c>
      <c r="Q12" s="392">
        <v>0</v>
      </c>
      <c r="R12" s="423">
        <v>0</v>
      </c>
      <c r="S12" s="423">
        <v>0</v>
      </c>
      <c r="T12" s="391">
        <v>0</v>
      </c>
      <c r="U12" s="423">
        <v>0</v>
      </c>
      <c r="V12" s="423">
        <v>0</v>
      </c>
      <c r="W12" s="423">
        <v>0</v>
      </c>
      <c r="X12" s="391">
        <v>0</v>
      </c>
      <c r="Y12" s="423">
        <v>0</v>
      </c>
      <c r="Z12" s="423">
        <v>0</v>
      </c>
      <c r="AA12" s="423">
        <v>0</v>
      </c>
      <c r="AB12" s="391">
        <v>0</v>
      </c>
      <c r="AC12" s="393">
        <v>0</v>
      </c>
      <c r="AD12" s="426">
        <v>0</v>
      </c>
      <c r="AE12" s="426">
        <v>0</v>
      </c>
      <c r="AF12" s="426">
        <v>0</v>
      </c>
      <c r="AG12" s="393">
        <v>0</v>
      </c>
      <c r="AH12" s="426">
        <v>0</v>
      </c>
      <c r="AI12" s="426">
        <v>0</v>
      </c>
      <c r="AJ12" s="426">
        <v>0</v>
      </c>
      <c r="AK12" s="393">
        <v>0</v>
      </c>
      <c r="AL12" s="426">
        <v>0</v>
      </c>
      <c r="AM12" s="426">
        <v>0</v>
      </c>
      <c r="AN12" s="458">
        <v>0</v>
      </c>
      <c r="AO12" s="429">
        <v>0</v>
      </c>
      <c r="AP12" s="429">
        <v>0</v>
      </c>
      <c r="AQ12" s="429">
        <v>0</v>
      </c>
      <c r="AR12" s="466">
        <v>0</v>
      </c>
      <c r="AS12" s="432">
        <v>0</v>
      </c>
      <c r="AT12" s="432">
        <v>0</v>
      </c>
      <c r="AU12" s="432">
        <v>0</v>
      </c>
      <c r="AV12" s="432">
        <v>0</v>
      </c>
      <c r="AW12" s="392">
        <v>0</v>
      </c>
      <c r="AX12" s="423">
        <v>0</v>
      </c>
      <c r="AY12" s="423">
        <v>0</v>
      </c>
      <c r="AZ12" s="423">
        <v>0</v>
      </c>
      <c r="BA12" s="394">
        <v>0</v>
      </c>
      <c r="BB12" s="429">
        <v>0</v>
      </c>
      <c r="BC12" s="429">
        <v>0</v>
      </c>
      <c r="BD12" s="429">
        <v>0</v>
      </c>
      <c r="BE12" s="392">
        <v>0</v>
      </c>
      <c r="BF12" s="423">
        <v>0</v>
      </c>
      <c r="BG12" s="423">
        <v>0</v>
      </c>
      <c r="BH12" s="391">
        <v>0</v>
      </c>
      <c r="BI12" s="423">
        <v>0</v>
      </c>
      <c r="BJ12" s="423">
        <v>0</v>
      </c>
      <c r="BK12" s="423">
        <v>0</v>
      </c>
      <c r="BL12" s="391">
        <v>0</v>
      </c>
      <c r="BM12" s="423">
        <v>0</v>
      </c>
      <c r="BN12" s="423">
        <v>0</v>
      </c>
      <c r="BO12" s="423">
        <v>0</v>
      </c>
      <c r="BP12" s="391">
        <v>0</v>
      </c>
      <c r="BQ12" s="423">
        <v>0</v>
      </c>
      <c r="BR12" s="42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423">
        <v>0</v>
      </c>
      <c r="BT12" s="391">
        <v>0</v>
      </c>
      <c r="BU12" s="423">
        <v>0</v>
      </c>
      <c r="BV12" s="423">
        <v>0</v>
      </c>
      <c r="BW12" s="423">
        <v>0</v>
      </c>
      <c r="BX12" s="391">
        <v>0</v>
      </c>
      <c r="BY12" s="423">
        <v>0</v>
      </c>
      <c r="BZ12" s="423">
        <v>0</v>
      </c>
      <c r="CA12" s="423">
        <v>0</v>
      </c>
      <c r="CB12" s="423">
        <v>0</v>
      </c>
    </row>
    <row r="13" spans="1:80" s="102" customFormat="1" ht="14.5" customHeight="1" x14ac:dyDescent="0.35">
      <c r="A13" s="522"/>
      <c r="B13" s="99" t="s">
        <v>97</v>
      </c>
      <c r="C13" s="100" t="s">
        <v>184</v>
      </c>
      <c r="D13" s="101" t="s">
        <v>50</v>
      </c>
      <c r="E13" s="6">
        <v>0</v>
      </c>
      <c r="F13" s="169">
        <v>0</v>
      </c>
      <c r="G13" s="182" t="s">
        <v>373</v>
      </c>
      <c r="H13" s="182" t="s">
        <v>374</v>
      </c>
      <c r="I13" s="192">
        <v>0</v>
      </c>
      <c r="J13" s="411" t="str">
        <f>B15</f>
        <v>Product/Reactant5</v>
      </c>
      <c r="K13" s="192">
        <v>0</v>
      </c>
      <c r="L13" s="192">
        <v>0</v>
      </c>
      <c r="M13" s="192">
        <v>0</v>
      </c>
      <c r="N13" s="192">
        <v>0</v>
      </c>
      <c r="O13" s="192">
        <v>0</v>
      </c>
      <c r="P13" s="204">
        <v>0</v>
      </c>
      <c r="Q13" s="102" t="s">
        <v>190</v>
      </c>
      <c r="R13" s="102" t="s">
        <v>190</v>
      </c>
      <c r="S13" s="102" t="s">
        <v>190</v>
      </c>
      <c r="T13" s="204" t="s">
        <v>190</v>
      </c>
      <c r="U13" s="102">
        <v>0</v>
      </c>
      <c r="V13" s="102">
        <v>0</v>
      </c>
      <c r="W13" s="102">
        <v>0</v>
      </c>
      <c r="X13" s="204">
        <v>0</v>
      </c>
      <c r="Y13" s="102">
        <v>0</v>
      </c>
      <c r="Z13" s="102">
        <v>0</v>
      </c>
      <c r="AA13" s="102">
        <v>0</v>
      </c>
      <c r="AB13" s="204">
        <v>0</v>
      </c>
      <c r="AC13" s="104">
        <v>0</v>
      </c>
      <c r="AD13" s="104">
        <v>0</v>
      </c>
      <c r="AE13" s="104">
        <v>0</v>
      </c>
      <c r="AF13" s="217">
        <v>0</v>
      </c>
      <c r="AG13" s="104">
        <v>0</v>
      </c>
      <c r="AH13" s="104">
        <v>0</v>
      </c>
      <c r="AI13" s="104">
        <v>0</v>
      </c>
      <c r="AJ13" s="217">
        <v>0</v>
      </c>
      <c r="AK13" s="104">
        <v>0</v>
      </c>
      <c r="AL13" s="104">
        <v>0</v>
      </c>
      <c r="AM13" s="104">
        <v>0</v>
      </c>
      <c r="AN13" s="217">
        <v>0</v>
      </c>
      <c r="AO13" s="105">
        <v>0</v>
      </c>
      <c r="AP13" s="105">
        <v>0</v>
      </c>
      <c r="AQ13" s="105">
        <v>0</v>
      </c>
      <c r="AR13" s="223">
        <v>0</v>
      </c>
      <c r="AS13" s="102">
        <v>0</v>
      </c>
      <c r="AT13" s="102">
        <v>0</v>
      </c>
      <c r="AU13" s="102">
        <v>0</v>
      </c>
      <c r="AV13" s="204">
        <v>0</v>
      </c>
      <c r="AW13" s="102">
        <v>0</v>
      </c>
      <c r="AX13" s="102">
        <v>0</v>
      </c>
      <c r="AY13" s="102">
        <v>0</v>
      </c>
      <c r="AZ13" s="204">
        <v>0</v>
      </c>
      <c r="BA13" s="102">
        <v>0</v>
      </c>
      <c r="BB13" s="102">
        <v>0</v>
      </c>
      <c r="BC13" s="102">
        <v>0</v>
      </c>
      <c r="BD13" s="204">
        <v>0</v>
      </c>
      <c r="BE13" s="102">
        <v>0</v>
      </c>
      <c r="BF13" s="102">
        <v>0</v>
      </c>
      <c r="BG13" s="102">
        <v>0</v>
      </c>
      <c r="BH13" s="204">
        <v>0</v>
      </c>
      <c r="BI13" s="102">
        <v>0</v>
      </c>
      <c r="BJ13" s="102">
        <v>0</v>
      </c>
      <c r="BK13" s="102">
        <v>0</v>
      </c>
      <c r="BL13" s="204">
        <v>0</v>
      </c>
      <c r="BM13" s="102">
        <v>0</v>
      </c>
      <c r="BN13" s="102">
        <v>0</v>
      </c>
      <c r="BO13" s="102">
        <v>0</v>
      </c>
      <c r="BP13" s="204">
        <v>0</v>
      </c>
      <c r="BQ13" s="102">
        <v>0</v>
      </c>
      <c r="BR13" s="102">
        <v>0</v>
      </c>
      <c r="BS13" s="102">
        <v>0</v>
      </c>
      <c r="BT13" s="204">
        <v>0</v>
      </c>
      <c r="BU13" s="103">
        <v>0</v>
      </c>
      <c r="BV13" s="103">
        <v>0</v>
      </c>
      <c r="BW13" s="103">
        <v>0</v>
      </c>
      <c r="BX13" s="103">
        <v>0</v>
      </c>
      <c r="BY13" s="234">
        <v>0</v>
      </c>
      <c r="BZ13" s="234">
        <v>0</v>
      </c>
      <c r="CA13" s="234">
        <v>0</v>
      </c>
      <c r="CB13" s="234">
        <v>0</v>
      </c>
    </row>
    <row r="14" spans="1:80" s="102" customFormat="1" x14ac:dyDescent="0.35">
      <c r="A14" s="522"/>
      <c r="B14" s="99" t="s">
        <v>97</v>
      </c>
      <c r="C14" s="100" t="s">
        <v>184</v>
      </c>
      <c r="D14" s="101" t="s">
        <v>61</v>
      </c>
      <c r="E14" s="6">
        <v>0</v>
      </c>
      <c r="F14" s="169">
        <v>0</v>
      </c>
      <c r="G14" s="182" t="s">
        <v>373</v>
      </c>
      <c r="H14" s="182" t="s">
        <v>374</v>
      </c>
      <c r="I14" s="192">
        <v>0</v>
      </c>
      <c r="J14" s="411" t="str">
        <f>B15</f>
        <v>Product/Reactant5</v>
      </c>
      <c r="K14" s="192">
        <v>0</v>
      </c>
      <c r="L14" s="192">
        <v>0</v>
      </c>
      <c r="M14" s="192">
        <v>0</v>
      </c>
      <c r="N14" s="192">
        <v>0</v>
      </c>
      <c r="O14" s="192">
        <v>0</v>
      </c>
      <c r="P14" s="204">
        <v>0</v>
      </c>
      <c r="Q14" s="102" t="s">
        <v>190</v>
      </c>
      <c r="R14" s="102" t="s">
        <v>190</v>
      </c>
      <c r="S14" s="102" t="s">
        <v>190</v>
      </c>
      <c r="T14" s="204" t="s">
        <v>190</v>
      </c>
      <c r="U14" s="102">
        <v>0</v>
      </c>
      <c r="V14" s="102">
        <v>0</v>
      </c>
      <c r="W14" s="102">
        <v>0</v>
      </c>
      <c r="X14" s="204">
        <v>0</v>
      </c>
      <c r="Y14" s="102">
        <v>0</v>
      </c>
      <c r="Z14" s="102">
        <v>0</v>
      </c>
      <c r="AA14" s="102">
        <v>0</v>
      </c>
      <c r="AB14" s="204">
        <v>0</v>
      </c>
      <c r="AC14" s="104">
        <v>0</v>
      </c>
      <c r="AD14" s="104">
        <v>0</v>
      </c>
      <c r="AE14" s="104">
        <v>0</v>
      </c>
      <c r="AF14" s="217">
        <v>0</v>
      </c>
      <c r="AG14" s="104">
        <v>0</v>
      </c>
      <c r="AH14" s="104">
        <v>0</v>
      </c>
      <c r="AI14" s="104">
        <v>0</v>
      </c>
      <c r="AJ14" s="217">
        <v>0</v>
      </c>
      <c r="AK14" s="104">
        <v>0</v>
      </c>
      <c r="AL14" s="104">
        <v>0</v>
      </c>
      <c r="AM14" s="104">
        <v>0</v>
      </c>
      <c r="AN14" s="217">
        <v>0</v>
      </c>
      <c r="AO14" s="106">
        <v>0</v>
      </c>
      <c r="AP14" s="106">
        <v>0</v>
      </c>
      <c r="AQ14" s="106">
        <v>0</v>
      </c>
      <c r="AR14" s="224">
        <v>0</v>
      </c>
      <c r="AS14" s="106">
        <v>0</v>
      </c>
      <c r="AT14" s="106">
        <v>0</v>
      </c>
      <c r="AU14" s="106">
        <v>0</v>
      </c>
      <c r="AV14" s="224">
        <v>0</v>
      </c>
      <c r="AW14" s="106">
        <v>0</v>
      </c>
      <c r="AX14" s="106">
        <v>0</v>
      </c>
      <c r="AY14" s="106">
        <v>0</v>
      </c>
      <c r="AZ14" s="224">
        <v>0</v>
      </c>
      <c r="BA14" s="106">
        <v>0</v>
      </c>
      <c r="BB14" s="106">
        <v>0</v>
      </c>
      <c r="BC14" s="106">
        <v>0</v>
      </c>
      <c r="BD14" s="224">
        <v>0</v>
      </c>
      <c r="BE14" s="102">
        <v>0</v>
      </c>
      <c r="BF14" s="102">
        <v>0</v>
      </c>
      <c r="BG14" s="102">
        <v>0</v>
      </c>
      <c r="BH14" s="204">
        <v>0</v>
      </c>
      <c r="BI14" s="102">
        <v>0</v>
      </c>
      <c r="BJ14" s="102">
        <v>0</v>
      </c>
      <c r="BK14" s="102">
        <v>0</v>
      </c>
      <c r="BL14" s="204">
        <v>0</v>
      </c>
      <c r="BM14" s="102">
        <v>0</v>
      </c>
      <c r="BN14" s="102">
        <v>0</v>
      </c>
      <c r="BO14" s="102">
        <v>0</v>
      </c>
      <c r="BP14" s="204">
        <v>0</v>
      </c>
      <c r="BQ14" s="102">
        <v>0</v>
      </c>
      <c r="BR14" s="102">
        <v>0</v>
      </c>
      <c r="BS14" s="102">
        <v>0</v>
      </c>
      <c r="BT14" s="204">
        <v>0</v>
      </c>
      <c r="BU14" s="103">
        <v>0</v>
      </c>
      <c r="BV14" s="103">
        <v>0</v>
      </c>
      <c r="BW14" s="103">
        <v>0</v>
      </c>
      <c r="BX14" s="243">
        <v>0</v>
      </c>
      <c r="BY14" s="234">
        <v>0</v>
      </c>
      <c r="BZ14" s="234">
        <v>0</v>
      </c>
      <c r="CA14" s="234">
        <v>0</v>
      </c>
      <c r="CB14" s="234">
        <v>0</v>
      </c>
    </row>
    <row r="15" spans="1:80" s="102" customFormat="1" x14ac:dyDescent="0.35">
      <c r="A15" s="522"/>
      <c r="B15" s="99" t="s">
        <v>433</v>
      </c>
      <c r="C15" s="107" t="s">
        <v>119</v>
      </c>
      <c r="D15" s="101" t="s">
        <v>449</v>
      </c>
      <c r="E15" s="6">
        <v>0</v>
      </c>
      <c r="F15" s="169">
        <v>0</v>
      </c>
      <c r="G15" s="182" t="s">
        <v>375</v>
      </c>
      <c r="H15" s="182" t="s">
        <v>376</v>
      </c>
      <c r="I15" s="403">
        <v>0</v>
      </c>
      <c r="J15" s="411" t="str">
        <f>B34</f>
        <v>Reactant10</v>
      </c>
      <c r="K15" s="192">
        <v>0</v>
      </c>
      <c r="L15" s="192">
        <v>0</v>
      </c>
      <c r="M15" s="192">
        <v>0</v>
      </c>
      <c r="N15" s="192">
        <v>0</v>
      </c>
      <c r="O15" s="192">
        <v>0</v>
      </c>
      <c r="P15" s="204">
        <v>0</v>
      </c>
      <c r="Q15" s="102" t="s">
        <v>190</v>
      </c>
      <c r="R15" s="102" t="s">
        <v>190</v>
      </c>
      <c r="S15" s="102" t="s">
        <v>190</v>
      </c>
      <c r="T15" s="204" t="s">
        <v>190</v>
      </c>
      <c r="U15" s="108">
        <v>0</v>
      </c>
      <c r="V15" s="108">
        <v>0</v>
      </c>
      <c r="W15" s="108">
        <v>0</v>
      </c>
      <c r="X15" s="210">
        <v>0</v>
      </c>
      <c r="Y15" s="102">
        <v>0</v>
      </c>
      <c r="Z15" s="102">
        <v>0</v>
      </c>
      <c r="AA15" s="102">
        <v>0</v>
      </c>
      <c r="AB15" s="204">
        <v>0</v>
      </c>
      <c r="AC15" s="104" t="s">
        <v>190</v>
      </c>
      <c r="AD15" s="104" t="s">
        <v>190</v>
      </c>
      <c r="AE15" s="104" t="s">
        <v>190</v>
      </c>
      <c r="AF15" s="217" t="s">
        <v>190</v>
      </c>
      <c r="AG15" s="104" t="s">
        <v>211</v>
      </c>
      <c r="AH15" s="104" t="s">
        <v>190</v>
      </c>
      <c r="AI15" s="104" t="s">
        <v>190</v>
      </c>
      <c r="AJ15" s="217" t="s">
        <v>190</v>
      </c>
      <c r="AK15" s="104" t="s">
        <v>211</v>
      </c>
      <c r="AL15" s="104" t="s">
        <v>190</v>
      </c>
      <c r="AM15" s="104" t="s">
        <v>190</v>
      </c>
      <c r="AN15" s="217" t="s">
        <v>190</v>
      </c>
      <c r="AO15" s="105" t="s">
        <v>190</v>
      </c>
      <c r="AP15" s="105" t="s">
        <v>190</v>
      </c>
      <c r="AQ15" s="105" t="s">
        <v>190</v>
      </c>
      <c r="AR15" s="223" t="s">
        <v>190</v>
      </c>
      <c r="AS15" s="108" t="s">
        <v>349</v>
      </c>
      <c r="AT15" s="108" t="s">
        <v>349</v>
      </c>
      <c r="AU15" s="108" t="s">
        <v>349</v>
      </c>
      <c r="AV15" s="210" t="s">
        <v>349</v>
      </c>
      <c r="AW15" s="102" t="s">
        <v>254</v>
      </c>
      <c r="AX15" s="102" t="s">
        <v>254</v>
      </c>
      <c r="AY15" s="102" t="s">
        <v>254</v>
      </c>
      <c r="AZ15" s="204" t="s">
        <v>254</v>
      </c>
      <c r="BA15" s="106">
        <v>0</v>
      </c>
      <c r="BB15" s="106">
        <v>0</v>
      </c>
      <c r="BC15" s="106">
        <v>0</v>
      </c>
      <c r="BD15" s="224">
        <v>0</v>
      </c>
      <c r="BE15" s="102">
        <v>0</v>
      </c>
      <c r="BF15" s="102">
        <v>0</v>
      </c>
      <c r="BG15" s="102">
        <v>0</v>
      </c>
      <c r="BH15" s="204">
        <v>0</v>
      </c>
      <c r="BI15" s="102">
        <v>0</v>
      </c>
      <c r="BJ15" s="102">
        <v>0</v>
      </c>
      <c r="BK15" s="102">
        <v>0</v>
      </c>
      <c r="BL15" s="204">
        <v>0</v>
      </c>
      <c r="BM15" s="102">
        <v>0</v>
      </c>
      <c r="BN15" s="102">
        <v>0</v>
      </c>
      <c r="BO15" s="102">
        <v>0</v>
      </c>
      <c r="BP15" s="204">
        <v>0</v>
      </c>
      <c r="BQ15" s="102" t="s">
        <v>261</v>
      </c>
      <c r="BR15" s="102" t="s">
        <v>261</v>
      </c>
      <c r="BS15" s="102" t="s">
        <v>261</v>
      </c>
      <c r="BT15" s="204" t="s">
        <v>261</v>
      </c>
      <c r="BU15" s="103">
        <v>0</v>
      </c>
      <c r="BV15" s="103">
        <v>0</v>
      </c>
      <c r="BW15" s="103">
        <v>0</v>
      </c>
      <c r="BX15" s="243">
        <v>0</v>
      </c>
      <c r="BY15" s="234">
        <v>0</v>
      </c>
      <c r="BZ15" s="234">
        <v>0</v>
      </c>
      <c r="CA15" s="234">
        <v>0</v>
      </c>
      <c r="CB15" s="234">
        <v>0</v>
      </c>
    </row>
    <row r="16" spans="1:80" s="80" customFormat="1" x14ac:dyDescent="0.35">
      <c r="A16" s="522"/>
      <c r="B16" s="76" t="s">
        <v>97</v>
      </c>
      <c r="C16" s="77" t="s">
        <v>184</v>
      </c>
      <c r="D16" s="78" t="s">
        <v>296</v>
      </c>
      <c r="E16" s="6">
        <v>0</v>
      </c>
      <c r="F16" s="170">
        <v>0</v>
      </c>
      <c r="G16" s="183" t="s">
        <v>397</v>
      </c>
      <c r="H16" s="183" t="s">
        <v>398</v>
      </c>
      <c r="I16" s="404">
        <v>0</v>
      </c>
      <c r="J16" s="412" t="str">
        <f>B17</f>
        <v>Product/Reactant6</v>
      </c>
      <c r="K16" s="197">
        <v>0</v>
      </c>
      <c r="L16" s="197">
        <v>0</v>
      </c>
      <c r="M16" s="197">
        <v>0</v>
      </c>
      <c r="N16" s="197">
        <v>0</v>
      </c>
      <c r="O16" s="197">
        <v>0</v>
      </c>
      <c r="P16" s="233">
        <v>0</v>
      </c>
      <c r="Q16" s="81" t="s">
        <v>350</v>
      </c>
      <c r="R16" s="81" t="s">
        <v>350</v>
      </c>
      <c r="S16" s="81" t="s">
        <v>350</v>
      </c>
      <c r="T16" s="205" t="s">
        <v>350</v>
      </c>
      <c r="U16" s="82">
        <v>0</v>
      </c>
      <c r="V16" s="82">
        <v>0</v>
      </c>
      <c r="W16" s="82">
        <v>0</v>
      </c>
      <c r="X16" s="211">
        <v>0</v>
      </c>
      <c r="Y16" s="82">
        <v>0</v>
      </c>
      <c r="Z16" s="82">
        <v>0</v>
      </c>
      <c r="AA16" s="82">
        <v>0</v>
      </c>
      <c r="AB16" s="211">
        <v>0</v>
      </c>
      <c r="AC16" s="83">
        <v>0</v>
      </c>
      <c r="AD16" s="83">
        <v>0</v>
      </c>
      <c r="AE16" s="83">
        <v>0</v>
      </c>
      <c r="AF16" s="218">
        <v>0</v>
      </c>
      <c r="AG16" s="83">
        <v>0</v>
      </c>
      <c r="AH16" s="83">
        <v>0</v>
      </c>
      <c r="AI16" s="83">
        <v>0</v>
      </c>
      <c r="AJ16" s="218">
        <v>0</v>
      </c>
      <c r="AK16" s="83">
        <v>0</v>
      </c>
      <c r="AL16" s="83">
        <v>0</v>
      </c>
      <c r="AM16" s="83">
        <v>0</v>
      </c>
      <c r="AN16" s="218">
        <v>0</v>
      </c>
      <c r="AO16" s="86">
        <v>0</v>
      </c>
      <c r="AP16" s="86">
        <v>0</v>
      </c>
      <c r="AQ16" s="86">
        <v>0</v>
      </c>
      <c r="AR16" s="225">
        <v>0</v>
      </c>
      <c r="AS16" s="86">
        <v>0</v>
      </c>
      <c r="AT16" s="86">
        <v>0</v>
      </c>
      <c r="AU16" s="86">
        <v>0</v>
      </c>
      <c r="AV16" s="225">
        <v>0</v>
      </c>
      <c r="AW16" s="86">
        <v>0</v>
      </c>
      <c r="AX16" s="86">
        <v>0</v>
      </c>
      <c r="AY16" s="86">
        <v>0</v>
      </c>
      <c r="AZ16" s="225">
        <v>0</v>
      </c>
      <c r="BA16" s="87">
        <v>0</v>
      </c>
      <c r="BB16" s="87">
        <v>0</v>
      </c>
      <c r="BC16" s="87">
        <v>0</v>
      </c>
      <c r="BD16" s="232">
        <v>0</v>
      </c>
      <c r="BE16" s="80">
        <v>0</v>
      </c>
      <c r="BF16" s="80">
        <v>0</v>
      </c>
      <c r="BG16" s="80">
        <v>0</v>
      </c>
      <c r="BH16" s="233">
        <v>0</v>
      </c>
      <c r="BI16" s="80">
        <v>0</v>
      </c>
      <c r="BJ16" s="80">
        <v>0</v>
      </c>
      <c r="BK16" s="80">
        <v>0</v>
      </c>
      <c r="BL16" s="233">
        <v>0</v>
      </c>
      <c r="BM16" s="80">
        <v>0</v>
      </c>
      <c r="BN16" s="80">
        <v>0</v>
      </c>
      <c r="BO16" s="80">
        <v>0</v>
      </c>
      <c r="BP16" s="233">
        <v>0</v>
      </c>
      <c r="BQ16" s="80">
        <v>0</v>
      </c>
      <c r="BR16" s="80">
        <v>0</v>
      </c>
      <c r="BS16" s="80">
        <v>0</v>
      </c>
      <c r="BT16" s="233">
        <v>0</v>
      </c>
      <c r="BU16" s="79">
        <v>0</v>
      </c>
      <c r="BV16" s="79">
        <v>0</v>
      </c>
      <c r="BW16" s="79">
        <v>0</v>
      </c>
      <c r="BX16" s="244">
        <v>0</v>
      </c>
      <c r="BY16" s="83">
        <v>0</v>
      </c>
      <c r="BZ16" s="83">
        <v>0</v>
      </c>
      <c r="CA16" s="83">
        <v>0</v>
      </c>
      <c r="CB16" s="83">
        <v>0</v>
      </c>
    </row>
    <row r="17" spans="1:80" s="80" customFormat="1" x14ac:dyDescent="0.35">
      <c r="A17" s="522"/>
      <c r="B17" s="76" t="s">
        <v>436</v>
      </c>
      <c r="C17" s="77" t="s">
        <v>119</v>
      </c>
      <c r="D17" s="78" t="s">
        <v>295</v>
      </c>
      <c r="E17" s="6">
        <v>0</v>
      </c>
      <c r="F17" s="170">
        <v>0</v>
      </c>
      <c r="G17" s="183" t="s">
        <v>375</v>
      </c>
      <c r="H17" s="183" t="s">
        <v>376</v>
      </c>
      <c r="I17" s="404">
        <v>0</v>
      </c>
      <c r="J17" s="412" t="str">
        <f>B34</f>
        <v>Reactant10</v>
      </c>
      <c r="K17" s="197">
        <v>0</v>
      </c>
      <c r="L17" s="197">
        <v>0</v>
      </c>
      <c r="M17" s="197">
        <v>0</v>
      </c>
      <c r="N17" s="197">
        <v>0</v>
      </c>
      <c r="O17" s="197">
        <v>0</v>
      </c>
      <c r="P17" s="233">
        <v>0</v>
      </c>
      <c r="Q17" s="81" t="s">
        <v>350</v>
      </c>
      <c r="R17" s="81" t="s">
        <v>350</v>
      </c>
      <c r="S17" s="81" t="s">
        <v>350</v>
      </c>
      <c r="T17" s="205" t="s">
        <v>350</v>
      </c>
      <c r="U17" s="82">
        <v>0</v>
      </c>
      <c r="V17" s="82">
        <v>0</v>
      </c>
      <c r="W17" s="82">
        <v>0</v>
      </c>
      <c r="X17" s="211">
        <v>0</v>
      </c>
      <c r="Y17" s="82">
        <v>0</v>
      </c>
      <c r="Z17" s="82">
        <v>0</v>
      </c>
      <c r="AA17" s="82">
        <v>0</v>
      </c>
      <c r="AB17" s="211">
        <v>0</v>
      </c>
      <c r="AC17" s="83" t="s">
        <v>190</v>
      </c>
      <c r="AD17" s="83" t="s">
        <v>190</v>
      </c>
      <c r="AE17" s="83" t="s">
        <v>190</v>
      </c>
      <c r="AF17" s="218" t="s">
        <v>190</v>
      </c>
      <c r="AG17" s="83" t="s">
        <v>211</v>
      </c>
      <c r="AH17" s="83" t="s">
        <v>190</v>
      </c>
      <c r="AI17" s="83" t="s">
        <v>190</v>
      </c>
      <c r="AJ17" s="218" t="s">
        <v>190</v>
      </c>
      <c r="AK17" s="83" t="s">
        <v>211</v>
      </c>
      <c r="AL17" s="83" t="s">
        <v>190</v>
      </c>
      <c r="AM17" s="83" t="s">
        <v>190</v>
      </c>
      <c r="AN17" s="218" t="s">
        <v>190</v>
      </c>
      <c r="AO17" s="84" t="s">
        <v>350</v>
      </c>
      <c r="AP17" s="84" t="s">
        <v>350</v>
      </c>
      <c r="AQ17" s="84" t="s">
        <v>350</v>
      </c>
      <c r="AR17" s="226" t="s">
        <v>350</v>
      </c>
      <c r="AS17" s="85" t="s">
        <v>350</v>
      </c>
      <c r="AT17" s="85" t="s">
        <v>350</v>
      </c>
      <c r="AU17" s="85" t="s">
        <v>350</v>
      </c>
      <c r="AV17" s="231" t="s">
        <v>350</v>
      </c>
      <c r="AW17" s="86" t="s">
        <v>351</v>
      </c>
      <c r="AX17" s="86" t="s">
        <v>351</v>
      </c>
      <c r="AY17" s="86" t="s">
        <v>351</v>
      </c>
      <c r="AZ17" s="225" t="s">
        <v>351</v>
      </c>
      <c r="BA17" s="87">
        <v>0</v>
      </c>
      <c r="BB17" s="87">
        <v>0</v>
      </c>
      <c r="BC17" s="87">
        <v>0</v>
      </c>
      <c r="BD17" s="232">
        <v>0</v>
      </c>
      <c r="BE17" s="80">
        <v>0</v>
      </c>
      <c r="BF17" s="80">
        <v>0</v>
      </c>
      <c r="BG17" s="80">
        <v>0</v>
      </c>
      <c r="BH17" s="233">
        <v>0</v>
      </c>
      <c r="BI17" s="80">
        <v>0</v>
      </c>
      <c r="BJ17" s="80">
        <v>0</v>
      </c>
      <c r="BK17" s="80">
        <v>0</v>
      </c>
      <c r="BL17" s="233">
        <v>0</v>
      </c>
      <c r="BM17" s="80">
        <v>0</v>
      </c>
      <c r="BN17" s="80">
        <v>0</v>
      </c>
      <c r="BO17" s="80">
        <v>0</v>
      </c>
      <c r="BP17" s="233">
        <v>0</v>
      </c>
      <c r="BQ17" s="80" t="s">
        <v>261</v>
      </c>
      <c r="BR17" s="80" t="s">
        <v>261</v>
      </c>
      <c r="BS17" s="80" t="s">
        <v>261</v>
      </c>
      <c r="BT17" s="233" t="s">
        <v>261</v>
      </c>
      <c r="BU17" s="79">
        <v>0</v>
      </c>
      <c r="BV17" s="79">
        <v>0</v>
      </c>
      <c r="BW17" s="79">
        <v>0</v>
      </c>
      <c r="BX17" s="244">
        <v>0</v>
      </c>
      <c r="BY17" s="83">
        <v>0</v>
      </c>
      <c r="BZ17" s="83">
        <v>0</v>
      </c>
      <c r="CA17" s="83">
        <v>0</v>
      </c>
      <c r="CB17" s="83">
        <v>0</v>
      </c>
    </row>
    <row r="18" spans="1:80" s="92" customFormat="1" x14ac:dyDescent="0.35">
      <c r="A18" s="522"/>
      <c r="B18" s="88" t="s">
        <v>97</v>
      </c>
      <c r="C18" s="89" t="s">
        <v>285</v>
      </c>
      <c r="D18" s="90" t="s">
        <v>297</v>
      </c>
      <c r="E18" s="6">
        <v>0</v>
      </c>
      <c r="F18" s="171">
        <v>0</v>
      </c>
      <c r="G18" s="184" t="s">
        <v>381</v>
      </c>
      <c r="H18" s="184" t="s">
        <v>382</v>
      </c>
      <c r="I18" s="193">
        <v>0</v>
      </c>
      <c r="J18" s="413" t="str">
        <f>B20</f>
        <v>Product/Reactant7</v>
      </c>
      <c r="K18" s="193">
        <v>0</v>
      </c>
      <c r="L18" s="193">
        <v>0</v>
      </c>
      <c r="M18" s="193">
        <v>0</v>
      </c>
      <c r="N18" s="193">
        <v>0</v>
      </c>
      <c r="O18" s="193">
        <v>0</v>
      </c>
      <c r="P18" s="206">
        <v>0</v>
      </c>
      <c r="Q18" s="92" t="s">
        <v>279</v>
      </c>
      <c r="R18" s="92" t="s">
        <v>279</v>
      </c>
      <c r="S18" s="92" t="s">
        <v>279</v>
      </c>
      <c r="T18" s="206" t="s">
        <v>279</v>
      </c>
      <c r="U18" s="92">
        <v>0</v>
      </c>
      <c r="V18" s="92">
        <v>0</v>
      </c>
      <c r="W18" s="92">
        <v>0</v>
      </c>
      <c r="X18" s="206">
        <v>0</v>
      </c>
      <c r="Y18" s="92">
        <v>0</v>
      </c>
      <c r="Z18" s="92">
        <v>0</v>
      </c>
      <c r="AA18" s="92">
        <v>0</v>
      </c>
      <c r="AB18" s="206">
        <v>0</v>
      </c>
      <c r="AC18" s="93">
        <v>0</v>
      </c>
      <c r="AD18" s="93">
        <v>0</v>
      </c>
      <c r="AE18" s="93">
        <v>0</v>
      </c>
      <c r="AF18" s="219">
        <v>0</v>
      </c>
      <c r="AG18" s="93">
        <v>0</v>
      </c>
      <c r="AH18" s="93">
        <v>0</v>
      </c>
      <c r="AI18" s="93">
        <v>0</v>
      </c>
      <c r="AJ18" s="219">
        <v>0</v>
      </c>
      <c r="AK18" s="93">
        <v>0</v>
      </c>
      <c r="AL18" s="93">
        <v>0</v>
      </c>
      <c r="AM18" s="93">
        <v>0</v>
      </c>
      <c r="AN18" s="219">
        <v>0</v>
      </c>
      <c r="AO18" s="94">
        <v>0</v>
      </c>
      <c r="AP18" s="94">
        <v>0</v>
      </c>
      <c r="AQ18" s="94">
        <v>0</v>
      </c>
      <c r="AR18" s="227">
        <v>0</v>
      </c>
      <c r="AS18" s="92">
        <v>0</v>
      </c>
      <c r="AT18" s="92">
        <v>0</v>
      </c>
      <c r="AU18" s="92">
        <v>0</v>
      </c>
      <c r="AV18" s="206">
        <v>0</v>
      </c>
      <c r="AW18" s="92">
        <v>0</v>
      </c>
      <c r="AX18" s="92">
        <v>0</v>
      </c>
      <c r="AY18" s="92">
        <v>0</v>
      </c>
      <c r="AZ18" s="206">
        <v>0</v>
      </c>
      <c r="BA18" s="92">
        <v>0</v>
      </c>
      <c r="BB18" s="92">
        <v>0</v>
      </c>
      <c r="BC18" s="92">
        <v>0</v>
      </c>
      <c r="BD18" s="206">
        <v>0</v>
      </c>
      <c r="BE18" s="92">
        <v>0</v>
      </c>
      <c r="BF18" s="92">
        <v>0</v>
      </c>
      <c r="BG18" s="92">
        <v>0</v>
      </c>
      <c r="BH18" s="206">
        <v>0</v>
      </c>
      <c r="BI18" s="92">
        <v>0</v>
      </c>
      <c r="BJ18" s="92">
        <v>0</v>
      </c>
      <c r="BK18" s="92">
        <v>0</v>
      </c>
      <c r="BL18" s="206">
        <v>0</v>
      </c>
      <c r="BM18" s="92" t="s">
        <v>352</v>
      </c>
      <c r="BN18" s="92" t="s">
        <v>352</v>
      </c>
      <c r="BO18" s="92" t="s">
        <v>352</v>
      </c>
      <c r="BP18" s="206" t="s">
        <v>352</v>
      </c>
      <c r="BQ18" s="92">
        <v>0</v>
      </c>
      <c r="BR18" s="92">
        <v>0</v>
      </c>
      <c r="BS18" s="92">
        <v>0</v>
      </c>
      <c r="BT18" s="206">
        <v>0</v>
      </c>
      <c r="BU18" s="91">
        <v>0</v>
      </c>
      <c r="BV18" s="91">
        <v>0</v>
      </c>
      <c r="BW18" s="91">
        <v>0</v>
      </c>
      <c r="BX18" s="238">
        <v>0</v>
      </c>
      <c r="BY18" s="93">
        <v>0</v>
      </c>
      <c r="BZ18" s="93">
        <v>0</v>
      </c>
      <c r="CA18" s="93">
        <v>0</v>
      </c>
      <c r="CB18" s="93">
        <v>0</v>
      </c>
    </row>
    <row r="19" spans="1:80" s="92" customFormat="1" x14ac:dyDescent="0.35">
      <c r="A19" s="522"/>
      <c r="B19" s="88" t="s">
        <v>97</v>
      </c>
      <c r="C19" s="95" t="s">
        <v>184</v>
      </c>
      <c r="D19" s="90" t="s">
        <v>302</v>
      </c>
      <c r="E19" s="6">
        <v>0</v>
      </c>
      <c r="F19" s="171">
        <v>0</v>
      </c>
      <c r="G19" s="184" t="s">
        <v>399</v>
      </c>
      <c r="H19" s="184" t="s">
        <v>402</v>
      </c>
      <c r="I19" s="193">
        <v>0</v>
      </c>
      <c r="J19" s="413" t="str">
        <f>B20</f>
        <v>Product/Reactant7</v>
      </c>
      <c r="K19" s="193">
        <v>0</v>
      </c>
      <c r="L19" s="193">
        <v>0</v>
      </c>
      <c r="M19" s="193">
        <v>0</v>
      </c>
      <c r="N19" s="193">
        <v>0</v>
      </c>
      <c r="O19" s="193">
        <v>0</v>
      </c>
      <c r="P19" s="206">
        <v>0</v>
      </c>
      <c r="Q19" s="92" t="s">
        <v>353</v>
      </c>
      <c r="R19" s="92" t="s">
        <v>353</v>
      </c>
      <c r="S19" s="92" t="s">
        <v>353</v>
      </c>
      <c r="T19" s="206" t="s">
        <v>353</v>
      </c>
      <c r="U19" s="92">
        <v>0</v>
      </c>
      <c r="V19" s="92">
        <v>0</v>
      </c>
      <c r="W19" s="92">
        <v>0</v>
      </c>
      <c r="X19" s="206">
        <v>0</v>
      </c>
      <c r="Y19" s="92">
        <v>0</v>
      </c>
      <c r="Z19" s="92">
        <v>0</v>
      </c>
      <c r="AA19" s="92">
        <v>0</v>
      </c>
      <c r="AB19" s="206">
        <v>0</v>
      </c>
      <c r="AC19" s="93">
        <v>0</v>
      </c>
      <c r="AD19" s="93">
        <v>0</v>
      </c>
      <c r="AE19" s="93">
        <v>0</v>
      </c>
      <c r="AF19" s="219">
        <v>0</v>
      </c>
      <c r="AG19" s="93">
        <v>0</v>
      </c>
      <c r="AH19" s="93">
        <v>0</v>
      </c>
      <c r="AI19" s="93">
        <v>0</v>
      </c>
      <c r="AJ19" s="219">
        <v>0</v>
      </c>
      <c r="AK19" s="93">
        <v>0</v>
      </c>
      <c r="AL19" s="93">
        <v>0</v>
      </c>
      <c r="AM19" s="93">
        <v>0</v>
      </c>
      <c r="AN19" s="219">
        <v>0</v>
      </c>
      <c r="AO19" s="94">
        <v>0</v>
      </c>
      <c r="AP19" s="94">
        <v>0</v>
      </c>
      <c r="AQ19" s="94">
        <v>0</v>
      </c>
      <c r="AR19" s="227">
        <v>0</v>
      </c>
      <c r="AS19" s="92">
        <v>0</v>
      </c>
      <c r="AT19" s="92">
        <v>0</v>
      </c>
      <c r="AU19" s="92">
        <v>0</v>
      </c>
      <c r="AV19" s="206">
        <v>0</v>
      </c>
      <c r="AW19" s="92">
        <v>0</v>
      </c>
      <c r="AX19" s="92">
        <v>0</v>
      </c>
      <c r="AY19" s="92">
        <v>0</v>
      </c>
      <c r="AZ19" s="206">
        <v>0</v>
      </c>
      <c r="BA19" s="92">
        <v>0</v>
      </c>
      <c r="BB19" s="92">
        <v>0</v>
      </c>
      <c r="BC19" s="92">
        <v>0</v>
      </c>
      <c r="BD19" s="206">
        <v>0</v>
      </c>
      <c r="BE19" s="92">
        <v>0</v>
      </c>
      <c r="BF19" s="92">
        <v>0</v>
      </c>
      <c r="BG19" s="92">
        <v>0</v>
      </c>
      <c r="BH19" s="206">
        <v>0</v>
      </c>
      <c r="BI19" s="92">
        <v>0</v>
      </c>
      <c r="BJ19" s="92">
        <v>0</v>
      </c>
      <c r="BK19" s="92">
        <v>0</v>
      </c>
      <c r="BL19" s="206">
        <v>0</v>
      </c>
      <c r="BM19" s="92">
        <v>0</v>
      </c>
      <c r="BN19" s="92">
        <v>0</v>
      </c>
      <c r="BO19" s="92">
        <v>0</v>
      </c>
      <c r="BP19" s="206">
        <v>0</v>
      </c>
      <c r="BQ19" s="92">
        <v>0</v>
      </c>
      <c r="BR19" s="92">
        <v>0</v>
      </c>
      <c r="BS19" s="92">
        <v>0</v>
      </c>
      <c r="BT19" s="206">
        <v>0</v>
      </c>
      <c r="BU19" s="91">
        <v>0</v>
      </c>
      <c r="BV19" s="91">
        <v>0</v>
      </c>
      <c r="BW19" s="91">
        <v>0</v>
      </c>
      <c r="BX19" s="238">
        <v>0</v>
      </c>
      <c r="BY19" s="93">
        <v>0</v>
      </c>
      <c r="BZ19" s="93">
        <v>0</v>
      </c>
      <c r="CA19" s="93">
        <v>0</v>
      </c>
      <c r="CB19" s="93">
        <v>0</v>
      </c>
    </row>
    <row r="20" spans="1:80" s="92" customFormat="1" x14ac:dyDescent="0.35">
      <c r="A20" s="522"/>
      <c r="B20" s="88" t="s">
        <v>437</v>
      </c>
      <c r="C20" s="95" t="s">
        <v>184</v>
      </c>
      <c r="D20" s="90" t="s">
        <v>298</v>
      </c>
      <c r="E20" s="6">
        <v>0</v>
      </c>
      <c r="F20" s="171">
        <v>0</v>
      </c>
      <c r="G20" s="184" t="s">
        <v>397</v>
      </c>
      <c r="H20" s="184" t="s">
        <v>398</v>
      </c>
      <c r="I20" s="405">
        <v>0</v>
      </c>
      <c r="J20" s="413" t="str">
        <f>B21</f>
        <v>Product/Reactant8</v>
      </c>
      <c r="K20" s="193">
        <v>0</v>
      </c>
      <c r="L20" s="193">
        <v>0</v>
      </c>
      <c r="M20" s="193">
        <v>0</v>
      </c>
      <c r="N20" s="193">
        <v>0</v>
      </c>
      <c r="O20" s="193">
        <v>0</v>
      </c>
      <c r="P20" s="206">
        <v>0</v>
      </c>
      <c r="Q20" s="92" t="s">
        <v>353</v>
      </c>
      <c r="R20" s="92" t="s">
        <v>353</v>
      </c>
      <c r="S20" s="92" t="s">
        <v>353</v>
      </c>
      <c r="T20" s="206" t="s">
        <v>353</v>
      </c>
      <c r="U20" s="96" t="s">
        <v>353</v>
      </c>
      <c r="V20" s="96" t="s">
        <v>353</v>
      </c>
      <c r="W20" s="96" t="s">
        <v>353</v>
      </c>
      <c r="X20" s="212" t="s">
        <v>353</v>
      </c>
      <c r="Y20" s="92">
        <v>0</v>
      </c>
      <c r="Z20" s="92">
        <v>0</v>
      </c>
      <c r="AA20" s="92">
        <v>0</v>
      </c>
      <c r="AB20" s="206">
        <v>0</v>
      </c>
      <c r="AC20" s="93">
        <v>0</v>
      </c>
      <c r="AD20" s="93">
        <v>0</v>
      </c>
      <c r="AE20" s="93">
        <v>0</v>
      </c>
      <c r="AF20" s="219">
        <v>0</v>
      </c>
      <c r="AG20" s="93">
        <v>0</v>
      </c>
      <c r="AH20" s="93">
        <v>0</v>
      </c>
      <c r="AI20" s="93">
        <v>0</v>
      </c>
      <c r="AJ20" s="219">
        <v>0</v>
      </c>
      <c r="AK20" s="93">
        <v>0</v>
      </c>
      <c r="AL20" s="93">
        <v>0</v>
      </c>
      <c r="AM20" s="93">
        <v>0</v>
      </c>
      <c r="AN20" s="219">
        <v>0</v>
      </c>
      <c r="AO20" s="97" t="s">
        <v>353</v>
      </c>
      <c r="AP20" s="97" t="s">
        <v>353</v>
      </c>
      <c r="AQ20" s="97" t="s">
        <v>353</v>
      </c>
      <c r="AR20" s="228" t="s">
        <v>353</v>
      </c>
      <c r="AS20" s="92" t="s">
        <v>353</v>
      </c>
      <c r="AT20" s="92" t="s">
        <v>353</v>
      </c>
      <c r="AU20" s="92" t="s">
        <v>353</v>
      </c>
      <c r="AV20" s="206" t="s">
        <v>353</v>
      </c>
      <c r="AW20" s="92" t="s">
        <v>353</v>
      </c>
      <c r="AX20" s="92" t="s">
        <v>353</v>
      </c>
      <c r="AY20" s="92" t="s">
        <v>353</v>
      </c>
      <c r="AZ20" s="206" t="s">
        <v>353</v>
      </c>
      <c r="BA20" s="92">
        <v>0</v>
      </c>
      <c r="BB20" s="92">
        <v>0</v>
      </c>
      <c r="BC20" s="92">
        <v>0</v>
      </c>
      <c r="BD20" s="206">
        <v>0</v>
      </c>
      <c r="BE20" s="92">
        <v>0</v>
      </c>
      <c r="BF20" s="92">
        <v>0</v>
      </c>
      <c r="BG20" s="92">
        <v>0</v>
      </c>
      <c r="BH20" s="206">
        <v>0</v>
      </c>
      <c r="BI20" s="92">
        <v>0</v>
      </c>
      <c r="BJ20" s="92">
        <v>0</v>
      </c>
      <c r="BK20" s="92">
        <v>0</v>
      </c>
      <c r="BL20" s="206">
        <v>0</v>
      </c>
      <c r="BM20" s="92">
        <v>0</v>
      </c>
      <c r="BN20" s="92">
        <v>0</v>
      </c>
      <c r="BO20" s="92">
        <v>0</v>
      </c>
      <c r="BP20" s="206">
        <v>0</v>
      </c>
      <c r="BQ20" s="92">
        <v>0</v>
      </c>
      <c r="BR20" s="92">
        <v>0</v>
      </c>
      <c r="BS20" s="92">
        <v>0</v>
      </c>
      <c r="BT20" s="206">
        <v>0</v>
      </c>
      <c r="BU20" s="91" t="s">
        <v>354</v>
      </c>
      <c r="BV20" s="91" t="s">
        <v>354</v>
      </c>
      <c r="BW20" s="91" t="s">
        <v>354</v>
      </c>
      <c r="BX20" s="238" t="s">
        <v>354</v>
      </c>
      <c r="BY20" s="93">
        <v>0</v>
      </c>
      <c r="BZ20" s="93">
        <v>0</v>
      </c>
      <c r="CA20" s="93">
        <v>0</v>
      </c>
      <c r="CB20" s="93">
        <v>0</v>
      </c>
    </row>
    <row r="21" spans="1:80" s="92" customFormat="1" x14ac:dyDescent="0.35">
      <c r="A21" s="522"/>
      <c r="B21" s="88" t="s">
        <v>438</v>
      </c>
      <c r="C21" s="89" t="s">
        <v>119</v>
      </c>
      <c r="D21" s="90" t="s">
        <v>301</v>
      </c>
      <c r="E21" s="6">
        <v>0</v>
      </c>
      <c r="F21" s="171">
        <v>0</v>
      </c>
      <c r="G21" s="184" t="s">
        <v>400</v>
      </c>
      <c r="H21" s="184" t="s">
        <v>401</v>
      </c>
      <c r="I21" s="405">
        <v>0</v>
      </c>
      <c r="J21" s="413" t="str">
        <f>B34</f>
        <v>Reactant10</v>
      </c>
      <c r="K21" s="193">
        <v>0</v>
      </c>
      <c r="L21" s="193">
        <v>0</v>
      </c>
      <c r="M21" s="193">
        <v>0</v>
      </c>
      <c r="N21" s="193">
        <v>0</v>
      </c>
      <c r="O21" s="193">
        <v>0</v>
      </c>
      <c r="P21" s="206">
        <v>0</v>
      </c>
      <c r="Q21" s="92" t="s">
        <v>353</v>
      </c>
      <c r="R21" s="92" t="s">
        <v>353</v>
      </c>
      <c r="S21" s="92" t="s">
        <v>353</v>
      </c>
      <c r="T21" s="206" t="s">
        <v>353</v>
      </c>
      <c r="U21" s="92">
        <v>0</v>
      </c>
      <c r="V21" s="92">
        <v>0</v>
      </c>
      <c r="W21" s="92">
        <v>0</v>
      </c>
      <c r="X21" s="206">
        <v>0</v>
      </c>
      <c r="Y21" s="92">
        <v>0</v>
      </c>
      <c r="Z21" s="92">
        <v>0</v>
      </c>
      <c r="AA21" s="92">
        <v>0</v>
      </c>
      <c r="AB21" s="206">
        <v>0</v>
      </c>
      <c r="AC21" s="93">
        <v>0</v>
      </c>
      <c r="AD21" s="93">
        <v>0</v>
      </c>
      <c r="AE21" s="93">
        <v>0</v>
      </c>
      <c r="AF21" s="219">
        <v>0</v>
      </c>
      <c r="AG21" s="93">
        <v>0</v>
      </c>
      <c r="AH21" s="93">
        <v>0</v>
      </c>
      <c r="AI21" s="93">
        <v>0</v>
      </c>
      <c r="AJ21" s="219">
        <v>0</v>
      </c>
      <c r="AK21" s="93">
        <v>0</v>
      </c>
      <c r="AL21" s="93">
        <v>0</v>
      </c>
      <c r="AM21" s="93">
        <v>0</v>
      </c>
      <c r="AN21" s="219">
        <v>0</v>
      </c>
      <c r="AO21" s="94" t="s">
        <v>353</v>
      </c>
      <c r="AP21" s="94" t="s">
        <v>353</v>
      </c>
      <c r="AQ21" s="94" t="s">
        <v>353</v>
      </c>
      <c r="AR21" s="227" t="s">
        <v>353</v>
      </c>
      <c r="AS21" s="92" t="s">
        <v>353</v>
      </c>
      <c r="AT21" s="92" t="s">
        <v>353</v>
      </c>
      <c r="AU21" s="92" t="s">
        <v>353</v>
      </c>
      <c r="AV21" s="206" t="s">
        <v>353</v>
      </c>
      <c r="AW21" s="92" t="s">
        <v>353</v>
      </c>
      <c r="AX21" s="92" t="s">
        <v>353</v>
      </c>
      <c r="AY21" s="92" t="s">
        <v>353</v>
      </c>
      <c r="AZ21" s="206" t="s">
        <v>353</v>
      </c>
      <c r="BA21" s="92">
        <v>0</v>
      </c>
      <c r="BB21" s="92">
        <v>0</v>
      </c>
      <c r="BC21" s="92">
        <v>0</v>
      </c>
      <c r="BD21" s="206">
        <v>0</v>
      </c>
      <c r="BE21" s="92">
        <v>0</v>
      </c>
      <c r="BF21" s="92">
        <v>0</v>
      </c>
      <c r="BG21" s="92">
        <v>0</v>
      </c>
      <c r="BH21" s="206">
        <v>0</v>
      </c>
      <c r="BI21" s="92">
        <v>0</v>
      </c>
      <c r="BJ21" s="92">
        <v>0</v>
      </c>
      <c r="BK21" s="92">
        <v>0</v>
      </c>
      <c r="BL21" s="206">
        <v>0</v>
      </c>
      <c r="BM21" s="92">
        <v>0</v>
      </c>
      <c r="BN21" s="92">
        <v>0</v>
      </c>
      <c r="BO21" s="92">
        <v>0</v>
      </c>
      <c r="BP21" s="206">
        <v>0</v>
      </c>
      <c r="BQ21" s="92">
        <v>0</v>
      </c>
      <c r="BR21" s="92">
        <v>0</v>
      </c>
      <c r="BS21" s="92">
        <v>0</v>
      </c>
      <c r="BT21" s="206">
        <v>0</v>
      </c>
      <c r="BU21" s="91" t="s">
        <v>354</v>
      </c>
      <c r="BV21" s="91" t="s">
        <v>354</v>
      </c>
      <c r="BW21" s="91" t="s">
        <v>354</v>
      </c>
      <c r="BX21" s="238" t="s">
        <v>354</v>
      </c>
      <c r="BY21" s="93">
        <v>0</v>
      </c>
      <c r="BZ21" s="93">
        <v>0</v>
      </c>
      <c r="CA21" s="93">
        <v>0</v>
      </c>
      <c r="CB21" s="93">
        <v>0</v>
      </c>
    </row>
    <row r="22" spans="1:80" s="112" customFormat="1" x14ac:dyDescent="0.35">
      <c r="A22" s="522"/>
      <c r="B22" s="109" t="s">
        <v>97</v>
      </c>
      <c r="C22" s="117" t="s">
        <v>285</v>
      </c>
      <c r="D22" s="111" t="s">
        <v>360</v>
      </c>
      <c r="E22" s="6">
        <v>0</v>
      </c>
      <c r="F22" s="172">
        <v>0</v>
      </c>
      <c r="G22" s="185" t="s">
        <v>381</v>
      </c>
      <c r="H22" s="185" t="s">
        <v>382</v>
      </c>
      <c r="I22" s="194">
        <v>0</v>
      </c>
      <c r="J22" s="414" t="str">
        <f>B28</f>
        <v>Product/Reactant9</v>
      </c>
      <c r="K22" s="194">
        <v>0</v>
      </c>
      <c r="L22" s="194">
        <v>0</v>
      </c>
      <c r="M22" s="194">
        <v>0</v>
      </c>
      <c r="N22" s="194">
        <v>0</v>
      </c>
      <c r="O22" s="194">
        <v>0</v>
      </c>
      <c r="P22" s="207">
        <v>0</v>
      </c>
      <c r="Q22" s="112" t="s">
        <v>355</v>
      </c>
      <c r="R22" s="112" t="s">
        <v>355</v>
      </c>
      <c r="S22" s="112" t="s">
        <v>355</v>
      </c>
      <c r="T22" s="207" t="s">
        <v>355</v>
      </c>
      <c r="U22" s="114">
        <v>0</v>
      </c>
      <c r="V22" s="114">
        <v>0</v>
      </c>
      <c r="W22" s="114">
        <v>0</v>
      </c>
      <c r="X22" s="213">
        <v>0</v>
      </c>
      <c r="Y22" s="114">
        <v>0</v>
      </c>
      <c r="Z22" s="114">
        <v>0</v>
      </c>
      <c r="AA22" s="114">
        <v>0</v>
      </c>
      <c r="AB22" s="213">
        <v>0</v>
      </c>
      <c r="AC22" s="115">
        <v>0</v>
      </c>
      <c r="AD22" s="115">
        <v>0</v>
      </c>
      <c r="AE22" s="115">
        <v>0</v>
      </c>
      <c r="AF22" s="220">
        <v>0</v>
      </c>
      <c r="AG22" s="115">
        <v>0</v>
      </c>
      <c r="AH22" s="115">
        <v>0</v>
      </c>
      <c r="AI22" s="115">
        <v>0</v>
      </c>
      <c r="AJ22" s="220">
        <v>0</v>
      </c>
      <c r="AK22" s="115">
        <v>0</v>
      </c>
      <c r="AL22" s="115">
        <v>0</v>
      </c>
      <c r="AM22" s="115">
        <v>0</v>
      </c>
      <c r="AN22" s="220">
        <v>0</v>
      </c>
      <c r="AO22" s="116">
        <v>0</v>
      </c>
      <c r="AP22" s="116">
        <v>0</v>
      </c>
      <c r="AQ22" s="116">
        <v>0</v>
      </c>
      <c r="AR22" s="229">
        <v>0</v>
      </c>
      <c r="AS22" s="114">
        <v>0</v>
      </c>
      <c r="AT22" s="114">
        <v>0</v>
      </c>
      <c r="AU22" s="114">
        <v>0</v>
      </c>
      <c r="AV22" s="213">
        <v>0</v>
      </c>
      <c r="AW22" s="114">
        <v>0</v>
      </c>
      <c r="AX22" s="114">
        <v>0</v>
      </c>
      <c r="AY22" s="114">
        <v>0</v>
      </c>
      <c r="AZ22" s="213">
        <v>0</v>
      </c>
      <c r="BA22" s="114">
        <v>0</v>
      </c>
      <c r="BB22" s="114">
        <v>0</v>
      </c>
      <c r="BC22" s="114">
        <v>0</v>
      </c>
      <c r="BD22" s="213">
        <v>0</v>
      </c>
      <c r="BE22" s="114">
        <v>0</v>
      </c>
      <c r="BF22" s="114">
        <v>0</v>
      </c>
      <c r="BG22" s="114">
        <v>0</v>
      </c>
      <c r="BH22" s="213">
        <v>0</v>
      </c>
      <c r="BI22" s="114">
        <v>0</v>
      </c>
      <c r="BJ22" s="114">
        <v>0</v>
      </c>
      <c r="BK22" s="114">
        <v>0</v>
      </c>
      <c r="BL22" s="213">
        <v>0</v>
      </c>
      <c r="BM22" s="112" t="s">
        <v>352</v>
      </c>
      <c r="BN22" s="112" t="s">
        <v>352</v>
      </c>
      <c r="BO22" s="112" t="s">
        <v>352</v>
      </c>
      <c r="BP22" s="207" t="s">
        <v>352</v>
      </c>
      <c r="BQ22" s="112">
        <v>0</v>
      </c>
      <c r="BR22" s="112">
        <v>0</v>
      </c>
      <c r="BS22" s="112">
        <v>0</v>
      </c>
      <c r="BT22" s="207">
        <v>0</v>
      </c>
      <c r="BU22" s="113">
        <v>0</v>
      </c>
      <c r="BV22" s="113">
        <v>0</v>
      </c>
      <c r="BW22" s="113">
        <v>0</v>
      </c>
      <c r="BX22" s="239">
        <v>0</v>
      </c>
      <c r="BY22" s="113">
        <v>0</v>
      </c>
      <c r="BZ22" s="113">
        <v>0</v>
      </c>
      <c r="CA22" s="113">
        <v>0</v>
      </c>
      <c r="CB22" s="113">
        <v>0</v>
      </c>
    </row>
    <row r="23" spans="1:80" s="112" customFormat="1" x14ac:dyDescent="0.35">
      <c r="A23" s="522"/>
      <c r="B23" s="109" t="s">
        <v>97</v>
      </c>
      <c r="C23" s="110" t="s">
        <v>184</v>
      </c>
      <c r="D23" s="111" t="s">
        <v>288</v>
      </c>
      <c r="E23" s="6">
        <v>0</v>
      </c>
      <c r="F23" s="172">
        <v>0</v>
      </c>
      <c r="G23" s="185" t="s">
        <v>377</v>
      </c>
      <c r="H23" s="185" t="s">
        <v>378</v>
      </c>
      <c r="I23" s="194">
        <v>0</v>
      </c>
      <c r="J23" s="414" t="str">
        <f>B27</f>
        <v>Product/Reactant9</v>
      </c>
      <c r="K23" s="194">
        <v>0</v>
      </c>
      <c r="L23" s="194">
        <v>0</v>
      </c>
      <c r="M23" s="194">
        <v>0</v>
      </c>
      <c r="N23" s="194">
        <v>0</v>
      </c>
      <c r="O23" s="194">
        <v>0</v>
      </c>
      <c r="P23" s="207">
        <v>0</v>
      </c>
      <c r="Q23" s="112" t="s">
        <v>355</v>
      </c>
      <c r="R23" s="112" t="s">
        <v>355</v>
      </c>
      <c r="S23" s="112" t="s">
        <v>355</v>
      </c>
      <c r="T23" s="207" t="s">
        <v>355</v>
      </c>
      <c r="U23" s="114">
        <v>0</v>
      </c>
      <c r="V23" s="114">
        <v>0</v>
      </c>
      <c r="W23" s="114">
        <v>0</v>
      </c>
      <c r="X23" s="213">
        <v>0</v>
      </c>
      <c r="Y23" s="114">
        <v>0</v>
      </c>
      <c r="Z23" s="114">
        <v>0</v>
      </c>
      <c r="AA23" s="114">
        <v>0</v>
      </c>
      <c r="AB23" s="213">
        <v>0</v>
      </c>
      <c r="AC23" s="115">
        <v>0</v>
      </c>
      <c r="AD23" s="115">
        <v>0</v>
      </c>
      <c r="AE23" s="115">
        <v>0</v>
      </c>
      <c r="AF23" s="220">
        <v>0</v>
      </c>
      <c r="AG23" s="115">
        <v>0</v>
      </c>
      <c r="AH23" s="115">
        <v>0</v>
      </c>
      <c r="AI23" s="115">
        <v>0</v>
      </c>
      <c r="AJ23" s="220">
        <v>0</v>
      </c>
      <c r="AK23" s="115">
        <v>0</v>
      </c>
      <c r="AL23" s="115">
        <v>0</v>
      </c>
      <c r="AM23" s="115">
        <v>0</v>
      </c>
      <c r="AN23" s="220">
        <v>0</v>
      </c>
      <c r="AO23" s="116">
        <v>0</v>
      </c>
      <c r="AP23" s="116">
        <v>0</v>
      </c>
      <c r="AQ23" s="116">
        <v>0</v>
      </c>
      <c r="AR23" s="229">
        <v>0</v>
      </c>
      <c r="AS23" s="114">
        <v>0</v>
      </c>
      <c r="AT23" s="114">
        <v>0</v>
      </c>
      <c r="AU23" s="114">
        <v>0</v>
      </c>
      <c r="AV23" s="213">
        <v>0</v>
      </c>
      <c r="AW23" s="114">
        <v>0</v>
      </c>
      <c r="AX23" s="112">
        <v>0</v>
      </c>
      <c r="AY23" s="112">
        <v>0</v>
      </c>
      <c r="AZ23" s="207">
        <v>0</v>
      </c>
      <c r="BA23" s="112" t="s">
        <v>356</v>
      </c>
      <c r="BB23" s="112" t="s">
        <v>356</v>
      </c>
      <c r="BC23" s="112" t="s">
        <v>356</v>
      </c>
      <c r="BD23" s="207" t="s">
        <v>356</v>
      </c>
      <c r="BE23" s="112">
        <v>0</v>
      </c>
      <c r="BF23" s="112">
        <v>0</v>
      </c>
      <c r="BG23" s="112">
        <v>0</v>
      </c>
      <c r="BH23" s="207">
        <v>0</v>
      </c>
      <c r="BI23" s="114">
        <v>0</v>
      </c>
      <c r="BJ23" s="114">
        <v>0</v>
      </c>
      <c r="BK23" s="114">
        <v>0</v>
      </c>
      <c r="BL23" s="213">
        <v>0</v>
      </c>
      <c r="BM23" s="112">
        <v>0</v>
      </c>
      <c r="BN23" s="112">
        <v>0</v>
      </c>
      <c r="BO23" s="112">
        <v>0</v>
      </c>
      <c r="BP23" s="207">
        <v>0</v>
      </c>
      <c r="BQ23" s="112">
        <v>0</v>
      </c>
      <c r="BR23" s="112">
        <v>0</v>
      </c>
      <c r="BS23" s="112">
        <v>0</v>
      </c>
      <c r="BT23" s="207">
        <v>0</v>
      </c>
      <c r="BU23" s="113">
        <v>0</v>
      </c>
      <c r="BV23" s="113">
        <v>0</v>
      </c>
      <c r="BW23" s="113">
        <v>0</v>
      </c>
      <c r="BX23" s="239">
        <v>0</v>
      </c>
      <c r="BY23" s="113">
        <v>0</v>
      </c>
      <c r="BZ23" s="113">
        <v>0</v>
      </c>
      <c r="CA23" s="113">
        <v>0</v>
      </c>
      <c r="CB23" s="113">
        <v>0</v>
      </c>
    </row>
    <row r="24" spans="1:80" s="112" customFormat="1" x14ac:dyDescent="0.35">
      <c r="A24" s="522"/>
      <c r="B24" s="109" t="s">
        <v>97</v>
      </c>
      <c r="C24" s="110" t="s">
        <v>184</v>
      </c>
      <c r="D24" s="111" t="s">
        <v>287</v>
      </c>
      <c r="E24" s="6">
        <v>0</v>
      </c>
      <c r="F24" s="172">
        <v>0</v>
      </c>
      <c r="G24" s="185" t="s">
        <v>377</v>
      </c>
      <c r="H24" s="185" t="s">
        <v>378</v>
      </c>
      <c r="I24" s="194">
        <v>0</v>
      </c>
      <c r="J24" s="414" t="str">
        <f>B28</f>
        <v>Product/Reactant9</v>
      </c>
      <c r="K24" s="194">
        <v>0</v>
      </c>
      <c r="L24" s="194">
        <v>0</v>
      </c>
      <c r="M24" s="194">
        <v>0</v>
      </c>
      <c r="N24" s="194">
        <v>0</v>
      </c>
      <c r="O24" s="194">
        <v>0</v>
      </c>
      <c r="P24" s="207">
        <v>0</v>
      </c>
      <c r="Q24" s="112" t="s">
        <v>355</v>
      </c>
      <c r="R24" s="112" t="s">
        <v>355</v>
      </c>
      <c r="S24" s="112" t="s">
        <v>355</v>
      </c>
      <c r="T24" s="207" t="s">
        <v>355</v>
      </c>
      <c r="U24" s="114">
        <v>0</v>
      </c>
      <c r="V24" s="114">
        <v>0</v>
      </c>
      <c r="W24" s="114">
        <v>0</v>
      </c>
      <c r="X24" s="213">
        <v>0</v>
      </c>
      <c r="Y24" s="114">
        <v>0</v>
      </c>
      <c r="Z24" s="114">
        <v>0</v>
      </c>
      <c r="AA24" s="114">
        <v>0</v>
      </c>
      <c r="AB24" s="213">
        <v>0</v>
      </c>
      <c r="AC24" s="115">
        <v>0</v>
      </c>
      <c r="AD24" s="115">
        <v>0</v>
      </c>
      <c r="AE24" s="115">
        <v>0</v>
      </c>
      <c r="AF24" s="220">
        <v>0</v>
      </c>
      <c r="AG24" s="115">
        <v>0</v>
      </c>
      <c r="AH24" s="115">
        <v>0</v>
      </c>
      <c r="AI24" s="115">
        <v>0</v>
      </c>
      <c r="AJ24" s="220">
        <v>0</v>
      </c>
      <c r="AK24" s="115">
        <v>0</v>
      </c>
      <c r="AL24" s="115">
        <v>0</v>
      </c>
      <c r="AM24" s="115">
        <v>0</v>
      </c>
      <c r="AN24" s="220">
        <v>0</v>
      </c>
      <c r="AO24" s="116">
        <v>0</v>
      </c>
      <c r="AP24" s="116">
        <v>0</v>
      </c>
      <c r="AQ24" s="116">
        <v>0</v>
      </c>
      <c r="AR24" s="229">
        <v>0</v>
      </c>
      <c r="AS24" s="114">
        <v>0</v>
      </c>
      <c r="AT24" s="114">
        <v>0</v>
      </c>
      <c r="AU24" s="114">
        <v>0</v>
      </c>
      <c r="AV24" s="213">
        <v>0</v>
      </c>
      <c r="AW24" s="114">
        <v>0</v>
      </c>
      <c r="AX24" s="112">
        <v>0</v>
      </c>
      <c r="AY24" s="112">
        <v>0</v>
      </c>
      <c r="AZ24" s="207">
        <v>0</v>
      </c>
      <c r="BA24" s="112" t="s">
        <v>356</v>
      </c>
      <c r="BB24" s="112" t="s">
        <v>356</v>
      </c>
      <c r="BC24" s="112" t="s">
        <v>356</v>
      </c>
      <c r="BD24" s="207" t="s">
        <v>356</v>
      </c>
      <c r="BE24" s="112">
        <v>0</v>
      </c>
      <c r="BF24" s="112">
        <v>0</v>
      </c>
      <c r="BG24" s="112">
        <v>0</v>
      </c>
      <c r="BH24" s="207">
        <v>0</v>
      </c>
      <c r="BI24" s="114">
        <v>0</v>
      </c>
      <c r="BJ24" s="114">
        <v>0</v>
      </c>
      <c r="BK24" s="114">
        <v>0</v>
      </c>
      <c r="BL24" s="213">
        <v>0</v>
      </c>
      <c r="BM24" s="112">
        <v>0</v>
      </c>
      <c r="BN24" s="112">
        <v>0</v>
      </c>
      <c r="BO24" s="112">
        <v>0</v>
      </c>
      <c r="BP24" s="207">
        <v>0</v>
      </c>
      <c r="BQ24" s="112">
        <v>0</v>
      </c>
      <c r="BR24" s="112">
        <v>0</v>
      </c>
      <c r="BS24" s="112">
        <v>0</v>
      </c>
      <c r="BT24" s="207">
        <v>0</v>
      </c>
      <c r="BU24" s="113">
        <v>0</v>
      </c>
      <c r="BV24" s="113">
        <v>0</v>
      </c>
      <c r="BW24" s="113">
        <v>0</v>
      </c>
      <c r="BX24" s="239">
        <v>0</v>
      </c>
      <c r="BY24" s="113">
        <v>0</v>
      </c>
      <c r="BZ24" s="113">
        <v>0</v>
      </c>
      <c r="CA24" s="113">
        <v>0</v>
      </c>
      <c r="CB24" s="113">
        <v>0</v>
      </c>
    </row>
    <row r="25" spans="1:80" s="112" customFormat="1" x14ac:dyDescent="0.35">
      <c r="A25" s="522"/>
      <c r="B25" s="109" t="s">
        <v>97</v>
      </c>
      <c r="C25" s="110" t="s">
        <v>184</v>
      </c>
      <c r="D25" s="111" t="s">
        <v>290</v>
      </c>
      <c r="E25" s="6">
        <v>0</v>
      </c>
      <c r="F25" s="172">
        <v>0</v>
      </c>
      <c r="G25" s="185" t="s">
        <v>379</v>
      </c>
      <c r="H25" s="185" t="s">
        <v>380</v>
      </c>
      <c r="I25" s="194">
        <v>0</v>
      </c>
      <c r="J25" s="414" t="str">
        <f>B29</f>
        <v>Product/Reactant9</v>
      </c>
      <c r="K25" s="194">
        <v>0</v>
      </c>
      <c r="L25" s="194">
        <v>0</v>
      </c>
      <c r="M25" s="194">
        <v>0</v>
      </c>
      <c r="N25" s="194">
        <v>0</v>
      </c>
      <c r="O25" s="194">
        <v>0</v>
      </c>
      <c r="P25" s="207">
        <v>0</v>
      </c>
      <c r="Q25" s="112" t="s">
        <v>355</v>
      </c>
      <c r="R25" s="112" t="s">
        <v>355</v>
      </c>
      <c r="S25" s="112" t="s">
        <v>355</v>
      </c>
      <c r="T25" s="207" t="s">
        <v>355</v>
      </c>
      <c r="U25" s="114">
        <v>0</v>
      </c>
      <c r="V25" s="114">
        <v>0</v>
      </c>
      <c r="W25" s="114">
        <v>0</v>
      </c>
      <c r="X25" s="213">
        <v>0</v>
      </c>
      <c r="Y25" s="114">
        <v>0</v>
      </c>
      <c r="Z25" s="114">
        <v>0</v>
      </c>
      <c r="AA25" s="114">
        <v>0</v>
      </c>
      <c r="AB25" s="213">
        <v>0</v>
      </c>
      <c r="AC25" s="115">
        <v>0</v>
      </c>
      <c r="AD25" s="115">
        <v>0</v>
      </c>
      <c r="AE25" s="115">
        <v>0</v>
      </c>
      <c r="AF25" s="220">
        <v>0</v>
      </c>
      <c r="AG25" s="115">
        <v>0</v>
      </c>
      <c r="AH25" s="115">
        <v>0</v>
      </c>
      <c r="AI25" s="115">
        <v>0</v>
      </c>
      <c r="AJ25" s="220">
        <v>0</v>
      </c>
      <c r="AK25" s="115">
        <v>0</v>
      </c>
      <c r="AL25" s="115">
        <v>0</v>
      </c>
      <c r="AM25" s="115">
        <v>0</v>
      </c>
      <c r="AN25" s="220">
        <v>0</v>
      </c>
      <c r="AO25" s="116">
        <v>0</v>
      </c>
      <c r="AP25" s="116">
        <v>0</v>
      </c>
      <c r="AQ25" s="116">
        <v>0</v>
      </c>
      <c r="AR25" s="229">
        <v>0</v>
      </c>
      <c r="AS25" s="114">
        <v>0</v>
      </c>
      <c r="AT25" s="114">
        <v>0</v>
      </c>
      <c r="AU25" s="114">
        <v>0</v>
      </c>
      <c r="AV25" s="213">
        <v>0</v>
      </c>
      <c r="AW25" s="114">
        <v>0</v>
      </c>
      <c r="AX25" s="112">
        <v>0</v>
      </c>
      <c r="AY25" s="112">
        <v>0</v>
      </c>
      <c r="AZ25" s="207">
        <v>0</v>
      </c>
      <c r="BA25" s="112" t="s">
        <v>356</v>
      </c>
      <c r="BB25" s="112" t="s">
        <v>356</v>
      </c>
      <c r="BC25" s="112" t="s">
        <v>356</v>
      </c>
      <c r="BD25" s="207" t="s">
        <v>356</v>
      </c>
      <c r="BE25" s="112">
        <v>0</v>
      </c>
      <c r="BF25" s="112">
        <v>0</v>
      </c>
      <c r="BG25" s="112">
        <v>0</v>
      </c>
      <c r="BH25" s="207">
        <v>0</v>
      </c>
      <c r="BI25" s="114">
        <v>0</v>
      </c>
      <c r="BJ25" s="114">
        <v>0</v>
      </c>
      <c r="BK25" s="114">
        <v>0</v>
      </c>
      <c r="BL25" s="213">
        <v>0</v>
      </c>
      <c r="BM25" s="112">
        <v>0</v>
      </c>
      <c r="BN25" s="112">
        <v>0</v>
      </c>
      <c r="BO25" s="112">
        <v>0</v>
      </c>
      <c r="BP25" s="207">
        <v>0</v>
      </c>
      <c r="BQ25" s="112">
        <v>0</v>
      </c>
      <c r="BR25" s="112">
        <v>0</v>
      </c>
      <c r="BS25" s="112">
        <v>0</v>
      </c>
      <c r="BT25" s="207">
        <v>0</v>
      </c>
      <c r="BU25" s="113">
        <v>0</v>
      </c>
      <c r="BV25" s="113">
        <v>0</v>
      </c>
      <c r="BW25" s="113">
        <v>0</v>
      </c>
      <c r="BX25" s="239">
        <v>0</v>
      </c>
      <c r="BY25" s="113">
        <v>0</v>
      </c>
      <c r="BZ25" s="113">
        <v>0</v>
      </c>
      <c r="CA25" s="113">
        <v>0</v>
      </c>
      <c r="CB25" s="113">
        <v>0</v>
      </c>
    </row>
    <row r="26" spans="1:80" s="112" customFormat="1" x14ac:dyDescent="0.35">
      <c r="A26" s="522"/>
      <c r="B26" s="109" t="s">
        <v>97</v>
      </c>
      <c r="C26" s="110" t="s">
        <v>184</v>
      </c>
      <c r="D26" s="111" t="s">
        <v>289</v>
      </c>
      <c r="E26" s="6">
        <v>0</v>
      </c>
      <c r="F26" s="172">
        <v>0</v>
      </c>
      <c r="G26" s="185" t="s">
        <v>379</v>
      </c>
      <c r="H26" s="185" t="s">
        <v>380</v>
      </c>
      <c r="I26" s="194">
        <v>0</v>
      </c>
      <c r="J26" s="414" t="str">
        <f t="shared" ref="J26" si="3">B30</f>
        <v>Product/Reactant9</v>
      </c>
      <c r="K26" s="194">
        <v>0</v>
      </c>
      <c r="L26" s="194">
        <v>0</v>
      </c>
      <c r="M26" s="194">
        <v>0</v>
      </c>
      <c r="N26" s="194">
        <v>0</v>
      </c>
      <c r="O26" s="194">
        <v>0</v>
      </c>
      <c r="P26" s="207">
        <v>0</v>
      </c>
      <c r="Q26" s="112" t="s">
        <v>355</v>
      </c>
      <c r="R26" s="112" t="s">
        <v>355</v>
      </c>
      <c r="S26" s="112" t="s">
        <v>355</v>
      </c>
      <c r="T26" s="207" t="s">
        <v>355</v>
      </c>
      <c r="U26" s="114">
        <v>0</v>
      </c>
      <c r="V26" s="114">
        <v>0</v>
      </c>
      <c r="W26" s="114">
        <v>0</v>
      </c>
      <c r="X26" s="213">
        <v>0</v>
      </c>
      <c r="Y26" s="114">
        <v>0</v>
      </c>
      <c r="Z26" s="114">
        <v>0</v>
      </c>
      <c r="AA26" s="114">
        <v>0</v>
      </c>
      <c r="AB26" s="213">
        <v>0</v>
      </c>
      <c r="AC26" s="115">
        <v>0</v>
      </c>
      <c r="AD26" s="115">
        <v>0</v>
      </c>
      <c r="AE26" s="115">
        <v>0</v>
      </c>
      <c r="AF26" s="220">
        <v>0</v>
      </c>
      <c r="AG26" s="115">
        <v>0</v>
      </c>
      <c r="AH26" s="115">
        <v>0</v>
      </c>
      <c r="AI26" s="115">
        <v>0</v>
      </c>
      <c r="AJ26" s="220">
        <v>0</v>
      </c>
      <c r="AK26" s="115">
        <v>0</v>
      </c>
      <c r="AL26" s="115">
        <v>0</v>
      </c>
      <c r="AM26" s="115">
        <v>0</v>
      </c>
      <c r="AN26" s="220">
        <v>0</v>
      </c>
      <c r="AO26" s="116">
        <v>0</v>
      </c>
      <c r="AP26" s="116">
        <v>0</v>
      </c>
      <c r="AQ26" s="116">
        <v>0</v>
      </c>
      <c r="AR26" s="229">
        <v>0</v>
      </c>
      <c r="AS26" s="114">
        <v>0</v>
      </c>
      <c r="AT26" s="114">
        <v>0</v>
      </c>
      <c r="AU26" s="114">
        <v>0</v>
      </c>
      <c r="AV26" s="213">
        <v>0</v>
      </c>
      <c r="AW26" s="114">
        <v>0</v>
      </c>
      <c r="AX26" s="112">
        <v>0</v>
      </c>
      <c r="AY26" s="112">
        <v>0</v>
      </c>
      <c r="AZ26" s="207">
        <v>0</v>
      </c>
      <c r="BA26" s="112" t="s">
        <v>356</v>
      </c>
      <c r="BB26" s="112" t="s">
        <v>356</v>
      </c>
      <c r="BC26" s="112" t="s">
        <v>356</v>
      </c>
      <c r="BD26" s="207" t="s">
        <v>356</v>
      </c>
      <c r="BE26" s="112">
        <v>0</v>
      </c>
      <c r="BF26" s="112">
        <v>0</v>
      </c>
      <c r="BG26" s="112">
        <v>0</v>
      </c>
      <c r="BH26" s="207">
        <v>0</v>
      </c>
      <c r="BI26" s="114">
        <v>0</v>
      </c>
      <c r="BJ26" s="114">
        <v>0</v>
      </c>
      <c r="BK26" s="114">
        <v>0</v>
      </c>
      <c r="BL26" s="213">
        <v>0</v>
      </c>
      <c r="BM26" s="112">
        <v>0</v>
      </c>
      <c r="BN26" s="112">
        <v>0</v>
      </c>
      <c r="BO26" s="112">
        <v>0</v>
      </c>
      <c r="BP26" s="207">
        <v>0</v>
      </c>
      <c r="BQ26" s="112">
        <v>0</v>
      </c>
      <c r="BR26" s="112">
        <v>0</v>
      </c>
      <c r="BS26" s="112">
        <v>0</v>
      </c>
      <c r="BT26" s="207">
        <v>0</v>
      </c>
      <c r="BU26" s="113">
        <v>0</v>
      </c>
      <c r="BV26" s="113">
        <v>0</v>
      </c>
      <c r="BW26" s="113">
        <v>0</v>
      </c>
      <c r="BX26" s="239">
        <v>0</v>
      </c>
      <c r="BY26" s="113">
        <v>0</v>
      </c>
      <c r="BZ26" s="113">
        <v>0</v>
      </c>
      <c r="CA26" s="113">
        <v>0</v>
      </c>
      <c r="CB26" s="113">
        <v>0</v>
      </c>
    </row>
    <row r="27" spans="1:80" s="112" customFormat="1" x14ac:dyDescent="0.35">
      <c r="A27" s="522"/>
      <c r="B27" s="109" t="s">
        <v>439</v>
      </c>
      <c r="C27" s="117" t="s">
        <v>119</v>
      </c>
      <c r="D27" s="111" t="s">
        <v>361</v>
      </c>
      <c r="E27" s="6">
        <v>0</v>
      </c>
      <c r="F27" s="172">
        <v>0</v>
      </c>
      <c r="G27" s="185" t="s">
        <v>383</v>
      </c>
      <c r="H27" s="185" t="s">
        <v>384</v>
      </c>
      <c r="I27" s="194">
        <v>0</v>
      </c>
      <c r="J27" s="414" t="str">
        <f>B34</f>
        <v>Reactant10</v>
      </c>
      <c r="K27" s="194">
        <v>0</v>
      </c>
      <c r="L27" s="194">
        <v>0</v>
      </c>
      <c r="M27" s="194">
        <v>0</v>
      </c>
      <c r="N27" s="194">
        <v>0</v>
      </c>
      <c r="O27" s="194">
        <v>0</v>
      </c>
      <c r="P27" s="207">
        <v>0</v>
      </c>
      <c r="Q27" s="112" t="s">
        <v>355</v>
      </c>
      <c r="R27" s="112" t="s">
        <v>355</v>
      </c>
      <c r="S27" s="112" t="s">
        <v>355</v>
      </c>
      <c r="T27" s="207" t="s">
        <v>355</v>
      </c>
      <c r="U27" s="114" t="s">
        <v>355</v>
      </c>
      <c r="V27" s="114" t="s">
        <v>355</v>
      </c>
      <c r="W27" s="114" t="s">
        <v>355</v>
      </c>
      <c r="X27" s="213" t="s">
        <v>355</v>
      </c>
      <c r="Y27" s="114" t="s">
        <v>355</v>
      </c>
      <c r="Z27" s="114" t="s">
        <v>355</v>
      </c>
      <c r="AA27" s="114" t="s">
        <v>355</v>
      </c>
      <c r="AB27" s="213" t="s">
        <v>355</v>
      </c>
      <c r="AC27" s="115" t="s">
        <v>355</v>
      </c>
      <c r="AD27" s="115" t="s">
        <v>355</v>
      </c>
      <c r="AE27" s="115" t="s">
        <v>355</v>
      </c>
      <c r="AF27" s="220" t="s">
        <v>355</v>
      </c>
      <c r="AG27" s="115" t="s">
        <v>355</v>
      </c>
      <c r="AH27" s="115" t="s">
        <v>355</v>
      </c>
      <c r="AI27" s="115" t="s">
        <v>355</v>
      </c>
      <c r="AJ27" s="220" t="s">
        <v>355</v>
      </c>
      <c r="AK27" s="115" t="s">
        <v>355</v>
      </c>
      <c r="AL27" s="115" t="s">
        <v>355</v>
      </c>
      <c r="AM27" s="115" t="s">
        <v>355</v>
      </c>
      <c r="AN27" s="220" t="s">
        <v>355</v>
      </c>
      <c r="AO27" s="116" t="s">
        <v>355</v>
      </c>
      <c r="AP27" s="116" t="s">
        <v>355</v>
      </c>
      <c r="AQ27" s="116" t="s">
        <v>355</v>
      </c>
      <c r="AR27" s="229" t="s">
        <v>355</v>
      </c>
      <c r="AS27" s="114" t="s">
        <v>355</v>
      </c>
      <c r="AT27" s="114" t="s">
        <v>355</v>
      </c>
      <c r="AU27" s="114" t="s">
        <v>355</v>
      </c>
      <c r="AV27" s="213" t="s">
        <v>355</v>
      </c>
      <c r="AW27" s="112" t="s">
        <v>355</v>
      </c>
      <c r="AX27" s="112" t="s">
        <v>355</v>
      </c>
      <c r="AY27" s="112" t="s">
        <v>355</v>
      </c>
      <c r="AZ27" s="207" t="s">
        <v>355</v>
      </c>
      <c r="BA27" s="112" t="s">
        <v>355</v>
      </c>
      <c r="BB27" s="112" t="s">
        <v>355</v>
      </c>
      <c r="BC27" s="112" t="s">
        <v>355</v>
      </c>
      <c r="BD27" s="207" t="s">
        <v>355</v>
      </c>
      <c r="BE27" s="112" t="s">
        <v>355</v>
      </c>
      <c r="BF27" s="112" t="s">
        <v>355</v>
      </c>
      <c r="BG27" s="112" t="s">
        <v>355</v>
      </c>
      <c r="BH27" s="207" t="s">
        <v>355</v>
      </c>
      <c r="BI27" s="114" t="s">
        <v>279</v>
      </c>
      <c r="BJ27" s="114" t="s">
        <v>279</v>
      </c>
      <c r="BK27" s="114" t="s">
        <v>279</v>
      </c>
      <c r="BL27" s="213" t="s">
        <v>279</v>
      </c>
      <c r="BM27" s="112" t="s">
        <v>279</v>
      </c>
      <c r="BN27" s="112" t="s">
        <v>279</v>
      </c>
      <c r="BO27" s="112" t="s">
        <v>279</v>
      </c>
      <c r="BP27" s="207" t="s">
        <v>279</v>
      </c>
      <c r="BQ27" s="112" t="s">
        <v>355</v>
      </c>
      <c r="BR27" s="112" t="s">
        <v>355</v>
      </c>
      <c r="BS27" s="112" t="s">
        <v>355</v>
      </c>
      <c r="BT27" s="207" t="s">
        <v>355</v>
      </c>
      <c r="BU27" s="113">
        <v>0</v>
      </c>
      <c r="BV27" s="113">
        <v>0</v>
      </c>
      <c r="BW27" s="113">
        <v>0</v>
      </c>
      <c r="BX27" s="239">
        <v>0</v>
      </c>
      <c r="BY27" s="115">
        <v>0</v>
      </c>
      <c r="BZ27" s="115">
        <v>0</v>
      </c>
      <c r="CA27" s="115">
        <v>0</v>
      </c>
      <c r="CB27" s="115">
        <v>0</v>
      </c>
    </row>
    <row r="28" spans="1:80" s="112" customFormat="1" x14ac:dyDescent="0.35">
      <c r="A28" s="522"/>
      <c r="B28" s="109" t="s">
        <v>439</v>
      </c>
      <c r="C28" s="117" t="s">
        <v>119</v>
      </c>
      <c r="D28" s="111" t="s">
        <v>362</v>
      </c>
      <c r="E28" s="6">
        <v>0</v>
      </c>
      <c r="F28" s="172">
        <v>0</v>
      </c>
      <c r="G28" s="185" t="s">
        <v>383</v>
      </c>
      <c r="H28" s="185" t="s">
        <v>384</v>
      </c>
      <c r="I28" s="194">
        <v>0</v>
      </c>
      <c r="J28" s="414" t="str">
        <f>B34</f>
        <v>Reactant10</v>
      </c>
      <c r="K28" s="194">
        <v>0</v>
      </c>
      <c r="L28" s="194">
        <v>0</v>
      </c>
      <c r="M28" s="194">
        <v>0</v>
      </c>
      <c r="N28" s="194">
        <v>0</v>
      </c>
      <c r="O28" s="194">
        <v>0</v>
      </c>
      <c r="P28" s="207">
        <v>0</v>
      </c>
      <c r="Q28" s="112" t="s">
        <v>355</v>
      </c>
      <c r="R28" s="112" t="s">
        <v>355</v>
      </c>
      <c r="S28" s="112" t="s">
        <v>355</v>
      </c>
      <c r="T28" s="207" t="s">
        <v>355</v>
      </c>
      <c r="U28" s="114" t="s">
        <v>355</v>
      </c>
      <c r="V28" s="114" t="s">
        <v>355</v>
      </c>
      <c r="W28" s="114" t="s">
        <v>355</v>
      </c>
      <c r="X28" s="213" t="s">
        <v>355</v>
      </c>
      <c r="Y28" s="114" t="s">
        <v>355</v>
      </c>
      <c r="Z28" s="114" t="s">
        <v>355</v>
      </c>
      <c r="AA28" s="114" t="s">
        <v>355</v>
      </c>
      <c r="AB28" s="213" t="s">
        <v>355</v>
      </c>
      <c r="AC28" s="115" t="s">
        <v>355</v>
      </c>
      <c r="AD28" s="115" t="s">
        <v>355</v>
      </c>
      <c r="AE28" s="115" t="s">
        <v>355</v>
      </c>
      <c r="AF28" s="220" t="s">
        <v>355</v>
      </c>
      <c r="AG28" s="115" t="s">
        <v>355</v>
      </c>
      <c r="AH28" s="115" t="s">
        <v>355</v>
      </c>
      <c r="AI28" s="115" t="s">
        <v>355</v>
      </c>
      <c r="AJ28" s="220" t="s">
        <v>355</v>
      </c>
      <c r="AK28" s="115" t="s">
        <v>355</v>
      </c>
      <c r="AL28" s="115" t="s">
        <v>355</v>
      </c>
      <c r="AM28" s="115" t="s">
        <v>355</v>
      </c>
      <c r="AN28" s="220" t="s">
        <v>355</v>
      </c>
      <c r="AO28" s="116" t="s">
        <v>355</v>
      </c>
      <c r="AP28" s="116" t="s">
        <v>355</v>
      </c>
      <c r="AQ28" s="116" t="s">
        <v>355</v>
      </c>
      <c r="AR28" s="229" t="s">
        <v>355</v>
      </c>
      <c r="AS28" s="114" t="s">
        <v>355</v>
      </c>
      <c r="AT28" s="114" t="s">
        <v>355</v>
      </c>
      <c r="AU28" s="114" t="s">
        <v>355</v>
      </c>
      <c r="AV28" s="213" t="s">
        <v>355</v>
      </c>
      <c r="AW28" s="112" t="s">
        <v>355</v>
      </c>
      <c r="AX28" s="112" t="s">
        <v>355</v>
      </c>
      <c r="AY28" s="112" t="s">
        <v>355</v>
      </c>
      <c r="AZ28" s="207" t="s">
        <v>355</v>
      </c>
      <c r="BA28" s="112" t="s">
        <v>355</v>
      </c>
      <c r="BB28" s="112" t="s">
        <v>355</v>
      </c>
      <c r="BC28" s="112" t="s">
        <v>355</v>
      </c>
      <c r="BD28" s="207" t="s">
        <v>355</v>
      </c>
      <c r="BE28" s="112" t="s">
        <v>355</v>
      </c>
      <c r="BF28" s="112" t="s">
        <v>355</v>
      </c>
      <c r="BG28" s="112" t="s">
        <v>355</v>
      </c>
      <c r="BH28" s="207" t="s">
        <v>355</v>
      </c>
      <c r="BI28" s="114" t="s">
        <v>279</v>
      </c>
      <c r="BJ28" s="114" t="s">
        <v>279</v>
      </c>
      <c r="BK28" s="114" t="s">
        <v>279</v>
      </c>
      <c r="BL28" s="213" t="s">
        <v>279</v>
      </c>
      <c r="BM28" s="112" t="s">
        <v>279</v>
      </c>
      <c r="BN28" s="112" t="s">
        <v>279</v>
      </c>
      <c r="BO28" s="112" t="s">
        <v>279</v>
      </c>
      <c r="BP28" s="207" t="s">
        <v>279</v>
      </c>
      <c r="BQ28" s="112" t="s">
        <v>355</v>
      </c>
      <c r="BR28" s="112" t="s">
        <v>355</v>
      </c>
      <c r="BS28" s="112" t="s">
        <v>355</v>
      </c>
      <c r="BT28" s="207" t="s">
        <v>355</v>
      </c>
      <c r="BU28" s="113">
        <v>0</v>
      </c>
      <c r="BV28" s="113">
        <v>0</v>
      </c>
      <c r="BW28" s="113">
        <v>0</v>
      </c>
      <c r="BX28" s="239">
        <v>0</v>
      </c>
      <c r="BY28" s="115">
        <v>0</v>
      </c>
      <c r="BZ28" s="115">
        <v>0</v>
      </c>
      <c r="CA28" s="115">
        <v>0</v>
      </c>
      <c r="CB28" s="115">
        <v>0</v>
      </c>
    </row>
    <row r="29" spans="1:80" s="112" customFormat="1" x14ac:dyDescent="0.35">
      <c r="A29" s="522"/>
      <c r="B29" s="109" t="s">
        <v>439</v>
      </c>
      <c r="C29" s="117" t="s">
        <v>119</v>
      </c>
      <c r="D29" s="111" t="s">
        <v>363</v>
      </c>
      <c r="E29" s="6">
        <v>0</v>
      </c>
      <c r="F29" s="172">
        <v>0</v>
      </c>
      <c r="G29" s="185" t="s">
        <v>383</v>
      </c>
      <c r="H29" s="185" t="s">
        <v>384</v>
      </c>
      <c r="I29" s="194">
        <v>0</v>
      </c>
      <c r="J29" s="414" t="str">
        <f>B34</f>
        <v>Reactant10</v>
      </c>
      <c r="K29" s="194">
        <v>0</v>
      </c>
      <c r="L29" s="194">
        <v>0</v>
      </c>
      <c r="M29" s="194">
        <v>0</v>
      </c>
      <c r="N29" s="194">
        <v>0</v>
      </c>
      <c r="O29" s="194">
        <v>0</v>
      </c>
      <c r="P29" s="207">
        <v>0</v>
      </c>
      <c r="Q29" s="112" t="s">
        <v>355</v>
      </c>
      <c r="R29" s="112" t="s">
        <v>355</v>
      </c>
      <c r="S29" s="112" t="s">
        <v>355</v>
      </c>
      <c r="T29" s="207" t="s">
        <v>355</v>
      </c>
      <c r="U29" s="114" t="s">
        <v>355</v>
      </c>
      <c r="V29" s="114" t="s">
        <v>355</v>
      </c>
      <c r="W29" s="114" t="s">
        <v>355</v>
      </c>
      <c r="X29" s="213" t="s">
        <v>355</v>
      </c>
      <c r="Y29" s="114" t="s">
        <v>355</v>
      </c>
      <c r="Z29" s="114" t="s">
        <v>355</v>
      </c>
      <c r="AA29" s="114" t="s">
        <v>355</v>
      </c>
      <c r="AB29" s="213" t="s">
        <v>355</v>
      </c>
      <c r="AC29" s="115" t="s">
        <v>355</v>
      </c>
      <c r="AD29" s="115" t="s">
        <v>355</v>
      </c>
      <c r="AE29" s="115" t="s">
        <v>355</v>
      </c>
      <c r="AF29" s="220" t="s">
        <v>355</v>
      </c>
      <c r="AG29" s="115" t="s">
        <v>355</v>
      </c>
      <c r="AH29" s="115" t="s">
        <v>355</v>
      </c>
      <c r="AI29" s="115" t="s">
        <v>355</v>
      </c>
      <c r="AJ29" s="220" t="s">
        <v>355</v>
      </c>
      <c r="AK29" s="115" t="s">
        <v>355</v>
      </c>
      <c r="AL29" s="115" t="s">
        <v>355</v>
      </c>
      <c r="AM29" s="115" t="s">
        <v>355</v>
      </c>
      <c r="AN29" s="220" t="s">
        <v>355</v>
      </c>
      <c r="AO29" s="116" t="s">
        <v>355</v>
      </c>
      <c r="AP29" s="116" t="s">
        <v>355</v>
      </c>
      <c r="AQ29" s="116" t="s">
        <v>355</v>
      </c>
      <c r="AR29" s="229" t="s">
        <v>355</v>
      </c>
      <c r="AS29" s="114" t="s">
        <v>355</v>
      </c>
      <c r="AT29" s="114" t="s">
        <v>355</v>
      </c>
      <c r="AU29" s="114" t="s">
        <v>355</v>
      </c>
      <c r="AV29" s="213" t="s">
        <v>355</v>
      </c>
      <c r="AW29" s="112" t="s">
        <v>355</v>
      </c>
      <c r="AX29" s="112" t="s">
        <v>355</v>
      </c>
      <c r="AY29" s="112" t="s">
        <v>355</v>
      </c>
      <c r="AZ29" s="207" t="s">
        <v>355</v>
      </c>
      <c r="BA29" s="112" t="s">
        <v>355</v>
      </c>
      <c r="BB29" s="112" t="s">
        <v>355</v>
      </c>
      <c r="BC29" s="112" t="s">
        <v>355</v>
      </c>
      <c r="BD29" s="207" t="s">
        <v>355</v>
      </c>
      <c r="BE29" s="112" t="s">
        <v>355</v>
      </c>
      <c r="BF29" s="112" t="s">
        <v>355</v>
      </c>
      <c r="BG29" s="112" t="s">
        <v>355</v>
      </c>
      <c r="BH29" s="207" t="s">
        <v>355</v>
      </c>
      <c r="BI29" s="114" t="s">
        <v>279</v>
      </c>
      <c r="BJ29" s="114" t="s">
        <v>279</v>
      </c>
      <c r="BK29" s="114" t="s">
        <v>279</v>
      </c>
      <c r="BL29" s="213" t="s">
        <v>279</v>
      </c>
      <c r="BM29" s="112" t="s">
        <v>279</v>
      </c>
      <c r="BN29" s="112" t="s">
        <v>279</v>
      </c>
      <c r="BO29" s="112" t="s">
        <v>279</v>
      </c>
      <c r="BP29" s="207" t="s">
        <v>279</v>
      </c>
      <c r="BQ29" s="112" t="s">
        <v>355</v>
      </c>
      <c r="BR29" s="112" t="s">
        <v>355</v>
      </c>
      <c r="BS29" s="112" t="s">
        <v>355</v>
      </c>
      <c r="BT29" s="207" t="s">
        <v>355</v>
      </c>
      <c r="BU29" s="113">
        <v>0</v>
      </c>
      <c r="BV29" s="113">
        <v>0</v>
      </c>
      <c r="BW29" s="113">
        <v>0</v>
      </c>
      <c r="BX29" s="239">
        <v>0</v>
      </c>
      <c r="BY29" s="115">
        <v>0</v>
      </c>
      <c r="BZ29" s="115">
        <v>0</v>
      </c>
      <c r="CA29" s="115">
        <v>0</v>
      </c>
      <c r="CB29" s="115">
        <v>0</v>
      </c>
    </row>
    <row r="30" spans="1:80" s="112" customFormat="1" x14ac:dyDescent="0.35">
      <c r="A30" s="522"/>
      <c r="B30" s="109" t="s">
        <v>439</v>
      </c>
      <c r="C30" s="117" t="s">
        <v>119</v>
      </c>
      <c r="D30" s="111" t="s">
        <v>364</v>
      </c>
      <c r="E30" s="6">
        <v>0</v>
      </c>
      <c r="F30" s="172">
        <v>0</v>
      </c>
      <c r="G30" s="185" t="s">
        <v>383</v>
      </c>
      <c r="H30" s="185" t="s">
        <v>384</v>
      </c>
      <c r="I30" s="194">
        <v>0</v>
      </c>
      <c r="J30" s="414" t="str">
        <f>B34</f>
        <v>Reactant10</v>
      </c>
      <c r="K30" s="194">
        <v>0</v>
      </c>
      <c r="L30" s="194">
        <v>0</v>
      </c>
      <c r="M30" s="194">
        <v>0</v>
      </c>
      <c r="N30" s="194">
        <v>0</v>
      </c>
      <c r="O30" s="194">
        <v>0</v>
      </c>
      <c r="P30" s="207">
        <v>0</v>
      </c>
      <c r="Q30" s="112" t="s">
        <v>355</v>
      </c>
      <c r="R30" s="112" t="s">
        <v>355</v>
      </c>
      <c r="S30" s="112" t="s">
        <v>355</v>
      </c>
      <c r="T30" s="207" t="s">
        <v>355</v>
      </c>
      <c r="U30" s="114" t="s">
        <v>355</v>
      </c>
      <c r="V30" s="114" t="s">
        <v>355</v>
      </c>
      <c r="W30" s="114" t="s">
        <v>355</v>
      </c>
      <c r="X30" s="213" t="s">
        <v>355</v>
      </c>
      <c r="Y30" s="114" t="s">
        <v>355</v>
      </c>
      <c r="Z30" s="114" t="s">
        <v>355</v>
      </c>
      <c r="AA30" s="114" t="s">
        <v>355</v>
      </c>
      <c r="AB30" s="213" t="s">
        <v>355</v>
      </c>
      <c r="AC30" s="115" t="s">
        <v>355</v>
      </c>
      <c r="AD30" s="115" t="s">
        <v>355</v>
      </c>
      <c r="AE30" s="115" t="s">
        <v>355</v>
      </c>
      <c r="AF30" s="220" t="s">
        <v>355</v>
      </c>
      <c r="AG30" s="115" t="s">
        <v>355</v>
      </c>
      <c r="AH30" s="115" t="s">
        <v>355</v>
      </c>
      <c r="AI30" s="115" t="s">
        <v>355</v>
      </c>
      <c r="AJ30" s="220" t="s">
        <v>355</v>
      </c>
      <c r="AK30" s="115" t="s">
        <v>355</v>
      </c>
      <c r="AL30" s="115" t="s">
        <v>355</v>
      </c>
      <c r="AM30" s="115" t="s">
        <v>355</v>
      </c>
      <c r="AN30" s="220" t="s">
        <v>355</v>
      </c>
      <c r="AO30" s="116" t="s">
        <v>355</v>
      </c>
      <c r="AP30" s="116" t="s">
        <v>355</v>
      </c>
      <c r="AQ30" s="116" t="s">
        <v>355</v>
      </c>
      <c r="AR30" s="229" t="s">
        <v>355</v>
      </c>
      <c r="AS30" s="114" t="s">
        <v>355</v>
      </c>
      <c r="AT30" s="114" t="s">
        <v>355</v>
      </c>
      <c r="AU30" s="114" t="s">
        <v>355</v>
      </c>
      <c r="AV30" s="213" t="s">
        <v>355</v>
      </c>
      <c r="AW30" s="112" t="s">
        <v>355</v>
      </c>
      <c r="AX30" s="112" t="s">
        <v>355</v>
      </c>
      <c r="AY30" s="112" t="s">
        <v>355</v>
      </c>
      <c r="AZ30" s="207" t="s">
        <v>355</v>
      </c>
      <c r="BA30" s="112" t="s">
        <v>355</v>
      </c>
      <c r="BB30" s="112" t="s">
        <v>355</v>
      </c>
      <c r="BC30" s="112" t="s">
        <v>355</v>
      </c>
      <c r="BD30" s="207" t="s">
        <v>355</v>
      </c>
      <c r="BE30" s="112" t="s">
        <v>355</v>
      </c>
      <c r="BF30" s="112" t="s">
        <v>355</v>
      </c>
      <c r="BG30" s="112" t="s">
        <v>355</v>
      </c>
      <c r="BH30" s="207" t="s">
        <v>355</v>
      </c>
      <c r="BI30" s="114" t="s">
        <v>279</v>
      </c>
      <c r="BJ30" s="114" t="s">
        <v>279</v>
      </c>
      <c r="BK30" s="114" t="s">
        <v>279</v>
      </c>
      <c r="BL30" s="213" t="s">
        <v>279</v>
      </c>
      <c r="BM30" s="112" t="s">
        <v>279</v>
      </c>
      <c r="BN30" s="112" t="s">
        <v>279</v>
      </c>
      <c r="BO30" s="112" t="s">
        <v>279</v>
      </c>
      <c r="BP30" s="207" t="s">
        <v>279</v>
      </c>
      <c r="BQ30" s="112" t="s">
        <v>355</v>
      </c>
      <c r="BR30" s="112" t="s">
        <v>355</v>
      </c>
      <c r="BS30" s="112" t="s">
        <v>355</v>
      </c>
      <c r="BT30" s="207" t="s">
        <v>355</v>
      </c>
      <c r="BU30" s="113">
        <v>0</v>
      </c>
      <c r="BV30" s="113">
        <v>0</v>
      </c>
      <c r="BW30" s="113">
        <v>0</v>
      </c>
      <c r="BX30" s="239">
        <v>0</v>
      </c>
      <c r="BY30" s="115">
        <v>0</v>
      </c>
      <c r="BZ30" s="115">
        <v>0</v>
      </c>
      <c r="CA30" s="115">
        <v>0</v>
      </c>
      <c r="CB30" s="115">
        <v>0</v>
      </c>
    </row>
    <row r="31" spans="1:80" s="122" customFormat="1" x14ac:dyDescent="0.35">
      <c r="A31" s="522"/>
      <c r="B31" s="118" t="s">
        <v>97</v>
      </c>
      <c r="C31" s="119" t="s">
        <v>119</v>
      </c>
      <c r="D31" s="120" t="s">
        <v>365</v>
      </c>
      <c r="E31" s="6">
        <v>0</v>
      </c>
      <c r="F31" s="173">
        <v>0</v>
      </c>
      <c r="G31" s="186" t="s">
        <v>385</v>
      </c>
      <c r="H31" s="186" t="s">
        <v>386</v>
      </c>
      <c r="I31" s="401">
        <v>0</v>
      </c>
      <c r="J31" s="409" t="str">
        <f>B34</f>
        <v>Reactant10</v>
      </c>
      <c r="K31" s="198">
        <v>0</v>
      </c>
      <c r="L31" s="198">
        <v>0</v>
      </c>
      <c r="M31" s="198">
        <v>0</v>
      </c>
      <c r="N31" s="198">
        <v>0</v>
      </c>
      <c r="O31" s="198">
        <v>0</v>
      </c>
      <c r="P31" s="230">
        <v>0</v>
      </c>
      <c r="Q31" s="123" t="s">
        <v>194</v>
      </c>
      <c r="R31" s="123" t="s">
        <v>190</v>
      </c>
      <c r="S31" s="123" t="s">
        <v>190</v>
      </c>
      <c r="T31" s="208" t="s">
        <v>190</v>
      </c>
      <c r="U31" s="124">
        <v>0</v>
      </c>
      <c r="V31" s="124">
        <v>0</v>
      </c>
      <c r="W31" s="124">
        <v>0</v>
      </c>
      <c r="X31" s="214">
        <v>0</v>
      </c>
      <c r="Y31" s="124">
        <v>0</v>
      </c>
      <c r="Z31" s="124">
        <v>0</v>
      </c>
      <c r="AA31" s="124">
        <v>0</v>
      </c>
      <c r="AB31" s="214">
        <v>0</v>
      </c>
      <c r="AC31" s="125" t="s">
        <v>190</v>
      </c>
      <c r="AD31" s="125" t="s">
        <v>190</v>
      </c>
      <c r="AE31" s="125" t="s">
        <v>190</v>
      </c>
      <c r="AF31" s="221" t="s">
        <v>190</v>
      </c>
      <c r="AG31" s="125" t="s">
        <v>212</v>
      </c>
      <c r="AH31" s="125" t="s">
        <v>190</v>
      </c>
      <c r="AI31" s="125" t="s">
        <v>213</v>
      </c>
      <c r="AJ31" s="221" t="s">
        <v>213</v>
      </c>
      <c r="AK31" s="125" t="s">
        <v>212</v>
      </c>
      <c r="AL31" s="125" t="s">
        <v>190</v>
      </c>
      <c r="AM31" s="125" t="s">
        <v>213</v>
      </c>
      <c r="AN31" s="221" t="s">
        <v>213</v>
      </c>
      <c r="AO31" s="122" t="s">
        <v>190</v>
      </c>
      <c r="AP31" s="122" t="s">
        <v>190</v>
      </c>
      <c r="AQ31" s="122" t="s">
        <v>190</v>
      </c>
      <c r="AR31" s="230" t="s">
        <v>190</v>
      </c>
      <c r="AS31" s="122" t="s">
        <v>349</v>
      </c>
      <c r="AT31" s="122" t="s">
        <v>349</v>
      </c>
      <c r="AU31" s="122" t="s">
        <v>349</v>
      </c>
      <c r="AV31" s="230" t="s">
        <v>349</v>
      </c>
      <c r="AW31" s="122" t="s">
        <v>254</v>
      </c>
      <c r="AX31" s="122" t="s">
        <v>254</v>
      </c>
      <c r="AY31" s="122" t="s">
        <v>254</v>
      </c>
      <c r="AZ31" s="230" t="s">
        <v>254</v>
      </c>
      <c r="BA31" s="122">
        <v>0</v>
      </c>
      <c r="BB31" s="122">
        <v>0</v>
      </c>
      <c r="BC31" s="122">
        <v>0</v>
      </c>
      <c r="BD31" s="230">
        <v>0</v>
      </c>
      <c r="BE31" s="122">
        <v>0</v>
      </c>
      <c r="BF31" s="122">
        <v>0</v>
      </c>
      <c r="BG31" s="122">
        <v>0</v>
      </c>
      <c r="BH31" s="230">
        <v>0</v>
      </c>
      <c r="BI31" s="122">
        <v>0</v>
      </c>
      <c r="BJ31" s="122">
        <v>0</v>
      </c>
      <c r="BK31" s="122">
        <v>0</v>
      </c>
      <c r="BL31" s="230">
        <v>0</v>
      </c>
      <c r="BM31" s="122">
        <v>0</v>
      </c>
      <c r="BN31" s="122">
        <v>0</v>
      </c>
      <c r="BO31" s="122">
        <v>0</v>
      </c>
      <c r="BP31" s="230">
        <v>0</v>
      </c>
      <c r="BQ31" s="126" t="s">
        <v>261</v>
      </c>
      <c r="BR31" s="126" t="s">
        <v>261</v>
      </c>
      <c r="BS31" s="126" t="s">
        <v>261</v>
      </c>
      <c r="BT31" s="235" t="s">
        <v>261</v>
      </c>
      <c r="BU31" s="121">
        <v>0</v>
      </c>
      <c r="BV31" s="121">
        <v>0</v>
      </c>
      <c r="BW31" s="121">
        <v>0</v>
      </c>
      <c r="BX31" s="240">
        <v>0</v>
      </c>
      <c r="BY31" s="125">
        <v>0</v>
      </c>
      <c r="BZ31" s="125">
        <v>0</v>
      </c>
      <c r="CA31" s="125">
        <v>0</v>
      </c>
      <c r="CB31" s="125">
        <v>0</v>
      </c>
    </row>
    <row r="32" spans="1:80" s="122" customFormat="1" x14ac:dyDescent="0.35">
      <c r="A32" s="522"/>
      <c r="B32" s="118" t="s">
        <v>97</v>
      </c>
      <c r="C32" s="119" t="s">
        <v>119</v>
      </c>
      <c r="D32" s="120" t="s">
        <v>366</v>
      </c>
      <c r="E32" s="6">
        <v>0</v>
      </c>
      <c r="F32" s="173">
        <v>0</v>
      </c>
      <c r="G32" s="186" t="s">
        <v>385</v>
      </c>
      <c r="H32" s="186" t="s">
        <v>386</v>
      </c>
      <c r="I32" s="401">
        <v>0</v>
      </c>
      <c r="J32" s="409" t="str">
        <f>B34</f>
        <v>Reactant10</v>
      </c>
      <c r="K32" s="198">
        <v>0</v>
      </c>
      <c r="L32" s="198">
        <v>0</v>
      </c>
      <c r="M32" s="198">
        <v>0</v>
      </c>
      <c r="N32" s="198">
        <v>0</v>
      </c>
      <c r="O32" s="198">
        <v>0</v>
      </c>
      <c r="P32" s="230">
        <v>0</v>
      </c>
      <c r="Q32" s="123" t="s">
        <v>191</v>
      </c>
      <c r="R32" s="123" t="s">
        <v>190</v>
      </c>
      <c r="S32" s="123" t="s">
        <v>190</v>
      </c>
      <c r="T32" s="208" t="s">
        <v>190</v>
      </c>
      <c r="U32" s="124">
        <v>0</v>
      </c>
      <c r="V32" s="124">
        <v>0</v>
      </c>
      <c r="W32" s="124">
        <v>0</v>
      </c>
      <c r="X32" s="214">
        <v>0</v>
      </c>
      <c r="Y32" s="124">
        <v>0</v>
      </c>
      <c r="Z32" s="124">
        <v>0</v>
      </c>
      <c r="AA32" s="124">
        <v>0</v>
      </c>
      <c r="AB32" s="214">
        <v>0</v>
      </c>
      <c r="AC32" s="125" t="s">
        <v>190</v>
      </c>
      <c r="AD32" s="125" t="s">
        <v>190</v>
      </c>
      <c r="AE32" s="125" t="s">
        <v>190</v>
      </c>
      <c r="AF32" s="221" t="s">
        <v>190</v>
      </c>
      <c r="AG32" s="125" t="s">
        <v>212</v>
      </c>
      <c r="AH32" s="125" t="s">
        <v>190</v>
      </c>
      <c r="AI32" s="125" t="s">
        <v>213</v>
      </c>
      <c r="AJ32" s="221" t="s">
        <v>213</v>
      </c>
      <c r="AK32" s="125" t="s">
        <v>212</v>
      </c>
      <c r="AL32" s="125" t="s">
        <v>190</v>
      </c>
      <c r="AM32" s="125" t="s">
        <v>213</v>
      </c>
      <c r="AN32" s="221" t="s">
        <v>213</v>
      </c>
      <c r="AO32" s="122" t="s">
        <v>190</v>
      </c>
      <c r="AP32" s="122" t="s">
        <v>190</v>
      </c>
      <c r="AQ32" s="122" t="s">
        <v>190</v>
      </c>
      <c r="AR32" s="230" t="s">
        <v>190</v>
      </c>
      <c r="AS32" s="122" t="s">
        <v>349</v>
      </c>
      <c r="AT32" s="122" t="s">
        <v>349</v>
      </c>
      <c r="AU32" s="122" t="s">
        <v>349</v>
      </c>
      <c r="AV32" s="230" t="s">
        <v>349</v>
      </c>
      <c r="AW32" s="122" t="s">
        <v>254</v>
      </c>
      <c r="AX32" s="122" t="s">
        <v>254</v>
      </c>
      <c r="AY32" s="122" t="s">
        <v>254</v>
      </c>
      <c r="AZ32" s="230" t="s">
        <v>254</v>
      </c>
      <c r="BA32" s="122">
        <v>0</v>
      </c>
      <c r="BB32" s="122">
        <v>0</v>
      </c>
      <c r="BC32" s="122">
        <v>0</v>
      </c>
      <c r="BD32" s="230">
        <v>0</v>
      </c>
      <c r="BE32" s="122">
        <v>0</v>
      </c>
      <c r="BF32" s="122">
        <v>0</v>
      </c>
      <c r="BG32" s="122">
        <v>0</v>
      </c>
      <c r="BH32" s="230">
        <v>0</v>
      </c>
      <c r="BI32" s="122">
        <v>0</v>
      </c>
      <c r="BJ32" s="122">
        <v>0</v>
      </c>
      <c r="BK32" s="122">
        <v>0</v>
      </c>
      <c r="BL32" s="230">
        <v>0</v>
      </c>
      <c r="BM32" s="122">
        <v>0</v>
      </c>
      <c r="BN32" s="122">
        <v>0</v>
      </c>
      <c r="BO32" s="122">
        <v>0</v>
      </c>
      <c r="BP32" s="230">
        <v>0</v>
      </c>
      <c r="BQ32" s="126" t="s">
        <v>261</v>
      </c>
      <c r="BR32" s="126" t="s">
        <v>261</v>
      </c>
      <c r="BS32" s="126" t="s">
        <v>261</v>
      </c>
      <c r="BT32" s="235" t="s">
        <v>261</v>
      </c>
      <c r="BU32" s="121">
        <v>0</v>
      </c>
      <c r="BV32" s="121">
        <v>0</v>
      </c>
      <c r="BW32" s="121">
        <v>0</v>
      </c>
      <c r="BX32" s="240">
        <v>0</v>
      </c>
      <c r="BY32" s="125">
        <v>0</v>
      </c>
      <c r="BZ32" s="125">
        <v>0</v>
      </c>
      <c r="CA32" s="125">
        <v>0</v>
      </c>
      <c r="CB32" s="125">
        <v>0</v>
      </c>
    </row>
    <row r="33" spans="1:80" s="127" customFormat="1" x14ac:dyDescent="0.35">
      <c r="A33" s="522"/>
      <c r="B33" s="127" t="s">
        <v>97</v>
      </c>
      <c r="C33" s="98" t="s">
        <v>119</v>
      </c>
      <c r="D33" s="128" t="s">
        <v>174</v>
      </c>
      <c r="E33" s="6">
        <v>0</v>
      </c>
      <c r="F33" s="174">
        <v>0</v>
      </c>
      <c r="G33" s="187" t="s">
        <v>387</v>
      </c>
      <c r="H33" s="187" t="s">
        <v>388</v>
      </c>
      <c r="I33" s="406">
        <v>0</v>
      </c>
      <c r="J33" s="415" t="str">
        <f>B34</f>
        <v>Reactant10</v>
      </c>
      <c r="K33" s="199">
        <v>0</v>
      </c>
      <c r="L33" s="199">
        <v>0</v>
      </c>
      <c r="M33" s="199">
        <v>0</v>
      </c>
      <c r="N33" s="199">
        <v>0</v>
      </c>
      <c r="O33" s="199">
        <v>0</v>
      </c>
      <c r="P33" s="209">
        <v>0</v>
      </c>
      <c r="Q33" s="127">
        <v>0</v>
      </c>
      <c r="R33" s="127">
        <v>0</v>
      </c>
      <c r="S33" s="127">
        <v>0</v>
      </c>
      <c r="T33" s="209">
        <v>0</v>
      </c>
      <c r="U33" s="130">
        <v>0</v>
      </c>
      <c r="V33" s="130">
        <v>0</v>
      </c>
      <c r="W33" s="130">
        <v>0</v>
      </c>
      <c r="X33" s="215">
        <v>0</v>
      </c>
      <c r="Y33" s="130">
        <v>0</v>
      </c>
      <c r="Z33" s="130">
        <v>0</v>
      </c>
      <c r="AA33" s="130">
        <v>0</v>
      </c>
      <c r="AB33" s="215">
        <v>0</v>
      </c>
      <c r="AC33" s="131" t="s">
        <v>272</v>
      </c>
      <c r="AD33" s="131" t="s">
        <v>272</v>
      </c>
      <c r="AE33" s="131" t="s">
        <v>272</v>
      </c>
      <c r="AF33" s="222" t="s">
        <v>272</v>
      </c>
      <c r="AG33" s="131" t="s">
        <v>272</v>
      </c>
      <c r="AH33" s="131" t="s">
        <v>272</v>
      </c>
      <c r="AI33" s="131" t="s">
        <v>272</v>
      </c>
      <c r="AJ33" s="222" t="s">
        <v>272</v>
      </c>
      <c r="AK33" s="131" t="s">
        <v>272</v>
      </c>
      <c r="AL33" s="131" t="s">
        <v>272</v>
      </c>
      <c r="AM33" s="131" t="s">
        <v>272</v>
      </c>
      <c r="AN33" s="222" t="s">
        <v>272</v>
      </c>
      <c r="AO33" s="127">
        <v>0</v>
      </c>
      <c r="AP33" s="127">
        <v>0</v>
      </c>
      <c r="AQ33" s="127">
        <v>0</v>
      </c>
      <c r="AR33" s="209">
        <v>0</v>
      </c>
      <c r="AS33" s="127">
        <v>0</v>
      </c>
      <c r="AT33" s="127">
        <v>0</v>
      </c>
      <c r="AU33" s="127">
        <v>0</v>
      </c>
      <c r="AV33" s="209">
        <v>0</v>
      </c>
      <c r="AW33" s="127">
        <v>0</v>
      </c>
      <c r="AX33" s="127">
        <v>0</v>
      </c>
      <c r="AY33" s="127">
        <v>0</v>
      </c>
      <c r="AZ33" s="209">
        <v>0</v>
      </c>
      <c r="BA33" s="127">
        <v>0</v>
      </c>
      <c r="BB33" s="127">
        <v>0</v>
      </c>
      <c r="BC33" s="127">
        <v>0</v>
      </c>
      <c r="BD33" s="209">
        <v>0</v>
      </c>
      <c r="BE33" s="127">
        <v>0</v>
      </c>
      <c r="BF33" s="127">
        <v>0</v>
      </c>
      <c r="BG33" s="127">
        <v>0</v>
      </c>
      <c r="BH33" s="209">
        <v>0</v>
      </c>
      <c r="BI33" s="127">
        <v>0</v>
      </c>
      <c r="BJ33" s="127">
        <v>0</v>
      </c>
      <c r="BK33" s="127">
        <v>0</v>
      </c>
      <c r="BL33" s="209">
        <v>0</v>
      </c>
      <c r="BM33" s="127">
        <v>0</v>
      </c>
      <c r="BN33" s="127">
        <v>0</v>
      </c>
      <c r="BO33" s="127">
        <v>0</v>
      </c>
      <c r="BP33" s="209">
        <v>0</v>
      </c>
      <c r="BQ33" s="127">
        <v>0</v>
      </c>
      <c r="BR33" s="127">
        <v>0</v>
      </c>
      <c r="BS33" s="127">
        <v>0</v>
      </c>
      <c r="BT33" s="209">
        <v>0</v>
      </c>
      <c r="BU33" s="129">
        <v>0</v>
      </c>
      <c r="BV33" s="129">
        <v>0</v>
      </c>
      <c r="BW33" s="129">
        <v>0</v>
      </c>
      <c r="BX33" s="241">
        <v>0</v>
      </c>
      <c r="BY33" s="131">
        <v>0</v>
      </c>
      <c r="BZ33" s="131">
        <v>0</v>
      </c>
      <c r="CA33" s="131">
        <v>0</v>
      </c>
      <c r="CB33" s="131">
        <v>0</v>
      </c>
    </row>
    <row r="34" spans="1:80" s="256" customFormat="1" x14ac:dyDescent="0.35">
      <c r="A34" s="522"/>
      <c r="B34" s="250" t="s">
        <v>440</v>
      </c>
      <c r="C34" s="98" t="s">
        <v>184</v>
      </c>
      <c r="D34" s="251" t="s">
        <v>300</v>
      </c>
      <c r="E34" s="6">
        <v>0</v>
      </c>
      <c r="F34" s="252">
        <v>0</v>
      </c>
      <c r="G34" s="253" t="s">
        <v>387</v>
      </c>
      <c r="H34" s="253" t="s">
        <v>388</v>
      </c>
      <c r="I34" s="407">
        <v>0</v>
      </c>
      <c r="J34" s="253" t="s">
        <v>12</v>
      </c>
      <c r="K34" s="255">
        <v>0</v>
      </c>
      <c r="L34" s="255">
        <v>0</v>
      </c>
      <c r="M34" s="255">
        <v>0</v>
      </c>
      <c r="N34" s="255">
        <v>0</v>
      </c>
      <c r="O34" s="255">
        <v>0</v>
      </c>
      <c r="P34" s="254">
        <v>0</v>
      </c>
      <c r="Q34" s="260">
        <v>0</v>
      </c>
      <c r="R34" s="260">
        <v>0</v>
      </c>
      <c r="S34" s="260">
        <v>0</v>
      </c>
      <c r="T34" s="316">
        <v>0</v>
      </c>
      <c r="U34" s="256">
        <v>0</v>
      </c>
      <c r="V34" s="256">
        <v>0</v>
      </c>
      <c r="W34" s="256">
        <v>0</v>
      </c>
      <c r="X34" s="254">
        <v>0</v>
      </c>
      <c r="Y34" s="256">
        <v>0</v>
      </c>
      <c r="Z34" s="256">
        <v>0</v>
      </c>
      <c r="AA34" s="256">
        <v>0</v>
      </c>
      <c r="AB34" s="254">
        <v>0</v>
      </c>
      <c r="AC34" s="257">
        <v>0</v>
      </c>
      <c r="AD34" s="257">
        <v>0</v>
      </c>
      <c r="AE34" s="257">
        <v>0</v>
      </c>
      <c r="AF34" s="258">
        <v>0</v>
      </c>
      <c r="AG34" s="257">
        <v>0</v>
      </c>
      <c r="AH34" s="257">
        <v>0</v>
      </c>
      <c r="AI34" s="257">
        <v>0</v>
      </c>
      <c r="AJ34" s="258">
        <v>0</v>
      </c>
      <c r="AK34" s="257">
        <v>0</v>
      </c>
      <c r="AL34" s="257">
        <v>0</v>
      </c>
      <c r="AM34" s="257">
        <v>0</v>
      </c>
      <c r="AN34" s="258">
        <v>0</v>
      </c>
      <c r="AO34" s="260">
        <v>0</v>
      </c>
      <c r="AP34" s="260">
        <v>0</v>
      </c>
      <c r="AQ34" s="260">
        <v>0</v>
      </c>
      <c r="AR34" s="316">
        <v>0</v>
      </c>
      <c r="AS34" s="260">
        <v>0</v>
      </c>
      <c r="AT34" s="260">
        <v>0</v>
      </c>
      <c r="AU34" s="260">
        <v>0</v>
      </c>
      <c r="AV34" s="316">
        <v>0</v>
      </c>
      <c r="AW34" s="260">
        <v>0</v>
      </c>
      <c r="AX34" s="260">
        <v>0</v>
      </c>
      <c r="AY34" s="260">
        <v>0</v>
      </c>
      <c r="AZ34" s="316">
        <v>0</v>
      </c>
      <c r="BA34" s="260">
        <v>0</v>
      </c>
      <c r="BB34" s="260">
        <v>0</v>
      </c>
      <c r="BC34" s="260">
        <v>0</v>
      </c>
      <c r="BD34" s="316">
        <v>0</v>
      </c>
      <c r="BE34" s="260">
        <v>0</v>
      </c>
      <c r="BF34" s="260">
        <v>0</v>
      </c>
      <c r="BG34" s="260">
        <v>0</v>
      </c>
      <c r="BH34" s="316">
        <v>0</v>
      </c>
      <c r="BI34" s="127">
        <v>0</v>
      </c>
      <c r="BJ34" s="127">
        <v>0</v>
      </c>
      <c r="BK34" s="127">
        <v>0</v>
      </c>
      <c r="BL34" s="209">
        <v>0</v>
      </c>
      <c r="BM34" s="260">
        <v>0</v>
      </c>
      <c r="BN34" s="260">
        <v>0</v>
      </c>
      <c r="BO34" s="260">
        <v>0</v>
      </c>
      <c r="BP34" s="316">
        <v>0</v>
      </c>
      <c r="BQ34" s="260">
        <v>0</v>
      </c>
      <c r="BR34" s="260">
        <v>0</v>
      </c>
      <c r="BS34" s="260">
        <v>0</v>
      </c>
      <c r="BT34" s="316">
        <v>0</v>
      </c>
      <c r="BU34" s="259">
        <v>0</v>
      </c>
      <c r="BV34" s="259">
        <v>0</v>
      </c>
      <c r="BW34" s="259">
        <v>0</v>
      </c>
      <c r="BX34" s="333">
        <v>0</v>
      </c>
      <c r="BY34" s="257">
        <v>0</v>
      </c>
      <c r="BZ34" s="257">
        <v>0</v>
      </c>
      <c r="CA34" s="257">
        <v>0</v>
      </c>
      <c r="CB34" s="257">
        <v>0</v>
      </c>
    </row>
    <row r="35" spans="1:80" s="278" customFormat="1" x14ac:dyDescent="0.35">
      <c r="A35" s="522"/>
      <c r="B35" s="271" t="s">
        <v>280</v>
      </c>
      <c r="C35" s="272" t="s">
        <v>184</v>
      </c>
      <c r="D35" s="273" t="s">
        <v>25</v>
      </c>
      <c r="E35" s="6">
        <v>0</v>
      </c>
      <c r="F35" s="274">
        <v>0</v>
      </c>
      <c r="G35" s="275" t="s">
        <v>389</v>
      </c>
      <c r="H35" s="275" t="s">
        <v>390</v>
      </c>
      <c r="I35" s="277">
        <v>0</v>
      </c>
      <c r="J35" s="275" t="s">
        <v>12</v>
      </c>
      <c r="K35" s="277">
        <v>0</v>
      </c>
      <c r="L35" s="277">
        <v>0</v>
      </c>
      <c r="M35" s="277">
        <v>0</v>
      </c>
      <c r="N35" s="277">
        <v>0</v>
      </c>
      <c r="O35" s="277">
        <v>0</v>
      </c>
      <c r="P35" s="276">
        <v>0</v>
      </c>
      <c r="Q35" s="278">
        <v>0</v>
      </c>
      <c r="R35" s="278">
        <v>0</v>
      </c>
      <c r="S35" s="278">
        <v>0</v>
      </c>
      <c r="T35" s="276">
        <v>0</v>
      </c>
      <c r="U35" s="278">
        <v>0</v>
      </c>
      <c r="V35" s="278">
        <v>0</v>
      </c>
      <c r="W35" s="278">
        <v>0</v>
      </c>
      <c r="X35" s="276">
        <v>0</v>
      </c>
      <c r="Y35" s="278">
        <v>0</v>
      </c>
      <c r="Z35" s="278">
        <v>0</v>
      </c>
      <c r="AA35" s="278">
        <v>0</v>
      </c>
      <c r="AB35" s="276">
        <v>0</v>
      </c>
      <c r="AC35" s="279">
        <v>0</v>
      </c>
      <c r="AD35" s="279">
        <v>0</v>
      </c>
      <c r="AE35" s="279">
        <v>0</v>
      </c>
      <c r="AF35" s="280">
        <v>0</v>
      </c>
      <c r="AG35" s="279">
        <v>0</v>
      </c>
      <c r="AH35" s="279">
        <v>0</v>
      </c>
      <c r="AI35" s="279">
        <v>0</v>
      </c>
      <c r="AJ35" s="280">
        <v>0</v>
      </c>
      <c r="AK35" s="279">
        <v>0</v>
      </c>
      <c r="AL35" s="279">
        <v>0</v>
      </c>
      <c r="AM35" s="279">
        <v>0</v>
      </c>
      <c r="AN35" s="280">
        <v>0</v>
      </c>
      <c r="AO35" s="278" t="s">
        <v>230</v>
      </c>
      <c r="AP35" s="278" t="s">
        <v>230</v>
      </c>
      <c r="AQ35" s="278" t="s">
        <v>231</v>
      </c>
      <c r="AR35" s="276" t="s">
        <v>231</v>
      </c>
      <c r="AS35" s="278" t="s">
        <v>255</v>
      </c>
      <c r="AT35" s="278" t="s">
        <v>257</v>
      </c>
      <c r="AU35" s="278">
        <v>0</v>
      </c>
      <c r="AV35" s="276" t="s">
        <v>258</v>
      </c>
      <c r="AW35" s="278" t="s">
        <v>259</v>
      </c>
      <c r="AX35" s="278" t="s">
        <v>259</v>
      </c>
      <c r="AY35" s="278" t="s">
        <v>259</v>
      </c>
      <c r="AZ35" s="276" t="s">
        <v>259</v>
      </c>
      <c r="BA35" s="278">
        <v>0</v>
      </c>
      <c r="BB35" s="278">
        <v>0</v>
      </c>
      <c r="BC35" s="278">
        <v>0</v>
      </c>
      <c r="BD35" s="276">
        <v>0</v>
      </c>
      <c r="BE35" s="278">
        <v>0</v>
      </c>
      <c r="BF35" s="278">
        <v>0</v>
      </c>
      <c r="BG35" s="278">
        <v>0</v>
      </c>
      <c r="BH35" s="276">
        <v>0</v>
      </c>
      <c r="BI35" s="281">
        <v>0</v>
      </c>
      <c r="BJ35" s="281">
        <v>0</v>
      </c>
      <c r="BK35" s="281">
        <v>0</v>
      </c>
      <c r="BL35" s="450">
        <v>0</v>
      </c>
      <c r="BM35" s="281">
        <v>0</v>
      </c>
      <c r="BN35" s="281">
        <v>0</v>
      </c>
      <c r="BO35" s="281">
        <v>0</v>
      </c>
      <c r="BP35" s="450">
        <v>0</v>
      </c>
      <c r="BQ35" s="278" t="s">
        <v>357</v>
      </c>
      <c r="BR35" s="278" t="s">
        <v>357</v>
      </c>
      <c r="BS35" s="278" t="s">
        <v>357</v>
      </c>
      <c r="BT35" s="276" t="s">
        <v>357</v>
      </c>
      <c r="BU35" s="282">
        <v>0</v>
      </c>
      <c r="BV35" s="282">
        <v>0</v>
      </c>
      <c r="BW35" s="282">
        <v>0</v>
      </c>
      <c r="BX35" s="453">
        <v>0</v>
      </c>
      <c r="BY35" s="279">
        <v>0</v>
      </c>
      <c r="BZ35" s="279">
        <v>0</v>
      </c>
      <c r="CA35" s="279">
        <v>0</v>
      </c>
      <c r="CB35" s="279">
        <v>0</v>
      </c>
    </row>
    <row r="36" spans="1:80" s="278" customFormat="1" x14ac:dyDescent="0.35">
      <c r="A36" s="522"/>
      <c r="B36" s="271" t="str">
        <f>B35</f>
        <v>Reactant11</v>
      </c>
      <c r="C36" s="272" t="s">
        <v>184</v>
      </c>
      <c r="D36" s="273" t="s">
        <v>164</v>
      </c>
      <c r="E36" s="6">
        <v>0</v>
      </c>
      <c r="F36" s="274">
        <v>0</v>
      </c>
      <c r="G36" s="275" t="s">
        <v>389</v>
      </c>
      <c r="H36" s="275" t="s">
        <v>390</v>
      </c>
      <c r="I36" s="277">
        <v>0</v>
      </c>
      <c r="J36" s="275" t="s">
        <v>12</v>
      </c>
      <c r="K36" s="277">
        <v>0</v>
      </c>
      <c r="L36" s="277">
        <v>0</v>
      </c>
      <c r="M36" s="277">
        <v>0</v>
      </c>
      <c r="N36" s="277">
        <v>0</v>
      </c>
      <c r="O36" s="277">
        <v>0</v>
      </c>
      <c r="P36" s="276">
        <v>0</v>
      </c>
      <c r="Q36" s="278">
        <v>0</v>
      </c>
      <c r="R36" s="278">
        <v>0</v>
      </c>
      <c r="S36" s="278">
        <v>0</v>
      </c>
      <c r="T36" s="276">
        <v>0</v>
      </c>
      <c r="U36" s="278">
        <v>0</v>
      </c>
      <c r="V36" s="278">
        <v>0</v>
      </c>
      <c r="W36" s="278">
        <v>0</v>
      </c>
      <c r="X36" s="276">
        <v>0</v>
      </c>
      <c r="Y36" s="278">
        <v>0</v>
      </c>
      <c r="Z36" s="278">
        <v>0</v>
      </c>
      <c r="AA36" s="278">
        <v>0</v>
      </c>
      <c r="AB36" s="276">
        <v>0</v>
      </c>
      <c r="AC36" s="279">
        <v>0</v>
      </c>
      <c r="AD36" s="279">
        <v>0</v>
      </c>
      <c r="AE36" s="279">
        <v>0</v>
      </c>
      <c r="AF36" s="280">
        <v>0</v>
      </c>
      <c r="AG36" s="279">
        <v>0</v>
      </c>
      <c r="AH36" s="279">
        <v>0</v>
      </c>
      <c r="AI36" s="279">
        <v>0</v>
      </c>
      <c r="AJ36" s="280">
        <v>0</v>
      </c>
      <c r="AK36" s="279">
        <v>0</v>
      </c>
      <c r="AL36" s="279">
        <v>0</v>
      </c>
      <c r="AM36" s="279">
        <v>0</v>
      </c>
      <c r="AN36" s="280">
        <v>0</v>
      </c>
      <c r="AO36" s="283" t="s">
        <v>230</v>
      </c>
      <c r="AP36" s="278" t="s">
        <v>230</v>
      </c>
      <c r="AQ36" s="278" t="s">
        <v>231</v>
      </c>
      <c r="AR36" s="276" t="s">
        <v>231</v>
      </c>
      <c r="AS36" s="278" t="s">
        <v>255</v>
      </c>
      <c r="AT36" s="278" t="s">
        <v>256</v>
      </c>
      <c r="AU36" s="278">
        <v>0</v>
      </c>
      <c r="AV36" s="276" t="s">
        <v>258</v>
      </c>
      <c r="AW36" s="278" t="s">
        <v>259</v>
      </c>
      <c r="AX36" s="278" t="s">
        <v>259</v>
      </c>
      <c r="AY36" s="278" t="s">
        <v>259</v>
      </c>
      <c r="AZ36" s="276" t="s">
        <v>259</v>
      </c>
      <c r="BA36" s="278" t="s">
        <v>260</v>
      </c>
      <c r="BB36" s="278" t="s">
        <v>260</v>
      </c>
      <c r="BC36" s="278">
        <v>0</v>
      </c>
      <c r="BD36" s="276" t="s">
        <v>260</v>
      </c>
      <c r="BE36" s="278">
        <v>0</v>
      </c>
      <c r="BF36" s="278">
        <v>0</v>
      </c>
      <c r="BG36" s="278">
        <v>0</v>
      </c>
      <c r="BH36" s="276">
        <v>0</v>
      </c>
      <c r="BI36" s="281">
        <v>0</v>
      </c>
      <c r="BJ36" s="281">
        <v>0</v>
      </c>
      <c r="BK36" s="281">
        <v>0</v>
      </c>
      <c r="BL36" s="450">
        <v>0</v>
      </c>
      <c r="BM36" s="281">
        <v>0</v>
      </c>
      <c r="BN36" s="281">
        <v>0</v>
      </c>
      <c r="BO36" s="281">
        <v>0</v>
      </c>
      <c r="BP36" s="450">
        <v>0</v>
      </c>
      <c r="BQ36" s="278" t="s">
        <v>357</v>
      </c>
      <c r="BR36" s="278" t="s">
        <v>357</v>
      </c>
      <c r="BS36" s="278" t="s">
        <v>357</v>
      </c>
      <c r="BT36" s="276" t="s">
        <v>357</v>
      </c>
      <c r="BU36" s="282">
        <v>0</v>
      </c>
      <c r="BV36" s="282">
        <v>0</v>
      </c>
      <c r="BW36" s="282">
        <v>0</v>
      </c>
      <c r="BX36" s="453">
        <v>0</v>
      </c>
      <c r="BY36" s="279">
        <v>0</v>
      </c>
      <c r="BZ36" s="279">
        <v>0</v>
      </c>
      <c r="CA36" s="279">
        <v>0</v>
      </c>
      <c r="CB36" s="279">
        <v>0</v>
      </c>
    </row>
    <row r="37" spans="1:80" s="278" customFormat="1" x14ac:dyDescent="0.35">
      <c r="A37" s="522"/>
      <c r="B37" s="271" t="str">
        <f>B35</f>
        <v>Reactant11</v>
      </c>
      <c r="C37" s="272" t="s">
        <v>184</v>
      </c>
      <c r="D37" s="273" t="s">
        <v>165</v>
      </c>
      <c r="E37" s="6">
        <v>0</v>
      </c>
      <c r="F37" s="274">
        <v>0</v>
      </c>
      <c r="G37" s="275" t="s">
        <v>389</v>
      </c>
      <c r="H37" s="275" t="s">
        <v>390</v>
      </c>
      <c r="I37" s="277">
        <v>0</v>
      </c>
      <c r="J37" s="275" t="s">
        <v>12</v>
      </c>
      <c r="K37" s="277">
        <v>0</v>
      </c>
      <c r="L37" s="277">
        <v>0</v>
      </c>
      <c r="M37" s="277">
        <v>0</v>
      </c>
      <c r="N37" s="277">
        <v>0</v>
      </c>
      <c r="O37" s="277">
        <v>0</v>
      </c>
      <c r="P37" s="276">
        <v>0</v>
      </c>
      <c r="Q37" s="278">
        <v>0</v>
      </c>
      <c r="R37" s="278">
        <v>0</v>
      </c>
      <c r="S37" s="278">
        <v>0</v>
      </c>
      <c r="T37" s="276">
        <v>0</v>
      </c>
      <c r="U37" s="278">
        <v>0</v>
      </c>
      <c r="V37" s="278">
        <v>0</v>
      </c>
      <c r="W37" s="278">
        <v>0</v>
      </c>
      <c r="X37" s="276">
        <v>0</v>
      </c>
      <c r="Y37" s="278">
        <v>0</v>
      </c>
      <c r="Z37" s="278">
        <v>0</v>
      </c>
      <c r="AA37" s="278">
        <v>0</v>
      </c>
      <c r="AB37" s="276">
        <v>0</v>
      </c>
      <c r="AC37" s="279">
        <v>0</v>
      </c>
      <c r="AD37" s="279">
        <v>0</v>
      </c>
      <c r="AE37" s="279">
        <v>0</v>
      </c>
      <c r="AF37" s="280">
        <v>0</v>
      </c>
      <c r="AG37" s="279">
        <v>0</v>
      </c>
      <c r="AH37" s="279">
        <v>0</v>
      </c>
      <c r="AI37" s="279">
        <v>0</v>
      </c>
      <c r="AJ37" s="280">
        <v>0</v>
      </c>
      <c r="AK37" s="279">
        <v>0</v>
      </c>
      <c r="AL37" s="279">
        <v>0</v>
      </c>
      <c r="AM37" s="279">
        <v>0</v>
      </c>
      <c r="AN37" s="280">
        <v>0</v>
      </c>
      <c r="AO37" s="278" t="s">
        <v>230</v>
      </c>
      <c r="AP37" s="278" t="s">
        <v>230</v>
      </c>
      <c r="AQ37" s="278" t="s">
        <v>231</v>
      </c>
      <c r="AR37" s="276" t="s">
        <v>231</v>
      </c>
      <c r="AS37" s="278" t="s">
        <v>255</v>
      </c>
      <c r="AT37" s="278" t="s">
        <v>256</v>
      </c>
      <c r="AU37" s="278">
        <v>0</v>
      </c>
      <c r="AV37" s="276" t="s">
        <v>258</v>
      </c>
      <c r="AW37" s="278" t="s">
        <v>259</v>
      </c>
      <c r="AX37" s="278" t="s">
        <v>259</v>
      </c>
      <c r="AY37" s="278" t="s">
        <v>259</v>
      </c>
      <c r="AZ37" s="276" t="s">
        <v>259</v>
      </c>
      <c r="BA37" s="278" t="s">
        <v>260</v>
      </c>
      <c r="BB37" s="278" t="s">
        <v>260</v>
      </c>
      <c r="BC37" s="278">
        <v>0</v>
      </c>
      <c r="BD37" s="276" t="s">
        <v>260</v>
      </c>
      <c r="BE37" s="278">
        <v>0</v>
      </c>
      <c r="BF37" s="278">
        <v>0</v>
      </c>
      <c r="BG37" s="278">
        <v>0</v>
      </c>
      <c r="BH37" s="276">
        <v>0</v>
      </c>
      <c r="BI37" s="281">
        <v>0</v>
      </c>
      <c r="BJ37" s="281">
        <v>0</v>
      </c>
      <c r="BK37" s="281">
        <v>0</v>
      </c>
      <c r="BL37" s="450">
        <v>0</v>
      </c>
      <c r="BM37" s="281">
        <v>0</v>
      </c>
      <c r="BN37" s="281">
        <v>0</v>
      </c>
      <c r="BO37" s="281">
        <v>0</v>
      </c>
      <c r="BP37" s="450">
        <v>0</v>
      </c>
      <c r="BQ37" s="278" t="s">
        <v>357</v>
      </c>
      <c r="BR37" s="278" t="s">
        <v>357</v>
      </c>
      <c r="BS37" s="278" t="s">
        <v>357</v>
      </c>
      <c r="BT37" s="276" t="s">
        <v>357</v>
      </c>
      <c r="BU37" s="282">
        <v>0</v>
      </c>
      <c r="BV37" s="282">
        <v>0</v>
      </c>
      <c r="BW37" s="282">
        <v>0</v>
      </c>
      <c r="BX37" s="453">
        <v>0</v>
      </c>
      <c r="BY37" s="279">
        <v>0</v>
      </c>
      <c r="BZ37" s="279">
        <v>0</v>
      </c>
      <c r="CA37" s="279">
        <v>0</v>
      </c>
      <c r="CB37" s="279">
        <v>0</v>
      </c>
    </row>
    <row r="38" spans="1:80" s="50" customFormat="1" x14ac:dyDescent="0.35">
      <c r="A38" s="522"/>
      <c r="B38" s="294" t="s">
        <v>282</v>
      </c>
      <c r="C38" s="295" t="s">
        <v>13</v>
      </c>
      <c r="D38" s="296" t="s">
        <v>166</v>
      </c>
      <c r="E38" s="6">
        <v>0</v>
      </c>
      <c r="F38" s="297">
        <v>0</v>
      </c>
      <c r="G38" s="298" t="s">
        <v>387</v>
      </c>
      <c r="H38" s="298" t="s">
        <v>388</v>
      </c>
      <c r="I38" s="301">
        <v>0</v>
      </c>
      <c r="J38" s="416" t="str">
        <f>B35</f>
        <v>Reactant11</v>
      </c>
      <c r="K38" s="301">
        <v>0</v>
      </c>
      <c r="L38" s="301">
        <v>0</v>
      </c>
      <c r="M38" s="301">
        <v>0</v>
      </c>
      <c r="N38" s="301">
        <v>0</v>
      </c>
      <c r="O38" s="301">
        <v>0</v>
      </c>
      <c r="P38" s="299">
        <v>0</v>
      </c>
      <c r="Q38" s="50" t="s">
        <v>214</v>
      </c>
      <c r="R38" s="50" t="s">
        <v>214</v>
      </c>
      <c r="S38" s="50" t="s">
        <v>214</v>
      </c>
      <c r="T38" s="299" t="s">
        <v>214</v>
      </c>
      <c r="U38" s="302">
        <v>0</v>
      </c>
      <c r="V38" s="302">
        <v>0</v>
      </c>
      <c r="W38" s="302">
        <v>0</v>
      </c>
      <c r="X38" s="303">
        <v>0</v>
      </c>
      <c r="Y38" s="50">
        <v>0</v>
      </c>
      <c r="Z38" s="50">
        <v>0</v>
      </c>
      <c r="AA38" s="50">
        <v>0</v>
      </c>
      <c r="AB38" s="299">
        <v>0</v>
      </c>
      <c r="AC38" s="304">
        <v>0</v>
      </c>
      <c r="AD38" s="304">
        <v>0</v>
      </c>
      <c r="AE38" s="304">
        <v>0</v>
      </c>
      <c r="AF38" s="305">
        <v>0</v>
      </c>
      <c r="AG38" s="304">
        <v>0</v>
      </c>
      <c r="AH38" s="304">
        <v>0</v>
      </c>
      <c r="AI38" s="304">
        <v>0</v>
      </c>
      <c r="AJ38" s="305">
        <v>0</v>
      </c>
      <c r="AK38" s="304">
        <v>0</v>
      </c>
      <c r="AL38" s="304">
        <v>0</v>
      </c>
      <c r="AM38" s="304">
        <v>0</v>
      </c>
      <c r="AN38" s="305">
        <v>0</v>
      </c>
      <c r="AO38" s="50" t="s">
        <v>232</v>
      </c>
      <c r="AP38" s="50" t="s">
        <v>190</v>
      </c>
      <c r="AQ38" s="50" t="s">
        <v>190</v>
      </c>
      <c r="AR38" s="299" t="s">
        <v>190</v>
      </c>
      <c r="AS38" s="50" t="s">
        <v>261</v>
      </c>
      <c r="AT38" s="50" t="s">
        <v>261</v>
      </c>
      <c r="AU38" s="50">
        <v>0</v>
      </c>
      <c r="AV38" s="299" t="s">
        <v>261</v>
      </c>
      <c r="AW38" s="50" t="s">
        <v>262</v>
      </c>
      <c r="AX38" s="50" t="s">
        <v>262</v>
      </c>
      <c r="AY38" s="50" t="s">
        <v>262</v>
      </c>
      <c r="AZ38" s="299" t="s">
        <v>262</v>
      </c>
      <c r="BA38" s="50">
        <v>0</v>
      </c>
      <c r="BB38" s="50">
        <v>0</v>
      </c>
      <c r="BC38" s="50">
        <v>0</v>
      </c>
      <c r="BD38" s="299">
        <v>0</v>
      </c>
      <c r="BE38" s="50">
        <v>0</v>
      </c>
      <c r="BF38" s="50">
        <v>0</v>
      </c>
      <c r="BG38" s="50">
        <v>0</v>
      </c>
      <c r="BH38" s="299">
        <v>0</v>
      </c>
      <c r="BI38" s="50">
        <v>0</v>
      </c>
      <c r="BJ38" s="50">
        <v>0</v>
      </c>
      <c r="BK38" s="50">
        <v>0</v>
      </c>
      <c r="BL38" s="299">
        <v>0</v>
      </c>
      <c r="BM38" s="50">
        <v>0</v>
      </c>
      <c r="BN38" s="50">
        <v>0</v>
      </c>
      <c r="BO38" s="50">
        <v>0</v>
      </c>
      <c r="BP38" s="299">
        <v>0</v>
      </c>
      <c r="BQ38" s="306" t="s">
        <v>261</v>
      </c>
      <c r="BR38" s="306" t="s">
        <v>261</v>
      </c>
      <c r="BS38" s="306" t="s">
        <v>261</v>
      </c>
      <c r="BT38" s="307" t="s">
        <v>261</v>
      </c>
      <c r="BU38" s="308">
        <v>0</v>
      </c>
      <c r="BV38" s="308">
        <v>0</v>
      </c>
      <c r="BW38" s="308">
        <v>0</v>
      </c>
      <c r="BX38" s="300">
        <v>0</v>
      </c>
      <c r="BY38" s="304">
        <v>0</v>
      </c>
      <c r="BZ38" s="304">
        <v>0</v>
      </c>
      <c r="CA38" s="304">
        <v>0</v>
      </c>
      <c r="CB38" s="304">
        <v>0</v>
      </c>
    </row>
    <row r="39" spans="1:80" s="50" customFormat="1" x14ac:dyDescent="0.35">
      <c r="A39" s="522"/>
      <c r="B39" s="294" t="s">
        <v>282</v>
      </c>
      <c r="C39" s="295" t="s">
        <v>13</v>
      </c>
      <c r="D39" s="296" t="s">
        <v>367</v>
      </c>
      <c r="E39" s="6">
        <v>0</v>
      </c>
      <c r="F39" s="297">
        <v>0</v>
      </c>
      <c r="G39" s="298" t="s">
        <v>387</v>
      </c>
      <c r="H39" s="298" t="s">
        <v>388</v>
      </c>
      <c r="I39" s="301">
        <v>0</v>
      </c>
      <c r="J39" s="416" t="str">
        <f>B35</f>
        <v>Reactant11</v>
      </c>
      <c r="K39" s="301">
        <v>0</v>
      </c>
      <c r="L39" s="301">
        <v>0</v>
      </c>
      <c r="M39" s="301">
        <v>0</v>
      </c>
      <c r="N39" s="301">
        <v>0</v>
      </c>
      <c r="O39" s="301">
        <v>0</v>
      </c>
      <c r="P39" s="299">
        <v>0</v>
      </c>
      <c r="Q39" s="50" t="s">
        <v>214</v>
      </c>
      <c r="R39" s="50" t="s">
        <v>214</v>
      </c>
      <c r="S39" s="50" t="s">
        <v>214</v>
      </c>
      <c r="T39" s="299" t="s">
        <v>214</v>
      </c>
      <c r="U39" s="302">
        <v>0</v>
      </c>
      <c r="V39" s="302">
        <v>0</v>
      </c>
      <c r="W39" s="302">
        <v>0</v>
      </c>
      <c r="X39" s="303">
        <v>0</v>
      </c>
      <c r="Y39" s="50">
        <v>0</v>
      </c>
      <c r="Z39" s="50">
        <v>0</v>
      </c>
      <c r="AA39" s="50">
        <v>0</v>
      </c>
      <c r="AB39" s="299">
        <v>0</v>
      </c>
      <c r="AC39" s="304">
        <v>0</v>
      </c>
      <c r="AD39" s="304">
        <v>0</v>
      </c>
      <c r="AE39" s="304">
        <v>0</v>
      </c>
      <c r="AF39" s="305">
        <v>0</v>
      </c>
      <c r="AG39" s="304">
        <v>0</v>
      </c>
      <c r="AH39" s="304">
        <v>0</v>
      </c>
      <c r="AI39" s="304">
        <v>0</v>
      </c>
      <c r="AJ39" s="305">
        <v>0</v>
      </c>
      <c r="AK39" s="304">
        <v>0</v>
      </c>
      <c r="AL39" s="304">
        <v>0</v>
      </c>
      <c r="AM39" s="304">
        <v>0</v>
      </c>
      <c r="AN39" s="305">
        <v>0</v>
      </c>
      <c r="AO39" s="309" t="s">
        <v>270</v>
      </c>
      <c r="AP39" s="309" t="s">
        <v>190</v>
      </c>
      <c r="AQ39" s="309" t="s">
        <v>190</v>
      </c>
      <c r="AR39" s="310" t="s">
        <v>190</v>
      </c>
      <c r="AS39" s="309" t="s">
        <v>261</v>
      </c>
      <c r="AT39" s="50" t="s">
        <v>263</v>
      </c>
      <c r="AU39" s="50">
        <v>0</v>
      </c>
      <c r="AV39" s="299" t="s">
        <v>261</v>
      </c>
      <c r="AW39" s="309" t="s">
        <v>264</v>
      </c>
      <c r="AX39" s="309" t="s">
        <v>264</v>
      </c>
      <c r="AY39" s="309" t="s">
        <v>264</v>
      </c>
      <c r="AZ39" s="310" t="s">
        <v>264</v>
      </c>
      <c r="BA39" s="50">
        <v>0</v>
      </c>
      <c r="BB39" s="50">
        <v>0</v>
      </c>
      <c r="BC39" s="50">
        <v>0</v>
      </c>
      <c r="BD39" s="299">
        <v>0</v>
      </c>
      <c r="BE39" s="50">
        <v>0</v>
      </c>
      <c r="BF39" s="50">
        <v>0</v>
      </c>
      <c r="BG39" s="50">
        <v>0</v>
      </c>
      <c r="BH39" s="299">
        <v>0</v>
      </c>
      <c r="BI39" s="50">
        <v>0</v>
      </c>
      <c r="BJ39" s="50">
        <v>0</v>
      </c>
      <c r="BK39" s="50">
        <v>0</v>
      </c>
      <c r="BL39" s="299">
        <v>0</v>
      </c>
      <c r="BM39" s="50">
        <v>0</v>
      </c>
      <c r="BN39" s="50">
        <v>0</v>
      </c>
      <c r="BO39" s="50">
        <v>0</v>
      </c>
      <c r="BP39" s="299">
        <v>0</v>
      </c>
      <c r="BQ39" s="306" t="s">
        <v>261</v>
      </c>
      <c r="BR39" s="306" t="s">
        <v>261</v>
      </c>
      <c r="BS39" s="306" t="s">
        <v>261</v>
      </c>
      <c r="BT39" s="307" t="s">
        <v>261</v>
      </c>
      <c r="BU39" s="308">
        <v>0</v>
      </c>
      <c r="BV39" s="308">
        <v>0</v>
      </c>
      <c r="BW39" s="308">
        <v>0</v>
      </c>
      <c r="BX39" s="300">
        <v>0</v>
      </c>
      <c r="BY39" s="304">
        <v>0</v>
      </c>
      <c r="BZ39" s="304">
        <v>0</v>
      </c>
      <c r="CA39" s="304">
        <v>0</v>
      </c>
      <c r="CB39" s="304">
        <v>0</v>
      </c>
    </row>
    <row r="40" spans="1:80" s="50" customFormat="1" x14ac:dyDescent="0.35">
      <c r="A40" s="522"/>
      <c r="B40" s="294" t="s">
        <v>282</v>
      </c>
      <c r="C40" s="295" t="s">
        <v>13</v>
      </c>
      <c r="D40" s="296" t="s">
        <v>368</v>
      </c>
      <c r="E40" s="6">
        <v>0</v>
      </c>
      <c r="F40" s="297">
        <v>0</v>
      </c>
      <c r="G40" s="298" t="s">
        <v>387</v>
      </c>
      <c r="H40" s="298" t="s">
        <v>388</v>
      </c>
      <c r="I40" s="301">
        <v>0</v>
      </c>
      <c r="J40" s="416" t="str">
        <f>B35</f>
        <v>Reactant11</v>
      </c>
      <c r="K40" s="301">
        <v>0</v>
      </c>
      <c r="L40" s="301">
        <v>0</v>
      </c>
      <c r="M40" s="301">
        <v>0</v>
      </c>
      <c r="N40" s="301">
        <v>0</v>
      </c>
      <c r="O40" s="301">
        <v>0</v>
      </c>
      <c r="P40" s="299">
        <v>0</v>
      </c>
      <c r="Q40" s="50" t="s">
        <v>214</v>
      </c>
      <c r="R40" s="50" t="s">
        <v>214</v>
      </c>
      <c r="S40" s="50" t="s">
        <v>214</v>
      </c>
      <c r="T40" s="299" t="s">
        <v>214</v>
      </c>
      <c r="U40" s="302">
        <v>0</v>
      </c>
      <c r="V40" s="302">
        <v>0</v>
      </c>
      <c r="W40" s="302">
        <v>0</v>
      </c>
      <c r="X40" s="303">
        <v>0</v>
      </c>
      <c r="Y40" s="50">
        <v>0</v>
      </c>
      <c r="Z40" s="50">
        <v>0</v>
      </c>
      <c r="AA40" s="50">
        <v>0</v>
      </c>
      <c r="AB40" s="299">
        <v>0</v>
      </c>
      <c r="AC40" s="304">
        <v>0</v>
      </c>
      <c r="AD40" s="304">
        <v>0</v>
      </c>
      <c r="AE40" s="304">
        <v>0</v>
      </c>
      <c r="AF40" s="305">
        <v>0</v>
      </c>
      <c r="AG40" s="304">
        <v>0</v>
      </c>
      <c r="AH40" s="304">
        <v>0</v>
      </c>
      <c r="AI40" s="304">
        <v>0</v>
      </c>
      <c r="AJ40" s="305">
        <v>0</v>
      </c>
      <c r="AK40" s="304">
        <v>0</v>
      </c>
      <c r="AL40" s="304">
        <v>0</v>
      </c>
      <c r="AM40" s="304">
        <v>0</v>
      </c>
      <c r="AN40" s="305">
        <v>0</v>
      </c>
      <c r="AO40" s="309" t="s">
        <v>190</v>
      </c>
      <c r="AP40" s="308" t="s">
        <v>190</v>
      </c>
      <c r="AQ40" s="309" t="s">
        <v>190</v>
      </c>
      <c r="AR40" s="299" t="s">
        <v>190</v>
      </c>
      <c r="AS40" s="309" t="s">
        <v>261</v>
      </c>
      <c r="AT40" s="50" t="s">
        <v>263</v>
      </c>
      <c r="AU40" s="50">
        <v>0</v>
      </c>
      <c r="AV40" s="299" t="s">
        <v>261</v>
      </c>
      <c r="AW40" s="309" t="s">
        <v>264</v>
      </c>
      <c r="AX40" s="309" t="s">
        <v>264</v>
      </c>
      <c r="AY40" s="309" t="s">
        <v>264</v>
      </c>
      <c r="AZ40" s="310" t="s">
        <v>264</v>
      </c>
      <c r="BA40" s="50">
        <v>0</v>
      </c>
      <c r="BB40" s="50">
        <v>0</v>
      </c>
      <c r="BC40" s="50">
        <v>0</v>
      </c>
      <c r="BD40" s="299">
        <v>0</v>
      </c>
      <c r="BE40" s="50">
        <v>0</v>
      </c>
      <c r="BF40" s="50">
        <v>0</v>
      </c>
      <c r="BG40" s="50">
        <v>0</v>
      </c>
      <c r="BH40" s="299">
        <v>0</v>
      </c>
      <c r="BI40" s="50">
        <v>0</v>
      </c>
      <c r="BJ40" s="50">
        <v>0</v>
      </c>
      <c r="BK40" s="50">
        <v>0</v>
      </c>
      <c r="BL40" s="299">
        <v>0</v>
      </c>
      <c r="BM40" s="50">
        <v>0</v>
      </c>
      <c r="BN40" s="50">
        <v>0</v>
      </c>
      <c r="BO40" s="50">
        <v>0</v>
      </c>
      <c r="BP40" s="299">
        <v>0</v>
      </c>
      <c r="BQ40" s="306" t="s">
        <v>261</v>
      </c>
      <c r="BR40" s="306" t="s">
        <v>261</v>
      </c>
      <c r="BS40" s="306" t="s">
        <v>261</v>
      </c>
      <c r="BT40" s="307" t="s">
        <v>261</v>
      </c>
      <c r="BU40" s="308">
        <v>0</v>
      </c>
      <c r="BV40" s="308">
        <v>0</v>
      </c>
      <c r="BW40" s="308">
        <v>0</v>
      </c>
      <c r="BX40" s="300">
        <v>0</v>
      </c>
      <c r="BY40" s="304">
        <v>0</v>
      </c>
      <c r="BZ40" s="304">
        <v>0</v>
      </c>
      <c r="CA40" s="304">
        <v>0</v>
      </c>
      <c r="CB40" s="304">
        <v>0</v>
      </c>
    </row>
    <row r="41" spans="1:80" s="50" customFormat="1" x14ac:dyDescent="0.35">
      <c r="A41" s="522"/>
      <c r="B41" s="294" t="s">
        <v>282</v>
      </c>
      <c r="C41" s="295" t="s">
        <v>13</v>
      </c>
      <c r="D41" s="296" t="s">
        <v>369</v>
      </c>
      <c r="E41" s="6">
        <v>0</v>
      </c>
      <c r="F41" s="297">
        <v>0</v>
      </c>
      <c r="G41" s="298" t="s">
        <v>387</v>
      </c>
      <c r="H41" s="298" t="s">
        <v>388</v>
      </c>
      <c r="I41" s="301">
        <v>0</v>
      </c>
      <c r="J41" s="416" t="str">
        <f>B35</f>
        <v>Reactant11</v>
      </c>
      <c r="K41" s="301">
        <v>0</v>
      </c>
      <c r="L41" s="301">
        <v>0</v>
      </c>
      <c r="M41" s="301">
        <v>0</v>
      </c>
      <c r="N41" s="301">
        <v>0</v>
      </c>
      <c r="O41" s="301">
        <v>0</v>
      </c>
      <c r="P41" s="299">
        <v>0</v>
      </c>
      <c r="Q41" s="50" t="s">
        <v>214</v>
      </c>
      <c r="R41" s="50" t="s">
        <v>214</v>
      </c>
      <c r="S41" s="50" t="s">
        <v>214</v>
      </c>
      <c r="T41" s="299" t="s">
        <v>214</v>
      </c>
      <c r="U41" s="302">
        <v>0</v>
      </c>
      <c r="V41" s="302">
        <v>0</v>
      </c>
      <c r="W41" s="302">
        <v>0</v>
      </c>
      <c r="X41" s="303">
        <v>0</v>
      </c>
      <c r="Y41" s="50">
        <v>0</v>
      </c>
      <c r="Z41" s="50">
        <v>0</v>
      </c>
      <c r="AA41" s="50">
        <v>0</v>
      </c>
      <c r="AB41" s="299">
        <v>0</v>
      </c>
      <c r="AC41" s="304">
        <v>0</v>
      </c>
      <c r="AD41" s="304">
        <v>0</v>
      </c>
      <c r="AE41" s="304">
        <v>0</v>
      </c>
      <c r="AF41" s="305">
        <v>0</v>
      </c>
      <c r="AG41" s="304">
        <v>0</v>
      </c>
      <c r="AH41" s="304">
        <v>0</v>
      </c>
      <c r="AI41" s="304">
        <v>0</v>
      </c>
      <c r="AJ41" s="305">
        <v>0</v>
      </c>
      <c r="AK41" s="304">
        <v>0</v>
      </c>
      <c r="AL41" s="304">
        <v>0</v>
      </c>
      <c r="AM41" s="304">
        <v>0</v>
      </c>
      <c r="AN41" s="305">
        <v>0</v>
      </c>
      <c r="AO41" s="309">
        <v>0</v>
      </c>
      <c r="AP41" s="309">
        <v>0</v>
      </c>
      <c r="AQ41" s="309">
        <v>0</v>
      </c>
      <c r="AR41" s="310">
        <v>0</v>
      </c>
      <c r="AS41" s="309">
        <v>0</v>
      </c>
      <c r="AT41" s="309">
        <v>0</v>
      </c>
      <c r="AU41" s="309">
        <v>0</v>
      </c>
      <c r="AV41" s="310">
        <v>0</v>
      </c>
      <c r="AW41" s="309">
        <v>0</v>
      </c>
      <c r="AX41" s="309">
        <v>0</v>
      </c>
      <c r="AY41" s="309">
        <v>0</v>
      </c>
      <c r="AZ41" s="310">
        <v>0</v>
      </c>
      <c r="BA41" s="309">
        <v>0</v>
      </c>
      <c r="BB41" s="309">
        <v>0</v>
      </c>
      <c r="BC41" s="309">
        <v>0</v>
      </c>
      <c r="BD41" s="310">
        <v>0</v>
      </c>
      <c r="BE41" s="309">
        <v>0</v>
      </c>
      <c r="BF41" s="309">
        <v>0</v>
      </c>
      <c r="BG41" s="309">
        <v>0</v>
      </c>
      <c r="BH41" s="310">
        <v>0</v>
      </c>
      <c r="BI41" s="50">
        <v>0</v>
      </c>
      <c r="BJ41" s="50">
        <v>0</v>
      </c>
      <c r="BK41" s="50">
        <v>0</v>
      </c>
      <c r="BL41" s="299">
        <v>0</v>
      </c>
      <c r="BM41" s="309">
        <v>0</v>
      </c>
      <c r="BN41" s="309">
        <v>0</v>
      </c>
      <c r="BO41" s="309">
        <v>0</v>
      </c>
      <c r="BP41" s="310">
        <v>0</v>
      </c>
      <c r="BQ41" s="309" t="s">
        <v>261</v>
      </c>
      <c r="BR41" s="309" t="s">
        <v>261</v>
      </c>
      <c r="BS41" s="309" t="s">
        <v>261</v>
      </c>
      <c r="BT41" s="310" t="s">
        <v>261</v>
      </c>
      <c r="BU41" s="308">
        <v>0</v>
      </c>
      <c r="BV41" s="308">
        <v>0</v>
      </c>
      <c r="BW41" s="308">
        <v>0</v>
      </c>
      <c r="BX41" s="300">
        <v>0</v>
      </c>
      <c r="BY41" s="304">
        <v>0</v>
      </c>
      <c r="BZ41" s="304">
        <v>0</v>
      </c>
      <c r="CA41" s="304">
        <v>0</v>
      </c>
      <c r="CB41" s="304">
        <v>0</v>
      </c>
    </row>
    <row r="42" spans="1:80" s="50" customFormat="1" x14ac:dyDescent="0.35">
      <c r="A42" s="522"/>
      <c r="B42" s="294" t="s">
        <v>282</v>
      </c>
      <c r="C42" s="295" t="s">
        <v>13</v>
      </c>
      <c r="D42" s="296" t="s">
        <v>370</v>
      </c>
      <c r="E42" s="6">
        <v>0</v>
      </c>
      <c r="F42" s="297">
        <v>0</v>
      </c>
      <c r="G42" s="298" t="s">
        <v>387</v>
      </c>
      <c r="H42" s="298" t="s">
        <v>388</v>
      </c>
      <c r="I42" s="301">
        <v>0</v>
      </c>
      <c r="J42" s="416" t="str">
        <f>B35</f>
        <v>Reactant11</v>
      </c>
      <c r="K42" s="301">
        <v>0</v>
      </c>
      <c r="L42" s="301">
        <v>0</v>
      </c>
      <c r="M42" s="301">
        <v>0</v>
      </c>
      <c r="N42" s="301">
        <v>0</v>
      </c>
      <c r="O42" s="301">
        <v>0</v>
      </c>
      <c r="P42" s="299">
        <v>0</v>
      </c>
      <c r="Q42" s="50" t="s">
        <v>214</v>
      </c>
      <c r="R42" s="50" t="s">
        <v>214</v>
      </c>
      <c r="S42" s="50" t="s">
        <v>214</v>
      </c>
      <c r="T42" s="299" t="s">
        <v>214</v>
      </c>
      <c r="U42" s="302">
        <v>0</v>
      </c>
      <c r="V42" s="302">
        <v>0</v>
      </c>
      <c r="W42" s="302">
        <v>0</v>
      </c>
      <c r="X42" s="303">
        <v>0</v>
      </c>
      <c r="Y42" s="50">
        <v>0</v>
      </c>
      <c r="Z42" s="50">
        <v>0</v>
      </c>
      <c r="AA42" s="50">
        <v>0</v>
      </c>
      <c r="AB42" s="299">
        <v>0</v>
      </c>
      <c r="AC42" s="304">
        <v>0</v>
      </c>
      <c r="AD42" s="304">
        <v>0</v>
      </c>
      <c r="AE42" s="304">
        <v>0</v>
      </c>
      <c r="AF42" s="305">
        <v>0</v>
      </c>
      <c r="AG42" s="304">
        <v>0</v>
      </c>
      <c r="AH42" s="304">
        <v>0</v>
      </c>
      <c r="AI42" s="304">
        <v>0</v>
      </c>
      <c r="AJ42" s="305">
        <v>0</v>
      </c>
      <c r="AK42" s="304">
        <v>0</v>
      </c>
      <c r="AL42" s="304">
        <v>0</v>
      </c>
      <c r="AM42" s="304">
        <v>0</v>
      </c>
      <c r="AN42" s="305">
        <v>0</v>
      </c>
      <c r="AO42" s="309">
        <v>0</v>
      </c>
      <c r="AP42" s="309">
        <v>0</v>
      </c>
      <c r="AQ42" s="309">
        <v>0</v>
      </c>
      <c r="AR42" s="310">
        <v>0</v>
      </c>
      <c r="AS42" s="309">
        <v>0</v>
      </c>
      <c r="AT42" s="309">
        <v>0</v>
      </c>
      <c r="AU42" s="309">
        <v>0</v>
      </c>
      <c r="AV42" s="310">
        <v>0</v>
      </c>
      <c r="AW42" s="309">
        <v>0</v>
      </c>
      <c r="AX42" s="309">
        <v>0</v>
      </c>
      <c r="AY42" s="309">
        <v>0</v>
      </c>
      <c r="AZ42" s="310">
        <v>0</v>
      </c>
      <c r="BA42" s="309">
        <v>0</v>
      </c>
      <c r="BB42" s="309">
        <v>0</v>
      </c>
      <c r="BC42" s="309">
        <v>0</v>
      </c>
      <c r="BD42" s="310">
        <v>0</v>
      </c>
      <c r="BE42" s="309">
        <v>0</v>
      </c>
      <c r="BF42" s="309">
        <v>0</v>
      </c>
      <c r="BG42" s="309">
        <v>0</v>
      </c>
      <c r="BH42" s="310">
        <v>0</v>
      </c>
      <c r="BI42" s="50">
        <v>0</v>
      </c>
      <c r="BJ42" s="50">
        <v>0</v>
      </c>
      <c r="BK42" s="50">
        <v>0</v>
      </c>
      <c r="BL42" s="299">
        <v>0</v>
      </c>
      <c r="BM42" s="309">
        <v>0</v>
      </c>
      <c r="BN42" s="309">
        <v>0</v>
      </c>
      <c r="BO42" s="309">
        <v>0</v>
      </c>
      <c r="BP42" s="310">
        <v>0</v>
      </c>
      <c r="BQ42" s="309" t="s">
        <v>261</v>
      </c>
      <c r="BR42" s="309" t="s">
        <v>261</v>
      </c>
      <c r="BS42" s="309" t="s">
        <v>261</v>
      </c>
      <c r="BT42" s="310" t="s">
        <v>261</v>
      </c>
      <c r="BU42" s="308">
        <v>0</v>
      </c>
      <c r="BV42" s="308">
        <v>0</v>
      </c>
      <c r="BW42" s="308">
        <v>0</v>
      </c>
      <c r="BX42" s="300">
        <v>0</v>
      </c>
      <c r="BY42" s="304">
        <v>0</v>
      </c>
      <c r="BZ42" s="304">
        <v>0</v>
      </c>
      <c r="CA42" s="304">
        <v>0</v>
      </c>
      <c r="CB42" s="304">
        <v>0</v>
      </c>
    </row>
    <row r="43" spans="1:80" s="50" customFormat="1" x14ac:dyDescent="0.35">
      <c r="A43" s="522"/>
      <c r="B43" s="294" t="s">
        <v>97</v>
      </c>
      <c r="C43" s="295" t="s">
        <v>92</v>
      </c>
      <c r="D43" s="296" t="s">
        <v>28</v>
      </c>
      <c r="E43" s="6">
        <v>0</v>
      </c>
      <c r="F43" s="297">
        <v>0</v>
      </c>
      <c r="G43" s="298" t="s">
        <v>393</v>
      </c>
      <c r="H43" s="298" t="s">
        <v>394</v>
      </c>
      <c r="I43" s="301">
        <v>0</v>
      </c>
      <c r="J43" s="416" t="str">
        <f>B38</f>
        <v>Product/Reactant12</v>
      </c>
      <c r="K43" s="301">
        <v>0</v>
      </c>
      <c r="L43" s="301">
        <v>0</v>
      </c>
      <c r="M43" s="419">
        <v>0</v>
      </c>
      <c r="N43" s="301">
        <v>0</v>
      </c>
      <c r="O43" s="301">
        <v>0</v>
      </c>
      <c r="P43" s="299">
        <v>0</v>
      </c>
      <c r="Q43" s="50" t="s">
        <v>215</v>
      </c>
      <c r="R43" s="50" t="s">
        <v>215</v>
      </c>
      <c r="S43" s="50" t="s">
        <v>215</v>
      </c>
      <c r="T43" s="299" t="s">
        <v>215</v>
      </c>
      <c r="U43" s="50">
        <v>0</v>
      </c>
      <c r="V43" s="50">
        <v>0</v>
      </c>
      <c r="W43" s="50">
        <v>0</v>
      </c>
      <c r="X43" s="299">
        <v>0</v>
      </c>
      <c r="Y43" s="50">
        <v>0</v>
      </c>
      <c r="Z43" s="50">
        <v>0</v>
      </c>
      <c r="AA43" s="50">
        <v>0</v>
      </c>
      <c r="AB43" s="299">
        <v>0</v>
      </c>
      <c r="AC43" s="304">
        <v>0</v>
      </c>
      <c r="AD43" s="304">
        <v>0</v>
      </c>
      <c r="AE43" s="304">
        <v>0</v>
      </c>
      <c r="AF43" s="305">
        <v>0</v>
      </c>
      <c r="AG43" s="304">
        <v>0</v>
      </c>
      <c r="AH43" s="304">
        <v>0</v>
      </c>
      <c r="AI43" s="304">
        <v>0</v>
      </c>
      <c r="AJ43" s="305">
        <v>0</v>
      </c>
      <c r="AK43" s="304">
        <v>0</v>
      </c>
      <c r="AL43" s="304">
        <v>0</v>
      </c>
      <c r="AM43" s="304">
        <v>0</v>
      </c>
      <c r="AN43" s="305">
        <v>0</v>
      </c>
      <c r="AO43" s="50">
        <v>0</v>
      </c>
      <c r="AP43" s="50">
        <v>0</v>
      </c>
      <c r="AQ43" s="50">
        <v>0</v>
      </c>
      <c r="AR43" s="299">
        <v>0</v>
      </c>
      <c r="AS43" s="50">
        <v>0</v>
      </c>
      <c r="AT43" s="50">
        <v>0</v>
      </c>
      <c r="AU43" s="50">
        <v>0</v>
      </c>
      <c r="AV43" s="299">
        <v>0</v>
      </c>
      <c r="AW43" s="50">
        <v>0</v>
      </c>
      <c r="AX43" s="50">
        <v>0</v>
      </c>
      <c r="AY43" s="50">
        <v>0</v>
      </c>
      <c r="AZ43" s="299">
        <v>0</v>
      </c>
      <c r="BA43" s="50">
        <v>0</v>
      </c>
      <c r="BB43" s="50">
        <v>0</v>
      </c>
      <c r="BC43" s="50">
        <v>0</v>
      </c>
      <c r="BD43" s="299">
        <v>0</v>
      </c>
      <c r="BE43" s="50">
        <v>0</v>
      </c>
      <c r="BF43" s="50">
        <v>0</v>
      </c>
      <c r="BG43" s="50">
        <v>0</v>
      </c>
      <c r="BH43" s="299">
        <v>0</v>
      </c>
      <c r="BI43" s="50">
        <v>0</v>
      </c>
      <c r="BJ43" s="50">
        <v>0</v>
      </c>
      <c r="BK43" s="50">
        <v>0</v>
      </c>
      <c r="BL43" s="299">
        <v>0</v>
      </c>
      <c r="BM43" s="315">
        <v>0</v>
      </c>
      <c r="BN43" s="309">
        <v>0</v>
      </c>
      <c r="BO43" s="309">
        <v>0</v>
      </c>
      <c r="BP43" s="310">
        <v>0</v>
      </c>
      <c r="BQ43" s="50">
        <v>0</v>
      </c>
      <c r="BR43" s="50">
        <v>0</v>
      </c>
      <c r="BS43" s="50">
        <v>0</v>
      </c>
      <c r="BT43" s="299">
        <v>0</v>
      </c>
      <c r="BU43" s="308">
        <v>0</v>
      </c>
      <c r="BV43" s="308">
        <v>0</v>
      </c>
      <c r="BW43" s="308">
        <v>0</v>
      </c>
      <c r="BX43" s="300">
        <v>0</v>
      </c>
      <c r="BY43" s="304">
        <v>0</v>
      </c>
      <c r="BZ43" s="304">
        <v>0</v>
      </c>
      <c r="CA43" s="304">
        <v>0</v>
      </c>
      <c r="CB43" s="304">
        <v>0</v>
      </c>
    </row>
    <row r="44" spans="1:80" s="112" customFormat="1" x14ac:dyDescent="0.35">
      <c r="A44" s="522"/>
      <c r="B44" s="109" t="s">
        <v>19</v>
      </c>
      <c r="C44" s="117" t="s">
        <v>21</v>
      </c>
      <c r="D44" s="111" t="s">
        <v>26</v>
      </c>
      <c r="E44" s="6">
        <v>0</v>
      </c>
      <c r="F44" s="172">
        <v>0</v>
      </c>
      <c r="G44" s="185" t="s">
        <v>391</v>
      </c>
      <c r="H44" s="185" t="s">
        <v>392</v>
      </c>
      <c r="I44" s="317">
        <v>0</v>
      </c>
      <c r="J44" s="194" t="s">
        <v>12</v>
      </c>
      <c r="K44" s="194">
        <v>0</v>
      </c>
      <c r="L44" s="194">
        <v>0</v>
      </c>
      <c r="M44" s="194">
        <v>0</v>
      </c>
      <c r="N44" s="194">
        <v>0</v>
      </c>
      <c r="O44" s="194">
        <v>0</v>
      </c>
      <c r="P44" s="207">
        <v>0</v>
      </c>
      <c r="Q44" s="116">
        <v>0</v>
      </c>
      <c r="R44" s="116">
        <v>0</v>
      </c>
      <c r="S44" s="116">
        <v>0</v>
      </c>
      <c r="T44" s="229">
        <v>0</v>
      </c>
      <c r="U44" s="112">
        <v>0</v>
      </c>
      <c r="V44" s="112">
        <v>0</v>
      </c>
      <c r="W44" s="112">
        <v>0</v>
      </c>
      <c r="X44" s="207">
        <v>0</v>
      </c>
      <c r="Y44" s="112">
        <v>0</v>
      </c>
      <c r="Z44" s="112">
        <v>0</v>
      </c>
      <c r="AA44" s="112">
        <v>0</v>
      </c>
      <c r="AB44" s="207">
        <v>0</v>
      </c>
      <c r="AC44" s="115">
        <v>0</v>
      </c>
      <c r="AD44" s="115">
        <v>0</v>
      </c>
      <c r="AE44" s="115">
        <v>0</v>
      </c>
      <c r="AF44" s="220">
        <v>0</v>
      </c>
      <c r="AG44" s="115">
        <v>0</v>
      </c>
      <c r="AH44" s="115">
        <v>0</v>
      </c>
      <c r="AI44" s="115">
        <v>0</v>
      </c>
      <c r="AJ44" s="220">
        <v>0</v>
      </c>
      <c r="AK44" s="115">
        <v>0</v>
      </c>
      <c r="AL44" s="115">
        <v>0</v>
      </c>
      <c r="AM44" s="115">
        <v>0</v>
      </c>
      <c r="AN44" s="220">
        <v>0</v>
      </c>
      <c r="AO44" s="116">
        <v>0</v>
      </c>
      <c r="AP44" s="116">
        <v>0</v>
      </c>
      <c r="AQ44" s="116">
        <v>0</v>
      </c>
      <c r="AR44" s="229">
        <v>0</v>
      </c>
      <c r="AS44" s="116">
        <v>0</v>
      </c>
      <c r="AT44" s="116">
        <v>0</v>
      </c>
      <c r="AU44" s="116">
        <v>0</v>
      </c>
      <c r="AV44" s="229">
        <v>0</v>
      </c>
      <c r="AW44" s="116">
        <v>0</v>
      </c>
      <c r="AX44" s="116">
        <v>0</v>
      </c>
      <c r="AY44" s="116">
        <v>0</v>
      </c>
      <c r="AZ44" s="229">
        <v>0</v>
      </c>
      <c r="BA44" s="116">
        <v>0</v>
      </c>
      <c r="BB44" s="116">
        <v>0</v>
      </c>
      <c r="BC44" s="116">
        <v>0</v>
      </c>
      <c r="BD44" s="229">
        <v>0</v>
      </c>
      <c r="BE44" s="116">
        <v>0</v>
      </c>
      <c r="BF44" s="116">
        <v>0</v>
      </c>
      <c r="BG44" s="116">
        <v>0</v>
      </c>
      <c r="BH44" s="229">
        <v>0</v>
      </c>
      <c r="BI44" s="116">
        <v>0</v>
      </c>
      <c r="BJ44" s="116">
        <v>0</v>
      </c>
      <c r="BK44" s="116">
        <v>0</v>
      </c>
      <c r="BL44" s="229">
        <v>0</v>
      </c>
      <c r="BM44" s="116">
        <v>0</v>
      </c>
      <c r="BN44" s="116">
        <v>0</v>
      </c>
      <c r="BO44" s="116">
        <v>0</v>
      </c>
      <c r="BP44" s="229">
        <v>0</v>
      </c>
      <c r="BQ44" s="116">
        <v>0</v>
      </c>
      <c r="BR44" s="116">
        <v>0</v>
      </c>
      <c r="BS44" s="116">
        <v>0</v>
      </c>
      <c r="BT44" s="229">
        <v>0</v>
      </c>
      <c r="BU44" s="113">
        <v>0</v>
      </c>
      <c r="BV44" s="113">
        <v>0</v>
      </c>
      <c r="BW44" s="113">
        <v>0</v>
      </c>
      <c r="BX44" s="239">
        <v>0</v>
      </c>
      <c r="BY44" s="115">
        <v>0</v>
      </c>
      <c r="BZ44" s="115">
        <v>0</v>
      </c>
      <c r="CA44" s="115">
        <v>0</v>
      </c>
      <c r="CB44" s="115">
        <v>0</v>
      </c>
    </row>
    <row r="45" spans="1:80" s="112" customFormat="1" x14ac:dyDescent="0.35">
      <c r="A45" s="522"/>
      <c r="B45" s="109" t="s">
        <v>20</v>
      </c>
      <c r="C45" s="117" t="s">
        <v>22</v>
      </c>
      <c r="D45" s="111" t="s">
        <v>27</v>
      </c>
      <c r="E45" s="6">
        <v>0</v>
      </c>
      <c r="F45" s="172">
        <v>0</v>
      </c>
      <c r="G45" s="185" t="s">
        <v>391</v>
      </c>
      <c r="H45" s="185" t="s">
        <v>392</v>
      </c>
      <c r="I45" s="317">
        <v>0</v>
      </c>
      <c r="J45" s="194" t="s">
        <v>12</v>
      </c>
      <c r="K45" s="317">
        <v>0</v>
      </c>
      <c r="L45" s="194">
        <v>0</v>
      </c>
      <c r="M45" s="194">
        <v>0</v>
      </c>
      <c r="N45" s="317">
        <v>0</v>
      </c>
      <c r="O45" s="194">
        <v>0</v>
      </c>
      <c r="P45" s="207">
        <v>0</v>
      </c>
      <c r="Q45" s="116">
        <v>0</v>
      </c>
      <c r="R45" s="116">
        <v>0</v>
      </c>
      <c r="S45" s="116">
        <v>0</v>
      </c>
      <c r="T45" s="229">
        <v>0</v>
      </c>
      <c r="U45" s="112">
        <v>0</v>
      </c>
      <c r="V45" s="112">
        <v>0</v>
      </c>
      <c r="W45" s="112">
        <v>0</v>
      </c>
      <c r="X45" s="207">
        <v>0</v>
      </c>
      <c r="Y45" s="112">
        <v>0</v>
      </c>
      <c r="Z45" s="112">
        <v>0</v>
      </c>
      <c r="AA45" s="112">
        <v>0</v>
      </c>
      <c r="AB45" s="207">
        <v>0</v>
      </c>
      <c r="AC45" s="115">
        <v>0</v>
      </c>
      <c r="AD45" s="115">
        <v>0</v>
      </c>
      <c r="AE45" s="115">
        <v>0</v>
      </c>
      <c r="AF45" s="220">
        <v>0</v>
      </c>
      <c r="AG45" s="115">
        <v>0</v>
      </c>
      <c r="AH45" s="115">
        <v>0</v>
      </c>
      <c r="AI45" s="115">
        <v>0</v>
      </c>
      <c r="AJ45" s="220">
        <v>0</v>
      </c>
      <c r="AK45" s="115">
        <v>0</v>
      </c>
      <c r="AL45" s="115">
        <v>0</v>
      </c>
      <c r="AM45" s="115">
        <v>0</v>
      </c>
      <c r="AN45" s="220">
        <v>0</v>
      </c>
      <c r="AO45" s="116">
        <v>0</v>
      </c>
      <c r="AP45" s="116">
        <v>0</v>
      </c>
      <c r="AQ45" s="116">
        <v>0</v>
      </c>
      <c r="AR45" s="229">
        <v>0</v>
      </c>
      <c r="AS45" s="116">
        <v>0</v>
      </c>
      <c r="AT45" s="116">
        <v>0</v>
      </c>
      <c r="AU45" s="116">
        <v>0</v>
      </c>
      <c r="AV45" s="229">
        <v>0</v>
      </c>
      <c r="AW45" s="116">
        <v>0</v>
      </c>
      <c r="AX45" s="116">
        <v>0</v>
      </c>
      <c r="AY45" s="116">
        <v>0</v>
      </c>
      <c r="AZ45" s="229">
        <v>0</v>
      </c>
      <c r="BA45" s="116">
        <v>0</v>
      </c>
      <c r="BB45" s="116">
        <v>0</v>
      </c>
      <c r="BC45" s="116">
        <v>0</v>
      </c>
      <c r="BD45" s="229">
        <v>0</v>
      </c>
      <c r="BE45" s="318">
        <v>0</v>
      </c>
      <c r="BF45" s="318">
        <v>0</v>
      </c>
      <c r="BG45" s="116">
        <v>0</v>
      </c>
      <c r="BH45" s="319">
        <v>0</v>
      </c>
      <c r="BI45" s="116">
        <v>0</v>
      </c>
      <c r="BJ45" s="116">
        <v>0</v>
      </c>
      <c r="BK45" s="116">
        <v>0</v>
      </c>
      <c r="BL45" s="229">
        <v>0</v>
      </c>
      <c r="BM45" s="116">
        <v>0</v>
      </c>
      <c r="BN45" s="116">
        <v>0</v>
      </c>
      <c r="BO45" s="116">
        <v>0</v>
      </c>
      <c r="BP45" s="229">
        <v>0</v>
      </c>
      <c r="BQ45" s="116">
        <v>0</v>
      </c>
      <c r="BR45" s="116">
        <v>0</v>
      </c>
      <c r="BS45" s="116">
        <v>0</v>
      </c>
      <c r="BT45" s="229">
        <v>0</v>
      </c>
      <c r="BU45" s="113">
        <v>0</v>
      </c>
      <c r="BV45" s="113">
        <v>0</v>
      </c>
      <c r="BW45" s="113">
        <v>0</v>
      </c>
      <c r="BX45" s="239">
        <v>0</v>
      </c>
      <c r="BY45" s="115">
        <v>0</v>
      </c>
      <c r="BZ45" s="115">
        <v>0</v>
      </c>
      <c r="CA45" s="115">
        <v>0</v>
      </c>
      <c r="CB45" s="115">
        <v>0</v>
      </c>
    </row>
    <row r="46" spans="1:80" s="112" customFormat="1" x14ac:dyDescent="0.35">
      <c r="A46" s="522"/>
      <c r="B46" s="320" t="s">
        <v>184</v>
      </c>
      <c r="C46" s="117" t="s">
        <v>286</v>
      </c>
      <c r="D46" s="111" t="s">
        <v>281</v>
      </c>
      <c r="E46" s="6">
        <v>0</v>
      </c>
      <c r="F46" s="172">
        <v>0</v>
      </c>
      <c r="G46" s="185" t="s">
        <v>391</v>
      </c>
      <c r="H46" s="185" t="s">
        <v>392</v>
      </c>
      <c r="I46" s="317">
        <v>0</v>
      </c>
      <c r="J46" s="194" t="s">
        <v>12</v>
      </c>
      <c r="K46" s="317">
        <v>0</v>
      </c>
      <c r="L46" s="317">
        <v>0</v>
      </c>
      <c r="M46" s="317">
        <v>0</v>
      </c>
      <c r="N46" s="317">
        <v>0</v>
      </c>
      <c r="O46" s="317">
        <v>0</v>
      </c>
      <c r="P46" s="207">
        <v>0</v>
      </c>
      <c r="Q46" s="116">
        <v>0</v>
      </c>
      <c r="R46" s="116">
        <v>0</v>
      </c>
      <c r="S46" s="116">
        <v>0</v>
      </c>
      <c r="T46" s="229">
        <v>0</v>
      </c>
      <c r="U46" s="116">
        <v>0</v>
      </c>
      <c r="V46" s="116">
        <v>0</v>
      </c>
      <c r="W46" s="116">
        <v>0</v>
      </c>
      <c r="X46" s="229">
        <v>0</v>
      </c>
      <c r="Y46" s="116">
        <v>0</v>
      </c>
      <c r="Z46" s="116">
        <v>0</v>
      </c>
      <c r="AA46" s="116">
        <v>0</v>
      </c>
      <c r="AB46" s="229">
        <v>0</v>
      </c>
      <c r="AC46" s="115">
        <v>0</v>
      </c>
      <c r="AD46" s="115">
        <v>0</v>
      </c>
      <c r="AE46" s="115">
        <v>0</v>
      </c>
      <c r="AF46" s="220">
        <v>0</v>
      </c>
      <c r="AG46" s="115">
        <v>0</v>
      </c>
      <c r="AH46" s="115">
        <v>0</v>
      </c>
      <c r="AI46" s="115">
        <v>0</v>
      </c>
      <c r="AJ46" s="220">
        <v>0</v>
      </c>
      <c r="AK46" s="115">
        <v>0</v>
      </c>
      <c r="AL46" s="115">
        <v>0</v>
      </c>
      <c r="AM46" s="115">
        <v>0</v>
      </c>
      <c r="AN46" s="220">
        <v>0</v>
      </c>
      <c r="AO46" s="116">
        <v>0</v>
      </c>
      <c r="AP46" s="116">
        <v>0</v>
      </c>
      <c r="AQ46" s="116">
        <v>0</v>
      </c>
      <c r="AR46" s="229">
        <v>0</v>
      </c>
      <c r="AS46" s="116">
        <v>0</v>
      </c>
      <c r="AT46" s="116">
        <v>0</v>
      </c>
      <c r="AU46" s="116">
        <v>0</v>
      </c>
      <c r="AV46" s="229">
        <v>0</v>
      </c>
      <c r="AW46" s="116">
        <v>0</v>
      </c>
      <c r="AX46" s="116">
        <v>0</v>
      </c>
      <c r="AY46" s="116">
        <v>0</v>
      </c>
      <c r="AZ46" s="229">
        <v>0</v>
      </c>
      <c r="BA46" s="116">
        <v>0</v>
      </c>
      <c r="BB46" s="116">
        <v>0</v>
      </c>
      <c r="BC46" s="116">
        <v>0</v>
      </c>
      <c r="BD46" s="229">
        <v>0</v>
      </c>
      <c r="BE46" s="318">
        <v>0</v>
      </c>
      <c r="BF46" s="318">
        <v>0</v>
      </c>
      <c r="BG46" s="318">
        <v>0</v>
      </c>
      <c r="BH46" s="319">
        <v>0</v>
      </c>
      <c r="BI46" s="116">
        <v>0</v>
      </c>
      <c r="BJ46" s="116">
        <v>0</v>
      </c>
      <c r="BK46" s="116">
        <v>0</v>
      </c>
      <c r="BL46" s="229">
        <v>0</v>
      </c>
      <c r="BM46" s="116">
        <v>0</v>
      </c>
      <c r="BN46" s="116">
        <v>0</v>
      </c>
      <c r="BO46" s="116">
        <v>0</v>
      </c>
      <c r="BP46" s="229">
        <v>0</v>
      </c>
      <c r="BQ46" s="116">
        <v>0</v>
      </c>
      <c r="BR46" s="116">
        <v>0</v>
      </c>
      <c r="BS46" s="116">
        <v>0</v>
      </c>
      <c r="BT46" s="229">
        <v>0</v>
      </c>
      <c r="BU46" s="113">
        <v>0</v>
      </c>
      <c r="BV46" s="113">
        <v>0</v>
      </c>
      <c r="BW46" s="113">
        <v>0</v>
      </c>
      <c r="BX46" s="239">
        <v>0</v>
      </c>
      <c r="BY46" s="115">
        <v>0</v>
      </c>
      <c r="BZ46" s="115">
        <v>0</v>
      </c>
      <c r="CA46" s="115">
        <v>0</v>
      </c>
      <c r="CB46" s="115">
        <v>0</v>
      </c>
    </row>
    <row r="47" spans="1:80" s="122" customFormat="1" x14ac:dyDescent="0.35">
      <c r="A47" s="522"/>
      <c r="B47" s="118" t="s">
        <v>14</v>
      </c>
      <c r="C47" s="321" t="s">
        <v>184</v>
      </c>
      <c r="D47" s="120" t="s">
        <v>29</v>
      </c>
      <c r="E47" s="6">
        <v>0</v>
      </c>
      <c r="F47" s="173">
        <v>0</v>
      </c>
      <c r="G47" s="186" t="s">
        <v>387</v>
      </c>
      <c r="H47" s="186" t="s">
        <v>388</v>
      </c>
      <c r="I47" s="198">
        <v>0</v>
      </c>
      <c r="J47" s="198" t="s">
        <v>12</v>
      </c>
      <c r="K47" s="198">
        <v>0</v>
      </c>
      <c r="L47" s="198">
        <v>0</v>
      </c>
      <c r="M47" s="323">
        <v>0</v>
      </c>
      <c r="N47" s="323">
        <v>0</v>
      </c>
      <c r="O47" s="198">
        <v>0</v>
      </c>
      <c r="P47" s="230">
        <v>0</v>
      </c>
      <c r="Q47" s="122">
        <v>0</v>
      </c>
      <c r="R47" s="122">
        <v>0</v>
      </c>
      <c r="S47" s="122">
        <v>0</v>
      </c>
      <c r="T47" s="230">
        <v>0</v>
      </c>
      <c r="U47" s="122">
        <v>0</v>
      </c>
      <c r="V47" s="122">
        <v>0</v>
      </c>
      <c r="W47" s="122">
        <v>0</v>
      </c>
      <c r="X47" s="230">
        <v>0</v>
      </c>
      <c r="Y47" s="122">
        <v>0</v>
      </c>
      <c r="Z47" s="122">
        <v>0</v>
      </c>
      <c r="AA47" s="122">
        <v>0</v>
      </c>
      <c r="AB47" s="230">
        <v>0</v>
      </c>
      <c r="AC47" s="125">
        <v>0</v>
      </c>
      <c r="AD47" s="125">
        <v>0</v>
      </c>
      <c r="AE47" s="125">
        <v>0</v>
      </c>
      <c r="AF47" s="221">
        <v>0</v>
      </c>
      <c r="AG47" s="125">
        <v>0</v>
      </c>
      <c r="AH47" s="125">
        <v>0</v>
      </c>
      <c r="AI47" s="125">
        <v>0</v>
      </c>
      <c r="AJ47" s="221">
        <v>0</v>
      </c>
      <c r="AK47" s="125">
        <v>0</v>
      </c>
      <c r="AL47" s="125">
        <v>0</v>
      </c>
      <c r="AM47" s="125">
        <v>0</v>
      </c>
      <c r="AN47" s="221">
        <v>0</v>
      </c>
      <c r="AO47" s="122" t="s">
        <v>358</v>
      </c>
      <c r="AP47" s="122" t="s">
        <v>358</v>
      </c>
      <c r="AQ47" s="122" t="s">
        <v>358</v>
      </c>
      <c r="AR47" s="230" t="s">
        <v>358</v>
      </c>
      <c r="AS47" s="122">
        <v>0</v>
      </c>
      <c r="AT47" s="122">
        <v>0</v>
      </c>
      <c r="AU47" s="122">
        <v>0</v>
      </c>
      <c r="AV47" s="230">
        <v>0</v>
      </c>
      <c r="AW47" s="122">
        <v>0</v>
      </c>
      <c r="AX47" s="122">
        <v>0</v>
      </c>
      <c r="AY47" s="122">
        <v>0</v>
      </c>
      <c r="AZ47" s="230">
        <v>0</v>
      </c>
      <c r="BA47" s="122">
        <v>0</v>
      </c>
      <c r="BB47" s="122">
        <v>0</v>
      </c>
      <c r="BC47" s="122">
        <v>0</v>
      </c>
      <c r="BD47" s="230">
        <v>0</v>
      </c>
      <c r="BE47" s="122">
        <v>0</v>
      </c>
      <c r="BF47" s="122">
        <v>0</v>
      </c>
      <c r="BG47" s="122">
        <v>0</v>
      </c>
      <c r="BH47" s="230">
        <v>0</v>
      </c>
      <c r="BI47" s="122">
        <v>0</v>
      </c>
      <c r="BJ47" s="122">
        <v>0</v>
      </c>
      <c r="BK47" s="122">
        <v>0</v>
      </c>
      <c r="BL47" s="230">
        <v>0</v>
      </c>
      <c r="BM47" s="122">
        <v>0</v>
      </c>
      <c r="BN47" s="122">
        <v>0</v>
      </c>
      <c r="BO47" s="122">
        <v>0</v>
      </c>
      <c r="BP47" s="230">
        <v>0</v>
      </c>
      <c r="BQ47" s="122">
        <v>0</v>
      </c>
      <c r="BR47" s="122">
        <v>0</v>
      </c>
      <c r="BS47" s="122">
        <v>0</v>
      </c>
      <c r="BT47" s="230">
        <v>0</v>
      </c>
      <c r="BU47" s="121">
        <v>0</v>
      </c>
      <c r="BV47" s="121">
        <v>0</v>
      </c>
      <c r="BW47" s="121">
        <v>0</v>
      </c>
      <c r="BX47" s="240">
        <v>0</v>
      </c>
      <c r="BY47" s="125">
        <v>0</v>
      </c>
      <c r="BZ47" s="125">
        <v>0</v>
      </c>
      <c r="CA47" s="125">
        <v>0</v>
      </c>
      <c r="CB47" s="125">
        <v>0</v>
      </c>
    </row>
    <row r="48" spans="1:80" s="122" customFormat="1" x14ac:dyDescent="0.35">
      <c r="A48" s="522"/>
      <c r="B48" s="118" t="s">
        <v>15</v>
      </c>
      <c r="C48" s="321" t="s">
        <v>184</v>
      </c>
      <c r="D48" s="120" t="s">
        <v>30</v>
      </c>
      <c r="E48" s="6">
        <v>0</v>
      </c>
      <c r="F48" s="173">
        <v>0</v>
      </c>
      <c r="G48" s="186" t="s">
        <v>387</v>
      </c>
      <c r="H48" s="186" t="s">
        <v>388</v>
      </c>
      <c r="I48" s="198">
        <v>0</v>
      </c>
      <c r="J48" s="198" t="s">
        <v>12</v>
      </c>
      <c r="K48" s="198">
        <v>0</v>
      </c>
      <c r="L48" s="198">
        <v>0</v>
      </c>
      <c r="M48" s="323">
        <v>0</v>
      </c>
      <c r="N48" s="198">
        <v>0</v>
      </c>
      <c r="O48" s="198">
        <v>0</v>
      </c>
      <c r="P48" s="230">
        <v>0</v>
      </c>
      <c r="Q48" s="324">
        <v>0</v>
      </c>
      <c r="R48" s="324">
        <v>0</v>
      </c>
      <c r="S48" s="324">
        <v>0</v>
      </c>
      <c r="T48" s="322">
        <v>0</v>
      </c>
      <c r="U48" s="122">
        <v>0</v>
      </c>
      <c r="V48" s="122">
        <v>0</v>
      </c>
      <c r="W48" s="122">
        <v>0</v>
      </c>
      <c r="X48" s="230">
        <v>0</v>
      </c>
      <c r="Y48" s="122">
        <v>0</v>
      </c>
      <c r="Z48" s="122">
        <v>0</v>
      </c>
      <c r="AA48" s="122">
        <v>0</v>
      </c>
      <c r="AB48" s="230">
        <v>0</v>
      </c>
      <c r="AC48" s="125">
        <v>0</v>
      </c>
      <c r="AD48" s="125">
        <v>0</v>
      </c>
      <c r="AE48" s="125">
        <v>0</v>
      </c>
      <c r="AF48" s="221">
        <v>0</v>
      </c>
      <c r="AG48" s="125">
        <v>0</v>
      </c>
      <c r="AH48" s="125">
        <v>0</v>
      </c>
      <c r="AI48" s="125">
        <v>0</v>
      </c>
      <c r="AJ48" s="221">
        <v>0</v>
      </c>
      <c r="AK48" s="125">
        <v>0</v>
      </c>
      <c r="AL48" s="125">
        <v>0</v>
      </c>
      <c r="AM48" s="125">
        <v>0</v>
      </c>
      <c r="AN48" s="221">
        <v>0</v>
      </c>
      <c r="AO48" s="122">
        <v>0</v>
      </c>
      <c r="AP48" s="122">
        <v>0</v>
      </c>
      <c r="AQ48" s="122">
        <v>0</v>
      </c>
      <c r="AR48" s="230">
        <v>0</v>
      </c>
      <c r="AS48" s="122">
        <v>0</v>
      </c>
      <c r="AT48" s="122">
        <v>0</v>
      </c>
      <c r="AU48" s="122">
        <v>0</v>
      </c>
      <c r="AV48" s="230">
        <v>0</v>
      </c>
      <c r="AW48" s="122">
        <v>0</v>
      </c>
      <c r="AX48" s="122">
        <v>0</v>
      </c>
      <c r="AY48" s="122">
        <v>0</v>
      </c>
      <c r="AZ48" s="230">
        <v>0</v>
      </c>
      <c r="BA48" s="122">
        <v>0</v>
      </c>
      <c r="BB48" s="122">
        <v>0</v>
      </c>
      <c r="BC48" s="122">
        <v>0</v>
      </c>
      <c r="BD48" s="230">
        <v>0</v>
      </c>
      <c r="BE48" s="122">
        <v>0</v>
      </c>
      <c r="BF48" s="122">
        <v>0</v>
      </c>
      <c r="BG48" s="122">
        <v>0</v>
      </c>
      <c r="BH48" s="230">
        <v>0</v>
      </c>
      <c r="BI48" s="122">
        <v>0</v>
      </c>
      <c r="BJ48" s="122">
        <v>0</v>
      </c>
      <c r="BK48" s="122">
        <v>0</v>
      </c>
      <c r="BL48" s="230">
        <v>0</v>
      </c>
      <c r="BM48" s="122">
        <v>0</v>
      </c>
      <c r="BN48" s="122">
        <v>0</v>
      </c>
      <c r="BO48" s="122">
        <v>0</v>
      </c>
      <c r="BP48" s="230">
        <v>0</v>
      </c>
      <c r="BQ48" s="122">
        <v>0</v>
      </c>
      <c r="BR48" s="122">
        <v>0</v>
      </c>
      <c r="BS48" s="122">
        <v>0</v>
      </c>
      <c r="BT48" s="230">
        <v>0</v>
      </c>
      <c r="BU48" s="121">
        <v>0</v>
      </c>
      <c r="BV48" s="121">
        <v>0</v>
      </c>
      <c r="BW48" s="121">
        <v>0</v>
      </c>
      <c r="BX48" s="240">
        <v>0</v>
      </c>
      <c r="BY48" s="125">
        <v>0</v>
      </c>
      <c r="BZ48" s="125">
        <v>0</v>
      </c>
      <c r="CA48" s="125">
        <v>0</v>
      </c>
      <c r="CB48" s="125">
        <v>0</v>
      </c>
    </row>
    <row r="49" spans="1:80" s="122" customFormat="1" x14ac:dyDescent="0.35">
      <c r="A49" s="522"/>
      <c r="B49" s="118" t="s">
        <v>16</v>
      </c>
      <c r="C49" s="321" t="s">
        <v>184</v>
      </c>
      <c r="D49" s="325" t="s">
        <v>31</v>
      </c>
      <c r="E49" s="6">
        <v>0</v>
      </c>
      <c r="F49" s="173">
        <v>0</v>
      </c>
      <c r="G49" s="186" t="s">
        <v>388</v>
      </c>
      <c r="H49" s="186" t="s">
        <v>388</v>
      </c>
      <c r="I49" s="198">
        <v>0</v>
      </c>
      <c r="J49" s="198" t="s">
        <v>12</v>
      </c>
      <c r="K49" s="198">
        <v>0</v>
      </c>
      <c r="L49" s="198">
        <v>0</v>
      </c>
      <c r="M49" s="323">
        <v>0</v>
      </c>
      <c r="N49" s="198">
        <v>0</v>
      </c>
      <c r="O49" s="198">
        <v>0</v>
      </c>
      <c r="P49" s="230">
        <v>0</v>
      </c>
      <c r="Q49" s="324">
        <v>0</v>
      </c>
      <c r="R49" s="324">
        <v>0</v>
      </c>
      <c r="S49" s="324">
        <v>0</v>
      </c>
      <c r="T49" s="322">
        <v>0</v>
      </c>
      <c r="U49" s="122">
        <v>0</v>
      </c>
      <c r="V49" s="122">
        <v>0</v>
      </c>
      <c r="W49" s="122">
        <v>0</v>
      </c>
      <c r="X49" s="230">
        <v>0</v>
      </c>
      <c r="Y49" s="122">
        <v>0</v>
      </c>
      <c r="Z49" s="122">
        <v>0</v>
      </c>
      <c r="AA49" s="122">
        <v>0</v>
      </c>
      <c r="AB49" s="230">
        <v>0</v>
      </c>
      <c r="AC49" s="125" t="s">
        <v>216</v>
      </c>
      <c r="AD49" s="125" t="s">
        <v>216</v>
      </c>
      <c r="AE49" s="125" t="s">
        <v>216</v>
      </c>
      <c r="AF49" s="221" t="s">
        <v>216</v>
      </c>
      <c r="AG49" s="125">
        <v>0</v>
      </c>
      <c r="AH49" s="125">
        <v>0</v>
      </c>
      <c r="AI49" s="125">
        <v>0</v>
      </c>
      <c r="AJ49" s="221">
        <v>0</v>
      </c>
      <c r="AK49" s="125">
        <v>0</v>
      </c>
      <c r="AL49" s="125">
        <v>0</v>
      </c>
      <c r="AM49" s="125">
        <v>0</v>
      </c>
      <c r="AN49" s="221">
        <v>0</v>
      </c>
      <c r="AO49" s="122">
        <v>0</v>
      </c>
      <c r="AP49" s="122">
        <v>0</v>
      </c>
      <c r="AQ49" s="122">
        <v>0</v>
      </c>
      <c r="AR49" s="230">
        <v>0</v>
      </c>
      <c r="AS49" s="122" t="s">
        <v>265</v>
      </c>
      <c r="AT49" s="122" t="s">
        <v>265</v>
      </c>
      <c r="AU49" s="122">
        <v>0</v>
      </c>
      <c r="AV49" s="230" t="s">
        <v>266</v>
      </c>
      <c r="AW49" s="122" t="s">
        <v>267</v>
      </c>
      <c r="AX49" s="122" t="s">
        <v>267</v>
      </c>
      <c r="AY49" s="122" t="s">
        <v>267</v>
      </c>
      <c r="AZ49" s="230" t="s">
        <v>267</v>
      </c>
      <c r="BA49" s="122">
        <v>0</v>
      </c>
      <c r="BB49" s="122">
        <v>0</v>
      </c>
      <c r="BC49" s="122">
        <v>0</v>
      </c>
      <c r="BD49" s="230">
        <v>0</v>
      </c>
      <c r="BE49" s="122">
        <v>0</v>
      </c>
      <c r="BF49" s="122">
        <v>0</v>
      </c>
      <c r="BG49" s="122">
        <v>0</v>
      </c>
      <c r="BH49" s="230">
        <v>0</v>
      </c>
      <c r="BI49" s="122">
        <v>0</v>
      </c>
      <c r="BJ49" s="122">
        <v>0</v>
      </c>
      <c r="BK49" s="122">
        <v>0</v>
      </c>
      <c r="BL49" s="230">
        <v>0</v>
      </c>
      <c r="BM49" s="122">
        <v>0</v>
      </c>
      <c r="BN49" s="122">
        <v>0</v>
      </c>
      <c r="BO49" s="122">
        <v>0</v>
      </c>
      <c r="BP49" s="230">
        <v>0</v>
      </c>
      <c r="BQ49" s="122">
        <v>0</v>
      </c>
      <c r="BR49" s="122">
        <v>0</v>
      </c>
      <c r="BS49" s="122">
        <v>0</v>
      </c>
      <c r="BT49" s="230">
        <v>0</v>
      </c>
      <c r="BU49" s="121" t="s">
        <v>357</v>
      </c>
      <c r="BV49" s="121" t="s">
        <v>357</v>
      </c>
      <c r="BW49" s="121" t="s">
        <v>357</v>
      </c>
      <c r="BX49" s="240" t="s">
        <v>357</v>
      </c>
      <c r="BY49" s="125">
        <v>0</v>
      </c>
      <c r="BZ49" s="125">
        <v>0</v>
      </c>
      <c r="CA49" s="125">
        <v>0</v>
      </c>
      <c r="CB49" s="125">
        <v>0</v>
      </c>
    </row>
    <row r="50" spans="1:80" s="80" customFormat="1" x14ac:dyDescent="0.35">
      <c r="A50" s="522"/>
      <c r="B50" s="76" t="s">
        <v>14</v>
      </c>
      <c r="C50" s="326" t="s">
        <v>184</v>
      </c>
      <c r="D50" s="327" t="s">
        <v>111</v>
      </c>
      <c r="E50" s="6">
        <v>0</v>
      </c>
      <c r="F50" s="170">
        <v>0</v>
      </c>
      <c r="G50" s="183" t="s">
        <v>387</v>
      </c>
      <c r="H50" s="183" t="s">
        <v>388</v>
      </c>
      <c r="I50" s="197">
        <v>0</v>
      </c>
      <c r="J50" s="197" t="s">
        <v>12</v>
      </c>
      <c r="K50" s="197">
        <v>0</v>
      </c>
      <c r="L50" s="197">
        <v>0</v>
      </c>
      <c r="M50" s="420">
        <v>0</v>
      </c>
      <c r="N50" s="328">
        <v>0</v>
      </c>
      <c r="O50" s="197">
        <v>0</v>
      </c>
      <c r="P50" s="233">
        <v>0</v>
      </c>
      <c r="Q50" s="86">
        <v>0</v>
      </c>
      <c r="R50" s="86">
        <v>0</v>
      </c>
      <c r="S50" s="86">
        <v>0</v>
      </c>
      <c r="T50" s="225">
        <v>0</v>
      </c>
      <c r="U50" s="80">
        <v>0</v>
      </c>
      <c r="V50" s="80">
        <v>0</v>
      </c>
      <c r="W50" s="80">
        <v>0</v>
      </c>
      <c r="X50" s="233">
        <v>0</v>
      </c>
      <c r="Y50" s="80">
        <v>0</v>
      </c>
      <c r="Z50" s="80">
        <v>0</v>
      </c>
      <c r="AA50" s="80">
        <v>0</v>
      </c>
      <c r="AB50" s="233">
        <v>0</v>
      </c>
      <c r="AC50" s="83">
        <v>0</v>
      </c>
      <c r="AD50" s="83">
        <v>0</v>
      </c>
      <c r="AE50" s="83">
        <v>0</v>
      </c>
      <c r="AF50" s="218">
        <v>0</v>
      </c>
      <c r="AG50" s="83">
        <v>0</v>
      </c>
      <c r="AH50" s="83">
        <v>0</v>
      </c>
      <c r="AI50" s="83">
        <v>0</v>
      </c>
      <c r="AJ50" s="218">
        <v>0</v>
      </c>
      <c r="AK50" s="83">
        <v>0</v>
      </c>
      <c r="AL50" s="83">
        <v>0</v>
      </c>
      <c r="AM50" s="83">
        <v>0</v>
      </c>
      <c r="AN50" s="218">
        <v>0</v>
      </c>
      <c r="AO50" s="80" t="s">
        <v>268</v>
      </c>
      <c r="AP50" s="80" t="s">
        <v>268</v>
      </c>
      <c r="AQ50" s="80" t="s">
        <v>268</v>
      </c>
      <c r="AR50" s="233" t="s">
        <v>268</v>
      </c>
      <c r="AS50" s="80">
        <v>0</v>
      </c>
      <c r="AT50" s="80">
        <v>0</v>
      </c>
      <c r="AU50" s="80">
        <v>0</v>
      </c>
      <c r="AV50" s="233">
        <v>0</v>
      </c>
      <c r="AW50" s="80">
        <v>0</v>
      </c>
      <c r="AX50" s="80">
        <v>0</v>
      </c>
      <c r="AY50" s="80">
        <v>0</v>
      </c>
      <c r="AZ50" s="233">
        <v>0</v>
      </c>
      <c r="BA50" s="80">
        <v>0</v>
      </c>
      <c r="BB50" s="80">
        <v>0</v>
      </c>
      <c r="BC50" s="80">
        <v>0</v>
      </c>
      <c r="BD50" s="233">
        <v>0</v>
      </c>
      <c r="BE50" s="80">
        <v>0</v>
      </c>
      <c r="BF50" s="80">
        <v>0</v>
      </c>
      <c r="BG50" s="80">
        <v>0</v>
      </c>
      <c r="BH50" s="233">
        <v>0</v>
      </c>
      <c r="BI50" s="80">
        <v>0</v>
      </c>
      <c r="BJ50" s="80">
        <v>0</v>
      </c>
      <c r="BK50" s="80">
        <v>0</v>
      </c>
      <c r="BL50" s="233">
        <v>0</v>
      </c>
      <c r="BM50" s="80">
        <v>0</v>
      </c>
      <c r="BN50" s="80">
        <v>0</v>
      </c>
      <c r="BO50" s="80">
        <v>0</v>
      </c>
      <c r="BP50" s="233">
        <v>0</v>
      </c>
      <c r="BQ50" s="80">
        <v>0</v>
      </c>
      <c r="BR50" s="80">
        <v>0</v>
      </c>
      <c r="BS50" s="80">
        <v>0</v>
      </c>
      <c r="BT50" s="233">
        <v>0</v>
      </c>
      <c r="BU50" s="79">
        <v>0</v>
      </c>
      <c r="BV50" s="79">
        <v>0</v>
      </c>
      <c r="BW50" s="79">
        <v>0</v>
      </c>
      <c r="BX50" s="244">
        <v>0</v>
      </c>
      <c r="BY50" s="83">
        <v>0</v>
      </c>
      <c r="BZ50" s="83">
        <v>0</v>
      </c>
      <c r="CA50" s="83">
        <v>0</v>
      </c>
      <c r="CB50" s="83">
        <v>0</v>
      </c>
    </row>
    <row r="51" spans="1:80" s="80" customFormat="1" x14ac:dyDescent="0.35">
      <c r="A51" s="522"/>
      <c r="B51" s="76" t="s">
        <v>15</v>
      </c>
      <c r="C51" s="326" t="s">
        <v>184</v>
      </c>
      <c r="D51" s="327" t="s">
        <v>112</v>
      </c>
      <c r="E51" s="6">
        <v>0</v>
      </c>
      <c r="F51" s="170">
        <v>0</v>
      </c>
      <c r="G51" s="183" t="s">
        <v>387</v>
      </c>
      <c r="H51" s="183" t="s">
        <v>388</v>
      </c>
      <c r="I51" s="197">
        <v>0</v>
      </c>
      <c r="J51" s="197" t="s">
        <v>12</v>
      </c>
      <c r="K51" s="197">
        <v>0</v>
      </c>
      <c r="L51" s="197">
        <v>0</v>
      </c>
      <c r="M51" s="420">
        <v>0</v>
      </c>
      <c r="N51" s="328">
        <v>0</v>
      </c>
      <c r="O51" s="197">
        <v>0</v>
      </c>
      <c r="P51" s="233">
        <v>0</v>
      </c>
      <c r="Q51" s="86">
        <v>0</v>
      </c>
      <c r="R51" s="86">
        <v>0</v>
      </c>
      <c r="S51" s="86">
        <v>0</v>
      </c>
      <c r="T51" s="225">
        <v>0</v>
      </c>
      <c r="U51" s="80">
        <v>0</v>
      </c>
      <c r="V51" s="80">
        <v>0</v>
      </c>
      <c r="W51" s="80">
        <v>0</v>
      </c>
      <c r="X51" s="233">
        <v>0</v>
      </c>
      <c r="Y51" s="80">
        <v>0</v>
      </c>
      <c r="Z51" s="80">
        <v>0</v>
      </c>
      <c r="AA51" s="80">
        <v>0</v>
      </c>
      <c r="AB51" s="233">
        <v>0</v>
      </c>
      <c r="AC51" s="83">
        <v>0</v>
      </c>
      <c r="AD51" s="83">
        <v>0</v>
      </c>
      <c r="AE51" s="83">
        <v>0</v>
      </c>
      <c r="AF51" s="218">
        <v>0</v>
      </c>
      <c r="AG51" s="83">
        <v>0</v>
      </c>
      <c r="AH51" s="83">
        <v>0</v>
      </c>
      <c r="AI51" s="83">
        <v>0</v>
      </c>
      <c r="AJ51" s="218">
        <v>0</v>
      </c>
      <c r="AK51" s="83">
        <v>0</v>
      </c>
      <c r="AL51" s="83">
        <v>0</v>
      </c>
      <c r="AM51" s="83">
        <v>0</v>
      </c>
      <c r="AN51" s="218">
        <v>0</v>
      </c>
      <c r="AO51" s="80">
        <v>0</v>
      </c>
      <c r="AP51" s="80">
        <v>0</v>
      </c>
      <c r="AQ51" s="80">
        <v>0</v>
      </c>
      <c r="AR51" s="233">
        <v>0</v>
      </c>
      <c r="AS51" s="80">
        <v>0</v>
      </c>
      <c r="AT51" s="80">
        <v>0</v>
      </c>
      <c r="AU51" s="80">
        <v>0</v>
      </c>
      <c r="AV51" s="233">
        <v>0</v>
      </c>
      <c r="AW51" s="80">
        <v>0</v>
      </c>
      <c r="AX51" s="80">
        <v>0</v>
      </c>
      <c r="AY51" s="80">
        <v>0</v>
      </c>
      <c r="AZ51" s="233">
        <v>0</v>
      </c>
      <c r="BA51" s="80">
        <v>0</v>
      </c>
      <c r="BB51" s="80">
        <v>0</v>
      </c>
      <c r="BC51" s="80">
        <v>0</v>
      </c>
      <c r="BD51" s="233">
        <v>0</v>
      </c>
      <c r="BE51" s="80">
        <v>0</v>
      </c>
      <c r="BF51" s="80">
        <v>0</v>
      </c>
      <c r="BG51" s="80">
        <v>0</v>
      </c>
      <c r="BH51" s="233">
        <v>0</v>
      </c>
      <c r="BI51" s="80">
        <v>0</v>
      </c>
      <c r="BJ51" s="80">
        <v>0</v>
      </c>
      <c r="BK51" s="80">
        <v>0</v>
      </c>
      <c r="BL51" s="233">
        <v>0</v>
      </c>
      <c r="BM51" s="80">
        <v>0</v>
      </c>
      <c r="BN51" s="80">
        <v>0</v>
      </c>
      <c r="BO51" s="80">
        <v>0</v>
      </c>
      <c r="BP51" s="233">
        <v>0</v>
      </c>
      <c r="BQ51" s="80">
        <v>0</v>
      </c>
      <c r="BR51" s="80">
        <v>0</v>
      </c>
      <c r="BS51" s="80">
        <v>0</v>
      </c>
      <c r="BT51" s="233">
        <v>0</v>
      </c>
      <c r="BU51" s="79">
        <v>0</v>
      </c>
      <c r="BV51" s="79">
        <v>0</v>
      </c>
      <c r="BW51" s="79">
        <v>0</v>
      </c>
      <c r="BX51" s="244">
        <v>0</v>
      </c>
      <c r="BY51" s="83">
        <v>0</v>
      </c>
      <c r="BZ51" s="83">
        <v>0</v>
      </c>
      <c r="CA51" s="83">
        <v>0</v>
      </c>
      <c r="CB51" s="83">
        <v>0</v>
      </c>
    </row>
    <row r="52" spans="1:80" s="80" customFormat="1" x14ac:dyDescent="0.35">
      <c r="A52" s="522"/>
      <c r="B52" s="76" t="s">
        <v>16</v>
      </c>
      <c r="C52" s="326" t="s">
        <v>184</v>
      </c>
      <c r="D52" s="327" t="s">
        <v>113</v>
      </c>
      <c r="E52" s="6">
        <v>0</v>
      </c>
      <c r="F52" s="170">
        <v>0</v>
      </c>
      <c r="G52" s="183" t="s">
        <v>388</v>
      </c>
      <c r="H52" s="183" t="s">
        <v>388</v>
      </c>
      <c r="I52" s="197">
        <v>0</v>
      </c>
      <c r="J52" s="197" t="s">
        <v>12</v>
      </c>
      <c r="K52" s="197">
        <v>0</v>
      </c>
      <c r="L52" s="197">
        <v>0</v>
      </c>
      <c r="M52" s="420">
        <v>0</v>
      </c>
      <c r="N52" s="197">
        <v>0</v>
      </c>
      <c r="O52" s="197">
        <v>0</v>
      </c>
      <c r="P52" s="233">
        <v>0</v>
      </c>
      <c r="Q52" s="80">
        <v>0</v>
      </c>
      <c r="R52" s="80">
        <v>0</v>
      </c>
      <c r="S52" s="80">
        <v>0</v>
      </c>
      <c r="T52" s="233">
        <v>0</v>
      </c>
      <c r="U52" s="80">
        <v>0</v>
      </c>
      <c r="V52" s="80">
        <v>0</v>
      </c>
      <c r="W52" s="80">
        <v>0</v>
      </c>
      <c r="X52" s="233">
        <v>0</v>
      </c>
      <c r="Y52" s="80">
        <v>0</v>
      </c>
      <c r="Z52" s="80">
        <v>0</v>
      </c>
      <c r="AA52" s="80">
        <v>0</v>
      </c>
      <c r="AB52" s="233">
        <v>0</v>
      </c>
      <c r="AC52" s="83" t="s">
        <v>217</v>
      </c>
      <c r="AD52" s="83" t="s">
        <v>218</v>
      </c>
      <c r="AE52" s="83" t="s">
        <v>218</v>
      </c>
      <c r="AF52" s="218" t="s">
        <v>218</v>
      </c>
      <c r="AG52" s="83">
        <v>0</v>
      </c>
      <c r="AH52" s="83">
        <v>0</v>
      </c>
      <c r="AI52" s="83">
        <v>0</v>
      </c>
      <c r="AJ52" s="218">
        <v>0</v>
      </c>
      <c r="AK52" s="83">
        <v>0</v>
      </c>
      <c r="AL52" s="83">
        <v>0</v>
      </c>
      <c r="AM52" s="83">
        <v>0</v>
      </c>
      <c r="AN52" s="218">
        <v>0</v>
      </c>
      <c r="AO52" s="80">
        <v>0</v>
      </c>
      <c r="AP52" s="80">
        <v>0</v>
      </c>
      <c r="AQ52" s="80">
        <v>0</v>
      </c>
      <c r="AR52" s="233">
        <v>0</v>
      </c>
      <c r="AS52" s="80" t="s">
        <v>269</v>
      </c>
      <c r="AT52" s="80" t="s">
        <v>269</v>
      </c>
      <c r="AU52" s="80" t="s">
        <v>269</v>
      </c>
      <c r="AV52" s="233" t="s">
        <v>269</v>
      </c>
      <c r="AW52" s="80" t="s">
        <v>267</v>
      </c>
      <c r="AX52" s="80" t="s">
        <v>267</v>
      </c>
      <c r="AY52" s="80" t="s">
        <v>267</v>
      </c>
      <c r="AZ52" s="233" t="s">
        <v>267</v>
      </c>
      <c r="BA52" s="80">
        <v>0</v>
      </c>
      <c r="BB52" s="80">
        <v>0</v>
      </c>
      <c r="BC52" s="80">
        <v>0</v>
      </c>
      <c r="BD52" s="233">
        <v>0</v>
      </c>
      <c r="BE52" s="80">
        <v>0</v>
      </c>
      <c r="BF52" s="80">
        <v>0</v>
      </c>
      <c r="BG52" s="80">
        <v>0</v>
      </c>
      <c r="BH52" s="233">
        <v>0</v>
      </c>
      <c r="BI52" s="80">
        <v>0</v>
      </c>
      <c r="BJ52" s="80">
        <v>0</v>
      </c>
      <c r="BK52" s="80">
        <v>0</v>
      </c>
      <c r="BL52" s="233">
        <v>0</v>
      </c>
      <c r="BM52" s="80">
        <v>0</v>
      </c>
      <c r="BN52" s="80">
        <v>0</v>
      </c>
      <c r="BO52" s="80">
        <v>0</v>
      </c>
      <c r="BP52" s="233">
        <v>0</v>
      </c>
      <c r="BQ52" s="80">
        <v>0</v>
      </c>
      <c r="BR52" s="80">
        <v>0</v>
      </c>
      <c r="BS52" s="80">
        <v>0</v>
      </c>
      <c r="BT52" s="233">
        <v>0</v>
      </c>
      <c r="BU52" s="79" t="s">
        <v>357</v>
      </c>
      <c r="BV52" s="79" t="s">
        <v>357</v>
      </c>
      <c r="BW52" s="79" t="s">
        <v>357</v>
      </c>
      <c r="BX52" s="244" t="s">
        <v>357</v>
      </c>
      <c r="BY52" s="83">
        <v>0</v>
      </c>
      <c r="BZ52" s="83">
        <v>0</v>
      </c>
      <c r="CA52" s="83">
        <v>0</v>
      </c>
      <c r="CB52" s="83">
        <v>0</v>
      </c>
    </row>
    <row r="53" spans="1:80" s="443" customFormat="1" ht="14.5" customHeight="1" x14ac:dyDescent="0.35">
      <c r="A53" s="522" t="s">
        <v>17</v>
      </c>
      <c r="B53" s="433" t="s">
        <v>39</v>
      </c>
      <c r="C53" s="434" t="s">
        <v>184</v>
      </c>
      <c r="D53" s="435" t="s">
        <v>36</v>
      </c>
      <c r="E53" s="6">
        <v>0</v>
      </c>
      <c r="F53" s="436">
        <v>0</v>
      </c>
      <c r="G53" s="437" t="s">
        <v>395</v>
      </c>
      <c r="H53" s="437" t="s">
        <v>396</v>
      </c>
      <c r="I53" s="438">
        <v>0</v>
      </c>
      <c r="J53" s="438" t="s">
        <v>12</v>
      </c>
      <c r="K53" s="438">
        <v>0</v>
      </c>
      <c r="L53" s="438">
        <v>0</v>
      </c>
      <c r="M53" s="439">
        <v>0</v>
      </c>
      <c r="N53" s="438">
        <v>0</v>
      </c>
      <c r="O53" s="438">
        <v>0</v>
      </c>
      <c r="P53" s="440">
        <v>0</v>
      </c>
      <c r="Q53" s="441">
        <v>0</v>
      </c>
      <c r="R53" s="441">
        <v>0</v>
      </c>
      <c r="S53" s="441">
        <v>0</v>
      </c>
      <c r="T53" s="442">
        <v>0</v>
      </c>
      <c r="U53" s="443">
        <v>0</v>
      </c>
      <c r="V53" s="443">
        <v>0</v>
      </c>
      <c r="W53" s="443">
        <v>0</v>
      </c>
      <c r="X53" s="440">
        <v>0</v>
      </c>
      <c r="Y53" s="443">
        <v>0</v>
      </c>
      <c r="Z53" s="443">
        <v>0</v>
      </c>
      <c r="AA53" s="443">
        <v>0</v>
      </c>
      <c r="AB53" s="440">
        <v>0</v>
      </c>
      <c r="AC53" s="444">
        <v>0</v>
      </c>
      <c r="AD53" s="444">
        <v>0</v>
      </c>
      <c r="AE53" s="444">
        <v>0</v>
      </c>
      <c r="AF53" s="445">
        <v>0</v>
      </c>
      <c r="AG53" s="444">
        <v>0</v>
      </c>
      <c r="AH53" s="444">
        <v>0</v>
      </c>
      <c r="AI53" s="444">
        <v>0</v>
      </c>
      <c r="AJ53" s="445">
        <v>0</v>
      </c>
      <c r="AK53" s="444">
        <v>0</v>
      </c>
      <c r="AL53" s="444">
        <v>0</v>
      </c>
      <c r="AM53" s="444">
        <v>0</v>
      </c>
      <c r="AN53" s="445">
        <v>0</v>
      </c>
      <c r="AO53" s="443">
        <v>0</v>
      </c>
      <c r="AP53" s="443">
        <v>0</v>
      </c>
      <c r="AQ53" s="443">
        <v>0</v>
      </c>
      <c r="AR53" s="440">
        <v>0</v>
      </c>
      <c r="AS53" s="443" t="s">
        <v>270</v>
      </c>
      <c r="AT53" s="443" t="s">
        <v>271</v>
      </c>
      <c r="AU53" s="443" t="s">
        <v>271</v>
      </c>
      <c r="AV53" s="440" t="s">
        <v>271</v>
      </c>
      <c r="AW53" s="443" t="s">
        <v>270</v>
      </c>
      <c r="AX53" s="443" t="s">
        <v>271</v>
      </c>
      <c r="AY53" s="443" t="s">
        <v>271</v>
      </c>
      <c r="AZ53" s="440" t="s">
        <v>271</v>
      </c>
      <c r="BA53" s="443" t="s">
        <v>270</v>
      </c>
      <c r="BB53" s="443" t="s">
        <v>271</v>
      </c>
      <c r="BC53" s="443" t="s">
        <v>271</v>
      </c>
      <c r="BD53" s="440" t="s">
        <v>271</v>
      </c>
      <c r="BE53" s="443">
        <v>0</v>
      </c>
      <c r="BF53" s="443">
        <v>0</v>
      </c>
      <c r="BG53" s="443">
        <v>0</v>
      </c>
      <c r="BH53" s="440">
        <v>0</v>
      </c>
      <c r="BI53" s="443">
        <v>0</v>
      </c>
      <c r="BJ53" s="443">
        <v>0</v>
      </c>
      <c r="BK53" s="443">
        <v>0</v>
      </c>
      <c r="BL53" s="440">
        <v>0</v>
      </c>
      <c r="BM53" s="443">
        <v>0</v>
      </c>
      <c r="BN53" s="443">
        <v>0</v>
      </c>
      <c r="BO53" s="443">
        <v>0</v>
      </c>
      <c r="BP53" s="440">
        <v>0</v>
      </c>
      <c r="BQ53" s="443">
        <v>0</v>
      </c>
      <c r="BR53" s="443">
        <v>0</v>
      </c>
      <c r="BS53" s="443">
        <v>0</v>
      </c>
      <c r="BT53" s="440">
        <v>0</v>
      </c>
      <c r="BU53" s="446">
        <v>0</v>
      </c>
      <c r="BV53" s="446">
        <v>0</v>
      </c>
      <c r="BW53" s="446">
        <v>0</v>
      </c>
      <c r="BX53" s="447">
        <v>0</v>
      </c>
      <c r="BY53" s="444">
        <v>0</v>
      </c>
      <c r="BZ53" s="444">
        <v>0</v>
      </c>
      <c r="CA53" s="444">
        <v>0</v>
      </c>
      <c r="CB53" s="444">
        <v>0</v>
      </c>
    </row>
    <row r="54" spans="1:80" s="50" customFormat="1" ht="14.5" customHeight="1" x14ac:dyDescent="0.35">
      <c r="A54" s="522"/>
      <c r="B54" s="329" t="s">
        <v>38</v>
      </c>
      <c r="C54" s="313" t="s">
        <v>184</v>
      </c>
      <c r="D54" s="330" t="s">
        <v>37</v>
      </c>
      <c r="E54" s="6">
        <v>0</v>
      </c>
      <c r="F54" s="297">
        <v>0</v>
      </c>
      <c r="G54" s="298" t="s">
        <v>395</v>
      </c>
      <c r="H54" s="298" t="s">
        <v>396</v>
      </c>
      <c r="I54" s="301">
        <v>0</v>
      </c>
      <c r="J54" s="301" t="s">
        <v>12</v>
      </c>
      <c r="K54" s="301">
        <v>0</v>
      </c>
      <c r="L54" s="301">
        <v>0</v>
      </c>
      <c r="M54" s="419">
        <v>0</v>
      </c>
      <c r="N54" s="301">
        <v>0</v>
      </c>
      <c r="O54" s="301">
        <v>0</v>
      </c>
      <c r="P54" s="299">
        <v>0</v>
      </c>
      <c r="Q54" s="315">
        <v>0</v>
      </c>
      <c r="R54" s="315">
        <v>0</v>
      </c>
      <c r="S54" s="315">
        <v>0</v>
      </c>
      <c r="T54" s="314">
        <v>0</v>
      </c>
      <c r="U54" s="50">
        <v>0</v>
      </c>
      <c r="V54" s="50">
        <v>0</v>
      </c>
      <c r="W54" s="50">
        <v>0</v>
      </c>
      <c r="X54" s="299">
        <v>0</v>
      </c>
      <c r="Y54" s="50">
        <v>0</v>
      </c>
      <c r="Z54" s="50">
        <v>0</v>
      </c>
      <c r="AA54" s="50">
        <v>0</v>
      </c>
      <c r="AB54" s="299">
        <v>0</v>
      </c>
      <c r="AC54" s="304">
        <v>0</v>
      </c>
      <c r="AD54" s="304">
        <v>0</v>
      </c>
      <c r="AE54" s="304">
        <v>0</v>
      </c>
      <c r="AF54" s="305">
        <v>0</v>
      </c>
      <c r="AG54" s="304">
        <v>0</v>
      </c>
      <c r="AH54" s="304">
        <v>0</v>
      </c>
      <c r="AI54" s="304">
        <v>0</v>
      </c>
      <c r="AJ54" s="305">
        <v>0</v>
      </c>
      <c r="AK54" s="304">
        <v>0</v>
      </c>
      <c r="AL54" s="304">
        <v>0</v>
      </c>
      <c r="AM54" s="304">
        <v>0</v>
      </c>
      <c r="AN54" s="305">
        <v>0</v>
      </c>
      <c r="AO54" s="50">
        <v>0</v>
      </c>
      <c r="AP54" s="50">
        <v>0</v>
      </c>
      <c r="AQ54" s="50">
        <v>0</v>
      </c>
      <c r="AR54" s="299">
        <v>0</v>
      </c>
      <c r="AS54" s="50" t="s">
        <v>270</v>
      </c>
      <c r="AT54" s="50" t="s">
        <v>271</v>
      </c>
      <c r="AU54" s="50" t="s">
        <v>271</v>
      </c>
      <c r="AV54" s="299" t="s">
        <v>271</v>
      </c>
      <c r="AW54" s="50" t="s">
        <v>270</v>
      </c>
      <c r="AX54" s="50" t="s">
        <v>271</v>
      </c>
      <c r="AY54" s="50" t="s">
        <v>271</v>
      </c>
      <c r="AZ54" s="299" t="s">
        <v>271</v>
      </c>
      <c r="BA54" s="50" t="s">
        <v>270</v>
      </c>
      <c r="BB54" s="50" t="s">
        <v>271</v>
      </c>
      <c r="BC54" s="50" t="s">
        <v>271</v>
      </c>
      <c r="BD54" s="299" t="s">
        <v>271</v>
      </c>
      <c r="BE54" s="50">
        <v>0</v>
      </c>
      <c r="BF54" s="50">
        <v>0</v>
      </c>
      <c r="BG54" s="50">
        <v>0</v>
      </c>
      <c r="BH54" s="299">
        <v>0</v>
      </c>
      <c r="BI54" s="366">
        <v>0</v>
      </c>
      <c r="BJ54" s="366">
        <v>0</v>
      </c>
      <c r="BK54" s="366">
        <v>0</v>
      </c>
      <c r="BL54" s="299">
        <v>0</v>
      </c>
      <c r="BM54" s="50">
        <v>0</v>
      </c>
      <c r="BN54" s="50">
        <v>0</v>
      </c>
      <c r="BO54" s="50">
        <v>0</v>
      </c>
      <c r="BP54" s="299">
        <v>0</v>
      </c>
      <c r="BQ54" s="50">
        <v>0</v>
      </c>
      <c r="BR54" s="50">
        <v>0</v>
      </c>
      <c r="BS54" s="50">
        <v>0</v>
      </c>
      <c r="BT54" s="299">
        <v>0</v>
      </c>
      <c r="BU54" s="308">
        <v>0</v>
      </c>
      <c r="BV54" s="308">
        <v>0</v>
      </c>
      <c r="BW54" s="308">
        <v>0</v>
      </c>
      <c r="BX54" s="300">
        <v>0</v>
      </c>
      <c r="BY54" s="304">
        <v>0</v>
      </c>
      <c r="BZ54" s="304">
        <v>0</v>
      </c>
      <c r="CA54" s="304">
        <v>0</v>
      </c>
      <c r="CB54" s="304">
        <v>0</v>
      </c>
    </row>
    <row r="55" spans="1:80" s="256" customFormat="1" x14ac:dyDescent="0.35">
      <c r="A55" s="522"/>
      <c r="B55" s="331" t="str">
        <f>CONCATENATE("RPU_"&amp;D55)</f>
        <v>RPU_ON_SP198-HH100</v>
      </c>
      <c r="C55" s="98" t="s">
        <v>184</v>
      </c>
      <c r="D55" s="251" t="s">
        <v>114</v>
      </c>
      <c r="E55" s="6">
        <v>0</v>
      </c>
      <c r="F55" s="252">
        <v>0</v>
      </c>
      <c r="G55" s="332" t="s">
        <v>395</v>
      </c>
      <c r="H55" s="332" t="s">
        <v>396</v>
      </c>
      <c r="I55" s="255">
        <v>0</v>
      </c>
      <c r="J55" s="255" t="s">
        <v>12</v>
      </c>
      <c r="K55" s="255">
        <v>0</v>
      </c>
      <c r="L55" s="255">
        <v>0</v>
      </c>
      <c r="M55" s="407">
        <v>0</v>
      </c>
      <c r="N55" s="255">
        <v>0</v>
      </c>
      <c r="O55" s="255">
        <v>0</v>
      </c>
      <c r="P55" s="254">
        <v>0</v>
      </c>
      <c r="Q55" s="260">
        <v>0</v>
      </c>
      <c r="R55" s="260">
        <v>0</v>
      </c>
      <c r="S55" s="260">
        <v>0</v>
      </c>
      <c r="T55" s="316">
        <v>0</v>
      </c>
      <c r="U55" s="256">
        <v>0</v>
      </c>
      <c r="V55" s="256">
        <v>0</v>
      </c>
      <c r="W55" s="256">
        <v>0</v>
      </c>
      <c r="X55" s="254">
        <v>0</v>
      </c>
      <c r="Y55" s="256">
        <v>0</v>
      </c>
      <c r="Z55" s="256">
        <v>0</v>
      </c>
      <c r="AA55" s="256">
        <v>0</v>
      </c>
      <c r="AB55" s="254">
        <v>0</v>
      </c>
      <c r="AC55" s="257">
        <v>0</v>
      </c>
      <c r="AD55" s="257">
        <v>0</v>
      </c>
      <c r="AE55" s="257">
        <v>0</v>
      </c>
      <c r="AF55" s="258">
        <v>0</v>
      </c>
      <c r="AG55" s="257">
        <v>0</v>
      </c>
      <c r="AH55" s="257">
        <v>0</v>
      </c>
      <c r="AI55" s="257">
        <v>0</v>
      </c>
      <c r="AJ55" s="258">
        <v>0</v>
      </c>
      <c r="AK55" s="257">
        <v>0</v>
      </c>
      <c r="AL55" s="257">
        <v>0</v>
      </c>
      <c r="AM55" s="257">
        <v>0</v>
      </c>
      <c r="AN55" s="258">
        <v>0</v>
      </c>
      <c r="AO55" s="256">
        <v>0</v>
      </c>
      <c r="AP55" s="256">
        <v>0</v>
      </c>
      <c r="AQ55" s="256">
        <v>0</v>
      </c>
      <c r="AR55" s="254">
        <v>0</v>
      </c>
      <c r="AS55" s="256" t="s">
        <v>270</v>
      </c>
      <c r="AT55" s="256" t="s">
        <v>271</v>
      </c>
      <c r="AU55" s="256" t="s">
        <v>271</v>
      </c>
      <c r="AV55" s="254" t="s">
        <v>271</v>
      </c>
      <c r="AW55" s="256" t="s">
        <v>270</v>
      </c>
      <c r="AX55" s="256" t="s">
        <v>271</v>
      </c>
      <c r="AY55" s="256" t="s">
        <v>271</v>
      </c>
      <c r="AZ55" s="254" t="s">
        <v>271</v>
      </c>
      <c r="BA55" s="256" t="s">
        <v>270</v>
      </c>
      <c r="BB55" s="256" t="s">
        <v>271</v>
      </c>
      <c r="BC55" s="256" t="s">
        <v>271</v>
      </c>
      <c r="BD55" s="254" t="s">
        <v>271</v>
      </c>
      <c r="BE55" s="256">
        <v>0</v>
      </c>
      <c r="BF55" s="256">
        <v>0</v>
      </c>
      <c r="BG55" s="256">
        <v>0</v>
      </c>
      <c r="BH55" s="254">
        <v>0</v>
      </c>
      <c r="BI55" s="451">
        <v>0</v>
      </c>
      <c r="BJ55" s="451">
        <v>0</v>
      </c>
      <c r="BK55" s="451">
        <v>0</v>
      </c>
      <c r="BL55" s="452">
        <v>0</v>
      </c>
      <c r="BM55" s="256">
        <v>0</v>
      </c>
      <c r="BN55" s="256">
        <v>0</v>
      </c>
      <c r="BO55" s="256">
        <v>0</v>
      </c>
      <c r="BP55" s="254">
        <v>0</v>
      </c>
      <c r="BQ55" s="256">
        <v>0</v>
      </c>
      <c r="BR55" s="256">
        <v>0</v>
      </c>
      <c r="BS55" s="256">
        <v>0</v>
      </c>
      <c r="BT55" s="254">
        <v>0</v>
      </c>
      <c r="BU55" s="259">
        <v>0</v>
      </c>
      <c r="BV55" s="259">
        <v>0</v>
      </c>
      <c r="BW55" s="259">
        <v>0</v>
      </c>
      <c r="BX55" s="333">
        <v>0</v>
      </c>
      <c r="BY55" s="257">
        <v>0</v>
      </c>
      <c r="BZ55" s="257">
        <v>0</v>
      </c>
      <c r="CA55" s="257">
        <v>0</v>
      </c>
      <c r="CB55" s="257">
        <v>0</v>
      </c>
    </row>
    <row r="56" spans="1:80" s="256" customFormat="1" x14ac:dyDescent="0.35">
      <c r="A56" s="522"/>
      <c r="B56" s="331" t="str">
        <f t="shared" ref="B56:B66" si="4">CONCATENATE("RPU_"&amp;D56)</f>
        <v>RPU_ON_SP198-HH150</v>
      </c>
      <c r="C56" s="98" t="s">
        <v>184</v>
      </c>
      <c r="D56" s="251" t="s">
        <v>40</v>
      </c>
      <c r="E56" s="6">
        <v>0</v>
      </c>
      <c r="F56" s="252">
        <v>0</v>
      </c>
      <c r="G56" s="332" t="s">
        <v>395</v>
      </c>
      <c r="H56" s="332" t="s">
        <v>396</v>
      </c>
      <c r="I56" s="255">
        <v>0</v>
      </c>
      <c r="J56" s="255" t="s">
        <v>12</v>
      </c>
      <c r="K56" s="255">
        <v>0</v>
      </c>
      <c r="L56" s="255">
        <v>0</v>
      </c>
      <c r="M56" s="407">
        <v>0</v>
      </c>
      <c r="N56" s="255">
        <v>0</v>
      </c>
      <c r="O56" s="255">
        <v>0</v>
      </c>
      <c r="P56" s="254">
        <v>0</v>
      </c>
      <c r="Q56" s="260">
        <v>0</v>
      </c>
      <c r="R56" s="260">
        <v>0</v>
      </c>
      <c r="S56" s="260">
        <v>0</v>
      </c>
      <c r="T56" s="316">
        <v>0</v>
      </c>
      <c r="U56" s="256">
        <v>0</v>
      </c>
      <c r="V56" s="256">
        <v>0</v>
      </c>
      <c r="W56" s="256">
        <v>0</v>
      </c>
      <c r="X56" s="254">
        <v>0</v>
      </c>
      <c r="Y56" s="256">
        <v>0</v>
      </c>
      <c r="Z56" s="256">
        <v>0</v>
      </c>
      <c r="AA56" s="256">
        <v>0</v>
      </c>
      <c r="AB56" s="254">
        <v>0</v>
      </c>
      <c r="AC56" s="257">
        <v>0</v>
      </c>
      <c r="AD56" s="257">
        <v>0</v>
      </c>
      <c r="AE56" s="257">
        <v>0</v>
      </c>
      <c r="AF56" s="258">
        <v>0</v>
      </c>
      <c r="AG56" s="257">
        <v>0</v>
      </c>
      <c r="AH56" s="257">
        <v>0</v>
      </c>
      <c r="AI56" s="257">
        <v>0</v>
      </c>
      <c r="AJ56" s="258">
        <v>0</v>
      </c>
      <c r="AK56" s="257">
        <v>0</v>
      </c>
      <c r="AL56" s="257">
        <v>0</v>
      </c>
      <c r="AM56" s="257">
        <v>0</v>
      </c>
      <c r="AN56" s="258">
        <v>0</v>
      </c>
      <c r="AO56" s="256">
        <v>0</v>
      </c>
      <c r="AP56" s="256">
        <v>0</v>
      </c>
      <c r="AQ56" s="256">
        <v>0</v>
      </c>
      <c r="AR56" s="254">
        <v>0</v>
      </c>
      <c r="AS56" s="256" t="s">
        <v>270</v>
      </c>
      <c r="AT56" s="256" t="s">
        <v>271</v>
      </c>
      <c r="AU56" s="256" t="s">
        <v>271</v>
      </c>
      <c r="AV56" s="254" t="s">
        <v>271</v>
      </c>
      <c r="AW56" s="256" t="s">
        <v>270</v>
      </c>
      <c r="AX56" s="256" t="s">
        <v>271</v>
      </c>
      <c r="AY56" s="256" t="s">
        <v>271</v>
      </c>
      <c r="AZ56" s="254" t="s">
        <v>271</v>
      </c>
      <c r="BA56" s="256" t="s">
        <v>270</v>
      </c>
      <c r="BB56" s="256" t="s">
        <v>271</v>
      </c>
      <c r="BC56" s="256" t="s">
        <v>271</v>
      </c>
      <c r="BD56" s="254" t="s">
        <v>271</v>
      </c>
      <c r="BE56" s="256">
        <v>0</v>
      </c>
      <c r="BF56" s="256">
        <v>0</v>
      </c>
      <c r="BG56" s="256">
        <v>0</v>
      </c>
      <c r="BH56" s="254">
        <v>0</v>
      </c>
      <c r="BI56" s="451">
        <v>0</v>
      </c>
      <c r="BJ56" s="451">
        <v>0</v>
      </c>
      <c r="BK56" s="451">
        <v>0</v>
      </c>
      <c r="BL56" s="452">
        <v>0</v>
      </c>
      <c r="BM56" s="256">
        <v>0</v>
      </c>
      <c r="BN56" s="256">
        <v>0</v>
      </c>
      <c r="BO56" s="256">
        <v>0</v>
      </c>
      <c r="BP56" s="254">
        <v>0</v>
      </c>
      <c r="BQ56" s="256">
        <v>0</v>
      </c>
      <c r="BR56" s="256">
        <v>0</v>
      </c>
      <c r="BS56" s="256">
        <v>0</v>
      </c>
      <c r="BT56" s="254">
        <v>0</v>
      </c>
      <c r="BU56" s="259">
        <v>0</v>
      </c>
      <c r="BV56" s="259">
        <v>0</v>
      </c>
      <c r="BW56" s="259">
        <v>0</v>
      </c>
      <c r="BX56" s="333">
        <v>0</v>
      </c>
      <c r="BY56" s="257">
        <v>0</v>
      </c>
      <c r="BZ56" s="257">
        <v>0</v>
      </c>
      <c r="CA56" s="257">
        <v>0</v>
      </c>
      <c r="CB56" s="257">
        <v>0</v>
      </c>
    </row>
    <row r="57" spans="1:80" s="256" customFormat="1" x14ac:dyDescent="0.35">
      <c r="A57" s="522"/>
      <c r="B57" s="331" t="str">
        <f t="shared" si="4"/>
        <v>RPU_ON_SP237-HH100</v>
      </c>
      <c r="C57" s="98" t="s">
        <v>184</v>
      </c>
      <c r="D57" s="251" t="s">
        <v>41</v>
      </c>
      <c r="E57" s="6">
        <v>0</v>
      </c>
      <c r="F57" s="252">
        <v>0</v>
      </c>
      <c r="G57" s="332" t="s">
        <v>395</v>
      </c>
      <c r="H57" s="332" t="s">
        <v>396</v>
      </c>
      <c r="I57" s="255">
        <v>0</v>
      </c>
      <c r="J57" s="255" t="s">
        <v>12</v>
      </c>
      <c r="K57" s="255">
        <v>0</v>
      </c>
      <c r="L57" s="255">
        <v>0</v>
      </c>
      <c r="M57" s="407">
        <v>0</v>
      </c>
      <c r="N57" s="255">
        <v>0</v>
      </c>
      <c r="O57" s="255">
        <v>0</v>
      </c>
      <c r="P57" s="254">
        <v>0</v>
      </c>
      <c r="Q57" s="260">
        <v>0</v>
      </c>
      <c r="R57" s="260">
        <v>0</v>
      </c>
      <c r="S57" s="260">
        <v>0</v>
      </c>
      <c r="T57" s="316">
        <v>0</v>
      </c>
      <c r="U57" s="256">
        <v>0</v>
      </c>
      <c r="V57" s="256">
        <v>0</v>
      </c>
      <c r="W57" s="256">
        <v>0</v>
      </c>
      <c r="X57" s="254">
        <v>0</v>
      </c>
      <c r="Y57" s="256">
        <v>0</v>
      </c>
      <c r="Z57" s="256">
        <v>0</v>
      </c>
      <c r="AA57" s="256">
        <v>0</v>
      </c>
      <c r="AB57" s="254">
        <v>0</v>
      </c>
      <c r="AC57" s="257">
        <v>0</v>
      </c>
      <c r="AD57" s="257">
        <v>0</v>
      </c>
      <c r="AE57" s="257">
        <v>0</v>
      </c>
      <c r="AF57" s="258">
        <v>0</v>
      </c>
      <c r="AG57" s="257">
        <v>0</v>
      </c>
      <c r="AH57" s="257">
        <v>0</v>
      </c>
      <c r="AI57" s="257">
        <v>0</v>
      </c>
      <c r="AJ57" s="258">
        <v>0</v>
      </c>
      <c r="AK57" s="257">
        <v>0</v>
      </c>
      <c r="AL57" s="257">
        <v>0</v>
      </c>
      <c r="AM57" s="257">
        <v>0</v>
      </c>
      <c r="AN57" s="258">
        <v>0</v>
      </c>
      <c r="AO57" s="256">
        <v>0</v>
      </c>
      <c r="AP57" s="256">
        <v>0</v>
      </c>
      <c r="AQ57" s="256">
        <v>0</v>
      </c>
      <c r="AR57" s="254">
        <v>0</v>
      </c>
      <c r="AS57" s="256" t="s">
        <v>270</v>
      </c>
      <c r="AT57" s="256" t="s">
        <v>271</v>
      </c>
      <c r="AU57" s="256" t="s">
        <v>271</v>
      </c>
      <c r="AV57" s="254" t="s">
        <v>271</v>
      </c>
      <c r="AW57" s="256" t="s">
        <v>270</v>
      </c>
      <c r="AX57" s="256" t="s">
        <v>271</v>
      </c>
      <c r="AY57" s="256" t="s">
        <v>271</v>
      </c>
      <c r="AZ57" s="254" t="s">
        <v>271</v>
      </c>
      <c r="BA57" s="256" t="s">
        <v>270</v>
      </c>
      <c r="BB57" s="256" t="s">
        <v>271</v>
      </c>
      <c r="BC57" s="256" t="s">
        <v>271</v>
      </c>
      <c r="BD57" s="254" t="s">
        <v>271</v>
      </c>
      <c r="BE57" s="256">
        <v>0</v>
      </c>
      <c r="BF57" s="256">
        <v>0</v>
      </c>
      <c r="BG57" s="256">
        <v>0</v>
      </c>
      <c r="BH57" s="254">
        <v>0</v>
      </c>
      <c r="BI57" s="451">
        <v>0</v>
      </c>
      <c r="BJ57" s="451">
        <v>0</v>
      </c>
      <c r="BK57" s="451">
        <v>0</v>
      </c>
      <c r="BL57" s="452">
        <v>0</v>
      </c>
      <c r="BM57" s="256">
        <v>0</v>
      </c>
      <c r="BN57" s="256">
        <v>0</v>
      </c>
      <c r="BO57" s="256">
        <v>0</v>
      </c>
      <c r="BP57" s="254">
        <v>0</v>
      </c>
      <c r="BQ57" s="256">
        <v>0</v>
      </c>
      <c r="BR57" s="256">
        <v>0</v>
      </c>
      <c r="BS57" s="256">
        <v>0</v>
      </c>
      <c r="BT57" s="254">
        <v>0</v>
      </c>
      <c r="BU57" s="259">
        <v>0</v>
      </c>
      <c r="BV57" s="259">
        <v>0</v>
      </c>
      <c r="BW57" s="259">
        <v>0</v>
      </c>
      <c r="BX57" s="333">
        <v>0</v>
      </c>
      <c r="BY57" s="257">
        <v>0</v>
      </c>
      <c r="BZ57" s="257">
        <v>0</v>
      </c>
      <c r="CA57" s="257">
        <v>0</v>
      </c>
      <c r="CB57" s="257">
        <v>0</v>
      </c>
    </row>
    <row r="58" spans="1:80" s="256" customFormat="1" x14ac:dyDescent="0.35">
      <c r="A58" s="522"/>
      <c r="B58" s="331" t="str">
        <f t="shared" si="4"/>
        <v>RPU_ON_SP237-HH150</v>
      </c>
      <c r="C58" s="98" t="s">
        <v>184</v>
      </c>
      <c r="D58" s="251" t="s">
        <v>42</v>
      </c>
      <c r="E58" s="6">
        <v>0</v>
      </c>
      <c r="F58" s="252">
        <v>0</v>
      </c>
      <c r="G58" s="332" t="s">
        <v>395</v>
      </c>
      <c r="H58" s="332" t="s">
        <v>396</v>
      </c>
      <c r="I58" s="255">
        <v>0</v>
      </c>
      <c r="J58" s="255" t="s">
        <v>12</v>
      </c>
      <c r="K58" s="255">
        <v>0</v>
      </c>
      <c r="L58" s="255">
        <v>0</v>
      </c>
      <c r="M58" s="407">
        <v>0</v>
      </c>
      <c r="N58" s="255">
        <v>0</v>
      </c>
      <c r="O58" s="255">
        <v>0</v>
      </c>
      <c r="P58" s="254">
        <v>0</v>
      </c>
      <c r="Q58" s="260">
        <v>0</v>
      </c>
      <c r="R58" s="260">
        <v>0</v>
      </c>
      <c r="S58" s="260">
        <v>0</v>
      </c>
      <c r="T58" s="316">
        <v>0</v>
      </c>
      <c r="U58" s="256">
        <v>0</v>
      </c>
      <c r="V58" s="256">
        <v>0</v>
      </c>
      <c r="W58" s="256">
        <v>0</v>
      </c>
      <c r="X58" s="254">
        <v>0</v>
      </c>
      <c r="Y58" s="256">
        <v>0</v>
      </c>
      <c r="Z58" s="256">
        <v>0</v>
      </c>
      <c r="AA58" s="256">
        <v>0</v>
      </c>
      <c r="AB58" s="254">
        <v>0</v>
      </c>
      <c r="AC58" s="257">
        <v>0</v>
      </c>
      <c r="AD58" s="257">
        <v>0</v>
      </c>
      <c r="AE58" s="257">
        <v>0</v>
      </c>
      <c r="AF58" s="258">
        <v>0</v>
      </c>
      <c r="AG58" s="257">
        <v>0</v>
      </c>
      <c r="AH58" s="257">
        <v>0</v>
      </c>
      <c r="AI58" s="257">
        <v>0</v>
      </c>
      <c r="AJ58" s="258">
        <v>0</v>
      </c>
      <c r="AK58" s="257">
        <v>0</v>
      </c>
      <c r="AL58" s="257">
        <v>0</v>
      </c>
      <c r="AM58" s="257">
        <v>0</v>
      </c>
      <c r="AN58" s="258">
        <v>0</v>
      </c>
      <c r="AO58" s="256">
        <v>0</v>
      </c>
      <c r="AP58" s="256">
        <v>0</v>
      </c>
      <c r="AQ58" s="256">
        <v>0</v>
      </c>
      <c r="AR58" s="254">
        <v>0</v>
      </c>
      <c r="AS58" s="256" t="s">
        <v>270</v>
      </c>
      <c r="AT58" s="256" t="s">
        <v>271</v>
      </c>
      <c r="AU58" s="256" t="s">
        <v>271</v>
      </c>
      <c r="AV58" s="254" t="s">
        <v>271</v>
      </c>
      <c r="AW58" s="256" t="s">
        <v>270</v>
      </c>
      <c r="AX58" s="256" t="s">
        <v>271</v>
      </c>
      <c r="AY58" s="256" t="s">
        <v>271</v>
      </c>
      <c r="AZ58" s="254" t="s">
        <v>271</v>
      </c>
      <c r="BA58" s="256" t="s">
        <v>270</v>
      </c>
      <c r="BB58" s="256" t="s">
        <v>271</v>
      </c>
      <c r="BC58" s="256" t="s">
        <v>271</v>
      </c>
      <c r="BD58" s="254" t="s">
        <v>271</v>
      </c>
      <c r="BE58" s="256">
        <v>0</v>
      </c>
      <c r="BF58" s="256">
        <v>0</v>
      </c>
      <c r="BG58" s="256">
        <v>0</v>
      </c>
      <c r="BH58" s="254">
        <v>0</v>
      </c>
      <c r="BI58" s="451">
        <v>0</v>
      </c>
      <c r="BJ58" s="451">
        <v>0</v>
      </c>
      <c r="BK58" s="451">
        <v>0</v>
      </c>
      <c r="BL58" s="452">
        <v>0</v>
      </c>
      <c r="BM58" s="256">
        <v>0</v>
      </c>
      <c r="BN58" s="256">
        <v>0</v>
      </c>
      <c r="BO58" s="256">
        <v>0</v>
      </c>
      <c r="BP58" s="254">
        <v>0</v>
      </c>
      <c r="BQ58" s="256">
        <v>0</v>
      </c>
      <c r="BR58" s="256">
        <v>0</v>
      </c>
      <c r="BS58" s="256">
        <v>0</v>
      </c>
      <c r="BT58" s="254">
        <v>0</v>
      </c>
      <c r="BU58" s="259">
        <v>0</v>
      </c>
      <c r="BV58" s="259">
        <v>0</v>
      </c>
      <c r="BW58" s="259">
        <v>0</v>
      </c>
      <c r="BX58" s="333">
        <v>0</v>
      </c>
      <c r="BY58" s="257">
        <v>0</v>
      </c>
      <c r="BZ58" s="257">
        <v>0</v>
      </c>
      <c r="CA58" s="257">
        <v>0</v>
      </c>
      <c r="CB58" s="257">
        <v>0</v>
      </c>
    </row>
    <row r="59" spans="1:80" s="256" customFormat="1" x14ac:dyDescent="0.35">
      <c r="A59" s="522"/>
      <c r="B59" s="331" t="str">
        <f t="shared" si="4"/>
        <v>RPU_ON_SP277-HH100</v>
      </c>
      <c r="C59" s="98" t="s">
        <v>184</v>
      </c>
      <c r="D59" s="251" t="s">
        <v>43</v>
      </c>
      <c r="E59" s="6">
        <v>0</v>
      </c>
      <c r="F59" s="252">
        <v>0</v>
      </c>
      <c r="G59" s="332" t="s">
        <v>395</v>
      </c>
      <c r="H59" s="332" t="s">
        <v>396</v>
      </c>
      <c r="I59" s="255">
        <v>0</v>
      </c>
      <c r="J59" s="255" t="s">
        <v>12</v>
      </c>
      <c r="K59" s="255">
        <v>0</v>
      </c>
      <c r="L59" s="255">
        <v>0</v>
      </c>
      <c r="M59" s="407">
        <v>0</v>
      </c>
      <c r="N59" s="255">
        <v>0</v>
      </c>
      <c r="O59" s="255">
        <v>0</v>
      </c>
      <c r="P59" s="254">
        <v>0</v>
      </c>
      <c r="Q59" s="260">
        <v>0</v>
      </c>
      <c r="R59" s="260">
        <v>0</v>
      </c>
      <c r="S59" s="260">
        <v>0</v>
      </c>
      <c r="T59" s="316">
        <v>0</v>
      </c>
      <c r="U59" s="256">
        <v>0</v>
      </c>
      <c r="V59" s="256">
        <v>0</v>
      </c>
      <c r="W59" s="256">
        <v>0</v>
      </c>
      <c r="X59" s="254">
        <v>0</v>
      </c>
      <c r="Y59" s="256">
        <v>0</v>
      </c>
      <c r="Z59" s="256">
        <v>0</v>
      </c>
      <c r="AA59" s="256">
        <v>0</v>
      </c>
      <c r="AB59" s="254">
        <v>0</v>
      </c>
      <c r="AC59" s="257">
        <v>0</v>
      </c>
      <c r="AD59" s="257">
        <v>0</v>
      </c>
      <c r="AE59" s="257">
        <v>0</v>
      </c>
      <c r="AF59" s="258">
        <v>0</v>
      </c>
      <c r="AG59" s="257">
        <v>0</v>
      </c>
      <c r="AH59" s="257">
        <v>0</v>
      </c>
      <c r="AI59" s="257">
        <v>0</v>
      </c>
      <c r="AJ59" s="258">
        <v>0</v>
      </c>
      <c r="AK59" s="257">
        <v>0</v>
      </c>
      <c r="AL59" s="257">
        <v>0</v>
      </c>
      <c r="AM59" s="257">
        <v>0</v>
      </c>
      <c r="AN59" s="258">
        <v>0</v>
      </c>
      <c r="AO59" s="256">
        <v>0</v>
      </c>
      <c r="AP59" s="256">
        <v>0</v>
      </c>
      <c r="AQ59" s="256">
        <v>0</v>
      </c>
      <c r="AR59" s="254">
        <v>0</v>
      </c>
      <c r="AS59" s="256" t="s">
        <v>270</v>
      </c>
      <c r="AT59" s="256" t="s">
        <v>271</v>
      </c>
      <c r="AU59" s="256" t="s">
        <v>271</v>
      </c>
      <c r="AV59" s="254" t="s">
        <v>271</v>
      </c>
      <c r="AW59" s="256" t="s">
        <v>270</v>
      </c>
      <c r="AX59" s="256" t="s">
        <v>271</v>
      </c>
      <c r="AY59" s="256" t="s">
        <v>271</v>
      </c>
      <c r="AZ59" s="254" t="s">
        <v>271</v>
      </c>
      <c r="BA59" s="256" t="s">
        <v>270</v>
      </c>
      <c r="BB59" s="256" t="s">
        <v>271</v>
      </c>
      <c r="BC59" s="256" t="s">
        <v>271</v>
      </c>
      <c r="BD59" s="254" t="s">
        <v>271</v>
      </c>
      <c r="BE59" s="256">
        <v>0</v>
      </c>
      <c r="BF59" s="256">
        <v>0</v>
      </c>
      <c r="BG59" s="256">
        <v>0</v>
      </c>
      <c r="BH59" s="254">
        <v>0</v>
      </c>
      <c r="BI59" s="451">
        <v>0</v>
      </c>
      <c r="BJ59" s="451">
        <v>0</v>
      </c>
      <c r="BK59" s="451">
        <v>0</v>
      </c>
      <c r="BL59" s="452">
        <v>0</v>
      </c>
      <c r="BM59" s="256">
        <v>0</v>
      </c>
      <c r="BN59" s="256">
        <v>0</v>
      </c>
      <c r="BO59" s="256">
        <v>0</v>
      </c>
      <c r="BP59" s="254">
        <v>0</v>
      </c>
      <c r="BQ59" s="256">
        <v>0</v>
      </c>
      <c r="BR59" s="256">
        <v>0</v>
      </c>
      <c r="BS59" s="256">
        <v>0</v>
      </c>
      <c r="BT59" s="254">
        <v>0</v>
      </c>
      <c r="BU59" s="259">
        <v>0</v>
      </c>
      <c r="BV59" s="259">
        <v>0</v>
      </c>
      <c r="BW59" s="259">
        <v>0</v>
      </c>
      <c r="BX59" s="333">
        <v>0</v>
      </c>
      <c r="BY59" s="257">
        <v>0</v>
      </c>
      <c r="BZ59" s="257">
        <v>0</v>
      </c>
      <c r="CA59" s="257">
        <v>0</v>
      </c>
      <c r="CB59" s="257">
        <v>0</v>
      </c>
    </row>
    <row r="60" spans="1:80" s="256" customFormat="1" x14ac:dyDescent="0.35">
      <c r="A60" s="522"/>
      <c r="B60" s="331" t="str">
        <f t="shared" si="4"/>
        <v>RPU_ON_SP277-HH150</v>
      </c>
      <c r="C60" s="98" t="s">
        <v>184</v>
      </c>
      <c r="D60" s="251" t="s">
        <v>44</v>
      </c>
      <c r="E60" s="6">
        <v>0</v>
      </c>
      <c r="F60" s="252">
        <v>0</v>
      </c>
      <c r="G60" s="332" t="s">
        <v>395</v>
      </c>
      <c r="H60" s="332" t="s">
        <v>396</v>
      </c>
      <c r="I60" s="255">
        <v>0</v>
      </c>
      <c r="J60" s="255" t="s">
        <v>12</v>
      </c>
      <c r="K60" s="255">
        <v>0</v>
      </c>
      <c r="L60" s="255">
        <v>0</v>
      </c>
      <c r="M60" s="407">
        <v>0</v>
      </c>
      <c r="N60" s="255">
        <v>0</v>
      </c>
      <c r="O60" s="255">
        <v>0</v>
      </c>
      <c r="P60" s="254">
        <v>0</v>
      </c>
      <c r="Q60" s="260">
        <v>0</v>
      </c>
      <c r="R60" s="260">
        <v>0</v>
      </c>
      <c r="S60" s="260">
        <v>0</v>
      </c>
      <c r="T60" s="316">
        <v>0</v>
      </c>
      <c r="U60" s="256">
        <v>0</v>
      </c>
      <c r="V60" s="256">
        <v>0</v>
      </c>
      <c r="W60" s="256">
        <v>0</v>
      </c>
      <c r="X60" s="254">
        <v>0</v>
      </c>
      <c r="Y60" s="256">
        <v>0</v>
      </c>
      <c r="Z60" s="256">
        <v>0</v>
      </c>
      <c r="AA60" s="256">
        <v>0</v>
      </c>
      <c r="AB60" s="254">
        <v>0</v>
      </c>
      <c r="AC60" s="257">
        <v>0</v>
      </c>
      <c r="AD60" s="257">
        <v>0</v>
      </c>
      <c r="AE60" s="257">
        <v>0</v>
      </c>
      <c r="AF60" s="258">
        <v>0</v>
      </c>
      <c r="AG60" s="257">
        <v>0</v>
      </c>
      <c r="AH60" s="257">
        <v>0</v>
      </c>
      <c r="AI60" s="257">
        <v>0</v>
      </c>
      <c r="AJ60" s="258">
        <v>0</v>
      </c>
      <c r="AK60" s="257">
        <v>0</v>
      </c>
      <c r="AL60" s="257">
        <v>0</v>
      </c>
      <c r="AM60" s="257">
        <v>0</v>
      </c>
      <c r="AN60" s="258">
        <v>0</v>
      </c>
      <c r="AO60" s="256">
        <v>0</v>
      </c>
      <c r="AP60" s="256">
        <v>0</v>
      </c>
      <c r="AQ60" s="256">
        <v>0</v>
      </c>
      <c r="AR60" s="254">
        <v>0</v>
      </c>
      <c r="AS60" s="256" t="s">
        <v>270</v>
      </c>
      <c r="AT60" s="256" t="s">
        <v>271</v>
      </c>
      <c r="AU60" s="256" t="s">
        <v>271</v>
      </c>
      <c r="AV60" s="254" t="s">
        <v>271</v>
      </c>
      <c r="AW60" s="256" t="s">
        <v>270</v>
      </c>
      <c r="AX60" s="256" t="s">
        <v>271</v>
      </c>
      <c r="AY60" s="256" t="s">
        <v>271</v>
      </c>
      <c r="AZ60" s="254" t="s">
        <v>271</v>
      </c>
      <c r="BA60" s="256" t="s">
        <v>270</v>
      </c>
      <c r="BB60" s="256" t="s">
        <v>271</v>
      </c>
      <c r="BC60" s="256" t="s">
        <v>271</v>
      </c>
      <c r="BD60" s="254" t="s">
        <v>271</v>
      </c>
      <c r="BE60" s="256">
        <v>0</v>
      </c>
      <c r="BF60" s="256">
        <v>0</v>
      </c>
      <c r="BG60" s="256">
        <v>0</v>
      </c>
      <c r="BH60" s="254">
        <v>0</v>
      </c>
      <c r="BI60" s="451">
        <v>0</v>
      </c>
      <c r="BJ60" s="451">
        <v>0</v>
      </c>
      <c r="BK60" s="451">
        <v>0</v>
      </c>
      <c r="BL60" s="452">
        <v>0</v>
      </c>
      <c r="BM60" s="256">
        <v>0</v>
      </c>
      <c r="BN60" s="256">
        <v>0</v>
      </c>
      <c r="BO60" s="256">
        <v>0</v>
      </c>
      <c r="BP60" s="254">
        <v>0</v>
      </c>
      <c r="BQ60" s="256">
        <v>0</v>
      </c>
      <c r="BR60" s="256">
        <v>0</v>
      </c>
      <c r="BS60" s="256">
        <v>0</v>
      </c>
      <c r="BT60" s="254">
        <v>0</v>
      </c>
      <c r="BU60" s="259">
        <v>0</v>
      </c>
      <c r="BV60" s="259">
        <v>0</v>
      </c>
      <c r="BW60" s="259">
        <v>0</v>
      </c>
      <c r="BX60" s="333">
        <v>0</v>
      </c>
      <c r="BY60" s="257">
        <v>0</v>
      </c>
      <c r="BZ60" s="257">
        <v>0</v>
      </c>
      <c r="CA60" s="257">
        <v>0</v>
      </c>
      <c r="CB60" s="257">
        <v>0</v>
      </c>
    </row>
    <row r="61" spans="1:80" s="256" customFormat="1" x14ac:dyDescent="0.35">
      <c r="A61" s="522"/>
      <c r="B61" s="331" t="str">
        <f t="shared" si="4"/>
        <v>RPU_ON_SP321-HH100</v>
      </c>
      <c r="C61" s="98" t="s">
        <v>184</v>
      </c>
      <c r="D61" s="251" t="s">
        <v>45</v>
      </c>
      <c r="E61" s="6">
        <v>0</v>
      </c>
      <c r="F61" s="252">
        <v>0</v>
      </c>
      <c r="G61" s="332" t="s">
        <v>395</v>
      </c>
      <c r="H61" s="332" t="s">
        <v>396</v>
      </c>
      <c r="I61" s="255">
        <v>0</v>
      </c>
      <c r="J61" s="255" t="s">
        <v>12</v>
      </c>
      <c r="K61" s="255">
        <v>0</v>
      </c>
      <c r="L61" s="255">
        <v>0</v>
      </c>
      <c r="M61" s="407">
        <v>0</v>
      </c>
      <c r="N61" s="255">
        <v>0</v>
      </c>
      <c r="O61" s="255">
        <v>0</v>
      </c>
      <c r="P61" s="254">
        <v>0</v>
      </c>
      <c r="Q61" s="260">
        <v>0</v>
      </c>
      <c r="R61" s="260">
        <v>0</v>
      </c>
      <c r="S61" s="260">
        <v>0</v>
      </c>
      <c r="T61" s="316">
        <v>0</v>
      </c>
      <c r="U61" s="256">
        <v>0</v>
      </c>
      <c r="V61" s="256">
        <v>0</v>
      </c>
      <c r="W61" s="256">
        <v>0</v>
      </c>
      <c r="X61" s="254">
        <v>0</v>
      </c>
      <c r="Y61" s="256">
        <v>0</v>
      </c>
      <c r="Z61" s="256">
        <v>0</v>
      </c>
      <c r="AA61" s="256">
        <v>0</v>
      </c>
      <c r="AB61" s="254">
        <v>0</v>
      </c>
      <c r="AC61" s="257">
        <v>0</v>
      </c>
      <c r="AD61" s="257">
        <v>0</v>
      </c>
      <c r="AE61" s="257">
        <v>0</v>
      </c>
      <c r="AF61" s="258">
        <v>0</v>
      </c>
      <c r="AG61" s="257">
        <v>0</v>
      </c>
      <c r="AH61" s="257">
        <v>0</v>
      </c>
      <c r="AI61" s="257">
        <v>0</v>
      </c>
      <c r="AJ61" s="258">
        <v>0</v>
      </c>
      <c r="AK61" s="257">
        <v>0</v>
      </c>
      <c r="AL61" s="257">
        <v>0</v>
      </c>
      <c r="AM61" s="257">
        <v>0</v>
      </c>
      <c r="AN61" s="258">
        <v>0</v>
      </c>
      <c r="AO61" s="256">
        <v>0</v>
      </c>
      <c r="AP61" s="256">
        <v>0</v>
      </c>
      <c r="AQ61" s="256">
        <v>0</v>
      </c>
      <c r="AR61" s="254">
        <v>0</v>
      </c>
      <c r="AS61" s="256" t="s">
        <v>270</v>
      </c>
      <c r="AT61" s="256" t="s">
        <v>271</v>
      </c>
      <c r="AU61" s="256" t="s">
        <v>271</v>
      </c>
      <c r="AV61" s="254" t="s">
        <v>271</v>
      </c>
      <c r="AW61" s="256" t="s">
        <v>270</v>
      </c>
      <c r="AX61" s="256" t="s">
        <v>271</v>
      </c>
      <c r="AY61" s="256" t="s">
        <v>271</v>
      </c>
      <c r="AZ61" s="254" t="s">
        <v>271</v>
      </c>
      <c r="BA61" s="256" t="s">
        <v>270</v>
      </c>
      <c r="BB61" s="256" t="s">
        <v>271</v>
      </c>
      <c r="BC61" s="256" t="s">
        <v>271</v>
      </c>
      <c r="BD61" s="254" t="s">
        <v>271</v>
      </c>
      <c r="BE61" s="256">
        <v>0</v>
      </c>
      <c r="BF61" s="256">
        <v>0</v>
      </c>
      <c r="BG61" s="256">
        <v>0</v>
      </c>
      <c r="BH61" s="254">
        <v>0</v>
      </c>
      <c r="BI61" s="451">
        <v>0</v>
      </c>
      <c r="BJ61" s="451">
        <v>0</v>
      </c>
      <c r="BK61" s="451">
        <v>0</v>
      </c>
      <c r="BL61" s="452">
        <v>0</v>
      </c>
      <c r="BM61" s="256">
        <v>0</v>
      </c>
      <c r="BN61" s="256">
        <v>0</v>
      </c>
      <c r="BO61" s="256">
        <v>0</v>
      </c>
      <c r="BP61" s="254">
        <v>0</v>
      </c>
      <c r="BQ61" s="256">
        <v>0</v>
      </c>
      <c r="BR61" s="256">
        <v>0</v>
      </c>
      <c r="BS61" s="256">
        <v>0</v>
      </c>
      <c r="BT61" s="254">
        <v>0</v>
      </c>
      <c r="BU61" s="259">
        <v>0</v>
      </c>
      <c r="BV61" s="259">
        <v>0</v>
      </c>
      <c r="BW61" s="259">
        <v>0</v>
      </c>
      <c r="BX61" s="333">
        <v>0</v>
      </c>
      <c r="BY61" s="257">
        <v>0</v>
      </c>
      <c r="BZ61" s="257">
        <v>0</v>
      </c>
      <c r="CA61" s="257">
        <v>0</v>
      </c>
      <c r="CB61" s="257">
        <v>0</v>
      </c>
    </row>
    <row r="62" spans="1:80" s="256" customFormat="1" x14ac:dyDescent="0.35">
      <c r="A62" s="522"/>
      <c r="B62" s="331" t="str">
        <f t="shared" si="4"/>
        <v>RPU_ON_SP321-HH150</v>
      </c>
      <c r="C62" s="98" t="s">
        <v>184</v>
      </c>
      <c r="D62" s="251" t="s">
        <v>46</v>
      </c>
      <c r="E62" s="6">
        <v>0</v>
      </c>
      <c r="F62" s="252">
        <v>0</v>
      </c>
      <c r="G62" s="332" t="s">
        <v>395</v>
      </c>
      <c r="H62" s="332" t="s">
        <v>396</v>
      </c>
      <c r="I62" s="255">
        <v>0</v>
      </c>
      <c r="J62" s="255" t="s">
        <v>12</v>
      </c>
      <c r="K62" s="255">
        <v>0</v>
      </c>
      <c r="L62" s="255">
        <v>0</v>
      </c>
      <c r="M62" s="407">
        <v>0</v>
      </c>
      <c r="N62" s="255">
        <v>0</v>
      </c>
      <c r="O62" s="255">
        <v>0</v>
      </c>
      <c r="P62" s="254">
        <v>0</v>
      </c>
      <c r="Q62" s="260">
        <v>0</v>
      </c>
      <c r="R62" s="260">
        <v>0</v>
      </c>
      <c r="S62" s="260">
        <v>0</v>
      </c>
      <c r="T62" s="316">
        <v>0</v>
      </c>
      <c r="U62" s="256">
        <v>0</v>
      </c>
      <c r="V62" s="256">
        <v>0</v>
      </c>
      <c r="W62" s="256">
        <v>0</v>
      </c>
      <c r="X62" s="254">
        <v>0</v>
      </c>
      <c r="Y62" s="256">
        <v>0</v>
      </c>
      <c r="Z62" s="256">
        <v>0</v>
      </c>
      <c r="AA62" s="256">
        <v>0</v>
      </c>
      <c r="AB62" s="254">
        <v>0</v>
      </c>
      <c r="AC62" s="257">
        <v>0</v>
      </c>
      <c r="AD62" s="257">
        <v>0</v>
      </c>
      <c r="AE62" s="257">
        <v>0</v>
      </c>
      <c r="AF62" s="258">
        <v>0</v>
      </c>
      <c r="AG62" s="257">
        <v>0</v>
      </c>
      <c r="AH62" s="257">
        <v>0</v>
      </c>
      <c r="AI62" s="257">
        <v>0</v>
      </c>
      <c r="AJ62" s="258">
        <v>0</v>
      </c>
      <c r="AK62" s="257">
        <v>0</v>
      </c>
      <c r="AL62" s="257">
        <v>0</v>
      </c>
      <c r="AM62" s="257">
        <v>0</v>
      </c>
      <c r="AN62" s="258">
        <v>0</v>
      </c>
      <c r="AO62" s="256">
        <v>0</v>
      </c>
      <c r="AP62" s="256">
        <v>0</v>
      </c>
      <c r="AQ62" s="256">
        <v>0</v>
      </c>
      <c r="AR62" s="254">
        <v>0</v>
      </c>
      <c r="AS62" s="256" t="s">
        <v>270</v>
      </c>
      <c r="AT62" s="256" t="s">
        <v>271</v>
      </c>
      <c r="AU62" s="256" t="s">
        <v>271</v>
      </c>
      <c r="AV62" s="254" t="s">
        <v>271</v>
      </c>
      <c r="AW62" s="256" t="s">
        <v>270</v>
      </c>
      <c r="AX62" s="256" t="s">
        <v>271</v>
      </c>
      <c r="AY62" s="256" t="s">
        <v>271</v>
      </c>
      <c r="AZ62" s="254" t="s">
        <v>271</v>
      </c>
      <c r="BA62" s="256" t="s">
        <v>270</v>
      </c>
      <c r="BB62" s="256" t="s">
        <v>271</v>
      </c>
      <c r="BC62" s="256" t="s">
        <v>271</v>
      </c>
      <c r="BD62" s="254" t="s">
        <v>271</v>
      </c>
      <c r="BE62" s="256">
        <v>0</v>
      </c>
      <c r="BF62" s="256">
        <v>0</v>
      </c>
      <c r="BG62" s="256">
        <v>0</v>
      </c>
      <c r="BH62" s="254">
        <v>0</v>
      </c>
      <c r="BI62" s="451">
        <v>0</v>
      </c>
      <c r="BJ62" s="451">
        <v>0</v>
      </c>
      <c r="BK62" s="451">
        <v>0</v>
      </c>
      <c r="BL62" s="452">
        <v>0</v>
      </c>
      <c r="BM62" s="256">
        <v>0</v>
      </c>
      <c r="BN62" s="256">
        <v>0</v>
      </c>
      <c r="BO62" s="256">
        <v>0</v>
      </c>
      <c r="BP62" s="254">
        <v>0</v>
      </c>
      <c r="BQ62" s="256">
        <v>0</v>
      </c>
      <c r="BR62" s="256">
        <v>0</v>
      </c>
      <c r="BS62" s="256">
        <v>0</v>
      </c>
      <c r="BT62" s="254">
        <v>0</v>
      </c>
      <c r="BU62" s="259">
        <v>0</v>
      </c>
      <c r="BV62" s="259">
        <v>0</v>
      </c>
      <c r="BW62" s="259">
        <v>0</v>
      </c>
      <c r="BX62" s="333">
        <v>0</v>
      </c>
      <c r="BY62" s="257">
        <v>0</v>
      </c>
      <c r="BZ62" s="257">
        <v>0</v>
      </c>
      <c r="CA62" s="257">
        <v>0</v>
      </c>
      <c r="CB62" s="257">
        <v>0</v>
      </c>
    </row>
    <row r="63" spans="1:80" s="266" customFormat="1" x14ac:dyDescent="0.35">
      <c r="A63" s="522"/>
      <c r="B63" s="334" t="str">
        <f t="shared" si="4"/>
        <v>RPU_OFF_SP379-HH100</v>
      </c>
      <c r="C63" s="261" t="s">
        <v>184</v>
      </c>
      <c r="D63" s="262" t="s">
        <v>47</v>
      </c>
      <c r="E63" s="6">
        <v>0</v>
      </c>
      <c r="F63" s="263">
        <v>0</v>
      </c>
      <c r="G63" s="335" t="s">
        <v>395</v>
      </c>
      <c r="H63" s="335" t="s">
        <v>396</v>
      </c>
      <c r="I63" s="265">
        <v>0</v>
      </c>
      <c r="J63" s="265" t="s">
        <v>12</v>
      </c>
      <c r="K63" s="265">
        <v>0</v>
      </c>
      <c r="L63" s="265">
        <v>0</v>
      </c>
      <c r="M63" s="421">
        <v>0</v>
      </c>
      <c r="N63" s="265">
        <v>0</v>
      </c>
      <c r="O63" s="265">
        <v>0</v>
      </c>
      <c r="P63" s="264">
        <v>0</v>
      </c>
      <c r="Q63" s="270">
        <v>0</v>
      </c>
      <c r="R63" s="270">
        <v>0</v>
      </c>
      <c r="S63" s="270">
        <v>0</v>
      </c>
      <c r="T63" s="336">
        <v>0</v>
      </c>
      <c r="U63" s="266">
        <v>0</v>
      </c>
      <c r="V63" s="266">
        <v>0</v>
      </c>
      <c r="W63" s="266">
        <v>0</v>
      </c>
      <c r="X63" s="264">
        <v>0</v>
      </c>
      <c r="Y63" s="266">
        <v>0</v>
      </c>
      <c r="Z63" s="266">
        <v>0</v>
      </c>
      <c r="AA63" s="266">
        <v>0</v>
      </c>
      <c r="AB63" s="264">
        <v>0</v>
      </c>
      <c r="AC63" s="267">
        <v>0</v>
      </c>
      <c r="AD63" s="267">
        <v>0</v>
      </c>
      <c r="AE63" s="267">
        <v>0</v>
      </c>
      <c r="AF63" s="268">
        <v>0</v>
      </c>
      <c r="AG63" s="267">
        <v>0</v>
      </c>
      <c r="AH63" s="267">
        <v>0</v>
      </c>
      <c r="AI63" s="267">
        <v>0</v>
      </c>
      <c r="AJ63" s="268">
        <v>0</v>
      </c>
      <c r="AK63" s="267">
        <v>0</v>
      </c>
      <c r="AL63" s="267">
        <v>0</v>
      </c>
      <c r="AM63" s="267">
        <v>0</v>
      </c>
      <c r="AN63" s="268">
        <v>0</v>
      </c>
      <c r="AO63" s="266">
        <v>0</v>
      </c>
      <c r="AP63" s="266">
        <v>0</v>
      </c>
      <c r="AQ63" s="266">
        <v>0</v>
      </c>
      <c r="AR63" s="264">
        <v>0</v>
      </c>
      <c r="AS63" s="266" t="s">
        <v>270</v>
      </c>
      <c r="AT63" s="266" t="s">
        <v>271</v>
      </c>
      <c r="AU63" s="266" t="s">
        <v>271</v>
      </c>
      <c r="AV63" s="264" t="s">
        <v>271</v>
      </c>
      <c r="AW63" s="266" t="s">
        <v>270</v>
      </c>
      <c r="AX63" s="266" t="s">
        <v>271</v>
      </c>
      <c r="AY63" s="266" t="s">
        <v>271</v>
      </c>
      <c r="AZ63" s="264" t="s">
        <v>271</v>
      </c>
      <c r="BA63" s="266" t="s">
        <v>270</v>
      </c>
      <c r="BB63" s="266" t="s">
        <v>271</v>
      </c>
      <c r="BC63" s="266" t="s">
        <v>271</v>
      </c>
      <c r="BD63" s="264" t="s">
        <v>271</v>
      </c>
      <c r="BE63" s="266">
        <v>0</v>
      </c>
      <c r="BF63" s="266">
        <v>0</v>
      </c>
      <c r="BG63" s="266">
        <v>0</v>
      </c>
      <c r="BH63" s="264">
        <v>0</v>
      </c>
      <c r="BI63" s="266">
        <v>0</v>
      </c>
      <c r="BJ63" s="266">
        <v>0</v>
      </c>
      <c r="BK63" s="266">
        <v>0</v>
      </c>
      <c r="BL63" s="264">
        <v>0</v>
      </c>
      <c r="BM63" s="266">
        <v>0</v>
      </c>
      <c r="BN63" s="266">
        <v>0</v>
      </c>
      <c r="BO63" s="266">
        <v>0</v>
      </c>
      <c r="BP63" s="264">
        <v>0</v>
      </c>
      <c r="BQ63" s="266">
        <v>0</v>
      </c>
      <c r="BR63" s="266">
        <v>0</v>
      </c>
      <c r="BS63" s="266">
        <v>0</v>
      </c>
      <c r="BT63" s="264">
        <v>0</v>
      </c>
      <c r="BU63" s="269">
        <v>0</v>
      </c>
      <c r="BV63" s="269">
        <v>0</v>
      </c>
      <c r="BW63" s="269">
        <v>0</v>
      </c>
      <c r="BX63" s="337">
        <v>0</v>
      </c>
      <c r="BY63" s="267">
        <v>0</v>
      </c>
      <c r="BZ63" s="267">
        <v>0</v>
      </c>
      <c r="CA63" s="267">
        <v>0</v>
      </c>
      <c r="CB63" s="267">
        <v>0</v>
      </c>
    </row>
    <row r="64" spans="1:80" s="266" customFormat="1" x14ac:dyDescent="0.35">
      <c r="A64" s="522"/>
      <c r="B64" s="334" t="str">
        <f t="shared" si="4"/>
        <v>RPU_OFF_SP379-HH150</v>
      </c>
      <c r="C64" s="261" t="s">
        <v>184</v>
      </c>
      <c r="D64" s="262" t="s">
        <v>48</v>
      </c>
      <c r="E64" s="6">
        <v>0</v>
      </c>
      <c r="F64" s="263">
        <v>0</v>
      </c>
      <c r="G64" s="335" t="s">
        <v>395</v>
      </c>
      <c r="H64" s="335" t="s">
        <v>396</v>
      </c>
      <c r="I64" s="265">
        <v>0</v>
      </c>
      <c r="J64" s="265" t="s">
        <v>12</v>
      </c>
      <c r="K64" s="265">
        <v>0</v>
      </c>
      <c r="L64" s="265">
        <v>0</v>
      </c>
      <c r="M64" s="421">
        <v>0</v>
      </c>
      <c r="N64" s="265">
        <v>0</v>
      </c>
      <c r="O64" s="265">
        <v>0</v>
      </c>
      <c r="P64" s="264">
        <v>0</v>
      </c>
      <c r="Q64" s="270">
        <v>0</v>
      </c>
      <c r="R64" s="270">
        <v>0</v>
      </c>
      <c r="S64" s="270">
        <v>0</v>
      </c>
      <c r="T64" s="336">
        <v>0</v>
      </c>
      <c r="U64" s="266">
        <v>0</v>
      </c>
      <c r="V64" s="266">
        <v>0</v>
      </c>
      <c r="W64" s="266">
        <v>0</v>
      </c>
      <c r="X64" s="264">
        <v>0</v>
      </c>
      <c r="Y64" s="266">
        <v>0</v>
      </c>
      <c r="Z64" s="266">
        <v>0</v>
      </c>
      <c r="AA64" s="266">
        <v>0</v>
      </c>
      <c r="AB64" s="264">
        <v>0</v>
      </c>
      <c r="AC64" s="267">
        <v>0</v>
      </c>
      <c r="AD64" s="267">
        <v>0</v>
      </c>
      <c r="AE64" s="267">
        <v>0</v>
      </c>
      <c r="AF64" s="268">
        <v>0</v>
      </c>
      <c r="AG64" s="267">
        <v>0</v>
      </c>
      <c r="AH64" s="267">
        <v>0</v>
      </c>
      <c r="AI64" s="267">
        <v>0</v>
      </c>
      <c r="AJ64" s="268">
        <v>0</v>
      </c>
      <c r="AK64" s="267">
        <v>0</v>
      </c>
      <c r="AL64" s="267">
        <v>0</v>
      </c>
      <c r="AM64" s="267">
        <v>0</v>
      </c>
      <c r="AN64" s="268">
        <v>0</v>
      </c>
      <c r="AO64" s="266">
        <v>0</v>
      </c>
      <c r="AP64" s="266">
        <v>0</v>
      </c>
      <c r="AQ64" s="266">
        <v>0</v>
      </c>
      <c r="AR64" s="264">
        <v>0</v>
      </c>
      <c r="AS64" s="266" t="s">
        <v>270</v>
      </c>
      <c r="AT64" s="266" t="s">
        <v>271</v>
      </c>
      <c r="AU64" s="266" t="s">
        <v>271</v>
      </c>
      <c r="AV64" s="264" t="s">
        <v>271</v>
      </c>
      <c r="AW64" s="266" t="s">
        <v>270</v>
      </c>
      <c r="AX64" s="266" t="s">
        <v>271</v>
      </c>
      <c r="AY64" s="266" t="s">
        <v>271</v>
      </c>
      <c r="AZ64" s="264" t="s">
        <v>271</v>
      </c>
      <c r="BA64" s="266" t="s">
        <v>270</v>
      </c>
      <c r="BB64" s="266" t="s">
        <v>271</v>
      </c>
      <c r="BC64" s="266" t="s">
        <v>271</v>
      </c>
      <c r="BD64" s="264" t="s">
        <v>271</v>
      </c>
      <c r="BE64" s="266">
        <v>0</v>
      </c>
      <c r="BF64" s="266">
        <v>0</v>
      </c>
      <c r="BG64" s="266">
        <v>0</v>
      </c>
      <c r="BH64" s="264">
        <v>0</v>
      </c>
      <c r="BI64" s="266">
        <v>0</v>
      </c>
      <c r="BJ64" s="266">
        <v>0</v>
      </c>
      <c r="BK64" s="266">
        <v>0</v>
      </c>
      <c r="BL64" s="264">
        <v>0</v>
      </c>
      <c r="BM64" s="266">
        <v>0</v>
      </c>
      <c r="BN64" s="266">
        <v>0</v>
      </c>
      <c r="BO64" s="266">
        <v>0</v>
      </c>
      <c r="BP64" s="264">
        <v>0</v>
      </c>
      <c r="BQ64" s="266">
        <v>0</v>
      </c>
      <c r="BR64" s="266">
        <v>0</v>
      </c>
      <c r="BS64" s="266">
        <v>0</v>
      </c>
      <c r="BT64" s="264">
        <v>0</v>
      </c>
      <c r="BU64" s="269">
        <v>0</v>
      </c>
      <c r="BV64" s="269">
        <v>0</v>
      </c>
      <c r="BW64" s="269">
        <v>0</v>
      </c>
      <c r="BX64" s="337">
        <v>0</v>
      </c>
      <c r="BY64" s="267">
        <v>0</v>
      </c>
      <c r="BZ64" s="267">
        <v>0</v>
      </c>
      <c r="CA64" s="267">
        <v>0</v>
      </c>
      <c r="CB64" s="267">
        <v>0</v>
      </c>
    </row>
    <row r="65" spans="1:80" s="266" customFormat="1" x14ac:dyDescent="0.35">
      <c r="A65" s="522"/>
      <c r="B65" s="334" t="str">
        <f t="shared" si="4"/>
        <v>RPU_OFF_SP450-HH100</v>
      </c>
      <c r="C65" s="261" t="s">
        <v>184</v>
      </c>
      <c r="D65" s="262" t="s">
        <v>49</v>
      </c>
      <c r="E65" s="6">
        <v>0</v>
      </c>
      <c r="F65" s="263">
        <v>0</v>
      </c>
      <c r="G65" s="335" t="s">
        <v>395</v>
      </c>
      <c r="H65" s="335" t="s">
        <v>396</v>
      </c>
      <c r="I65" s="265">
        <v>0</v>
      </c>
      <c r="J65" s="265" t="s">
        <v>12</v>
      </c>
      <c r="K65" s="265">
        <v>0</v>
      </c>
      <c r="L65" s="265">
        <v>0</v>
      </c>
      <c r="M65" s="421">
        <v>0</v>
      </c>
      <c r="N65" s="265">
        <v>0</v>
      </c>
      <c r="O65" s="265">
        <v>0</v>
      </c>
      <c r="P65" s="264">
        <v>0</v>
      </c>
      <c r="Q65" s="270">
        <v>0</v>
      </c>
      <c r="R65" s="270">
        <v>0</v>
      </c>
      <c r="S65" s="270">
        <v>0</v>
      </c>
      <c r="T65" s="336">
        <v>0</v>
      </c>
      <c r="U65" s="266">
        <v>0</v>
      </c>
      <c r="V65" s="266">
        <v>0</v>
      </c>
      <c r="W65" s="266">
        <v>0</v>
      </c>
      <c r="X65" s="264">
        <v>0</v>
      </c>
      <c r="Y65" s="266">
        <v>0</v>
      </c>
      <c r="Z65" s="266">
        <v>0</v>
      </c>
      <c r="AA65" s="266">
        <v>0</v>
      </c>
      <c r="AB65" s="264">
        <v>0</v>
      </c>
      <c r="AC65" s="267">
        <v>0</v>
      </c>
      <c r="AD65" s="267">
        <v>0</v>
      </c>
      <c r="AE65" s="267">
        <v>0</v>
      </c>
      <c r="AF65" s="268">
        <v>0</v>
      </c>
      <c r="AG65" s="267">
        <v>0</v>
      </c>
      <c r="AH65" s="267">
        <v>0</v>
      </c>
      <c r="AI65" s="267">
        <v>0</v>
      </c>
      <c r="AJ65" s="268">
        <v>0</v>
      </c>
      <c r="AK65" s="267">
        <v>0</v>
      </c>
      <c r="AL65" s="267">
        <v>0</v>
      </c>
      <c r="AM65" s="267">
        <v>0</v>
      </c>
      <c r="AN65" s="268">
        <v>0</v>
      </c>
      <c r="AO65" s="266">
        <v>0</v>
      </c>
      <c r="AP65" s="266">
        <v>0</v>
      </c>
      <c r="AQ65" s="266">
        <v>0</v>
      </c>
      <c r="AR65" s="264">
        <v>0</v>
      </c>
      <c r="AS65" s="266" t="s">
        <v>270</v>
      </c>
      <c r="AT65" s="266" t="s">
        <v>271</v>
      </c>
      <c r="AU65" s="266" t="s">
        <v>271</v>
      </c>
      <c r="AV65" s="264" t="s">
        <v>271</v>
      </c>
      <c r="AW65" s="266" t="s">
        <v>270</v>
      </c>
      <c r="AX65" s="266" t="s">
        <v>271</v>
      </c>
      <c r="AY65" s="266" t="s">
        <v>271</v>
      </c>
      <c r="AZ65" s="264" t="s">
        <v>271</v>
      </c>
      <c r="BA65" s="266" t="s">
        <v>270</v>
      </c>
      <c r="BB65" s="266" t="s">
        <v>271</v>
      </c>
      <c r="BC65" s="266" t="s">
        <v>271</v>
      </c>
      <c r="BD65" s="264" t="s">
        <v>271</v>
      </c>
      <c r="BE65" s="266">
        <v>0</v>
      </c>
      <c r="BF65" s="266">
        <v>0</v>
      </c>
      <c r="BG65" s="266">
        <v>0</v>
      </c>
      <c r="BH65" s="264">
        <v>0</v>
      </c>
      <c r="BI65" s="266">
        <v>0</v>
      </c>
      <c r="BJ65" s="266">
        <v>0</v>
      </c>
      <c r="BK65" s="266">
        <v>0</v>
      </c>
      <c r="BL65" s="264">
        <v>0</v>
      </c>
      <c r="BM65" s="266">
        <v>0</v>
      </c>
      <c r="BN65" s="266">
        <v>0</v>
      </c>
      <c r="BO65" s="266">
        <v>0</v>
      </c>
      <c r="BP65" s="264">
        <v>0</v>
      </c>
      <c r="BQ65" s="266">
        <v>0</v>
      </c>
      <c r="BR65" s="266">
        <v>0</v>
      </c>
      <c r="BS65" s="266">
        <v>0</v>
      </c>
      <c r="BT65" s="264">
        <v>0</v>
      </c>
      <c r="BU65" s="269">
        <v>0</v>
      </c>
      <c r="BV65" s="269">
        <v>0</v>
      </c>
      <c r="BW65" s="269">
        <v>0</v>
      </c>
      <c r="BX65" s="337">
        <v>0</v>
      </c>
      <c r="BY65" s="267">
        <v>0</v>
      </c>
      <c r="BZ65" s="267">
        <v>0</v>
      </c>
      <c r="CA65" s="267">
        <v>0</v>
      </c>
      <c r="CB65" s="267">
        <v>0</v>
      </c>
    </row>
    <row r="66" spans="1:80" s="266" customFormat="1" x14ac:dyDescent="0.35">
      <c r="A66" s="522"/>
      <c r="B66" s="334" t="str">
        <f t="shared" si="4"/>
        <v>RPU_OFF_SP450-HH150</v>
      </c>
      <c r="C66" s="261" t="s">
        <v>184</v>
      </c>
      <c r="D66" s="262" t="s">
        <v>115</v>
      </c>
      <c r="E66" s="6">
        <v>0</v>
      </c>
      <c r="F66" s="263">
        <v>0</v>
      </c>
      <c r="G66" s="335" t="s">
        <v>395</v>
      </c>
      <c r="H66" s="335" t="s">
        <v>396</v>
      </c>
      <c r="I66" s="265">
        <v>0</v>
      </c>
      <c r="J66" s="265" t="s">
        <v>12</v>
      </c>
      <c r="K66" s="265">
        <v>0</v>
      </c>
      <c r="L66" s="265">
        <v>0</v>
      </c>
      <c r="M66" s="421">
        <v>0</v>
      </c>
      <c r="N66" s="265">
        <v>0</v>
      </c>
      <c r="O66" s="265">
        <v>0</v>
      </c>
      <c r="P66" s="264">
        <v>0</v>
      </c>
      <c r="Q66" s="270">
        <v>0</v>
      </c>
      <c r="R66" s="270">
        <v>0</v>
      </c>
      <c r="S66" s="270">
        <v>0</v>
      </c>
      <c r="T66" s="336">
        <v>0</v>
      </c>
      <c r="U66" s="266">
        <v>0</v>
      </c>
      <c r="V66" s="266">
        <v>0</v>
      </c>
      <c r="W66" s="266">
        <v>0</v>
      </c>
      <c r="X66" s="264">
        <v>0</v>
      </c>
      <c r="Y66" s="266">
        <v>0</v>
      </c>
      <c r="Z66" s="266">
        <v>0</v>
      </c>
      <c r="AA66" s="266">
        <v>0</v>
      </c>
      <c r="AB66" s="264">
        <v>0</v>
      </c>
      <c r="AC66" s="267">
        <v>0</v>
      </c>
      <c r="AD66" s="267">
        <v>0</v>
      </c>
      <c r="AE66" s="267">
        <v>0</v>
      </c>
      <c r="AF66" s="268">
        <v>0</v>
      </c>
      <c r="AG66" s="267">
        <v>0</v>
      </c>
      <c r="AH66" s="267">
        <v>0</v>
      </c>
      <c r="AI66" s="267">
        <v>0</v>
      </c>
      <c r="AJ66" s="268">
        <v>0</v>
      </c>
      <c r="AK66" s="267">
        <v>0</v>
      </c>
      <c r="AL66" s="267">
        <v>0</v>
      </c>
      <c r="AM66" s="267">
        <v>0</v>
      </c>
      <c r="AN66" s="268">
        <v>0</v>
      </c>
      <c r="AO66" s="266">
        <v>0</v>
      </c>
      <c r="AP66" s="266">
        <v>0</v>
      </c>
      <c r="AQ66" s="266">
        <v>0</v>
      </c>
      <c r="AR66" s="264">
        <v>0</v>
      </c>
      <c r="AS66" s="266" t="s">
        <v>270</v>
      </c>
      <c r="AT66" s="266" t="s">
        <v>271</v>
      </c>
      <c r="AU66" s="266" t="s">
        <v>271</v>
      </c>
      <c r="AV66" s="264" t="s">
        <v>271</v>
      </c>
      <c r="AW66" s="266" t="s">
        <v>270</v>
      </c>
      <c r="AX66" s="266" t="s">
        <v>271</v>
      </c>
      <c r="AY66" s="266" t="s">
        <v>271</v>
      </c>
      <c r="AZ66" s="264" t="s">
        <v>271</v>
      </c>
      <c r="BA66" s="266" t="s">
        <v>270</v>
      </c>
      <c r="BB66" s="266" t="s">
        <v>271</v>
      </c>
      <c r="BC66" s="266" t="s">
        <v>271</v>
      </c>
      <c r="BD66" s="264" t="s">
        <v>271</v>
      </c>
      <c r="BE66" s="266">
        <v>0</v>
      </c>
      <c r="BF66" s="266">
        <v>0</v>
      </c>
      <c r="BG66" s="266">
        <v>0</v>
      </c>
      <c r="BH66" s="264">
        <v>0</v>
      </c>
      <c r="BI66" s="266">
        <v>0</v>
      </c>
      <c r="BJ66" s="266">
        <v>0</v>
      </c>
      <c r="BK66" s="266">
        <v>0</v>
      </c>
      <c r="BL66" s="264">
        <v>0</v>
      </c>
      <c r="BM66" s="266">
        <v>0</v>
      </c>
      <c r="BN66" s="266">
        <v>0</v>
      </c>
      <c r="BO66" s="266">
        <v>0</v>
      </c>
      <c r="BP66" s="264">
        <v>0</v>
      </c>
      <c r="BQ66" s="266">
        <v>0</v>
      </c>
      <c r="BR66" s="266">
        <v>0</v>
      </c>
      <c r="BS66" s="266">
        <v>0</v>
      </c>
      <c r="BT66" s="264">
        <v>0</v>
      </c>
      <c r="BU66" s="269">
        <v>0</v>
      </c>
      <c r="BV66" s="269">
        <v>0</v>
      </c>
      <c r="BW66" s="269">
        <v>0</v>
      </c>
      <c r="BX66" s="337">
        <v>0</v>
      </c>
      <c r="BY66" s="267">
        <v>0</v>
      </c>
      <c r="BZ66" s="267">
        <v>0</v>
      </c>
      <c r="CA66" s="267">
        <v>0</v>
      </c>
      <c r="CB66" s="267">
        <v>0</v>
      </c>
    </row>
    <row r="67" spans="1:80" s="112" customFormat="1" ht="14.5" customHeight="1" x14ac:dyDescent="0.35">
      <c r="A67" s="522"/>
      <c r="B67" s="338" t="s">
        <v>328</v>
      </c>
      <c r="C67" s="110" t="s">
        <v>184</v>
      </c>
      <c r="D67" s="339" t="s">
        <v>329</v>
      </c>
      <c r="E67" s="6">
        <v>0</v>
      </c>
      <c r="F67" s="172">
        <v>0</v>
      </c>
      <c r="G67" s="185" t="s">
        <v>395</v>
      </c>
      <c r="H67" s="185" t="s">
        <v>396</v>
      </c>
      <c r="I67" s="194">
        <v>0</v>
      </c>
      <c r="J67" s="194" t="s">
        <v>12</v>
      </c>
      <c r="K67" s="194">
        <v>0</v>
      </c>
      <c r="L67" s="194">
        <v>0</v>
      </c>
      <c r="M67" s="194">
        <v>0</v>
      </c>
      <c r="N67" s="194">
        <v>0</v>
      </c>
      <c r="O67" s="194">
        <v>0</v>
      </c>
      <c r="P67" s="207">
        <v>0</v>
      </c>
      <c r="Q67" s="112">
        <v>0</v>
      </c>
      <c r="R67" s="112">
        <v>0</v>
      </c>
      <c r="S67" s="112">
        <v>0</v>
      </c>
      <c r="T67" s="207">
        <v>0</v>
      </c>
      <c r="U67" s="112">
        <v>0</v>
      </c>
      <c r="V67" s="112">
        <v>0</v>
      </c>
      <c r="W67" s="112">
        <v>0</v>
      </c>
      <c r="X67" s="207">
        <v>0</v>
      </c>
      <c r="Y67" s="112">
        <v>0</v>
      </c>
      <c r="Z67" s="112">
        <v>0</v>
      </c>
      <c r="AA67" s="112">
        <v>0</v>
      </c>
      <c r="AB67" s="112">
        <v>0</v>
      </c>
      <c r="AC67" s="340" t="s">
        <v>359</v>
      </c>
      <c r="AD67" s="340" t="s">
        <v>359</v>
      </c>
      <c r="AE67" s="340" t="s">
        <v>359</v>
      </c>
      <c r="AF67" s="340" t="s">
        <v>359</v>
      </c>
      <c r="AG67" s="340" t="s">
        <v>359</v>
      </c>
      <c r="AH67" s="340" t="s">
        <v>359</v>
      </c>
      <c r="AI67" s="340" t="s">
        <v>359</v>
      </c>
      <c r="AJ67" s="340" t="s">
        <v>359</v>
      </c>
      <c r="AK67" s="340" t="s">
        <v>359</v>
      </c>
      <c r="AL67" s="340" t="s">
        <v>359</v>
      </c>
      <c r="AM67" s="340" t="s">
        <v>359</v>
      </c>
      <c r="AN67" s="459" t="s">
        <v>359</v>
      </c>
      <c r="AO67" s="112" t="s">
        <v>359</v>
      </c>
      <c r="AP67" s="112" t="s">
        <v>359</v>
      </c>
      <c r="AQ67" s="112" t="s">
        <v>359</v>
      </c>
      <c r="AR67" s="207" t="s">
        <v>359</v>
      </c>
      <c r="AS67" s="112" t="s">
        <v>359</v>
      </c>
      <c r="AT67" s="112" t="s">
        <v>359</v>
      </c>
      <c r="AU67" s="112" t="s">
        <v>359</v>
      </c>
      <c r="AV67" s="112" t="s">
        <v>359</v>
      </c>
      <c r="AW67" s="112" t="s">
        <v>359</v>
      </c>
      <c r="AX67" s="112" t="s">
        <v>359</v>
      </c>
      <c r="AY67" s="112" t="s">
        <v>359</v>
      </c>
      <c r="AZ67" s="112" t="s">
        <v>359</v>
      </c>
      <c r="BA67" s="112" t="s">
        <v>359</v>
      </c>
      <c r="BB67" s="112" t="s">
        <v>359</v>
      </c>
      <c r="BC67" s="112" t="s">
        <v>359</v>
      </c>
      <c r="BD67" s="112" t="s">
        <v>359</v>
      </c>
      <c r="BE67" s="112">
        <v>0</v>
      </c>
      <c r="BF67" s="112">
        <v>0</v>
      </c>
      <c r="BG67" s="112">
        <v>0</v>
      </c>
      <c r="BH67" s="207">
        <v>0</v>
      </c>
      <c r="BI67" s="112">
        <v>0</v>
      </c>
      <c r="BJ67" s="112">
        <v>0</v>
      </c>
      <c r="BK67" s="112">
        <v>0</v>
      </c>
      <c r="BL67" s="207">
        <v>0</v>
      </c>
      <c r="BM67" s="112">
        <v>0</v>
      </c>
      <c r="BN67" s="112">
        <v>0</v>
      </c>
      <c r="BO67" s="112">
        <v>0</v>
      </c>
      <c r="BP67" s="207">
        <v>0</v>
      </c>
      <c r="BQ67" s="112" t="s">
        <v>359</v>
      </c>
      <c r="BR67" s="112" t="s">
        <v>359</v>
      </c>
      <c r="BS67" s="112" t="s">
        <v>359</v>
      </c>
      <c r="BT67" s="207" t="s">
        <v>359</v>
      </c>
      <c r="BU67" s="113" t="s">
        <v>359</v>
      </c>
      <c r="BV67" s="113" t="s">
        <v>359</v>
      </c>
      <c r="BW67" s="113" t="s">
        <v>359</v>
      </c>
      <c r="BX67" s="239" t="s">
        <v>359</v>
      </c>
      <c r="BY67" s="115" t="s">
        <v>359</v>
      </c>
      <c r="BZ67" s="115" t="s">
        <v>359</v>
      </c>
      <c r="CA67" s="115" t="s">
        <v>359</v>
      </c>
      <c r="CB67" s="115" t="s">
        <v>359</v>
      </c>
    </row>
    <row r="68" spans="1:80" s="112" customFormat="1" ht="14.5" customHeight="1" x14ac:dyDescent="0.35">
      <c r="A68" s="522"/>
      <c r="B68" s="338" t="s">
        <v>330</v>
      </c>
      <c r="C68" s="110" t="s">
        <v>184</v>
      </c>
      <c r="D68" s="339" t="s">
        <v>331</v>
      </c>
      <c r="E68" s="6">
        <v>0</v>
      </c>
      <c r="F68" s="172">
        <v>0</v>
      </c>
      <c r="G68" s="185" t="s">
        <v>395</v>
      </c>
      <c r="H68" s="185" t="s">
        <v>396</v>
      </c>
      <c r="I68" s="194">
        <v>0</v>
      </c>
      <c r="J68" s="194" t="s">
        <v>12</v>
      </c>
      <c r="K68" s="194">
        <v>0</v>
      </c>
      <c r="L68" s="194">
        <v>0</v>
      </c>
      <c r="M68" s="194">
        <v>0</v>
      </c>
      <c r="N68" s="194">
        <v>0</v>
      </c>
      <c r="O68" s="194">
        <v>0</v>
      </c>
      <c r="P68" s="207">
        <v>0</v>
      </c>
      <c r="Q68" s="112">
        <v>0</v>
      </c>
      <c r="R68" s="112">
        <v>0</v>
      </c>
      <c r="S68" s="112">
        <v>0</v>
      </c>
      <c r="T68" s="207">
        <v>0</v>
      </c>
      <c r="U68" s="112">
        <v>0</v>
      </c>
      <c r="V68" s="112">
        <v>0</v>
      </c>
      <c r="W68" s="112">
        <v>0</v>
      </c>
      <c r="X68" s="207">
        <v>0</v>
      </c>
      <c r="Y68" s="112">
        <v>0</v>
      </c>
      <c r="Z68" s="112">
        <v>0</v>
      </c>
      <c r="AA68" s="112">
        <v>0</v>
      </c>
      <c r="AB68" s="112">
        <v>0</v>
      </c>
      <c r="AC68" s="340" t="s">
        <v>359</v>
      </c>
      <c r="AD68" s="340" t="s">
        <v>359</v>
      </c>
      <c r="AE68" s="340" t="s">
        <v>359</v>
      </c>
      <c r="AF68" s="340" t="s">
        <v>359</v>
      </c>
      <c r="AG68" s="340" t="s">
        <v>359</v>
      </c>
      <c r="AH68" s="340" t="s">
        <v>359</v>
      </c>
      <c r="AI68" s="340" t="s">
        <v>359</v>
      </c>
      <c r="AJ68" s="340" t="s">
        <v>359</v>
      </c>
      <c r="AK68" s="340" t="s">
        <v>359</v>
      </c>
      <c r="AL68" s="340" t="s">
        <v>359</v>
      </c>
      <c r="AM68" s="340" t="s">
        <v>359</v>
      </c>
      <c r="AN68" s="459" t="s">
        <v>359</v>
      </c>
      <c r="AO68" s="112" t="s">
        <v>359</v>
      </c>
      <c r="AP68" s="112" t="s">
        <v>359</v>
      </c>
      <c r="AQ68" s="112" t="s">
        <v>359</v>
      </c>
      <c r="AR68" s="207" t="s">
        <v>359</v>
      </c>
      <c r="AS68" s="112" t="s">
        <v>359</v>
      </c>
      <c r="AT68" s="112" t="s">
        <v>359</v>
      </c>
      <c r="AU68" s="112" t="s">
        <v>359</v>
      </c>
      <c r="AV68" s="112" t="s">
        <v>359</v>
      </c>
      <c r="AW68" s="112" t="s">
        <v>359</v>
      </c>
      <c r="AX68" s="112" t="s">
        <v>359</v>
      </c>
      <c r="AY68" s="112" t="s">
        <v>359</v>
      </c>
      <c r="AZ68" s="112" t="s">
        <v>359</v>
      </c>
      <c r="BA68" s="112" t="s">
        <v>359</v>
      </c>
      <c r="BB68" s="112" t="s">
        <v>359</v>
      </c>
      <c r="BC68" s="112" t="s">
        <v>359</v>
      </c>
      <c r="BD68" s="112" t="s">
        <v>359</v>
      </c>
      <c r="BE68" s="112">
        <v>0</v>
      </c>
      <c r="BF68" s="112">
        <v>0</v>
      </c>
      <c r="BG68" s="112">
        <v>0</v>
      </c>
      <c r="BH68" s="207">
        <v>0</v>
      </c>
      <c r="BI68" s="112">
        <v>0</v>
      </c>
      <c r="BJ68" s="112">
        <v>0</v>
      </c>
      <c r="BK68" s="112">
        <v>0</v>
      </c>
      <c r="BL68" s="207">
        <v>0</v>
      </c>
      <c r="BM68" s="112">
        <v>0</v>
      </c>
      <c r="BN68" s="112">
        <v>0</v>
      </c>
      <c r="BO68" s="112">
        <v>0</v>
      </c>
      <c r="BP68" s="207">
        <v>0</v>
      </c>
      <c r="BQ68" s="112" t="s">
        <v>359</v>
      </c>
      <c r="BR68" s="112" t="s">
        <v>359</v>
      </c>
      <c r="BS68" s="112" t="s">
        <v>359</v>
      </c>
      <c r="BT68" s="207" t="s">
        <v>359</v>
      </c>
      <c r="BU68" s="113" t="s">
        <v>359</v>
      </c>
      <c r="BV68" s="113" t="s">
        <v>359</v>
      </c>
      <c r="BW68" s="113" t="s">
        <v>359</v>
      </c>
      <c r="BX68" s="239" t="s">
        <v>359</v>
      </c>
      <c r="BY68" s="115" t="s">
        <v>359</v>
      </c>
      <c r="BZ68" s="115" t="s">
        <v>359</v>
      </c>
      <c r="CA68" s="115" t="s">
        <v>359</v>
      </c>
      <c r="CB68" s="115" t="s">
        <v>359</v>
      </c>
    </row>
    <row r="69" spans="1:80" s="112" customFormat="1" ht="14.5" customHeight="1" x14ac:dyDescent="0.35">
      <c r="A69" s="522"/>
      <c r="B69" s="338" t="s">
        <v>332</v>
      </c>
      <c r="C69" s="110" t="s">
        <v>184</v>
      </c>
      <c r="D69" s="339" t="s">
        <v>333</v>
      </c>
      <c r="E69" s="6">
        <v>0</v>
      </c>
      <c r="F69" s="172">
        <v>0</v>
      </c>
      <c r="G69" s="185" t="s">
        <v>395</v>
      </c>
      <c r="H69" s="185" t="s">
        <v>396</v>
      </c>
      <c r="I69" s="194">
        <v>0</v>
      </c>
      <c r="J69" s="194" t="s">
        <v>12</v>
      </c>
      <c r="K69" s="194">
        <v>0</v>
      </c>
      <c r="L69" s="194">
        <v>0</v>
      </c>
      <c r="M69" s="194">
        <v>0</v>
      </c>
      <c r="N69" s="194">
        <v>0</v>
      </c>
      <c r="O69" s="194">
        <v>0</v>
      </c>
      <c r="P69" s="207">
        <v>0</v>
      </c>
      <c r="Q69" s="112">
        <v>0</v>
      </c>
      <c r="R69" s="112">
        <v>0</v>
      </c>
      <c r="S69" s="112">
        <v>0</v>
      </c>
      <c r="T69" s="207">
        <v>0</v>
      </c>
      <c r="U69" s="112">
        <v>0</v>
      </c>
      <c r="V69" s="112">
        <v>0</v>
      </c>
      <c r="W69" s="112">
        <v>0</v>
      </c>
      <c r="X69" s="207">
        <v>0</v>
      </c>
      <c r="Y69" s="112">
        <v>0</v>
      </c>
      <c r="Z69" s="112">
        <v>0</v>
      </c>
      <c r="AA69" s="112">
        <v>0</v>
      </c>
      <c r="AB69" s="112">
        <v>0</v>
      </c>
      <c r="AC69" s="340" t="s">
        <v>359</v>
      </c>
      <c r="AD69" s="340" t="s">
        <v>359</v>
      </c>
      <c r="AE69" s="340" t="s">
        <v>359</v>
      </c>
      <c r="AF69" s="340" t="s">
        <v>359</v>
      </c>
      <c r="AG69" s="340" t="s">
        <v>359</v>
      </c>
      <c r="AH69" s="340" t="s">
        <v>359</v>
      </c>
      <c r="AI69" s="340" t="s">
        <v>359</v>
      </c>
      <c r="AJ69" s="340" t="s">
        <v>359</v>
      </c>
      <c r="AK69" s="340" t="s">
        <v>359</v>
      </c>
      <c r="AL69" s="340" t="s">
        <v>359</v>
      </c>
      <c r="AM69" s="340" t="s">
        <v>359</v>
      </c>
      <c r="AN69" s="459" t="s">
        <v>359</v>
      </c>
      <c r="AO69" s="112" t="s">
        <v>359</v>
      </c>
      <c r="AP69" s="112" t="s">
        <v>359</v>
      </c>
      <c r="AQ69" s="112" t="s">
        <v>359</v>
      </c>
      <c r="AR69" s="207" t="s">
        <v>359</v>
      </c>
      <c r="AS69" s="112" t="s">
        <v>359</v>
      </c>
      <c r="AT69" s="112" t="s">
        <v>359</v>
      </c>
      <c r="AU69" s="112" t="s">
        <v>359</v>
      </c>
      <c r="AV69" s="112" t="s">
        <v>359</v>
      </c>
      <c r="AW69" s="112" t="s">
        <v>359</v>
      </c>
      <c r="AX69" s="112" t="s">
        <v>359</v>
      </c>
      <c r="AY69" s="112" t="s">
        <v>359</v>
      </c>
      <c r="AZ69" s="112" t="s">
        <v>359</v>
      </c>
      <c r="BA69" s="112" t="s">
        <v>359</v>
      </c>
      <c r="BB69" s="112" t="s">
        <v>359</v>
      </c>
      <c r="BC69" s="112" t="s">
        <v>359</v>
      </c>
      <c r="BD69" s="112" t="s">
        <v>359</v>
      </c>
      <c r="BE69" s="112">
        <v>0</v>
      </c>
      <c r="BF69" s="112">
        <v>0</v>
      </c>
      <c r="BG69" s="112">
        <v>0</v>
      </c>
      <c r="BH69" s="207">
        <v>0</v>
      </c>
      <c r="BI69" s="112">
        <v>0</v>
      </c>
      <c r="BJ69" s="112">
        <v>0</v>
      </c>
      <c r="BK69" s="112">
        <v>0</v>
      </c>
      <c r="BL69" s="207">
        <v>0</v>
      </c>
      <c r="BM69" s="112">
        <v>0</v>
      </c>
      <c r="BN69" s="112">
        <v>0</v>
      </c>
      <c r="BO69" s="112">
        <v>0</v>
      </c>
      <c r="BP69" s="207">
        <v>0</v>
      </c>
      <c r="BQ69" s="112" t="s">
        <v>359</v>
      </c>
      <c r="BR69" s="112" t="s">
        <v>359</v>
      </c>
      <c r="BS69" s="112" t="s">
        <v>359</v>
      </c>
      <c r="BT69" s="207" t="s">
        <v>359</v>
      </c>
      <c r="BU69" s="113" t="s">
        <v>359</v>
      </c>
      <c r="BV69" s="113" t="s">
        <v>359</v>
      </c>
      <c r="BW69" s="113" t="s">
        <v>359</v>
      </c>
      <c r="BX69" s="239" t="s">
        <v>359</v>
      </c>
      <c r="BY69" s="115" t="s">
        <v>359</v>
      </c>
      <c r="BZ69" s="115" t="s">
        <v>359</v>
      </c>
      <c r="CA69" s="115" t="s">
        <v>359</v>
      </c>
      <c r="CB69" s="115" t="s">
        <v>359</v>
      </c>
    </row>
    <row r="70" spans="1:80" s="112" customFormat="1" ht="14.5" customHeight="1" x14ac:dyDescent="0.35">
      <c r="A70" s="522"/>
      <c r="B70" s="338" t="s">
        <v>334</v>
      </c>
      <c r="C70" s="110" t="s">
        <v>184</v>
      </c>
      <c r="D70" s="339" t="s">
        <v>335</v>
      </c>
      <c r="E70" s="6">
        <v>0</v>
      </c>
      <c r="F70" s="172">
        <v>0</v>
      </c>
      <c r="G70" s="185" t="s">
        <v>395</v>
      </c>
      <c r="H70" s="185" t="s">
        <v>396</v>
      </c>
      <c r="I70" s="194">
        <v>0</v>
      </c>
      <c r="J70" s="194" t="s">
        <v>12</v>
      </c>
      <c r="K70" s="194">
        <v>0</v>
      </c>
      <c r="L70" s="194">
        <v>0</v>
      </c>
      <c r="M70" s="194">
        <v>0</v>
      </c>
      <c r="N70" s="194">
        <v>0</v>
      </c>
      <c r="O70" s="194">
        <v>0</v>
      </c>
      <c r="P70" s="207">
        <v>0</v>
      </c>
      <c r="Q70" s="112">
        <v>0</v>
      </c>
      <c r="R70" s="112">
        <v>0</v>
      </c>
      <c r="S70" s="112">
        <v>0</v>
      </c>
      <c r="T70" s="207">
        <v>0</v>
      </c>
      <c r="U70" s="112">
        <v>0</v>
      </c>
      <c r="V70" s="112">
        <v>0</v>
      </c>
      <c r="W70" s="112">
        <v>0</v>
      </c>
      <c r="X70" s="207">
        <v>0</v>
      </c>
      <c r="Y70" s="112">
        <v>0</v>
      </c>
      <c r="Z70" s="112">
        <v>0</v>
      </c>
      <c r="AA70" s="112">
        <v>0</v>
      </c>
      <c r="AB70" s="112">
        <v>0</v>
      </c>
      <c r="AC70" s="340" t="s">
        <v>359</v>
      </c>
      <c r="AD70" s="340" t="s">
        <v>359</v>
      </c>
      <c r="AE70" s="340" t="s">
        <v>359</v>
      </c>
      <c r="AF70" s="340" t="s">
        <v>359</v>
      </c>
      <c r="AG70" s="340" t="s">
        <v>359</v>
      </c>
      <c r="AH70" s="340" t="s">
        <v>359</v>
      </c>
      <c r="AI70" s="340" t="s">
        <v>359</v>
      </c>
      <c r="AJ70" s="340" t="s">
        <v>359</v>
      </c>
      <c r="AK70" s="340" t="s">
        <v>359</v>
      </c>
      <c r="AL70" s="340" t="s">
        <v>359</v>
      </c>
      <c r="AM70" s="340" t="s">
        <v>359</v>
      </c>
      <c r="AN70" s="459" t="s">
        <v>359</v>
      </c>
      <c r="AO70" s="112" t="s">
        <v>359</v>
      </c>
      <c r="AP70" s="112" t="s">
        <v>359</v>
      </c>
      <c r="AQ70" s="112" t="s">
        <v>359</v>
      </c>
      <c r="AR70" s="207" t="s">
        <v>359</v>
      </c>
      <c r="AS70" s="112" t="s">
        <v>359</v>
      </c>
      <c r="AT70" s="112" t="s">
        <v>359</v>
      </c>
      <c r="AU70" s="112" t="s">
        <v>359</v>
      </c>
      <c r="AV70" s="112" t="s">
        <v>359</v>
      </c>
      <c r="AW70" s="112" t="s">
        <v>359</v>
      </c>
      <c r="AX70" s="112" t="s">
        <v>359</v>
      </c>
      <c r="AY70" s="112" t="s">
        <v>359</v>
      </c>
      <c r="AZ70" s="112" t="s">
        <v>359</v>
      </c>
      <c r="BA70" s="112" t="s">
        <v>359</v>
      </c>
      <c r="BB70" s="112" t="s">
        <v>359</v>
      </c>
      <c r="BC70" s="112" t="s">
        <v>359</v>
      </c>
      <c r="BD70" s="112" t="s">
        <v>359</v>
      </c>
      <c r="BE70" s="112">
        <v>0</v>
      </c>
      <c r="BF70" s="112">
        <v>0</v>
      </c>
      <c r="BG70" s="112">
        <v>0</v>
      </c>
      <c r="BH70" s="207">
        <v>0</v>
      </c>
      <c r="BI70" s="112">
        <v>0</v>
      </c>
      <c r="BJ70" s="112">
        <v>0</v>
      </c>
      <c r="BK70" s="112">
        <v>0</v>
      </c>
      <c r="BL70" s="207">
        <v>0</v>
      </c>
      <c r="BM70" s="112">
        <v>0</v>
      </c>
      <c r="BN70" s="112">
        <v>0</v>
      </c>
      <c r="BO70" s="112">
        <v>0</v>
      </c>
      <c r="BP70" s="207">
        <v>0</v>
      </c>
      <c r="BQ70" s="112" t="s">
        <v>359</v>
      </c>
      <c r="BR70" s="112" t="s">
        <v>359</v>
      </c>
      <c r="BS70" s="112" t="s">
        <v>359</v>
      </c>
      <c r="BT70" s="207" t="s">
        <v>359</v>
      </c>
      <c r="BU70" s="113" t="s">
        <v>359</v>
      </c>
      <c r="BV70" s="113" t="s">
        <v>359</v>
      </c>
      <c r="BW70" s="113" t="s">
        <v>359</v>
      </c>
      <c r="BX70" s="239" t="s">
        <v>359</v>
      </c>
      <c r="BY70" s="115" t="s">
        <v>359</v>
      </c>
      <c r="BZ70" s="115" t="s">
        <v>359</v>
      </c>
      <c r="CA70" s="115" t="s">
        <v>359</v>
      </c>
      <c r="CB70" s="115" t="s">
        <v>359</v>
      </c>
    </row>
    <row r="71" spans="1:80" s="348" customFormat="1" ht="14.5" customHeight="1" x14ac:dyDescent="0.35">
      <c r="A71" s="522"/>
      <c r="B71" s="341" t="s">
        <v>14</v>
      </c>
      <c r="C71" s="342" t="s">
        <v>184</v>
      </c>
      <c r="D71" s="343" t="s">
        <v>182</v>
      </c>
      <c r="E71" s="6">
        <v>0</v>
      </c>
      <c r="F71" s="344">
        <v>0</v>
      </c>
      <c r="G71" s="345" t="s">
        <v>395</v>
      </c>
      <c r="H71" s="345" t="s">
        <v>12</v>
      </c>
      <c r="I71" s="347">
        <v>0</v>
      </c>
      <c r="J71" s="347" t="s">
        <v>12</v>
      </c>
      <c r="K71" s="347">
        <v>0</v>
      </c>
      <c r="L71" s="347">
        <v>0</v>
      </c>
      <c r="M71" s="347">
        <v>0</v>
      </c>
      <c r="N71" s="347">
        <v>0</v>
      </c>
      <c r="O71" s="347">
        <v>0</v>
      </c>
      <c r="P71" s="346">
        <v>0</v>
      </c>
      <c r="Q71" s="348">
        <v>0</v>
      </c>
      <c r="R71" s="348">
        <v>0</v>
      </c>
      <c r="S71" s="348">
        <v>0</v>
      </c>
      <c r="T71" s="346">
        <v>0</v>
      </c>
      <c r="U71" s="348">
        <v>0</v>
      </c>
      <c r="V71" s="348">
        <v>0</v>
      </c>
      <c r="W71" s="348">
        <v>0</v>
      </c>
      <c r="X71" s="346">
        <v>0</v>
      </c>
      <c r="Y71" s="348">
        <v>0</v>
      </c>
      <c r="Z71" s="348">
        <v>0</v>
      </c>
      <c r="AA71" s="348">
        <v>0</v>
      </c>
      <c r="AB71" s="348">
        <v>0</v>
      </c>
      <c r="AC71" s="349" t="s">
        <v>359</v>
      </c>
      <c r="AD71" s="349" t="s">
        <v>359</v>
      </c>
      <c r="AE71" s="349" t="s">
        <v>359</v>
      </c>
      <c r="AF71" s="349" t="s">
        <v>359</v>
      </c>
      <c r="AG71" s="349" t="s">
        <v>359</v>
      </c>
      <c r="AH71" s="349" t="s">
        <v>359</v>
      </c>
      <c r="AI71" s="349" t="s">
        <v>359</v>
      </c>
      <c r="AJ71" s="349" t="s">
        <v>359</v>
      </c>
      <c r="AK71" s="349" t="s">
        <v>359</v>
      </c>
      <c r="AL71" s="349" t="s">
        <v>359</v>
      </c>
      <c r="AM71" s="349" t="s">
        <v>359</v>
      </c>
      <c r="AN71" s="460" t="s">
        <v>359</v>
      </c>
      <c r="AO71" s="348" t="s">
        <v>359</v>
      </c>
      <c r="AP71" s="348" t="s">
        <v>359</v>
      </c>
      <c r="AQ71" s="348" t="s">
        <v>359</v>
      </c>
      <c r="AR71" s="346" t="s">
        <v>359</v>
      </c>
      <c r="AS71" s="348" t="s">
        <v>359</v>
      </c>
      <c r="AT71" s="348" t="s">
        <v>359</v>
      </c>
      <c r="AU71" s="348" t="s">
        <v>359</v>
      </c>
      <c r="AV71" s="348" t="s">
        <v>359</v>
      </c>
      <c r="AW71" s="348" t="s">
        <v>359</v>
      </c>
      <c r="AX71" s="348" t="s">
        <v>359</v>
      </c>
      <c r="AY71" s="348" t="s">
        <v>359</v>
      </c>
      <c r="AZ71" s="348" t="s">
        <v>359</v>
      </c>
      <c r="BA71" s="348" t="s">
        <v>359</v>
      </c>
      <c r="BB71" s="348" t="s">
        <v>359</v>
      </c>
      <c r="BC71" s="348" t="s">
        <v>359</v>
      </c>
      <c r="BD71" s="348" t="s">
        <v>359</v>
      </c>
      <c r="BE71" s="348">
        <v>0</v>
      </c>
      <c r="BF71" s="348">
        <v>0</v>
      </c>
      <c r="BG71" s="348">
        <v>0</v>
      </c>
      <c r="BH71" s="346">
        <v>0</v>
      </c>
      <c r="BI71" s="348">
        <v>0</v>
      </c>
      <c r="BJ71" s="348">
        <v>0</v>
      </c>
      <c r="BK71" s="348">
        <v>0</v>
      </c>
      <c r="BL71" s="346">
        <v>0</v>
      </c>
      <c r="BM71" s="348">
        <v>0</v>
      </c>
      <c r="BN71" s="348">
        <v>0</v>
      </c>
      <c r="BO71" s="348">
        <v>0</v>
      </c>
      <c r="BP71" s="346">
        <v>0</v>
      </c>
      <c r="BQ71" s="348" t="s">
        <v>359</v>
      </c>
      <c r="BR71" s="348" t="s">
        <v>359</v>
      </c>
      <c r="BS71" s="348" t="s">
        <v>359</v>
      </c>
      <c r="BT71" s="346" t="s">
        <v>359</v>
      </c>
      <c r="BU71" s="350" t="s">
        <v>359</v>
      </c>
      <c r="BV71" s="350" t="s">
        <v>359</v>
      </c>
      <c r="BW71" s="350" t="s">
        <v>359</v>
      </c>
      <c r="BX71" s="454" t="s">
        <v>359</v>
      </c>
      <c r="BY71" s="351" t="s">
        <v>359</v>
      </c>
      <c r="BZ71" s="351" t="s">
        <v>359</v>
      </c>
      <c r="CA71" s="351" t="s">
        <v>359</v>
      </c>
      <c r="CB71" s="351" t="s">
        <v>359</v>
      </c>
    </row>
    <row r="72" spans="1:80" s="348" customFormat="1" ht="14.5" customHeight="1" x14ac:dyDescent="0.35">
      <c r="A72" s="522"/>
      <c r="B72" s="341" t="s">
        <v>15</v>
      </c>
      <c r="C72" s="342" t="s">
        <v>184</v>
      </c>
      <c r="D72" s="343" t="s">
        <v>183</v>
      </c>
      <c r="E72" s="6">
        <v>0</v>
      </c>
      <c r="F72" s="344">
        <v>0</v>
      </c>
      <c r="G72" s="345" t="s">
        <v>395</v>
      </c>
      <c r="H72" s="345" t="s">
        <v>396</v>
      </c>
      <c r="I72" s="347">
        <v>0</v>
      </c>
      <c r="J72" s="347" t="s">
        <v>12</v>
      </c>
      <c r="K72" s="347">
        <v>0</v>
      </c>
      <c r="L72" s="347">
        <v>0</v>
      </c>
      <c r="M72" s="347">
        <v>0</v>
      </c>
      <c r="N72" s="347">
        <v>0</v>
      </c>
      <c r="O72" s="347">
        <v>0</v>
      </c>
      <c r="P72" s="346">
        <v>0</v>
      </c>
      <c r="Q72" s="348">
        <v>0</v>
      </c>
      <c r="R72" s="348">
        <v>0</v>
      </c>
      <c r="S72" s="348">
        <v>0</v>
      </c>
      <c r="T72" s="346">
        <v>0</v>
      </c>
      <c r="U72" s="348">
        <v>0</v>
      </c>
      <c r="V72" s="348">
        <v>0</v>
      </c>
      <c r="W72" s="348">
        <v>0</v>
      </c>
      <c r="X72" s="346">
        <v>0</v>
      </c>
      <c r="Y72" s="348">
        <v>0</v>
      </c>
      <c r="Z72" s="348">
        <v>0</v>
      </c>
      <c r="AA72" s="348">
        <v>0</v>
      </c>
      <c r="AB72" s="348">
        <v>0</v>
      </c>
      <c r="AC72" s="349" t="s">
        <v>359</v>
      </c>
      <c r="AD72" s="349" t="s">
        <v>359</v>
      </c>
      <c r="AE72" s="349" t="s">
        <v>359</v>
      </c>
      <c r="AF72" s="349" t="s">
        <v>359</v>
      </c>
      <c r="AG72" s="349" t="s">
        <v>359</v>
      </c>
      <c r="AH72" s="349" t="s">
        <v>359</v>
      </c>
      <c r="AI72" s="349" t="s">
        <v>359</v>
      </c>
      <c r="AJ72" s="349" t="s">
        <v>359</v>
      </c>
      <c r="AK72" s="349" t="s">
        <v>359</v>
      </c>
      <c r="AL72" s="349" t="s">
        <v>359</v>
      </c>
      <c r="AM72" s="349" t="s">
        <v>359</v>
      </c>
      <c r="AN72" s="460" t="s">
        <v>359</v>
      </c>
      <c r="AO72" s="348" t="s">
        <v>359</v>
      </c>
      <c r="AP72" s="348" t="s">
        <v>359</v>
      </c>
      <c r="AQ72" s="348" t="s">
        <v>359</v>
      </c>
      <c r="AR72" s="346" t="s">
        <v>359</v>
      </c>
      <c r="AS72" s="348" t="s">
        <v>359</v>
      </c>
      <c r="AT72" s="348" t="s">
        <v>359</v>
      </c>
      <c r="AU72" s="348" t="s">
        <v>359</v>
      </c>
      <c r="AV72" s="348" t="s">
        <v>359</v>
      </c>
      <c r="AW72" s="348" t="s">
        <v>359</v>
      </c>
      <c r="AX72" s="348" t="s">
        <v>359</v>
      </c>
      <c r="AY72" s="348" t="s">
        <v>359</v>
      </c>
      <c r="AZ72" s="348" t="s">
        <v>359</v>
      </c>
      <c r="BA72" s="348" t="s">
        <v>359</v>
      </c>
      <c r="BB72" s="348" t="s">
        <v>359</v>
      </c>
      <c r="BC72" s="348" t="s">
        <v>359</v>
      </c>
      <c r="BD72" s="348" t="s">
        <v>359</v>
      </c>
      <c r="BE72" s="348">
        <v>0</v>
      </c>
      <c r="BF72" s="348">
        <v>0</v>
      </c>
      <c r="BG72" s="348">
        <v>0</v>
      </c>
      <c r="BH72" s="346">
        <v>0</v>
      </c>
      <c r="BI72" s="348">
        <v>0</v>
      </c>
      <c r="BJ72" s="348">
        <v>0</v>
      </c>
      <c r="BK72" s="348">
        <v>0</v>
      </c>
      <c r="BL72" s="346">
        <v>0</v>
      </c>
      <c r="BM72" s="348">
        <v>0</v>
      </c>
      <c r="BN72" s="348">
        <v>0</v>
      </c>
      <c r="BO72" s="348">
        <v>0</v>
      </c>
      <c r="BP72" s="346">
        <v>0</v>
      </c>
      <c r="BQ72" s="348" t="s">
        <v>359</v>
      </c>
      <c r="BR72" s="348" t="s">
        <v>359</v>
      </c>
      <c r="BS72" s="348" t="s">
        <v>359</v>
      </c>
      <c r="BT72" s="346" t="s">
        <v>359</v>
      </c>
      <c r="BU72" s="350" t="s">
        <v>359</v>
      </c>
      <c r="BV72" s="350" t="s">
        <v>359</v>
      </c>
      <c r="BW72" s="350" t="s">
        <v>359</v>
      </c>
      <c r="BX72" s="454" t="s">
        <v>359</v>
      </c>
      <c r="BY72" s="351" t="s">
        <v>359</v>
      </c>
      <c r="BZ72" s="351" t="s">
        <v>359</v>
      </c>
      <c r="CA72" s="351" t="s">
        <v>359</v>
      </c>
      <c r="CB72" s="351" t="s">
        <v>359</v>
      </c>
    </row>
    <row r="73" spans="1:80" s="359" customFormat="1" ht="14.5" customHeight="1" x14ac:dyDescent="0.35">
      <c r="A73" s="522"/>
      <c r="B73" s="352" t="s">
        <v>16</v>
      </c>
      <c r="C73" s="353" t="s">
        <v>184</v>
      </c>
      <c r="D73" s="354" t="s">
        <v>336</v>
      </c>
      <c r="E73" s="6">
        <v>0</v>
      </c>
      <c r="F73" s="355">
        <v>0</v>
      </c>
      <c r="G73" s="356" t="s">
        <v>396</v>
      </c>
      <c r="H73" s="356" t="s">
        <v>396</v>
      </c>
      <c r="I73" s="358">
        <v>0</v>
      </c>
      <c r="J73" s="358" t="s">
        <v>12</v>
      </c>
      <c r="K73" s="358">
        <v>0</v>
      </c>
      <c r="L73" s="358">
        <v>0</v>
      </c>
      <c r="M73" s="358">
        <v>0</v>
      </c>
      <c r="N73" s="358">
        <v>0</v>
      </c>
      <c r="O73" s="358">
        <v>0</v>
      </c>
      <c r="P73" s="357">
        <v>0</v>
      </c>
      <c r="Q73" s="359">
        <v>0</v>
      </c>
      <c r="R73" s="359">
        <v>0</v>
      </c>
      <c r="S73" s="359">
        <v>0</v>
      </c>
      <c r="T73" s="357">
        <v>0</v>
      </c>
      <c r="U73" s="359">
        <v>0</v>
      </c>
      <c r="V73" s="359">
        <v>0</v>
      </c>
      <c r="W73" s="359">
        <v>0</v>
      </c>
      <c r="X73" s="357">
        <v>0</v>
      </c>
      <c r="Y73" s="359">
        <v>0</v>
      </c>
      <c r="Z73" s="359">
        <v>0</v>
      </c>
      <c r="AA73" s="359">
        <v>0</v>
      </c>
      <c r="AB73" s="359">
        <v>0</v>
      </c>
      <c r="AC73" s="360" t="s">
        <v>359</v>
      </c>
      <c r="AD73" s="360" t="s">
        <v>359</v>
      </c>
      <c r="AE73" s="360" t="s">
        <v>359</v>
      </c>
      <c r="AF73" s="360" t="s">
        <v>359</v>
      </c>
      <c r="AG73" s="360" t="s">
        <v>359</v>
      </c>
      <c r="AH73" s="360" t="s">
        <v>359</v>
      </c>
      <c r="AI73" s="360" t="s">
        <v>359</v>
      </c>
      <c r="AJ73" s="360" t="s">
        <v>359</v>
      </c>
      <c r="AK73" s="360" t="s">
        <v>359</v>
      </c>
      <c r="AL73" s="360" t="s">
        <v>359</v>
      </c>
      <c r="AM73" s="360" t="s">
        <v>359</v>
      </c>
      <c r="AN73" s="461" t="s">
        <v>359</v>
      </c>
      <c r="AO73" s="359" t="s">
        <v>359</v>
      </c>
      <c r="AP73" s="359" t="s">
        <v>359</v>
      </c>
      <c r="AQ73" s="359" t="s">
        <v>359</v>
      </c>
      <c r="AR73" s="357" t="s">
        <v>359</v>
      </c>
      <c r="AS73" s="359" t="s">
        <v>359</v>
      </c>
      <c r="AT73" s="359" t="s">
        <v>359</v>
      </c>
      <c r="AU73" s="359" t="s">
        <v>359</v>
      </c>
      <c r="AV73" s="359" t="s">
        <v>359</v>
      </c>
      <c r="AW73" s="359" t="s">
        <v>359</v>
      </c>
      <c r="AX73" s="359" t="s">
        <v>359</v>
      </c>
      <c r="AY73" s="359" t="s">
        <v>359</v>
      </c>
      <c r="AZ73" s="359" t="s">
        <v>359</v>
      </c>
      <c r="BA73" s="359" t="s">
        <v>359</v>
      </c>
      <c r="BB73" s="359" t="s">
        <v>359</v>
      </c>
      <c r="BC73" s="359" t="s">
        <v>359</v>
      </c>
      <c r="BD73" s="359" t="s">
        <v>359</v>
      </c>
      <c r="BE73" s="359">
        <v>0</v>
      </c>
      <c r="BF73" s="359">
        <v>0</v>
      </c>
      <c r="BG73" s="359">
        <v>0</v>
      </c>
      <c r="BH73" s="357">
        <v>0</v>
      </c>
      <c r="BI73" s="359">
        <v>0</v>
      </c>
      <c r="BJ73" s="359">
        <v>0</v>
      </c>
      <c r="BK73" s="359">
        <v>0</v>
      </c>
      <c r="BL73" s="357">
        <v>0</v>
      </c>
      <c r="BM73" s="359">
        <v>0</v>
      </c>
      <c r="BN73" s="359">
        <v>0</v>
      </c>
      <c r="BO73" s="359">
        <v>0</v>
      </c>
      <c r="BP73" s="357">
        <v>0</v>
      </c>
      <c r="BQ73" s="359" t="s">
        <v>359</v>
      </c>
      <c r="BR73" s="359" t="s">
        <v>359</v>
      </c>
      <c r="BS73" s="359" t="s">
        <v>359</v>
      </c>
      <c r="BT73" s="357" t="s">
        <v>359</v>
      </c>
      <c r="BU73" s="361" t="s">
        <v>359</v>
      </c>
      <c r="BV73" s="361" t="s">
        <v>359</v>
      </c>
      <c r="BW73" s="361" t="s">
        <v>359</v>
      </c>
      <c r="BX73" s="455" t="s">
        <v>359</v>
      </c>
      <c r="BY73" s="362" t="s">
        <v>359</v>
      </c>
      <c r="BZ73" s="362" t="s">
        <v>359</v>
      </c>
      <c r="CA73" s="362" t="s">
        <v>359</v>
      </c>
      <c r="CB73" s="362" t="s">
        <v>359</v>
      </c>
    </row>
    <row r="74" spans="1:80" s="359" customFormat="1" ht="14.5" customHeight="1" x14ac:dyDescent="0.35">
      <c r="A74" s="522"/>
      <c r="B74" s="352" t="s">
        <v>16</v>
      </c>
      <c r="C74" s="353" t="s">
        <v>184</v>
      </c>
      <c r="D74" s="354" t="s">
        <v>337</v>
      </c>
      <c r="E74" s="6">
        <v>0</v>
      </c>
      <c r="F74" s="355">
        <v>0</v>
      </c>
      <c r="G74" s="356" t="s">
        <v>396</v>
      </c>
      <c r="H74" s="356" t="s">
        <v>396</v>
      </c>
      <c r="I74" s="358">
        <v>0</v>
      </c>
      <c r="J74" s="358" t="s">
        <v>12</v>
      </c>
      <c r="K74" s="358">
        <v>0</v>
      </c>
      <c r="L74" s="358">
        <v>0</v>
      </c>
      <c r="M74" s="358">
        <v>0</v>
      </c>
      <c r="N74" s="358">
        <v>0</v>
      </c>
      <c r="O74" s="358">
        <v>0</v>
      </c>
      <c r="P74" s="357">
        <v>0</v>
      </c>
      <c r="Q74" s="359">
        <v>0</v>
      </c>
      <c r="R74" s="359">
        <v>0</v>
      </c>
      <c r="S74" s="359">
        <v>0</v>
      </c>
      <c r="T74" s="357">
        <v>0</v>
      </c>
      <c r="U74" s="359">
        <v>0</v>
      </c>
      <c r="V74" s="359">
        <v>0</v>
      </c>
      <c r="W74" s="359">
        <v>0</v>
      </c>
      <c r="X74" s="357">
        <v>0</v>
      </c>
      <c r="Y74" s="359">
        <v>0</v>
      </c>
      <c r="Z74" s="359">
        <v>0</v>
      </c>
      <c r="AA74" s="359">
        <v>0</v>
      </c>
      <c r="AB74" s="359">
        <v>0</v>
      </c>
      <c r="AC74" s="360" t="s">
        <v>359</v>
      </c>
      <c r="AD74" s="360" t="s">
        <v>359</v>
      </c>
      <c r="AE74" s="360" t="s">
        <v>359</v>
      </c>
      <c r="AF74" s="360" t="s">
        <v>359</v>
      </c>
      <c r="AG74" s="360" t="s">
        <v>359</v>
      </c>
      <c r="AH74" s="360" t="s">
        <v>359</v>
      </c>
      <c r="AI74" s="360" t="s">
        <v>359</v>
      </c>
      <c r="AJ74" s="360" t="s">
        <v>359</v>
      </c>
      <c r="AK74" s="360" t="s">
        <v>359</v>
      </c>
      <c r="AL74" s="360" t="s">
        <v>359</v>
      </c>
      <c r="AM74" s="360" t="s">
        <v>359</v>
      </c>
      <c r="AN74" s="461" t="s">
        <v>359</v>
      </c>
      <c r="AO74" s="359" t="s">
        <v>359</v>
      </c>
      <c r="AP74" s="359" t="s">
        <v>359</v>
      </c>
      <c r="AQ74" s="359" t="s">
        <v>359</v>
      </c>
      <c r="AR74" s="357" t="s">
        <v>359</v>
      </c>
      <c r="AS74" s="359" t="s">
        <v>359</v>
      </c>
      <c r="AT74" s="359" t="s">
        <v>359</v>
      </c>
      <c r="AU74" s="359" t="s">
        <v>359</v>
      </c>
      <c r="AV74" s="359" t="s">
        <v>359</v>
      </c>
      <c r="AW74" s="359" t="s">
        <v>359</v>
      </c>
      <c r="AX74" s="359" t="s">
        <v>359</v>
      </c>
      <c r="AY74" s="359" t="s">
        <v>359</v>
      </c>
      <c r="AZ74" s="359" t="s">
        <v>359</v>
      </c>
      <c r="BA74" s="359" t="s">
        <v>359</v>
      </c>
      <c r="BB74" s="359" t="s">
        <v>359</v>
      </c>
      <c r="BC74" s="359" t="s">
        <v>359</v>
      </c>
      <c r="BD74" s="359" t="s">
        <v>359</v>
      </c>
      <c r="BE74" s="359">
        <v>0</v>
      </c>
      <c r="BF74" s="359">
        <v>0</v>
      </c>
      <c r="BG74" s="359">
        <v>0</v>
      </c>
      <c r="BH74" s="357">
        <v>0</v>
      </c>
      <c r="BI74" s="359">
        <v>0</v>
      </c>
      <c r="BJ74" s="359">
        <v>0</v>
      </c>
      <c r="BK74" s="359">
        <v>0</v>
      </c>
      <c r="BL74" s="357">
        <v>0</v>
      </c>
      <c r="BM74" s="359">
        <v>0</v>
      </c>
      <c r="BN74" s="359">
        <v>0</v>
      </c>
      <c r="BO74" s="359">
        <v>0</v>
      </c>
      <c r="BP74" s="357">
        <v>0</v>
      </c>
      <c r="BQ74" s="359" t="s">
        <v>359</v>
      </c>
      <c r="BR74" s="359" t="s">
        <v>359</v>
      </c>
      <c r="BS74" s="359" t="s">
        <v>359</v>
      </c>
      <c r="BT74" s="357" t="s">
        <v>359</v>
      </c>
      <c r="BU74" s="361" t="s">
        <v>359</v>
      </c>
      <c r="BV74" s="361" t="s">
        <v>359</v>
      </c>
      <c r="BW74" s="361" t="s">
        <v>359</v>
      </c>
      <c r="BX74" s="455" t="s">
        <v>359</v>
      </c>
      <c r="BY74" s="362" t="s">
        <v>359</v>
      </c>
      <c r="BZ74" s="362" t="s">
        <v>359</v>
      </c>
      <c r="CA74" s="362" t="s">
        <v>359</v>
      </c>
      <c r="CB74" s="362" t="s">
        <v>359</v>
      </c>
    </row>
    <row r="75" spans="1:80" s="359" customFormat="1" ht="14.5" customHeight="1" x14ac:dyDescent="0.35">
      <c r="A75" s="522"/>
      <c r="B75" s="352" t="s">
        <v>16</v>
      </c>
      <c r="C75" s="353" t="s">
        <v>184</v>
      </c>
      <c r="D75" s="354" t="s">
        <v>415</v>
      </c>
      <c r="E75" s="6">
        <v>0</v>
      </c>
      <c r="F75" s="355">
        <v>0</v>
      </c>
      <c r="G75" s="356" t="s">
        <v>396</v>
      </c>
      <c r="H75" s="356" t="s">
        <v>396</v>
      </c>
      <c r="I75" s="358">
        <v>0</v>
      </c>
      <c r="J75" s="358" t="s">
        <v>12</v>
      </c>
      <c r="K75" s="358">
        <v>0</v>
      </c>
      <c r="L75" s="358">
        <v>0</v>
      </c>
      <c r="M75" s="358">
        <v>0</v>
      </c>
      <c r="N75" s="358">
        <v>0</v>
      </c>
      <c r="O75" s="358">
        <v>0</v>
      </c>
      <c r="P75" s="357">
        <v>0</v>
      </c>
      <c r="Q75" s="359">
        <v>0</v>
      </c>
      <c r="R75" s="359">
        <v>0</v>
      </c>
      <c r="S75" s="359">
        <v>0</v>
      </c>
      <c r="T75" s="357">
        <v>0</v>
      </c>
      <c r="U75" s="359">
        <v>0</v>
      </c>
      <c r="V75" s="359">
        <v>0</v>
      </c>
      <c r="W75" s="359">
        <v>0</v>
      </c>
      <c r="X75" s="357">
        <v>0</v>
      </c>
      <c r="Y75" s="359">
        <v>0</v>
      </c>
      <c r="Z75" s="359">
        <v>0</v>
      </c>
      <c r="AA75" s="359">
        <v>0</v>
      </c>
      <c r="AB75" s="359">
        <v>0</v>
      </c>
      <c r="AC75" s="360" t="s">
        <v>359</v>
      </c>
      <c r="AD75" s="360" t="s">
        <v>359</v>
      </c>
      <c r="AE75" s="360" t="s">
        <v>359</v>
      </c>
      <c r="AF75" s="360" t="s">
        <v>359</v>
      </c>
      <c r="AG75" s="360" t="s">
        <v>359</v>
      </c>
      <c r="AH75" s="360" t="s">
        <v>359</v>
      </c>
      <c r="AI75" s="360" t="s">
        <v>359</v>
      </c>
      <c r="AJ75" s="360" t="s">
        <v>359</v>
      </c>
      <c r="AK75" s="360" t="s">
        <v>359</v>
      </c>
      <c r="AL75" s="360" t="s">
        <v>359</v>
      </c>
      <c r="AM75" s="360" t="s">
        <v>359</v>
      </c>
      <c r="AN75" s="461" t="s">
        <v>359</v>
      </c>
      <c r="AO75" s="359" t="s">
        <v>359</v>
      </c>
      <c r="AP75" s="359" t="s">
        <v>359</v>
      </c>
      <c r="AQ75" s="359" t="s">
        <v>359</v>
      </c>
      <c r="AR75" s="357" t="s">
        <v>359</v>
      </c>
      <c r="AS75" s="359" t="s">
        <v>359</v>
      </c>
      <c r="AT75" s="359" t="s">
        <v>359</v>
      </c>
      <c r="AU75" s="359" t="s">
        <v>359</v>
      </c>
      <c r="AV75" s="359" t="s">
        <v>359</v>
      </c>
      <c r="AW75" s="359" t="s">
        <v>359</v>
      </c>
      <c r="AX75" s="359" t="s">
        <v>359</v>
      </c>
      <c r="AY75" s="359" t="s">
        <v>359</v>
      </c>
      <c r="AZ75" s="359" t="s">
        <v>359</v>
      </c>
      <c r="BA75" s="359" t="s">
        <v>359</v>
      </c>
      <c r="BB75" s="359" t="s">
        <v>359</v>
      </c>
      <c r="BC75" s="359" t="s">
        <v>359</v>
      </c>
      <c r="BD75" s="359" t="s">
        <v>359</v>
      </c>
      <c r="BE75" s="359">
        <v>0</v>
      </c>
      <c r="BF75" s="359">
        <v>0</v>
      </c>
      <c r="BG75" s="359">
        <v>0</v>
      </c>
      <c r="BH75" s="357">
        <v>0</v>
      </c>
      <c r="BI75" s="359">
        <v>0</v>
      </c>
      <c r="BJ75" s="359">
        <v>0</v>
      </c>
      <c r="BK75" s="359">
        <v>0</v>
      </c>
      <c r="BL75" s="357">
        <v>0</v>
      </c>
      <c r="BM75" s="359">
        <v>0</v>
      </c>
      <c r="BN75" s="359">
        <v>0</v>
      </c>
      <c r="BO75" s="359">
        <v>0</v>
      </c>
      <c r="BP75" s="357">
        <v>0</v>
      </c>
      <c r="BQ75" s="359" t="s">
        <v>359</v>
      </c>
      <c r="BR75" s="359" t="s">
        <v>359</v>
      </c>
      <c r="BS75" s="359" t="s">
        <v>359</v>
      </c>
      <c r="BT75" s="357" t="s">
        <v>359</v>
      </c>
      <c r="BU75" s="361" t="s">
        <v>359</v>
      </c>
      <c r="BV75" s="361" t="s">
        <v>359</v>
      </c>
      <c r="BW75" s="361" t="s">
        <v>359</v>
      </c>
      <c r="BX75" s="455" t="s">
        <v>359</v>
      </c>
      <c r="BY75" s="362" t="s">
        <v>359</v>
      </c>
      <c r="BZ75" s="362" t="s">
        <v>359</v>
      </c>
      <c r="CA75" s="362" t="s">
        <v>359</v>
      </c>
      <c r="CB75" s="362" t="s">
        <v>359</v>
      </c>
    </row>
    <row r="76" spans="1:80" s="359" customFormat="1" ht="14.5" customHeight="1" x14ac:dyDescent="0.35">
      <c r="A76" s="522"/>
      <c r="B76" s="352" t="s">
        <v>16</v>
      </c>
      <c r="C76" s="353" t="s">
        <v>184</v>
      </c>
      <c r="D76" s="354" t="s">
        <v>338</v>
      </c>
      <c r="E76" s="6">
        <v>0</v>
      </c>
      <c r="F76" s="355">
        <v>0</v>
      </c>
      <c r="G76" s="356" t="s">
        <v>396</v>
      </c>
      <c r="H76" s="356" t="s">
        <v>396</v>
      </c>
      <c r="I76" s="358">
        <v>0</v>
      </c>
      <c r="J76" s="358" t="s">
        <v>12</v>
      </c>
      <c r="K76" s="358">
        <v>0</v>
      </c>
      <c r="L76" s="358">
        <v>0</v>
      </c>
      <c r="M76" s="358">
        <v>0</v>
      </c>
      <c r="N76" s="358">
        <v>0</v>
      </c>
      <c r="O76" s="358">
        <v>0</v>
      </c>
      <c r="P76" s="357">
        <v>0</v>
      </c>
      <c r="Q76" s="359">
        <v>0</v>
      </c>
      <c r="R76" s="359">
        <v>0</v>
      </c>
      <c r="S76" s="359">
        <v>0</v>
      </c>
      <c r="T76" s="357">
        <v>0</v>
      </c>
      <c r="U76" s="359">
        <v>0</v>
      </c>
      <c r="V76" s="359">
        <v>0</v>
      </c>
      <c r="W76" s="359">
        <v>0</v>
      </c>
      <c r="X76" s="357">
        <v>0</v>
      </c>
      <c r="Y76" s="359">
        <v>0</v>
      </c>
      <c r="Z76" s="359">
        <v>0</v>
      </c>
      <c r="AA76" s="359">
        <v>0</v>
      </c>
      <c r="AB76" s="359">
        <v>0</v>
      </c>
      <c r="AC76" s="360" t="s">
        <v>359</v>
      </c>
      <c r="AD76" s="360" t="s">
        <v>359</v>
      </c>
      <c r="AE76" s="360" t="s">
        <v>359</v>
      </c>
      <c r="AF76" s="360" t="s">
        <v>359</v>
      </c>
      <c r="AG76" s="360" t="s">
        <v>359</v>
      </c>
      <c r="AH76" s="360" t="s">
        <v>359</v>
      </c>
      <c r="AI76" s="360" t="s">
        <v>359</v>
      </c>
      <c r="AJ76" s="360" t="s">
        <v>359</v>
      </c>
      <c r="AK76" s="360" t="s">
        <v>359</v>
      </c>
      <c r="AL76" s="360" t="s">
        <v>359</v>
      </c>
      <c r="AM76" s="360" t="s">
        <v>359</v>
      </c>
      <c r="AN76" s="461" t="s">
        <v>359</v>
      </c>
      <c r="AO76" s="359" t="s">
        <v>359</v>
      </c>
      <c r="AP76" s="359" t="s">
        <v>359</v>
      </c>
      <c r="AQ76" s="359" t="s">
        <v>359</v>
      </c>
      <c r="AR76" s="357" t="s">
        <v>359</v>
      </c>
      <c r="AS76" s="359" t="s">
        <v>359</v>
      </c>
      <c r="AT76" s="359" t="s">
        <v>359</v>
      </c>
      <c r="AU76" s="359" t="s">
        <v>359</v>
      </c>
      <c r="AV76" s="359" t="s">
        <v>359</v>
      </c>
      <c r="AW76" s="359" t="s">
        <v>359</v>
      </c>
      <c r="AX76" s="359" t="s">
        <v>359</v>
      </c>
      <c r="AY76" s="359" t="s">
        <v>359</v>
      </c>
      <c r="AZ76" s="359" t="s">
        <v>359</v>
      </c>
      <c r="BA76" s="359" t="s">
        <v>359</v>
      </c>
      <c r="BB76" s="359" t="s">
        <v>359</v>
      </c>
      <c r="BC76" s="359" t="s">
        <v>359</v>
      </c>
      <c r="BD76" s="359" t="s">
        <v>359</v>
      </c>
      <c r="BE76" s="359">
        <v>0</v>
      </c>
      <c r="BF76" s="359">
        <v>0</v>
      </c>
      <c r="BG76" s="359">
        <v>0</v>
      </c>
      <c r="BH76" s="357">
        <v>0</v>
      </c>
      <c r="BI76" s="359">
        <v>0</v>
      </c>
      <c r="BJ76" s="359">
        <v>0</v>
      </c>
      <c r="BK76" s="359">
        <v>0</v>
      </c>
      <c r="BL76" s="357">
        <v>0</v>
      </c>
      <c r="BM76" s="359">
        <v>0</v>
      </c>
      <c r="BN76" s="359">
        <v>0</v>
      </c>
      <c r="BO76" s="359">
        <v>0</v>
      </c>
      <c r="BP76" s="357">
        <v>0</v>
      </c>
      <c r="BQ76" s="359" t="s">
        <v>359</v>
      </c>
      <c r="BR76" s="359" t="s">
        <v>359</v>
      </c>
      <c r="BS76" s="359" t="s">
        <v>359</v>
      </c>
      <c r="BT76" s="357" t="s">
        <v>359</v>
      </c>
      <c r="BU76" s="361" t="s">
        <v>359</v>
      </c>
      <c r="BV76" s="361" t="s">
        <v>359</v>
      </c>
      <c r="BW76" s="361" t="s">
        <v>359</v>
      </c>
      <c r="BX76" s="455" t="s">
        <v>359</v>
      </c>
      <c r="BY76" s="362" t="s">
        <v>359</v>
      </c>
      <c r="BZ76" s="362" t="s">
        <v>359</v>
      </c>
      <c r="CA76" s="362" t="s">
        <v>359</v>
      </c>
      <c r="CB76" s="362" t="s">
        <v>359</v>
      </c>
    </row>
    <row r="77" spans="1:80" s="55" customFormat="1" ht="14.5" customHeight="1" x14ac:dyDescent="0.35">
      <c r="A77" s="522"/>
      <c r="B77" s="247" t="s">
        <v>184</v>
      </c>
      <c r="C77" s="7" t="s">
        <v>184</v>
      </c>
      <c r="D77" s="245" t="s">
        <v>339</v>
      </c>
      <c r="E77" s="6">
        <v>0</v>
      </c>
      <c r="F77" s="175">
        <v>0</v>
      </c>
      <c r="G77" s="188" t="s">
        <v>12</v>
      </c>
      <c r="H77" s="188" t="s">
        <v>12</v>
      </c>
      <c r="I77" s="195">
        <v>0</v>
      </c>
      <c r="J77" s="195" t="s">
        <v>12</v>
      </c>
      <c r="K77" s="195">
        <v>0</v>
      </c>
      <c r="L77" s="195">
        <v>0</v>
      </c>
      <c r="M77" s="195">
        <v>0</v>
      </c>
      <c r="N77" s="189">
        <v>0</v>
      </c>
      <c r="O77" s="195">
        <v>0</v>
      </c>
      <c r="P77" s="17">
        <v>0</v>
      </c>
      <c r="Q77" s="55">
        <v>0</v>
      </c>
      <c r="R77" s="55">
        <v>0</v>
      </c>
      <c r="S77" s="55">
        <v>0</v>
      </c>
      <c r="T77" s="216">
        <v>0</v>
      </c>
      <c r="U77" s="52">
        <v>0</v>
      </c>
      <c r="V77" s="52">
        <v>0</v>
      </c>
      <c r="W77" s="52">
        <v>0</v>
      </c>
      <c r="X77" s="17">
        <v>0</v>
      </c>
      <c r="Y77" s="52">
        <v>0</v>
      </c>
      <c r="Z77" s="52">
        <v>0</v>
      </c>
      <c r="AA77" s="52">
        <v>0</v>
      </c>
      <c r="AB77" s="52">
        <v>0</v>
      </c>
      <c r="AC77" s="246" t="s">
        <v>359</v>
      </c>
      <c r="AD77" s="246" t="s">
        <v>359</v>
      </c>
      <c r="AE77" s="246" t="s">
        <v>359</v>
      </c>
      <c r="AF77" s="246" t="s">
        <v>359</v>
      </c>
      <c r="AG77" s="246" t="s">
        <v>359</v>
      </c>
      <c r="AH77" s="246" t="s">
        <v>359</v>
      </c>
      <c r="AI77" s="246" t="s">
        <v>359</v>
      </c>
      <c r="AJ77" s="246" t="s">
        <v>359</v>
      </c>
      <c r="AK77" s="246" t="s">
        <v>359</v>
      </c>
      <c r="AL77" s="246" t="s">
        <v>359</v>
      </c>
      <c r="AM77" s="246" t="s">
        <v>359</v>
      </c>
      <c r="AN77" s="462" t="s">
        <v>359</v>
      </c>
      <c r="AO77" s="55" t="s">
        <v>359</v>
      </c>
      <c r="AP77" s="55" t="s">
        <v>359</v>
      </c>
      <c r="AQ77" s="55" t="s">
        <v>359</v>
      </c>
      <c r="AR77" s="216" t="s">
        <v>359</v>
      </c>
      <c r="AS77" s="55" t="s">
        <v>359</v>
      </c>
      <c r="AT77" s="55" t="s">
        <v>359</v>
      </c>
      <c r="AU77" s="55" t="s">
        <v>359</v>
      </c>
      <c r="AV77" s="55" t="s">
        <v>359</v>
      </c>
      <c r="AW77" s="55" t="s">
        <v>359</v>
      </c>
      <c r="AX77" s="55" t="s">
        <v>359</v>
      </c>
      <c r="AY77" s="55" t="s">
        <v>359</v>
      </c>
      <c r="AZ77" s="55" t="s">
        <v>359</v>
      </c>
      <c r="BA77" s="55" t="s">
        <v>359</v>
      </c>
      <c r="BB77" s="55" t="s">
        <v>359</v>
      </c>
      <c r="BC77" s="55" t="s">
        <v>359</v>
      </c>
      <c r="BD77" s="55" t="s">
        <v>359</v>
      </c>
      <c r="BE77" s="52">
        <v>0</v>
      </c>
      <c r="BF77" s="52">
        <v>0</v>
      </c>
      <c r="BG77" s="52">
        <v>0</v>
      </c>
      <c r="BH77" s="17">
        <v>0</v>
      </c>
      <c r="BI77" s="55">
        <v>0</v>
      </c>
      <c r="BJ77" s="55">
        <v>0</v>
      </c>
      <c r="BK77" s="55">
        <v>0</v>
      </c>
      <c r="BL77" s="216">
        <v>0</v>
      </c>
      <c r="BM77" s="55">
        <v>0</v>
      </c>
      <c r="BN77" s="55">
        <v>0</v>
      </c>
      <c r="BO77" s="55">
        <v>0</v>
      </c>
      <c r="BP77" s="216">
        <v>0</v>
      </c>
      <c r="BQ77" s="52" t="s">
        <v>359</v>
      </c>
      <c r="BR77" s="52" t="s">
        <v>359</v>
      </c>
      <c r="BS77" s="52" t="s">
        <v>359</v>
      </c>
      <c r="BT77" s="17" t="s">
        <v>359</v>
      </c>
      <c r="BU77" s="51" t="s">
        <v>359</v>
      </c>
      <c r="BV77" s="51" t="s">
        <v>359</v>
      </c>
      <c r="BW77" s="51" t="s">
        <v>359</v>
      </c>
      <c r="BX77" s="456" t="s">
        <v>359</v>
      </c>
      <c r="BY77" s="9" t="s">
        <v>359</v>
      </c>
      <c r="BZ77" s="9" t="s">
        <v>359</v>
      </c>
      <c r="CA77" s="9" t="s">
        <v>359</v>
      </c>
      <c r="CB77" s="9" t="s">
        <v>359</v>
      </c>
    </row>
    <row r="78" spans="1:80" s="290" customFormat="1" x14ac:dyDescent="0.35">
      <c r="A78" s="522"/>
      <c r="B78" s="363" t="s">
        <v>18</v>
      </c>
      <c r="C78" s="284" t="s">
        <v>23</v>
      </c>
      <c r="D78" s="364" t="s">
        <v>32</v>
      </c>
      <c r="E78" s="6">
        <v>0</v>
      </c>
      <c r="F78" s="285">
        <v>0</v>
      </c>
      <c r="G78" s="286" t="s">
        <v>395</v>
      </c>
      <c r="H78" s="286" t="s">
        <v>396</v>
      </c>
      <c r="I78" s="289">
        <v>0</v>
      </c>
      <c r="J78" s="289" t="s">
        <v>12</v>
      </c>
      <c r="K78" s="289">
        <v>0</v>
      </c>
      <c r="L78" s="289">
        <v>0</v>
      </c>
      <c r="M78" s="422">
        <v>0</v>
      </c>
      <c r="N78" s="289">
        <v>0</v>
      </c>
      <c r="O78" s="289">
        <v>0</v>
      </c>
      <c r="P78" s="287">
        <v>0</v>
      </c>
      <c r="Q78" s="312">
        <v>0</v>
      </c>
      <c r="R78" s="312">
        <v>0</v>
      </c>
      <c r="S78" s="312">
        <v>0</v>
      </c>
      <c r="T78" s="311">
        <v>0</v>
      </c>
      <c r="U78" s="290">
        <v>0</v>
      </c>
      <c r="V78" s="290">
        <v>0</v>
      </c>
      <c r="W78" s="290">
        <v>0</v>
      </c>
      <c r="X78" s="287">
        <v>0</v>
      </c>
      <c r="Y78" s="290">
        <v>0</v>
      </c>
      <c r="Z78" s="290">
        <v>0</v>
      </c>
      <c r="AA78" s="290">
        <v>0</v>
      </c>
      <c r="AB78" s="287">
        <v>0</v>
      </c>
      <c r="AC78" s="291">
        <v>0</v>
      </c>
      <c r="AD78" s="291">
        <v>0</v>
      </c>
      <c r="AE78" s="291">
        <v>0</v>
      </c>
      <c r="AF78" s="292">
        <v>0</v>
      </c>
      <c r="AG78" s="291">
        <v>0</v>
      </c>
      <c r="AH78" s="291">
        <v>0</v>
      </c>
      <c r="AI78" s="291">
        <v>0</v>
      </c>
      <c r="AJ78" s="292">
        <v>0</v>
      </c>
      <c r="AK78" s="291">
        <v>0</v>
      </c>
      <c r="AL78" s="291">
        <v>0</v>
      </c>
      <c r="AM78" s="291">
        <v>0</v>
      </c>
      <c r="AN78" s="292">
        <v>0</v>
      </c>
      <c r="AO78" s="290">
        <v>0</v>
      </c>
      <c r="AP78" s="290">
        <v>0</v>
      </c>
      <c r="AQ78" s="290">
        <v>0</v>
      </c>
      <c r="AR78" s="287">
        <v>0</v>
      </c>
      <c r="AS78" s="290">
        <v>0</v>
      </c>
      <c r="AT78" s="290">
        <v>0</v>
      </c>
      <c r="AU78" s="290">
        <v>0</v>
      </c>
      <c r="AV78" s="287">
        <v>0</v>
      </c>
      <c r="AW78" s="290">
        <v>0</v>
      </c>
      <c r="AX78" s="290">
        <v>0</v>
      </c>
      <c r="AY78" s="290">
        <v>0</v>
      </c>
      <c r="AZ78" s="287">
        <v>0</v>
      </c>
      <c r="BA78" s="290" t="s">
        <v>232</v>
      </c>
      <c r="BB78" s="290" t="s">
        <v>232</v>
      </c>
      <c r="BC78" s="290" t="s">
        <v>232</v>
      </c>
      <c r="BD78" s="287" t="s">
        <v>232</v>
      </c>
      <c r="BE78" s="290">
        <v>0</v>
      </c>
      <c r="BF78" s="290">
        <v>0</v>
      </c>
      <c r="BG78" s="290">
        <v>0</v>
      </c>
      <c r="BH78" s="287">
        <v>0</v>
      </c>
      <c r="BI78" s="290">
        <v>0</v>
      </c>
      <c r="BJ78" s="290">
        <v>0</v>
      </c>
      <c r="BK78" s="290">
        <v>0</v>
      </c>
      <c r="BL78" s="287">
        <v>0</v>
      </c>
      <c r="BM78" s="290">
        <v>0</v>
      </c>
      <c r="BN78" s="290">
        <v>0</v>
      </c>
      <c r="BO78" s="290">
        <v>0</v>
      </c>
      <c r="BP78" s="287">
        <v>0</v>
      </c>
      <c r="BQ78" s="290">
        <v>0</v>
      </c>
      <c r="BR78" s="290">
        <v>0</v>
      </c>
      <c r="BS78" s="290">
        <v>0</v>
      </c>
      <c r="BT78" s="287">
        <v>0</v>
      </c>
      <c r="BU78" s="293">
        <v>0</v>
      </c>
      <c r="BV78" s="293">
        <v>0</v>
      </c>
      <c r="BW78" s="293">
        <v>0</v>
      </c>
      <c r="BX78" s="288">
        <v>0</v>
      </c>
      <c r="BY78" s="291">
        <v>0</v>
      </c>
      <c r="BZ78" s="291">
        <v>0</v>
      </c>
      <c r="CA78" s="291">
        <v>0</v>
      </c>
      <c r="CB78" s="291">
        <v>0</v>
      </c>
    </row>
    <row r="79" spans="1:80" s="290" customFormat="1" x14ac:dyDescent="0.35">
      <c r="A79" s="522"/>
      <c r="B79" s="363" t="s">
        <v>159</v>
      </c>
      <c r="C79" s="284" t="s">
        <v>24</v>
      </c>
      <c r="D79" s="364" t="s">
        <v>185</v>
      </c>
      <c r="E79" s="6">
        <v>0</v>
      </c>
      <c r="F79" s="285">
        <v>0</v>
      </c>
      <c r="G79" s="286" t="s">
        <v>395</v>
      </c>
      <c r="H79" s="286" t="s">
        <v>396</v>
      </c>
      <c r="I79" s="289">
        <v>0</v>
      </c>
      <c r="J79" s="289" t="s">
        <v>12</v>
      </c>
      <c r="K79" s="289">
        <v>0</v>
      </c>
      <c r="L79" s="289">
        <v>0</v>
      </c>
      <c r="M79" s="422">
        <v>0</v>
      </c>
      <c r="N79" s="289">
        <v>0</v>
      </c>
      <c r="O79" s="289">
        <v>0</v>
      </c>
      <c r="P79" s="287">
        <v>0</v>
      </c>
      <c r="Q79" s="290">
        <v>0</v>
      </c>
      <c r="R79" s="290">
        <v>0</v>
      </c>
      <c r="S79" s="290">
        <v>0</v>
      </c>
      <c r="T79" s="287">
        <v>0</v>
      </c>
      <c r="U79" s="290">
        <v>0</v>
      </c>
      <c r="V79" s="290">
        <v>0</v>
      </c>
      <c r="W79" s="290">
        <v>0</v>
      </c>
      <c r="X79" s="287">
        <v>0</v>
      </c>
      <c r="Y79" s="290">
        <v>0</v>
      </c>
      <c r="Z79" s="290">
        <v>0</v>
      </c>
      <c r="AA79" s="290">
        <v>0</v>
      </c>
      <c r="AB79" s="287">
        <v>0</v>
      </c>
      <c r="AC79" s="291">
        <v>0</v>
      </c>
      <c r="AD79" s="291">
        <v>0</v>
      </c>
      <c r="AE79" s="291">
        <v>0</v>
      </c>
      <c r="AF79" s="292">
        <v>0</v>
      </c>
      <c r="AG79" s="291">
        <v>0</v>
      </c>
      <c r="AH79" s="291">
        <v>0</v>
      </c>
      <c r="AI79" s="291">
        <v>0</v>
      </c>
      <c r="AJ79" s="292">
        <v>0</v>
      </c>
      <c r="AK79" s="291">
        <v>0</v>
      </c>
      <c r="AL79" s="291">
        <v>0</v>
      </c>
      <c r="AM79" s="291">
        <v>0</v>
      </c>
      <c r="AN79" s="292">
        <v>0</v>
      </c>
      <c r="AO79" s="290">
        <v>0</v>
      </c>
      <c r="AP79" s="290">
        <v>0</v>
      </c>
      <c r="AQ79" s="290">
        <v>0</v>
      </c>
      <c r="AR79" s="287">
        <v>0</v>
      </c>
      <c r="AS79" s="290">
        <v>0</v>
      </c>
      <c r="AT79" s="290">
        <v>0</v>
      </c>
      <c r="AU79" s="290">
        <v>0</v>
      </c>
      <c r="AV79" s="287">
        <v>0</v>
      </c>
      <c r="AW79" s="290">
        <v>0</v>
      </c>
      <c r="AX79" s="290">
        <v>0</v>
      </c>
      <c r="AY79" s="290">
        <v>0</v>
      </c>
      <c r="AZ79" s="287">
        <v>0</v>
      </c>
      <c r="BA79" s="290">
        <v>0</v>
      </c>
      <c r="BB79" s="290">
        <v>0</v>
      </c>
      <c r="BC79" s="290">
        <v>0</v>
      </c>
      <c r="BD79" s="287">
        <v>0</v>
      </c>
      <c r="BE79" s="290">
        <v>0</v>
      </c>
      <c r="BF79" s="290">
        <v>0</v>
      </c>
      <c r="BG79" s="290">
        <v>0</v>
      </c>
      <c r="BH79" s="287">
        <v>0</v>
      </c>
      <c r="BI79" s="290">
        <v>0</v>
      </c>
      <c r="BJ79" s="290">
        <v>0</v>
      </c>
      <c r="BK79" s="290">
        <v>0</v>
      </c>
      <c r="BL79" s="287">
        <v>0</v>
      </c>
      <c r="BM79" s="290">
        <v>0</v>
      </c>
      <c r="BN79" s="290">
        <v>0</v>
      </c>
      <c r="BO79" s="290">
        <v>0</v>
      </c>
      <c r="BP79" s="287">
        <v>0</v>
      </c>
      <c r="BQ79" s="290">
        <v>0</v>
      </c>
      <c r="BR79" s="290">
        <v>0</v>
      </c>
      <c r="BS79" s="290">
        <v>0</v>
      </c>
      <c r="BT79" s="287">
        <v>0</v>
      </c>
      <c r="BU79" s="365">
        <v>0</v>
      </c>
      <c r="BV79" s="365">
        <v>0</v>
      </c>
      <c r="BW79" s="365">
        <v>0</v>
      </c>
      <c r="BX79" s="287">
        <v>0</v>
      </c>
      <c r="BY79" s="291">
        <v>0</v>
      </c>
      <c r="BZ79" s="291">
        <v>0</v>
      </c>
      <c r="CA79" s="291">
        <v>0</v>
      </c>
      <c r="CB79" s="291">
        <v>0</v>
      </c>
    </row>
    <row r="80" spans="1:80" s="50" customFormat="1" x14ac:dyDescent="0.35">
      <c r="A80" s="522"/>
      <c r="B80" s="329" t="s">
        <v>14</v>
      </c>
      <c r="C80" s="313" t="s">
        <v>184</v>
      </c>
      <c r="D80" s="330" t="s">
        <v>33</v>
      </c>
      <c r="E80" s="6">
        <v>0</v>
      </c>
      <c r="F80" s="297">
        <v>0</v>
      </c>
      <c r="G80" s="298" t="s">
        <v>395</v>
      </c>
      <c r="H80" s="298" t="s">
        <v>396</v>
      </c>
      <c r="I80" s="301">
        <v>0</v>
      </c>
      <c r="J80" s="301" t="s">
        <v>12</v>
      </c>
      <c r="K80" s="301">
        <v>0</v>
      </c>
      <c r="L80" s="301">
        <v>0</v>
      </c>
      <c r="M80" s="419">
        <v>0</v>
      </c>
      <c r="N80" s="301">
        <v>0</v>
      </c>
      <c r="O80" s="301">
        <v>0</v>
      </c>
      <c r="P80" s="299">
        <v>0</v>
      </c>
      <c r="Q80" s="315">
        <v>0</v>
      </c>
      <c r="R80" s="315">
        <v>0</v>
      </c>
      <c r="S80" s="315">
        <v>0</v>
      </c>
      <c r="T80" s="314">
        <v>0</v>
      </c>
      <c r="U80" s="50">
        <v>0</v>
      </c>
      <c r="V80" s="50">
        <v>0</v>
      </c>
      <c r="W80" s="50">
        <v>0</v>
      </c>
      <c r="X80" s="299">
        <v>0</v>
      </c>
      <c r="Y80" s="50">
        <v>0</v>
      </c>
      <c r="Z80" s="50">
        <v>0</v>
      </c>
      <c r="AA80" s="50">
        <v>0</v>
      </c>
      <c r="AB80" s="299">
        <v>0</v>
      </c>
      <c r="AC80" s="304">
        <v>0</v>
      </c>
      <c r="AD80" s="304">
        <v>0</v>
      </c>
      <c r="AE80" s="304">
        <v>0</v>
      </c>
      <c r="AF80" s="305">
        <v>0</v>
      </c>
      <c r="AG80" s="304">
        <v>0</v>
      </c>
      <c r="AH80" s="304">
        <v>0</v>
      </c>
      <c r="AI80" s="304">
        <v>0</v>
      </c>
      <c r="AJ80" s="305">
        <v>0</v>
      </c>
      <c r="AK80" s="304">
        <v>0</v>
      </c>
      <c r="AL80" s="304">
        <v>0</v>
      </c>
      <c r="AM80" s="304">
        <v>0</v>
      </c>
      <c r="AN80" s="305">
        <v>0</v>
      </c>
      <c r="AO80" s="50" t="s">
        <v>357</v>
      </c>
      <c r="AP80" s="50" t="s">
        <v>357</v>
      </c>
      <c r="AQ80" s="50" t="s">
        <v>357</v>
      </c>
      <c r="AR80" s="299" t="s">
        <v>357</v>
      </c>
      <c r="AS80" s="50">
        <v>0</v>
      </c>
      <c r="AT80" s="50">
        <v>0</v>
      </c>
      <c r="AU80" s="50">
        <v>0</v>
      </c>
      <c r="AV80" s="299">
        <v>0</v>
      </c>
      <c r="AW80" s="50">
        <v>0</v>
      </c>
      <c r="AX80" s="50">
        <v>0</v>
      </c>
      <c r="AY80" s="50">
        <v>0</v>
      </c>
      <c r="AZ80" s="299">
        <v>0</v>
      </c>
      <c r="BA80" s="50">
        <v>0</v>
      </c>
      <c r="BB80" s="50">
        <v>0</v>
      </c>
      <c r="BC80" s="50">
        <v>0</v>
      </c>
      <c r="BD80" s="299">
        <v>0</v>
      </c>
      <c r="BE80" s="50">
        <v>0</v>
      </c>
      <c r="BF80" s="50">
        <v>0</v>
      </c>
      <c r="BG80" s="50">
        <v>0</v>
      </c>
      <c r="BH80" s="299">
        <v>0</v>
      </c>
      <c r="BI80" s="50">
        <v>0</v>
      </c>
      <c r="BJ80" s="50">
        <v>0</v>
      </c>
      <c r="BK80" s="50">
        <v>0</v>
      </c>
      <c r="BL80" s="299">
        <v>0</v>
      </c>
      <c r="BM80" s="50">
        <v>0</v>
      </c>
      <c r="BN80" s="50">
        <v>0</v>
      </c>
      <c r="BO80" s="50">
        <v>0</v>
      </c>
      <c r="BP80" s="299">
        <v>0</v>
      </c>
      <c r="BQ80" s="50">
        <v>0</v>
      </c>
      <c r="BR80" s="50">
        <v>0</v>
      </c>
      <c r="BS80" s="50">
        <v>0</v>
      </c>
      <c r="BT80" s="299">
        <v>0</v>
      </c>
      <c r="BU80" s="366">
        <v>0</v>
      </c>
      <c r="BV80" s="366">
        <v>0</v>
      </c>
      <c r="BW80" s="366">
        <v>0</v>
      </c>
      <c r="BX80" s="299">
        <v>0</v>
      </c>
      <c r="BY80" s="304">
        <v>0</v>
      </c>
      <c r="BZ80" s="304">
        <v>0</v>
      </c>
      <c r="CA80" s="304">
        <v>0</v>
      </c>
      <c r="CB80" s="304">
        <v>0</v>
      </c>
    </row>
    <row r="81" spans="1:80" s="50" customFormat="1" x14ac:dyDescent="0.35">
      <c r="A81" s="522"/>
      <c r="B81" s="329" t="s">
        <v>15</v>
      </c>
      <c r="C81" s="313" t="s">
        <v>184</v>
      </c>
      <c r="D81" s="330" t="s">
        <v>34</v>
      </c>
      <c r="E81" s="6">
        <v>0</v>
      </c>
      <c r="F81" s="297">
        <v>0</v>
      </c>
      <c r="G81" s="298" t="s">
        <v>395</v>
      </c>
      <c r="H81" s="298" t="s">
        <v>396</v>
      </c>
      <c r="I81" s="301">
        <v>0</v>
      </c>
      <c r="J81" s="301" t="s">
        <v>12</v>
      </c>
      <c r="K81" s="301">
        <v>0</v>
      </c>
      <c r="L81" s="301">
        <v>0</v>
      </c>
      <c r="M81" s="419">
        <v>0</v>
      </c>
      <c r="N81" s="301">
        <v>0</v>
      </c>
      <c r="O81" s="301">
        <v>0</v>
      </c>
      <c r="P81" s="299">
        <v>0</v>
      </c>
      <c r="Q81" s="315">
        <v>0</v>
      </c>
      <c r="R81" s="315">
        <v>0</v>
      </c>
      <c r="S81" s="315">
        <v>0</v>
      </c>
      <c r="T81" s="314">
        <v>0</v>
      </c>
      <c r="U81" s="50">
        <v>0</v>
      </c>
      <c r="V81" s="50">
        <v>0</v>
      </c>
      <c r="W81" s="50">
        <v>0</v>
      </c>
      <c r="X81" s="299">
        <v>0</v>
      </c>
      <c r="Y81" s="50">
        <v>0</v>
      </c>
      <c r="Z81" s="50">
        <v>0</v>
      </c>
      <c r="AA81" s="50">
        <v>0</v>
      </c>
      <c r="AB81" s="299">
        <v>0</v>
      </c>
      <c r="AC81" s="304">
        <v>0</v>
      </c>
      <c r="AD81" s="304">
        <v>0</v>
      </c>
      <c r="AE81" s="304">
        <v>0</v>
      </c>
      <c r="AF81" s="305">
        <v>0</v>
      </c>
      <c r="AG81" s="304">
        <v>0</v>
      </c>
      <c r="AH81" s="304">
        <v>0</v>
      </c>
      <c r="AI81" s="304">
        <v>0</v>
      </c>
      <c r="AJ81" s="305">
        <v>0</v>
      </c>
      <c r="AK81" s="304">
        <v>0</v>
      </c>
      <c r="AL81" s="304">
        <v>0</v>
      </c>
      <c r="AM81" s="304">
        <v>0</v>
      </c>
      <c r="AN81" s="305">
        <v>0</v>
      </c>
      <c r="AO81" s="50" t="s">
        <v>357</v>
      </c>
      <c r="AP81" s="50" t="s">
        <v>357</v>
      </c>
      <c r="AQ81" s="50" t="s">
        <v>357</v>
      </c>
      <c r="AR81" s="299" t="s">
        <v>357</v>
      </c>
      <c r="AS81" s="50">
        <v>0</v>
      </c>
      <c r="AT81" s="50">
        <v>0</v>
      </c>
      <c r="AU81" s="50">
        <v>0</v>
      </c>
      <c r="AV81" s="299">
        <v>0</v>
      </c>
      <c r="AW81" s="50">
        <v>0</v>
      </c>
      <c r="AX81" s="50">
        <v>0</v>
      </c>
      <c r="AY81" s="50">
        <v>0</v>
      </c>
      <c r="AZ81" s="299">
        <v>0</v>
      </c>
      <c r="BA81" s="50">
        <v>0</v>
      </c>
      <c r="BB81" s="50">
        <v>0</v>
      </c>
      <c r="BC81" s="50">
        <v>0</v>
      </c>
      <c r="BD81" s="299">
        <v>0</v>
      </c>
      <c r="BE81" s="50">
        <v>0</v>
      </c>
      <c r="BF81" s="50">
        <v>0</v>
      </c>
      <c r="BG81" s="50">
        <v>0</v>
      </c>
      <c r="BH81" s="299">
        <v>0</v>
      </c>
      <c r="BI81" s="50">
        <v>0</v>
      </c>
      <c r="BJ81" s="50">
        <v>0</v>
      </c>
      <c r="BK81" s="50">
        <v>0</v>
      </c>
      <c r="BL81" s="299">
        <v>0</v>
      </c>
      <c r="BM81" s="50">
        <v>0</v>
      </c>
      <c r="BN81" s="50">
        <v>0</v>
      </c>
      <c r="BO81" s="50">
        <v>0</v>
      </c>
      <c r="BP81" s="299">
        <v>0</v>
      </c>
      <c r="BQ81" s="50">
        <v>0</v>
      </c>
      <c r="BR81" s="50">
        <v>0</v>
      </c>
      <c r="BS81" s="50">
        <v>0</v>
      </c>
      <c r="BT81" s="299">
        <v>0</v>
      </c>
      <c r="BU81" s="366">
        <v>0</v>
      </c>
      <c r="BV81" s="366">
        <v>0</v>
      </c>
      <c r="BW81" s="366">
        <v>0</v>
      </c>
      <c r="BX81" s="299">
        <v>0</v>
      </c>
      <c r="BY81" s="304">
        <v>0</v>
      </c>
      <c r="BZ81" s="304">
        <v>0</v>
      </c>
      <c r="CA81" s="304">
        <v>0</v>
      </c>
      <c r="CB81" s="304">
        <v>0</v>
      </c>
    </row>
    <row r="82" spans="1:80" s="50" customFormat="1" x14ac:dyDescent="0.35">
      <c r="A82" s="522"/>
      <c r="B82" s="329" t="s">
        <v>16</v>
      </c>
      <c r="C82" s="313" t="s">
        <v>184</v>
      </c>
      <c r="D82" s="296" t="s">
        <v>35</v>
      </c>
      <c r="E82" s="6">
        <v>0</v>
      </c>
      <c r="F82" s="297">
        <v>0</v>
      </c>
      <c r="G82" s="298" t="s">
        <v>396</v>
      </c>
      <c r="H82" s="298" t="s">
        <v>396</v>
      </c>
      <c r="I82" s="301">
        <v>0</v>
      </c>
      <c r="J82" s="301" t="s">
        <v>12</v>
      </c>
      <c r="K82" s="301">
        <v>0</v>
      </c>
      <c r="L82" s="301">
        <v>0</v>
      </c>
      <c r="M82" s="419">
        <v>0</v>
      </c>
      <c r="N82" s="301">
        <v>0</v>
      </c>
      <c r="O82" s="301">
        <v>0</v>
      </c>
      <c r="P82" s="299">
        <v>0</v>
      </c>
      <c r="Q82" s="315">
        <v>0</v>
      </c>
      <c r="R82" s="315">
        <v>0</v>
      </c>
      <c r="S82" s="315">
        <v>0</v>
      </c>
      <c r="T82" s="314">
        <v>0</v>
      </c>
      <c r="U82" s="50">
        <v>0</v>
      </c>
      <c r="V82" s="50">
        <v>0</v>
      </c>
      <c r="W82" s="50">
        <v>0</v>
      </c>
      <c r="X82" s="299">
        <v>0</v>
      </c>
      <c r="Y82" s="50">
        <v>0</v>
      </c>
      <c r="Z82" s="50">
        <v>0</v>
      </c>
      <c r="AA82" s="50">
        <v>0</v>
      </c>
      <c r="AB82" s="299">
        <v>0</v>
      </c>
      <c r="AC82" s="304" t="s">
        <v>357</v>
      </c>
      <c r="AD82" s="304" t="s">
        <v>357</v>
      </c>
      <c r="AE82" s="304" t="s">
        <v>357</v>
      </c>
      <c r="AF82" s="305" t="s">
        <v>357</v>
      </c>
      <c r="AG82" s="304" t="s">
        <v>357</v>
      </c>
      <c r="AH82" s="304" t="s">
        <v>357</v>
      </c>
      <c r="AI82" s="304" t="s">
        <v>357</v>
      </c>
      <c r="AJ82" s="305" t="s">
        <v>357</v>
      </c>
      <c r="AK82" s="304" t="s">
        <v>357</v>
      </c>
      <c r="AL82" s="304" t="s">
        <v>357</v>
      </c>
      <c r="AM82" s="304" t="s">
        <v>357</v>
      </c>
      <c r="AN82" s="305" t="s">
        <v>357</v>
      </c>
      <c r="AO82" s="50" t="s">
        <v>357</v>
      </c>
      <c r="AP82" s="50" t="s">
        <v>357</v>
      </c>
      <c r="AQ82" s="50" t="s">
        <v>357</v>
      </c>
      <c r="AR82" s="299" t="s">
        <v>357</v>
      </c>
      <c r="AS82" s="50" t="s">
        <v>357</v>
      </c>
      <c r="AT82" s="50" t="s">
        <v>357</v>
      </c>
      <c r="AU82" s="50" t="s">
        <v>357</v>
      </c>
      <c r="AV82" s="299" t="s">
        <v>357</v>
      </c>
      <c r="AW82" s="50" t="s">
        <v>357</v>
      </c>
      <c r="AX82" s="50" t="s">
        <v>357</v>
      </c>
      <c r="AY82" s="50" t="s">
        <v>357</v>
      </c>
      <c r="AZ82" s="299" t="s">
        <v>357</v>
      </c>
      <c r="BA82" s="50" t="s">
        <v>357</v>
      </c>
      <c r="BB82" s="50" t="s">
        <v>357</v>
      </c>
      <c r="BC82" s="50" t="s">
        <v>357</v>
      </c>
      <c r="BD82" s="299" t="s">
        <v>357</v>
      </c>
      <c r="BE82" s="50">
        <v>0</v>
      </c>
      <c r="BF82" s="50">
        <v>0</v>
      </c>
      <c r="BG82" s="50">
        <v>0</v>
      </c>
      <c r="BH82" s="299">
        <v>0</v>
      </c>
      <c r="BI82" s="50">
        <v>0</v>
      </c>
      <c r="BJ82" s="50" t="s">
        <v>189</v>
      </c>
      <c r="BK82" s="50">
        <v>0</v>
      </c>
      <c r="BL82" s="299">
        <v>0</v>
      </c>
      <c r="BM82" s="50">
        <v>0</v>
      </c>
      <c r="BN82" s="50">
        <v>0</v>
      </c>
      <c r="BO82" s="50">
        <v>0</v>
      </c>
      <c r="BP82" s="299">
        <v>0</v>
      </c>
      <c r="BQ82" s="50">
        <v>0</v>
      </c>
      <c r="BR82" s="50">
        <v>0</v>
      </c>
      <c r="BS82" s="50">
        <v>0</v>
      </c>
      <c r="BT82" s="299">
        <v>0</v>
      </c>
      <c r="BU82" s="308" t="s">
        <v>357</v>
      </c>
      <c r="BV82" s="308" t="s">
        <v>357</v>
      </c>
      <c r="BW82" s="308" t="s">
        <v>357</v>
      </c>
      <c r="BX82" s="300" t="s">
        <v>357</v>
      </c>
      <c r="BY82" s="304">
        <v>0</v>
      </c>
      <c r="BZ82" s="304">
        <v>0</v>
      </c>
      <c r="CA82" s="304">
        <v>0</v>
      </c>
      <c r="CB82" s="304">
        <v>0</v>
      </c>
    </row>
  </sheetData>
  <mergeCells count="2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 ref="A53:A82"/>
    <mergeCell ref="Q1:T1"/>
    <mergeCell ref="U1:X1"/>
    <mergeCell ref="Y1:AB1"/>
    <mergeCell ref="AC1:AF1"/>
    <mergeCell ref="A6:A52"/>
  </mergeCells>
  <conditionalFormatting sqref="B5">
    <cfRule type="cellIs" dxfId="3" priority="1" operator="equal">
      <formula>FALSE</formula>
    </cfRule>
    <cfRule type="cellIs" dxfId="2" priority="2" operator="equal">
      <formula>TRUE</formula>
    </cfRule>
  </conditionalFormatting>
  <conditionalFormatting sqref="A5">
    <cfRule type="cellIs" dxfId="1" priority="3" operator="equal">
      <formula>TRUE</formula>
    </cfRule>
    <cfRule type="cellIs" dxfId="0" priority="4" operator="equal">
      <formula>FALSE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H139"/>
  <sheetViews>
    <sheetView topLeftCell="E1" workbookViewId="0">
      <selection activeCell="F3" sqref="F3"/>
    </sheetView>
  </sheetViews>
  <sheetFormatPr defaultColWidth="39.36328125" defaultRowHeight="14.5" x14ac:dyDescent="0.35"/>
  <cols>
    <col min="1" max="1" width="43.08984375" style="33" customWidth="1"/>
    <col min="2" max="2" width="62" style="34" customWidth="1"/>
    <col min="3" max="3" width="39.36328125" style="46"/>
    <col min="4" max="5" width="39.36328125" style="30"/>
    <col min="6" max="6" width="12" style="30" customWidth="1"/>
    <col min="7" max="7" width="39.36328125" style="41"/>
    <col min="8" max="16384" width="39.36328125" style="33"/>
  </cols>
  <sheetData>
    <row r="1" spans="1:8" s="36" customFormat="1" x14ac:dyDescent="0.35">
      <c r="A1" s="36" t="s">
        <v>200</v>
      </c>
      <c r="B1" s="37" t="s">
        <v>134</v>
      </c>
      <c r="C1" s="37" t="s">
        <v>155</v>
      </c>
      <c r="D1" s="37" t="s">
        <v>63</v>
      </c>
      <c r="E1" s="37" t="s">
        <v>133</v>
      </c>
      <c r="F1" s="37" t="s">
        <v>135</v>
      </c>
      <c r="G1" s="38" t="s">
        <v>153</v>
      </c>
      <c r="H1" s="36" t="s">
        <v>193</v>
      </c>
    </row>
    <row r="2" spans="1:8" ht="29" x14ac:dyDescent="0.35">
      <c r="A2" s="33" t="s">
        <v>188</v>
      </c>
      <c r="B2" s="34" t="s">
        <v>186</v>
      </c>
      <c r="C2" s="46" t="s">
        <v>187</v>
      </c>
      <c r="D2" s="30">
        <v>2023</v>
      </c>
      <c r="E2" s="30" t="s">
        <v>199</v>
      </c>
      <c r="G2" s="35"/>
      <c r="H2" s="41" t="s">
        <v>192</v>
      </c>
    </row>
    <row r="3" spans="1:8" ht="22" customHeight="1" x14ac:dyDescent="0.35">
      <c r="A3" s="33" t="s">
        <v>195</v>
      </c>
      <c r="B3" s="34" t="s">
        <v>196</v>
      </c>
      <c r="C3" s="46" t="s">
        <v>197</v>
      </c>
      <c r="D3" s="30">
        <v>2023</v>
      </c>
      <c r="E3" s="30" t="s">
        <v>198</v>
      </c>
      <c r="G3" s="35"/>
    </row>
    <row r="4" spans="1:8" ht="41" customHeight="1" x14ac:dyDescent="0.35">
      <c r="A4" s="33" t="str">
        <f t="shared" ref="A4:A5" si="0">C4&amp;D4</f>
        <v>Adams2019</v>
      </c>
      <c r="B4" s="34" t="s">
        <v>201</v>
      </c>
      <c r="C4" s="57" t="s">
        <v>202</v>
      </c>
      <c r="D4" s="57">
        <v>2019</v>
      </c>
      <c r="E4" s="57" t="s">
        <v>203</v>
      </c>
      <c r="F4" s="57"/>
      <c r="G4" s="35" t="s">
        <v>204</v>
      </c>
    </row>
    <row r="5" spans="1:8" x14ac:dyDescent="0.35">
      <c r="A5" s="33" t="str">
        <f t="shared" si="0"/>
        <v>Papadias2021</v>
      </c>
      <c r="B5" s="58" t="s">
        <v>205</v>
      </c>
      <c r="C5" s="57" t="s">
        <v>206</v>
      </c>
      <c r="D5" s="57">
        <v>2021</v>
      </c>
      <c r="E5" s="57" t="s">
        <v>207</v>
      </c>
      <c r="F5" s="57"/>
      <c r="G5" s="35" t="s">
        <v>147</v>
      </c>
    </row>
    <row r="6" spans="1:8" ht="34.5" customHeight="1" x14ac:dyDescent="0.35">
      <c r="A6" s="33" t="str">
        <f>C6&amp;D6</f>
        <v>Armijo2020</v>
      </c>
      <c r="B6" s="34" t="s">
        <v>208</v>
      </c>
      <c r="C6" s="57" t="s">
        <v>209</v>
      </c>
      <c r="D6" s="57">
        <v>2020</v>
      </c>
      <c r="E6" s="57" t="s">
        <v>207</v>
      </c>
      <c r="F6" s="57"/>
      <c r="G6" s="35" t="s">
        <v>210</v>
      </c>
    </row>
    <row r="7" spans="1:8" x14ac:dyDescent="0.35">
      <c r="A7" s="33" t="str">
        <f t="shared" ref="A7" si="1">C7&amp;D7</f>
        <v>IEA2019</v>
      </c>
      <c r="B7" s="34" t="s">
        <v>222</v>
      </c>
      <c r="C7" s="57" t="s">
        <v>223</v>
      </c>
      <c r="D7" s="57">
        <v>2019</v>
      </c>
      <c r="E7" s="57" t="s">
        <v>224</v>
      </c>
      <c r="F7" s="57"/>
      <c r="G7" s="35" t="s">
        <v>225</v>
      </c>
    </row>
    <row r="8" spans="1:8" ht="31" customHeight="1" x14ac:dyDescent="0.35">
      <c r="A8" s="33" t="s">
        <v>226</v>
      </c>
      <c r="B8" s="34" t="s">
        <v>227</v>
      </c>
      <c r="C8" s="46" t="s">
        <v>228</v>
      </c>
      <c r="D8" s="30">
        <v>2023</v>
      </c>
      <c r="E8" s="30" t="s">
        <v>207</v>
      </c>
      <c r="G8" s="35" t="s">
        <v>229</v>
      </c>
    </row>
    <row r="9" spans="1:8" x14ac:dyDescent="0.35">
      <c r="A9" s="33" t="s">
        <v>233</v>
      </c>
      <c r="B9" s="32" t="s">
        <v>234</v>
      </c>
      <c r="C9" s="46" t="s">
        <v>235</v>
      </c>
      <c r="D9" s="30">
        <v>2023</v>
      </c>
      <c r="E9" s="30" t="s">
        <v>199</v>
      </c>
      <c r="G9" s="35"/>
    </row>
    <row r="10" spans="1:8" x14ac:dyDescent="0.35">
      <c r="A10" s="33" t="s">
        <v>240</v>
      </c>
      <c r="B10" s="34" t="s">
        <v>239</v>
      </c>
      <c r="C10" s="46" t="s">
        <v>238</v>
      </c>
      <c r="D10" s="30">
        <v>2020</v>
      </c>
      <c r="E10" s="30" t="s">
        <v>237</v>
      </c>
      <c r="G10" s="35" t="s">
        <v>236</v>
      </c>
      <c r="H10" s="33" t="s">
        <v>241</v>
      </c>
    </row>
    <row r="11" spans="1:8" ht="29" x14ac:dyDescent="0.35">
      <c r="A11" s="33" t="str">
        <f t="shared" ref="A11" si="2">C11&amp;D11</f>
        <v>Ikäheimo2018</v>
      </c>
      <c r="B11" s="34" t="s">
        <v>242</v>
      </c>
      <c r="C11" s="59" t="s">
        <v>243</v>
      </c>
      <c r="D11" s="59">
        <v>2018</v>
      </c>
      <c r="E11" s="59" t="s">
        <v>244</v>
      </c>
      <c r="F11" s="59"/>
      <c r="G11" s="35" t="s">
        <v>245</v>
      </c>
    </row>
    <row r="12" spans="1:8" x14ac:dyDescent="0.35">
      <c r="A12" s="33" t="s">
        <v>250</v>
      </c>
      <c r="B12" s="34" t="s">
        <v>246</v>
      </c>
      <c r="C12" s="59" t="s">
        <v>247</v>
      </c>
      <c r="D12" s="59">
        <v>2020</v>
      </c>
      <c r="E12" s="59" t="s">
        <v>248</v>
      </c>
      <c r="F12" s="59"/>
      <c r="G12" s="35" t="s">
        <v>249</v>
      </c>
    </row>
    <row r="13" spans="1:8" x14ac:dyDescent="0.35">
      <c r="A13" s="33" t="s">
        <v>251</v>
      </c>
      <c r="B13" s="31" t="s">
        <v>252</v>
      </c>
      <c r="C13" s="46" t="s">
        <v>228</v>
      </c>
      <c r="D13" s="30">
        <v>2021</v>
      </c>
      <c r="E13" s="30" t="s">
        <v>198</v>
      </c>
      <c r="G13" s="35" t="s">
        <v>253</v>
      </c>
    </row>
    <row r="14" spans="1:8" ht="29" x14ac:dyDescent="0.35">
      <c r="A14" s="33" t="s">
        <v>309</v>
      </c>
      <c r="B14" s="34" t="s">
        <v>310</v>
      </c>
      <c r="C14" s="46" t="s">
        <v>311</v>
      </c>
      <c r="D14" s="30">
        <v>2024</v>
      </c>
      <c r="E14" s="30" t="s">
        <v>207</v>
      </c>
      <c r="G14" s="35" t="s">
        <v>312</v>
      </c>
    </row>
    <row r="15" spans="1:8" ht="29" x14ac:dyDescent="0.35">
      <c r="A15" s="33" t="s">
        <v>313</v>
      </c>
      <c r="B15" s="34" t="s">
        <v>314</v>
      </c>
      <c r="C15" s="46" t="s">
        <v>315</v>
      </c>
      <c r="D15" s="30">
        <v>2024</v>
      </c>
      <c r="E15" s="30" t="s">
        <v>207</v>
      </c>
      <c r="G15" s="42" t="s">
        <v>316</v>
      </c>
    </row>
    <row r="16" spans="1:8" ht="29" x14ac:dyDescent="0.35">
      <c r="A16" s="33" t="s">
        <v>322</v>
      </c>
      <c r="B16" s="34" t="s">
        <v>321</v>
      </c>
      <c r="C16" s="46" t="s">
        <v>323</v>
      </c>
      <c r="D16" s="30">
        <v>2023</v>
      </c>
      <c r="E16" s="30" t="s">
        <v>198</v>
      </c>
      <c r="G16" s="35" t="s">
        <v>324</v>
      </c>
    </row>
    <row r="17" spans="1:7" ht="29" x14ac:dyDescent="0.35">
      <c r="A17" s="33" t="s">
        <v>326</v>
      </c>
      <c r="B17" s="34" t="s">
        <v>325</v>
      </c>
      <c r="C17" s="46" t="s">
        <v>228</v>
      </c>
      <c r="D17" s="30">
        <v>2024</v>
      </c>
      <c r="E17" s="30" t="s">
        <v>207</v>
      </c>
      <c r="G17" s="42" t="s">
        <v>327</v>
      </c>
    </row>
    <row r="18" spans="1:7" ht="29" x14ac:dyDescent="0.35">
      <c r="A18" s="33" t="s">
        <v>346</v>
      </c>
      <c r="B18" s="34" t="s">
        <v>345</v>
      </c>
      <c r="C18" s="46" t="s">
        <v>347</v>
      </c>
      <c r="D18" s="30">
        <v>2022</v>
      </c>
      <c r="E18" s="30" t="s">
        <v>207</v>
      </c>
      <c r="G18" s="42" t="s">
        <v>348</v>
      </c>
    </row>
    <row r="19" spans="1:7" x14ac:dyDescent="0.35">
      <c r="G19" s="35"/>
    </row>
    <row r="20" spans="1:7" x14ac:dyDescent="0.35">
      <c r="G20" s="35"/>
    </row>
    <row r="21" spans="1:7" x14ac:dyDescent="0.35">
      <c r="B21" s="10"/>
      <c r="G21" s="35"/>
    </row>
    <row r="22" spans="1:7" x14ac:dyDescent="0.35">
      <c r="B22" s="32"/>
      <c r="G22" s="35"/>
    </row>
    <row r="23" spans="1:7" x14ac:dyDescent="0.35">
      <c r="G23" s="35"/>
    </row>
    <row r="24" spans="1:7" x14ac:dyDescent="0.35">
      <c r="G24" s="35"/>
    </row>
    <row r="25" spans="1:7" x14ac:dyDescent="0.35">
      <c r="G25" s="35"/>
    </row>
    <row r="26" spans="1:7" x14ac:dyDescent="0.35">
      <c r="G26" s="35"/>
    </row>
    <row r="27" spans="1:7" x14ac:dyDescent="0.35">
      <c r="G27" s="35"/>
    </row>
    <row r="28" spans="1:7" x14ac:dyDescent="0.35">
      <c r="G28" s="35"/>
    </row>
    <row r="29" spans="1:7" x14ac:dyDescent="0.35">
      <c r="G29" s="35"/>
    </row>
    <row r="30" spans="1:7" x14ac:dyDescent="0.35">
      <c r="G30" s="35"/>
    </row>
    <row r="31" spans="1:7" x14ac:dyDescent="0.35">
      <c r="G31" s="35"/>
    </row>
    <row r="32" spans="1:7" x14ac:dyDescent="0.35">
      <c r="G32" s="35"/>
    </row>
    <row r="33" spans="3:7" x14ac:dyDescent="0.35">
      <c r="G33" s="35"/>
    </row>
    <row r="34" spans="3:7" x14ac:dyDescent="0.35">
      <c r="G34" s="35"/>
    </row>
    <row r="35" spans="3:7" x14ac:dyDescent="0.35">
      <c r="G35" s="35"/>
    </row>
    <row r="36" spans="3:7" x14ac:dyDescent="0.35">
      <c r="G36" s="35"/>
    </row>
    <row r="37" spans="3:7" x14ac:dyDescent="0.35">
      <c r="G37" s="35"/>
    </row>
    <row r="38" spans="3:7" x14ac:dyDescent="0.35">
      <c r="G38" s="35"/>
    </row>
    <row r="39" spans="3:7" x14ac:dyDescent="0.35">
      <c r="G39" s="35"/>
    </row>
    <row r="40" spans="3:7" x14ac:dyDescent="0.35">
      <c r="G40" s="35"/>
    </row>
    <row r="41" spans="3:7" x14ac:dyDescent="0.35">
      <c r="G41" s="35"/>
    </row>
    <row r="43" spans="3:7" x14ac:dyDescent="0.35">
      <c r="G43" s="35"/>
    </row>
    <row r="44" spans="3:7" x14ac:dyDescent="0.35">
      <c r="G44" s="35"/>
    </row>
    <row r="45" spans="3:7" x14ac:dyDescent="0.35">
      <c r="G45" s="35"/>
    </row>
    <row r="46" spans="3:7" x14ac:dyDescent="0.35">
      <c r="G46" s="35"/>
    </row>
    <row r="47" spans="3:7" x14ac:dyDescent="0.35">
      <c r="C47" s="8"/>
      <c r="G47" s="35"/>
    </row>
    <row r="48" spans="3:7" x14ac:dyDescent="0.35">
      <c r="G48" s="35"/>
    </row>
    <row r="49" spans="7:7" x14ac:dyDescent="0.35">
      <c r="G49" s="35"/>
    </row>
    <row r="50" spans="7:7" x14ac:dyDescent="0.35">
      <c r="G50" s="35"/>
    </row>
    <row r="51" spans="7:7" x14ac:dyDescent="0.35">
      <c r="G51" s="35"/>
    </row>
    <row r="52" spans="7:7" x14ac:dyDescent="0.35">
      <c r="G52" s="35"/>
    </row>
    <row r="53" spans="7:7" x14ac:dyDescent="0.35">
      <c r="G53" s="35"/>
    </row>
    <row r="54" spans="7:7" x14ac:dyDescent="0.35">
      <c r="G54" s="35"/>
    </row>
    <row r="55" spans="7:7" x14ac:dyDescent="0.35">
      <c r="G55" s="35"/>
    </row>
    <row r="56" spans="7:7" x14ac:dyDescent="0.35">
      <c r="G56" s="35"/>
    </row>
    <row r="57" spans="7:7" x14ac:dyDescent="0.35">
      <c r="G57" s="35"/>
    </row>
    <row r="58" spans="7:7" x14ac:dyDescent="0.35">
      <c r="G58" s="35"/>
    </row>
    <row r="59" spans="7:7" x14ac:dyDescent="0.35">
      <c r="G59" s="35"/>
    </row>
    <row r="60" spans="7:7" x14ac:dyDescent="0.35">
      <c r="G60" s="35"/>
    </row>
    <row r="61" spans="7:7" x14ac:dyDescent="0.35">
      <c r="G61" s="35"/>
    </row>
    <row r="62" spans="7:7" x14ac:dyDescent="0.35">
      <c r="G62" s="35"/>
    </row>
    <row r="63" spans="7:7" x14ac:dyDescent="0.35">
      <c r="G63" s="35"/>
    </row>
    <row r="64" spans="7:7" x14ac:dyDescent="0.35">
      <c r="G64" s="35"/>
    </row>
    <row r="65" spans="7:7" x14ac:dyDescent="0.35">
      <c r="G65" s="35"/>
    </row>
    <row r="66" spans="7:7" x14ac:dyDescent="0.35">
      <c r="G66" s="35"/>
    </row>
    <row r="67" spans="7:7" x14ac:dyDescent="0.35">
      <c r="G67" s="35"/>
    </row>
    <row r="68" spans="7:7" x14ac:dyDescent="0.35">
      <c r="G68" s="35"/>
    </row>
    <row r="69" spans="7:7" x14ac:dyDescent="0.35">
      <c r="G69" s="35"/>
    </row>
    <row r="70" spans="7:7" x14ac:dyDescent="0.35">
      <c r="G70" s="35"/>
    </row>
    <row r="71" spans="7:7" x14ac:dyDescent="0.35">
      <c r="G71" s="35"/>
    </row>
    <row r="72" spans="7:7" x14ac:dyDescent="0.35">
      <c r="G72" s="35"/>
    </row>
    <row r="73" spans="7:7" x14ac:dyDescent="0.35">
      <c r="G73" s="35"/>
    </row>
    <row r="74" spans="7:7" x14ac:dyDescent="0.35">
      <c r="G74" s="35"/>
    </row>
    <row r="75" spans="7:7" x14ac:dyDescent="0.35">
      <c r="G75" s="35"/>
    </row>
    <row r="76" spans="7:7" x14ac:dyDescent="0.35">
      <c r="G76" s="35"/>
    </row>
    <row r="77" spans="7:7" x14ac:dyDescent="0.35">
      <c r="G77" s="35"/>
    </row>
    <row r="78" spans="7:7" x14ac:dyDescent="0.35">
      <c r="G78" s="35"/>
    </row>
    <row r="79" spans="7:7" x14ac:dyDescent="0.35">
      <c r="G79" s="35"/>
    </row>
    <row r="80" spans="7:7" x14ac:dyDescent="0.35">
      <c r="G80" s="35"/>
    </row>
    <row r="81" spans="7:7" x14ac:dyDescent="0.35">
      <c r="G81" s="35"/>
    </row>
    <row r="82" spans="7:7" x14ac:dyDescent="0.35">
      <c r="G82" s="35"/>
    </row>
    <row r="83" spans="7:7" x14ac:dyDescent="0.35">
      <c r="G83" s="35"/>
    </row>
    <row r="84" spans="7:7" x14ac:dyDescent="0.35">
      <c r="G84" s="35"/>
    </row>
    <row r="85" spans="7:7" x14ac:dyDescent="0.35">
      <c r="G85" s="35"/>
    </row>
    <row r="86" spans="7:7" x14ac:dyDescent="0.35">
      <c r="G86" s="35"/>
    </row>
    <row r="87" spans="7:7" x14ac:dyDescent="0.35">
      <c r="G87" s="35"/>
    </row>
    <row r="88" spans="7:7" x14ac:dyDescent="0.35">
      <c r="G88" s="35"/>
    </row>
    <row r="89" spans="7:7" x14ac:dyDescent="0.35">
      <c r="G89" s="35"/>
    </row>
    <row r="90" spans="7:7" x14ac:dyDescent="0.35">
      <c r="G90" s="35"/>
    </row>
    <row r="91" spans="7:7" x14ac:dyDescent="0.35">
      <c r="G91" s="35"/>
    </row>
    <row r="92" spans="7:7" x14ac:dyDescent="0.35">
      <c r="G92" s="35"/>
    </row>
    <row r="93" spans="7:7" x14ac:dyDescent="0.35">
      <c r="G93" s="35"/>
    </row>
    <row r="94" spans="7:7" x14ac:dyDescent="0.35">
      <c r="G94" s="35"/>
    </row>
    <row r="95" spans="7:7" x14ac:dyDescent="0.35">
      <c r="G95" s="35"/>
    </row>
    <row r="96" spans="7:7" x14ac:dyDescent="0.35">
      <c r="G96" s="35"/>
    </row>
    <row r="97" spans="2:7" x14ac:dyDescent="0.35">
      <c r="G97" s="35"/>
    </row>
    <row r="98" spans="2:7" x14ac:dyDescent="0.35">
      <c r="G98" s="35"/>
    </row>
    <row r="99" spans="2:7" x14ac:dyDescent="0.35">
      <c r="G99" s="35"/>
    </row>
    <row r="100" spans="2:7" x14ac:dyDescent="0.35">
      <c r="G100" s="35"/>
    </row>
    <row r="101" spans="2:7" x14ac:dyDescent="0.35">
      <c r="G101" s="35"/>
    </row>
    <row r="102" spans="2:7" x14ac:dyDescent="0.35">
      <c r="G102" s="35"/>
    </row>
    <row r="103" spans="2:7" x14ac:dyDescent="0.35">
      <c r="G103" s="35"/>
    </row>
    <row r="104" spans="2:7" x14ac:dyDescent="0.35">
      <c r="C104" s="34"/>
      <c r="G104" s="35"/>
    </row>
    <row r="105" spans="2:7" x14ac:dyDescent="0.35">
      <c r="B105" s="49"/>
      <c r="G105" s="35"/>
    </row>
    <row r="106" spans="2:7" x14ac:dyDescent="0.35">
      <c r="G106" s="35"/>
    </row>
    <row r="107" spans="2:7" x14ac:dyDescent="0.35">
      <c r="G107" s="35"/>
    </row>
    <row r="108" spans="2:7" x14ac:dyDescent="0.35">
      <c r="G108" s="35"/>
    </row>
    <row r="109" spans="2:7" x14ac:dyDescent="0.35">
      <c r="G109" s="35"/>
    </row>
    <row r="110" spans="2:7" x14ac:dyDescent="0.35">
      <c r="G110" s="35"/>
    </row>
    <row r="111" spans="2:7" x14ac:dyDescent="0.35">
      <c r="G111" s="35"/>
    </row>
    <row r="114" spans="2:7" x14ac:dyDescent="0.35">
      <c r="G114" s="35" t="s">
        <v>137</v>
      </c>
    </row>
    <row r="117" spans="2:7" x14ac:dyDescent="0.35">
      <c r="G117" s="35" t="s">
        <v>138</v>
      </c>
    </row>
    <row r="118" spans="2:7" x14ac:dyDescent="0.35">
      <c r="B118" s="10"/>
      <c r="C118" s="8"/>
      <c r="G118" s="42" t="s">
        <v>139</v>
      </c>
    </row>
    <row r="120" spans="2:7" x14ac:dyDescent="0.35">
      <c r="G120" s="35" t="s">
        <v>140</v>
      </c>
    </row>
    <row r="124" spans="2:7" x14ac:dyDescent="0.35">
      <c r="G124" s="35" t="s">
        <v>141</v>
      </c>
    </row>
    <row r="126" spans="2:7" x14ac:dyDescent="0.35">
      <c r="G126" s="35" t="s">
        <v>142</v>
      </c>
    </row>
    <row r="127" spans="2:7" x14ac:dyDescent="0.35">
      <c r="G127" s="35" t="s">
        <v>143</v>
      </c>
    </row>
    <row r="128" spans="2:7" x14ac:dyDescent="0.35">
      <c r="G128" s="35" t="s">
        <v>144</v>
      </c>
    </row>
    <row r="129" spans="2:7" x14ac:dyDescent="0.35">
      <c r="G129" s="35" t="s">
        <v>145</v>
      </c>
    </row>
    <row r="130" spans="2:7" x14ac:dyDescent="0.35">
      <c r="G130" s="35" t="s">
        <v>146</v>
      </c>
    </row>
    <row r="131" spans="2:7" x14ac:dyDescent="0.35">
      <c r="B131" s="31"/>
      <c r="G131" s="35" t="s">
        <v>147</v>
      </c>
    </row>
    <row r="132" spans="2:7" x14ac:dyDescent="0.35">
      <c r="G132" s="35" t="s">
        <v>136</v>
      </c>
    </row>
    <row r="133" spans="2:7" x14ac:dyDescent="0.35">
      <c r="G133" s="35" t="s">
        <v>148</v>
      </c>
    </row>
    <row r="134" spans="2:7" x14ac:dyDescent="0.35">
      <c r="C134" s="48"/>
      <c r="D134" s="46"/>
      <c r="E134" s="46"/>
      <c r="F134" s="46"/>
      <c r="G134" s="35" t="s">
        <v>156</v>
      </c>
    </row>
    <row r="135" spans="2:7" x14ac:dyDescent="0.35">
      <c r="G135" s="35" t="s">
        <v>149</v>
      </c>
    </row>
    <row r="136" spans="2:7" x14ac:dyDescent="0.35">
      <c r="G136" s="35" t="s">
        <v>150</v>
      </c>
    </row>
    <row r="137" spans="2:7" x14ac:dyDescent="0.35">
      <c r="D137" s="45"/>
      <c r="E137" s="45"/>
      <c r="F137" s="45"/>
      <c r="G137" s="35" t="s">
        <v>154</v>
      </c>
    </row>
    <row r="138" spans="2:7" x14ac:dyDescent="0.35">
      <c r="C138" s="47"/>
      <c r="D138" s="47"/>
      <c r="E138" s="47"/>
      <c r="F138" s="47"/>
      <c r="G138" s="35" t="s">
        <v>157</v>
      </c>
    </row>
    <row r="139" spans="2:7" x14ac:dyDescent="0.35">
      <c r="B139" s="8"/>
      <c r="C139" s="47"/>
      <c r="D139" s="47"/>
      <c r="E139" s="47"/>
      <c r="F139" s="47"/>
      <c r="G139" s="35" t="s">
        <v>158</v>
      </c>
    </row>
  </sheetData>
  <hyperlinks>
    <hyperlink ref="G114" r:id="rId1"/>
    <hyperlink ref="G117" r:id="rId2"/>
    <hyperlink ref="G118" r:id="rId3" tooltip="Persistent link using digital object identifier"/>
    <hyperlink ref="G124" r:id="rId4"/>
    <hyperlink ref="G126" r:id="rId5"/>
    <hyperlink ref="G127" r:id="rId6"/>
    <hyperlink ref="G120" r:id="rId7"/>
    <hyperlink ref="G128" r:id="rId8"/>
    <hyperlink ref="G129" r:id="rId9"/>
    <hyperlink ref="G130" r:id="rId10"/>
    <hyperlink ref="G131" r:id="rId11"/>
    <hyperlink ref="G132" r:id="rId12"/>
    <hyperlink ref="G133" r:id="rId13"/>
    <hyperlink ref="G135" r:id="rId14"/>
    <hyperlink ref="G136" r:id="rId15"/>
    <hyperlink ref="G137" r:id="rId16"/>
    <hyperlink ref="G139" r:id="rId17"/>
    <hyperlink ref="G4" r:id="rId18"/>
    <hyperlink ref="G5" r:id="rId19"/>
    <hyperlink ref="G6" r:id="rId20"/>
    <hyperlink ref="G7" r:id="rId21"/>
    <hyperlink ref="G8" r:id="rId22"/>
    <hyperlink ref="G11" r:id="rId23"/>
    <hyperlink ref="G12" r:id="rId24"/>
    <hyperlink ref="G10" r:id="rId25"/>
    <hyperlink ref="G14" r:id="rId26"/>
    <hyperlink ref="G15" r:id="rId27"/>
    <hyperlink ref="G16" r:id="rId28"/>
    <hyperlink ref="G17" r:id="rId29" tooltip="Persistent link using digital object identifier"/>
    <hyperlink ref="G18" r:id="rId30" tooltip="Link to landing page via DOI" display="https://doi.org/10.1039/D2EE01023B"/>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2025-10-15T14:47:08Z</dcterms:modified>
</cp:coreProperties>
</file>