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filterPrivacy="1" codeName="ThisWorkbook"/>
  <xr:revisionPtr revIDLastSave="68" documentId="13_ncr:101_{A3C50E62-C836-458E-A845-B193B3547FD1}" xr6:coauthVersionLast="47" xr6:coauthVersionMax="47" xr10:uidLastSave="{0B3BA278-48AC-4287-BDF2-36480899F2A8}"/>
  <bookViews>
    <workbookView xWindow="19090" yWindow="-110" windowWidth="25820" windowHeight="13900"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5" i="79" l="1"/>
  <c r="T19" i="95"/>
  <c r="T18" i="95"/>
  <c r="A19" i="95" l="1"/>
  <c r="A18" i="95" l="1"/>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K17" i="79" l="1"/>
  <c r="BL17" i="79"/>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A17" i="95" l="1"/>
  <c r="A16" i="95"/>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H6" i="80"/>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H5" i="80" l="1"/>
  <c r="F5" i="8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<sst xmlns="http://schemas.openxmlformats.org/spreadsheetml/2006/main" count="3799" uniqueCount="487">
  <si>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</si>
  <si>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</si>
  <si>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</si>
  <si>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</si>
  <si>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</si>
  <si>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</si>
  <si>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</si>
  <si>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</si>
  <si>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</si>
  <si>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</si>
  <si>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</si>
  <si>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</si>
  <si>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</si>
  <si>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</si>
  <si>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</si>
  <si>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</si>
  <si>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</si>
  <si>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</si>
  <si>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</si>
  <si>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</si>
  <si>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</si>
  <si>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</si>
  <si>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</si>
  <si>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</si>
  <si>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</si>
  <si>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</si>
  <si>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</si>
  <si>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</si>
  <si>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</si>
  <si>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</si>
  <si>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</si>
  <si>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</si>
  <si>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</si>
  <si>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</si>
  <si>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</si>
  <si>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</si>
  <si>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</si>
  <si>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</si>
  <si>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</si>
  <si>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</si>
  <si>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</si>
  <si>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</si>
  <si>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</si>
  <si>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</si>
  <si>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</si>
  <si>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</si>
  <si>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</si>
  <si>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</si>
  <si>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</si>
  <si>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</si>
  <si>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</si>
  <si>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</si>
  <si>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</si>
  <si>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</si>
  <si>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</si>
  <si>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</si>
  <si>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</si>
  <si>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</si>
  <si>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</si>
  <si>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</si>
  <si>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</si>
  <si>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</si>
  <si>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</si>
  <si>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</si>
  <si>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</si>
  <si>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</si>
  <si>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</si>
  <si>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</si>
  <si>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</si>
  <si>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</si>
  <si>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</si>
  <si>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</si>
  <si>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</si>
  <si>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</si>
  <si>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</si>
  <si>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</si>
  <si>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</si>
  <si>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</si>
  <si>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</si>
  <si>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</si>
  <si>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</si>
  <si>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</si>
  <si>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</si>
  <si>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</si>
  <si>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</si>
  <si>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</si>
  <si>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</si>
  <si>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</si>
  <si>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</si>
  <si>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</si>
  <si>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</si>
  <si>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</si>
  <si>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</si>
  <si>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</si>
  <si>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</si>
  <si>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</si>
  <si>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</si>
  <si>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</si>
  <si>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</si>
  <si>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</si>
  <si>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</si>
  <si>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</si>
  <si>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</si>
  <si>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</si>
  <si>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</si>
  <si>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</si>
  <si>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</si>
  <si>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</si>
  <si>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</si>
  <si>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</si>
  <si>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</si>
  <si>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</si>
  <si>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</si>
  <si>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</si>
  <si>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</si>
  <si>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</si>
  <si>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</si>
  <si>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</si>
  <si>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</si>
  <si>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</si>
  <si>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</si>
  <si>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</si>
  <si>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</si>
  <si>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</si>
  <si>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</si>
  <si>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</si>
  <si>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</si>
  <si>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</si>
  <si>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</si>
  <si>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</si>
  <si>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</si>
  <si>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</si>
  <si>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</si>
  <si>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</si>
  <si>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</si>
  <si>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</si>
  <si>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</si>
  <si>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</si>
  <si>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</si>
  <si>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</si>
  <si>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</si>
  <si>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</si>
  <si>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</si>
  <si>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</si>
  <si>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</si>
  <si>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</si>
  <si>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</si>
  <si>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</si>
  <si>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</si>
  <si>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</si>
  <si>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</si>
  <si>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</si>
  <si>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</si>
  <si>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</si>
  <si>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</si>
  <si>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</si>
  <si>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</si>
  <si>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</si>
  <si>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</si>
  <si>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</si>
  <si>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</si>
  <si>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</si>
  <si>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</si>
  <si>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</si>
  <si>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</si>
  <si>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</si>
  <si>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</si>
  <si>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</si>
  <si>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</si>
  <si>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</si>
  <si>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</si>
  <si>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</si>
  <si>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</si>
  <si>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</si>
  <si>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</si>
  <si>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</si>
  <si>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</si>
  <si>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</si>
  <si>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</si>
  <si>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</si>
  <si>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</si>
  <si>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</si>
  <si>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</si>
  <si>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</si>
  <si>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</si>
  <si>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</si>
  <si>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</si>
  <si>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</si>
  <si>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</si>
  <si>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</si>
  <si>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</si>
  <si>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</si>
  <si>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</si>
  <si>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</si>
  <si>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</si>
  <si>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</si>
  <si>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</si>
  <si>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</si>
  <si>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</si>
  <si>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</si>
  <si>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</si>
  <si>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</si>
  <si>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</si>
  <si>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</si>
  <si>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</si>
  <si>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</si>
  <si>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</si>
  <si>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</si>
  <si>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</si>
  <si>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</si>
  <si>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</si>
  <si>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</si>
  <si>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</si>
  <si>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</si>
  <si>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</si>
  <si>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</si>
  <si>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</si>
  <si>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</si>
  <si>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</si>
  <si>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</si>
  <si>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</si>
  <si>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</si>
  <si>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</si>
  <si>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</si>
  <si>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</si>
  <si>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</si>
  <si>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</si>
  <si>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</si>
  <si>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</si>
  <si>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</si>
  <si>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</si>
  <si>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</si>
  <si>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</si>
  <si>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</si>
  <si>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</si>
  <si>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</si>
  <si>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</si>
  <si>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</si>
  <si>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</si>
  <si>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</si>
  <si>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</si>
  <si>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</si>
  <si>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</si>
  <si>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</si>
  <si>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</si>
  <si>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</si>
  <si>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</si>
  <si>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</si>
  <si>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</si>
  <si>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</si>
  <si>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</si>
  <si>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</si>
  <si>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</si>
  <si>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</si>
  <si>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</si>
  <si>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</si>
  <si>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</si>
  <si>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</si>
  <si>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</si>
  <si>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</si>
  <si>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</si>
  <si>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</si>
  <si>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</si>
  <si>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</si>
  <si>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</si>
  <si>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</si>
  <si>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</si>
  <si>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</si>
  <si>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</si>
  <si>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</si>
  <si>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</si>
  <si>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</si>
  <si>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</si>
  <si>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</si>
  <si>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</si>
  <si>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</si>
  <si>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</si>
  <si>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</si>
  <si>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</si>
  <si>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</si>
  <si>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</si>
  <si>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</si>
  <si>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</si>
  <si>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</si>
  <si>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</si>
  <si>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</si>
  <si>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</si>
  <si>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</si>
  <si>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</si>
  <si>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</si>
  <si>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</si>
  <si>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</si>
  <si>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</si>
  <si>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</si>
  <si>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</si>
  <si>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</si>
  <si>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</si>
  <si>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</si>
  <si>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</si>
  <si>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</si>
  <si>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</si>
  <si>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</si>
  <si>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</si>
  <si>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</si>
  <si>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</si>
  <si>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</si>
  <si>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72,1,337,8760</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</si>
  <si>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</si>
  <si>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</si>
  <si>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</si>
  <si>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</si>
  <si>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</si>
  <si>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</si>
  <si>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</si>
  <si>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</si>
  <si>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</si>
  <si>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</si>
  <si>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</si>
  <si>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</si>
  <si>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</si>
  <si>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</si>
  <si>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</si>
  <si>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</si>
  <si>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</si>
  <si>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</si>
  <si>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</si>
  <si>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</si>
  <si>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</si>
  <si>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</si>
  <si>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</si>
  <si>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</si>
  <si>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</si>
  <si>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</si>
  <si>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</si>
  <si>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</si>
  <si>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</si>
  <si>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</si>
  <si>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</si>
  <si>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</si>
  <si>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</si>
  <si>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</si>
  <si>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</si>
  <si>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</si>
  <si>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</si>
  <si>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See Scenarios_definition sheet</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</si>
  <si>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</si>
  <si>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</si>
  <si>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</si>
  <si>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</si>
  <si>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</si>
  <si>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</si>
  <si>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</si>
  <si>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</si>
  <si>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</si>
  <si>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</si>
  <si>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</si>
  <si>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</si>
  <si>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</si>
  <si>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</si>
  <si>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</si>
  <si>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</si>
  <si>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</si>
  <si>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</si>
  <si>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</si>
  <si>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</si>
  <si>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</si>
  <si>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</si>
  <si>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</si>
  <si>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</si>
  <si>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</si>
  <si>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</si>
  <si>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</si>
  <si>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</si>
  <si>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</si>
  <si>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</si>
  <si>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</si>
  <si>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</si>
  <si>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</si>
  <si>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</si>
  <si>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</si>
  <si>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</si>
  <si>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</si>
  <si>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</si>
  <si>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</si>
  <si>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</si>
  <si>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</si>
  <si>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</si>
  <si>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</si>
  <si>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</si>
  <si>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</si>
  <si>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</si>
  <si>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</si>
  <si>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</si>
  <si>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</si>
  <si>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</si>
  <si>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</si>
  <si>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</si>
  <si>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</si>
  <si>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</si>
  <si>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</si>
  <si>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</si>
  <si>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</si>
  <si>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</si>
  <si>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</si>
  <si>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</si>
  <si>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</si>
  <si>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</si>
  <si>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</si>
  <si>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</si>
  <si>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</si>
  <si>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</si>
  <si>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</si>
  <si>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</si>
  <si>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</si>
  <si>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</si>
  <si>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</si>
  <si>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</si>
  <si>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</si>
  <si>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</si>
  <si>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Options</t>
  </si>
  <si>
    <t>Hourly CO2 count method regulation</t>
  </si>
  <si>
    <t>Hourly CO2 count method emission</t>
  </si>
  <si>
    <t>Scope2_hourly</t>
  </si>
  <si>
    <t>Scope3_hourly</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</si>
  <si>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</si>
  <si>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</si>
  <si>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</si>
  <si>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</si>
  <si>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</si>
  <si>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</si>
  <si>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</si>
  <si>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</si>
  <si>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</si>
  <si>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</si>
  <si>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</si>
  <si>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</si>
  <si>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</si>
  <si>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</si>
  <si>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</si>
  <si>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</si>
  <si>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</si>
  <si>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</si>
  <si>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</si>
  <si>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</si>
  <si>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</si>
  <si>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</si>
  <si>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</si>
  <si>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</si>
  <si>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</si>
  <si>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</si>
  <si>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</si>
  <si>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</si>
  <si>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</si>
  <si>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</si>
  <si>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</si>
  <si>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</si>
  <si>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</si>
  <si>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</si>
  <si>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</si>
  <si>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</si>
  <si>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</si>
  <si>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</si>
  <si>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</si>
  <si>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</si>
  <si>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</si>
  <si>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</si>
  <si>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2019_CO2</t>
  </si>
  <si>
    <t>DA</t>
  </si>
  <si>
    <t>Lcia technology tag</t>
  </si>
  <si>
    <t>Lcia data filename</t>
  </si>
  <si>
    <t>72,4000,4876,8760</t>
  </si>
  <si>
    <t>Test1</t>
  </si>
  <si>
    <t>Test2</t>
  </si>
  <si>
    <t>Test3</t>
  </si>
  <si>
    <t>Test4</t>
  </si>
  <si>
    <t>72,4000,4876,5000</t>
  </si>
  <si>
    <t>LCIA2.0</t>
  </si>
  <si>
    <t>H2_STORAGE_TANK</t>
  </si>
  <si>
    <t>BATTERY</t>
  </si>
  <si>
    <t>WIND_ONSHORE</t>
  </si>
  <si>
    <t>WIND_OFFSHORE</t>
  </si>
  <si>
    <t>PV_GROUND</t>
  </si>
  <si>
    <t>DAC_HT</t>
  </si>
  <si>
    <t>ALKALINE_ELECTROLYSIS</t>
  </si>
  <si>
    <t>SOFC</t>
  </si>
  <si>
    <t>EHP_H2_GRID</t>
  </si>
  <si>
    <t>BIOGAS_BIOMETHANE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</si>
</sst>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7"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s>
  <fills count="20">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26">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4"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3" fillId="0" borderId="0" xfId="0" applyFont="1" applyAlignment="1">
      <alignment horizontal="right"/>
    </xf>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4" borderId="4" xfId="0" applyFill="1" applyBorder="1" applyAlignment="1">
      <alignment horizontal="center" vertical="center"/>
    </xf>
    <xf numFmtId="0" fontId="0" fillId="12"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0" xfId="0" applyFont="1" applyAlignment="1">
      <alignment horizontal="center"/>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tabSelected="1" zoomScale="82" zoomScaleNormal="145" workbookViewId="0">
      <pane xSplit="6" ySplit="5" topLeftCell="G50" activePane="bottomRight" state="frozen"/>
      <selection pane="topRight" activeCell="F1" sqref="F1"/>
      <selection pane="bottomLeft" activeCell="A12" sqref="A12"/>
      <selection pane="bottomRight" activeCell="BV2" sqref="BV2"/>
    </sheetView>
  </sheetViews>
  <sheetFormatPr defaultColWidth="8.7265625" defaultRowHeight="14.5" x14ac:dyDescent="0.35"/>
  <cols>
    <col min="1" max="1" width="8.08984375" customWidth="1"/>
    <col min="2" max="2" width="15.6328125" style="2" customWidth="1"/>
    <col min="3" max="3" width="21" style="3" customWidth="1"/>
    <col min="4" max="4" width="23.6328125" style="3" customWidth="1"/>
    <col min="5" max="5" width="20.54296875" style="394" customWidth="1"/>
    <col min="6" max="6" width="3.81640625" style="6" customWidth="1"/>
    <col min="7" max="7" width="13.1796875" style="22" customWidth="1"/>
    <col min="8" max="8" width="13.6328125" style="109" customWidth="1"/>
    <col min="9" max="9" width="11.90625" style="109" customWidth="1"/>
    <col min="10" max="10" width="24.7265625" style="121" customWidth="1"/>
    <col min="11" max="11" width="20.26953125" style="121" customWidth="1"/>
    <col min="12" max="12" width="9.54296875" style="121" customWidth="1"/>
    <col min="13" max="13" width="11.81640625" style="121" customWidth="1"/>
    <col min="14" max="14" width="12.7265625" style="121" customWidth="1"/>
    <col min="15" max="15" width="10.453125" style="121" customWidth="1"/>
    <col min="16" max="16" width="12.453125" style="121"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6"/>
  </cols>
  <sheetData>
    <row r="1" spans="1:81" ht="16" customHeight="1" x14ac:dyDescent="0.35">
      <c r="A1" s="414" t="s">
        <v>0</v>
      </c>
      <c r="B1" s="414"/>
      <c r="C1" s="414"/>
      <c r="D1" s="12"/>
      <c r="E1" s="395"/>
      <c r="F1" s="8"/>
      <c r="G1" s="98" t="s">
        <v>93</v>
      </c>
      <c r="H1" s="110" t="s">
        <v>371</v>
      </c>
      <c r="I1" s="110" t="s">
        <v>372</v>
      </c>
      <c r="J1" s="122" t="s">
        <v>404</v>
      </c>
      <c r="K1" s="127" t="s">
        <v>2</v>
      </c>
      <c r="L1" s="122" t="s">
        <v>4</v>
      </c>
      <c r="M1" s="122" t="s">
        <v>5</v>
      </c>
      <c r="N1" s="122" t="s">
        <v>274</v>
      </c>
      <c r="O1" s="127" t="s">
        <v>3</v>
      </c>
      <c r="P1" s="127" t="s">
        <v>181</v>
      </c>
      <c r="Q1" s="172" t="s">
        <v>6</v>
      </c>
      <c r="R1" s="410" t="s">
        <v>51</v>
      </c>
      <c r="S1" s="411"/>
      <c r="T1" s="411"/>
      <c r="U1" s="412"/>
      <c r="V1" s="410" t="s">
        <v>52</v>
      </c>
      <c r="W1" s="411"/>
      <c r="X1" s="411"/>
      <c r="Y1" s="412"/>
      <c r="Z1" s="410" t="s">
        <v>273</v>
      </c>
      <c r="AA1" s="411"/>
      <c r="AB1" s="411"/>
      <c r="AC1" s="412"/>
      <c r="AD1" s="410" t="s">
        <v>53</v>
      </c>
      <c r="AE1" s="411"/>
      <c r="AF1" s="411"/>
      <c r="AG1" s="412"/>
      <c r="AH1" s="410" t="s">
        <v>54</v>
      </c>
      <c r="AI1" s="411"/>
      <c r="AJ1" s="411"/>
      <c r="AK1" s="412"/>
      <c r="AL1" s="410" t="s">
        <v>55</v>
      </c>
      <c r="AM1" s="411"/>
      <c r="AN1" s="411"/>
      <c r="AO1" s="412"/>
      <c r="AP1" s="410" t="s">
        <v>56</v>
      </c>
      <c r="AQ1" s="411"/>
      <c r="AR1" s="411"/>
      <c r="AS1" s="412"/>
      <c r="AT1" s="410" t="s">
        <v>128</v>
      </c>
      <c r="AU1" s="411"/>
      <c r="AV1" s="411"/>
      <c r="AW1" s="412"/>
      <c r="AX1" s="410" t="s">
        <v>129</v>
      </c>
      <c r="AY1" s="411"/>
      <c r="AZ1" s="411"/>
      <c r="BA1" s="412"/>
      <c r="BB1" s="410" t="s">
        <v>403</v>
      </c>
      <c r="BC1" s="411"/>
      <c r="BD1" s="411"/>
      <c r="BE1" s="412"/>
      <c r="BF1" s="410" t="s">
        <v>130</v>
      </c>
      <c r="BG1" s="411"/>
      <c r="BH1" s="411"/>
      <c r="BI1" s="412"/>
      <c r="BJ1" s="410" t="s">
        <v>464</v>
      </c>
      <c r="BK1" s="411"/>
      <c r="BL1" s="411"/>
      <c r="BM1" s="412"/>
      <c r="BN1" s="410" t="s">
        <v>465</v>
      </c>
      <c r="BO1" s="411"/>
      <c r="BP1" s="411"/>
      <c r="BQ1" s="412"/>
      <c r="BR1" s="410" t="s">
        <v>58</v>
      </c>
      <c r="BS1" s="411"/>
      <c r="BT1" s="411"/>
      <c r="BU1" s="412"/>
      <c r="BV1" s="410" t="s">
        <v>307</v>
      </c>
      <c r="BW1" s="411"/>
      <c r="BX1" s="411"/>
      <c r="BY1" s="412"/>
      <c r="BZ1" s="418" t="s">
        <v>308</v>
      </c>
      <c r="CA1" s="418"/>
      <c r="CB1" s="418"/>
      <c r="CC1" s="418"/>
    </row>
    <row r="2" spans="1:81" s="4" customFormat="1" ht="15" customHeight="1" x14ac:dyDescent="0.35">
      <c r="A2" s="23"/>
      <c r="B2" s="415" t="s">
        <v>7</v>
      </c>
      <c r="C2" s="416" t="s">
        <v>8</v>
      </c>
      <c r="D2" s="415" t="s">
        <v>9</v>
      </c>
      <c r="E2" s="415" t="s">
        <v>468</v>
      </c>
      <c r="F2" s="32" t="s">
        <v>1</v>
      </c>
      <c r="G2" s="99" t="str">
        <f>G1</f>
        <v>Used (1 or 0)</v>
      </c>
      <c r="H2" s="99" t="str">
        <f t="shared" ref="H2:L2" si="0">H1</f>
        <v>Capacity units</v>
      </c>
      <c r="I2" s="99" t="str">
        <f t="shared" si="0"/>
        <v>Output units</v>
      </c>
      <c r="J2" s="99" t="str">
        <f t="shared" si="0"/>
        <v>Yearly demand (output)</v>
      </c>
      <c r="K2" s="99" t="str">
        <f t="shared" si="0"/>
        <v>Produced from</v>
      </c>
      <c r="L2" s="99" t="str">
        <f t="shared" si="0"/>
        <v>El balance</v>
      </c>
      <c r="M2" s="99" t="str">
        <f t="shared" ref="M2" si="1">M1</f>
        <v>Heat balance</v>
      </c>
      <c r="N2" s="99" t="str">
        <f t="shared" ref="N2" si="2">N1</f>
        <v>Process heat balance</v>
      </c>
      <c r="O2" s="99" t="str">
        <f t="shared" ref="O2" si="3">O1</f>
        <v>H2 balance</v>
      </c>
      <c r="P2" s="99" t="str">
        <f t="shared" ref="P2:R2" si="4">P1</f>
        <v>CSP balance</v>
      </c>
      <c r="Q2" s="99" t="str">
        <f t="shared" si="4"/>
        <v>Max Capacity</v>
      </c>
      <c r="R2" s="99" t="str">
        <f t="shared" si="4"/>
        <v>Fuel production rate (kg output/kg input)</v>
      </c>
      <c r="S2" s="99" t="str">
        <f>R1</f>
        <v>Fuel production rate (kg output/kg input)</v>
      </c>
      <c r="T2" s="99" t="str">
        <f>R1</f>
        <v>Fuel production rate (kg output/kg input)</v>
      </c>
      <c r="U2" s="99" t="str">
        <f>R1</f>
        <v>Fuel production rate (kg output/kg input)</v>
      </c>
      <c r="V2" s="16" t="str">
        <f>V1</f>
        <v>Heat generated (kWh/output)</v>
      </c>
      <c r="W2" s="16" t="str">
        <f>V1</f>
        <v>Heat generated (kWh/output)</v>
      </c>
      <c r="X2" s="16" t="str">
        <f>V1</f>
        <v>Heat generated (kWh/output)</v>
      </c>
      <c r="Y2" s="131" t="str">
        <f>V1</f>
        <v>Heat generated (kWh/output)</v>
      </c>
      <c r="Z2" s="16" t="str">
        <f>Z1</f>
        <v>Process heat generated (kWh/output)</v>
      </c>
      <c r="AA2" s="16" t="str">
        <f>Z1</f>
        <v>Process heat generated (kWh/output)</v>
      </c>
      <c r="AB2" s="16" t="str">
        <f>Z1</f>
        <v>Process heat generated (kWh/output)</v>
      </c>
      <c r="AC2" s="131" t="str">
        <f>Z1</f>
        <v>Process heat generated (kWh/output)</v>
      </c>
      <c r="AD2" s="16" t="str">
        <f>AD1</f>
        <v>Load min (% of max capacity)</v>
      </c>
      <c r="AE2" s="16" t="str">
        <f>AD1</f>
        <v>Load min (% of max capacity)</v>
      </c>
      <c r="AF2" s="16" t="str">
        <f>AD1</f>
        <v>Load min (% of max capacity)</v>
      </c>
      <c r="AG2" s="131" t="str">
        <f>AD1</f>
        <v>Load min (% of max capacity)</v>
      </c>
      <c r="AH2" s="16" t="str">
        <f>AH1</f>
        <v>Ramp up (% of capacity /h)</v>
      </c>
      <c r="AI2" s="16" t="str">
        <f>AH1</f>
        <v>Ramp up (% of capacity /h)</v>
      </c>
      <c r="AJ2" s="16" t="str">
        <f>AH1</f>
        <v>Ramp up (% of capacity /h)</v>
      </c>
      <c r="AK2" s="131" t="str">
        <f>AH1</f>
        <v>Ramp up (% of capacity /h)</v>
      </c>
      <c r="AL2" s="16" t="str">
        <f>AL1</f>
        <v>Ramp down (% of capacity /h)</v>
      </c>
      <c r="AM2" s="16" t="str">
        <f>AL1</f>
        <v>Ramp down (% of capacity /h)</v>
      </c>
      <c r="AN2" s="16" t="str">
        <f>AL1</f>
        <v>Ramp down (% of capacity /h)</v>
      </c>
      <c r="AO2" s="131" t="str">
        <f>AL1</f>
        <v>Ramp down (% of capacity /h)</v>
      </c>
      <c r="AP2" s="16" t="str">
        <f>AP1</f>
        <v>Electrical consumption (kWh/output)</v>
      </c>
      <c r="AQ2" s="16" t="str">
        <f>AP1</f>
        <v>Electrical consumption (kWh/output)</v>
      </c>
      <c r="AR2" s="16" t="str">
        <f>AP1</f>
        <v>Electrical consumption (kWh/output)</v>
      </c>
      <c r="AS2" s="131" t="str">
        <f>AP1</f>
        <v>Electrical consumption (kWh/output)</v>
      </c>
      <c r="AT2" s="16" t="str">
        <f>AT1</f>
        <v>Investment (EUR/Capacity installed)</v>
      </c>
      <c r="AU2" s="16" t="str">
        <f>AT1</f>
        <v>Investment (EUR/Capacity installed)</v>
      </c>
      <c r="AV2" s="16" t="str">
        <f>AT1</f>
        <v>Investment (EUR/Capacity installed)</v>
      </c>
      <c r="AW2" s="131" t="str">
        <f>AT1</f>
        <v>Investment (EUR/Capacity installed)</v>
      </c>
      <c r="AX2" s="16" t="str">
        <f>AX1</f>
        <v>Fixed cost (EUR/Capacity installed/y)</v>
      </c>
      <c r="AY2" s="16" t="str">
        <f>AX1</f>
        <v>Fixed cost (EUR/Capacity installed/y)</v>
      </c>
      <c r="AZ2" s="16" t="str">
        <f>AX1</f>
        <v>Fixed cost (EUR/Capacity installed/y)</v>
      </c>
      <c r="BA2" s="131"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1" t="str">
        <f>BF1</f>
        <v>Fuel selling price (EUR/output)</v>
      </c>
      <c r="BJ2" s="16" t="str">
        <f>BJ1</f>
        <v>CO2e infrastructure regulated (kg CO2e/Capacity/y)</v>
      </c>
      <c r="BK2" s="16" t="str">
        <f>BJ1</f>
        <v>CO2e infrastructure regulated (kg CO2e/Capacity/y)</v>
      </c>
      <c r="BL2" s="16" t="str">
        <f>BJ1</f>
        <v>CO2e infrastructure regulated (kg CO2e/Capacity/y)</v>
      </c>
      <c r="BM2" s="131" t="str">
        <f>BJ1</f>
        <v>CO2e infrastructure regulated (kg CO2e/Capacity/y)</v>
      </c>
      <c r="BN2" s="16" t="str">
        <f>BN1</f>
        <v>CO2e process regulated (kg CO2e/output)</v>
      </c>
      <c r="BO2" s="16" t="str">
        <f>BN1</f>
        <v>CO2e process regulated (kg CO2e/output)</v>
      </c>
      <c r="BP2" s="16" t="str">
        <f>BN1</f>
        <v>CO2e process regulated (kg CO2e/output)</v>
      </c>
      <c r="BQ2" s="131" t="str">
        <f>BN1</f>
        <v>CO2e process regulated (kg CO2e/output)</v>
      </c>
      <c r="BR2" s="16" t="str">
        <f>BR1</f>
        <v>Annuity factor</v>
      </c>
      <c r="BS2" s="16" t="str">
        <f>BR1</f>
        <v>Annuity factor</v>
      </c>
      <c r="BT2" s="16" t="str">
        <f>BR1</f>
        <v>Annuity factor</v>
      </c>
      <c r="BU2" s="131" t="str">
        <f>BR1</f>
        <v>Annuity factor</v>
      </c>
      <c r="BV2" s="160" t="str">
        <f>BV1</f>
        <v>Lifetime (years)</v>
      </c>
      <c r="BW2" s="160" t="str">
        <f>BV1</f>
        <v>Lifetime (years)</v>
      </c>
      <c r="BX2" s="160" t="str">
        <f>BV1</f>
        <v>Lifetime (years)</v>
      </c>
      <c r="BY2" s="161"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15"/>
      <c r="C3" s="416"/>
      <c r="D3" s="415"/>
      <c r="E3" s="415"/>
      <c r="F3" s="32" t="s">
        <v>66</v>
      </c>
      <c r="G3" s="100" t="s">
        <v>95</v>
      </c>
      <c r="H3" s="112" t="s">
        <v>95</v>
      </c>
      <c r="I3" s="112" t="s">
        <v>95</v>
      </c>
      <c r="J3" s="112" t="s">
        <v>95</v>
      </c>
      <c r="K3" s="112" t="s">
        <v>95</v>
      </c>
      <c r="L3" s="112" t="s">
        <v>95</v>
      </c>
      <c r="M3" s="112" t="s">
        <v>95</v>
      </c>
      <c r="N3" s="112" t="s">
        <v>95</v>
      </c>
      <c r="O3" s="109" t="s">
        <v>95</v>
      </c>
      <c r="P3" s="109" t="s">
        <v>95</v>
      </c>
      <c r="Q3" s="100" t="s">
        <v>95</v>
      </c>
      <c r="R3" s="97">
        <v>2025</v>
      </c>
      <c r="S3" s="97">
        <v>2030</v>
      </c>
      <c r="T3" s="97">
        <v>2040</v>
      </c>
      <c r="U3" s="132">
        <v>2050</v>
      </c>
      <c r="V3" s="97">
        <v>2025</v>
      </c>
      <c r="W3" s="97">
        <v>2030</v>
      </c>
      <c r="X3" s="97">
        <v>2040</v>
      </c>
      <c r="Y3" s="132">
        <v>2050</v>
      </c>
      <c r="Z3" s="97">
        <v>2025</v>
      </c>
      <c r="AA3" s="97">
        <v>2030</v>
      </c>
      <c r="AB3" s="97">
        <v>2040</v>
      </c>
      <c r="AC3" s="132">
        <v>2050</v>
      </c>
      <c r="AD3" s="97">
        <v>2025</v>
      </c>
      <c r="AE3" s="97">
        <v>2030</v>
      </c>
      <c r="AF3" s="97">
        <v>2040</v>
      </c>
      <c r="AG3" s="132">
        <v>2050</v>
      </c>
      <c r="AH3" s="97">
        <v>2025</v>
      </c>
      <c r="AI3" s="97">
        <v>2030</v>
      </c>
      <c r="AJ3" s="97">
        <v>2040</v>
      </c>
      <c r="AK3" s="132">
        <v>2050</v>
      </c>
      <c r="AL3" s="97">
        <v>2025</v>
      </c>
      <c r="AM3" s="97">
        <v>2030</v>
      </c>
      <c r="AN3" s="97">
        <v>2040</v>
      </c>
      <c r="AO3" s="132">
        <v>2050</v>
      </c>
      <c r="AP3" s="97">
        <v>2025</v>
      </c>
      <c r="AQ3" s="97">
        <v>2030</v>
      </c>
      <c r="AR3" s="97">
        <v>2040</v>
      </c>
      <c r="AS3" s="132">
        <v>2050</v>
      </c>
      <c r="AT3" s="97">
        <v>2025</v>
      </c>
      <c r="AU3" s="97">
        <v>2030</v>
      </c>
      <c r="AV3" s="97">
        <v>2040</v>
      </c>
      <c r="AW3" s="132">
        <v>2050</v>
      </c>
      <c r="AX3" s="97">
        <v>2025</v>
      </c>
      <c r="AY3" s="97">
        <v>2030</v>
      </c>
      <c r="AZ3" s="97">
        <v>2040</v>
      </c>
      <c r="BA3" s="132">
        <v>2050</v>
      </c>
      <c r="BB3" s="97">
        <v>2025</v>
      </c>
      <c r="BC3" s="97">
        <v>2030</v>
      </c>
      <c r="BD3" s="97">
        <v>2040</v>
      </c>
      <c r="BE3" s="132">
        <v>2050</v>
      </c>
      <c r="BF3" s="97">
        <v>2025</v>
      </c>
      <c r="BG3" s="97">
        <v>2030</v>
      </c>
      <c r="BH3" s="97">
        <v>2040</v>
      </c>
      <c r="BI3" s="132">
        <v>2050</v>
      </c>
      <c r="BJ3" s="97">
        <v>2025</v>
      </c>
      <c r="BK3" s="97">
        <v>2030</v>
      </c>
      <c r="BL3" s="97">
        <v>2040</v>
      </c>
      <c r="BM3" s="132">
        <v>2050</v>
      </c>
      <c r="BN3" s="97">
        <v>2025</v>
      </c>
      <c r="BO3" s="97">
        <v>2030</v>
      </c>
      <c r="BP3" s="97">
        <v>2040</v>
      </c>
      <c r="BQ3" s="132">
        <v>2050</v>
      </c>
      <c r="BR3" s="97">
        <v>2025</v>
      </c>
      <c r="BS3" s="97">
        <v>2030</v>
      </c>
      <c r="BT3" s="97">
        <v>2040</v>
      </c>
      <c r="BU3" s="132">
        <v>2050</v>
      </c>
      <c r="BV3" s="97">
        <v>2025</v>
      </c>
      <c r="BW3" s="97">
        <v>2030</v>
      </c>
      <c r="BX3" s="97">
        <v>2040</v>
      </c>
      <c r="BY3" s="132">
        <v>2050</v>
      </c>
      <c r="BZ3" s="97">
        <v>2025</v>
      </c>
      <c r="CA3" s="97">
        <v>2030</v>
      </c>
      <c r="CB3" s="97">
        <v>2040</v>
      </c>
      <c r="CC3" s="97">
        <v>2050</v>
      </c>
    </row>
    <row r="4" spans="1:81" s="4" customFormat="1" ht="5.5" customHeight="1" x14ac:dyDescent="0.35">
      <c r="A4" s="31"/>
      <c r="B4" s="415"/>
      <c r="C4" s="416"/>
      <c r="D4" s="415"/>
      <c r="E4" s="415"/>
      <c r="F4" s="32"/>
      <c r="G4" s="100" t="str">
        <f>G2&amp;G3</f>
        <v>Used (1 or 0)All</v>
      </c>
      <c r="H4" s="112" t="str">
        <f>H2&amp;H3</f>
        <v>Capacity unitsAll</v>
      </c>
      <c r="I4" s="112" t="str">
        <f>I2&amp;I3</f>
        <v>Output unitsAll</v>
      </c>
      <c r="J4" s="112" t="str">
        <f t="shared" ref="J4:BD4" si="5">J2&amp;J3</f>
        <v>Yearly demand (output)All</v>
      </c>
      <c r="K4" s="112" t="str">
        <f t="shared" si="5"/>
        <v>Produced fromAll</v>
      </c>
      <c r="L4" s="112" t="str">
        <f t="shared" si="5"/>
        <v>El balanceAll</v>
      </c>
      <c r="M4" s="112" t="str">
        <f t="shared" si="5"/>
        <v>Heat balanceAll</v>
      </c>
      <c r="N4" s="112" t="str">
        <f t="shared" si="5"/>
        <v>Process heat balanceAll</v>
      </c>
      <c r="O4" s="112" t="str">
        <f t="shared" si="5"/>
        <v>H2 balanceAll</v>
      </c>
      <c r="P4" s="112" t="str">
        <f t="shared" si="5"/>
        <v>CSP balanceAll</v>
      </c>
      <c r="Q4" s="100" t="str">
        <f t="shared" si="5"/>
        <v>Max CapacityAll</v>
      </c>
      <c r="R4" s="11" t="str">
        <f t="shared" si="5"/>
        <v>Fuel production rate (kg output/kg input)2025</v>
      </c>
      <c r="S4" s="11" t="str">
        <f t="shared" si="5"/>
        <v>Fuel production rate (kg output/kg input)2030</v>
      </c>
      <c r="T4" s="11" t="str">
        <f t="shared" si="5"/>
        <v>Fuel production rate (kg output/kg input)2040</v>
      </c>
      <c r="U4" s="100" t="str">
        <f t="shared" si="5"/>
        <v>Fuel production rate (kg output/kg input)2050</v>
      </c>
      <c r="V4" s="11" t="str">
        <f t="shared" si="5"/>
        <v>Heat generated (kWh/output)2025</v>
      </c>
      <c r="W4" s="11" t="str">
        <f t="shared" si="5"/>
        <v>Heat generated (kWh/output)2030</v>
      </c>
      <c r="X4" s="11" t="str">
        <f t="shared" si="5"/>
        <v>Heat generated (kWh/output)2040</v>
      </c>
      <c r="Y4" s="100" t="str">
        <f t="shared" si="5"/>
        <v>Heat generated (kWh/output)2050</v>
      </c>
      <c r="Z4" s="11" t="str">
        <f t="shared" si="5"/>
        <v>Process heat generated (kWh/output)2025</v>
      </c>
      <c r="AA4" s="11" t="str">
        <f t="shared" si="5"/>
        <v>Process heat generated (kWh/output)2030</v>
      </c>
      <c r="AB4" s="11" t="str">
        <f t="shared" si="5"/>
        <v>Process heat generated (kWh/output)2040</v>
      </c>
      <c r="AC4" s="100" t="str">
        <f t="shared" si="5"/>
        <v>Process heat generated (kWh/output)2050</v>
      </c>
      <c r="AD4" s="11" t="str">
        <f t="shared" si="5"/>
        <v>Load min (% of max capacity)2025</v>
      </c>
      <c r="AE4" s="11" t="str">
        <f t="shared" si="5"/>
        <v>Load min (% of max capacity)2030</v>
      </c>
      <c r="AF4" s="11" t="str">
        <f t="shared" si="5"/>
        <v>Load min (% of max capacity)2040</v>
      </c>
      <c r="AG4" s="100" t="str">
        <f t="shared" si="5"/>
        <v>Load min (% of max capacity)2050</v>
      </c>
      <c r="AH4" s="11" t="str">
        <f t="shared" si="5"/>
        <v>Ramp up (% of capacity /h)2025</v>
      </c>
      <c r="AI4" s="11" t="str">
        <f t="shared" si="5"/>
        <v>Ramp up (% of capacity /h)2030</v>
      </c>
      <c r="AJ4" s="11" t="str">
        <f t="shared" si="5"/>
        <v>Ramp up (% of capacity /h)2040</v>
      </c>
      <c r="AK4" s="100" t="str">
        <f t="shared" si="5"/>
        <v>Ramp up (% of capacity /h)2050</v>
      </c>
      <c r="AL4" s="11" t="str">
        <f t="shared" si="5"/>
        <v>Ramp down (% of capacity /h)2025</v>
      </c>
      <c r="AM4" s="11" t="str">
        <f t="shared" si="5"/>
        <v>Ramp down (% of capacity /h)2030</v>
      </c>
      <c r="AN4" s="11" t="str">
        <f t="shared" si="5"/>
        <v>Ramp down (% of capacity /h)2040</v>
      </c>
      <c r="AO4" s="100" t="str">
        <f t="shared" si="5"/>
        <v>Ramp down (% of capacity /h)2050</v>
      </c>
      <c r="AP4" s="11" t="str">
        <f t="shared" si="5"/>
        <v>Electrical consumption (kWh/output)2025</v>
      </c>
      <c r="AQ4" s="11" t="str">
        <f t="shared" si="5"/>
        <v>Electrical consumption (kWh/output)2030</v>
      </c>
      <c r="AR4" s="11" t="str">
        <f t="shared" si="5"/>
        <v>Electrical consumption (kWh/output)2040</v>
      </c>
      <c r="AS4" s="100"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100"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100" t="str">
        <f t="shared" si="5"/>
        <v>Fixed cost (EUR/Capacity installed/y)2050</v>
      </c>
      <c r="BB4" s="11" t="str">
        <f t="shared" si="5"/>
        <v>Variable cost (EUR/output)2025</v>
      </c>
      <c r="BC4" s="11" t="str">
        <f t="shared" si="5"/>
        <v>Variable cost (EUR/output)2030</v>
      </c>
      <c r="BD4" s="11" t="str">
        <f t="shared" si="5"/>
        <v>Variable cost (EUR/output)2040</v>
      </c>
      <c r="BE4" s="100"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100"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100"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100" t="str">
        <f t="shared" si="6"/>
        <v>CO2e process regulated (kg CO2e/output)2050</v>
      </c>
      <c r="BR4" s="11" t="str">
        <f t="shared" si="6"/>
        <v>Annuity factor2025</v>
      </c>
      <c r="BS4" s="11" t="str">
        <f t="shared" si="6"/>
        <v>Annuity factor2030</v>
      </c>
      <c r="BT4" s="11" t="str">
        <f t="shared" si="6"/>
        <v>Annuity factor2040</v>
      </c>
      <c r="BU4" s="100" t="str">
        <f t="shared" si="6"/>
        <v>Annuity factor2050</v>
      </c>
      <c r="BV4" s="11" t="str">
        <f t="shared" ref="BV4:BY4" si="7">BV2&amp;BV3</f>
        <v>Lifetime (years)2025</v>
      </c>
      <c r="BW4" s="11" t="str">
        <f t="shared" si="7"/>
        <v>Lifetime (years)2030</v>
      </c>
      <c r="BX4" s="11" t="str">
        <f t="shared" si="7"/>
        <v>Lifetime (years)2040</v>
      </c>
      <c r="BY4" s="100"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15"/>
      <c r="C5" s="416"/>
      <c r="D5" s="415"/>
      <c r="E5" s="415"/>
      <c r="F5" s="38" t="s">
        <v>10</v>
      </c>
      <c r="G5" s="101">
        <f t="shared" ref="G5:AQ5" si="9">COLUMN(G2)-COLUMN($F$5)</f>
        <v>1</v>
      </c>
      <c r="H5" s="113">
        <f t="shared" si="9"/>
        <v>2</v>
      </c>
      <c r="I5" s="113">
        <f t="shared" si="9"/>
        <v>3</v>
      </c>
      <c r="J5" s="113">
        <f t="shared" si="9"/>
        <v>4</v>
      </c>
      <c r="K5" s="113">
        <f t="shared" si="9"/>
        <v>5</v>
      </c>
      <c r="L5" s="113">
        <f t="shared" si="9"/>
        <v>6</v>
      </c>
      <c r="M5" s="113">
        <f t="shared" si="9"/>
        <v>7</v>
      </c>
      <c r="N5" s="113">
        <f t="shared" si="9"/>
        <v>8</v>
      </c>
      <c r="O5" s="113">
        <f>COLUMN(O2)-COLUMN($F$5)</f>
        <v>9</v>
      </c>
      <c r="P5" s="113">
        <f>COLUMN(P2)-COLUMN($F$5)</f>
        <v>10</v>
      </c>
      <c r="Q5" s="101">
        <f t="shared" si="9"/>
        <v>11</v>
      </c>
      <c r="R5" s="5">
        <f t="shared" si="9"/>
        <v>12</v>
      </c>
      <c r="S5" s="5">
        <f t="shared" si="9"/>
        <v>13</v>
      </c>
      <c r="T5" s="5">
        <f t="shared" si="9"/>
        <v>14</v>
      </c>
      <c r="U5" s="101">
        <f t="shared" si="9"/>
        <v>15</v>
      </c>
      <c r="V5" s="5">
        <f t="shared" si="9"/>
        <v>16</v>
      </c>
      <c r="W5" s="5">
        <f t="shared" si="9"/>
        <v>17</v>
      </c>
      <c r="X5" s="5">
        <f t="shared" si="9"/>
        <v>18</v>
      </c>
      <c r="Y5" s="101">
        <f t="shared" si="9"/>
        <v>19</v>
      </c>
      <c r="Z5" s="5">
        <f t="shared" si="9"/>
        <v>20</v>
      </c>
      <c r="AA5" s="5">
        <f t="shared" si="9"/>
        <v>21</v>
      </c>
      <c r="AB5" s="5">
        <f t="shared" si="9"/>
        <v>22</v>
      </c>
      <c r="AC5" s="101">
        <f t="shared" si="9"/>
        <v>23</v>
      </c>
      <c r="AD5" s="5">
        <f t="shared" si="9"/>
        <v>24</v>
      </c>
      <c r="AE5" s="5">
        <f t="shared" si="9"/>
        <v>25</v>
      </c>
      <c r="AF5" s="5">
        <f t="shared" si="9"/>
        <v>26</v>
      </c>
      <c r="AG5" s="101">
        <f t="shared" si="9"/>
        <v>27</v>
      </c>
      <c r="AH5" s="5">
        <f t="shared" si="9"/>
        <v>28</v>
      </c>
      <c r="AI5" s="5">
        <f t="shared" si="9"/>
        <v>29</v>
      </c>
      <c r="AJ5" s="5">
        <f t="shared" si="9"/>
        <v>30</v>
      </c>
      <c r="AK5" s="101">
        <f t="shared" si="9"/>
        <v>31</v>
      </c>
      <c r="AL5" s="5">
        <f t="shared" si="9"/>
        <v>32</v>
      </c>
      <c r="AM5" s="5">
        <f t="shared" si="9"/>
        <v>33</v>
      </c>
      <c r="AN5" s="5">
        <f t="shared" si="9"/>
        <v>34</v>
      </c>
      <c r="AO5" s="101">
        <f t="shared" si="9"/>
        <v>35</v>
      </c>
      <c r="AP5" s="5">
        <f t="shared" si="9"/>
        <v>36</v>
      </c>
      <c r="AQ5" s="5">
        <f t="shared" si="9"/>
        <v>37</v>
      </c>
      <c r="AR5" s="5">
        <f t="shared" ref="AR5:BM5" si="10">COLUMN(AR2)-COLUMN($F$5)</f>
        <v>38</v>
      </c>
      <c r="AS5" s="101">
        <f t="shared" si="10"/>
        <v>39</v>
      </c>
      <c r="AT5" s="5">
        <f t="shared" si="10"/>
        <v>40</v>
      </c>
      <c r="AU5" s="5">
        <f t="shared" si="10"/>
        <v>41</v>
      </c>
      <c r="AV5" s="5">
        <f t="shared" si="10"/>
        <v>42</v>
      </c>
      <c r="AW5" s="101">
        <f t="shared" si="10"/>
        <v>43</v>
      </c>
      <c r="AX5" s="5">
        <f t="shared" si="10"/>
        <v>44</v>
      </c>
      <c r="AY5" s="5">
        <f t="shared" si="10"/>
        <v>45</v>
      </c>
      <c r="AZ5" s="5">
        <f t="shared" si="10"/>
        <v>46</v>
      </c>
      <c r="BA5" s="101">
        <f t="shared" si="10"/>
        <v>47</v>
      </c>
      <c r="BB5" s="5">
        <f t="shared" si="10"/>
        <v>48</v>
      </c>
      <c r="BC5" s="5">
        <f t="shared" si="10"/>
        <v>49</v>
      </c>
      <c r="BD5" s="5">
        <f t="shared" si="10"/>
        <v>50</v>
      </c>
      <c r="BE5" s="101">
        <f t="shared" si="10"/>
        <v>51</v>
      </c>
      <c r="BF5" s="5">
        <f t="shared" si="10"/>
        <v>52</v>
      </c>
      <c r="BG5" s="5">
        <f t="shared" si="10"/>
        <v>53</v>
      </c>
      <c r="BH5" s="5">
        <f t="shared" si="10"/>
        <v>54</v>
      </c>
      <c r="BI5" s="101">
        <f t="shared" si="10"/>
        <v>55</v>
      </c>
      <c r="BJ5" s="5">
        <f t="shared" si="10"/>
        <v>56</v>
      </c>
      <c r="BK5" s="5">
        <f t="shared" si="10"/>
        <v>57</v>
      </c>
      <c r="BL5" s="5">
        <f t="shared" si="10"/>
        <v>58</v>
      </c>
      <c r="BM5" s="101">
        <f t="shared" si="10"/>
        <v>59</v>
      </c>
      <c r="BN5" s="5">
        <f t="shared" ref="BN5:BU5" si="11">COLUMN(BN2)-COLUMN($F$5)</f>
        <v>60</v>
      </c>
      <c r="BO5" s="5">
        <f t="shared" si="11"/>
        <v>61</v>
      </c>
      <c r="BP5" s="5">
        <f t="shared" si="11"/>
        <v>62</v>
      </c>
      <c r="BQ5" s="101">
        <f t="shared" si="11"/>
        <v>63</v>
      </c>
      <c r="BR5" s="5">
        <f t="shared" si="11"/>
        <v>64</v>
      </c>
      <c r="BS5" s="5">
        <f t="shared" si="11"/>
        <v>65</v>
      </c>
      <c r="BT5" s="5">
        <f t="shared" si="11"/>
        <v>66</v>
      </c>
      <c r="BU5" s="101">
        <f t="shared" si="11"/>
        <v>67</v>
      </c>
      <c r="BV5" s="5">
        <f t="shared" ref="BV5:BY5" si="12">COLUMN(BV2)-COLUMN($F$5)</f>
        <v>68</v>
      </c>
      <c r="BW5" s="5">
        <f t="shared" si="12"/>
        <v>69</v>
      </c>
      <c r="BX5" s="5">
        <f t="shared" si="12"/>
        <v>70</v>
      </c>
      <c r="BY5" s="101">
        <f t="shared" si="12"/>
        <v>71</v>
      </c>
      <c r="BZ5" s="5">
        <f t="shared" ref="BZ5:CC5" si="13">COLUMN(BZ2)-COLUMN($F$5)</f>
        <v>72</v>
      </c>
      <c r="CA5" s="5">
        <f t="shared" si="13"/>
        <v>73</v>
      </c>
      <c r="CB5" s="5">
        <f t="shared" si="13"/>
        <v>74</v>
      </c>
      <c r="CC5" s="5">
        <f t="shared" si="13"/>
        <v>75</v>
      </c>
    </row>
    <row r="6" spans="1:81" s="25" customFormat="1" ht="18" customHeight="1" x14ac:dyDescent="0.35">
      <c r="A6" s="413" t="s">
        <v>11</v>
      </c>
      <c r="B6" s="285" t="s">
        <v>97</v>
      </c>
      <c r="C6" s="286" t="s">
        <v>184</v>
      </c>
      <c r="D6" s="287" t="s">
        <v>425</v>
      </c>
      <c r="E6" s="392" t="s">
        <v>486</v>
      </c>
      <c r="F6" s="6">
        <f t="shared" ref="F6:F37" si="14">ROW(D5)-ROW($F$4)</f>
        <v>1</v>
      </c>
      <c r="G6" s="299">
        <v>1</v>
      </c>
      <c r="H6" s="301" t="s">
        <v>426</v>
      </c>
      <c r="I6" s="301" t="s">
        <v>427</v>
      </c>
      <c r="J6" s="303">
        <v>3443530.9496236341</v>
      </c>
      <c r="K6" s="312" t="str">
        <f>B7</f>
        <v>Product/Reactant1</v>
      </c>
      <c r="L6" s="321">
        <v>0</v>
      </c>
      <c r="M6" s="321">
        <v>0</v>
      </c>
      <c r="N6" s="321">
        <v>0</v>
      </c>
      <c r="O6" s="321">
        <v>0</v>
      </c>
      <c r="P6" s="321">
        <v>0</v>
      </c>
      <c r="Q6" s="289">
        <v>2000000</v>
      </c>
      <c r="R6" s="288">
        <v>1.7649999999999999</v>
      </c>
      <c r="S6" s="288">
        <f>R6</f>
        <v>1.7649999999999999</v>
      </c>
      <c r="T6" s="288">
        <f t="shared" ref="T6:U6" si="15">S6</f>
        <v>1.7649999999999999</v>
      </c>
      <c r="U6" s="289">
        <f t="shared" si="15"/>
        <v>1.7649999999999999</v>
      </c>
      <c r="V6" s="288">
        <v>0</v>
      </c>
      <c r="W6" s="288">
        <v>0</v>
      </c>
      <c r="X6" s="288">
        <v>0</v>
      </c>
      <c r="Y6" s="289">
        <v>0</v>
      </c>
      <c r="Z6" s="288">
        <v>0</v>
      </c>
      <c r="AA6" s="288">
        <v>0</v>
      </c>
      <c r="AB6" s="288">
        <v>0</v>
      </c>
      <c r="AC6" s="289">
        <v>0</v>
      </c>
      <c r="AD6" s="291">
        <v>0</v>
      </c>
      <c r="AE6" s="327">
        <v>0</v>
      </c>
      <c r="AF6" s="327">
        <v>0</v>
      </c>
      <c r="AG6" s="327">
        <v>0</v>
      </c>
      <c r="AH6" s="291">
        <v>1</v>
      </c>
      <c r="AI6" s="327">
        <v>1</v>
      </c>
      <c r="AJ6" s="327">
        <v>1</v>
      </c>
      <c r="AK6" s="327">
        <v>1</v>
      </c>
      <c r="AL6" s="291">
        <v>1</v>
      </c>
      <c r="AM6" s="327">
        <v>1</v>
      </c>
      <c r="AN6" s="327">
        <v>1</v>
      </c>
      <c r="AO6" s="356">
        <v>1</v>
      </c>
      <c r="AP6" s="329">
        <v>0</v>
      </c>
      <c r="AQ6" s="329">
        <v>0</v>
      </c>
      <c r="AR6" s="329">
        <v>0</v>
      </c>
      <c r="AS6" s="363">
        <v>0</v>
      </c>
      <c r="AT6" s="332">
        <v>0</v>
      </c>
      <c r="AU6" s="332">
        <v>0</v>
      </c>
      <c r="AV6" s="332">
        <v>1</v>
      </c>
      <c r="AW6" s="332">
        <v>2</v>
      </c>
      <c r="AX6" s="290">
        <v>0</v>
      </c>
      <c r="AY6" s="288">
        <v>0</v>
      </c>
      <c r="AZ6" s="288">
        <v>0</v>
      </c>
      <c r="BA6" s="288">
        <v>0</v>
      </c>
      <c r="BB6" s="292">
        <v>2.1279194466572664E-2</v>
      </c>
      <c r="BC6" s="330">
        <v>2.1279194466572664E-2</v>
      </c>
      <c r="BD6" s="330">
        <v>1.02127919446657</v>
      </c>
      <c r="BE6" s="330">
        <v>2.0212791944665698</v>
      </c>
      <c r="BF6" s="290">
        <v>0</v>
      </c>
      <c r="BG6" s="288">
        <v>0</v>
      </c>
      <c r="BH6" s="288">
        <v>0</v>
      </c>
      <c r="BI6" s="289">
        <v>0</v>
      </c>
      <c r="BJ6" s="288">
        <v>0</v>
      </c>
      <c r="BK6" s="288">
        <v>0</v>
      </c>
      <c r="BL6" s="288">
        <v>0</v>
      </c>
      <c r="BM6" s="289">
        <v>0</v>
      </c>
      <c r="BN6" s="288">
        <v>0</v>
      </c>
      <c r="BO6" s="288">
        <v>0</v>
      </c>
      <c r="BP6" s="288">
        <v>0</v>
      </c>
      <c r="BQ6" s="289">
        <v>0</v>
      </c>
      <c r="BR6" s="288">
        <v>0</v>
      </c>
      <c r="BS6" s="288">
        <v>0</v>
      </c>
      <c r="BT6" s="288">
        <v>0</v>
      </c>
      <c r="BU6" s="289">
        <v>0</v>
      </c>
      <c r="BV6" s="288">
        <v>0</v>
      </c>
      <c r="BW6" s="288">
        <v>0</v>
      </c>
      <c r="BX6" s="288">
        <v>0</v>
      </c>
      <c r="BY6" s="289">
        <v>0</v>
      </c>
      <c r="BZ6" s="288">
        <v>0</v>
      </c>
      <c r="CA6" s="288">
        <v>0</v>
      </c>
      <c r="CB6" s="288">
        <v>0</v>
      </c>
      <c r="CC6" s="288">
        <v>0</v>
      </c>
    </row>
    <row r="7" spans="1:81" x14ac:dyDescent="0.35">
      <c r="A7" s="413"/>
      <c r="B7" s="285" t="s">
        <v>96</v>
      </c>
      <c r="C7" s="286" t="s">
        <v>184</v>
      </c>
      <c r="D7" s="287" t="s">
        <v>429</v>
      </c>
      <c r="E7" s="392" t="s">
        <v>86</v>
      </c>
      <c r="F7" s="6">
        <f t="shared" si="14"/>
        <v>2</v>
      </c>
      <c r="G7" s="299">
        <v>1</v>
      </c>
      <c r="H7" s="301" t="s">
        <v>373</v>
      </c>
      <c r="I7" s="301" t="s">
        <v>374</v>
      </c>
      <c r="J7" s="304">
        <f>J6/R6</f>
        <v>1951009.036613957</v>
      </c>
      <c r="K7" s="312" t="str">
        <f>B8</f>
        <v>Product/Reactant2</v>
      </c>
      <c r="L7" s="321">
        <v>0</v>
      </c>
      <c r="M7" s="321">
        <v>0</v>
      </c>
      <c r="N7" s="321">
        <v>0</v>
      </c>
      <c r="O7" s="321">
        <v>0</v>
      </c>
      <c r="P7" s="321">
        <v>0</v>
      </c>
      <c r="Q7" s="289">
        <v>2000000</v>
      </c>
      <c r="R7" s="288">
        <v>1.3740000000000001</v>
      </c>
      <c r="S7" s="288">
        <v>1.3740000000000001</v>
      </c>
      <c r="T7" s="288">
        <v>2.3740000000000001</v>
      </c>
      <c r="U7" s="289">
        <v>3.3740000000000001</v>
      </c>
      <c r="V7" s="288">
        <v>0</v>
      </c>
      <c r="W7" s="288">
        <v>0</v>
      </c>
      <c r="X7" s="288">
        <v>0</v>
      </c>
      <c r="Y7" s="289">
        <v>0</v>
      </c>
      <c r="Z7" s="288">
        <v>0</v>
      </c>
      <c r="AA7" s="288">
        <v>0</v>
      </c>
      <c r="AB7" s="288">
        <v>0</v>
      </c>
      <c r="AC7" s="289">
        <v>0</v>
      </c>
      <c r="AD7" s="291">
        <v>0</v>
      </c>
      <c r="AE7" s="327">
        <v>0</v>
      </c>
      <c r="AF7" s="327">
        <v>0</v>
      </c>
      <c r="AG7" s="327">
        <v>0</v>
      </c>
      <c r="AH7" s="291">
        <v>1</v>
      </c>
      <c r="AI7" s="327">
        <v>1</v>
      </c>
      <c r="AJ7" s="327">
        <v>1</v>
      </c>
      <c r="AK7" s="327">
        <v>1</v>
      </c>
      <c r="AL7" s="291">
        <v>1</v>
      </c>
      <c r="AM7" s="327">
        <v>1</v>
      </c>
      <c r="AN7" s="327">
        <v>1</v>
      </c>
      <c r="AO7" s="356">
        <v>1</v>
      </c>
      <c r="AP7" s="330">
        <v>0.46</v>
      </c>
      <c r="AQ7" s="330">
        <v>0.31</v>
      </c>
      <c r="AR7" s="330">
        <v>0.31</v>
      </c>
      <c r="AS7" s="364">
        <v>0.31</v>
      </c>
      <c r="AT7" s="333">
        <v>8232</v>
      </c>
      <c r="AU7" s="333">
        <v>7608</v>
      </c>
      <c r="AV7" s="333">
        <v>7608</v>
      </c>
      <c r="AW7" s="333">
        <v>7608</v>
      </c>
      <c r="AX7" s="292">
        <v>14.97</v>
      </c>
      <c r="AY7" s="330">
        <v>14.97</v>
      </c>
      <c r="AZ7" s="330">
        <v>14.97</v>
      </c>
      <c r="BA7" s="330">
        <v>14.97</v>
      </c>
      <c r="BB7" s="292">
        <v>0.64</v>
      </c>
      <c r="BC7" s="330">
        <f>BB7</f>
        <v>0.64</v>
      </c>
      <c r="BD7" s="330">
        <f t="shared" ref="BD7:BE7" si="16">BC7</f>
        <v>0.64</v>
      </c>
      <c r="BE7" s="330">
        <f t="shared" si="16"/>
        <v>0.64</v>
      </c>
      <c r="BF7" s="290">
        <v>0</v>
      </c>
      <c r="BG7" s="288">
        <v>0</v>
      </c>
      <c r="BH7" s="288">
        <v>0</v>
      </c>
      <c r="BI7" s="289">
        <v>0</v>
      </c>
      <c r="BJ7" s="288">
        <v>0</v>
      </c>
      <c r="BK7" s="288">
        <v>0</v>
      </c>
      <c r="BL7" s="288">
        <v>0</v>
      </c>
      <c r="BM7" s="289">
        <v>0</v>
      </c>
      <c r="BN7" s="288">
        <v>0</v>
      </c>
      <c r="BO7" s="288">
        <v>0</v>
      </c>
      <c r="BP7" s="288">
        <v>0</v>
      </c>
      <c r="BQ7" s="289">
        <v>0</v>
      </c>
      <c r="BR7" s="288">
        <v>0.10004163570237409</v>
      </c>
      <c r="BS7" s="288">
        <v>0.10004163570237409</v>
      </c>
      <c r="BT7" s="288">
        <v>0.10004163570237409</v>
      </c>
      <c r="BU7" s="289">
        <v>0.10004163570237409</v>
      </c>
      <c r="BV7" s="288">
        <v>0</v>
      </c>
      <c r="BW7" s="288">
        <v>0</v>
      </c>
      <c r="BX7" s="288">
        <v>0</v>
      </c>
      <c r="BY7" s="289">
        <v>0</v>
      </c>
      <c r="BZ7" s="288">
        <v>0</v>
      </c>
      <c r="CA7" s="288">
        <v>0</v>
      </c>
      <c r="CB7" s="288">
        <v>0</v>
      </c>
      <c r="CC7" s="288">
        <v>0</v>
      </c>
    </row>
    <row r="8" spans="1:81" x14ac:dyDescent="0.35">
      <c r="A8" s="413"/>
      <c r="B8" s="285" t="s">
        <v>428</v>
      </c>
      <c r="C8" s="293" t="s">
        <v>119</v>
      </c>
      <c r="D8" s="287" t="s">
        <v>447</v>
      </c>
      <c r="E8" s="392" t="s">
        <v>86</v>
      </c>
      <c r="F8" s="6">
        <f t="shared" si="14"/>
        <v>3</v>
      </c>
      <c r="G8" s="299">
        <v>1</v>
      </c>
      <c r="H8" s="301" t="s">
        <v>375</v>
      </c>
      <c r="I8" s="301" t="s">
        <v>376</v>
      </c>
      <c r="J8" s="304">
        <f>J7/R7</f>
        <v>1419948.3527030253</v>
      </c>
      <c r="K8" s="312" t="str">
        <f>B34</f>
        <v>Reactant10</v>
      </c>
      <c r="L8" s="321">
        <v>0</v>
      </c>
      <c r="M8" s="321">
        <v>1</v>
      </c>
      <c r="N8" s="321">
        <v>0</v>
      </c>
      <c r="O8" s="321">
        <v>0</v>
      </c>
      <c r="P8" s="321">
        <v>0</v>
      </c>
      <c r="Q8" s="289">
        <v>2000000</v>
      </c>
      <c r="R8" s="288">
        <v>5.29</v>
      </c>
      <c r="S8" s="288">
        <f>R8</f>
        <v>5.29</v>
      </c>
      <c r="T8" s="288">
        <f t="shared" ref="T8:U8" si="17">S8</f>
        <v>5.29</v>
      </c>
      <c r="U8" s="289">
        <f t="shared" si="17"/>
        <v>5.29</v>
      </c>
      <c r="V8" s="288">
        <v>0.68</v>
      </c>
      <c r="W8" s="288">
        <v>0.68</v>
      </c>
      <c r="X8" s="288">
        <v>0.68</v>
      </c>
      <c r="Y8" s="289">
        <v>0.68</v>
      </c>
      <c r="Z8" s="288">
        <v>0</v>
      </c>
      <c r="AA8" s="288">
        <v>0</v>
      </c>
      <c r="AB8" s="288">
        <v>0</v>
      </c>
      <c r="AC8" s="288">
        <v>0</v>
      </c>
      <c r="AD8" s="291">
        <v>0.4</v>
      </c>
      <c r="AE8" s="327">
        <v>0.2</v>
      </c>
      <c r="AF8" s="327">
        <v>0.1</v>
      </c>
      <c r="AG8" s="327">
        <v>0.1</v>
      </c>
      <c r="AH8" s="291">
        <v>0.2</v>
      </c>
      <c r="AI8" s="327">
        <v>1</v>
      </c>
      <c r="AJ8" s="327">
        <v>1</v>
      </c>
      <c r="AK8" s="327">
        <v>1</v>
      </c>
      <c r="AL8" s="291">
        <v>0.2</v>
      </c>
      <c r="AM8" s="327">
        <v>1</v>
      </c>
      <c r="AN8" s="327">
        <v>1</v>
      </c>
      <c r="AO8" s="356">
        <v>1</v>
      </c>
      <c r="AP8" s="329">
        <v>0.316</v>
      </c>
      <c r="AQ8" s="329">
        <v>0.316</v>
      </c>
      <c r="AR8" s="329">
        <v>0.316</v>
      </c>
      <c r="AS8" s="363">
        <v>0.316</v>
      </c>
      <c r="AT8" s="332">
        <v>13924</v>
      </c>
      <c r="AU8" s="332">
        <v>84539</v>
      </c>
      <c r="AV8" s="332">
        <v>84539</v>
      </c>
      <c r="AW8" s="332">
        <v>84539</v>
      </c>
      <c r="AX8" s="290">
        <f>AT8*0.05</f>
        <v>696.2</v>
      </c>
      <c r="AY8" s="288">
        <v>696.2</v>
      </c>
      <c r="AZ8" s="288">
        <v>696.2</v>
      </c>
      <c r="BA8" s="288">
        <v>696.2</v>
      </c>
      <c r="BB8" s="292">
        <v>0</v>
      </c>
      <c r="BC8" s="330">
        <v>0</v>
      </c>
      <c r="BD8" s="330">
        <v>0</v>
      </c>
      <c r="BE8" s="330">
        <v>0</v>
      </c>
      <c r="BF8" s="290">
        <v>0</v>
      </c>
      <c r="BG8" s="288">
        <v>0</v>
      </c>
      <c r="BH8" s="288">
        <v>0</v>
      </c>
      <c r="BI8" s="289">
        <v>0</v>
      </c>
      <c r="BJ8" s="288">
        <v>0</v>
      </c>
      <c r="BK8" s="288">
        <v>0</v>
      </c>
      <c r="BL8" s="288">
        <v>0</v>
      </c>
      <c r="BM8" s="289">
        <v>0</v>
      </c>
      <c r="BN8" s="288">
        <v>0</v>
      </c>
      <c r="BO8" s="288">
        <v>0</v>
      </c>
      <c r="BP8" s="288">
        <v>0</v>
      </c>
      <c r="BQ8" s="289">
        <v>0</v>
      </c>
      <c r="BR8" s="288">
        <v>8.4125058621280738E-2</v>
      </c>
      <c r="BS8" s="288">
        <v>8.8495575221238937E-2</v>
      </c>
      <c r="BT8" s="288">
        <v>8.8495575221238937E-2</v>
      </c>
      <c r="BU8" s="289">
        <v>8.8495575221238937E-2</v>
      </c>
      <c r="BV8" s="288">
        <v>30</v>
      </c>
      <c r="BW8" s="288">
        <v>30</v>
      </c>
      <c r="BX8" s="288">
        <v>30</v>
      </c>
      <c r="BY8" s="288">
        <v>30</v>
      </c>
      <c r="BZ8" s="288">
        <v>0</v>
      </c>
      <c r="CA8" s="288">
        <v>0</v>
      </c>
      <c r="CB8" s="288">
        <v>0</v>
      </c>
      <c r="CC8" s="288">
        <v>0</v>
      </c>
    </row>
    <row r="9" spans="1:81" s="376" customFormat="1" x14ac:dyDescent="0.35">
      <c r="A9" s="413"/>
      <c r="B9" s="366" t="s">
        <v>97</v>
      </c>
      <c r="C9" s="367" t="s">
        <v>184</v>
      </c>
      <c r="D9" s="368" t="s">
        <v>430</v>
      </c>
      <c r="E9" s="393" t="s">
        <v>486</v>
      </c>
      <c r="F9" s="6">
        <f t="shared" si="14"/>
        <v>4</v>
      </c>
      <c r="G9" s="370">
        <v>1</v>
      </c>
      <c r="H9" s="371" t="s">
        <v>426</v>
      </c>
      <c r="I9" s="371" t="s">
        <v>427</v>
      </c>
      <c r="J9" s="372">
        <f>J6</f>
        <v>3443530.9496236341</v>
      </c>
      <c r="K9" s="373" t="str">
        <f>B10</f>
        <v>Product/Reactant3</v>
      </c>
      <c r="L9" s="374">
        <v>0</v>
      </c>
      <c r="M9" s="374">
        <v>0</v>
      </c>
      <c r="N9" s="374">
        <v>0</v>
      </c>
      <c r="O9" s="374">
        <v>0</v>
      </c>
      <c r="P9" s="374">
        <v>0</v>
      </c>
      <c r="Q9" s="375">
        <v>2000000</v>
      </c>
      <c r="R9" s="376">
        <v>0.77400000000000002</v>
      </c>
      <c r="S9" s="376">
        <v>0.85399999999999998</v>
      </c>
      <c r="T9" s="376">
        <v>0.85399999999999998</v>
      </c>
      <c r="U9" s="375">
        <v>0.85399999999999998</v>
      </c>
      <c r="V9" s="376">
        <v>0</v>
      </c>
      <c r="W9" s="376">
        <v>0</v>
      </c>
      <c r="X9" s="376">
        <v>0</v>
      </c>
      <c r="Y9" s="375">
        <v>0</v>
      </c>
      <c r="Z9" s="376">
        <v>0</v>
      </c>
      <c r="AA9" s="376">
        <v>0</v>
      </c>
      <c r="AB9" s="376">
        <v>0</v>
      </c>
      <c r="AC9" s="375">
        <v>0</v>
      </c>
      <c r="AD9" s="377">
        <v>0</v>
      </c>
      <c r="AE9" s="378">
        <v>0</v>
      </c>
      <c r="AF9" s="378">
        <v>0</v>
      </c>
      <c r="AG9" s="378">
        <v>0</v>
      </c>
      <c r="AH9" s="377">
        <v>1</v>
      </c>
      <c r="AI9" s="378">
        <v>1</v>
      </c>
      <c r="AJ9" s="378">
        <v>1</v>
      </c>
      <c r="AK9" s="378">
        <v>1</v>
      </c>
      <c r="AL9" s="377">
        <v>1</v>
      </c>
      <c r="AM9" s="378">
        <v>1</v>
      </c>
      <c r="AN9" s="378">
        <v>1</v>
      </c>
      <c r="AO9" s="379">
        <v>1</v>
      </c>
      <c r="AP9" s="380">
        <v>0</v>
      </c>
      <c r="AQ9" s="380">
        <v>0</v>
      </c>
      <c r="AR9" s="380">
        <v>0</v>
      </c>
      <c r="AS9" s="381">
        <v>0</v>
      </c>
      <c r="AT9" s="382">
        <v>0</v>
      </c>
      <c r="AU9" s="382">
        <v>0</v>
      </c>
      <c r="AV9" s="382">
        <v>0</v>
      </c>
      <c r="AW9" s="382">
        <v>0</v>
      </c>
      <c r="AX9" s="383">
        <v>0</v>
      </c>
      <c r="AY9" s="376">
        <v>0</v>
      </c>
      <c r="AZ9" s="376">
        <v>0</v>
      </c>
      <c r="BA9" s="376">
        <v>0</v>
      </c>
      <c r="BB9" s="384">
        <v>2.1279194466572664E-2</v>
      </c>
      <c r="BC9" s="385">
        <v>2.1279194466572664E-2</v>
      </c>
      <c r="BD9" s="385">
        <v>2.1279194466572664E-2</v>
      </c>
      <c r="BE9" s="385">
        <v>2.1279194466572664E-2</v>
      </c>
      <c r="BF9" s="383">
        <v>0</v>
      </c>
      <c r="BG9" s="376">
        <v>0</v>
      </c>
      <c r="BH9" s="376">
        <v>0</v>
      </c>
      <c r="BI9" s="375">
        <v>0</v>
      </c>
      <c r="BJ9" s="376">
        <v>0</v>
      </c>
      <c r="BK9" s="376">
        <v>0</v>
      </c>
      <c r="BL9" s="376">
        <v>0</v>
      </c>
      <c r="BM9" s="375">
        <v>0</v>
      </c>
      <c r="BN9" s="376">
        <v>0</v>
      </c>
      <c r="BO9" s="376">
        <v>0</v>
      </c>
      <c r="BP9" s="376">
        <v>0</v>
      </c>
      <c r="BQ9" s="375">
        <v>0</v>
      </c>
      <c r="BR9" s="376">
        <v>0</v>
      </c>
      <c r="BS9" s="376">
        <v>0</v>
      </c>
      <c r="BT9" s="376">
        <v>0</v>
      </c>
      <c r="BU9" s="375">
        <v>0</v>
      </c>
      <c r="BV9" s="376">
        <v>0</v>
      </c>
      <c r="BW9" s="376">
        <v>0</v>
      </c>
      <c r="BX9" s="376">
        <v>0</v>
      </c>
      <c r="BY9" s="375">
        <v>0</v>
      </c>
      <c r="BZ9" s="376">
        <v>0</v>
      </c>
      <c r="CA9" s="376">
        <v>0</v>
      </c>
      <c r="CB9" s="376">
        <v>0</v>
      </c>
      <c r="CC9" s="376">
        <v>0</v>
      </c>
    </row>
    <row r="10" spans="1:81" s="376" customFormat="1" x14ac:dyDescent="0.35">
      <c r="A10" s="413"/>
      <c r="B10" s="366" t="s">
        <v>98</v>
      </c>
      <c r="C10" s="386" t="s">
        <v>119</v>
      </c>
      <c r="D10" s="368" t="s">
        <v>448</v>
      </c>
      <c r="E10" s="393" t="s">
        <v>86</v>
      </c>
      <c r="F10" s="6">
        <f t="shared" si="14"/>
        <v>5</v>
      </c>
      <c r="G10" s="370">
        <v>1</v>
      </c>
      <c r="H10" s="371" t="s">
        <v>375</v>
      </c>
      <c r="I10" s="371" t="s">
        <v>376</v>
      </c>
      <c r="J10" s="372">
        <f>J9/R9</f>
        <v>4449006.3948625764</v>
      </c>
      <c r="K10" s="373" t="str">
        <f>B34</f>
        <v>Reactant10</v>
      </c>
      <c r="L10" s="374">
        <v>0</v>
      </c>
      <c r="M10" s="374">
        <v>1</v>
      </c>
      <c r="N10" s="374">
        <v>0</v>
      </c>
      <c r="O10" s="374">
        <v>0</v>
      </c>
      <c r="P10" s="374">
        <v>0</v>
      </c>
      <c r="Q10" s="375">
        <v>2000000</v>
      </c>
      <c r="R10" s="376">
        <v>22</v>
      </c>
      <c r="S10" s="376">
        <v>22.02</v>
      </c>
      <c r="T10" s="376">
        <v>22.02</v>
      </c>
      <c r="U10" s="375">
        <v>22.02</v>
      </c>
      <c r="V10" s="376">
        <v>1.23</v>
      </c>
      <c r="W10" s="376">
        <v>1.232</v>
      </c>
      <c r="X10" s="376">
        <v>1.232</v>
      </c>
      <c r="Y10" s="375">
        <v>1.232</v>
      </c>
      <c r="Z10" s="376">
        <v>0</v>
      </c>
      <c r="AA10" s="376">
        <v>0</v>
      </c>
      <c r="AB10" s="376">
        <v>0</v>
      </c>
      <c r="AC10" s="376">
        <v>0</v>
      </c>
      <c r="AD10" s="377">
        <v>0.4</v>
      </c>
      <c r="AE10" s="378">
        <v>0.2</v>
      </c>
      <c r="AF10" s="378">
        <v>0.1</v>
      </c>
      <c r="AG10" s="378">
        <v>0.1</v>
      </c>
      <c r="AH10" s="377">
        <v>0.2</v>
      </c>
      <c r="AI10" s="378">
        <v>1</v>
      </c>
      <c r="AJ10" s="378">
        <v>1</v>
      </c>
      <c r="AK10" s="378">
        <v>1</v>
      </c>
      <c r="AL10" s="377">
        <v>0.2</v>
      </c>
      <c r="AM10" s="378">
        <v>1</v>
      </c>
      <c r="AN10" s="378">
        <v>1</v>
      </c>
      <c r="AO10" s="379">
        <v>1</v>
      </c>
      <c r="AP10" s="380">
        <v>1.31</v>
      </c>
      <c r="AQ10" s="380">
        <v>1.31</v>
      </c>
      <c r="AR10" s="380">
        <v>1.31</v>
      </c>
      <c r="AS10" s="381">
        <v>1.31</v>
      </c>
      <c r="AT10" s="382">
        <v>11190</v>
      </c>
      <c r="AU10" s="382">
        <f>AT10</f>
        <v>11190</v>
      </c>
      <c r="AV10" s="382">
        <f t="shared" ref="AV10:AW10" si="18">AU10</f>
        <v>11190</v>
      </c>
      <c r="AW10" s="382">
        <f t="shared" si="18"/>
        <v>11190</v>
      </c>
      <c r="AX10" s="387">
        <f>AT10*0.05</f>
        <v>559.5</v>
      </c>
      <c r="AY10" s="376">
        <v>3450</v>
      </c>
      <c r="AZ10" s="376">
        <v>3450</v>
      </c>
      <c r="BA10" s="376">
        <v>3450</v>
      </c>
      <c r="BB10" s="384">
        <v>0</v>
      </c>
      <c r="BC10" s="385">
        <v>0</v>
      </c>
      <c r="BD10" s="385">
        <v>0</v>
      </c>
      <c r="BE10" s="385">
        <v>0</v>
      </c>
      <c r="BF10" s="383">
        <v>0</v>
      </c>
      <c r="BG10" s="376">
        <v>0</v>
      </c>
      <c r="BH10" s="376">
        <v>0</v>
      </c>
      <c r="BI10" s="375">
        <v>0</v>
      </c>
      <c r="BJ10" s="376">
        <v>0</v>
      </c>
      <c r="BK10" s="376">
        <v>0</v>
      </c>
      <c r="BL10" s="376">
        <v>0</v>
      </c>
      <c r="BM10" s="375">
        <v>0</v>
      </c>
      <c r="BN10" s="376">
        <v>0</v>
      </c>
      <c r="BO10" s="376">
        <v>0</v>
      </c>
      <c r="BP10" s="376">
        <v>0</v>
      </c>
      <c r="BQ10" s="375">
        <v>0</v>
      </c>
      <c r="BR10" s="376">
        <v>8.4125058621280738E-2</v>
      </c>
      <c r="BS10" s="376">
        <f>BS8</f>
        <v>8.8495575221238937E-2</v>
      </c>
      <c r="BT10" s="376">
        <f t="shared" ref="BT10:BU10" si="19">BT8</f>
        <v>8.8495575221238937E-2</v>
      </c>
      <c r="BU10" s="375">
        <f t="shared" si="19"/>
        <v>8.8495575221238937E-2</v>
      </c>
      <c r="BV10" s="376">
        <v>30</v>
      </c>
      <c r="BW10" s="376">
        <v>30</v>
      </c>
      <c r="BX10" s="376">
        <v>30</v>
      </c>
      <c r="BY10" s="376">
        <v>30</v>
      </c>
      <c r="BZ10" s="376">
        <v>0</v>
      </c>
      <c r="CA10" s="376">
        <v>0</v>
      </c>
      <c r="CB10" s="376">
        <v>0</v>
      </c>
      <c r="CC10" s="376">
        <v>0</v>
      </c>
    </row>
    <row r="11" spans="1:81" x14ac:dyDescent="0.35">
      <c r="A11" s="413"/>
      <c r="B11" s="75" t="s">
        <v>97</v>
      </c>
      <c r="C11" s="76" t="s">
        <v>184</v>
      </c>
      <c r="D11" s="77" t="s">
        <v>432</v>
      </c>
      <c r="E11" s="396" t="s">
        <v>486</v>
      </c>
      <c r="F11" s="6">
        <f t="shared" si="14"/>
        <v>6</v>
      </c>
      <c r="G11" s="300">
        <v>1</v>
      </c>
      <c r="H11" s="302" t="s">
        <v>426</v>
      </c>
      <c r="I11" s="302" t="s">
        <v>427</v>
      </c>
      <c r="J11" s="303">
        <f>J6</f>
        <v>3443530.9496236341</v>
      </c>
      <c r="K11" s="314" t="str">
        <f>B12</f>
        <v>Product/Reactant4</v>
      </c>
      <c r="L11" s="322">
        <v>0</v>
      </c>
      <c r="M11" s="322">
        <v>0</v>
      </c>
      <c r="N11" s="322">
        <v>0</v>
      </c>
      <c r="O11" s="322">
        <v>0</v>
      </c>
      <c r="P11" s="322">
        <v>0</v>
      </c>
      <c r="Q11" s="295">
        <v>2000000</v>
      </c>
      <c r="R11" s="294">
        <v>1.546</v>
      </c>
      <c r="S11" s="294">
        <f t="shared" ref="S11:U12" si="20">R11</f>
        <v>1.546</v>
      </c>
      <c r="T11" s="294">
        <f t="shared" si="20"/>
        <v>1.546</v>
      </c>
      <c r="U11" s="295">
        <f t="shared" si="20"/>
        <v>1.546</v>
      </c>
      <c r="V11" s="294">
        <v>0</v>
      </c>
      <c r="W11" s="294">
        <v>0</v>
      </c>
      <c r="X11" s="294">
        <v>0</v>
      </c>
      <c r="Y11" s="295">
        <v>0</v>
      </c>
      <c r="Z11" s="294">
        <v>0</v>
      </c>
      <c r="AA11" s="294">
        <v>0</v>
      </c>
      <c r="AB11" s="294">
        <v>0</v>
      </c>
      <c r="AC11" s="295">
        <v>0</v>
      </c>
      <c r="AD11" s="297">
        <v>0</v>
      </c>
      <c r="AE11" s="328">
        <v>0</v>
      </c>
      <c r="AF11" s="328">
        <v>0</v>
      </c>
      <c r="AG11" s="328">
        <v>0</v>
      </c>
      <c r="AH11" s="297">
        <v>1</v>
      </c>
      <c r="AI11" s="328">
        <v>1</v>
      </c>
      <c r="AJ11" s="328">
        <v>1</v>
      </c>
      <c r="AK11" s="328">
        <v>1</v>
      </c>
      <c r="AL11" s="297">
        <v>1</v>
      </c>
      <c r="AM11" s="328">
        <v>1</v>
      </c>
      <c r="AN11" s="328">
        <v>1</v>
      </c>
      <c r="AO11" s="357">
        <v>1</v>
      </c>
      <c r="AP11" s="331">
        <v>0</v>
      </c>
      <c r="AQ11" s="331">
        <v>0</v>
      </c>
      <c r="AR11" s="331">
        <v>0</v>
      </c>
      <c r="AS11" s="365">
        <v>0</v>
      </c>
      <c r="AT11" s="362">
        <v>0</v>
      </c>
      <c r="AU11" s="294">
        <v>0</v>
      </c>
      <c r="AV11" s="294">
        <v>0</v>
      </c>
      <c r="AW11" s="294">
        <v>0</v>
      </c>
      <c r="AX11" s="296">
        <v>0</v>
      </c>
      <c r="AY11" s="294">
        <v>0</v>
      </c>
      <c r="AZ11" s="294">
        <v>0</v>
      </c>
      <c r="BA11" s="294">
        <v>0</v>
      </c>
      <c r="BB11" s="298">
        <v>2.1279194466572664E-2</v>
      </c>
      <c r="BC11" s="331">
        <v>2.1279194466572664E-2</v>
      </c>
      <c r="BD11" s="331">
        <v>2.1279194466572664E-2</v>
      </c>
      <c r="BE11" s="331">
        <v>2.1279194466572664E-2</v>
      </c>
      <c r="BF11" s="296">
        <v>0</v>
      </c>
      <c r="BG11" s="294">
        <v>0</v>
      </c>
      <c r="BH11" s="294">
        <v>0</v>
      </c>
      <c r="BI11" s="295">
        <v>0</v>
      </c>
      <c r="BJ11" s="294">
        <v>0</v>
      </c>
      <c r="BK11" s="294">
        <v>0</v>
      </c>
      <c r="BL11" s="294">
        <v>0</v>
      </c>
      <c r="BM11" s="295">
        <v>0</v>
      </c>
      <c r="BN11" s="294">
        <v>0</v>
      </c>
      <c r="BO11" s="294">
        <v>0</v>
      </c>
      <c r="BP11" s="294">
        <v>0</v>
      </c>
      <c r="BQ11" s="295">
        <v>0</v>
      </c>
      <c r="BR11" s="294">
        <v>0</v>
      </c>
      <c r="BS11" s="294">
        <v>0</v>
      </c>
      <c r="BT11" s="294">
        <v>0</v>
      </c>
      <c r="BU11" s="295">
        <v>0</v>
      </c>
      <c r="BV11" s="294">
        <v>0</v>
      </c>
      <c r="BW11" s="294">
        <v>0</v>
      </c>
      <c r="BX11" s="294">
        <v>0</v>
      </c>
      <c r="BY11" s="295">
        <v>0</v>
      </c>
      <c r="BZ11" s="294">
        <v>0</v>
      </c>
      <c r="CA11" s="294">
        <v>0</v>
      </c>
      <c r="CB11" s="294">
        <v>0</v>
      </c>
      <c r="CC11" s="294">
        <v>0</v>
      </c>
    </row>
    <row r="12" spans="1:81" x14ac:dyDescent="0.35">
      <c r="A12" s="413"/>
      <c r="B12" s="75" t="s">
        <v>431</v>
      </c>
      <c r="C12" s="82" t="s">
        <v>119</v>
      </c>
      <c r="D12" s="77" t="s">
        <v>446</v>
      </c>
      <c r="E12" s="396" t="s">
        <v>86</v>
      </c>
      <c r="F12" s="6">
        <f t="shared" si="14"/>
        <v>7</v>
      </c>
      <c r="G12" s="300">
        <v>1</v>
      </c>
      <c r="H12" s="302" t="s">
        <v>434</v>
      </c>
      <c r="I12" s="302" t="s">
        <v>435</v>
      </c>
      <c r="J12" s="306">
        <f>J11/R11</f>
        <v>2227380.9505974348</v>
      </c>
      <c r="K12" s="314" t="str">
        <f>B34</f>
        <v>Reactant10</v>
      </c>
      <c r="L12" s="322">
        <v>0</v>
      </c>
      <c r="M12" s="322">
        <v>1</v>
      </c>
      <c r="N12" s="322">
        <v>0</v>
      </c>
      <c r="O12" s="322">
        <v>0</v>
      </c>
      <c r="P12" s="322">
        <v>0</v>
      </c>
      <c r="Q12" s="295">
        <v>2000000</v>
      </c>
      <c r="R12" s="296">
        <v>6.2839999999999998</v>
      </c>
      <c r="S12" s="294">
        <f t="shared" si="20"/>
        <v>6.2839999999999998</v>
      </c>
      <c r="T12" s="294">
        <f t="shared" si="20"/>
        <v>6.2839999999999998</v>
      </c>
      <c r="U12" s="295">
        <f t="shared" si="20"/>
        <v>6.2839999999999998</v>
      </c>
      <c r="V12" s="294">
        <v>0</v>
      </c>
      <c r="W12" s="294">
        <v>0</v>
      </c>
      <c r="X12" s="294">
        <v>0</v>
      </c>
      <c r="Y12" s="295">
        <v>0</v>
      </c>
      <c r="Z12" s="294">
        <v>0</v>
      </c>
      <c r="AA12" s="294">
        <v>0</v>
      </c>
      <c r="AB12" s="294">
        <v>0</v>
      </c>
      <c r="AC12" s="295">
        <v>0</v>
      </c>
      <c r="AD12" s="297">
        <v>0</v>
      </c>
      <c r="AE12" s="328">
        <v>0</v>
      </c>
      <c r="AF12" s="328">
        <v>0</v>
      </c>
      <c r="AG12" s="328">
        <v>0</v>
      </c>
      <c r="AH12" s="297">
        <v>0.2</v>
      </c>
      <c r="AI12" s="328">
        <v>1</v>
      </c>
      <c r="AJ12" s="328">
        <v>1</v>
      </c>
      <c r="AK12" s="328">
        <v>1</v>
      </c>
      <c r="AL12" s="297">
        <v>0.2</v>
      </c>
      <c r="AM12" s="328">
        <v>1</v>
      </c>
      <c r="AN12" s="328">
        <v>1</v>
      </c>
      <c r="AO12" s="357">
        <v>1</v>
      </c>
      <c r="AP12" s="331">
        <v>0.36109999999999998</v>
      </c>
      <c r="AQ12" s="331">
        <v>0.37657000000000002</v>
      </c>
      <c r="AR12" s="331">
        <v>0.37657000000000002</v>
      </c>
      <c r="AS12" s="365">
        <v>0.37657000000000002</v>
      </c>
      <c r="AT12" s="334">
        <f>10515</f>
        <v>10515</v>
      </c>
      <c r="AU12" s="334">
        <v>6592</v>
      </c>
      <c r="AV12" s="334">
        <v>6592</v>
      </c>
      <c r="AW12" s="334">
        <v>6592</v>
      </c>
      <c r="AX12" s="296">
        <f>AT12*0.02</f>
        <v>210.3</v>
      </c>
      <c r="AY12" s="294">
        <v>120</v>
      </c>
      <c r="AZ12" s="294">
        <v>120</v>
      </c>
      <c r="BA12" s="294">
        <v>120</v>
      </c>
      <c r="BB12" s="298">
        <v>0.64</v>
      </c>
      <c r="BC12" s="331">
        <v>0.64</v>
      </c>
      <c r="BD12" s="331">
        <v>0.64</v>
      </c>
      <c r="BE12" s="331">
        <v>0.64</v>
      </c>
      <c r="BF12" s="296">
        <v>0</v>
      </c>
      <c r="BG12" s="294">
        <v>0</v>
      </c>
      <c r="BH12" s="294">
        <v>0</v>
      </c>
      <c r="BI12" s="295">
        <v>0</v>
      </c>
      <c r="BJ12" s="294">
        <v>0</v>
      </c>
      <c r="BK12" s="294">
        <v>0</v>
      </c>
      <c r="BL12" s="294">
        <v>0</v>
      </c>
      <c r="BM12" s="295">
        <v>0</v>
      </c>
      <c r="BN12" s="294">
        <v>0</v>
      </c>
      <c r="BO12" s="294">
        <v>0</v>
      </c>
      <c r="BP12" s="294">
        <v>0</v>
      </c>
      <c r="BQ12" s="295">
        <v>0</v>
      </c>
      <c r="BR12" s="294">
        <v>8.4125058621280738E-2</v>
      </c>
      <c r="BS12" s="294">
        <f>BS10</f>
        <v>8.8495575221238937E-2</v>
      </c>
      <c r="BT12" s="294">
        <f>BT10</f>
        <v>8.8495575221238937E-2</v>
      </c>
      <c r="BU12" s="295">
        <f>BU10</f>
        <v>8.8495575221238937E-2</v>
      </c>
      <c r="BV12" s="294">
        <v>0</v>
      </c>
      <c r="BW12" s="294">
        <v>0</v>
      </c>
      <c r="BX12" s="294">
        <v>0</v>
      </c>
      <c r="BY12" s="295">
        <v>0</v>
      </c>
      <c r="BZ12" s="294">
        <v>0</v>
      </c>
      <c r="CA12" s="294">
        <v>0</v>
      </c>
      <c r="CB12" s="294">
        <v>0</v>
      </c>
      <c r="CC12" s="294">
        <v>0</v>
      </c>
    </row>
    <row r="13" spans="1:81" s="69" customFormat="1" ht="14.5" customHeight="1" x14ac:dyDescent="0.35">
      <c r="A13" s="413"/>
      <c r="B13" s="66" t="s">
        <v>97</v>
      </c>
      <c r="C13" s="67" t="s">
        <v>184</v>
      </c>
      <c r="D13" s="68" t="s">
        <v>50</v>
      </c>
      <c r="E13" s="397" t="s">
        <v>482</v>
      </c>
      <c r="F13" s="6">
        <f t="shared" si="14"/>
        <v>8</v>
      </c>
      <c r="G13" s="102">
        <v>1</v>
      </c>
      <c r="H13" s="114" t="s">
        <v>373</v>
      </c>
      <c r="I13" s="114" t="s">
        <v>374</v>
      </c>
      <c r="J13" s="124">
        <v>0</v>
      </c>
      <c r="K13" s="315" t="str">
        <f>B15</f>
        <v>Product/Reactant5</v>
      </c>
      <c r="L13" s="124">
        <v>0</v>
      </c>
      <c r="M13" s="124">
        <v>0</v>
      </c>
      <c r="N13" s="124">
        <v>0</v>
      </c>
      <c r="O13" s="124">
        <v>0</v>
      </c>
      <c r="P13" s="124">
        <v>0</v>
      </c>
      <c r="Q13" s="133">
        <v>40000</v>
      </c>
      <c r="R13" s="69">
        <v>1.37</v>
      </c>
      <c r="S13" s="69">
        <v>1.37</v>
      </c>
      <c r="T13" s="69">
        <v>1.37</v>
      </c>
      <c r="U13" s="133">
        <v>1.37</v>
      </c>
      <c r="V13" s="69">
        <v>0</v>
      </c>
      <c r="W13" s="69">
        <v>0</v>
      </c>
      <c r="X13" s="69">
        <v>0</v>
      </c>
      <c r="Y13" s="133">
        <v>0</v>
      </c>
      <c r="Z13" s="69">
        <v>0</v>
      </c>
      <c r="AA13" s="69">
        <v>0</v>
      </c>
      <c r="AB13" s="69">
        <v>0</v>
      </c>
      <c r="AC13" s="133">
        <v>0</v>
      </c>
      <c r="AD13" s="71">
        <v>0</v>
      </c>
      <c r="AE13" s="71">
        <v>0</v>
      </c>
      <c r="AF13" s="71">
        <v>0</v>
      </c>
      <c r="AG13" s="142">
        <v>0</v>
      </c>
      <c r="AH13" s="71">
        <v>1</v>
      </c>
      <c r="AI13" s="71">
        <v>1</v>
      </c>
      <c r="AJ13" s="71">
        <v>1</v>
      </c>
      <c r="AK13" s="142">
        <v>1</v>
      </c>
      <c r="AL13" s="71">
        <v>1</v>
      </c>
      <c r="AM13" s="71">
        <v>1</v>
      </c>
      <c r="AN13" s="71">
        <v>1</v>
      </c>
      <c r="AO13" s="142">
        <v>1</v>
      </c>
      <c r="AP13" s="72">
        <v>0.5</v>
      </c>
      <c r="AQ13" s="72">
        <v>0.47</v>
      </c>
      <c r="AR13" s="72">
        <v>0.44999999999999996</v>
      </c>
      <c r="AS13" s="148">
        <v>0.43000000000000005</v>
      </c>
      <c r="AT13" s="69">
        <v>7000</v>
      </c>
      <c r="AU13" s="69">
        <v>6000</v>
      </c>
      <c r="AV13" s="69">
        <v>5000</v>
      </c>
      <c r="AW13" s="133">
        <v>4000</v>
      </c>
      <c r="AX13" s="69">
        <v>350</v>
      </c>
      <c r="AY13" s="69">
        <v>300</v>
      </c>
      <c r="AZ13" s="69">
        <v>250</v>
      </c>
      <c r="BA13" s="133">
        <v>200</v>
      </c>
      <c r="BB13" s="69">
        <v>0</v>
      </c>
      <c r="BC13" s="69">
        <v>0</v>
      </c>
      <c r="BD13" s="69">
        <v>0</v>
      </c>
      <c r="BE13" s="133">
        <v>0</v>
      </c>
      <c r="BF13" s="69">
        <v>0</v>
      </c>
      <c r="BG13" s="69">
        <v>0</v>
      </c>
      <c r="BH13" s="69">
        <v>0</v>
      </c>
      <c r="BI13" s="133">
        <v>0</v>
      </c>
      <c r="BJ13" s="69">
        <v>0</v>
      </c>
      <c r="BK13" s="69">
        <v>0</v>
      </c>
      <c r="BL13" s="69">
        <v>0</v>
      </c>
      <c r="BM13" s="133">
        <v>0</v>
      </c>
      <c r="BN13" s="69">
        <v>0</v>
      </c>
      <c r="BO13" s="69">
        <v>0</v>
      </c>
      <c r="BP13" s="69">
        <v>0</v>
      </c>
      <c r="BQ13" s="133">
        <v>0</v>
      </c>
      <c r="BR13" s="69">
        <v>0.10185220882315059</v>
      </c>
      <c r="BS13" s="69">
        <v>0.10185220882315059</v>
      </c>
      <c r="BT13" s="69">
        <v>0.10185220882315059</v>
      </c>
      <c r="BU13" s="133">
        <v>0.10185220882315059</v>
      </c>
      <c r="BV13" s="70">
        <v>20</v>
      </c>
      <c r="BW13" s="70">
        <v>20</v>
      </c>
      <c r="BX13" s="70">
        <v>20</v>
      </c>
      <c r="BY13" s="70">
        <v>20</v>
      </c>
      <c r="BZ13" s="158">
        <v>0.08</v>
      </c>
      <c r="CA13" s="158">
        <v>0.08</v>
      </c>
      <c r="CB13" s="158">
        <v>0.08</v>
      </c>
      <c r="CC13" s="158">
        <v>0.08</v>
      </c>
    </row>
    <row r="14" spans="1:81" s="69" customFormat="1" x14ac:dyDescent="0.35">
      <c r="A14" s="413"/>
      <c r="B14" s="66" t="s">
        <v>97</v>
      </c>
      <c r="C14" s="67" t="s">
        <v>184</v>
      </c>
      <c r="D14" s="68" t="s">
        <v>61</v>
      </c>
      <c r="E14" s="397" t="s">
        <v>86</v>
      </c>
      <c r="F14" s="6">
        <f t="shared" si="14"/>
        <v>9</v>
      </c>
      <c r="G14" s="102">
        <v>1</v>
      </c>
      <c r="H14" s="114" t="s">
        <v>373</v>
      </c>
      <c r="I14" s="114" t="s">
        <v>374</v>
      </c>
      <c r="J14" s="124">
        <v>0</v>
      </c>
      <c r="K14" s="315" t="str">
        <f>B15</f>
        <v>Product/Reactant5</v>
      </c>
      <c r="L14" s="124">
        <v>0</v>
      </c>
      <c r="M14" s="124">
        <v>0</v>
      </c>
      <c r="N14" s="124">
        <v>0</v>
      </c>
      <c r="O14" s="124">
        <v>0</v>
      </c>
      <c r="P14" s="124">
        <v>0</v>
      </c>
      <c r="Q14" s="133">
        <f>Q13</f>
        <v>40000</v>
      </c>
      <c r="R14" s="69">
        <v>1.37</v>
      </c>
      <c r="S14" s="69">
        <v>1.37</v>
      </c>
      <c r="T14" s="69">
        <v>1.37</v>
      </c>
      <c r="U14" s="133">
        <v>1.37</v>
      </c>
      <c r="V14" s="69">
        <v>0</v>
      </c>
      <c r="W14" s="69">
        <v>0</v>
      </c>
      <c r="X14" s="69">
        <v>0</v>
      </c>
      <c r="Y14" s="133">
        <v>0</v>
      </c>
      <c r="Z14" s="69">
        <v>0</v>
      </c>
      <c r="AA14" s="69">
        <v>0</v>
      </c>
      <c r="AB14" s="69">
        <v>0</v>
      </c>
      <c r="AC14" s="133">
        <v>0</v>
      </c>
      <c r="AD14" s="71">
        <v>0</v>
      </c>
      <c r="AE14" s="71">
        <v>0</v>
      </c>
      <c r="AF14" s="71">
        <v>0</v>
      </c>
      <c r="AG14" s="142">
        <v>0</v>
      </c>
      <c r="AH14" s="71">
        <v>1</v>
      </c>
      <c r="AI14" s="71">
        <v>1</v>
      </c>
      <c r="AJ14" s="71">
        <v>1</v>
      </c>
      <c r="AK14" s="142">
        <v>1</v>
      </c>
      <c r="AL14" s="71">
        <v>1</v>
      </c>
      <c r="AM14" s="71">
        <v>1</v>
      </c>
      <c r="AN14" s="71">
        <v>1</v>
      </c>
      <c r="AO14" s="142">
        <v>1</v>
      </c>
      <c r="AP14" s="73">
        <v>0</v>
      </c>
      <c r="AQ14" s="73">
        <v>0</v>
      </c>
      <c r="AR14" s="73">
        <v>0</v>
      </c>
      <c r="AS14" s="149">
        <v>0</v>
      </c>
      <c r="AT14" s="73">
        <v>0</v>
      </c>
      <c r="AU14" s="73">
        <v>0</v>
      </c>
      <c r="AV14" s="73">
        <v>0</v>
      </c>
      <c r="AW14" s="149">
        <v>0</v>
      </c>
      <c r="AX14" s="73">
        <v>0</v>
      </c>
      <c r="AY14" s="73">
        <v>0</v>
      </c>
      <c r="AZ14" s="73">
        <v>0</v>
      </c>
      <c r="BA14" s="149">
        <v>0</v>
      </c>
      <c r="BB14" s="73">
        <v>0.154</v>
      </c>
      <c r="BC14" s="73">
        <v>0.13100000000000001</v>
      </c>
      <c r="BD14" s="73">
        <v>9.7500000000000003E-2</v>
      </c>
      <c r="BE14" s="149">
        <v>6.4000000000000001E-2</v>
      </c>
      <c r="BF14" s="69">
        <v>0</v>
      </c>
      <c r="BG14" s="69">
        <v>0</v>
      </c>
      <c r="BH14" s="69">
        <v>0</v>
      </c>
      <c r="BI14" s="133">
        <v>0</v>
      </c>
      <c r="BJ14" s="69">
        <v>0</v>
      </c>
      <c r="BK14" s="69">
        <v>0</v>
      </c>
      <c r="BL14" s="69">
        <v>0</v>
      </c>
      <c r="BM14" s="133">
        <v>0</v>
      </c>
      <c r="BN14" s="69">
        <v>0</v>
      </c>
      <c r="BO14" s="69">
        <v>0</v>
      </c>
      <c r="BP14" s="69">
        <v>0</v>
      </c>
      <c r="BQ14" s="133">
        <v>0</v>
      </c>
      <c r="BR14" s="69">
        <v>0</v>
      </c>
      <c r="BS14" s="69">
        <v>0</v>
      </c>
      <c r="BT14" s="69">
        <v>0</v>
      </c>
      <c r="BU14" s="133">
        <v>0</v>
      </c>
      <c r="BV14" s="70">
        <v>20</v>
      </c>
      <c r="BW14" s="70">
        <v>20</v>
      </c>
      <c r="BX14" s="70">
        <v>20</v>
      </c>
      <c r="BY14" s="167">
        <v>20</v>
      </c>
      <c r="BZ14" s="158">
        <v>0.08</v>
      </c>
      <c r="CA14" s="158">
        <v>0.08</v>
      </c>
      <c r="CB14" s="158">
        <v>0.08</v>
      </c>
      <c r="CC14" s="158">
        <v>0.08</v>
      </c>
    </row>
    <row r="15" spans="1:81" s="69" customFormat="1" x14ac:dyDescent="0.35">
      <c r="A15" s="413"/>
      <c r="B15" s="66" t="s">
        <v>433</v>
      </c>
      <c r="C15" s="74" t="s">
        <v>119</v>
      </c>
      <c r="D15" s="68" t="s">
        <v>449</v>
      </c>
      <c r="E15" s="397" t="s">
        <v>86</v>
      </c>
      <c r="F15" s="6">
        <f t="shared" si="14"/>
        <v>10</v>
      </c>
      <c r="G15" s="102">
        <v>1</v>
      </c>
      <c r="H15" s="114" t="s">
        <v>375</v>
      </c>
      <c r="I15" s="114" t="s">
        <v>376</v>
      </c>
      <c r="J15" s="307">
        <f>(2.2/(19.9/3.6))*10^9</f>
        <v>397989949.74874377</v>
      </c>
      <c r="K15" s="315" t="str">
        <f>B34</f>
        <v>Reactant10</v>
      </c>
      <c r="L15" s="124">
        <v>0</v>
      </c>
      <c r="M15" s="124">
        <v>1</v>
      </c>
      <c r="N15" s="124">
        <v>0</v>
      </c>
      <c r="O15" s="124">
        <v>0</v>
      </c>
      <c r="P15" s="124">
        <v>0</v>
      </c>
      <c r="Q15" s="133">
        <v>20000</v>
      </c>
      <c r="R15" s="69">
        <v>5.26</v>
      </c>
      <c r="S15" s="69">
        <v>5.26</v>
      </c>
      <c r="T15" s="69">
        <v>5.26</v>
      </c>
      <c r="U15" s="133">
        <v>5.26</v>
      </c>
      <c r="V15" s="69">
        <v>0.68</v>
      </c>
      <c r="W15" s="69">
        <v>0.68</v>
      </c>
      <c r="X15" s="69">
        <v>0.68</v>
      </c>
      <c r="Y15" s="133">
        <v>0.68</v>
      </c>
      <c r="Z15" s="69">
        <v>0</v>
      </c>
      <c r="AA15" s="69">
        <v>0</v>
      </c>
      <c r="AB15" s="69">
        <v>0</v>
      </c>
      <c r="AC15" s="133">
        <v>0</v>
      </c>
      <c r="AD15" s="71">
        <v>0.4</v>
      </c>
      <c r="AE15" s="71">
        <v>0.2</v>
      </c>
      <c r="AF15" s="71">
        <v>0.1</v>
      </c>
      <c r="AG15" s="142">
        <v>0.1</v>
      </c>
      <c r="AH15" s="71">
        <v>0.2</v>
      </c>
      <c r="AI15" s="71">
        <v>1</v>
      </c>
      <c r="AJ15" s="71">
        <v>1</v>
      </c>
      <c r="AK15" s="142">
        <v>1</v>
      </c>
      <c r="AL15" s="71">
        <v>0.2</v>
      </c>
      <c r="AM15" s="71">
        <v>1</v>
      </c>
      <c r="AN15" s="71">
        <v>1</v>
      </c>
      <c r="AO15" s="142">
        <v>1</v>
      </c>
      <c r="AP15" s="72">
        <v>1.7</v>
      </c>
      <c r="AQ15" s="72">
        <v>1.7</v>
      </c>
      <c r="AR15" s="72">
        <v>1.7</v>
      </c>
      <c r="AS15" s="148">
        <v>1.7</v>
      </c>
      <c r="AT15" s="69">
        <f>469087*($J$15/8760)^(-0.342)</f>
        <v>11979.357938918523</v>
      </c>
      <c r="AU15" s="69">
        <f t="shared" ref="AU15:AW15" si="21">469087*($J$15/8760)^(-0.342)</f>
        <v>11979.357938918523</v>
      </c>
      <c r="AV15" s="69">
        <f t="shared" si="21"/>
        <v>11979.357938918523</v>
      </c>
      <c r="AW15" s="133">
        <f t="shared" si="21"/>
        <v>11979.357938918523</v>
      </c>
      <c r="AX15" s="69">
        <f>AT15*4%</f>
        <v>479.17431755674096</v>
      </c>
      <c r="AY15" s="69">
        <f>AU15*4%</f>
        <v>479.17431755674096</v>
      </c>
      <c r="AZ15" s="69">
        <f>AV15*4%</f>
        <v>479.17431755674096</v>
      </c>
      <c r="BA15" s="133">
        <f>AW15*4%</f>
        <v>479.17431755674096</v>
      </c>
      <c r="BB15" s="73">
        <v>0</v>
      </c>
      <c r="BC15" s="73">
        <v>0</v>
      </c>
      <c r="BD15" s="73">
        <v>0</v>
      </c>
      <c r="BE15" s="149">
        <v>0</v>
      </c>
      <c r="BF15" s="69">
        <v>0</v>
      </c>
      <c r="BG15" s="69">
        <v>0</v>
      </c>
      <c r="BH15" s="69">
        <v>0</v>
      </c>
      <c r="BI15" s="133">
        <v>0</v>
      </c>
      <c r="BJ15" s="69">
        <v>18.474666666666668</v>
      </c>
      <c r="BK15" s="69">
        <v>0</v>
      </c>
      <c r="BL15" s="69">
        <v>0</v>
      </c>
      <c r="BM15" s="133">
        <v>0</v>
      </c>
      <c r="BN15" s="69">
        <v>0</v>
      </c>
      <c r="BO15" s="69">
        <v>0</v>
      </c>
      <c r="BP15" s="69">
        <v>0</v>
      </c>
      <c r="BQ15" s="133">
        <v>0</v>
      </c>
      <c r="BR15" s="69">
        <f>1/11.3</f>
        <v>8.8495575221238937E-2</v>
      </c>
      <c r="BS15" s="69">
        <f t="shared" ref="BS15:BU15" si="22">1/11.3</f>
        <v>8.8495575221238937E-2</v>
      </c>
      <c r="BT15" s="69">
        <f t="shared" si="22"/>
        <v>8.8495575221238937E-2</v>
      </c>
      <c r="BU15" s="133">
        <f t="shared" si="22"/>
        <v>8.8495575221238937E-2</v>
      </c>
      <c r="BV15" s="70">
        <v>30</v>
      </c>
      <c r="BW15" s="70">
        <v>30</v>
      </c>
      <c r="BX15" s="70">
        <v>30</v>
      </c>
      <c r="BY15" s="167">
        <v>30</v>
      </c>
      <c r="BZ15" s="158">
        <v>0.08</v>
      </c>
      <c r="CA15" s="158">
        <v>0.08</v>
      </c>
      <c r="CB15" s="158">
        <v>0.08</v>
      </c>
      <c r="CC15" s="158">
        <v>0.08</v>
      </c>
    </row>
    <row r="16" spans="1:81" s="47" customFormat="1" x14ac:dyDescent="0.35">
      <c r="A16" s="413"/>
      <c r="B16" s="43" t="s">
        <v>97</v>
      </c>
      <c r="C16" s="44" t="s">
        <v>184</v>
      </c>
      <c r="D16" s="45" t="s">
        <v>296</v>
      </c>
      <c r="E16" s="398" t="s">
        <v>86</v>
      </c>
      <c r="F16" s="6">
        <f t="shared" si="14"/>
        <v>11</v>
      </c>
      <c r="G16" s="103">
        <v>1</v>
      </c>
      <c r="H16" s="115" t="s">
        <v>397</v>
      </c>
      <c r="I16" s="115" t="s">
        <v>398</v>
      </c>
      <c r="J16" s="308">
        <v>0</v>
      </c>
      <c r="K16" s="316" t="str">
        <f>B17</f>
        <v>Product/Reactant6</v>
      </c>
      <c r="L16" s="128">
        <v>0</v>
      </c>
      <c r="M16" s="128">
        <v>0</v>
      </c>
      <c r="N16" s="128">
        <v>0</v>
      </c>
      <c r="O16" s="128">
        <v>0</v>
      </c>
      <c r="P16" s="128">
        <v>0</v>
      </c>
      <c r="Q16" s="157">
        <v>40000</v>
      </c>
      <c r="R16" s="48">
        <v>1.7609999999999999</v>
      </c>
      <c r="S16" s="48">
        <v>1.7609999999999999</v>
      </c>
      <c r="T16" s="48">
        <v>1.7609999999999999</v>
      </c>
      <c r="U16" s="134">
        <v>1.7609999999999999</v>
      </c>
      <c r="V16" s="49">
        <v>0</v>
      </c>
      <c r="W16" s="49">
        <v>0</v>
      </c>
      <c r="X16" s="49">
        <v>0</v>
      </c>
      <c r="Y16" s="139">
        <v>0</v>
      </c>
      <c r="Z16" s="49">
        <v>0</v>
      </c>
      <c r="AA16" s="49">
        <v>0</v>
      </c>
      <c r="AB16" s="49">
        <v>0</v>
      </c>
      <c r="AC16" s="139">
        <v>0</v>
      </c>
      <c r="AD16" s="50">
        <v>0</v>
      </c>
      <c r="AE16" s="50">
        <v>0</v>
      </c>
      <c r="AF16" s="50">
        <v>0</v>
      </c>
      <c r="AG16" s="143">
        <v>0</v>
      </c>
      <c r="AH16" s="50">
        <v>1</v>
      </c>
      <c r="AI16" s="50">
        <v>1</v>
      </c>
      <c r="AJ16" s="50">
        <v>1</v>
      </c>
      <c r="AK16" s="143">
        <v>1</v>
      </c>
      <c r="AL16" s="50">
        <v>1</v>
      </c>
      <c r="AM16" s="50">
        <v>1</v>
      </c>
      <c r="AN16" s="50">
        <v>1</v>
      </c>
      <c r="AO16" s="143">
        <v>1</v>
      </c>
      <c r="AP16" s="53">
        <v>0</v>
      </c>
      <c r="AQ16" s="53">
        <v>0</v>
      </c>
      <c r="AR16" s="53">
        <v>0</v>
      </c>
      <c r="AS16" s="150">
        <v>0</v>
      </c>
      <c r="AT16" s="53">
        <v>0</v>
      </c>
      <c r="AU16" s="53">
        <v>0</v>
      </c>
      <c r="AV16" s="53">
        <v>0</v>
      </c>
      <c r="AW16" s="150">
        <v>0</v>
      </c>
      <c r="AX16" s="53">
        <v>0</v>
      </c>
      <c r="AY16" s="53">
        <v>0</v>
      </c>
      <c r="AZ16" s="53">
        <v>0</v>
      </c>
      <c r="BA16" s="150">
        <v>0</v>
      </c>
      <c r="BB16" s="54">
        <v>9.9959999999999993E-2</v>
      </c>
      <c r="BC16" s="54">
        <v>0.10436999999999999</v>
      </c>
      <c r="BD16" s="54">
        <v>0.11172</v>
      </c>
      <c r="BE16" s="156">
        <v>0.12053999999999998</v>
      </c>
      <c r="BF16" s="47">
        <v>0</v>
      </c>
      <c r="BG16" s="47">
        <v>0</v>
      </c>
      <c r="BH16" s="47">
        <v>0</v>
      </c>
      <c r="BI16" s="157">
        <v>0</v>
      </c>
      <c r="BJ16" s="47">
        <v>0</v>
      </c>
      <c r="BK16" s="47">
        <v>0</v>
      </c>
      <c r="BL16" s="47">
        <v>0</v>
      </c>
      <c r="BM16" s="157">
        <v>0</v>
      </c>
      <c r="BN16" s="47">
        <v>0</v>
      </c>
      <c r="BO16" s="47">
        <v>0</v>
      </c>
      <c r="BP16" s="47">
        <v>0</v>
      </c>
      <c r="BQ16" s="157">
        <v>0</v>
      </c>
      <c r="BR16" s="47">
        <v>0</v>
      </c>
      <c r="BS16" s="47">
        <v>0</v>
      </c>
      <c r="BT16" s="47">
        <v>0</v>
      </c>
      <c r="BU16" s="157">
        <v>0</v>
      </c>
      <c r="BV16" s="46">
        <v>0</v>
      </c>
      <c r="BW16" s="46">
        <v>0</v>
      </c>
      <c r="BX16" s="46">
        <v>0</v>
      </c>
      <c r="BY16" s="168">
        <v>0</v>
      </c>
      <c r="BZ16" s="50">
        <v>0.08</v>
      </c>
      <c r="CA16" s="50">
        <v>0.08</v>
      </c>
      <c r="CB16" s="50">
        <v>0.08</v>
      </c>
      <c r="CC16" s="50">
        <v>0.08</v>
      </c>
    </row>
    <row r="17" spans="1:81" s="47" customFormat="1" x14ac:dyDescent="0.35">
      <c r="A17" s="413"/>
      <c r="B17" s="43" t="s">
        <v>436</v>
      </c>
      <c r="C17" s="44" t="s">
        <v>119</v>
      </c>
      <c r="D17" s="45" t="s">
        <v>295</v>
      </c>
      <c r="E17" s="398" t="s">
        <v>86</v>
      </c>
      <c r="F17" s="6">
        <f t="shared" si="14"/>
        <v>12</v>
      </c>
      <c r="G17" s="103">
        <v>1</v>
      </c>
      <c r="H17" s="115" t="s">
        <v>375</v>
      </c>
      <c r="I17" s="115" t="s">
        <v>376</v>
      </c>
      <c r="J17" s="308">
        <f>(2.2/(19.9/3.6))*10^9</f>
        <v>397989949.74874377</v>
      </c>
      <c r="K17" s="316" t="str">
        <f>B34</f>
        <v>Reactant10</v>
      </c>
      <c r="L17" s="128">
        <v>0</v>
      </c>
      <c r="M17" s="128">
        <v>1</v>
      </c>
      <c r="N17" s="128">
        <v>1</v>
      </c>
      <c r="O17" s="128">
        <v>0</v>
      </c>
      <c r="P17" s="128">
        <v>0</v>
      </c>
      <c r="Q17" s="157">
        <v>20000</v>
      </c>
      <c r="R17" s="48">
        <v>12.288489999999999</v>
      </c>
      <c r="S17" s="48">
        <v>12.288489999999999</v>
      </c>
      <c r="T17" s="48">
        <v>12.288489999999999</v>
      </c>
      <c r="U17" s="134">
        <v>12.288489999999999</v>
      </c>
      <c r="V17" s="49">
        <v>0.84187420178799477</v>
      </c>
      <c r="W17" s="49">
        <v>0.84187420178799477</v>
      </c>
      <c r="X17" s="49">
        <v>0.84187420178799477</v>
      </c>
      <c r="Y17" s="139">
        <v>0.84187420178799477</v>
      </c>
      <c r="Z17" s="49">
        <v>0</v>
      </c>
      <c r="AA17" s="49">
        <v>0</v>
      </c>
      <c r="AB17" s="49">
        <v>0</v>
      </c>
      <c r="AC17" s="139">
        <v>0</v>
      </c>
      <c r="AD17" s="50">
        <v>0.4</v>
      </c>
      <c r="AE17" s="50">
        <v>0.2</v>
      </c>
      <c r="AF17" s="50">
        <v>0.1</v>
      </c>
      <c r="AG17" s="143">
        <v>0.1</v>
      </c>
      <c r="AH17" s="50">
        <v>0.2</v>
      </c>
      <c r="AI17" s="50">
        <v>1</v>
      </c>
      <c r="AJ17" s="50">
        <v>1</v>
      </c>
      <c r="AK17" s="143">
        <v>1</v>
      </c>
      <c r="AL17" s="50">
        <v>0.2</v>
      </c>
      <c r="AM17" s="50">
        <v>1</v>
      </c>
      <c r="AN17" s="50">
        <v>1</v>
      </c>
      <c r="AO17" s="143">
        <v>1</v>
      </c>
      <c r="AP17" s="51">
        <v>1.9322760000000001</v>
      </c>
      <c r="AQ17" s="51">
        <v>1.9322760000000001</v>
      </c>
      <c r="AR17" s="51">
        <v>1.9322760000000001</v>
      </c>
      <c r="AS17" s="151">
        <v>1.9322760000000001</v>
      </c>
      <c r="AT17" s="52">
        <f>10910.1*30976718*(($J17)/30976718)^0.69/$J17</f>
        <v>4944.1239872616607</v>
      </c>
      <c r="AU17" s="52">
        <f t="shared" ref="AU17:AW17" si="23">10910.1*30976718*(($J17)/30976718)^0.69/$J17</f>
        <v>4944.1239872616607</v>
      </c>
      <c r="AV17" s="52">
        <f t="shared" si="23"/>
        <v>4944.1239872616607</v>
      </c>
      <c r="AW17" s="155">
        <f t="shared" si="23"/>
        <v>4944.1239872616607</v>
      </c>
      <c r="AX17" s="53">
        <v>1880.02</v>
      </c>
      <c r="AY17" s="53">
        <v>1880.02</v>
      </c>
      <c r="AZ17" s="53">
        <v>1880.02</v>
      </c>
      <c r="BA17" s="150">
        <v>1880.02</v>
      </c>
      <c r="BB17" s="54">
        <v>0</v>
      </c>
      <c r="BC17" s="54">
        <v>0</v>
      </c>
      <c r="BD17" s="54">
        <v>0</v>
      </c>
      <c r="BE17" s="156">
        <v>0</v>
      </c>
      <c r="BF17" s="47">
        <v>0</v>
      </c>
      <c r="BG17" s="47">
        <v>0</v>
      </c>
      <c r="BH17" s="47">
        <v>0</v>
      </c>
      <c r="BI17" s="157">
        <v>0</v>
      </c>
      <c r="BJ17" s="47">
        <f t="shared" ref="BJ17" si="24">BJ15</f>
        <v>18.474666666666668</v>
      </c>
      <c r="BK17" s="47">
        <f>BK15</f>
        <v>0</v>
      </c>
      <c r="BL17" s="47">
        <f>BL15</f>
        <v>0</v>
      </c>
      <c r="BM17" s="157">
        <f>BM15</f>
        <v>0</v>
      </c>
      <c r="BN17" s="47">
        <v>0</v>
      </c>
      <c r="BO17" s="47">
        <v>0</v>
      </c>
      <c r="BP17" s="47">
        <v>0</v>
      </c>
      <c r="BQ17" s="157">
        <v>0</v>
      </c>
      <c r="BR17" s="47">
        <f>1/11.3</f>
        <v>8.8495575221238937E-2</v>
      </c>
      <c r="BS17" s="47">
        <f t="shared" ref="BS17:BU17" si="25">1/11.3</f>
        <v>8.8495575221238937E-2</v>
      </c>
      <c r="BT17" s="47">
        <f t="shared" si="25"/>
        <v>8.8495575221238937E-2</v>
      </c>
      <c r="BU17" s="157">
        <f t="shared" si="25"/>
        <v>8.8495575221238937E-2</v>
      </c>
      <c r="BV17" s="46">
        <v>30</v>
      </c>
      <c r="BW17" s="46">
        <v>30</v>
      </c>
      <c r="BX17" s="46">
        <v>30</v>
      </c>
      <c r="BY17" s="168">
        <v>30</v>
      </c>
      <c r="BZ17" s="50">
        <v>0.08</v>
      </c>
      <c r="CA17" s="50">
        <v>0.08</v>
      </c>
      <c r="CB17" s="50">
        <v>0.08</v>
      </c>
      <c r="CC17" s="50">
        <v>0.08</v>
      </c>
    </row>
    <row r="18" spans="1:81" s="59" customFormat="1" x14ac:dyDescent="0.35">
      <c r="A18" s="413"/>
      <c r="B18" s="55" t="s">
        <v>97</v>
      </c>
      <c r="C18" s="56" t="s">
        <v>285</v>
      </c>
      <c r="D18" s="57" t="s">
        <v>297</v>
      </c>
      <c r="E18" s="399" t="s">
        <v>86</v>
      </c>
      <c r="F18" s="6">
        <f t="shared" si="14"/>
        <v>13</v>
      </c>
      <c r="G18" s="104">
        <v>1</v>
      </c>
      <c r="H18" s="116" t="s">
        <v>381</v>
      </c>
      <c r="I18" s="116" t="s">
        <v>382</v>
      </c>
      <c r="J18" s="125">
        <v>0</v>
      </c>
      <c r="K18" s="317" t="str">
        <f>B20</f>
        <v>Product/Reactant7</v>
      </c>
      <c r="L18" s="125">
        <v>0</v>
      </c>
      <c r="M18" s="125">
        <v>0</v>
      </c>
      <c r="N18" s="125">
        <v>0</v>
      </c>
      <c r="O18" s="125">
        <v>0</v>
      </c>
      <c r="P18" s="125">
        <v>0</v>
      </c>
      <c r="Q18" s="135">
        <v>20000</v>
      </c>
      <c r="R18" s="59">
        <f t="shared" ref="R18:U18" si="26">32.5/12.3</f>
        <v>2.6422764227642275</v>
      </c>
      <c r="S18" s="59">
        <f t="shared" si="26"/>
        <v>2.6422764227642275</v>
      </c>
      <c r="T18" s="59">
        <f t="shared" si="26"/>
        <v>2.6422764227642275</v>
      </c>
      <c r="U18" s="135">
        <f t="shared" si="26"/>
        <v>2.6422764227642275</v>
      </c>
      <c r="V18" s="59">
        <v>0</v>
      </c>
      <c r="W18" s="59">
        <v>0</v>
      </c>
      <c r="X18" s="59">
        <v>0</v>
      </c>
      <c r="Y18" s="135">
        <v>0</v>
      </c>
      <c r="Z18" s="59">
        <v>0</v>
      </c>
      <c r="AA18" s="59">
        <v>0</v>
      </c>
      <c r="AB18" s="59">
        <v>0</v>
      </c>
      <c r="AC18" s="135">
        <v>0</v>
      </c>
      <c r="AD18" s="60">
        <v>0</v>
      </c>
      <c r="AE18" s="60">
        <v>0</v>
      </c>
      <c r="AF18" s="60">
        <v>0</v>
      </c>
      <c r="AG18" s="144">
        <v>0</v>
      </c>
      <c r="AH18" s="60">
        <v>1</v>
      </c>
      <c r="AI18" s="60">
        <v>1</v>
      </c>
      <c r="AJ18" s="60">
        <v>1</v>
      </c>
      <c r="AK18" s="144">
        <v>1</v>
      </c>
      <c r="AL18" s="60">
        <v>1</v>
      </c>
      <c r="AM18" s="60">
        <v>1</v>
      </c>
      <c r="AN18" s="60">
        <v>1</v>
      </c>
      <c r="AO18" s="144">
        <v>1</v>
      </c>
      <c r="AP18" s="61">
        <v>0</v>
      </c>
      <c r="AQ18" s="61">
        <v>0</v>
      </c>
      <c r="AR18" s="61">
        <v>0</v>
      </c>
      <c r="AS18" s="152">
        <v>0</v>
      </c>
      <c r="AT18" s="59">
        <v>0</v>
      </c>
      <c r="AU18" s="59">
        <v>0</v>
      </c>
      <c r="AV18" s="59">
        <v>0</v>
      </c>
      <c r="AW18" s="135">
        <v>0</v>
      </c>
      <c r="AX18" s="59">
        <v>0</v>
      </c>
      <c r="AY18" s="59">
        <v>0</v>
      </c>
      <c r="AZ18" s="59">
        <v>0</v>
      </c>
      <c r="BA18" s="135">
        <v>0</v>
      </c>
      <c r="BB18" s="59">
        <v>0</v>
      </c>
      <c r="BC18" s="59">
        <v>0</v>
      </c>
      <c r="BD18" s="59">
        <v>0</v>
      </c>
      <c r="BE18" s="135">
        <v>0</v>
      </c>
      <c r="BF18" s="59">
        <v>0.11849999999999999</v>
      </c>
      <c r="BG18" s="59">
        <v>0.11849999999999999</v>
      </c>
      <c r="BH18" s="59">
        <v>0.11849999999999999</v>
      </c>
      <c r="BI18" s="135">
        <v>0.11849999999999999</v>
      </c>
      <c r="BJ18" s="59">
        <v>0</v>
      </c>
      <c r="BK18" s="59">
        <v>0</v>
      </c>
      <c r="BL18" s="59">
        <v>0</v>
      </c>
      <c r="BM18" s="135">
        <v>0</v>
      </c>
      <c r="BN18" s="59">
        <v>0</v>
      </c>
      <c r="BO18" s="59">
        <v>0</v>
      </c>
      <c r="BP18" s="59">
        <v>0</v>
      </c>
      <c r="BQ18" s="135">
        <v>0</v>
      </c>
      <c r="BR18" s="59">
        <v>0</v>
      </c>
      <c r="BS18" s="59">
        <v>0</v>
      </c>
      <c r="BT18" s="59">
        <v>0</v>
      </c>
      <c r="BU18" s="135">
        <v>0</v>
      </c>
      <c r="BV18" s="58">
        <v>0</v>
      </c>
      <c r="BW18" s="58">
        <v>0</v>
      </c>
      <c r="BX18" s="58">
        <v>0</v>
      </c>
      <c r="BY18" s="162">
        <v>0</v>
      </c>
      <c r="BZ18" s="60">
        <v>0.08</v>
      </c>
      <c r="CA18" s="60">
        <v>0.08</v>
      </c>
      <c r="CB18" s="60">
        <v>0.08</v>
      </c>
      <c r="CC18" s="60">
        <v>0.08</v>
      </c>
    </row>
    <row r="19" spans="1:81" s="59" customFormat="1" x14ac:dyDescent="0.35">
      <c r="A19" s="413"/>
      <c r="B19" s="55" t="s">
        <v>97</v>
      </c>
      <c r="C19" s="62" t="s">
        <v>184</v>
      </c>
      <c r="D19" s="57" t="s">
        <v>302</v>
      </c>
      <c r="E19" s="399" t="s">
        <v>86</v>
      </c>
      <c r="F19" s="6">
        <f t="shared" si="14"/>
        <v>14</v>
      </c>
      <c r="G19" s="104">
        <v>1</v>
      </c>
      <c r="H19" s="116" t="s">
        <v>399</v>
      </c>
      <c r="I19" s="116" t="s">
        <v>402</v>
      </c>
      <c r="J19" s="125">
        <v>0</v>
      </c>
      <c r="K19" s="317" t="str">
        <f>B20</f>
        <v>Product/Reactant7</v>
      </c>
      <c r="L19" s="125">
        <v>0</v>
      </c>
      <c r="M19" s="125">
        <v>0</v>
      </c>
      <c r="N19" s="125">
        <v>0</v>
      </c>
      <c r="O19" s="125">
        <v>0</v>
      </c>
      <c r="P19" s="125">
        <v>0</v>
      </c>
      <c r="Q19" s="135">
        <v>20000</v>
      </c>
      <c r="R19" s="59">
        <f t="shared" ref="R19:U19" si="27">112.2/12.3</f>
        <v>9.1219512195121943</v>
      </c>
      <c r="S19" s="59">
        <f t="shared" si="27"/>
        <v>9.1219512195121943</v>
      </c>
      <c r="T19" s="59">
        <f t="shared" si="27"/>
        <v>9.1219512195121943</v>
      </c>
      <c r="U19" s="135">
        <f t="shared" si="27"/>
        <v>9.1219512195121943</v>
      </c>
      <c r="V19" s="59">
        <v>0</v>
      </c>
      <c r="W19" s="59">
        <v>0</v>
      </c>
      <c r="X19" s="59">
        <v>0</v>
      </c>
      <c r="Y19" s="135">
        <v>0</v>
      </c>
      <c r="Z19" s="59">
        <v>0</v>
      </c>
      <c r="AA19" s="59">
        <v>0</v>
      </c>
      <c r="AB19" s="59">
        <v>0</v>
      </c>
      <c r="AC19" s="135">
        <v>0</v>
      </c>
      <c r="AD19" s="60">
        <v>0</v>
      </c>
      <c r="AE19" s="60">
        <v>0</v>
      </c>
      <c r="AF19" s="60">
        <v>0</v>
      </c>
      <c r="AG19" s="144">
        <v>0</v>
      </c>
      <c r="AH19" s="60">
        <v>1</v>
      </c>
      <c r="AI19" s="60">
        <v>1</v>
      </c>
      <c r="AJ19" s="60">
        <v>1</v>
      </c>
      <c r="AK19" s="144">
        <v>1</v>
      </c>
      <c r="AL19" s="60">
        <v>1</v>
      </c>
      <c r="AM19" s="60">
        <v>1</v>
      </c>
      <c r="AN19" s="60">
        <v>1</v>
      </c>
      <c r="AO19" s="144">
        <v>1</v>
      </c>
      <c r="AP19" s="61">
        <v>0</v>
      </c>
      <c r="AQ19" s="61">
        <v>0</v>
      </c>
      <c r="AR19" s="61">
        <v>0</v>
      </c>
      <c r="AS19" s="152">
        <v>0</v>
      </c>
      <c r="AT19" s="59">
        <v>0</v>
      </c>
      <c r="AU19" s="59">
        <v>0</v>
      </c>
      <c r="AV19" s="59">
        <v>0</v>
      </c>
      <c r="AW19" s="135">
        <v>0</v>
      </c>
      <c r="AX19" s="59">
        <v>0</v>
      </c>
      <c r="AY19" s="59">
        <v>0</v>
      </c>
      <c r="AZ19" s="59">
        <v>0</v>
      </c>
      <c r="BA19" s="135">
        <v>0</v>
      </c>
      <c r="BB19" s="59">
        <v>9.2799999999999994E-2</v>
      </c>
      <c r="BC19" s="59">
        <v>9.2799999999999994E-2</v>
      </c>
      <c r="BD19" s="59">
        <v>9.2799999999999994E-2</v>
      </c>
      <c r="BE19" s="135">
        <v>9.2799999999999994E-2</v>
      </c>
      <c r="BF19" s="59">
        <v>0</v>
      </c>
      <c r="BG19" s="59">
        <v>0</v>
      </c>
      <c r="BH19" s="59">
        <v>0</v>
      </c>
      <c r="BI19" s="135">
        <v>0</v>
      </c>
      <c r="BJ19" s="59">
        <v>0</v>
      </c>
      <c r="BK19" s="59">
        <v>0</v>
      </c>
      <c r="BL19" s="59">
        <v>0</v>
      </c>
      <c r="BM19" s="135">
        <v>0</v>
      </c>
      <c r="BN19" s="59">
        <v>0</v>
      </c>
      <c r="BO19" s="59">
        <v>0</v>
      </c>
      <c r="BP19" s="59">
        <v>0</v>
      </c>
      <c r="BQ19" s="135">
        <v>0</v>
      </c>
      <c r="BR19" s="59">
        <v>0</v>
      </c>
      <c r="BS19" s="59">
        <v>0</v>
      </c>
      <c r="BT19" s="59">
        <v>0</v>
      </c>
      <c r="BU19" s="135">
        <v>0</v>
      </c>
      <c r="BV19" s="58">
        <v>0</v>
      </c>
      <c r="BW19" s="58">
        <v>0</v>
      </c>
      <c r="BX19" s="58">
        <v>0</v>
      </c>
      <c r="BY19" s="162">
        <v>0</v>
      </c>
      <c r="BZ19" s="60">
        <v>0.08</v>
      </c>
      <c r="CA19" s="60">
        <v>0.08</v>
      </c>
      <c r="CB19" s="60">
        <v>0.08</v>
      </c>
      <c r="CC19" s="60">
        <v>0.08</v>
      </c>
    </row>
    <row r="20" spans="1:81" s="59" customFormat="1" x14ac:dyDescent="0.35">
      <c r="A20" s="413"/>
      <c r="B20" s="55" t="s">
        <v>437</v>
      </c>
      <c r="C20" s="62" t="s">
        <v>184</v>
      </c>
      <c r="D20" s="57" t="s">
        <v>298</v>
      </c>
      <c r="E20" s="399" t="s">
        <v>86</v>
      </c>
      <c r="F20" s="6">
        <f t="shared" si="14"/>
        <v>15</v>
      </c>
      <c r="G20" s="104">
        <v>1</v>
      </c>
      <c r="H20" s="116" t="s">
        <v>397</v>
      </c>
      <c r="I20" s="116" t="s">
        <v>398</v>
      </c>
      <c r="J20" s="309">
        <v>0</v>
      </c>
      <c r="K20" s="317" t="str">
        <f>B21</f>
        <v>Product/Reactant8</v>
      </c>
      <c r="L20" s="125">
        <v>0</v>
      </c>
      <c r="M20" s="125">
        <v>1</v>
      </c>
      <c r="N20" s="125">
        <v>0</v>
      </c>
      <c r="O20" s="125">
        <v>0</v>
      </c>
      <c r="P20" s="125">
        <v>0</v>
      </c>
      <c r="Q20" s="135">
        <v>20000</v>
      </c>
      <c r="R20" s="59">
        <f t="shared" ref="R20:U20" si="28">12.3/7.9</f>
        <v>1.5569620253164558</v>
      </c>
      <c r="S20" s="59">
        <f t="shared" si="28"/>
        <v>1.5569620253164558</v>
      </c>
      <c r="T20" s="59">
        <f t="shared" si="28"/>
        <v>1.5569620253164558</v>
      </c>
      <c r="U20" s="135">
        <f t="shared" si="28"/>
        <v>1.5569620253164558</v>
      </c>
      <c r="V20" s="63">
        <v>0.4</v>
      </c>
      <c r="W20" s="63">
        <v>0.4</v>
      </c>
      <c r="X20" s="63">
        <v>0.4</v>
      </c>
      <c r="Y20" s="140">
        <v>0.4</v>
      </c>
      <c r="Z20" s="59">
        <v>0</v>
      </c>
      <c r="AA20" s="59">
        <v>0</v>
      </c>
      <c r="AB20" s="59">
        <v>0</v>
      </c>
      <c r="AC20" s="135">
        <v>0</v>
      </c>
      <c r="AD20" s="60">
        <v>0.2</v>
      </c>
      <c r="AE20" s="60">
        <v>0.2</v>
      </c>
      <c r="AF20" s="60">
        <v>0.2</v>
      </c>
      <c r="AG20" s="144">
        <v>0.2</v>
      </c>
      <c r="AH20" s="60">
        <v>1</v>
      </c>
      <c r="AI20" s="60">
        <v>1</v>
      </c>
      <c r="AJ20" s="60">
        <v>1</v>
      </c>
      <c r="AK20" s="144">
        <v>1</v>
      </c>
      <c r="AL20" s="60">
        <v>1</v>
      </c>
      <c r="AM20" s="60">
        <v>1</v>
      </c>
      <c r="AN20" s="60">
        <v>1</v>
      </c>
      <c r="AO20" s="144">
        <v>1</v>
      </c>
      <c r="AP20" s="64">
        <v>9.1999999999999993</v>
      </c>
      <c r="AQ20" s="64">
        <v>9.1999999999999993</v>
      </c>
      <c r="AR20" s="64">
        <v>9.1999999999999993</v>
      </c>
      <c r="AS20" s="153">
        <v>9.1999999999999993</v>
      </c>
      <c r="AT20" s="59">
        <v>13440</v>
      </c>
      <c r="AU20" s="59">
        <v>13440</v>
      </c>
      <c r="AV20" s="59">
        <v>13440</v>
      </c>
      <c r="AW20" s="135">
        <v>13440</v>
      </c>
      <c r="AX20" s="59">
        <v>1080</v>
      </c>
      <c r="AY20" s="59">
        <v>1080</v>
      </c>
      <c r="AZ20" s="59">
        <v>1080</v>
      </c>
      <c r="BA20" s="135">
        <v>1080</v>
      </c>
      <c r="BB20" s="59">
        <v>0</v>
      </c>
      <c r="BC20" s="59">
        <v>0</v>
      </c>
      <c r="BD20" s="59">
        <v>0</v>
      </c>
      <c r="BE20" s="135">
        <v>0</v>
      </c>
      <c r="BF20" s="59">
        <v>0</v>
      </c>
      <c r="BG20" s="59">
        <v>0</v>
      </c>
      <c r="BH20" s="59">
        <v>0</v>
      </c>
      <c r="BI20" s="135">
        <v>0</v>
      </c>
      <c r="BJ20" s="59">
        <v>12.323</v>
      </c>
      <c r="BK20" s="59">
        <v>0</v>
      </c>
      <c r="BL20" s="59">
        <v>0</v>
      </c>
      <c r="BM20" s="135">
        <v>0</v>
      </c>
      <c r="BN20" s="59">
        <v>0</v>
      </c>
      <c r="BO20" s="59">
        <v>0</v>
      </c>
      <c r="BP20" s="59">
        <v>0</v>
      </c>
      <c r="BQ20" s="135">
        <v>0</v>
      </c>
      <c r="BR20" s="59">
        <f>(BZ20*(1+BZ20)^BV20)/((1+BZ20)^BV20-1)</f>
        <v>9.3678779051968114E-2</v>
      </c>
      <c r="BS20" s="59">
        <f t="shared" ref="BS20:BU20" si="29">(CA20*(1+CA20)^BW20)/((1+CA20)^BW20-1)</f>
        <v>9.3678779051968114E-2</v>
      </c>
      <c r="BT20" s="59">
        <f t="shared" si="29"/>
        <v>9.3678779051968114E-2</v>
      </c>
      <c r="BU20" s="135">
        <f t="shared" si="29"/>
        <v>9.3678779051968114E-2</v>
      </c>
      <c r="BV20" s="58">
        <v>25</v>
      </c>
      <c r="BW20" s="58">
        <v>25</v>
      </c>
      <c r="BX20" s="58">
        <v>25</v>
      </c>
      <c r="BY20" s="162">
        <v>25</v>
      </c>
      <c r="BZ20" s="60">
        <v>0.08</v>
      </c>
      <c r="CA20" s="60">
        <v>0.08</v>
      </c>
      <c r="CB20" s="60">
        <v>0.08</v>
      </c>
      <c r="CC20" s="60">
        <v>0.08</v>
      </c>
    </row>
    <row r="21" spans="1:81" s="59" customFormat="1" x14ac:dyDescent="0.35">
      <c r="A21" s="413"/>
      <c r="B21" s="55" t="s">
        <v>438</v>
      </c>
      <c r="C21" s="56" t="s">
        <v>119</v>
      </c>
      <c r="D21" s="57" t="s">
        <v>301</v>
      </c>
      <c r="E21" s="399" t="s">
        <v>86</v>
      </c>
      <c r="F21" s="6">
        <f t="shared" si="14"/>
        <v>16</v>
      </c>
      <c r="G21" s="104">
        <v>1</v>
      </c>
      <c r="H21" s="116" t="s">
        <v>400</v>
      </c>
      <c r="I21" s="116" t="s">
        <v>401</v>
      </c>
      <c r="J21" s="309">
        <f>(2.2/(32.3/3.6))*10^9</f>
        <v>245201238.39009291</v>
      </c>
      <c r="K21" s="317" t="str">
        <f>B34</f>
        <v>Reactant10</v>
      </c>
      <c r="L21" s="125">
        <v>0</v>
      </c>
      <c r="M21" s="125">
        <v>0</v>
      </c>
      <c r="N21" s="125">
        <v>0</v>
      </c>
      <c r="O21" s="125">
        <v>0</v>
      </c>
      <c r="P21" s="125">
        <v>0</v>
      </c>
      <c r="Q21" s="135">
        <v>40000</v>
      </c>
      <c r="R21" s="59">
        <f t="shared" ref="R21:U21" si="30">1/0.014</f>
        <v>71.428571428571431</v>
      </c>
      <c r="S21" s="59">
        <f t="shared" si="30"/>
        <v>71.428571428571431</v>
      </c>
      <c r="T21" s="59">
        <f t="shared" si="30"/>
        <v>71.428571428571431</v>
      </c>
      <c r="U21" s="135">
        <f t="shared" si="30"/>
        <v>71.428571428571431</v>
      </c>
      <c r="V21" s="59">
        <v>0</v>
      </c>
      <c r="W21" s="59">
        <v>0</v>
      </c>
      <c r="X21" s="59">
        <v>0</v>
      </c>
      <c r="Y21" s="135">
        <v>0</v>
      </c>
      <c r="Z21" s="59">
        <v>0</v>
      </c>
      <c r="AA21" s="59">
        <v>0</v>
      </c>
      <c r="AB21" s="59">
        <v>0</v>
      </c>
      <c r="AC21" s="135">
        <v>0</v>
      </c>
      <c r="AD21" s="60">
        <v>0</v>
      </c>
      <c r="AE21" s="60">
        <v>0</v>
      </c>
      <c r="AF21" s="60">
        <v>0</v>
      </c>
      <c r="AG21" s="144">
        <v>0</v>
      </c>
      <c r="AH21" s="60">
        <v>1</v>
      </c>
      <c r="AI21" s="60">
        <v>1</v>
      </c>
      <c r="AJ21" s="60">
        <v>1</v>
      </c>
      <c r="AK21" s="144">
        <v>1</v>
      </c>
      <c r="AL21" s="60">
        <v>1</v>
      </c>
      <c r="AM21" s="60">
        <v>1</v>
      </c>
      <c r="AN21" s="60">
        <v>1</v>
      </c>
      <c r="AO21" s="144">
        <v>1</v>
      </c>
      <c r="AP21" s="61">
        <v>9.8000000000000004E-2</v>
      </c>
      <c r="AQ21" s="61">
        <v>9.8000000000000004E-2</v>
      </c>
      <c r="AR21" s="61">
        <v>9.8000000000000004E-2</v>
      </c>
      <c r="AS21" s="152">
        <v>9.8000000000000004E-2</v>
      </c>
      <c r="AT21" s="59">
        <v>3995</v>
      </c>
      <c r="AU21" s="59">
        <v>3995</v>
      </c>
      <c r="AV21" s="59">
        <v>3995</v>
      </c>
      <c r="AW21" s="135">
        <v>3995</v>
      </c>
      <c r="AX21" s="59">
        <v>799</v>
      </c>
      <c r="AY21" s="59">
        <v>799</v>
      </c>
      <c r="AZ21" s="59">
        <v>799</v>
      </c>
      <c r="BA21" s="135">
        <v>799</v>
      </c>
      <c r="BB21" s="59">
        <v>0</v>
      </c>
      <c r="BC21" s="59">
        <v>0</v>
      </c>
      <c r="BD21" s="59">
        <v>0</v>
      </c>
      <c r="BE21" s="135">
        <v>0</v>
      </c>
      <c r="BF21" s="59">
        <v>0</v>
      </c>
      <c r="BG21" s="59">
        <v>0</v>
      </c>
      <c r="BH21" s="59">
        <v>0</v>
      </c>
      <c r="BI21" s="135">
        <v>0</v>
      </c>
      <c r="BJ21" s="59">
        <v>2.3748999999999998</v>
      </c>
      <c r="BK21" s="59">
        <v>0</v>
      </c>
      <c r="BL21" s="59">
        <v>0</v>
      </c>
      <c r="BM21" s="135">
        <v>0</v>
      </c>
      <c r="BN21" s="59">
        <v>0</v>
      </c>
      <c r="BO21" s="59">
        <v>0</v>
      </c>
      <c r="BP21" s="59">
        <v>0</v>
      </c>
      <c r="BQ21" s="135">
        <v>0</v>
      </c>
      <c r="BR21" s="59">
        <f>IF(BV21&lt;&gt;0,(BZ21*(1+BZ21)^BV21)/((1+BZ21)^BV21-1),0)</f>
        <v>0.10185220882315059</v>
      </c>
      <c r="BS21" s="59">
        <f t="shared" ref="BS21:BU21" si="31">IF(BW21&lt;&gt;0,(CA21*(1+CA21)^BW21)/((1+CA21)^BW21-1),0)</f>
        <v>0.10185220882315059</v>
      </c>
      <c r="BT21" s="59">
        <f t="shared" si="31"/>
        <v>0.10185220882315059</v>
      </c>
      <c r="BU21" s="135">
        <f t="shared" si="31"/>
        <v>0.10185220882315059</v>
      </c>
      <c r="BV21" s="58">
        <v>20</v>
      </c>
      <c r="BW21" s="58">
        <v>20</v>
      </c>
      <c r="BX21" s="58">
        <v>20</v>
      </c>
      <c r="BY21" s="162">
        <v>20</v>
      </c>
      <c r="BZ21" s="60">
        <v>0.08</v>
      </c>
      <c r="CA21" s="60">
        <v>0.08</v>
      </c>
      <c r="CB21" s="60">
        <v>0.08</v>
      </c>
      <c r="CC21" s="60">
        <v>0.08</v>
      </c>
    </row>
    <row r="22" spans="1:81" s="78" customFormat="1" x14ac:dyDescent="0.35">
      <c r="A22" s="413"/>
      <c r="B22" s="75" t="s">
        <v>97</v>
      </c>
      <c r="C22" s="82" t="s">
        <v>285</v>
      </c>
      <c r="D22" s="77" t="s">
        <v>360</v>
      </c>
      <c r="E22" s="396" t="s">
        <v>86</v>
      </c>
      <c r="F22" s="6">
        <f t="shared" si="14"/>
        <v>17</v>
      </c>
      <c r="G22" s="105">
        <v>1</v>
      </c>
      <c r="H22" s="117" t="s">
        <v>381</v>
      </c>
      <c r="I22" s="117" t="s">
        <v>382</v>
      </c>
      <c r="J22" s="126">
        <v>0</v>
      </c>
      <c r="K22" s="318" t="str">
        <f>B28</f>
        <v>Product/Reactant9</v>
      </c>
      <c r="L22" s="126">
        <v>0</v>
      </c>
      <c r="M22" s="126">
        <v>0</v>
      </c>
      <c r="N22" s="126">
        <v>0</v>
      </c>
      <c r="O22" s="126">
        <v>0</v>
      </c>
      <c r="P22" s="126">
        <v>0</v>
      </c>
      <c r="Q22" s="136">
        <f>Q14</f>
        <v>40000</v>
      </c>
      <c r="R22" s="78">
        <v>0</v>
      </c>
      <c r="S22" s="78">
        <v>0</v>
      </c>
      <c r="T22" s="78">
        <v>0</v>
      </c>
      <c r="U22" s="136">
        <v>0</v>
      </c>
      <c r="V22" s="78">
        <v>0</v>
      </c>
      <c r="W22" s="78">
        <v>0</v>
      </c>
      <c r="X22" s="78">
        <v>0</v>
      </c>
      <c r="Y22" s="136">
        <v>0</v>
      </c>
      <c r="Z22" s="78">
        <v>0</v>
      </c>
      <c r="AA22" s="78">
        <v>0</v>
      </c>
      <c r="AB22" s="78">
        <v>0</v>
      </c>
      <c r="AC22" s="136">
        <v>0</v>
      </c>
      <c r="AD22" s="80">
        <v>0</v>
      </c>
      <c r="AE22" s="80">
        <v>0</v>
      </c>
      <c r="AF22" s="80">
        <v>0</v>
      </c>
      <c r="AG22" s="145">
        <v>0</v>
      </c>
      <c r="AH22" s="80">
        <v>1</v>
      </c>
      <c r="AI22" s="80">
        <v>1</v>
      </c>
      <c r="AJ22" s="80">
        <v>1</v>
      </c>
      <c r="AK22" s="145">
        <v>1</v>
      </c>
      <c r="AL22" s="80">
        <v>1</v>
      </c>
      <c r="AM22" s="80">
        <v>1</v>
      </c>
      <c r="AN22" s="80">
        <v>1</v>
      </c>
      <c r="AO22" s="145">
        <v>1</v>
      </c>
      <c r="AP22" s="81">
        <v>0</v>
      </c>
      <c r="AQ22" s="81">
        <v>0</v>
      </c>
      <c r="AR22" s="81">
        <v>0</v>
      </c>
      <c r="AS22" s="154">
        <v>0</v>
      </c>
      <c r="AT22" s="78">
        <v>0</v>
      </c>
      <c r="AU22" s="78">
        <v>0</v>
      </c>
      <c r="AV22" s="78">
        <v>0</v>
      </c>
      <c r="AW22" s="136">
        <v>0</v>
      </c>
      <c r="AX22" s="78">
        <v>0</v>
      </c>
      <c r="AY22" s="78">
        <v>0</v>
      </c>
      <c r="AZ22" s="78">
        <v>0</v>
      </c>
      <c r="BA22" s="136">
        <v>0</v>
      </c>
      <c r="BB22" s="78">
        <v>0</v>
      </c>
      <c r="BC22" s="78">
        <v>0</v>
      </c>
      <c r="BD22" s="78">
        <v>0</v>
      </c>
      <c r="BE22" s="136">
        <v>0</v>
      </c>
      <c r="BF22" s="78">
        <v>0.11849999999999999</v>
      </c>
      <c r="BG22" s="78">
        <v>0.11849999999999999</v>
      </c>
      <c r="BH22" s="78">
        <v>0.11849999999999999</v>
      </c>
      <c r="BI22" s="136">
        <v>0.11849999999999999</v>
      </c>
      <c r="BJ22" s="78">
        <v>0</v>
      </c>
      <c r="BK22" s="78">
        <v>0</v>
      </c>
      <c r="BL22" s="78">
        <v>0</v>
      </c>
      <c r="BM22" s="136">
        <v>0</v>
      </c>
      <c r="BN22" s="78">
        <v>0</v>
      </c>
      <c r="BO22" s="78">
        <v>0</v>
      </c>
      <c r="BP22" s="78">
        <v>0</v>
      </c>
      <c r="BQ22" s="136">
        <v>0</v>
      </c>
      <c r="BR22" s="78">
        <f t="shared" ref="BR22:BR24" si="32">IF(BV22&lt;&gt;0,(BZ22*(1+BZ22)^BV22)/((1+BZ22)^BV22-1),0)</f>
        <v>0</v>
      </c>
      <c r="BS22" s="78">
        <f t="shared" ref="BS22:BS24" si="33">IF(BW22&lt;&gt;0,(CA22*(1+CA22)^BW22)/((1+CA22)^BW22-1),0)</f>
        <v>0</v>
      </c>
      <c r="BT22" s="78">
        <f t="shared" ref="BT22:BT24" si="34">IF(BX22&lt;&gt;0,(CB22*(1+CB22)^BX22)/((1+CB22)^BX22-1),0)</f>
        <v>0</v>
      </c>
      <c r="BU22" s="136">
        <f t="shared" ref="BU22:BU24" si="35">IF(BY22&lt;&gt;0,(CC22*(1+CC22)^BY22)/((1+CC22)^BY22-1),0)</f>
        <v>0</v>
      </c>
      <c r="BV22" s="79">
        <v>0</v>
      </c>
      <c r="BW22" s="79">
        <v>0</v>
      </c>
      <c r="BX22" s="79">
        <v>0</v>
      </c>
      <c r="BY22" s="163">
        <v>0</v>
      </c>
      <c r="BZ22" s="79">
        <v>0</v>
      </c>
      <c r="CA22" s="79">
        <v>0</v>
      </c>
      <c r="CB22" s="79">
        <v>0</v>
      </c>
      <c r="CC22" s="79">
        <v>0</v>
      </c>
    </row>
    <row r="23" spans="1:81" s="78" customFormat="1" x14ac:dyDescent="0.35">
      <c r="A23" s="413"/>
      <c r="B23" s="75" t="s">
        <v>97</v>
      </c>
      <c r="C23" s="76" t="s">
        <v>184</v>
      </c>
      <c r="D23" s="77" t="s">
        <v>288</v>
      </c>
      <c r="E23" s="396" t="s">
        <v>86</v>
      </c>
      <c r="F23" s="6">
        <f t="shared" si="14"/>
        <v>18</v>
      </c>
      <c r="G23" s="105">
        <v>1</v>
      </c>
      <c r="H23" s="117" t="s">
        <v>377</v>
      </c>
      <c r="I23" s="117" t="s">
        <v>378</v>
      </c>
      <c r="J23" s="126">
        <v>0</v>
      </c>
      <c r="K23" s="318" t="str">
        <f>B27</f>
        <v>Product/Reactant9</v>
      </c>
      <c r="L23" s="126">
        <v>0</v>
      </c>
      <c r="M23" s="126">
        <v>0</v>
      </c>
      <c r="N23" s="126">
        <v>0</v>
      </c>
      <c r="O23" s="126">
        <v>0</v>
      </c>
      <c r="P23" s="126">
        <v>0</v>
      </c>
      <c r="Q23" s="136">
        <v>20000</v>
      </c>
      <c r="R23" s="78">
        <v>2.21</v>
      </c>
      <c r="S23" s="78">
        <v>2.21</v>
      </c>
      <c r="T23" s="78">
        <v>2.21</v>
      </c>
      <c r="U23" s="136">
        <v>2.21</v>
      </c>
      <c r="V23" s="78">
        <v>0</v>
      </c>
      <c r="W23" s="78">
        <v>0</v>
      </c>
      <c r="X23" s="78">
        <v>0</v>
      </c>
      <c r="Y23" s="136">
        <v>0</v>
      </c>
      <c r="Z23" s="78">
        <v>0</v>
      </c>
      <c r="AA23" s="78">
        <v>0</v>
      </c>
      <c r="AB23" s="78">
        <v>0</v>
      </c>
      <c r="AC23" s="136">
        <v>0</v>
      </c>
      <c r="AD23" s="80">
        <v>0</v>
      </c>
      <c r="AE23" s="80">
        <v>0</v>
      </c>
      <c r="AF23" s="80">
        <v>0</v>
      </c>
      <c r="AG23" s="145">
        <v>0</v>
      </c>
      <c r="AH23" s="80">
        <v>1</v>
      </c>
      <c r="AI23" s="80">
        <v>1</v>
      </c>
      <c r="AJ23" s="80">
        <v>1</v>
      </c>
      <c r="AK23" s="145">
        <v>1</v>
      </c>
      <c r="AL23" s="80">
        <v>1</v>
      </c>
      <c r="AM23" s="80">
        <v>1</v>
      </c>
      <c r="AN23" s="80">
        <v>1</v>
      </c>
      <c r="AO23" s="145">
        <v>1</v>
      </c>
      <c r="AP23" s="81">
        <v>0</v>
      </c>
      <c r="AQ23" s="81">
        <v>0</v>
      </c>
      <c r="AR23" s="81">
        <v>0</v>
      </c>
      <c r="AS23" s="154">
        <v>0</v>
      </c>
      <c r="AT23" s="78">
        <v>0</v>
      </c>
      <c r="AU23" s="78">
        <v>0</v>
      </c>
      <c r="AV23" s="78">
        <v>0</v>
      </c>
      <c r="AW23" s="136">
        <v>0</v>
      </c>
      <c r="AX23" s="78">
        <v>0</v>
      </c>
      <c r="AY23" s="78">
        <v>0</v>
      </c>
      <c r="AZ23" s="78">
        <v>0</v>
      </c>
      <c r="BA23" s="136">
        <v>0</v>
      </c>
      <c r="BB23" s="78">
        <v>0.14244999999999999</v>
      </c>
      <c r="BC23" s="78">
        <v>0.14244999999999999</v>
      </c>
      <c r="BD23" s="78">
        <v>0.14244999999999999</v>
      </c>
      <c r="BE23" s="136">
        <v>0.14244999999999999</v>
      </c>
      <c r="BF23" s="78">
        <v>0</v>
      </c>
      <c r="BG23" s="78">
        <v>0</v>
      </c>
      <c r="BH23" s="78">
        <v>0</v>
      </c>
      <c r="BI23" s="136">
        <v>0</v>
      </c>
      <c r="BJ23" s="78">
        <v>3.560584789265715</v>
      </c>
      <c r="BK23" s="78">
        <v>0</v>
      </c>
      <c r="BL23" s="78">
        <v>0</v>
      </c>
      <c r="BM23" s="136">
        <v>0</v>
      </c>
      <c r="BN23" s="78">
        <v>0</v>
      </c>
      <c r="BO23" s="78">
        <v>0</v>
      </c>
      <c r="BP23" s="78">
        <v>0</v>
      </c>
      <c r="BQ23" s="136">
        <v>0</v>
      </c>
      <c r="BR23" s="78">
        <f>IF(BV23&lt;&gt;0,(BZ23*(1+BZ23)^BV23)/((1+BZ23)^BV23-1),0)</f>
        <v>0</v>
      </c>
      <c r="BS23" s="78">
        <f>IF(BW23&lt;&gt;0,(CA23*(1+CA23)^BW23)/((1+CA23)^BW23-1),0)</f>
        <v>0</v>
      </c>
      <c r="BT23" s="78">
        <f>IF(BX23&lt;&gt;0,(CB23*(1+CB23)^BX23)/((1+CB23)^BX23-1),0)</f>
        <v>0</v>
      </c>
      <c r="BU23" s="136">
        <f>IF(BY23&lt;&gt;0,(CC23*(1+CC23)^BY23)/((1+CC23)^BY23-1),0)</f>
        <v>0</v>
      </c>
      <c r="BV23" s="79">
        <v>0</v>
      </c>
      <c r="BW23" s="79">
        <v>0</v>
      </c>
      <c r="BX23" s="79">
        <v>0</v>
      </c>
      <c r="BY23" s="163">
        <v>0</v>
      </c>
      <c r="BZ23" s="79">
        <v>0</v>
      </c>
      <c r="CA23" s="79">
        <v>0</v>
      </c>
      <c r="CB23" s="79">
        <v>0</v>
      </c>
      <c r="CC23" s="79">
        <v>0</v>
      </c>
    </row>
    <row r="24" spans="1:81" s="78" customFormat="1" x14ac:dyDescent="0.35">
      <c r="A24" s="413"/>
      <c r="B24" s="75" t="s">
        <v>97</v>
      </c>
      <c r="C24" s="76" t="s">
        <v>184</v>
      </c>
      <c r="D24" s="77" t="s">
        <v>287</v>
      </c>
      <c r="E24" s="396" t="s">
        <v>86</v>
      </c>
      <c r="F24" s="6">
        <f t="shared" si="14"/>
        <v>19</v>
      </c>
      <c r="G24" s="105">
        <v>1</v>
      </c>
      <c r="H24" s="117" t="s">
        <v>377</v>
      </c>
      <c r="I24" s="117" t="s">
        <v>378</v>
      </c>
      <c r="J24" s="126">
        <v>0</v>
      </c>
      <c r="K24" s="318" t="str">
        <f>B28</f>
        <v>Product/Reactant9</v>
      </c>
      <c r="L24" s="126">
        <v>0</v>
      </c>
      <c r="M24" s="126">
        <v>0</v>
      </c>
      <c r="N24" s="126">
        <v>0</v>
      </c>
      <c r="O24" s="126">
        <v>0</v>
      </c>
      <c r="P24" s="126">
        <v>0</v>
      </c>
      <c r="Q24" s="136">
        <v>20000</v>
      </c>
      <c r="R24" s="78">
        <v>1.54</v>
      </c>
      <c r="S24" s="78">
        <v>1.54</v>
      </c>
      <c r="T24" s="78">
        <v>1.54</v>
      </c>
      <c r="U24" s="136">
        <v>1.54</v>
      </c>
      <c r="V24" s="78">
        <v>0</v>
      </c>
      <c r="W24" s="78">
        <v>0</v>
      </c>
      <c r="X24" s="78">
        <v>0</v>
      </c>
      <c r="Y24" s="136">
        <v>0</v>
      </c>
      <c r="Z24" s="78">
        <v>0</v>
      </c>
      <c r="AA24" s="78">
        <v>0</v>
      </c>
      <c r="AB24" s="78">
        <v>0</v>
      </c>
      <c r="AC24" s="136">
        <v>0</v>
      </c>
      <c r="AD24" s="80">
        <v>0</v>
      </c>
      <c r="AE24" s="80">
        <v>0</v>
      </c>
      <c r="AF24" s="80">
        <v>0</v>
      </c>
      <c r="AG24" s="145">
        <v>0</v>
      </c>
      <c r="AH24" s="80">
        <v>1</v>
      </c>
      <c r="AI24" s="80">
        <v>1</v>
      </c>
      <c r="AJ24" s="80">
        <v>1</v>
      </c>
      <c r="AK24" s="145">
        <v>1</v>
      </c>
      <c r="AL24" s="80">
        <v>1</v>
      </c>
      <c r="AM24" s="80">
        <v>1</v>
      </c>
      <c r="AN24" s="80">
        <v>1</v>
      </c>
      <c r="AO24" s="145">
        <v>1</v>
      </c>
      <c r="AP24" s="81">
        <v>0</v>
      </c>
      <c r="AQ24" s="81">
        <v>0</v>
      </c>
      <c r="AR24" s="81">
        <v>0</v>
      </c>
      <c r="AS24" s="154">
        <v>0</v>
      </c>
      <c r="AT24" s="78">
        <v>0</v>
      </c>
      <c r="AU24" s="78">
        <v>0</v>
      </c>
      <c r="AV24" s="78">
        <v>0</v>
      </c>
      <c r="AW24" s="136">
        <v>0</v>
      </c>
      <c r="AX24" s="78">
        <v>0</v>
      </c>
      <c r="AY24" s="78">
        <v>0</v>
      </c>
      <c r="AZ24" s="78">
        <v>0</v>
      </c>
      <c r="BA24" s="136">
        <v>0</v>
      </c>
      <c r="BB24" s="78">
        <v>0.14244999999999999</v>
      </c>
      <c r="BC24" s="78">
        <v>0.14244999999999999</v>
      </c>
      <c r="BD24" s="78">
        <v>0.14244999999999999</v>
      </c>
      <c r="BE24" s="136">
        <v>0.14244999999999999</v>
      </c>
      <c r="BF24" s="78">
        <v>0</v>
      </c>
      <c r="BG24" s="78">
        <v>0</v>
      </c>
      <c r="BH24" s="78">
        <v>0</v>
      </c>
      <c r="BI24" s="136">
        <v>0</v>
      </c>
      <c r="BJ24" s="78">
        <v>3.560584789265715</v>
      </c>
      <c r="BK24" s="78">
        <v>0</v>
      </c>
      <c r="BL24" s="78">
        <v>0</v>
      </c>
      <c r="BM24" s="136">
        <v>0</v>
      </c>
      <c r="BN24" s="78">
        <v>0</v>
      </c>
      <c r="BO24" s="78">
        <v>0</v>
      </c>
      <c r="BP24" s="78">
        <v>0</v>
      </c>
      <c r="BQ24" s="136">
        <v>0</v>
      </c>
      <c r="BR24" s="78">
        <f t="shared" si="32"/>
        <v>0</v>
      </c>
      <c r="BS24" s="78">
        <f t="shared" si="33"/>
        <v>0</v>
      </c>
      <c r="BT24" s="78">
        <f t="shared" si="34"/>
        <v>0</v>
      </c>
      <c r="BU24" s="136">
        <f t="shared" si="35"/>
        <v>0</v>
      </c>
      <c r="BV24" s="79">
        <v>0</v>
      </c>
      <c r="BW24" s="79">
        <v>0</v>
      </c>
      <c r="BX24" s="79">
        <v>0</v>
      </c>
      <c r="BY24" s="163">
        <v>0</v>
      </c>
      <c r="BZ24" s="79">
        <v>0</v>
      </c>
      <c r="CA24" s="79">
        <v>0</v>
      </c>
      <c r="CB24" s="79">
        <v>0</v>
      </c>
      <c r="CC24" s="79">
        <v>0</v>
      </c>
    </row>
    <row r="25" spans="1:81" s="78" customFormat="1" x14ac:dyDescent="0.35">
      <c r="A25" s="413"/>
      <c r="B25" s="75" t="s">
        <v>97</v>
      </c>
      <c r="C25" s="76" t="s">
        <v>184</v>
      </c>
      <c r="D25" s="77" t="s">
        <v>290</v>
      </c>
      <c r="E25" s="396" t="s">
        <v>86</v>
      </c>
      <c r="F25" s="6">
        <f t="shared" si="14"/>
        <v>20</v>
      </c>
      <c r="G25" s="105">
        <v>1</v>
      </c>
      <c r="H25" s="117" t="s">
        <v>379</v>
      </c>
      <c r="I25" s="117" t="s">
        <v>380</v>
      </c>
      <c r="J25" s="126">
        <v>0</v>
      </c>
      <c r="K25" s="318" t="str">
        <f>B29</f>
        <v>Product/Reactant9</v>
      </c>
      <c r="L25" s="126">
        <v>0</v>
      </c>
      <c r="M25" s="126">
        <v>0</v>
      </c>
      <c r="N25" s="126">
        <v>0</v>
      </c>
      <c r="O25" s="126">
        <v>0</v>
      </c>
      <c r="P25" s="126">
        <v>0</v>
      </c>
      <c r="Q25" s="136">
        <v>20000</v>
      </c>
      <c r="R25" s="78">
        <v>2.54</v>
      </c>
      <c r="S25" s="78">
        <v>2.54</v>
      </c>
      <c r="T25" s="78">
        <v>2.54</v>
      </c>
      <c r="U25" s="136">
        <v>2.54</v>
      </c>
      <c r="V25" s="78">
        <v>0</v>
      </c>
      <c r="W25" s="78">
        <v>0</v>
      </c>
      <c r="X25" s="78">
        <v>0</v>
      </c>
      <c r="Y25" s="136">
        <v>0</v>
      </c>
      <c r="Z25" s="78">
        <v>0</v>
      </c>
      <c r="AA25" s="78">
        <v>0</v>
      </c>
      <c r="AB25" s="78">
        <v>0</v>
      </c>
      <c r="AC25" s="136">
        <v>0</v>
      </c>
      <c r="AD25" s="80">
        <v>0</v>
      </c>
      <c r="AE25" s="80">
        <v>0</v>
      </c>
      <c r="AF25" s="80">
        <v>0</v>
      </c>
      <c r="AG25" s="145">
        <v>0</v>
      </c>
      <c r="AH25" s="80">
        <v>1</v>
      </c>
      <c r="AI25" s="80">
        <v>1</v>
      </c>
      <c r="AJ25" s="80">
        <v>1</v>
      </c>
      <c r="AK25" s="145">
        <v>1</v>
      </c>
      <c r="AL25" s="80">
        <v>1</v>
      </c>
      <c r="AM25" s="80">
        <v>1</v>
      </c>
      <c r="AN25" s="80">
        <v>1</v>
      </c>
      <c r="AO25" s="145">
        <v>1</v>
      </c>
      <c r="AP25" s="81">
        <v>0</v>
      </c>
      <c r="AQ25" s="81">
        <v>0</v>
      </c>
      <c r="AR25" s="81">
        <v>0</v>
      </c>
      <c r="AS25" s="154">
        <v>0</v>
      </c>
      <c r="AT25" s="78">
        <v>0</v>
      </c>
      <c r="AU25" s="78">
        <v>0</v>
      </c>
      <c r="AV25" s="78">
        <v>0</v>
      </c>
      <c r="AW25" s="136">
        <v>0</v>
      </c>
      <c r="AX25" s="78">
        <v>0</v>
      </c>
      <c r="AY25" s="78">
        <v>0</v>
      </c>
      <c r="AZ25" s="78">
        <v>0</v>
      </c>
      <c r="BA25" s="136">
        <v>0</v>
      </c>
      <c r="BB25" s="78">
        <v>9.2799999999999994E-2</v>
      </c>
      <c r="BC25" s="78">
        <v>9.2799999999999994E-2</v>
      </c>
      <c r="BD25" s="78">
        <v>9.2799999999999994E-2</v>
      </c>
      <c r="BE25" s="136">
        <v>9.2799999999999994E-2</v>
      </c>
      <c r="BF25" s="78">
        <v>0</v>
      </c>
      <c r="BG25" s="78">
        <v>0</v>
      </c>
      <c r="BH25" s="78">
        <v>0</v>
      </c>
      <c r="BI25" s="136">
        <v>0</v>
      </c>
      <c r="BJ25" s="78">
        <v>3.560584789265715</v>
      </c>
      <c r="BK25" s="78">
        <v>0</v>
      </c>
      <c r="BL25" s="78">
        <v>0</v>
      </c>
      <c r="BM25" s="136">
        <v>0</v>
      </c>
      <c r="BN25" s="78">
        <v>0</v>
      </c>
      <c r="BO25" s="78">
        <v>0</v>
      </c>
      <c r="BP25" s="78">
        <v>0</v>
      </c>
      <c r="BQ25" s="136">
        <v>0</v>
      </c>
      <c r="BR25" s="78">
        <f>IF(BV25&lt;&gt;0,(BZ25*(1+BZ25)^BV25)/((1+BZ25)^BV25-1),0)</f>
        <v>0</v>
      </c>
      <c r="BS25" s="78">
        <f>IF(BW25&lt;&gt;0,(CA25*(1+CA25)^BW25)/((1+CA25)^BW25-1),0)</f>
        <v>0</v>
      </c>
      <c r="BT25" s="78">
        <f>IF(BX25&lt;&gt;0,(CB25*(1+CB25)^BX25)/((1+CB25)^BX25-1),0)</f>
        <v>0</v>
      </c>
      <c r="BU25" s="136">
        <f>IF(BY25&lt;&gt;0,(CC25*(1+CC25)^BY25)/((1+CC25)^BY25-1),0)</f>
        <v>0</v>
      </c>
      <c r="BV25" s="79">
        <v>0</v>
      </c>
      <c r="BW25" s="79">
        <v>0</v>
      </c>
      <c r="BX25" s="79">
        <v>0</v>
      </c>
      <c r="BY25" s="163">
        <v>0</v>
      </c>
      <c r="BZ25" s="79">
        <v>0</v>
      </c>
      <c r="CA25" s="79">
        <v>0</v>
      </c>
      <c r="CB25" s="79">
        <v>0</v>
      </c>
      <c r="CC25" s="79">
        <v>0</v>
      </c>
    </row>
    <row r="26" spans="1:81" s="78" customFormat="1" x14ac:dyDescent="0.35">
      <c r="A26" s="413"/>
      <c r="B26" s="75" t="s">
        <v>97</v>
      </c>
      <c r="C26" s="76" t="s">
        <v>184</v>
      </c>
      <c r="D26" s="77" t="s">
        <v>289</v>
      </c>
      <c r="E26" s="396" t="s">
        <v>86</v>
      </c>
      <c r="F26" s="6">
        <f t="shared" si="14"/>
        <v>21</v>
      </c>
      <c r="G26" s="105">
        <v>1</v>
      </c>
      <c r="H26" s="117" t="s">
        <v>379</v>
      </c>
      <c r="I26" s="117" t="s">
        <v>380</v>
      </c>
      <c r="J26" s="126">
        <v>0</v>
      </c>
      <c r="K26" s="318" t="str">
        <f t="shared" ref="K26" si="36">B30</f>
        <v>Product/Reactant9</v>
      </c>
      <c r="L26" s="126">
        <v>0</v>
      </c>
      <c r="M26" s="126">
        <v>0</v>
      </c>
      <c r="N26" s="126">
        <v>0</v>
      </c>
      <c r="O26" s="126">
        <v>0</v>
      </c>
      <c r="P26" s="126">
        <v>0</v>
      </c>
      <c r="Q26" s="136">
        <v>20000</v>
      </c>
      <c r="R26" s="78">
        <v>1.82</v>
      </c>
      <c r="S26" s="78">
        <v>1.82</v>
      </c>
      <c r="T26" s="78">
        <v>1.82</v>
      </c>
      <c r="U26" s="136">
        <v>1.82</v>
      </c>
      <c r="V26" s="78">
        <v>0</v>
      </c>
      <c r="W26" s="78">
        <v>0</v>
      </c>
      <c r="X26" s="78">
        <v>0</v>
      </c>
      <c r="Y26" s="136">
        <v>0</v>
      </c>
      <c r="Z26" s="78">
        <v>0</v>
      </c>
      <c r="AA26" s="78">
        <v>0</v>
      </c>
      <c r="AB26" s="78">
        <v>0</v>
      </c>
      <c r="AC26" s="136">
        <v>0</v>
      </c>
      <c r="AD26" s="80">
        <v>0</v>
      </c>
      <c r="AE26" s="80">
        <v>0</v>
      </c>
      <c r="AF26" s="80">
        <v>0</v>
      </c>
      <c r="AG26" s="145">
        <v>0</v>
      </c>
      <c r="AH26" s="80">
        <v>1</v>
      </c>
      <c r="AI26" s="80">
        <v>1</v>
      </c>
      <c r="AJ26" s="80">
        <v>1</v>
      </c>
      <c r="AK26" s="145">
        <v>1</v>
      </c>
      <c r="AL26" s="80">
        <v>1</v>
      </c>
      <c r="AM26" s="80">
        <v>1</v>
      </c>
      <c r="AN26" s="80">
        <v>1</v>
      </c>
      <c r="AO26" s="145">
        <v>1</v>
      </c>
      <c r="AP26" s="81">
        <v>0</v>
      </c>
      <c r="AQ26" s="81">
        <v>0</v>
      </c>
      <c r="AR26" s="81">
        <v>0</v>
      </c>
      <c r="AS26" s="154">
        <v>0</v>
      </c>
      <c r="AT26" s="78">
        <v>0</v>
      </c>
      <c r="AU26" s="78">
        <v>0</v>
      </c>
      <c r="AV26" s="78">
        <v>0</v>
      </c>
      <c r="AW26" s="136">
        <v>0</v>
      </c>
      <c r="AX26" s="78">
        <v>0</v>
      </c>
      <c r="AY26" s="78">
        <v>0</v>
      </c>
      <c r="AZ26" s="78">
        <v>0</v>
      </c>
      <c r="BA26" s="136">
        <v>0</v>
      </c>
      <c r="BB26" s="78">
        <v>9.2799999999999994E-2</v>
      </c>
      <c r="BC26" s="78">
        <v>9.2799999999999994E-2</v>
      </c>
      <c r="BD26" s="78">
        <v>9.2799999999999994E-2</v>
      </c>
      <c r="BE26" s="136">
        <v>9.2799999999999994E-2</v>
      </c>
      <c r="BF26" s="78">
        <v>0</v>
      </c>
      <c r="BG26" s="78">
        <v>0</v>
      </c>
      <c r="BH26" s="78">
        <v>0</v>
      </c>
      <c r="BI26" s="136">
        <v>0</v>
      </c>
      <c r="BJ26" s="78">
        <v>3.560584789265715</v>
      </c>
      <c r="BK26" s="78">
        <v>0</v>
      </c>
      <c r="BL26" s="78">
        <v>0</v>
      </c>
      <c r="BM26" s="136">
        <v>0</v>
      </c>
      <c r="BN26" s="78">
        <v>0</v>
      </c>
      <c r="BO26" s="78">
        <v>0</v>
      </c>
      <c r="BP26" s="78">
        <v>0</v>
      </c>
      <c r="BQ26" s="136">
        <v>0</v>
      </c>
      <c r="BR26" s="78">
        <f t="shared" ref="BR26:BR28" si="37">IF(BV26&lt;&gt;0,(BZ26*(1+BZ26)^BV26)/((1+BZ26)^BV26-1),0)</f>
        <v>0</v>
      </c>
      <c r="BS26" s="78">
        <f t="shared" ref="BS26:BS28" si="38">IF(BW26&lt;&gt;0,(CA26*(1+CA26)^BW26)/((1+CA26)^BW26-1),0)</f>
        <v>0</v>
      </c>
      <c r="BT26" s="78">
        <f t="shared" ref="BT26:BT28" si="39">IF(BX26&lt;&gt;0,(CB26*(1+CB26)^BX26)/((1+CB26)^BX26-1),0)</f>
        <v>0</v>
      </c>
      <c r="BU26" s="136">
        <f t="shared" ref="BU26:BU28" si="40">IF(BY26&lt;&gt;0,(CC26*(1+CC26)^BY26)/((1+CC26)^BY26-1),0)</f>
        <v>0</v>
      </c>
      <c r="BV26" s="79">
        <v>0</v>
      </c>
      <c r="BW26" s="79">
        <v>0</v>
      </c>
      <c r="BX26" s="79">
        <v>0</v>
      </c>
      <c r="BY26" s="163">
        <v>0</v>
      </c>
      <c r="BZ26" s="79">
        <v>0</v>
      </c>
      <c r="CA26" s="79">
        <v>0</v>
      </c>
      <c r="CB26" s="79">
        <v>0</v>
      </c>
      <c r="CC26" s="79">
        <v>0</v>
      </c>
    </row>
    <row r="27" spans="1:81" s="78" customFormat="1" x14ac:dyDescent="0.35">
      <c r="A27" s="413"/>
      <c r="B27" s="75" t="s">
        <v>439</v>
      </c>
      <c r="C27" s="82" t="s">
        <v>119</v>
      </c>
      <c r="D27" s="77" t="s">
        <v>361</v>
      </c>
      <c r="E27" s="396" t="s">
        <v>86</v>
      </c>
      <c r="F27" s="6">
        <f t="shared" si="14"/>
        <v>22</v>
      </c>
      <c r="G27" s="105">
        <v>1</v>
      </c>
      <c r="H27" s="117" t="s">
        <v>383</v>
      </c>
      <c r="I27" s="117" t="s">
        <v>384</v>
      </c>
      <c r="J27" s="126">
        <f t="shared" ref="J27:J30" si="41">(2.2/(28.8/3.6))*10^9</f>
        <v>275000000</v>
      </c>
      <c r="K27" s="318" t="str">
        <f>B34</f>
        <v>Reactant10</v>
      </c>
      <c r="L27" s="126">
        <v>0</v>
      </c>
      <c r="M27" s="126">
        <v>1</v>
      </c>
      <c r="N27" s="126">
        <v>1</v>
      </c>
      <c r="O27" s="126">
        <v>0</v>
      </c>
      <c r="P27" s="126">
        <v>0</v>
      </c>
      <c r="Q27" s="136">
        <f>Q28</f>
        <v>20000</v>
      </c>
      <c r="R27" s="78">
        <v>11.91</v>
      </c>
      <c r="S27" s="78">
        <v>11.91</v>
      </c>
      <c r="T27" s="78">
        <v>11.91</v>
      </c>
      <c r="U27" s="136">
        <v>11.91</v>
      </c>
      <c r="V27" s="78">
        <v>0.51</v>
      </c>
      <c r="W27" s="78">
        <v>0.51</v>
      </c>
      <c r="X27" s="78">
        <v>0.51</v>
      </c>
      <c r="Y27" s="136">
        <v>0.51</v>
      </c>
      <c r="Z27" s="78">
        <v>1.43</v>
      </c>
      <c r="AA27" s="78">
        <v>1.43</v>
      </c>
      <c r="AB27" s="78">
        <v>1.43</v>
      </c>
      <c r="AC27" s="136">
        <v>1.43</v>
      </c>
      <c r="AD27" s="80">
        <v>0.5</v>
      </c>
      <c r="AE27" s="80">
        <v>0.5</v>
      </c>
      <c r="AF27" s="80">
        <v>0.5</v>
      </c>
      <c r="AG27" s="145">
        <v>0.5</v>
      </c>
      <c r="AH27" s="80">
        <v>1</v>
      </c>
      <c r="AI27" s="80">
        <v>1</v>
      </c>
      <c r="AJ27" s="80">
        <v>1</v>
      </c>
      <c r="AK27" s="145">
        <v>1</v>
      </c>
      <c r="AL27" s="80">
        <v>1</v>
      </c>
      <c r="AM27" s="80">
        <v>1</v>
      </c>
      <c r="AN27" s="80">
        <v>1</v>
      </c>
      <c r="AO27" s="145">
        <v>1</v>
      </c>
      <c r="AP27" s="81">
        <v>0.32</v>
      </c>
      <c r="AQ27" s="81">
        <v>0.32</v>
      </c>
      <c r="AR27" s="81">
        <v>0.32</v>
      </c>
      <c r="AS27" s="154">
        <v>0.32</v>
      </c>
      <c r="AT27" s="78">
        <v>12905</v>
      </c>
      <c r="AU27" s="78">
        <v>12905</v>
      </c>
      <c r="AV27" s="78">
        <v>12789.46</v>
      </c>
      <c r="AW27" s="136">
        <v>12905</v>
      </c>
      <c r="AX27" s="78">
        <v>1216.44</v>
      </c>
      <c r="AY27" s="78">
        <v>1209.51</v>
      </c>
      <c r="AZ27" s="78">
        <v>1209.51</v>
      </c>
      <c r="BA27" s="136">
        <v>1209.51</v>
      </c>
      <c r="BB27" s="78">
        <f t="shared" ref="BB27:BE27" si="42">9.3267946332186/1000</f>
        <v>9.3267946332186002E-3</v>
      </c>
      <c r="BC27" s="78">
        <f t="shared" si="42"/>
        <v>9.3267946332186002E-3</v>
      </c>
      <c r="BD27" s="78">
        <f t="shared" si="42"/>
        <v>9.3267946332186002E-3</v>
      </c>
      <c r="BE27" s="136">
        <f t="shared" si="42"/>
        <v>9.3267946332186002E-3</v>
      </c>
      <c r="BF27" s="78">
        <v>0</v>
      </c>
      <c r="BG27" s="78">
        <v>0</v>
      </c>
      <c r="BH27" s="78">
        <v>0</v>
      </c>
      <c r="BI27" s="136">
        <v>0</v>
      </c>
      <c r="BJ27" s="78">
        <v>18.474666666666668</v>
      </c>
      <c r="BK27" s="78">
        <v>0</v>
      </c>
      <c r="BL27" s="78">
        <v>0</v>
      </c>
      <c r="BM27" s="136">
        <v>0</v>
      </c>
      <c r="BN27" s="78">
        <v>0</v>
      </c>
      <c r="BO27" s="78">
        <v>0</v>
      </c>
      <c r="BP27" s="78">
        <v>0</v>
      </c>
      <c r="BQ27" s="136">
        <v>0</v>
      </c>
      <c r="BR27" s="78">
        <f>IF(BV27&lt;&gt;0,(BZ27*(1+BZ27)^BV27)/((1+BZ27)^BV27-1),0)</f>
        <v>9.3678779051968114E-2</v>
      </c>
      <c r="BS27" s="78">
        <f>IF(BW27&lt;&gt;0,(CA27*(1+CA27)^BW27)/((1+CA27)^BW27-1),0)</f>
        <v>9.3678779051968114E-2</v>
      </c>
      <c r="BT27" s="78">
        <f>IF(BX27&lt;&gt;0,(CB27*(1+CB27)^BX27)/((1+CB27)^BX27-1),0)</f>
        <v>9.3678779051968114E-2</v>
      </c>
      <c r="BU27" s="136">
        <f>IF(BY27&lt;&gt;0,(CC27*(1+CC27)^BY27)/((1+CC27)^BY27-1),0)</f>
        <v>9.3678779051968114E-2</v>
      </c>
      <c r="BV27" s="79">
        <v>25</v>
      </c>
      <c r="BW27" s="79">
        <v>25</v>
      </c>
      <c r="BX27" s="79">
        <v>25</v>
      </c>
      <c r="BY27" s="163">
        <v>25</v>
      </c>
      <c r="BZ27" s="80">
        <v>0.08</v>
      </c>
      <c r="CA27" s="80">
        <v>0.08</v>
      </c>
      <c r="CB27" s="80">
        <v>0.08</v>
      </c>
      <c r="CC27" s="80">
        <v>0.08</v>
      </c>
    </row>
    <row r="28" spans="1:81" s="78" customFormat="1" x14ac:dyDescent="0.35">
      <c r="A28" s="413"/>
      <c r="B28" s="75" t="s">
        <v>439</v>
      </c>
      <c r="C28" s="82" t="s">
        <v>119</v>
      </c>
      <c r="D28" s="77" t="s">
        <v>362</v>
      </c>
      <c r="E28" s="396" t="s">
        <v>86</v>
      </c>
      <c r="F28" s="6">
        <f t="shared" si="14"/>
        <v>23</v>
      </c>
      <c r="G28" s="105">
        <v>1</v>
      </c>
      <c r="H28" s="117" t="s">
        <v>383</v>
      </c>
      <c r="I28" s="117" t="s">
        <v>384</v>
      </c>
      <c r="J28" s="126">
        <f>(2.2/(28.8/3.6))*10^9</f>
        <v>275000000</v>
      </c>
      <c r="K28" s="318" t="str">
        <f>B34</f>
        <v>Reactant10</v>
      </c>
      <c r="L28" s="126">
        <v>0</v>
      </c>
      <c r="M28" s="126">
        <v>1</v>
      </c>
      <c r="N28" s="126">
        <v>1</v>
      </c>
      <c r="O28" s="126">
        <v>0</v>
      </c>
      <c r="P28" s="126">
        <v>0</v>
      </c>
      <c r="Q28" s="136">
        <f>Q15</f>
        <v>20000</v>
      </c>
      <c r="R28" s="78">
        <v>7.28</v>
      </c>
      <c r="S28" s="78">
        <v>7.28</v>
      </c>
      <c r="T28" s="78">
        <v>7.28</v>
      </c>
      <c r="U28" s="136">
        <v>7.28</v>
      </c>
      <c r="V28" s="78">
        <v>1.54</v>
      </c>
      <c r="W28" s="78">
        <v>1.54</v>
      </c>
      <c r="X28" s="78">
        <v>1.54</v>
      </c>
      <c r="Y28" s="136">
        <v>1.54</v>
      </c>
      <c r="Z28" s="78">
        <v>0.21</v>
      </c>
      <c r="AA28" s="78">
        <v>0.21</v>
      </c>
      <c r="AB28" s="78">
        <v>0.21</v>
      </c>
      <c r="AC28" s="136">
        <v>0.21</v>
      </c>
      <c r="AD28" s="80">
        <v>0.5</v>
      </c>
      <c r="AE28" s="80">
        <v>0.5</v>
      </c>
      <c r="AF28" s="80">
        <v>0.5</v>
      </c>
      <c r="AG28" s="145">
        <v>0.5</v>
      </c>
      <c r="AH28" s="80">
        <v>1</v>
      </c>
      <c r="AI28" s="80">
        <v>1</v>
      </c>
      <c r="AJ28" s="80">
        <v>1</v>
      </c>
      <c r="AK28" s="145">
        <v>1</v>
      </c>
      <c r="AL28" s="80">
        <v>1</v>
      </c>
      <c r="AM28" s="80">
        <v>1</v>
      </c>
      <c r="AN28" s="80">
        <v>1</v>
      </c>
      <c r="AO28" s="145">
        <v>1</v>
      </c>
      <c r="AP28" s="81">
        <v>0.18</v>
      </c>
      <c r="AQ28" s="81">
        <v>0.18</v>
      </c>
      <c r="AR28" s="81">
        <v>0.18</v>
      </c>
      <c r="AS28" s="154">
        <v>0.18</v>
      </c>
      <c r="AT28" s="78">
        <v>9955.92</v>
      </c>
      <c r="AU28" s="78">
        <v>9955.92</v>
      </c>
      <c r="AV28" s="78">
        <v>9955.92</v>
      </c>
      <c r="AW28" s="136">
        <v>9955.92</v>
      </c>
      <c r="AX28" s="78">
        <v>1036.6600000000001</v>
      </c>
      <c r="AY28" s="78">
        <v>1036.6600000000001</v>
      </c>
      <c r="AZ28" s="78">
        <v>1036.6600000000001</v>
      </c>
      <c r="BA28" s="136">
        <v>1036.6600000000001</v>
      </c>
      <c r="BB28" s="78">
        <f t="shared" ref="BB28:BE28" si="43">3.95121089093762/1000</f>
        <v>3.9512108909376198E-3</v>
      </c>
      <c r="BC28" s="78">
        <f t="shared" si="43"/>
        <v>3.9512108909376198E-3</v>
      </c>
      <c r="BD28" s="78">
        <f t="shared" si="43"/>
        <v>3.9512108909376198E-3</v>
      </c>
      <c r="BE28" s="136">
        <f t="shared" si="43"/>
        <v>3.9512108909376198E-3</v>
      </c>
      <c r="BF28" s="78">
        <v>0</v>
      </c>
      <c r="BG28" s="78">
        <v>0</v>
      </c>
      <c r="BH28" s="78">
        <v>0</v>
      </c>
      <c r="BI28" s="136">
        <v>0</v>
      </c>
      <c r="BJ28" s="78">
        <v>18.474666666666668</v>
      </c>
      <c r="BK28" s="78">
        <v>0</v>
      </c>
      <c r="BL28" s="78">
        <v>0</v>
      </c>
      <c r="BM28" s="136">
        <v>0</v>
      </c>
      <c r="BN28" s="78">
        <v>0</v>
      </c>
      <c r="BO28" s="78">
        <v>0</v>
      </c>
      <c r="BP28" s="78">
        <v>0</v>
      </c>
      <c r="BQ28" s="136">
        <v>0</v>
      </c>
      <c r="BR28" s="78">
        <f t="shared" si="37"/>
        <v>9.3678779051968114E-2</v>
      </c>
      <c r="BS28" s="78">
        <f t="shared" si="38"/>
        <v>9.3678779051968114E-2</v>
      </c>
      <c r="BT28" s="78">
        <f t="shared" si="39"/>
        <v>9.3678779051968114E-2</v>
      </c>
      <c r="BU28" s="136">
        <f t="shared" si="40"/>
        <v>9.3678779051968114E-2</v>
      </c>
      <c r="BV28" s="79">
        <v>25</v>
      </c>
      <c r="BW28" s="79">
        <v>25</v>
      </c>
      <c r="BX28" s="79">
        <v>25</v>
      </c>
      <c r="BY28" s="163">
        <v>25</v>
      </c>
      <c r="BZ28" s="80">
        <v>0.08</v>
      </c>
      <c r="CA28" s="80">
        <v>0.08</v>
      </c>
      <c r="CB28" s="80">
        <v>0.08</v>
      </c>
      <c r="CC28" s="80">
        <v>0.08</v>
      </c>
    </row>
    <row r="29" spans="1:81" s="78" customFormat="1" x14ac:dyDescent="0.35">
      <c r="A29" s="413"/>
      <c r="B29" s="75" t="s">
        <v>439</v>
      </c>
      <c r="C29" s="82" t="s">
        <v>119</v>
      </c>
      <c r="D29" s="77" t="s">
        <v>363</v>
      </c>
      <c r="E29" s="396" t="s">
        <v>86</v>
      </c>
      <c r="F29" s="6">
        <f t="shared" si="14"/>
        <v>24</v>
      </c>
      <c r="G29" s="105">
        <v>1</v>
      </c>
      <c r="H29" s="117" t="s">
        <v>383</v>
      </c>
      <c r="I29" s="117" t="s">
        <v>384</v>
      </c>
      <c r="J29" s="126">
        <f t="shared" si="41"/>
        <v>275000000</v>
      </c>
      <c r="K29" s="318" t="str">
        <f>B34</f>
        <v>Reactant10</v>
      </c>
      <c r="L29" s="126">
        <v>0</v>
      </c>
      <c r="M29" s="126">
        <v>1</v>
      </c>
      <c r="N29" s="126">
        <v>1</v>
      </c>
      <c r="O29" s="126">
        <v>0</v>
      </c>
      <c r="P29" s="126">
        <v>0</v>
      </c>
      <c r="Q29" s="136">
        <f>Q30</f>
        <v>20000</v>
      </c>
      <c r="R29" s="78">
        <v>8.5399999999999991</v>
      </c>
      <c r="S29" s="78">
        <v>8.5399999999999991</v>
      </c>
      <c r="T29" s="78">
        <v>8.5399999999999991</v>
      </c>
      <c r="U29" s="136">
        <v>8.5399999999999991</v>
      </c>
      <c r="V29" s="78">
        <v>0.9</v>
      </c>
      <c r="W29" s="78">
        <v>0.9</v>
      </c>
      <c r="X29" s="78">
        <v>0.9</v>
      </c>
      <c r="Y29" s="136">
        <v>0.9</v>
      </c>
      <c r="Z29" s="78">
        <v>2.6</v>
      </c>
      <c r="AA29" s="78">
        <v>2.6</v>
      </c>
      <c r="AB29" s="78">
        <v>2.6</v>
      </c>
      <c r="AC29" s="136">
        <v>2.6</v>
      </c>
      <c r="AD29" s="80">
        <v>0.5</v>
      </c>
      <c r="AE29" s="80">
        <v>0.5</v>
      </c>
      <c r="AF29" s="80">
        <v>0.5</v>
      </c>
      <c r="AG29" s="145">
        <v>0.5</v>
      </c>
      <c r="AH29" s="80">
        <v>1</v>
      </c>
      <c r="AI29" s="80">
        <v>1</v>
      </c>
      <c r="AJ29" s="80">
        <v>1</v>
      </c>
      <c r="AK29" s="145">
        <v>1</v>
      </c>
      <c r="AL29" s="80">
        <v>1</v>
      </c>
      <c r="AM29" s="80">
        <v>1</v>
      </c>
      <c r="AN29" s="80">
        <v>1</v>
      </c>
      <c r="AO29" s="145">
        <v>1</v>
      </c>
      <c r="AP29" s="81">
        <v>0.83</v>
      </c>
      <c r="AQ29" s="81">
        <v>0.83</v>
      </c>
      <c r="AR29" s="81">
        <v>0.83</v>
      </c>
      <c r="AS29" s="154">
        <v>0.83</v>
      </c>
      <c r="AT29" s="78">
        <v>16688.490000000002</v>
      </c>
      <c r="AU29" s="78">
        <v>16688.490000000002</v>
      </c>
      <c r="AV29" s="78">
        <v>16688.490000000002</v>
      </c>
      <c r="AW29" s="136">
        <v>16688.490000000002</v>
      </c>
      <c r="AX29" s="78">
        <v>1448.53</v>
      </c>
      <c r="AY29" s="78">
        <v>1448.53</v>
      </c>
      <c r="AZ29" s="78">
        <v>1448.53</v>
      </c>
      <c r="BA29" s="136">
        <v>1448.53</v>
      </c>
      <c r="BB29" s="78">
        <f t="shared" ref="BB29:BE29" si="44">12.2828620590846/1000</f>
        <v>1.22828620590846E-2</v>
      </c>
      <c r="BC29" s="78">
        <f t="shared" si="44"/>
        <v>1.22828620590846E-2</v>
      </c>
      <c r="BD29" s="78">
        <f t="shared" si="44"/>
        <v>1.22828620590846E-2</v>
      </c>
      <c r="BE29" s="136">
        <f t="shared" si="44"/>
        <v>1.22828620590846E-2</v>
      </c>
      <c r="BF29" s="78">
        <v>0</v>
      </c>
      <c r="BG29" s="78">
        <v>0</v>
      </c>
      <c r="BH29" s="78">
        <v>0</v>
      </c>
      <c r="BI29" s="136">
        <v>0</v>
      </c>
      <c r="BJ29" s="78">
        <v>18.474666666666668</v>
      </c>
      <c r="BK29" s="78">
        <v>0</v>
      </c>
      <c r="BL29" s="78">
        <v>0</v>
      </c>
      <c r="BM29" s="136">
        <v>0</v>
      </c>
      <c r="BN29" s="78">
        <v>0</v>
      </c>
      <c r="BO29" s="78">
        <v>0</v>
      </c>
      <c r="BP29" s="78">
        <v>0</v>
      </c>
      <c r="BQ29" s="136">
        <v>0</v>
      </c>
      <c r="BR29" s="78">
        <f>IF(BV29&lt;&gt;0,(BZ29*(1+BZ29)^BV29)/((1+BZ29)^BV29-1),0)</f>
        <v>9.3678779051968114E-2</v>
      </c>
      <c r="BS29" s="78">
        <f>IF(BW29&lt;&gt;0,(CA29*(1+CA29)^BW29)/((1+CA29)^BW29-1),0)</f>
        <v>9.3678779051968114E-2</v>
      </c>
      <c r="BT29" s="78">
        <f>IF(BX29&lt;&gt;0,(CB29*(1+CB29)^BX29)/((1+CB29)^BX29-1),0)</f>
        <v>9.3678779051968114E-2</v>
      </c>
      <c r="BU29" s="136">
        <f>IF(BY29&lt;&gt;0,(CC29*(1+CC29)^BY29)/((1+CC29)^BY29-1),0)</f>
        <v>9.3678779051968114E-2</v>
      </c>
      <c r="BV29" s="79">
        <v>25</v>
      </c>
      <c r="BW29" s="79">
        <v>25</v>
      </c>
      <c r="BX29" s="79">
        <v>25</v>
      </c>
      <c r="BY29" s="163">
        <v>25</v>
      </c>
      <c r="BZ29" s="80">
        <v>0.08</v>
      </c>
      <c r="CA29" s="80">
        <v>0.08</v>
      </c>
      <c r="CB29" s="80">
        <v>0.08</v>
      </c>
      <c r="CC29" s="80">
        <v>0.08</v>
      </c>
    </row>
    <row r="30" spans="1:81" s="78" customFormat="1" x14ac:dyDescent="0.35">
      <c r="A30" s="413"/>
      <c r="B30" s="75" t="s">
        <v>439</v>
      </c>
      <c r="C30" s="82" t="s">
        <v>119</v>
      </c>
      <c r="D30" s="77" t="s">
        <v>364</v>
      </c>
      <c r="E30" s="396" t="s">
        <v>86</v>
      </c>
      <c r="F30" s="6">
        <f t="shared" si="14"/>
        <v>25</v>
      </c>
      <c r="G30" s="105">
        <v>1</v>
      </c>
      <c r="H30" s="117" t="s">
        <v>383</v>
      </c>
      <c r="I30" s="117" t="s">
        <v>384</v>
      </c>
      <c r="J30" s="126">
        <f t="shared" si="41"/>
        <v>275000000</v>
      </c>
      <c r="K30" s="318" t="str">
        <f>B34</f>
        <v>Reactant10</v>
      </c>
      <c r="L30" s="126">
        <v>0</v>
      </c>
      <c r="M30" s="126">
        <v>1</v>
      </c>
      <c r="N30" s="126">
        <v>1</v>
      </c>
      <c r="O30" s="126">
        <v>0</v>
      </c>
      <c r="P30" s="126">
        <v>0</v>
      </c>
      <c r="Q30" s="136">
        <f>Q27</f>
        <v>20000</v>
      </c>
      <c r="R30" s="78">
        <v>6.57</v>
      </c>
      <c r="S30" s="78">
        <v>6.57</v>
      </c>
      <c r="T30" s="78">
        <v>6.57</v>
      </c>
      <c r="U30" s="136">
        <v>6.57</v>
      </c>
      <c r="V30" s="78">
        <v>1.66</v>
      </c>
      <c r="W30" s="78">
        <v>1.66</v>
      </c>
      <c r="X30" s="78">
        <v>1.66</v>
      </c>
      <c r="Y30" s="136">
        <v>1.66</v>
      </c>
      <c r="Z30" s="78">
        <v>1.1000000000000001</v>
      </c>
      <c r="AA30" s="78">
        <v>1.1000000000000001</v>
      </c>
      <c r="AB30" s="78">
        <v>1.1000000000000001</v>
      </c>
      <c r="AC30" s="136">
        <v>1.1000000000000001</v>
      </c>
      <c r="AD30" s="80">
        <v>0.5</v>
      </c>
      <c r="AE30" s="80">
        <v>0.5</v>
      </c>
      <c r="AF30" s="80">
        <v>0.5</v>
      </c>
      <c r="AG30" s="145">
        <v>0.5</v>
      </c>
      <c r="AH30" s="80">
        <v>1</v>
      </c>
      <c r="AI30" s="80">
        <v>1</v>
      </c>
      <c r="AJ30" s="80">
        <v>1</v>
      </c>
      <c r="AK30" s="145">
        <v>1</v>
      </c>
      <c r="AL30" s="80">
        <v>1</v>
      </c>
      <c r="AM30" s="80">
        <v>1</v>
      </c>
      <c r="AN30" s="80">
        <v>1</v>
      </c>
      <c r="AO30" s="145">
        <v>1</v>
      </c>
      <c r="AP30" s="81">
        <v>0.64</v>
      </c>
      <c r="AQ30" s="81">
        <v>0.64</v>
      </c>
      <c r="AR30" s="81">
        <v>0.64</v>
      </c>
      <c r="AS30" s="154">
        <v>0.64</v>
      </c>
      <c r="AT30" s="78">
        <v>12113.81</v>
      </c>
      <c r="AU30" s="78">
        <v>12113.81</v>
      </c>
      <c r="AV30" s="78">
        <v>12113.81</v>
      </c>
      <c r="AW30" s="136">
        <v>12113.81</v>
      </c>
      <c r="AX30" s="78">
        <v>1167.05</v>
      </c>
      <c r="AY30" s="78">
        <v>1167.05</v>
      </c>
      <c r="AZ30" s="78">
        <v>1167.05</v>
      </c>
      <c r="BA30" s="136">
        <v>1167.05</v>
      </c>
      <c r="BB30" s="78">
        <f t="shared" ref="BB30:BE30" si="45">4.04937222588/1000</f>
        <v>4.0493722258800003E-3</v>
      </c>
      <c r="BC30" s="78">
        <f t="shared" si="45"/>
        <v>4.0493722258800003E-3</v>
      </c>
      <c r="BD30" s="78">
        <f t="shared" si="45"/>
        <v>4.0493722258800003E-3</v>
      </c>
      <c r="BE30" s="136">
        <f t="shared" si="45"/>
        <v>4.0493722258800003E-3</v>
      </c>
      <c r="BF30" s="78">
        <v>0</v>
      </c>
      <c r="BG30" s="78">
        <v>0</v>
      </c>
      <c r="BH30" s="78">
        <v>0</v>
      </c>
      <c r="BI30" s="136">
        <v>0</v>
      </c>
      <c r="BJ30" s="78">
        <v>18.474666666666668</v>
      </c>
      <c r="BK30" s="78">
        <v>0</v>
      </c>
      <c r="BL30" s="78">
        <v>0</v>
      </c>
      <c r="BM30" s="136">
        <v>0</v>
      </c>
      <c r="BN30" s="78">
        <v>0</v>
      </c>
      <c r="BO30" s="78">
        <v>0</v>
      </c>
      <c r="BP30" s="78">
        <v>0</v>
      </c>
      <c r="BQ30" s="136">
        <v>0</v>
      </c>
      <c r="BR30" s="78">
        <f t="shared" ref="BR30" si="46">IF(BV30&lt;&gt;0,(BZ30*(1+BZ30)^BV30)/((1+BZ30)^BV30-1),0)</f>
        <v>9.3678779051968114E-2</v>
      </c>
      <c r="BS30" s="78">
        <f t="shared" ref="BS30" si="47">IF(BW30&lt;&gt;0,(CA30*(1+CA30)^BW30)/((1+CA30)^BW30-1),0)</f>
        <v>9.3678779051968114E-2</v>
      </c>
      <c r="BT30" s="78">
        <f t="shared" ref="BT30" si="48">IF(BX30&lt;&gt;0,(CB30*(1+CB30)^BX30)/((1+CB30)^BX30-1),0)</f>
        <v>9.3678779051968114E-2</v>
      </c>
      <c r="BU30" s="136">
        <f t="shared" ref="BU30" si="49">IF(BY30&lt;&gt;0,(CC30*(1+CC30)^BY30)/((1+CC30)^BY30-1),0)</f>
        <v>9.3678779051968114E-2</v>
      </c>
      <c r="BV30" s="79">
        <v>25</v>
      </c>
      <c r="BW30" s="79">
        <v>25</v>
      </c>
      <c r="BX30" s="79">
        <v>25</v>
      </c>
      <c r="BY30" s="163">
        <v>25</v>
      </c>
      <c r="BZ30" s="80">
        <v>0.08</v>
      </c>
      <c r="CA30" s="80">
        <v>0.08</v>
      </c>
      <c r="CB30" s="80">
        <v>0.08</v>
      </c>
      <c r="CC30" s="80">
        <v>0.08</v>
      </c>
    </row>
    <row r="31" spans="1:81" s="87" customFormat="1" x14ac:dyDescent="0.35">
      <c r="A31" s="413"/>
      <c r="B31" s="83" t="s">
        <v>97</v>
      </c>
      <c r="C31" s="84" t="s">
        <v>119</v>
      </c>
      <c r="D31" s="85" t="s">
        <v>365</v>
      </c>
      <c r="E31" s="400" t="s">
        <v>86</v>
      </c>
      <c r="F31" s="6">
        <f t="shared" si="14"/>
        <v>26</v>
      </c>
      <c r="G31" s="106">
        <v>1</v>
      </c>
      <c r="H31" s="118" t="s">
        <v>385</v>
      </c>
      <c r="I31" s="118" t="s">
        <v>386</v>
      </c>
      <c r="J31" s="305">
        <f>(2.2/(18.6/3.6))*10^9</f>
        <v>425806451.61290324</v>
      </c>
      <c r="K31" s="313" t="str">
        <f>B34</f>
        <v>Reactant10</v>
      </c>
      <c r="L31" s="129">
        <v>0</v>
      </c>
      <c r="M31" s="129">
        <v>1</v>
      </c>
      <c r="N31" s="129">
        <v>0</v>
      </c>
      <c r="O31" s="129">
        <v>0</v>
      </c>
      <c r="P31" s="129">
        <v>0</v>
      </c>
      <c r="Q31" s="141">
        <v>20000</v>
      </c>
      <c r="R31" s="88">
        <f>1/0.18</f>
        <v>5.5555555555555554</v>
      </c>
      <c r="S31" s="88">
        <f t="shared" ref="S31:U32" si="50">1/0.18</f>
        <v>5.5555555555555554</v>
      </c>
      <c r="T31" s="88">
        <f t="shared" si="50"/>
        <v>5.5555555555555554</v>
      </c>
      <c r="U31" s="137">
        <f t="shared" si="50"/>
        <v>5.5555555555555554</v>
      </c>
      <c r="V31" s="87">
        <v>0</v>
      </c>
      <c r="W31" s="87">
        <v>0</v>
      </c>
      <c r="X31" s="87">
        <v>0</v>
      </c>
      <c r="Y31" s="141">
        <v>0</v>
      </c>
      <c r="Z31" s="87">
        <v>0</v>
      </c>
      <c r="AA31" s="87">
        <v>0</v>
      </c>
      <c r="AB31" s="87">
        <v>0</v>
      </c>
      <c r="AC31" s="141">
        <v>0</v>
      </c>
      <c r="AD31" s="89">
        <v>0.4</v>
      </c>
      <c r="AE31" s="89">
        <v>0.2</v>
      </c>
      <c r="AF31" s="89">
        <v>0.1</v>
      </c>
      <c r="AG31" s="146">
        <v>0.1</v>
      </c>
      <c r="AH31" s="89">
        <v>0.2</v>
      </c>
      <c r="AI31" s="89">
        <v>1</v>
      </c>
      <c r="AJ31" s="89">
        <v>1</v>
      </c>
      <c r="AK31" s="146">
        <v>1</v>
      </c>
      <c r="AL31" s="89">
        <v>0.2</v>
      </c>
      <c r="AM31" s="89">
        <v>1</v>
      </c>
      <c r="AN31" s="89">
        <v>1</v>
      </c>
      <c r="AO31" s="146">
        <v>1</v>
      </c>
      <c r="AP31" s="87">
        <v>0.47</v>
      </c>
      <c r="AQ31" s="87">
        <v>0.45</v>
      </c>
      <c r="AR31" s="87">
        <v>0.45</v>
      </c>
      <c r="AS31" s="141">
        <v>0.45</v>
      </c>
      <c r="AT31" s="87">
        <f t="shared" ref="AT31:AW31" si="51">890709*($J$31/8760)^(-0.426)</f>
        <v>8978.384014858857</v>
      </c>
      <c r="AU31" s="87">
        <f t="shared" si="51"/>
        <v>8978.384014858857</v>
      </c>
      <c r="AV31" s="87">
        <f t="shared" si="51"/>
        <v>8978.384014858857</v>
      </c>
      <c r="AW31" s="141">
        <f t="shared" si="51"/>
        <v>8978.384014858857</v>
      </c>
      <c r="AX31" s="87">
        <f t="shared" ref="AX31:BA32" si="52">AT31*4%</f>
        <v>359.13536059435427</v>
      </c>
      <c r="AY31" s="87">
        <f t="shared" si="52"/>
        <v>359.13536059435427</v>
      </c>
      <c r="AZ31" s="87">
        <f t="shared" si="52"/>
        <v>359.13536059435427</v>
      </c>
      <c r="BA31" s="141">
        <f t="shared" si="52"/>
        <v>359.13536059435427</v>
      </c>
      <c r="BB31" s="87">
        <v>0</v>
      </c>
      <c r="BC31" s="87">
        <v>0</v>
      </c>
      <c r="BD31" s="87">
        <v>0</v>
      </c>
      <c r="BE31" s="141">
        <v>0</v>
      </c>
      <c r="BF31" s="87">
        <v>0</v>
      </c>
      <c r="BG31" s="87">
        <v>0</v>
      </c>
      <c r="BH31" s="87">
        <v>0</v>
      </c>
      <c r="BI31" s="141">
        <v>0</v>
      </c>
      <c r="BJ31" s="87">
        <v>22.714018844166699</v>
      </c>
      <c r="BK31" s="87">
        <v>0</v>
      </c>
      <c r="BL31" s="87">
        <v>0</v>
      </c>
      <c r="BM31" s="141">
        <v>0</v>
      </c>
      <c r="BN31" s="87">
        <v>0</v>
      </c>
      <c r="BO31" s="87">
        <v>0</v>
      </c>
      <c r="BP31" s="87">
        <v>0</v>
      </c>
      <c r="BQ31" s="141">
        <v>0</v>
      </c>
      <c r="BR31" s="90">
        <f t="shared" ref="BR31:BU32" si="53">1/11.3</f>
        <v>8.8495575221238937E-2</v>
      </c>
      <c r="BS31" s="90">
        <f t="shared" si="53"/>
        <v>8.8495575221238937E-2</v>
      </c>
      <c r="BT31" s="90">
        <f t="shared" si="53"/>
        <v>8.8495575221238937E-2</v>
      </c>
      <c r="BU31" s="159">
        <f t="shared" si="53"/>
        <v>8.8495575221238937E-2</v>
      </c>
      <c r="BV31" s="86">
        <v>30</v>
      </c>
      <c r="BW31" s="86">
        <v>30</v>
      </c>
      <c r="BX31" s="86">
        <v>30</v>
      </c>
      <c r="BY31" s="164">
        <v>30</v>
      </c>
      <c r="BZ31" s="89">
        <v>0.08</v>
      </c>
      <c r="CA31" s="89">
        <v>0.08</v>
      </c>
      <c r="CB31" s="89">
        <v>0.08</v>
      </c>
      <c r="CC31" s="89">
        <v>0.08</v>
      </c>
    </row>
    <row r="32" spans="1:81" s="87" customFormat="1" x14ac:dyDescent="0.35">
      <c r="A32" s="413"/>
      <c r="B32" s="83" t="s">
        <v>97</v>
      </c>
      <c r="C32" s="84" t="s">
        <v>119</v>
      </c>
      <c r="D32" s="85" t="s">
        <v>366</v>
      </c>
      <c r="E32" s="400" t="s">
        <v>86</v>
      </c>
      <c r="F32" s="6">
        <f t="shared" si="14"/>
        <v>27</v>
      </c>
      <c r="G32" s="106">
        <v>1</v>
      </c>
      <c r="H32" s="118" t="s">
        <v>385</v>
      </c>
      <c r="I32" s="118" t="s">
        <v>386</v>
      </c>
      <c r="J32" s="305">
        <f>(2.2/(18.6/3.6))*10^9</f>
        <v>425806451.61290324</v>
      </c>
      <c r="K32" s="313" t="str">
        <f>B34</f>
        <v>Reactant10</v>
      </c>
      <c r="L32" s="129">
        <v>0</v>
      </c>
      <c r="M32" s="129">
        <v>1</v>
      </c>
      <c r="N32" s="129">
        <v>0</v>
      </c>
      <c r="O32" s="129">
        <v>0</v>
      </c>
      <c r="P32" s="129">
        <v>0</v>
      </c>
      <c r="Q32" s="141">
        <f>Q31</f>
        <v>20000</v>
      </c>
      <c r="R32" s="88">
        <f t="shared" ref="R32" si="54">1/0.18</f>
        <v>5.5555555555555554</v>
      </c>
      <c r="S32" s="88">
        <f t="shared" si="50"/>
        <v>5.5555555555555554</v>
      </c>
      <c r="T32" s="88">
        <f t="shared" si="50"/>
        <v>5.5555555555555554</v>
      </c>
      <c r="U32" s="137">
        <f t="shared" si="50"/>
        <v>5.5555555555555554</v>
      </c>
      <c r="V32" s="87">
        <v>0</v>
      </c>
      <c r="W32" s="87">
        <v>0</v>
      </c>
      <c r="X32" s="87">
        <v>0</v>
      </c>
      <c r="Y32" s="141">
        <v>0</v>
      </c>
      <c r="Z32" s="87">
        <v>0</v>
      </c>
      <c r="AA32" s="87">
        <v>0</v>
      </c>
      <c r="AB32" s="87">
        <v>0</v>
      </c>
      <c r="AC32" s="141">
        <v>0</v>
      </c>
      <c r="AD32" s="89">
        <v>0.4</v>
      </c>
      <c r="AE32" s="89">
        <v>0.2</v>
      </c>
      <c r="AF32" s="89">
        <v>0.1</v>
      </c>
      <c r="AG32" s="146">
        <v>0.1</v>
      </c>
      <c r="AH32" s="89">
        <v>0.2</v>
      </c>
      <c r="AI32" s="89">
        <v>1</v>
      </c>
      <c r="AJ32" s="89">
        <v>1</v>
      </c>
      <c r="AK32" s="146">
        <v>1</v>
      </c>
      <c r="AL32" s="89">
        <v>0.2</v>
      </c>
      <c r="AM32" s="89">
        <v>1</v>
      </c>
      <c r="AN32" s="89">
        <v>1</v>
      </c>
      <c r="AO32" s="146">
        <v>1</v>
      </c>
      <c r="AP32" s="87">
        <v>0.61</v>
      </c>
      <c r="AQ32" s="87">
        <v>0.59</v>
      </c>
      <c r="AR32" s="87">
        <v>0.59</v>
      </c>
      <c r="AS32" s="141">
        <v>0.59</v>
      </c>
      <c r="AT32" s="87">
        <f>890709*($J$32/8760)^(-0.426)</f>
        <v>8978.384014858857</v>
      </c>
      <c r="AU32" s="87">
        <f>890709*($J$32/8760)^(-0.426)</f>
        <v>8978.384014858857</v>
      </c>
      <c r="AV32" s="87">
        <f>890709*($J$32/8760)^(-0.426)</f>
        <v>8978.384014858857</v>
      </c>
      <c r="AW32" s="141">
        <f>890709*($J$32/8760)^(-0.426)</f>
        <v>8978.384014858857</v>
      </c>
      <c r="AX32" s="87">
        <f t="shared" si="52"/>
        <v>359.13536059435427</v>
      </c>
      <c r="AY32" s="87">
        <f t="shared" si="52"/>
        <v>359.13536059435427</v>
      </c>
      <c r="AZ32" s="87">
        <f t="shared" si="52"/>
        <v>359.13536059435427</v>
      </c>
      <c r="BA32" s="141">
        <f t="shared" si="52"/>
        <v>359.13536059435427</v>
      </c>
      <c r="BB32" s="87">
        <v>0</v>
      </c>
      <c r="BC32" s="87">
        <v>0</v>
      </c>
      <c r="BD32" s="87">
        <v>0</v>
      </c>
      <c r="BE32" s="141">
        <v>0</v>
      </c>
      <c r="BF32" s="87">
        <v>0</v>
      </c>
      <c r="BG32" s="87">
        <v>0</v>
      </c>
      <c r="BH32" s="87">
        <v>0</v>
      </c>
      <c r="BI32" s="141">
        <v>0</v>
      </c>
      <c r="BJ32" s="87">
        <v>22.714018844166699</v>
      </c>
      <c r="BK32" s="87">
        <v>0</v>
      </c>
      <c r="BL32" s="87">
        <v>0</v>
      </c>
      <c r="BM32" s="141">
        <v>0</v>
      </c>
      <c r="BN32" s="87">
        <v>0</v>
      </c>
      <c r="BO32" s="87">
        <v>0</v>
      </c>
      <c r="BP32" s="87">
        <v>0</v>
      </c>
      <c r="BQ32" s="141">
        <v>0</v>
      </c>
      <c r="BR32" s="90">
        <f t="shared" si="53"/>
        <v>8.8495575221238937E-2</v>
      </c>
      <c r="BS32" s="90">
        <f t="shared" si="53"/>
        <v>8.8495575221238937E-2</v>
      </c>
      <c r="BT32" s="90">
        <f t="shared" si="53"/>
        <v>8.8495575221238937E-2</v>
      </c>
      <c r="BU32" s="159">
        <f t="shared" si="53"/>
        <v>8.8495575221238937E-2</v>
      </c>
      <c r="BV32" s="86">
        <v>30</v>
      </c>
      <c r="BW32" s="86">
        <v>30</v>
      </c>
      <c r="BX32" s="86">
        <v>30</v>
      </c>
      <c r="BY32" s="164">
        <v>30</v>
      </c>
      <c r="BZ32" s="89">
        <v>0.08</v>
      </c>
      <c r="CA32" s="89">
        <v>0.08</v>
      </c>
      <c r="CB32" s="89">
        <v>0.08</v>
      </c>
      <c r="CC32" s="89">
        <v>0.08</v>
      </c>
    </row>
    <row r="33" spans="1:81" s="91" customFormat="1" x14ac:dyDescent="0.35">
      <c r="A33" s="413"/>
      <c r="B33" s="91" t="s">
        <v>97</v>
      </c>
      <c r="C33" s="65" t="s">
        <v>119</v>
      </c>
      <c r="D33" s="92" t="s">
        <v>174</v>
      </c>
      <c r="E33" s="401" t="s">
        <v>86</v>
      </c>
      <c r="F33" s="6">
        <f t="shared" si="14"/>
        <v>28</v>
      </c>
      <c r="G33" s="107">
        <v>1</v>
      </c>
      <c r="H33" s="119" t="s">
        <v>387</v>
      </c>
      <c r="I33" s="119" t="s">
        <v>388</v>
      </c>
      <c r="J33" s="310">
        <f>(2.2/(120/3.6))*10^9</f>
        <v>66000000</v>
      </c>
      <c r="K33" s="319" t="str">
        <f>B34</f>
        <v>Reactant10</v>
      </c>
      <c r="L33" s="130">
        <v>0</v>
      </c>
      <c r="M33" s="130">
        <v>1</v>
      </c>
      <c r="N33" s="130">
        <v>0</v>
      </c>
      <c r="O33" s="130">
        <v>0</v>
      </c>
      <c r="P33" s="130">
        <v>0</v>
      </c>
      <c r="Q33" s="138">
        <f>Q32</f>
        <v>20000</v>
      </c>
      <c r="R33" s="91">
        <v>1</v>
      </c>
      <c r="S33" s="91">
        <v>1</v>
      </c>
      <c r="T33" s="91">
        <v>1</v>
      </c>
      <c r="U33" s="138">
        <v>1</v>
      </c>
      <c r="V33" s="91">
        <v>0</v>
      </c>
      <c r="W33" s="91">
        <v>0</v>
      </c>
      <c r="X33" s="91">
        <v>0</v>
      </c>
      <c r="Y33" s="138">
        <v>0</v>
      </c>
      <c r="Z33" s="91">
        <v>0</v>
      </c>
      <c r="AA33" s="91">
        <v>0</v>
      </c>
      <c r="AB33" s="91">
        <v>0</v>
      </c>
      <c r="AC33" s="138">
        <v>0</v>
      </c>
      <c r="AD33" s="94">
        <v>0</v>
      </c>
      <c r="AE33" s="94">
        <v>0</v>
      </c>
      <c r="AF33" s="94">
        <v>0</v>
      </c>
      <c r="AG33" s="147">
        <v>0</v>
      </c>
      <c r="AH33" s="94">
        <v>1</v>
      </c>
      <c r="AI33" s="94">
        <v>1</v>
      </c>
      <c r="AJ33" s="94">
        <v>1</v>
      </c>
      <c r="AK33" s="147">
        <v>1</v>
      </c>
      <c r="AL33" s="94">
        <v>1</v>
      </c>
      <c r="AM33" s="94">
        <v>1</v>
      </c>
      <c r="AN33" s="94">
        <v>1</v>
      </c>
      <c r="AO33" s="147">
        <v>1</v>
      </c>
      <c r="AP33" s="91">
        <v>0</v>
      </c>
      <c r="AQ33" s="91">
        <v>0</v>
      </c>
      <c r="AR33" s="91">
        <v>0</v>
      </c>
      <c r="AS33" s="138">
        <v>0</v>
      </c>
      <c r="AT33" s="91">
        <v>0</v>
      </c>
      <c r="AU33" s="91">
        <v>0</v>
      </c>
      <c r="AV33" s="91">
        <v>0</v>
      </c>
      <c r="AW33" s="138">
        <v>0</v>
      </c>
      <c r="AX33" s="91">
        <v>0</v>
      </c>
      <c r="AY33" s="91">
        <v>0</v>
      </c>
      <c r="AZ33" s="91">
        <v>0</v>
      </c>
      <c r="BA33" s="138">
        <v>0</v>
      </c>
      <c r="BB33" s="91">
        <v>0</v>
      </c>
      <c r="BC33" s="91">
        <v>0</v>
      </c>
      <c r="BD33" s="91">
        <v>0</v>
      </c>
      <c r="BE33" s="138">
        <v>0</v>
      </c>
      <c r="BF33" s="91">
        <v>0</v>
      </c>
      <c r="BG33" s="91">
        <v>0</v>
      </c>
      <c r="BH33" s="91">
        <v>0</v>
      </c>
      <c r="BI33" s="138">
        <v>0</v>
      </c>
      <c r="BJ33" s="91">
        <v>0</v>
      </c>
      <c r="BK33" s="91">
        <v>0</v>
      </c>
      <c r="BL33" s="91">
        <v>0</v>
      </c>
      <c r="BM33" s="138">
        <v>0</v>
      </c>
      <c r="BN33" s="91">
        <v>0</v>
      </c>
      <c r="BO33" s="91">
        <v>0</v>
      </c>
      <c r="BP33" s="91">
        <v>0</v>
      </c>
      <c r="BQ33" s="138">
        <v>0</v>
      </c>
      <c r="BR33" s="91">
        <v>0</v>
      </c>
      <c r="BS33" s="91">
        <v>0</v>
      </c>
      <c r="BT33" s="91">
        <v>0</v>
      </c>
      <c r="BU33" s="138">
        <v>0</v>
      </c>
      <c r="BV33" s="93">
        <v>0</v>
      </c>
      <c r="BW33" s="93">
        <v>0</v>
      </c>
      <c r="BX33" s="93">
        <v>0</v>
      </c>
      <c r="BY33" s="165">
        <v>0</v>
      </c>
      <c r="BZ33" s="94">
        <v>0.08</v>
      </c>
      <c r="CA33" s="94">
        <v>0.08</v>
      </c>
      <c r="CB33" s="94">
        <v>0.08</v>
      </c>
      <c r="CC33" s="94">
        <v>0.08</v>
      </c>
    </row>
    <row r="34" spans="1:81" s="179" customFormat="1" x14ac:dyDescent="0.35">
      <c r="A34" s="413"/>
      <c r="B34" s="173" t="s">
        <v>440</v>
      </c>
      <c r="C34" s="65" t="s">
        <v>184</v>
      </c>
      <c r="D34" s="174" t="s">
        <v>300</v>
      </c>
      <c r="E34" s="402" t="s">
        <v>485</v>
      </c>
      <c r="F34" s="6">
        <f t="shared" si="14"/>
        <v>29</v>
      </c>
      <c r="G34" s="175">
        <v>1</v>
      </c>
      <c r="H34" s="176" t="s">
        <v>387</v>
      </c>
      <c r="I34" s="176" t="s">
        <v>388</v>
      </c>
      <c r="J34" s="311">
        <v>0</v>
      </c>
      <c r="K34" s="176" t="s">
        <v>12</v>
      </c>
      <c r="L34" s="178">
        <v>0</v>
      </c>
      <c r="M34" s="178">
        <v>0</v>
      </c>
      <c r="N34" s="178">
        <v>0</v>
      </c>
      <c r="O34" s="178">
        <v>-1</v>
      </c>
      <c r="P34" s="178">
        <v>0</v>
      </c>
      <c r="Q34" s="177">
        <f>Q38</f>
        <v>20000</v>
      </c>
      <c r="R34" s="183">
        <v>0</v>
      </c>
      <c r="S34" s="183">
        <v>0</v>
      </c>
      <c r="T34" s="183">
        <v>0</v>
      </c>
      <c r="U34" s="237">
        <v>0</v>
      </c>
      <c r="V34" s="179">
        <v>0</v>
      </c>
      <c r="W34" s="179">
        <v>0</v>
      </c>
      <c r="X34" s="179">
        <v>0</v>
      </c>
      <c r="Y34" s="177">
        <v>0</v>
      </c>
      <c r="Z34" s="179">
        <v>0</v>
      </c>
      <c r="AA34" s="179">
        <v>0</v>
      </c>
      <c r="AB34" s="179">
        <v>0</v>
      </c>
      <c r="AC34" s="177">
        <v>0</v>
      </c>
      <c r="AD34" s="180">
        <v>0</v>
      </c>
      <c r="AE34" s="180">
        <v>0</v>
      </c>
      <c r="AF34" s="180">
        <v>0</v>
      </c>
      <c r="AG34" s="181">
        <v>0</v>
      </c>
      <c r="AH34" s="180">
        <v>1</v>
      </c>
      <c r="AI34" s="180">
        <v>1</v>
      </c>
      <c r="AJ34" s="180">
        <v>1</v>
      </c>
      <c r="AK34" s="181">
        <v>1</v>
      </c>
      <c r="AL34" s="180">
        <v>1</v>
      </c>
      <c r="AM34" s="180">
        <v>1</v>
      </c>
      <c r="AN34" s="180">
        <v>1</v>
      </c>
      <c r="AO34" s="181">
        <v>1</v>
      </c>
      <c r="AP34" s="183">
        <v>0</v>
      </c>
      <c r="AQ34" s="183">
        <v>0</v>
      </c>
      <c r="AR34" s="183">
        <v>0</v>
      </c>
      <c r="AS34" s="237">
        <v>0</v>
      </c>
      <c r="AT34" s="183">
        <v>0</v>
      </c>
      <c r="AU34" s="183">
        <v>0</v>
      </c>
      <c r="AV34" s="183">
        <v>0</v>
      </c>
      <c r="AW34" s="237">
        <v>0</v>
      </c>
      <c r="AX34" s="183">
        <v>0</v>
      </c>
      <c r="AY34" s="183">
        <v>0</v>
      </c>
      <c r="AZ34" s="183">
        <v>0</v>
      </c>
      <c r="BA34" s="237">
        <v>0</v>
      </c>
      <c r="BB34" s="183">
        <v>0</v>
      </c>
      <c r="BC34" s="183">
        <v>0</v>
      </c>
      <c r="BD34" s="183">
        <v>0</v>
      </c>
      <c r="BE34" s="237">
        <v>0</v>
      </c>
      <c r="BF34" s="183">
        <v>0</v>
      </c>
      <c r="BG34" s="183">
        <v>0</v>
      </c>
      <c r="BH34" s="183">
        <v>0</v>
      </c>
      <c r="BI34" s="237">
        <v>0</v>
      </c>
      <c r="BJ34" s="91">
        <v>0</v>
      </c>
      <c r="BK34" s="91">
        <v>0</v>
      </c>
      <c r="BL34" s="91">
        <v>0</v>
      </c>
      <c r="BM34" s="138">
        <v>0</v>
      </c>
      <c r="BN34" s="183">
        <v>0</v>
      </c>
      <c r="BO34" s="183">
        <v>0</v>
      </c>
      <c r="BP34" s="183">
        <v>0</v>
      </c>
      <c r="BQ34" s="237">
        <v>0</v>
      </c>
      <c r="BR34" s="183">
        <v>0</v>
      </c>
      <c r="BS34" s="183">
        <v>0</v>
      </c>
      <c r="BT34" s="183">
        <v>0</v>
      </c>
      <c r="BU34" s="237">
        <v>0</v>
      </c>
      <c r="BV34" s="182">
        <v>0</v>
      </c>
      <c r="BW34" s="182">
        <v>0</v>
      </c>
      <c r="BX34" s="182">
        <v>0</v>
      </c>
      <c r="BY34" s="251">
        <v>0</v>
      </c>
      <c r="BZ34" s="180">
        <v>0.08</v>
      </c>
      <c r="CA34" s="180">
        <v>0.08</v>
      </c>
      <c r="CB34" s="180">
        <v>0.08</v>
      </c>
      <c r="CC34" s="180">
        <v>0.08</v>
      </c>
    </row>
    <row r="35" spans="1:81" s="37" customFormat="1" x14ac:dyDescent="0.35">
      <c r="A35" s="413"/>
      <c r="B35" s="217" t="s">
        <v>282</v>
      </c>
      <c r="C35" s="218" t="s">
        <v>13</v>
      </c>
      <c r="D35" s="219" t="s">
        <v>166</v>
      </c>
      <c r="E35" s="403" t="s">
        <v>483</v>
      </c>
      <c r="F35" s="6">
        <f t="shared" si="14"/>
        <v>30</v>
      </c>
      <c r="G35" s="220">
        <v>1</v>
      </c>
      <c r="H35" s="221" t="s">
        <v>387</v>
      </c>
      <c r="I35" s="221" t="s">
        <v>388</v>
      </c>
      <c r="J35" s="224">
        <v>0</v>
      </c>
      <c r="K35" s="320" t="str">
        <f>B41</f>
        <v>Reactant11</v>
      </c>
      <c r="L35" s="224">
        <v>0</v>
      </c>
      <c r="M35" s="224">
        <v>1</v>
      </c>
      <c r="N35" s="224">
        <v>0</v>
      </c>
      <c r="O35" s="224">
        <v>1</v>
      </c>
      <c r="P35" s="224">
        <v>0</v>
      </c>
      <c r="Q35" s="222">
        <v>20000</v>
      </c>
      <c r="R35" s="37">
        <f t="shared" ref="R35:U39" si="55">(1/9)*0.8</f>
        <v>8.8888888888888892E-2</v>
      </c>
      <c r="S35" s="37">
        <f t="shared" si="55"/>
        <v>8.8888888888888892E-2</v>
      </c>
      <c r="T35" s="37">
        <f t="shared" si="55"/>
        <v>8.8888888888888892E-2</v>
      </c>
      <c r="U35" s="222">
        <f t="shared" si="55"/>
        <v>8.8888888888888892E-2</v>
      </c>
      <c r="V35" s="37">
        <v>7.07</v>
      </c>
      <c r="W35" s="37">
        <v>5.6759999999999993</v>
      </c>
      <c r="X35" s="37">
        <v>4.6150000000000002</v>
      </c>
      <c r="Y35" s="222">
        <v>3.6</v>
      </c>
      <c r="Z35" s="37">
        <v>0</v>
      </c>
      <c r="AA35" s="37">
        <v>0</v>
      </c>
      <c r="AB35" s="37">
        <v>0</v>
      </c>
      <c r="AC35" s="222">
        <v>0</v>
      </c>
      <c r="AD35" s="225">
        <v>0</v>
      </c>
      <c r="AE35" s="225">
        <v>0</v>
      </c>
      <c r="AF35" s="225">
        <v>0</v>
      </c>
      <c r="AG35" s="226">
        <v>0</v>
      </c>
      <c r="AH35" s="225">
        <v>1</v>
      </c>
      <c r="AI35" s="225">
        <v>1</v>
      </c>
      <c r="AJ35" s="225">
        <v>1</v>
      </c>
      <c r="AK35" s="226">
        <v>1</v>
      </c>
      <c r="AL35" s="225">
        <v>1</v>
      </c>
      <c r="AM35" s="225">
        <v>1</v>
      </c>
      <c r="AN35" s="225">
        <v>1</v>
      </c>
      <c r="AO35" s="226">
        <v>1</v>
      </c>
      <c r="AP35" s="37">
        <v>51.5</v>
      </c>
      <c r="AQ35" s="37">
        <v>49.8</v>
      </c>
      <c r="AR35" s="37">
        <f>(AQ35+AS35)/2</f>
        <v>49.4</v>
      </c>
      <c r="AS35" s="222">
        <v>49</v>
      </c>
      <c r="AT35" s="37">
        <v>55000</v>
      </c>
      <c r="AU35" s="37">
        <v>39840</v>
      </c>
      <c r="AV35" s="37">
        <f>(AU35+AW35)/2</f>
        <v>32370</v>
      </c>
      <c r="AW35" s="222">
        <v>24900</v>
      </c>
      <c r="AX35" s="37">
        <f>10%*AT35</f>
        <v>5500</v>
      </c>
      <c r="AY35" s="37">
        <f>10%*AU35</f>
        <v>3984</v>
      </c>
      <c r="AZ35" s="37">
        <f>10%*AV35</f>
        <v>3237</v>
      </c>
      <c r="BA35" s="222">
        <f>10%*AW35</f>
        <v>2490</v>
      </c>
      <c r="BB35" s="37">
        <v>0</v>
      </c>
      <c r="BC35" s="37">
        <v>0</v>
      </c>
      <c r="BD35" s="37">
        <v>0</v>
      </c>
      <c r="BE35" s="222">
        <v>0</v>
      </c>
      <c r="BF35" s="37">
        <v>0</v>
      </c>
      <c r="BG35" s="37">
        <v>0</v>
      </c>
      <c r="BH35" s="37">
        <v>0</v>
      </c>
      <c r="BI35" s="222">
        <v>0</v>
      </c>
      <c r="BJ35" s="37">
        <v>115.4145399442897</v>
      </c>
      <c r="BK35" s="37">
        <v>0</v>
      </c>
      <c r="BL35" s="37">
        <v>0</v>
      </c>
      <c r="BM35" s="222">
        <v>0</v>
      </c>
      <c r="BN35" s="37">
        <v>0</v>
      </c>
      <c r="BO35" s="37">
        <v>0</v>
      </c>
      <c r="BP35" s="37">
        <v>0</v>
      </c>
      <c r="BQ35" s="222">
        <v>0</v>
      </c>
      <c r="BR35" s="227">
        <f t="shared" ref="BR35:BU37" si="56">1/11.3</f>
        <v>8.8495575221238937E-2</v>
      </c>
      <c r="BS35" s="227">
        <f t="shared" si="56"/>
        <v>8.8495575221238937E-2</v>
      </c>
      <c r="BT35" s="227">
        <f t="shared" si="56"/>
        <v>8.8495575221238937E-2</v>
      </c>
      <c r="BU35" s="228">
        <f t="shared" si="56"/>
        <v>8.8495575221238937E-2</v>
      </c>
      <c r="BV35" s="229">
        <v>30</v>
      </c>
      <c r="BW35" s="229">
        <v>30</v>
      </c>
      <c r="BX35" s="229">
        <v>30</v>
      </c>
      <c r="BY35" s="223">
        <v>30</v>
      </c>
      <c r="BZ35" s="225">
        <v>0.08</v>
      </c>
      <c r="CA35" s="225">
        <v>0.08</v>
      </c>
      <c r="CB35" s="225">
        <v>0.08</v>
      </c>
      <c r="CC35" s="225">
        <v>0.08</v>
      </c>
    </row>
    <row r="36" spans="1:81" s="37" customFormat="1" x14ac:dyDescent="0.35">
      <c r="A36" s="413"/>
      <c r="B36" s="217" t="s">
        <v>282</v>
      </c>
      <c r="C36" s="218" t="s">
        <v>13</v>
      </c>
      <c r="D36" s="219" t="s">
        <v>367</v>
      </c>
      <c r="E36" s="403" t="s">
        <v>484</v>
      </c>
      <c r="F36" s="6">
        <f t="shared" si="14"/>
        <v>31</v>
      </c>
      <c r="G36" s="220">
        <v>1</v>
      </c>
      <c r="H36" s="221" t="s">
        <v>387</v>
      </c>
      <c r="I36" s="221" t="s">
        <v>388</v>
      </c>
      <c r="J36" s="224">
        <v>0</v>
      </c>
      <c r="K36" s="320" t="str">
        <f>B41</f>
        <v>Reactant11</v>
      </c>
      <c r="L36" s="224">
        <v>0</v>
      </c>
      <c r="M36" s="224">
        <v>1</v>
      </c>
      <c r="N36" s="224">
        <v>0</v>
      </c>
      <c r="O36" s="224">
        <v>1</v>
      </c>
      <c r="P36" s="224">
        <v>0</v>
      </c>
      <c r="Q36" s="222">
        <f>Q35</f>
        <v>20000</v>
      </c>
      <c r="R36" s="37">
        <f t="shared" si="55"/>
        <v>8.8888888888888892E-2</v>
      </c>
      <c r="S36" s="37">
        <f t="shared" si="55"/>
        <v>8.8888888888888892E-2</v>
      </c>
      <c r="T36" s="37">
        <f t="shared" si="55"/>
        <v>8.8888888888888892E-2</v>
      </c>
      <c r="U36" s="222">
        <f t="shared" si="55"/>
        <v>8.8888888888888892E-2</v>
      </c>
      <c r="V36" s="37">
        <v>0</v>
      </c>
      <c r="W36" s="37">
        <v>0</v>
      </c>
      <c r="X36" s="37">
        <v>0</v>
      </c>
      <c r="Y36" s="222">
        <v>0</v>
      </c>
      <c r="Z36" s="37">
        <v>0</v>
      </c>
      <c r="AA36" s="37">
        <v>0</v>
      </c>
      <c r="AB36" s="37">
        <v>0</v>
      </c>
      <c r="AC36" s="222">
        <v>0</v>
      </c>
      <c r="AD36" s="225">
        <v>0</v>
      </c>
      <c r="AE36" s="225">
        <v>0</v>
      </c>
      <c r="AF36" s="225">
        <v>0</v>
      </c>
      <c r="AG36" s="226">
        <v>0</v>
      </c>
      <c r="AH36" s="225">
        <v>1</v>
      </c>
      <c r="AI36" s="225">
        <v>1</v>
      </c>
      <c r="AJ36" s="225">
        <v>1</v>
      </c>
      <c r="AK36" s="226">
        <v>1</v>
      </c>
      <c r="AL36" s="225">
        <v>1</v>
      </c>
      <c r="AM36" s="225">
        <v>1</v>
      </c>
      <c r="AN36" s="225">
        <v>1</v>
      </c>
      <c r="AO36" s="226">
        <v>1</v>
      </c>
      <c r="AP36" s="230">
        <v>38</v>
      </c>
      <c r="AQ36" s="230">
        <v>38</v>
      </c>
      <c r="AR36" s="230">
        <v>38</v>
      </c>
      <c r="AS36" s="231">
        <v>38</v>
      </c>
      <c r="AT36" s="230">
        <v>105260</v>
      </c>
      <c r="AU36" s="37">
        <v>39583.978111776618</v>
      </c>
      <c r="AV36" s="37">
        <f>(AU36+AW36)/2</f>
        <v>27391.989055888309</v>
      </c>
      <c r="AW36" s="222">
        <v>15200</v>
      </c>
      <c r="AX36" s="230">
        <f t="shared" ref="AX36:BA37" si="57">8.55%*AT36</f>
        <v>8999.7300000000014</v>
      </c>
      <c r="AY36" s="230">
        <f t="shared" si="57"/>
        <v>3384.4301285569013</v>
      </c>
      <c r="AZ36" s="230">
        <f t="shared" si="57"/>
        <v>2342.0150642784506</v>
      </c>
      <c r="BA36" s="231">
        <f t="shared" si="57"/>
        <v>1299.6000000000001</v>
      </c>
      <c r="BB36" s="37">
        <v>0</v>
      </c>
      <c r="BC36" s="37">
        <v>0</v>
      </c>
      <c r="BD36" s="37">
        <v>0</v>
      </c>
      <c r="BE36" s="222">
        <v>0</v>
      </c>
      <c r="BF36" s="37">
        <v>0</v>
      </c>
      <c r="BG36" s="37">
        <v>0</v>
      </c>
      <c r="BH36" s="37">
        <v>0</v>
      </c>
      <c r="BI36" s="222">
        <v>0</v>
      </c>
      <c r="BJ36" s="388">
        <v>120.74318234482759</v>
      </c>
      <c r="BK36" s="37">
        <v>0</v>
      </c>
      <c r="BL36" s="37">
        <v>0</v>
      </c>
      <c r="BM36" s="222">
        <v>0</v>
      </c>
      <c r="BN36" s="37">
        <v>0</v>
      </c>
      <c r="BO36" s="37">
        <v>0</v>
      </c>
      <c r="BP36" s="37">
        <v>0</v>
      </c>
      <c r="BQ36" s="222">
        <v>0</v>
      </c>
      <c r="BR36" s="227">
        <f t="shared" si="56"/>
        <v>8.8495575221238937E-2</v>
      </c>
      <c r="BS36" s="227">
        <f t="shared" si="56"/>
        <v>8.8495575221238937E-2</v>
      </c>
      <c r="BT36" s="227">
        <f t="shared" si="56"/>
        <v>8.8495575221238937E-2</v>
      </c>
      <c r="BU36" s="228">
        <f t="shared" si="56"/>
        <v>8.8495575221238937E-2</v>
      </c>
      <c r="BV36" s="229">
        <v>30</v>
      </c>
      <c r="BW36" s="229">
        <v>30</v>
      </c>
      <c r="BX36" s="229">
        <v>30</v>
      </c>
      <c r="BY36" s="223">
        <v>30</v>
      </c>
      <c r="BZ36" s="225">
        <v>0.08</v>
      </c>
      <c r="CA36" s="225">
        <v>0.08</v>
      </c>
      <c r="CB36" s="225">
        <v>0.08</v>
      </c>
      <c r="CC36" s="225">
        <v>0.08</v>
      </c>
    </row>
    <row r="37" spans="1:81" s="37" customFormat="1" x14ac:dyDescent="0.35">
      <c r="A37" s="413"/>
      <c r="B37" s="217" t="s">
        <v>282</v>
      </c>
      <c r="C37" s="218" t="s">
        <v>13</v>
      </c>
      <c r="D37" s="219" t="s">
        <v>368</v>
      </c>
      <c r="E37" s="403" t="s">
        <v>484</v>
      </c>
      <c r="F37" s="6">
        <f t="shared" si="14"/>
        <v>32</v>
      </c>
      <c r="G37" s="220">
        <v>1</v>
      </c>
      <c r="H37" s="221" t="s">
        <v>387</v>
      </c>
      <c r="I37" s="221" t="s">
        <v>388</v>
      </c>
      <c r="J37" s="224">
        <v>0</v>
      </c>
      <c r="K37" s="320" t="str">
        <f>B41</f>
        <v>Reactant11</v>
      </c>
      <c r="L37" s="224">
        <v>0</v>
      </c>
      <c r="M37" s="224">
        <v>1</v>
      </c>
      <c r="N37" s="224">
        <v>0</v>
      </c>
      <c r="O37" s="224">
        <v>1</v>
      </c>
      <c r="P37" s="224">
        <v>0</v>
      </c>
      <c r="Q37" s="222">
        <f>Q36</f>
        <v>20000</v>
      </c>
      <c r="R37" s="37">
        <f t="shared" si="55"/>
        <v>8.8888888888888892E-2</v>
      </c>
      <c r="S37" s="37">
        <f t="shared" si="55"/>
        <v>8.8888888888888892E-2</v>
      </c>
      <c r="T37" s="37">
        <f t="shared" si="55"/>
        <v>8.8888888888888892E-2</v>
      </c>
      <c r="U37" s="222">
        <f t="shared" si="55"/>
        <v>8.8888888888888892E-2</v>
      </c>
      <c r="V37" s="37">
        <v>0</v>
      </c>
      <c r="W37" s="37">
        <v>0</v>
      </c>
      <c r="X37" s="37">
        <v>0</v>
      </c>
      <c r="Y37" s="222">
        <v>0</v>
      </c>
      <c r="Z37" s="37">
        <v>0</v>
      </c>
      <c r="AA37" s="37">
        <v>0</v>
      </c>
      <c r="AB37" s="37">
        <v>0</v>
      </c>
      <c r="AC37" s="222">
        <v>0</v>
      </c>
      <c r="AD37" s="225">
        <v>0</v>
      </c>
      <c r="AE37" s="225">
        <v>0</v>
      </c>
      <c r="AF37" s="225">
        <v>0</v>
      </c>
      <c r="AG37" s="226">
        <v>0</v>
      </c>
      <c r="AH37" s="225">
        <v>1</v>
      </c>
      <c r="AI37" s="225">
        <v>1</v>
      </c>
      <c r="AJ37" s="225">
        <v>1</v>
      </c>
      <c r="AK37" s="226">
        <v>1</v>
      </c>
      <c r="AL37" s="225">
        <v>1</v>
      </c>
      <c r="AM37" s="225">
        <v>1</v>
      </c>
      <c r="AN37" s="225">
        <v>1</v>
      </c>
      <c r="AO37" s="226">
        <v>1</v>
      </c>
      <c r="AP37" s="230">
        <v>44</v>
      </c>
      <c r="AQ37" s="229">
        <v>43.2</v>
      </c>
      <c r="AR37" s="230">
        <f>(AQ37+AS37)/2</f>
        <v>41.6</v>
      </c>
      <c r="AS37" s="222">
        <v>40</v>
      </c>
      <c r="AT37" s="230">
        <v>105260</v>
      </c>
      <c r="AU37" s="37">
        <v>39583.978111776618</v>
      </c>
      <c r="AV37" s="37">
        <f>(AU37+AW37)/2</f>
        <v>27391.989055888309</v>
      </c>
      <c r="AW37" s="222">
        <v>15200</v>
      </c>
      <c r="AX37" s="230">
        <f t="shared" si="57"/>
        <v>8999.7300000000014</v>
      </c>
      <c r="AY37" s="230">
        <f t="shared" si="57"/>
        <v>3384.4301285569013</v>
      </c>
      <c r="AZ37" s="230">
        <f t="shared" si="57"/>
        <v>2342.0150642784506</v>
      </c>
      <c r="BA37" s="231">
        <f t="shared" si="57"/>
        <v>1299.6000000000001</v>
      </c>
      <c r="BB37" s="37">
        <v>0</v>
      </c>
      <c r="BC37" s="37">
        <v>0</v>
      </c>
      <c r="BD37" s="37">
        <v>0</v>
      </c>
      <c r="BE37" s="222">
        <v>0</v>
      </c>
      <c r="BF37" s="37">
        <v>0</v>
      </c>
      <c r="BG37" s="37">
        <v>0</v>
      </c>
      <c r="BH37" s="37">
        <v>0</v>
      </c>
      <c r="BI37" s="222">
        <v>0</v>
      </c>
      <c r="BJ37" s="388">
        <v>120.74318234482759</v>
      </c>
      <c r="BK37" s="37">
        <v>0</v>
      </c>
      <c r="BL37" s="37">
        <v>0</v>
      </c>
      <c r="BM37" s="222">
        <v>0</v>
      </c>
      <c r="BN37" s="37">
        <v>0</v>
      </c>
      <c r="BO37" s="37">
        <v>0</v>
      </c>
      <c r="BP37" s="37">
        <v>0</v>
      </c>
      <c r="BQ37" s="222">
        <v>0</v>
      </c>
      <c r="BR37" s="227">
        <f t="shared" si="56"/>
        <v>8.8495575221238937E-2</v>
      </c>
      <c r="BS37" s="227">
        <f t="shared" si="56"/>
        <v>8.8495575221238937E-2</v>
      </c>
      <c r="BT37" s="227">
        <f t="shared" si="56"/>
        <v>8.8495575221238937E-2</v>
      </c>
      <c r="BU37" s="228">
        <f t="shared" si="56"/>
        <v>8.8495575221238937E-2</v>
      </c>
      <c r="BV37" s="229">
        <v>30</v>
      </c>
      <c r="BW37" s="229">
        <v>30</v>
      </c>
      <c r="BX37" s="229">
        <v>30</v>
      </c>
      <c r="BY37" s="223">
        <v>30</v>
      </c>
      <c r="BZ37" s="225">
        <v>0.08</v>
      </c>
      <c r="CA37" s="225">
        <v>0.08</v>
      </c>
      <c r="CB37" s="225">
        <v>0.08</v>
      </c>
      <c r="CC37" s="225">
        <v>0.08</v>
      </c>
    </row>
    <row r="38" spans="1:81" s="37" customFormat="1" x14ac:dyDescent="0.35">
      <c r="A38" s="413"/>
      <c r="B38" s="217" t="s">
        <v>282</v>
      </c>
      <c r="C38" s="218" t="s">
        <v>13</v>
      </c>
      <c r="D38" s="219" t="s">
        <v>369</v>
      </c>
      <c r="E38" s="403" t="s">
        <v>483</v>
      </c>
      <c r="F38" s="6">
        <f t="shared" ref="F38:F69" si="58">ROW(D37)-ROW($F$4)</f>
        <v>33</v>
      </c>
      <c r="G38" s="220">
        <v>1</v>
      </c>
      <c r="H38" s="221" t="s">
        <v>387</v>
      </c>
      <c r="I38" s="221" t="s">
        <v>388</v>
      </c>
      <c r="J38" s="224">
        <v>0</v>
      </c>
      <c r="K38" s="320" t="str">
        <f>B41</f>
        <v>Reactant11</v>
      </c>
      <c r="L38" s="224">
        <v>0</v>
      </c>
      <c r="M38" s="224">
        <v>1</v>
      </c>
      <c r="N38" s="224">
        <v>0</v>
      </c>
      <c r="O38" s="224">
        <v>1</v>
      </c>
      <c r="P38" s="224">
        <v>0</v>
      </c>
      <c r="Q38" s="222">
        <f>Q36</f>
        <v>20000</v>
      </c>
      <c r="R38" s="37">
        <f t="shared" si="55"/>
        <v>8.8888888888888892E-2</v>
      </c>
      <c r="S38" s="37">
        <f t="shared" si="55"/>
        <v>8.8888888888888892E-2</v>
      </c>
      <c r="T38" s="37">
        <f t="shared" si="55"/>
        <v>8.8888888888888892E-2</v>
      </c>
      <c r="U38" s="222">
        <f t="shared" si="55"/>
        <v>8.8888888888888892E-2</v>
      </c>
      <c r="V38" s="37">
        <f t="shared" ref="V38:Y38" si="59">V35*0.75</f>
        <v>5.3025000000000002</v>
      </c>
      <c r="W38" s="37">
        <f t="shared" si="59"/>
        <v>4.2569999999999997</v>
      </c>
      <c r="X38" s="37">
        <f t="shared" si="59"/>
        <v>3.4612500000000002</v>
      </c>
      <c r="Y38" s="222">
        <f t="shared" si="59"/>
        <v>2.7</v>
      </c>
      <c r="Z38" s="37">
        <v>0</v>
      </c>
      <c r="AA38" s="37">
        <v>0</v>
      </c>
      <c r="AB38" s="37">
        <v>0</v>
      </c>
      <c r="AC38" s="222">
        <v>0</v>
      </c>
      <c r="AD38" s="225">
        <v>0</v>
      </c>
      <c r="AE38" s="225">
        <v>0</v>
      </c>
      <c r="AF38" s="225">
        <v>0</v>
      </c>
      <c r="AG38" s="226">
        <v>0</v>
      </c>
      <c r="AH38" s="225">
        <v>1</v>
      </c>
      <c r="AI38" s="225">
        <v>1</v>
      </c>
      <c r="AJ38" s="225">
        <v>1</v>
      </c>
      <c r="AK38" s="226">
        <v>1</v>
      </c>
      <c r="AL38" s="225">
        <v>1</v>
      </c>
      <c r="AM38" s="225">
        <v>1</v>
      </c>
      <c r="AN38" s="225">
        <v>1</v>
      </c>
      <c r="AO38" s="226">
        <v>1</v>
      </c>
      <c r="AP38" s="230">
        <f t="shared" ref="AP38:AS38" si="60">AP35*0.75+AP36*0.25</f>
        <v>48.125</v>
      </c>
      <c r="AQ38" s="230">
        <f t="shared" si="60"/>
        <v>46.849999999999994</v>
      </c>
      <c r="AR38" s="230">
        <f t="shared" si="60"/>
        <v>46.55</v>
      </c>
      <c r="AS38" s="231">
        <f t="shared" si="60"/>
        <v>46.25</v>
      </c>
      <c r="AT38" s="230">
        <f t="shared" ref="AT38" si="61">AT35*0.75+AT36*0.25</f>
        <v>67565</v>
      </c>
      <c r="AU38" s="230">
        <f t="shared" ref="AU38" si="62">AU35*0.75+AU36*0.25</f>
        <v>39775.994527944153</v>
      </c>
      <c r="AV38" s="230">
        <f t="shared" ref="AV38" si="63">AV35*0.75+AV36*0.25</f>
        <v>31125.497263972076</v>
      </c>
      <c r="AW38" s="231">
        <f t="shared" ref="AW38" si="64">AW35*0.75+AW36*0.25</f>
        <v>22475</v>
      </c>
      <c r="AX38" s="230">
        <f t="shared" ref="AX38" si="65">AX35*0.75+AX36*0.25</f>
        <v>6374.9325000000008</v>
      </c>
      <c r="AY38" s="230">
        <f t="shared" ref="AY38" si="66">AY35*0.75+AY36*0.25</f>
        <v>3834.1075321392254</v>
      </c>
      <c r="AZ38" s="230">
        <f t="shared" ref="AZ38" si="67">AZ35*0.75+AZ36*0.25</f>
        <v>3013.2537660696125</v>
      </c>
      <c r="BA38" s="231">
        <f t="shared" ref="BA38" si="68">BA35*0.75+BA36*0.25</f>
        <v>2192.4</v>
      </c>
      <c r="BB38" s="230">
        <f t="shared" ref="BB38" si="69">BB35*0.75+BB36*0.25</f>
        <v>0</v>
      </c>
      <c r="BC38" s="230">
        <f t="shared" ref="BC38" si="70">BC35*0.75+BC36*0.25</f>
        <v>0</v>
      </c>
      <c r="BD38" s="230">
        <f t="shared" ref="BD38" si="71">BD35*0.75+BD36*0.25</f>
        <v>0</v>
      </c>
      <c r="BE38" s="231">
        <f t="shared" ref="BE38" si="72">BE35*0.75+BE36*0.25</f>
        <v>0</v>
      </c>
      <c r="BF38" s="230">
        <f t="shared" ref="BF38" si="73">BF35*0.75+BF36*0.25</f>
        <v>0</v>
      </c>
      <c r="BG38" s="230">
        <f t="shared" ref="BG38" si="74">BG35*0.75+BG36*0.25</f>
        <v>0</v>
      </c>
      <c r="BH38" s="230">
        <f t="shared" ref="BH38" si="75">BH35*0.75+BH36*0.25</f>
        <v>0</v>
      </c>
      <c r="BI38" s="231">
        <f t="shared" ref="BI38:BJ38" si="76">BI35*0.75+BI36*0.25</f>
        <v>0</v>
      </c>
      <c r="BJ38" s="230">
        <f t="shared" si="76"/>
        <v>116.74670054442417</v>
      </c>
      <c r="BK38" s="37">
        <v>0</v>
      </c>
      <c r="BL38" s="37">
        <v>0</v>
      </c>
      <c r="BM38" s="222">
        <v>0</v>
      </c>
      <c r="BN38" s="230">
        <f t="shared" ref="BN38:BQ38" si="77">BN35*0.75+BN36*0.25</f>
        <v>0</v>
      </c>
      <c r="BO38" s="230">
        <f t="shared" si="77"/>
        <v>0</v>
      </c>
      <c r="BP38" s="230">
        <f t="shared" si="77"/>
        <v>0</v>
      </c>
      <c r="BQ38" s="231">
        <f t="shared" si="77"/>
        <v>0</v>
      </c>
      <c r="BR38" s="230">
        <f t="shared" ref="BR38" si="78">BR35*0.75+BR36*0.25</f>
        <v>8.8495575221238937E-2</v>
      </c>
      <c r="BS38" s="230">
        <f t="shared" ref="BS38" si="79">BS35*0.75+BS36*0.25</f>
        <v>8.8495575221238937E-2</v>
      </c>
      <c r="BT38" s="230">
        <f t="shared" ref="BT38" si="80">BT35*0.75+BT36*0.25</f>
        <v>8.8495575221238937E-2</v>
      </c>
      <c r="BU38" s="231">
        <f t="shared" ref="BU38" si="81">BU35*0.75+BU36*0.25</f>
        <v>8.8495575221238937E-2</v>
      </c>
      <c r="BV38" s="229">
        <v>30</v>
      </c>
      <c r="BW38" s="229">
        <v>30</v>
      </c>
      <c r="BX38" s="229">
        <v>30</v>
      </c>
      <c r="BY38" s="223">
        <v>30</v>
      </c>
      <c r="BZ38" s="225">
        <v>0.08</v>
      </c>
      <c r="CA38" s="225">
        <v>0.08</v>
      </c>
      <c r="CB38" s="225">
        <v>0.08</v>
      </c>
      <c r="CC38" s="225">
        <v>0.08</v>
      </c>
    </row>
    <row r="39" spans="1:81" s="37" customFormat="1" x14ac:dyDescent="0.35">
      <c r="A39" s="413"/>
      <c r="B39" s="217" t="s">
        <v>282</v>
      </c>
      <c r="C39" s="218" t="s">
        <v>13</v>
      </c>
      <c r="D39" s="219" t="s">
        <v>370</v>
      </c>
      <c r="E39" s="403" t="s">
        <v>483</v>
      </c>
      <c r="F39" s="6">
        <f t="shared" si="58"/>
        <v>34</v>
      </c>
      <c r="G39" s="220">
        <v>1</v>
      </c>
      <c r="H39" s="221" t="s">
        <v>387</v>
      </c>
      <c r="I39" s="221" t="s">
        <v>388</v>
      </c>
      <c r="J39" s="224">
        <v>0</v>
      </c>
      <c r="K39" s="320" t="str">
        <f>B41</f>
        <v>Reactant11</v>
      </c>
      <c r="L39" s="224">
        <v>0</v>
      </c>
      <c r="M39" s="224">
        <v>1</v>
      </c>
      <c r="N39" s="224">
        <v>0</v>
      </c>
      <c r="O39" s="224">
        <v>1</v>
      </c>
      <c r="P39" s="224">
        <v>0</v>
      </c>
      <c r="Q39" s="222">
        <f>Q37</f>
        <v>20000</v>
      </c>
      <c r="R39" s="37">
        <f t="shared" si="55"/>
        <v>8.8888888888888892E-2</v>
      </c>
      <c r="S39" s="37">
        <f t="shared" si="55"/>
        <v>8.8888888888888892E-2</v>
      </c>
      <c r="T39" s="37">
        <f t="shared" si="55"/>
        <v>8.8888888888888892E-2</v>
      </c>
      <c r="U39" s="222">
        <f t="shared" si="55"/>
        <v>8.8888888888888892E-2</v>
      </c>
      <c r="V39" s="37">
        <f t="shared" ref="V39:X39" si="82">V35*0.75</f>
        <v>5.3025000000000002</v>
      </c>
      <c r="W39" s="37">
        <f t="shared" si="82"/>
        <v>4.2569999999999997</v>
      </c>
      <c r="X39" s="37">
        <f t="shared" si="82"/>
        <v>3.4612500000000002</v>
      </c>
      <c r="Y39" s="222">
        <f>Y35*0.75</f>
        <v>2.7</v>
      </c>
      <c r="Z39" s="37">
        <v>0</v>
      </c>
      <c r="AA39" s="37">
        <v>0</v>
      </c>
      <c r="AB39" s="37">
        <v>0</v>
      </c>
      <c r="AC39" s="222">
        <v>0</v>
      </c>
      <c r="AD39" s="225">
        <v>0</v>
      </c>
      <c r="AE39" s="225">
        <v>0</v>
      </c>
      <c r="AF39" s="225">
        <v>0</v>
      </c>
      <c r="AG39" s="226">
        <v>0</v>
      </c>
      <c r="AH39" s="225">
        <v>1</v>
      </c>
      <c r="AI39" s="225">
        <v>1</v>
      </c>
      <c r="AJ39" s="225">
        <v>1</v>
      </c>
      <c r="AK39" s="226">
        <v>1</v>
      </c>
      <c r="AL39" s="225">
        <v>1</v>
      </c>
      <c r="AM39" s="225">
        <v>1</v>
      </c>
      <c r="AN39" s="225">
        <v>1</v>
      </c>
      <c r="AO39" s="226">
        <v>1</v>
      </c>
      <c r="AP39" s="230">
        <f t="shared" ref="AP39:AS39" si="83">AP35*0.75+0.25*AP37</f>
        <v>49.625</v>
      </c>
      <c r="AQ39" s="230">
        <f t="shared" si="83"/>
        <v>48.149999999999991</v>
      </c>
      <c r="AR39" s="230">
        <f t="shared" si="83"/>
        <v>47.449999999999996</v>
      </c>
      <c r="AS39" s="231">
        <f t="shared" si="83"/>
        <v>46.75</v>
      </c>
      <c r="AT39" s="230">
        <f t="shared" ref="AT39:AW39" si="84">AT35*0.75+AT37*0.25</f>
        <v>67565</v>
      </c>
      <c r="AU39" s="230">
        <f t="shared" si="84"/>
        <v>39775.994527944153</v>
      </c>
      <c r="AV39" s="230">
        <f t="shared" si="84"/>
        <v>31125.497263972076</v>
      </c>
      <c r="AW39" s="231">
        <f t="shared" si="84"/>
        <v>22475</v>
      </c>
      <c r="AX39" s="230">
        <f t="shared" ref="AX39:BT39" si="85">AX35*0.75+AX37*0.25</f>
        <v>6374.9325000000008</v>
      </c>
      <c r="AY39" s="230">
        <f t="shared" si="85"/>
        <v>3834.1075321392254</v>
      </c>
      <c r="AZ39" s="230">
        <f t="shared" si="85"/>
        <v>3013.2537660696125</v>
      </c>
      <c r="BA39" s="231">
        <f t="shared" si="85"/>
        <v>2192.4</v>
      </c>
      <c r="BB39" s="230">
        <f t="shared" si="85"/>
        <v>0</v>
      </c>
      <c r="BC39" s="230">
        <f t="shared" si="85"/>
        <v>0</v>
      </c>
      <c r="BD39" s="230">
        <f t="shared" si="85"/>
        <v>0</v>
      </c>
      <c r="BE39" s="231">
        <f t="shared" si="85"/>
        <v>0</v>
      </c>
      <c r="BF39" s="230">
        <f t="shared" si="85"/>
        <v>0</v>
      </c>
      <c r="BG39" s="230">
        <f t="shared" si="85"/>
        <v>0</v>
      </c>
      <c r="BH39" s="230">
        <f t="shared" si="85"/>
        <v>0</v>
      </c>
      <c r="BI39" s="231">
        <f t="shared" si="85"/>
        <v>0</v>
      </c>
      <c r="BJ39" s="230">
        <f t="shared" si="85"/>
        <v>116.74670054442417</v>
      </c>
      <c r="BK39" s="37">
        <v>0</v>
      </c>
      <c r="BL39" s="37">
        <v>0</v>
      </c>
      <c r="BM39" s="222">
        <v>0</v>
      </c>
      <c r="BN39" s="230">
        <f t="shared" si="85"/>
        <v>0</v>
      </c>
      <c r="BO39" s="230">
        <f t="shared" ref="BO39:BQ40" si="86">BO35*0.75+BO37*0.25</f>
        <v>0</v>
      </c>
      <c r="BP39" s="230">
        <f t="shared" si="86"/>
        <v>0</v>
      </c>
      <c r="BQ39" s="231">
        <f t="shared" si="86"/>
        <v>0</v>
      </c>
      <c r="BR39" s="230">
        <f t="shared" si="85"/>
        <v>8.8495575221238937E-2</v>
      </c>
      <c r="BS39" s="230">
        <f t="shared" si="85"/>
        <v>8.8495575221238937E-2</v>
      </c>
      <c r="BT39" s="230">
        <f t="shared" si="85"/>
        <v>8.8495575221238937E-2</v>
      </c>
      <c r="BU39" s="231">
        <f t="shared" ref="BU39" si="87">BU35*0.75+BU37*0.25</f>
        <v>8.8495575221238937E-2</v>
      </c>
      <c r="BV39" s="229">
        <v>30</v>
      </c>
      <c r="BW39" s="229">
        <v>30</v>
      </c>
      <c r="BX39" s="229">
        <v>30</v>
      </c>
      <c r="BY39" s="223">
        <v>30</v>
      </c>
      <c r="BZ39" s="225">
        <v>0.08</v>
      </c>
      <c r="CA39" s="225">
        <v>0.08</v>
      </c>
      <c r="CB39" s="225">
        <v>0.08</v>
      </c>
      <c r="CC39" s="225">
        <v>0.08</v>
      </c>
    </row>
    <row r="40" spans="1:81" s="37" customFormat="1" x14ac:dyDescent="0.35">
      <c r="A40" s="413"/>
      <c r="B40" s="217" t="s">
        <v>97</v>
      </c>
      <c r="C40" s="218" t="s">
        <v>92</v>
      </c>
      <c r="D40" s="219" t="s">
        <v>28</v>
      </c>
      <c r="E40" s="403" t="s">
        <v>86</v>
      </c>
      <c r="F40" s="6">
        <f t="shared" si="58"/>
        <v>35</v>
      </c>
      <c r="G40" s="220">
        <v>1</v>
      </c>
      <c r="H40" s="221" t="s">
        <v>393</v>
      </c>
      <c r="I40" s="221" t="s">
        <v>394</v>
      </c>
      <c r="J40" s="224">
        <v>0</v>
      </c>
      <c r="K40" s="320" t="str">
        <f>B35</f>
        <v>Product/Reactant12</v>
      </c>
      <c r="L40" s="224">
        <v>0</v>
      </c>
      <c r="M40" s="224">
        <v>0</v>
      </c>
      <c r="N40" s="323">
        <v>0</v>
      </c>
      <c r="O40" s="224">
        <v>0</v>
      </c>
      <c r="P40" s="224">
        <v>0</v>
      </c>
      <c r="Q40" s="222">
        <f>9*Q35</f>
        <v>180000</v>
      </c>
      <c r="R40" s="37">
        <v>8</v>
      </c>
      <c r="S40" s="37">
        <v>8</v>
      </c>
      <c r="T40" s="37">
        <v>8</v>
      </c>
      <c r="U40" s="222">
        <v>8</v>
      </c>
      <c r="V40" s="37">
        <v>0</v>
      </c>
      <c r="W40" s="37">
        <v>0</v>
      </c>
      <c r="X40" s="37">
        <v>0</v>
      </c>
      <c r="Y40" s="222">
        <v>0</v>
      </c>
      <c r="Z40" s="37">
        <v>0</v>
      </c>
      <c r="AA40" s="37">
        <v>0</v>
      </c>
      <c r="AB40" s="37">
        <v>0</v>
      </c>
      <c r="AC40" s="222">
        <v>0</v>
      </c>
      <c r="AD40" s="225">
        <v>0</v>
      </c>
      <c r="AE40" s="225">
        <v>0</v>
      </c>
      <c r="AF40" s="225">
        <v>0</v>
      </c>
      <c r="AG40" s="226">
        <v>0</v>
      </c>
      <c r="AH40" s="225">
        <v>1</v>
      </c>
      <c r="AI40" s="225">
        <v>1</v>
      </c>
      <c r="AJ40" s="225">
        <v>1</v>
      </c>
      <c r="AK40" s="226">
        <v>1</v>
      </c>
      <c r="AL40" s="225">
        <v>1</v>
      </c>
      <c r="AM40" s="225">
        <v>1</v>
      </c>
      <c r="AN40" s="225">
        <v>1</v>
      </c>
      <c r="AO40" s="226">
        <v>1</v>
      </c>
      <c r="AP40" s="37">
        <v>0</v>
      </c>
      <c r="AQ40" s="37">
        <v>0</v>
      </c>
      <c r="AR40" s="37">
        <v>0</v>
      </c>
      <c r="AS40" s="222">
        <v>0</v>
      </c>
      <c r="AT40" s="37">
        <v>0</v>
      </c>
      <c r="AU40" s="37">
        <v>0</v>
      </c>
      <c r="AV40" s="37">
        <v>0</v>
      </c>
      <c r="AW40" s="222">
        <v>0</v>
      </c>
      <c r="AX40" s="37">
        <v>0</v>
      </c>
      <c r="AY40" s="37">
        <v>0</v>
      </c>
      <c r="AZ40" s="37">
        <v>0</v>
      </c>
      <c r="BA40" s="222">
        <v>0</v>
      </c>
      <c r="BB40" s="37">
        <v>0</v>
      </c>
      <c r="BC40" s="37">
        <v>0</v>
      </c>
      <c r="BD40" s="37">
        <v>0</v>
      </c>
      <c r="BE40" s="222">
        <v>0</v>
      </c>
      <c r="BF40" s="37">
        <v>0.05</v>
      </c>
      <c r="BG40" s="37">
        <v>2.7E-2</v>
      </c>
      <c r="BH40" s="37">
        <v>2.7E-2</v>
      </c>
      <c r="BI40" s="222">
        <v>2.7E-2</v>
      </c>
      <c r="BJ40" s="37">
        <v>0</v>
      </c>
      <c r="BK40" s="37">
        <v>0</v>
      </c>
      <c r="BL40" s="37">
        <v>0</v>
      </c>
      <c r="BM40" s="222">
        <v>0</v>
      </c>
      <c r="BN40" s="236">
        <v>0</v>
      </c>
      <c r="BO40" s="230">
        <f t="shared" si="86"/>
        <v>0</v>
      </c>
      <c r="BP40" s="230">
        <f t="shared" si="86"/>
        <v>0</v>
      </c>
      <c r="BQ40" s="231">
        <f t="shared" si="86"/>
        <v>0</v>
      </c>
      <c r="BR40" s="37">
        <v>0</v>
      </c>
      <c r="BS40" s="37">
        <v>0</v>
      </c>
      <c r="BT40" s="37">
        <v>0</v>
      </c>
      <c r="BU40" s="222">
        <v>0</v>
      </c>
      <c r="BV40" s="229">
        <v>0</v>
      </c>
      <c r="BW40" s="229">
        <v>0</v>
      </c>
      <c r="BX40" s="229">
        <v>0</v>
      </c>
      <c r="BY40" s="223">
        <v>0</v>
      </c>
      <c r="BZ40" s="225">
        <v>0.08</v>
      </c>
      <c r="CA40" s="225">
        <v>0.08</v>
      </c>
      <c r="CB40" s="225">
        <v>0.08</v>
      </c>
      <c r="CC40" s="225">
        <v>0.08</v>
      </c>
    </row>
    <row r="41" spans="1:81" s="201" customFormat="1" x14ac:dyDescent="0.35">
      <c r="A41" s="413"/>
      <c r="B41" s="194" t="s">
        <v>280</v>
      </c>
      <c r="C41" s="195" t="s">
        <v>184</v>
      </c>
      <c r="D41" s="196" t="s">
        <v>25</v>
      </c>
      <c r="E41" s="404" t="s">
        <v>86</v>
      </c>
      <c r="F41" s="6">
        <f t="shared" si="58"/>
        <v>36</v>
      </c>
      <c r="G41" s="197">
        <v>1</v>
      </c>
      <c r="H41" s="198" t="s">
        <v>389</v>
      </c>
      <c r="I41" s="198" t="s">
        <v>390</v>
      </c>
      <c r="J41" s="200">
        <v>0</v>
      </c>
      <c r="K41" s="198" t="s">
        <v>12</v>
      </c>
      <c r="L41" s="200">
        <v>0</v>
      </c>
      <c r="M41" s="200">
        <v>0</v>
      </c>
      <c r="N41" s="200">
        <v>0</v>
      </c>
      <c r="O41" s="200">
        <v>0</v>
      </c>
      <c r="P41" s="200">
        <v>0</v>
      </c>
      <c r="Q41" s="199">
        <v>400000</v>
      </c>
      <c r="R41" s="201">
        <v>0</v>
      </c>
      <c r="S41" s="201">
        <v>0</v>
      </c>
      <c r="T41" s="201">
        <v>0</v>
      </c>
      <c r="U41" s="199">
        <v>0</v>
      </c>
      <c r="V41" s="201">
        <v>0</v>
      </c>
      <c r="W41" s="201">
        <v>0</v>
      </c>
      <c r="X41" s="201">
        <v>0</v>
      </c>
      <c r="Y41" s="199">
        <v>0</v>
      </c>
      <c r="Z41" s="201">
        <v>0</v>
      </c>
      <c r="AA41" s="201">
        <v>0</v>
      </c>
      <c r="AB41" s="201">
        <v>0</v>
      </c>
      <c r="AC41" s="199">
        <v>0</v>
      </c>
      <c r="AD41" s="202">
        <v>0</v>
      </c>
      <c r="AE41" s="202">
        <v>0</v>
      </c>
      <c r="AF41" s="202">
        <v>0</v>
      </c>
      <c r="AG41" s="203">
        <v>0</v>
      </c>
      <c r="AH41" s="202">
        <v>1</v>
      </c>
      <c r="AI41" s="202">
        <v>1</v>
      </c>
      <c r="AJ41" s="202">
        <v>1</v>
      </c>
      <c r="AK41" s="203">
        <v>1</v>
      </c>
      <c r="AL41" s="202">
        <v>1</v>
      </c>
      <c r="AM41" s="202">
        <v>1</v>
      </c>
      <c r="AN41" s="202">
        <v>1</v>
      </c>
      <c r="AO41" s="203">
        <v>1</v>
      </c>
      <c r="AP41" s="201">
        <v>6.7499999999999991E-3</v>
      </c>
      <c r="AQ41" s="201">
        <v>6.7499999999999991E-3</v>
      </c>
      <c r="AR41" s="201">
        <v>4.4999999999999997E-3</v>
      </c>
      <c r="AS41" s="199">
        <v>4.4999999999999997E-3</v>
      </c>
      <c r="AT41" s="201">
        <v>147.87739999999999</v>
      </c>
      <c r="AU41" s="201">
        <v>134.434</v>
      </c>
      <c r="AV41" s="201">
        <v>134.434</v>
      </c>
      <c r="AW41" s="199">
        <v>134.434</v>
      </c>
      <c r="AX41" s="201">
        <f t="shared" ref="AX41:BA43" si="88">AT41*0.03</f>
        <v>4.4363219999999997</v>
      </c>
      <c r="AY41" s="201">
        <f t="shared" si="88"/>
        <v>4.0330199999999996</v>
      </c>
      <c r="AZ41" s="201">
        <f t="shared" si="88"/>
        <v>4.0330199999999996</v>
      </c>
      <c r="BA41" s="199">
        <f t="shared" si="88"/>
        <v>4.0330199999999996</v>
      </c>
      <c r="BB41" s="201">
        <v>0</v>
      </c>
      <c r="BC41" s="201">
        <v>0</v>
      </c>
      <c r="BD41" s="201">
        <v>0</v>
      </c>
      <c r="BE41" s="199">
        <v>0</v>
      </c>
      <c r="BF41" s="201">
        <v>0</v>
      </c>
      <c r="BG41" s="201">
        <v>0</v>
      </c>
      <c r="BH41" s="201">
        <v>0</v>
      </c>
      <c r="BI41" s="199">
        <v>0</v>
      </c>
      <c r="BJ41" s="204">
        <v>0</v>
      </c>
      <c r="BK41" s="204">
        <v>0</v>
      </c>
      <c r="BL41" s="204">
        <v>0</v>
      </c>
      <c r="BM41" s="350">
        <v>0</v>
      </c>
      <c r="BN41" s="204">
        <v>0</v>
      </c>
      <c r="BO41" s="204">
        <v>0</v>
      </c>
      <c r="BP41" s="204">
        <v>0</v>
      </c>
      <c r="BQ41" s="350">
        <v>0</v>
      </c>
      <c r="BR41" s="201">
        <f>IF(BV41&lt;&gt;0,(BZ41*(1+BZ41)^BV41)/((1+BZ41)^BV41-1),0)</f>
        <v>0.11682954493601999</v>
      </c>
      <c r="BS41" s="201">
        <f t="shared" ref="BS41:BU41" si="89">IF(BW41&lt;&gt;0,(CA41*(1+CA41)^BW41)/((1+CA41)^BW41-1),0)</f>
        <v>0.11682954493601999</v>
      </c>
      <c r="BT41" s="201">
        <f t="shared" si="89"/>
        <v>0.10185220882315059</v>
      </c>
      <c r="BU41" s="199">
        <f t="shared" si="89"/>
        <v>0.10185220882315059</v>
      </c>
      <c r="BV41" s="205">
        <v>15</v>
      </c>
      <c r="BW41" s="205">
        <v>15</v>
      </c>
      <c r="BX41" s="205">
        <v>20</v>
      </c>
      <c r="BY41" s="353">
        <v>20</v>
      </c>
      <c r="BZ41" s="202">
        <v>0.08</v>
      </c>
      <c r="CA41" s="202">
        <v>0.08</v>
      </c>
      <c r="CB41" s="202">
        <v>0.08</v>
      </c>
      <c r="CC41" s="202">
        <v>0.08</v>
      </c>
    </row>
    <row r="42" spans="1:81" s="201" customFormat="1" x14ac:dyDescent="0.35">
      <c r="A42" s="413"/>
      <c r="B42" s="194" t="str">
        <f>B41</f>
        <v>Reactant11</v>
      </c>
      <c r="C42" s="195" t="s">
        <v>184</v>
      </c>
      <c r="D42" s="196" t="s">
        <v>164</v>
      </c>
      <c r="E42" s="404" t="s">
        <v>86</v>
      </c>
      <c r="F42" s="6">
        <f t="shared" si="58"/>
        <v>37</v>
      </c>
      <c r="G42" s="197">
        <v>1</v>
      </c>
      <c r="H42" s="198" t="s">
        <v>389</v>
      </c>
      <c r="I42" s="198" t="s">
        <v>390</v>
      </c>
      <c r="J42" s="200">
        <v>0</v>
      </c>
      <c r="K42" s="198" t="s">
        <v>12</v>
      </c>
      <c r="L42" s="200">
        <v>0</v>
      </c>
      <c r="M42" s="200">
        <v>0</v>
      </c>
      <c r="N42" s="200">
        <v>0</v>
      </c>
      <c r="O42" s="200">
        <v>0</v>
      </c>
      <c r="P42" s="200">
        <v>0</v>
      </c>
      <c r="Q42" s="199">
        <v>400000</v>
      </c>
      <c r="R42" s="201">
        <v>0</v>
      </c>
      <c r="S42" s="201">
        <v>0</v>
      </c>
      <c r="T42" s="201">
        <v>0</v>
      </c>
      <c r="U42" s="199">
        <v>0</v>
      </c>
      <c r="V42" s="201">
        <v>0</v>
      </c>
      <c r="W42" s="201">
        <v>0</v>
      </c>
      <c r="X42" s="201">
        <v>0</v>
      </c>
      <c r="Y42" s="199">
        <v>0</v>
      </c>
      <c r="Z42" s="201">
        <v>0</v>
      </c>
      <c r="AA42" s="201">
        <v>0</v>
      </c>
      <c r="AB42" s="201">
        <v>0</v>
      </c>
      <c r="AC42" s="199">
        <v>0</v>
      </c>
      <c r="AD42" s="202">
        <v>0</v>
      </c>
      <c r="AE42" s="202">
        <v>0</v>
      </c>
      <c r="AF42" s="202">
        <v>0</v>
      </c>
      <c r="AG42" s="203">
        <v>0</v>
      </c>
      <c r="AH42" s="202">
        <v>1</v>
      </c>
      <c r="AI42" s="202">
        <v>1</v>
      </c>
      <c r="AJ42" s="202">
        <v>1</v>
      </c>
      <c r="AK42" s="203">
        <v>1</v>
      </c>
      <c r="AL42" s="202">
        <v>1</v>
      </c>
      <c r="AM42" s="202">
        <v>1</v>
      </c>
      <c r="AN42" s="202">
        <v>1</v>
      </c>
      <c r="AO42" s="203">
        <v>1</v>
      </c>
      <c r="AP42" s="206">
        <v>2.5000000000000001E-3</v>
      </c>
      <c r="AQ42" s="201">
        <v>2.5000000000000001E-3</v>
      </c>
      <c r="AR42" s="201">
        <v>1E-3</v>
      </c>
      <c r="AS42" s="199">
        <v>1E-3</v>
      </c>
      <c r="AT42" s="201">
        <v>120.99315999999999</v>
      </c>
      <c r="AU42" s="201">
        <v>107.55231999999999</v>
      </c>
      <c r="AV42" s="201">
        <v>107.55231999999999</v>
      </c>
      <c r="AW42" s="199">
        <v>107.55231999999999</v>
      </c>
      <c r="AX42" s="201">
        <f t="shared" si="88"/>
        <v>3.6297947999999995</v>
      </c>
      <c r="AY42" s="201">
        <f t="shared" si="88"/>
        <v>3.2265695999999999</v>
      </c>
      <c r="AZ42" s="201">
        <f t="shared" si="88"/>
        <v>3.2265695999999999</v>
      </c>
      <c r="BA42" s="199">
        <f t="shared" si="88"/>
        <v>3.2265695999999999</v>
      </c>
      <c r="BB42" s="201">
        <v>6.5000000000000008E-5</v>
      </c>
      <c r="BC42" s="201">
        <v>6.5000000000000008E-5</v>
      </c>
      <c r="BD42" s="201">
        <v>0</v>
      </c>
      <c r="BE42" s="199">
        <v>6.5000000000000008E-5</v>
      </c>
      <c r="BF42" s="201">
        <v>0</v>
      </c>
      <c r="BG42" s="201">
        <v>0</v>
      </c>
      <c r="BH42" s="201">
        <v>0</v>
      </c>
      <c r="BI42" s="199">
        <v>0</v>
      </c>
      <c r="BJ42" s="204">
        <v>0</v>
      </c>
      <c r="BK42" s="204">
        <v>0</v>
      </c>
      <c r="BL42" s="204">
        <v>0</v>
      </c>
      <c r="BM42" s="350">
        <v>0</v>
      </c>
      <c r="BN42" s="204">
        <v>0</v>
      </c>
      <c r="BO42" s="204">
        <v>0</v>
      </c>
      <c r="BP42" s="204">
        <v>0</v>
      </c>
      <c r="BQ42" s="350">
        <v>0</v>
      </c>
      <c r="BR42" s="201">
        <v>0.11682954493601999</v>
      </c>
      <c r="BS42" s="201">
        <v>0.11682954493601999</v>
      </c>
      <c r="BT42" s="201">
        <v>0.10185220882315059</v>
      </c>
      <c r="BU42" s="199">
        <v>0.10185220882315059</v>
      </c>
      <c r="BV42" s="205">
        <v>15</v>
      </c>
      <c r="BW42" s="205">
        <v>15</v>
      </c>
      <c r="BX42" s="205">
        <v>20</v>
      </c>
      <c r="BY42" s="353">
        <v>20</v>
      </c>
      <c r="BZ42" s="202">
        <v>0.08</v>
      </c>
      <c r="CA42" s="202">
        <v>0.08</v>
      </c>
      <c r="CB42" s="202">
        <v>0.08</v>
      </c>
      <c r="CC42" s="202">
        <v>0.08</v>
      </c>
    </row>
    <row r="43" spans="1:81" s="201" customFormat="1" x14ac:dyDescent="0.35">
      <c r="A43" s="413"/>
      <c r="B43" s="194" t="str">
        <f>B41</f>
        <v>Reactant11</v>
      </c>
      <c r="C43" s="195" t="s">
        <v>184</v>
      </c>
      <c r="D43" s="196" t="s">
        <v>165</v>
      </c>
      <c r="E43" s="404" t="s">
        <v>86</v>
      </c>
      <c r="F43" s="6">
        <f t="shared" si="58"/>
        <v>38</v>
      </c>
      <c r="G43" s="197">
        <v>1</v>
      </c>
      <c r="H43" s="198" t="s">
        <v>389</v>
      </c>
      <c r="I43" s="198" t="s">
        <v>390</v>
      </c>
      <c r="J43" s="200">
        <v>0</v>
      </c>
      <c r="K43" s="198" t="s">
        <v>12</v>
      </c>
      <c r="L43" s="200">
        <v>0</v>
      </c>
      <c r="M43" s="200">
        <v>0</v>
      </c>
      <c r="N43" s="200">
        <v>0</v>
      </c>
      <c r="O43" s="200">
        <v>0</v>
      </c>
      <c r="P43" s="200">
        <v>0</v>
      </c>
      <c r="Q43" s="199">
        <v>400000</v>
      </c>
      <c r="R43" s="201">
        <v>0</v>
      </c>
      <c r="S43" s="201">
        <v>0</v>
      </c>
      <c r="T43" s="201">
        <v>0</v>
      </c>
      <c r="U43" s="199">
        <v>0</v>
      </c>
      <c r="V43" s="201">
        <v>0</v>
      </c>
      <c r="W43" s="201">
        <v>0</v>
      </c>
      <c r="X43" s="201">
        <v>0</v>
      </c>
      <c r="Y43" s="199">
        <v>0</v>
      </c>
      <c r="Z43" s="201">
        <v>0</v>
      </c>
      <c r="AA43" s="201">
        <v>0</v>
      </c>
      <c r="AB43" s="201">
        <v>0</v>
      </c>
      <c r="AC43" s="199">
        <v>0</v>
      </c>
      <c r="AD43" s="202">
        <v>0</v>
      </c>
      <c r="AE43" s="202">
        <v>0</v>
      </c>
      <c r="AF43" s="202">
        <v>0</v>
      </c>
      <c r="AG43" s="203">
        <v>0</v>
      </c>
      <c r="AH43" s="202">
        <v>1</v>
      </c>
      <c r="AI43" s="202">
        <v>1</v>
      </c>
      <c r="AJ43" s="202">
        <v>1</v>
      </c>
      <c r="AK43" s="203">
        <v>1</v>
      </c>
      <c r="AL43" s="202">
        <v>1</v>
      </c>
      <c r="AM43" s="202">
        <v>1</v>
      </c>
      <c r="AN43" s="202">
        <v>1</v>
      </c>
      <c r="AO43" s="203">
        <v>1</v>
      </c>
      <c r="AP43" s="201">
        <v>2.7499999999999998E-3</v>
      </c>
      <c r="AQ43" s="201">
        <v>2.7499999999999998E-3</v>
      </c>
      <c r="AR43" s="201">
        <f>1/1000</f>
        <v>1E-3</v>
      </c>
      <c r="AS43" s="199">
        <f>1/1000</f>
        <v>1E-3</v>
      </c>
      <c r="AT43" s="201">
        <v>72.597820000000013</v>
      </c>
      <c r="AU43" s="201">
        <v>64.531400000000005</v>
      </c>
      <c r="AV43" s="201">
        <v>64.531400000000005</v>
      </c>
      <c r="AW43" s="199">
        <v>64.531400000000005</v>
      </c>
      <c r="AX43" s="201">
        <f t="shared" si="88"/>
        <v>2.1779346000000004</v>
      </c>
      <c r="AY43" s="201">
        <f t="shared" si="88"/>
        <v>1.9359420000000001</v>
      </c>
      <c r="AZ43" s="201">
        <f t="shared" si="88"/>
        <v>1.9359420000000001</v>
      </c>
      <c r="BA43" s="199">
        <f t="shared" si="88"/>
        <v>1.9359420000000001</v>
      </c>
      <c r="BB43" s="201">
        <v>2.0000000000000001E-4</v>
      </c>
      <c r="BC43" s="201">
        <v>2.0000000000000001E-4</v>
      </c>
      <c r="BD43" s="201">
        <v>2.0000000000000001E-4</v>
      </c>
      <c r="BE43" s="199">
        <v>2.0000000000000001E-4</v>
      </c>
      <c r="BF43" s="201">
        <v>0</v>
      </c>
      <c r="BG43" s="201">
        <v>0</v>
      </c>
      <c r="BH43" s="201">
        <v>0</v>
      </c>
      <c r="BI43" s="199">
        <v>0</v>
      </c>
      <c r="BJ43" s="204">
        <v>0</v>
      </c>
      <c r="BK43" s="204">
        <v>0</v>
      </c>
      <c r="BL43" s="204">
        <v>0</v>
      </c>
      <c r="BM43" s="350">
        <v>0</v>
      </c>
      <c r="BN43" s="204">
        <v>0</v>
      </c>
      <c r="BO43" s="204">
        <v>0</v>
      </c>
      <c r="BP43" s="204">
        <v>0</v>
      </c>
      <c r="BQ43" s="350">
        <v>0</v>
      </c>
      <c r="BR43" s="201">
        <v>0.11682954493601999</v>
      </c>
      <c r="BS43" s="201">
        <v>0.11682954493601999</v>
      </c>
      <c r="BT43" s="201">
        <v>0.10185220882315059</v>
      </c>
      <c r="BU43" s="199">
        <v>0.10185220882315059</v>
      </c>
      <c r="BV43" s="205">
        <v>15</v>
      </c>
      <c r="BW43" s="205">
        <v>15</v>
      </c>
      <c r="BX43" s="205">
        <v>20</v>
      </c>
      <c r="BY43" s="353">
        <v>20</v>
      </c>
      <c r="BZ43" s="202">
        <v>0.08</v>
      </c>
      <c r="CA43" s="202">
        <v>0.08</v>
      </c>
      <c r="CB43" s="202">
        <v>0.08</v>
      </c>
      <c r="CC43" s="202">
        <v>0.08</v>
      </c>
    </row>
    <row r="44" spans="1:81" s="78" customFormat="1" x14ac:dyDescent="0.35">
      <c r="A44" s="413"/>
      <c r="B44" s="75" t="s">
        <v>19</v>
      </c>
      <c r="C44" s="82" t="s">
        <v>21</v>
      </c>
      <c r="D44" s="77" t="s">
        <v>26</v>
      </c>
      <c r="E44" s="396" t="s">
        <v>86</v>
      </c>
      <c r="F44" s="6">
        <f t="shared" si="58"/>
        <v>39</v>
      </c>
      <c r="G44" s="105">
        <v>1</v>
      </c>
      <c r="H44" s="117" t="s">
        <v>391</v>
      </c>
      <c r="I44" s="117" t="s">
        <v>392</v>
      </c>
      <c r="J44" s="238">
        <v>0</v>
      </c>
      <c r="K44" s="126" t="s">
        <v>12</v>
      </c>
      <c r="L44" s="126">
        <v>0</v>
      </c>
      <c r="M44" s="126">
        <v>1</v>
      </c>
      <c r="N44" s="126">
        <v>0</v>
      </c>
      <c r="O44" s="126">
        <v>0</v>
      </c>
      <c r="P44" s="126">
        <v>0</v>
      </c>
      <c r="Q44" s="136">
        <f>Q53</f>
        <v>2000000</v>
      </c>
      <c r="R44" s="81">
        <v>0</v>
      </c>
      <c r="S44" s="81">
        <v>0</v>
      </c>
      <c r="T44" s="81">
        <v>0</v>
      </c>
      <c r="U44" s="154">
        <v>0</v>
      </c>
      <c r="V44" s="78">
        <v>0</v>
      </c>
      <c r="W44" s="78">
        <v>0</v>
      </c>
      <c r="X44" s="78">
        <v>0</v>
      </c>
      <c r="Y44" s="136">
        <v>0</v>
      </c>
      <c r="Z44" s="78">
        <v>0</v>
      </c>
      <c r="AA44" s="78">
        <v>0</v>
      </c>
      <c r="AB44" s="78">
        <v>0</v>
      </c>
      <c r="AC44" s="136">
        <v>0</v>
      </c>
      <c r="AD44" s="80">
        <v>0</v>
      </c>
      <c r="AE44" s="80">
        <v>0</v>
      </c>
      <c r="AF44" s="80">
        <v>0</v>
      </c>
      <c r="AG44" s="145">
        <v>0</v>
      </c>
      <c r="AH44" s="80">
        <v>1</v>
      </c>
      <c r="AI44" s="80">
        <v>1</v>
      </c>
      <c r="AJ44" s="80">
        <v>1</v>
      </c>
      <c r="AK44" s="145">
        <v>1</v>
      </c>
      <c r="AL44" s="80">
        <v>1</v>
      </c>
      <c r="AM44" s="80">
        <v>1</v>
      </c>
      <c r="AN44" s="80">
        <v>1</v>
      </c>
      <c r="AO44" s="145">
        <v>1</v>
      </c>
      <c r="AP44" s="81">
        <v>0</v>
      </c>
      <c r="AQ44" s="81">
        <v>0</v>
      </c>
      <c r="AR44" s="81">
        <v>0</v>
      </c>
      <c r="AS44" s="154">
        <v>0</v>
      </c>
      <c r="AT44" s="81">
        <v>0</v>
      </c>
      <c r="AU44" s="81">
        <v>0</v>
      </c>
      <c r="AV44" s="81">
        <v>0</v>
      </c>
      <c r="AW44" s="154">
        <v>0</v>
      </c>
      <c r="AX44" s="81">
        <v>0</v>
      </c>
      <c r="AY44" s="81">
        <v>0</v>
      </c>
      <c r="AZ44" s="81">
        <v>0</v>
      </c>
      <c r="BA44" s="154">
        <v>0</v>
      </c>
      <c r="BB44" s="81">
        <v>0</v>
      </c>
      <c r="BC44" s="81">
        <v>0</v>
      </c>
      <c r="BD44" s="81">
        <v>0</v>
      </c>
      <c r="BE44" s="154">
        <v>0</v>
      </c>
      <c r="BF44" s="81">
        <v>0</v>
      </c>
      <c r="BG44" s="81">
        <v>0</v>
      </c>
      <c r="BH44" s="81">
        <v>0</v>
      </c>
      <c r="BI44" s="154">
        <v>0</v>
      </c>
      <c r="BJ44" s="81">
        <v>0</v>
      </c>
      <c r="BK44" s="81">
        <v>0</v>
      </c>
      <c r="BL44" s="81">
        <v>0</v>
      </c>
      <c r="BM44" s="154">
        <v>0</v>
      </c>
      <c r="BN44" s="81">
        <v>0</v>
      </c>
      <c r="BO44" s="81">
        <v>0</v>
      </c>
      <c r="BP44" s="81">
        <v>0</v>
      </c>
      <c r="BQ44" s="154">
        <v>0</v>
      </c>
      <c r="BR44" s="81">
        <v>0</v>
      </c>
      <c r="BS44" s="81">
        <v>0</v>
      </c>
      <c r="BT44" s="81">
        <v>0</v>
      </c>
      <c r="BU44" s="154">
        <v>0</v>
      </c>
      <c r="BV44" s="79">
        <v>0</v>
      </c>
      <c r="BW44" s="79">
        <v>0</v>
      </c>
      <c r="BX44" s="79">
        <v>0</v>
      </c>
      <c r="BY44" s="163">
        <v>0</v>
      </c>
      <c r="BZ44" s="80">
        <v>0.08</v>
      </c>
      <c r="CA44" s="80">
        <v>0.08</v>
      </c>
      <c r="CB44" s="80">
        <v>0.08</v>
      </c>
      <c r="CC44" s="80">
        <v>0.08</v>
      </c>
    </row>
    <row r="45" spans="1:81" s="78" customFormat="1" x14ac:dyDescent="0.35">
      <c r="A45" s="413"/>
      <c r="B45" s="75" t="s">
        <v>20</v>
      </c>
      <c r="C45" s="82" t="s">
        <v>22</v>
      </c>
      <c r="D45" s="77" t="s">
        <v>27</v>
      </c>
      <c r="E45" s="396" t="s">
        <v>86</v>
      </c>
      <c r="F45" s="6">
        <f t="shared" si="58"/>
        <v>40</v>
      </c>
      <c r="G45" s="105">
        <v>1</v>
      </c>
      <c r="H45" s="117" t="s">
        <v>391</v>
      </c>
      <c r="I45" s="117" t="s">
        <v>392</v>
      </c>
      <c r="J45" s="238">
        <v>0</v>
      </c>
      <c r="K45" s="126" t="s">
        <v>12</v>
      </c>
      <c r="L45" s="238">
        <v>0</v>
      </c>
      <c r="M45" s="126">
        <v>-1</v>
      </c>
      <c r="N45" s="126">
        <v>0</v>
      </c>
      <c r="O45" s="238">
        <v>0</v>
      </c>
      <c r="P45" s="126">
        <v>0</v>
      </c>
      <c r="Q45" s="136">
        <f>Q53</f>
        <v>2000000</v>
      </c>
      <c r="R45" s="81">
        <v>0</v>
      </c>
      <c r="S45" s="81">
        <v>0</v>
      </c>
      <c r="T45" s="81">
        <v>0</v>
      </c>
      <c r="U45" s="154">
        <v>0</v>
      </c>
      <c r="V45" s="78">
        <v>1</v>
      </c>
      <c r="W45" s="78">
        <v>1</v>
      </c>
      <c r="X45" s="78">
        <v>1</v>
      </c>
      <c r="Y45" s="136">
        <v>1</v>
      </c>
      <c r="Z45" s="78">
        <v>0</v>
      </c>
      <c r="AA45" s="78">
        <v>0</v>
      </c>
      <c r="AB45" s="78">
        <v>0</v>
      </c>
      <c r="AC45" s="136">
        <v>0</v>
      </c>
      <c r="AD45" s="80">
        <v>0</v>
      </c>
      <c r="AE45" s="80">
        <v>0</v>
      </c>
      <c r="AF45" s="80">
        <v>0</v>
      </c>
      <c r="AG45" s="145">
        <v>0</v>
      </c>
      <c r="AH45" s="80">
        <v>1</v>
      </c>
      <c r="AI45" s="80">
        <v>1</v>
      </c>
      <c r="AJ45" s="80">
        <v>1</v>
      </c>
      <c r="AK45" s="145">
        <v>1</v>
      </c>
      <c r="AL45" s="80">
        <v>1</v>
      </c>
      <c r="AM45" s="80">
        <v>1</v>
      </c>
      <c r="AN45" s="80">
        <v>1</v>
      </c>
      <c r="AO45" s="145">
        <v>1</v>
      </c>
      <c r="AP45" s="81">
        <v>0</v>
      </c>
      <c r="AQ45" s="81">
        <v>0</v>
      </c>
      <c r="AR45" s="81">
        <v>0</v>
      </c>
      <c r="AS45" s="154">
        <v>0</v>
      </c>
      <c r="AT45" s="81">
        <v>0</v>
      </c>
      <c r="AU45" s="81">
        <v>0</v>
      </c>
      <c r="AV45" s="81">
        <v>0</v>
      </c>
      <c r="AW45" s="154">
        <v>0</v>
      </c>
      <c r="AX45" s="81">
        <v>0</v>
      </c>
      <c r="AY45" s="81">
        <v>0</v>
      </c>
      <c r="AZ45" s="81">
        <v>0</v>
      </c>
      <c r="BA45" s="154">
        <v>0</v>
      </c>
      <c r="BB45" s="81">
        <v>0</v>
      </c>
      <c r="BC45" s="81">
        <v>0</v>
      </c>
      <c r="BD45" s="81">
        <v>0</v>
      </c>
      <c r="BE45" s="154">
        <v>0</v>
      </c>
      <c r="BF45" s="239">
        <v>0.02</v>
      </c>
      <c r="BG45" s="239">
        <v>0.02</v>
      </c>
      <c r="BH45" s="81">
        <v>0.02</v>
      </c>
      <c r="BI45" s="240">
        <v>0.02</v>
      </c>
      <c r="BJ45" s="81">
        <v>0</v>
      </c>
      <c r="BK45" s="81">
        <v>0</v>
      </c>
      <c r="BL45" s="81">
        <v>0</v>
      </c>
      <c r="BM45" s="154">
        <v>0</v>
      </c>
      <c r="BN45" s="81">
        <v>0</v>
      </c>
      <c r="BO45" s="81">
        <v>0</v>
      </c>
      <c r="BP45" s="81">
        <v>0</v>
      </c>
      <c r="BQ45" s="154">
        <v>0</v>
      </c>
      <c r="BR45" s="81">
        <v>0</v>
      </c>
      <c r="BS45" s="81">
        <v>0</v>
      </c>
      <c r="BT45" s="81">
        <v>0</v>
      </c>
      <c r="BU45" s="154">
        <v>0</v>
      </c>
      <c r="BV45" s="79">
        <v>0</v>
      </c>
      <c r="BW45" s="79">
        <v>0</v>
      </c>
      <c r="BX45" s="79">
        <v>0</v>
      </c>
      <c r="BY45" s="163">
        <v>0</v>
      </c>
      <c r="BZ45" s="80">
        <v>0.08</v>
      </c>
      <c r="CA45" s="80">
        <v>0.08</v>
      </c>
      <c r="CB45" s="80">
        <v>0.08</v>
      </c>
      <c r="CC45" s="80">
        <v>0.08</v>
      </c>
    </row>
    <row r="46" spans="1:81" s="78" customFormat="1" x14ac:dyDescent="0.35">
      <c r="A46" s="413"/>
      <c r="B46" s="78" t="s">
        <v>184</v>
      </c>
      <c r="C46" s="82" t="s">
        <v>286</v>
      </c>
      <c r="D46" s="77" t="s">
        <v>281</v>
      </c>
      <c r="E46" s="396" t="s">
        <v>86</v>
      </c>
      <c r="F46" s="6">
        <f t="shared" si="58"/>
        <v>41</v>
      </c>
      <c r="G46" s="105">
        <v>1</v>
      </c>
      <c r="H46" s="117" t="s">
        <v>391</v>
      </c>
      <c r="I46" s="117" t="s">
        <v>392</v>
      </c>
      <c r="J46" s="238">
        <v>0</v>
      </c>
      <c r="K46" s="126" t="s">
        <v>12</v>
      </c>
      <c r="L46" s="238">
        <v>0</v>
      </c>
      <c r="M46" s="238">
        <v>0</v>
      </c>
      <c r="N46" s="238">
        <v>-1</v>
      </c>
      <c r="O46" s="238">
        <v>0</v>
      </c>
      <c r="P46" s="238">
        <v>0</v>
      </c>
      <c r="Q46" s="136">
        <f>Q54</f>
        <v>2000000</v>
      </c>
      <c r="R46" s="81">
        <v>0</v>
      </c>
      <c r="S46" s="81">
        <v>0</v>
      </c>
      <c r="T46" s="81">
        <v>0</v>
      </c>
      <c r="U46" s="154">
        <v>0</v>
      </c>
      <c r="V46" s="81">
        <v>0</v>
      </c>
      <c r="W46" s="81">
        <v>0</v>
      </c>
      <c r="X46" s="81">
        <v>0</v>
      </c>
      <c r="Y46" s="154">
        <v>0</v>
      </c>
      <c r="Z46" s="81">
        <v>1</v>
      </c>
      <c r="AA46" s="81">
        <v>1</v>
      </c>
      <c r="AB46" s="81">
        <v>1</v>
      </c>
      <c r="AC46" s="154">
        <v>1</v>
      </c>
      <c r="AD46" s="80">
        <v>0</v>
      </c>
      <c r="AE46" s="80">
        <v>0</v>
      </c>
      <c r="AF46" s="80">
        <v>0</v>
      </c>
      <c r="AG46" s="145">
        <v>0</v>
      </c>
      <c r="AH46" s="80">
        <v>1</v>
      </c>
      <c r="AI46" s="80">
        <v>1</v>
      </c>
      <c r="AJ46" s="80">
        <v>1</v>
      </c>
      <c r="AK46" s="145">
        <v>1</v>
      </c>
      <c r="AL46" s="80">
        <v>1</v>
      </c>
      <c r="AM46" s="80">
        <v>1</v>
      </c>
      <c r="AN46" s="80">
        <v>1</v>
      </c>
      <c r="AO46" s="145">
        <v>1</v>
      </c>
      <c r="AP46" s="81">
        <v>0</v>
      </c>
      <c r="AQ46" s="81">
        <v>0</v>
      </c>
      <c r="AR46" s="81">
        <v>0</v>
      </c>
      <c r="AS46" s="154">
        <v>0</v>
      </c>
      <c r="AT46" s="81">
        <v>0</v>
      </c>
      <c r="AU46" s="81">
        <v>0</v>
      </c>
      <c r="AV46" s="81">
        <v>0</v>
      </c>
      <c r="AW46" s="154">
        <v>0</v>
      </c>
      <c r="AX46" s="81">
        <v>0</v>
      </c>
      <c r="AY46" s="81">
        <v>0</v>
      </c>
      <c r="AZ46" s="81">
        <v>0</v>
      </c>
      <c r="BA46" s="154">
        <v>0</v>
      </c>
      <c r="BB46" s="81">
        <v>0</v>
      </c>
      <c r="BC46" s="81">
        <v>0</v>
      </c>
      <c r="BD46" s="81">
        <v>0</v>
      </c>
      <c r="BE46" s="154">
        <v>0</v>
      </c>
      <c r="BF46" s="239">
        <v>3.3500000000000002E-2</v>
      </c>
      <c r="BG46" s="239">
        <v>3.3500000000000002E-2</v>
      </c>
      <c r="BH46" s="239">
        <v>3.3500000000000002E-2</v>
      </c>
      <c r="BI46" s="240">
        <v>3.3500000000000002E-2</v>
      </c>
      <c r="BJ46" s="81">
        <v>0</v>
      </c>
      <c r="BK46" s="81">
        <v>0</v>
      </c>
      <c r="BL46" s="81">
        <v>0</v>
      </c>
      <c r="BM46" s="154">
        <v>0</v>
      </c>
      <c r="BN46" s="81">
        <v>0</v>
      </c>
      <c r="BO46" s="81">
        <v>0</v>
      </c>
      <c r="BP46" s="81">
        <v>0</v>
      </c>
      <c r="BQ46" s="154">
        <v>0</v>
      </c>
      <c r="BR46" s="81">
        <v>0</v>
      </c>
      <c r="BS46" s="81">
        <v>0</v>
      </c>
      <c r="BT46" s="81">
        <v>0</v>
      </c>
      <c r="BU46" s="154">
        <v>0</v>
      </c>
      <c r="BV46" s="79">
        <v>0</v>
      </c>
      <c r="BW46" s="79">
        <v>0</v>
      </c>
      <c r="BX46" s="79">
        <v>0</v>
      </c>
      <c r="BY46" s="163">
        <v>0</v>
      </c>
      <c r="BZ46" s="80">
        <v>0.08</v>
      </c>
      <c r="CA46" s="80">
        <v>0.08</v>
      </c>
      <c r="CB46" s="80">
        <v>0.08</v>
      </c>
      <c r="CC46" s="80">
        <v>0.08</v>
      </c>
    </row>
    <row r="47" spans="1:81" s="87" customFormat="1" x14ac:dyDescent="0.35">
      <c r="A47" s="413"/>
      <c r="B47" s="83" t="s">
        <v>14</v>
      </c>
      <c r="C47" s="241" t="s">
        <v>184</v>
      </c>
      <c r="D47" s="85" t="s">
        <v>29</v>
      </c>
      <c r="E47" s="400" t="s">
        <v>86</v>
      </c>
      <c r="F47" s="6">
        <f t="shared" si="58"/>
        <v>42</v>
      </c>
      <c r="G47" s="106">
        <v>1</v>
      </c>
      <c r="H47" s="118" t="s">
        <v>387</v>
      </c>
      <c r="I47" s="118" t="s">
        <v>388</v>
      </c>
      <c r="J47" s="129">
        <v>0</v>
      </c>
      <c r="K47" s="129" t="s">
        <v>12</v>
      </c>
      <c r="L47" s="129">
        <v>0</v>
      </c>
      <c r="M47" s="129">
        <v>0</v>
      </c>
      <c r="N47" s="243">
        <v>0</v>
      </c>
      <c r="O47" s="243">
        <v>-1</v>
      </c>
      <c r="P47" s="129">
        <v>0</v>
      </c>
      <c r="Q47" s="141">
        <v>20000</v>
      </c>
      <c r="R47" s="87">
        <v>0</v>
      </c>
      <c r="S47" s="87">
        <v>0</v>
      </c>
      <c r="T47" s="87">
        <v>0</v>
      </c>
      <c r="U47" s="141">
        <v>0</v>
      </c>
      <c r="V47" s="87">
        <v>0</v>
      </c>
      <c r="W47" s="87">
        <v>0</v>
      </c>
      <c r="X47" s="87">
        <v>0</v>
      </c>
      <c r="Y47" s="141">
        <v>0</v>
      </c>
      <c r="Z47" s="87">
        <v>0</v>
      </c>
      <c r="AA47" s="87">
        <v>0</v>
      </c>
      <c r="AB47" s="87">
        <v>0</v>
      </c>
      <c r="AC47" s="141">
        <v>0</v>
      </c>
      <c r="AD47" s="89">
        <v>0</v>
      </c>
      <c r="AE47" s="89">
        <v>0</v>
      </c>
      <c r="AF47" s="89">
        <v>0</v>
      </c>
      <c r="AG47" s="146">
        <v>0</v>
      </c>
      <c r="AH47" s="89">
        <v>1</v>
      </c>
      <c r="AI47" s="89">
        <v>1</v>
      </c>
      <c r="AJ47" s="89">
        <v>1</v>
      </c>
      <c r="AK47" s="146">
        <v>1</v>
      </c>
      <c r="AL47" s="89">
        <v>1</v>
      </c>
      <c r="AM47" s="89">
        <v>1</v>
      </c>
      <c r="AN47" s="89">
        <v>1</v>
      </c>
      <c r="AO47" s="146">
        <v>1</v>
      </c>
      <c r="AP47" s="87">
        <v>3.5</v>
      </c>
      <c r="AQ47" s="87">
        <v>3.5</v>
      </c>
      <c r="AR47" s="87">
        <v>3.5</v>
      </c>
      <c r="AS47" s="141">
        <v>3.5</v>
      </c>
      <c r="AT47" s="87">
        <v>0</v>
      </c>
      <c r="AU47" s="87">
        <v>0</v>
      </c>
      <c r="AV47" s="87">
        <v>0</v>
      </c>
      <c r="AW47" s="141">
        <v>0</v>
      </c>
      <c r="AX47" s="87">
        <v>0</v>
      </c>
      <c r="AY47" s="87">
        <v>0</v>
      </c>
      <c r="AZ47" s="87">
        <v>0</v>
      </c>
      <c r="BA47" s="141">
        <v>0</v>
      </c>
      <c r="BB47" s="87">
        <v>0</v>
      </c>
      <c r="BC47" s="87">
        <v>0</v>
      </c>
      <c r="BD47" s="87">
        <v>0</v>
      </c>
      <c r="BE47" s="141">
        <v>0</v>
      </c>
      <c r="BF47" s="87">
        <v>0</v>
      </c>
      <c r="BG47" s="87">
        <v>0</v>
      </c>
      <c r="BH47" s="87">
        <v>0</v>
      </c>
      <c r="BI47" s="141">
        <v>0</v>
      </c>
      <c r="BJ47" s="87">
        <v>0</v>
      </c>
      <c r="BK47" s="87">
        <v>0</v>
      </c>
      <c r="BL47" s="87">
        <v>0</v>
      </c>
      <c r="BM47" s="141">
        <v>0</v>
      </c>
      <c r="BN47" s="87">
        <v>0</v>
      </c>
      <c r="BO47" s="87">
        <v>0</v>
      </c>
      <c r="BP47" s="87">
        <v>0</v>
      </c>
      <c r="BQ47" s="141">
        <v>0</v>
      </c>
      <c r="BR47" s="87">
        <v>0</v>
      </c>
      <c r="BS47" s="87">
        <v>0</v>
      </c>
      <c r="BT47" s="87">
        <v>0</v>
      </c>
      <c r="BU47" s="141">
        <v>0</v>
      </c>
      <c r="BV47" s="86">
        <v>0</v>
      </c>
      <c r="BW47" s="86">
        <v>0</v>
      </c>
      <c r="BX47" s="86">
        <v>0</v>
      </c>
      <c r="BY47" s="164">
        <v>0</v>
      </c>
      <c r="BZ47" s="89">
        <v>0.08</v>
      </c>
      <c r="CA47" s="89">
        <v>0.08</v>
      </c>
      <c r="CB47" s="89">
        <v>0.08</v>
      </c>
      <c r="CC47" s="89">
        <v>0.08</v>
      </c>
    </row>
    <row r="48" spans="1:81" s="87" customFormat="1" x14ac:dyDescent="0.35">
      <c r="A48" s="413"/>
      <c r="B48" s="83" t="s">
        <v>15</v>
      </c>
      <c r="C48" s="241" t="s">
        <v>184</v>
      </c>
      <c r="D48" s="85" t="s">
        <v>30</v>
      </c>
      <c r="E48" s="400" t="s">
        <v>86</v>
      </c>
      <c r="F48" s="6">
        <f t="shared" si="58"/>
        <v>43</v>
      </c>
      <c r="G48" s="106">
        <v>1</v>
      </c>
      <c r="H48" s="118" t="s">
        <v>387</v>
      </c>
      <c r="I48" s="118" t="s">
        <v>388</v>
      </c>
      <c r="J48" s="129">
        <v>0</v>
      </c>
      <c r="K48" s="129" t="s">
        <v>12</v>
      </c>
      <c r="L48" s="129">
        <v>0</v>
      </c>
      <c r="M48" s="129">
        <v>0</v>
      </c>
      <c r="N48" s="243">
        <v>0</v>
      </c>
      <c r="O48" s="129">
        <v>1</v>
      </c>
      <c r="P48" s="129">
        <v>0</v>
      </c>
      <c r="Q48" s="141">
        <f>Q47</f>
        <v>20000</v>
      </c>
      <c r="R48" s="244">
        <v>0</v>
      </c>
      <c r="S48" s="244">
        <v>0</v>
      </c>
      <c r="T48" s="244">
        <v>0</v>
      </c>
      <c r="U48" s="242">
        <v>0</v>
      </c>
      <c r="V48" s="87">
        <v>0</v>
      </c>
      <c r="W48" s="87">
        <v>0</v>
      </c>
      <c r="X48" s="87">
        <v>0</v>
      </c>
      <c r="Y48" s="141">
        <v>0</v>
      </c>
      <c r="Z48" s="87">
        <v>0</v>
      </c>
      <c r="AA48" s="87">
        <v>0</v>
      </c>
      <c r="AB48" s="87">
        <v>0</v>
      </c>
      <c r="AC48" s="141">
        <v>0</v>
      </c>
      <c r="AD48" s="89">
        <v>0</v>
      </c>
      <c r="AE48" s="89">
        <v>0</v>
      </c>
      <c r="AF48" s="89">
        <v>0</v>
      </c>
      <c r="AG48" s="146">
        <v>0</v>
      </c>
      <c r="AH48" s="89">
        <v>1</v>
      </c>
      <c r="AI48" s="89">
        <v>1</v>
      </c>
      <c r="AJ48" s="89">
        <v>1</v>
      </c>
      <c r="AK48" s="146">
        <v>1</v>
      </c>
      <c r="AL48" s="89">
        <v>1</v>
      </c>
      <c r="AM48" s="89">
        <v>1</v>
      </c>
      <c r="AN48" s="89">
        <v>1</v>
      </c>
      <c r="AO48" s="146">
        <v>1</v>
      </c>
      <c r="AP48" s="87">
        <v>0</v>
      </c>
      <c r="AQ48" s="87">
        <v>0</v>
      </c>
      <c r="AR48" s="87">
        <v>0</v>
      </c>
      <c r="AS48" s="141">
        <v>0</v>
      </c>
      <c r="AT48" s="87">
        <v>0</v>
      </c>
      <c r="AU48" s="87">
        <v>0</v>
      </c>
      <c r="AV48" s="87">
        <v>0</v>
      </c>
      <c r="AW48" s="141">
        <v>0</v>
      </c>
      <c r="AX48" s="87">
        <v>0</v>
      </c>
      <c r="AY48" s="87">
        <v>0</v>
      </c>
      <c r="AZ48" s="87">
        <v>0</v>
      </c>
      <c r="BA48" s="141">
        <v>0</v>
      </c>
      <c r="BB48" s="87">
        <v>0</v>
      </c>
      <c r="BC48" s="87">
        <v>0</v>
      </c>
      <c r="BD48" s="87">
        <v>0</v>
      </c>
      <c r="BE48" s="141">
        <v>0</v>
      </c>
      <c r="BF48" s="87">
        <v>0</v>
      </c>
      <c r="BG48" s="87">
        <v>0</v>
      </c>
      <c r="BH48" s="87">
        <v>0</v>
      </c>
      <c r="BI48" s="141">
        <v>0</v>
      </c>
      <c r="BJ48" s="87">
        <v>0</v>
      </c>
      <c r="BK48" s="87">
        <v>0</v>
      </c>
      <c r="BL48" s="87">
        <v>0</v>
      </c>
      <c r="BM48" s="141">
        <v>0</v>
      </c>
      <c r="BN48" s="87">
        <v>0</v>
      </c>
      <c r="BO48" s="87">
        <v>0</v>
      </c>
      <c r="BP48" s="87">
        <v>0</v>
      </c>
      <c r="BQ48" s="141">
        <v>0</v>
      </c>
      <c r="BR48" s="87">
        <v>0</v>
      </c>
      <c r="BS48" s="87">
        <v>0</v>
      </c>
      <c r="BT48" s="87">
        <v>0</v>
      </c>
      <c r="BU48" s="141">
        <v>0</v>
      </c>
      <c r="BV48" s="86">
        <v>0</v>
      </c>
      <c r="BW48" s="86">
        <v>0</v>
      </c>
      <c r="BX48" s="86">
        <v>0</v>
      </c>
      <c r="BY48" s="164">
        <v>0</v>
      </c>
      <c r="BZ48" s="89">
        <v>0.08</v>
      </c>
      <c r="CA48" s="89">
        <v>0.08</v>
      </c>
      <c r="CB48" s="89">
        <v>0.08</v>
      </c>
      <c r="CC48" s="89">
        <v>0.08</v>
      </c>
    </row>
    <row r="49" spans="1:81" s="87" customFormat="1" x14ac:dyDescent="0.35">
      <c r="A49" s="413"/>
      <c r="B49" s="83" t="s">
        <v>16</v>
      </c>
      <c r="C49" s="241" t="s">
        <v>184</v>
      </c>
      <c r="D49" s="245" t="s">
        <v>31</v>
      </c>
      <c r="E49" s="400" t="s">
        <v>477</v>
      </c>
      <c r="F49" s="6">
        <f t="shared" si="58"/>
        <v>44</v>
      </c>
      <c r="G49" s="106">
        <v>1</v>
      </c>
      <c r="H49" s="118" t="s">
        <v>388</v>
      </c>
      <c r="I49" s="118" t="s">
        <v>388</v>
      </c>
      <c r="J49" s="129">
        <v>0</v>
      </c>
      <c r="K49" s="129" t="s">
        <v>12</v>
      </c>
      <c r="L49" s="129">
        <v>0</v>
      </c>
      <c r="M49" s="129">
        <v>0</v>
      </c>
      <c r="N49" s="243">
        <v>0</v>
      </c>
      <c r="O49" s="129">
        <v>0</v>
      </c>
      <c r="P49" s="129">
        <v>0</v>
      </c>
      <c r="Q49" s="141">
        <v>20000000</v>
      </c>
      <c r="R49" s="244">
        <v>0</v>
      </c>
      <c r="S49" s="244">
        <v>0</v>
      </c>
      <c r="T49" s="244">
        <v>0</v>
      </c>
      <c r="U49" s="242">
        <v>0</v>
      </c>
      <c r="V49" s="87">
        <v>0</v>
      </c>
      <c r="W49" s="87">
        <v>0</v>
      </c>
      <c r="X49" s="87">
        <v>0</v>
      </c>
      <c r="Y49" s="141">
        <v>0</v>
      </c>
      <c r="Z49" s="87">
        <v>0</v>
      </c>
      <c r="AA49" s="87">
        <v>0</v>
      </c>
      <c r="AB49" s="87">
        <v>0</v>
      </c>
      <c r="AC49" s="141">
        <v>0</v>
      </c>
      <c r="AD49" s="89">
        <v>0.03</v>
      </c>
      <c r="AE49" s="89">
        <v>0.03</v>
      </c>
      <c r="AF49" s="89">
        <v>0.03</v>
      </c>
      <c r="AG49" s="146">
        <v>0.03</v>
      </c>
      <c r="AH49" s="89">
        <v>1</v>
      </c>
      <c r="AI49" s="89">
        <v>1</v>
      </c>
      <c r="AJ49" s="89">
        <v>1</v>
      </c>
      <c r="AK49" s="146">
        <v>1</v>
      </c>
      <c r="AL49" s="89">
        <v>1</v>
      </c>
      <c r="AM49" s="89">
        <v>1</v>
      </c>
      <c r="AN49" s="89">
        <v>1</v>
      </c>
      <c r="AO49" s="146">
        <v>1</v>
      </c>
      <c r="AP49" s="87">
        <v>0</v>
      </c>
      <c r="AQ49" s="87">
        <v>0</v>
      </c>
      <c r="AR49" s="87">
        <v>0</v>
      </c>
      <c r="AS49" s="141">
        <v>0</v>
      </c>
      <c r="AT49" s="87">
        <v>900</v>
      </c>
      <c r="AU49" s="87">
        <v>800</v>
      </c>
      <c r="AV49" s="87">
        <f>(AW49+AU49)/2</f>
        <v>650</v>
      </c>
      <c r="AW49" s="141">
        <v>500</v>
      </c>
      <c r="AX49" s="87">
        <f>AT49*0.03</f>
        <v>27</v>
      </c>
      <c r="AY49" s="87">
        <f>AU49*0.03</f>
        <v>24</v>
      </c>
      <c r="AZ49" s="87">
        <f>AV49*0.03</f>
        <v>19.5</v>
      </c>
      <c r="BA49" s="141">
        <f>AW49*0.03</f>
        <v>15</v>
      </c>
      <c r="BB49" s="87">
        <v>0</v>
      </c>
      <c r="BC49" s="87">
        <v>0</v>
      </c>
      <c r="BD49" s="87">
        <v>0</v>
      </c>
      <c r="BE49" s="141">
        <v>0</v>
      </c>
      <c r="BF49" s="87">
        <v>0</v>
      </c>
      <c r="BG49" s="87">
        <v>0</v>
      </c>
      <c r="BH49" s="87">
        <v>0</v>
      </c>
      <c r="BI49" s="141">
        <v>0</v>
      </c>
      <c r="BJ49" s="87">
        <v>6.2260740740740748E-3</v>
      </c>
      <c r="BK49" s="87">
        <v>0</v>
      </c>
      <c r="BL49" s="87">
        <v>0</v>
      </c>
      <c r="BM49" s="141">
        <v>0</v>
      </c>
      <c r="BN49" s="87">
        <v>0</v>
      </c>
      <c r="BO49" s="87">
        <v>0</v>
      </c>
      <c r="BP49" s="87">
        <v>0</v>
      </c>
      <c r="BQ49" s="141">
        <v>0</v>
      </c>
      <c r="BR49" s="87">
        <f>IF(BV49&lt;&gt;0,(BZ49*(1+BZ49)^BV49)/((1+BZ49)^BV49-1),0)</f>
        <v>0.14902948869707539</v>
      </c>
      <c r="BS49" s="87">
        <f t="shared" ref="BS49:BU53" si="90">IF(BW49&lt;&gt;0,(CA49*(1+CA49)^BW49)/((1+CA49)^BW49-1),0)</f>
        <v>0.14902948869707539</v>
      </c>
      <c r="BT49" s="87">
        <f t="shared" si="90"/>
        <v>0.14902948869707539</v>
      </c>
      <c r="BU49" s="141">
        <f t="shared" si="90"/>
        <v>0.14902948869707539</v>
      </c>
      <c r="BV49" s="86">
        <v>10</v>
      </c>
      <c r="BW49" s="86">
        <v>10</v>
      </c>
      <c r="BX49" s="86">
        <v>10</v>
      </c>
      <c r="BY49" s="164">
        <v>10</v>
      </c>
      <c r="BZ49" s="89">
        <v>0.08</v>
      </c>
      <c r="CA49" s="89">
        <v>0.08</v>
      </c>
      <c r="CB49" s="89">
        <v>0.08</v>
      </c>
      <c r="CC49" s="89">
        <v>0.08</v>
      </c>
    </row>
    <row r="50" spans="1:81" s="47" customFormat="1" x14ac:dyDescent="0.35">
      <c r="A50" s="413"/>
      <c r="B50" s="43" t="s">
        <v>14</v>
      </c>
      <c r="C50" s="246" t="s">
        <v>184</v>
      </c>
      <c r="D50" s="247" t="s">
        <v>111</v>
      </c>
      <c r="E50" s="398" t="s">
        <v>86</v>
      </c>
      <c r="F50" s="6">
        <f t="shared" si="58"/>
        <v>45</v>
      </c>
      <c r="G50" s="103">
        <v>1</v>
      </c>
      <c r="H50" s="115" t="s">
        <v>387</v>
      </c>
      <c r="I50" s="115" t="s">
        <v>388</v>
      </c>
      <c r="J50" s="128">
        <v>0</v>
      </c>
      <c r="K50" s="128" t="s">
        <v>12</v>
      </c>
      <c r="L50" s="128">
        <v>0</v>
      </c>
      <c r="M50" s="128">
        <v>0</v>
      </c>
      <c r="N50" s="324">
        <v>0</v>
      </c>
      <c r="O50" s="128">
        <v>-1</v>
      </c>
      <c r="P50" s="128">
        <v>0</v>
      </c>
      <c r="Q50" s="157">
        <v>20000</v>
      </c>
      <c r="R50" s="53">
        <v>0</v>
      </c>
      <c r="S50" s="53">
        <v>0</v>
      </c>
      <c r="T50" s="53">
        <v>0</v>
      </c>
      <c r="U50" s="150">
        <v>0</v>
      </c>
      <c r="V50" s="47">
        <v>0</v>
      </c>
      <c r="W50" s="47">
        <v>0</v>
      </c>
      <c r="X50" s="47">
        <v>0</v>
      </c>
      <c r="Y50" s="157">
        <v>0</v>
      </c>
      <c r="Z50" s="47">
        <v>0</v>
      </c>
      <c r="AA50" s="47">
        <v>0</v>
      </c>
      <c r="AB50" s="47">
        <v>0</v>
      </c>
      <c r="AC50" s="157">
        <v>0</v>
      </c>
      <c r="AD50" s="50">
        <v>0</v>
      </c>
      <c r="AE50" s="50">
        <v>0</v>
      </c>
      <c r="AF50" s="50">
        <v>0</v>
      </c>
      <c r="AG50" s="143">
        <v>0</v>
      </c>
      <c r="AH50" s="50">
        <v>1</v>
      </c>
      <c r="AI50" s="50">
        <v>1</v>
      </c>
      <c r="AJ50" s="50">
        <v>1</v>
      </c>
      <c r="AK50" s="143">
        <v>1</v>
      </c>
      <c r="AL50" s="50">
        <v>1</v>
      </c>
      <c r="AM50" s="50">
        <v>1</v>
      </c>
      <c r="AN50" s="50">
        <v>1</v>
      </c>
      <c r="AO50" s="143">
        <v>1</v>
      </c>
      <c r="AP50" s="47">
        <v>0.94</v>
      </c>
      <c r="AQ50" s="47">
        <v>0.94</v>
      </c>
      <c r="AR50" s="47">
        <v>0.94</v>
      </c>
      <c r="AS50" s="157">
        <v>0.94</v>
      </c>
      <c r="AT50" s="47">
        <v>0</v>
      </c>
      <c r="AU50" s="47">
        <v>0</v>
      </c>
      <c r="AV50" s="47">
        <v>0</v>
      </c>
      <c r="AW50" s="157">
        <v>0</v>
      </c>
      <c r="AX50" s="47">
        <v>0</v>
      </c>
      <c r="AY50" s="47">
        <v>0</v>
      </c>
      <c r="AZ50" s="47">
        <v>0</v>
      </c>
      <c r="BA50" s="157">
        <v>0</v>
      </c>
      <c r="BB50" s="47">
        <v>0</v>
      </c>
      <c r="BC50" s="47">
        <v>0</v>
      </c>
      <c r="BD50" s="47">
        <v>0</v>
      </c>
      <c r="BE50" s="157">
        <v>0</v>
      </c>
      <c r="BF50" s="47">
        <v>0</v>
      </c>
      <c r="BG50" s="47">
        <v>0</v>
      </c>
      <c r="BH50" s="47">
        <v>0</v>
      </c>
      <c r="BI50" s="157">
        <v>0</v>
      </c>
      <c r="BJ50" s="47">
        <v>0</v>
      </c>
      <c r="BK50" s="47">
        <v>0</v>
      </c>
      <c r="BL50" s="47">
        <v>0</v>
      </c>
      <c r="BM50" s="157">
        <v>0</v>
      </c>
      <c r="BN50" s="47">
        <v>0</v>
      </c>
      <c r="BO50" s="47">
        <v>0</v>
      </c>
      <c r="BP50" s="47">
        <v>0</v>
      </c>
      <c r="BQ50" s="157">
        <v>0</v>
      </c>
      <c r="BR50" s="47">
        <f t="shared" ref="BR50:BR53" si="91">IF(BV50&lt;&gt;0,(BZ50*(1+BZ50)^BV50)/((1+BZ50)^BV50-1),0)</f>
        <v>0</v>
      </c>
      <c r="BS50" s="47">
        <f t="shared" si="90"/>
        <v>0</v>
      </c>
      <c r="BT50" s="47">
        <f t="shared" si="90"/>
        <v>0</v>
      </c>
      <c r="BU50" s="157">
        <f t="shared" si="90"/>
        <v>0</v>
      </c>
      <c r="BV50" s="46">
        <v>0</v>
      </c>
      <c r="BW50" s="46">
        <v>0</v>
      </c>
      <c r="BX50" s="46">
        <v>0</v>
      </c>
      <c r="BY50" s="168">
        <v>0</v>
      </c>
      <c r="BZ50" s="50">
        <v>0.08</v>
      </c>
      <c r="CA50" s="50">
        <v>0.08</v>
      </c>
      <c r="CB50" s="50">
        <v>0.08</v>
      </c>
      <c r="CC50" s="50">
        <v>0.08</v>
      </c>
    </row>
    <row r="51" spans="1:81" s="47" customFormat="1" x14ac:dyDescent="0.35">
      <c r="A51" s="413"/>
      <c r="B51" s="43" t="s">
        <v>15</v>
      </c>
      <c r="C51" s="246" t="s">
        <v>184</v>
      </c>
      <c r="D51" s="247" t="s">
        <v>112</v>
      </c>
      <c r="E51" s="398" t="s">
        <v>86</v>
      </c>
      <c r="F51" s="6">
        <f t="shared" si="58"/>
        <v>46</v>
      </c>
      <c r="G51" s="103">
        <v>1</v>
      </c>
      <c r="H51" s="115" t="s">
        <v>387</v>
      </c>
      <c r="I51" s="115" t="s">
        <v>388</v>
      </c>
      <c r="J51" s="128">
        <v>0</v>
      </c>
      <c r="K51" s="128" t="s">
        <v>12</v>
      </c>
      <c r="L51" s="128">
        <v>0</v>
      </c>
      <c r="M51" s="128">
        <v>0</v>
      </c>
      <c r="N51" s="324">
        <v>0</v>
      </c>
      <c r="O51" s="128">
        <v>1</v>
      </c>
      <c r="P51" s="128">
        <v>0</v>
      </c>
      <c r="Q51" s="157">
        <f>Q47</f>
        <v>20000</v>
      </c>
      <c r="R51" s="53">
        <v>0</v>
      </c>
      <c r="S51" s="53">
        <v>0</v>
      </c>
      <c r="T51" s="53">
        <v>0</v>
      </c>
      <c r="U51" s="150">
        <v>0</v>
      </c>
      <c r="V51" s="47">
        <v>0</v>
      </c>
      <c r="W51" s="47">
        <v>0</v>
      </c>
      <c r="X51" s="47">
        <v>0</v>
      </c>
      <c r="Y51" s="157">
        <v>0</v>
      </c>
      <c r="Z51" s="47">
        <v>0</v>
      </c>
      <c r="AA51" s="47">
        <v>0</v>
      </c>
      <c r="AB51" s="47">
        <v>0</v>
      </c>
      <c r="AC51" s="157">
        <v>0</v>
      </c>
      <c r="AD51" s="50">
        <v>0</v>
      </c>
      <c r="AE51" s="50">
        <v>0</v>
      </c>
      <c r="AF51" s="50">
        <v>0</v>
      </c>
      <c r="AG51" s="143">
        <v>0</v>
      </c>
      <c r="AH51" s="50">
        <v>1</v>
      </c>
      <c r="AI51" s="50">
        <v>1</v>
      </c>
      <c r="AJ51" s="50">
        <v>1</v>
      </c>
      <c r="AK51" s="143">
        <v>1</v>
      </c>
      <c r="AL51" s="50">
        <v>1</v>
      </c>
      <c r="AM51" s="50">
        <v>1</v>
      </c>
      <c r="AN51" s="50">
        <v>1</v>
      </c>
      <c r="AO51" s="143">
        <v>1</v>
      </c>
      <c r="AP51" s="47">
        <v>0</v>
      </c>
      <c r="AQ51" s="47">
        <v>0</v>
      </c>
      <c r="AR51" s="47">
        <v>0</v>
      </c>
      <c r="AS51" s="157">
        <v>0</v>
      </c>
      <c r="AT51" s="47">
        <v>0</v>
      </c>
      <c r="AU51" s="47">
        <v>0</v>
      </c>
      <c r="AV51" s="47">
        <v>0</v>
      </c>
      <c r="AW51" s="157">
        <v>0</v>
      </c>
      <c r="AX51" s="47">
        <v>0</v>
      </c>
      <c r="AY51" s="47">
        <v>0</v>
      </c>
      <c r="AZ51" s="47">
        <v>0</v>
      </c>
      <c r="BA51" s="157">
        <v>0</v>
      </c>
      <c r="BB51" s="47">
        <v>0</v>
      </c>
      <c r="BC51" s="47">
        <v>0</v>
      </c>
      <c r="BD51" s="47">
        <v>0</v>
      </c>
      <c r="BE51" s="157">
        <v>0</v>
      </c>
      <c r="BF51" s="47">
        <v>0</v>
      </c>
      <c r="BG51" s="47">
        <v>0</v>
      </c>
      <c r="BH51" s="47">
        <v>0</v>
      </c>
      <c r="BI51" s="157">
        <v>0</v>
      </c>
      <c r="BJ51" s="47">
        <v>0</v>
      </c>
      <c r="BK51" s="47">
        <v>0</v>
      </c>
      <c r="BL51" s="47">
        <v>0</v>
      </c>
      <c r="BM51" s="157">
        <v>0</v>
      </c>
      <c r="BN51" s="47">
        <v>0</v>
      </c>
      <c r="BO51" s="47">
        <v>0</v>
      </c>
      <c r="BP51" s="47">
        <v>0</v>
      </c>
      <c r="BQ51" s="157">
        <v>0</v>
      </c>
      <c r="BR51" s="47">
        <f t="shared" si="91"/>
        <v>0</v>
      </c>
      <c r="BS51" s="47">
        <f t="shared" si="90"/>
        <v>0</v>
      </c>
      <c r="BT51" s="47">
        <f t="shared" si="90"/>
        <v>0</v>
      </c>
      <c r="BU51" s="157">
        <f t="shared" si="90"/>
        <v>0</v>
      </c>
      <c r="BV51" s="46">
        <v>0</v>
      </c>
      <c r="BW51" s="46">
        <v>0</v>
      </c>
      <c r="BX51" s="46">
        <v>0</v>
      </c>
      <c r="BY51" s="168">
        <v>0</v>
      </c>
      <c r="BZ51" s="50">
        <v>0.08</v>
      </c>
      <c r="CA51" s="50">
        <v>0.08</v>
      </c>
      <c r="CB51" s="50">
        <v>0.08</v>
      </c>
      <c r="CC51" s="50">
        <v>0.08</v>
      </c>
    </row>
    <row r="52" spans="1:81" s="47" customFormat="1" x14ac:dyDescent="0.35">
      <c r="A52" s="417"/>
      <c r="B52" s="43" t="s">
        <v>16</v>
      </c>
      <c r="C52" s="246" t="s">
        <v>184</v>
      </c>
      <c r="D52" s="247" t="s">
        <v>113</v>
      </c>
      <c r="E52" s="398" t="s">
        <v>485</v>
      </c>
      <c r="F52" s="6">
        <f t="shared" si="58"/>
        <v>47</v>
      </c>
      <c r="G52" s="103">
        <v>1</v>
      </c>
      <c r="H52" s="115" t="s">
        <v>388</v>
      </c>
      <c r="I52" s="115" t="s">
        <v>388</v>
      </c>
      <c r="J52" s="128">
        <v>0</v>
      </c>
      <c r="K52" s="128" t="s">
        <v>12</v>
      </c>
      <c r="L52" s="128">
        <v>0</v>
      </c>
      <c r="M52" s="128">
        <v>0</v>
      </c>
      <c r="N52" s="324">
        <v>0</v>
      </c>
      <c r="O52" s="128">
        <v>0</v>
      </c>
      <c r="P52" s="128">
        <v>0</v>
      </c>
      <c r="Q52" s="157">
        <v>20000000</v>
      </c>
      <c r="R52" s="47">
        <v>0</v>
      </c>
      <c r="S52" s="47">
        <v>0</v>
      </c>
      <c r="T52" s="47">
        <v>0</v>
      </c>
      <c r="U52" s="157">
        <v>0</v>
      </c>
      <c r="V52" s="47">
        <v>0</v>
      </c>
      <c r="W52" s="47">
        <v>0</v>
      </c>
      <c r="X52" s="47">
        <v>0</v>
      </c>
      <c r="Y52" s="157">
        <v>0</v>
      </c>
      <c r="Z52" s="47">
        <v>0</v>
      </c>
      <c r="AA52" s="47">
        <v>0</v>
      </c>
      <c r="AB52" s="47">
        <v>0</v>
      </c>
      <c r="AC52" s="157">
        <v>0</v>
      </c>
      <c r="AD52" s="50">
        <v>0.09</v>
      </c>
      <c r="AE52" s="50">
        <v>0.09</v>
      </c>
      <c r="AF52" s="50">
        <v>0.09</v>
      </c>
      <c r="AG52" s="143">
        <v>0.09</v>
      </c>
      <c r="AH52" s="50">
        <v>1</v>
      </c>
      <c r="AI52" s="50">
        <v>1</v>
      </c>
      <c r="AJ52" s="50">
        <v>1</v>
      </c>
      <c r="AK52" s="143">
        <v>1</v>
      </c>
      <c r="AL52" s="50">
        <v>1</v>
      </c>
      <c r="AM52" s="50">
        <v>1</v>
      </c>
      <c r="AN52" s="50">
        <v>1</v>
      </c>
      <c r="AO52" s="143">
        <v>1</v>
      </c>
      <c r="AP52" s="47">
        <v>0</v>
      </c>
      <c r="AQ52" s="47">
        <v>0</v>
      </c>
      <c r="AR52" s="47">
        <v>0</v>
      </c>
      <c r="AS52" s="157">
        <v>0</v>
      </c>
      <c r="AT52" s="47">
        <v>250</v>
      </c>
      <c r="AU52" s="47">
        <v>250</v>
      </c>
      <c r="AV52" s="47">
        <v>250</v>
      </c>
      <c r="AW52" s="157">
        <v>250</v>
      </c>
      <c r="AX52" s="47">
        <f>0.03*AT52</f>
        <v>7.5</v>
      </c>
      <c r="AY52" s="47">
        <f>0.03*AU52</f>
        <v>7.5</v>
      </c>
      <c r="AZ52" s="47">
        <f>0.03*AV52</f>
        <v>7.5</v>
      </c>
      <c r="BA52" s="157">
        <f>0.03*AW52</f>
        <v>7.5</v>
      </c>
      <c r="BB52" s="47">
        <v>0</v>
      </c>
      <c r="BC52" s="47">
        <v>0</v>
      </c>
      <c r="BD52" s="47">
        <v>0</v>
      </c>
      <c r="BE52" s="157">
        <v>0</v>
      </c>
      <c r="BF52" s="47">
        <v>0</v>
      </c>
      <c r="BG52" s="47">
        <v>0</v>
      </c>
      <c r="BH52" s="47">
        <v>0</v>
      </c>
      <c r="BI52" s="157">
        <v>0</v>
      </c>
      <c r="BJ52" s="390">
        <v>6.2260740740740748E-3</v>
      </c>
      <c r="BK52" s="47">
        <v>0</v>
      </c>
      <c r="BL52" s="47">
        <v>0</v>
      </c>
      <c r="BM52" s="157">
        <v>0</v>
      </c>
      <c r="BN52" s="47">
        <v>0</v>
      </c>
      <c r="BO52" s="47">
        <v>0</v>
      </c>
      <c r="BP52" s="47">
        <v>0</v>
      </c>
      <c r="BQ52" s="157">
        <v>0</v>
      </c>
      <c r="BR52" s="47">
        <f t="shared" si="91"/>
        <v>8.174285816161557E-2</v>
      </c>
      <c r="BS52" s="47">
        <f t="shared" si="90"/>
        <v>8.174285816161557E-2</v>
      </c>
      <c r="BT52" s="47">
        <f t="shared" si="90"/>
        <v>8.174285816161557E-2</v>
      </c>
      <c r="BU52" s="157">
        <f t="shared" si="90"/>
        <v>8.174285816161557E-2</v>
      </c>
      <c r="BV52" s="46">
        <v>50</v>
      </c>
      <c r="BW52" s="46">
        <v>50</v>
      </c>
      <c r="BX52" s="46">
        <v>50</v>
      </c>
      <c r="BY52" s="168">
        <v>50</v>
      </c>
      <c r="BZ52" s="50">
        <v>0.08</v>
      </c>
      <c r="CA52" s="50">
        <v>0.08</v>
      </c>
      <c r="CB52" s="50">
        <v>0.08</v>
      </c>
      <c r="CC52" s="50">
        <v>0.08</v>
      </c>
    </row>
    <row r="53" spans="1:81" s="345" customFormat="1" ht="14.5" customHeight="1" x14ac:dyDescent="0.35">
      <c r="A53" s="413" t="s">
        <v>17</v>
      </c>
      <c r="B53" s="335" t="s">
        <v>39</v>
      </c>
      <c r="C53" s="336" t="s">
        <v>184</v>
      </c>
      <c r="D53" s="337" t="s">
        <v>36</v>
      </c>
      <c r="E53" s="405" t="s">
        <v>481</v>
      </c>
      <c r="F53" s="6">
        <f t="shared" si="58"/>
        <v>48</v>
      </c>
      <c r="G53" s="338">
        <v>1</v>
      </c>
      <c r="H53" s="339" t="s">
        <v>395</v>
      </c>
      <c r="I53" s="339" t="s">
        <v>396</v>
      </c>
      <c r="J53" s="340">
        <v>0</v>
      </c>
      <c r="K53" s="340" t="s">
        <v>12</v>
      </c>
      <c r="L53" s="340">
        <v>1</v>
      </c>
      <c r="M53" s="340">
        <v>0</v>
      </c>
      <c r="N53" s="341">
        <v>0</v>
      </c>
      <c r="O53" s="340">
        <v>0</v>
      </c>
      <c r="P53" s="340">
        <v>0</v>
      </c>
      <c r="Q53" s="342">
        <v>2000000</v>
      </c>
      <c r="R53" s="343">
        <v>0</v>
      </c>
      <c r="S53" s="343">
        <v>0</v>
      </c>
      <c r="T53" s="343">
        <v>0</v>
      </c>
      <c r="U53" s="344">
        <v>0</v>
      </c>
      <c r="V53" s="345">
        <v>0</v>
      </c>
      <c r="W53" s="345">
        <v>0</v>
      </c>
      <c r="X53" s="345">
        <v>0</v>
      </c>
      <c r="Y53" s="342">
        <v>0</v>
      </c>
      <c r="Z53" s="345">
        <v>0</v>
      </c>
      <c r="AA53" s="345">
        <v>0</v>
      </c>
      <c r="AB53" s="345">
        <v>0</v>
      </c>
      <c r="AC53" s="342">
        <v>0</v>
      </c>
      <c r="AD53" s="346">
        <v>0</v>
      </c>
      <c r="AE53" s="346">
        <v>0</v>
      </c>
      <c r="AF53" s="346">
        <v>0</v>
      </c>
      <c r="AG53" s="347">
        <v>0</v>
      </c>
      <c r="AH53" s="346">
        <v>1</v>
      </c>
      <c r="AI53" s="346">
        <v>1</v>
      </c>
      <c r="AJ53" s="346">
        <v>1</v>
      </c>
      <c r="AK53" s="347">
        <v>1</v>
      </c>
      <c r="AL53" s="346">
        <v>1</v>
      </c>
      <c r="AM53" s="346">
        <v>1</v>
      </c>
      <c r="AN53" s="346">
        <v>1</v>
      </c>
      <c r="AO53" s="347">
        <v>1</v>
      </c>
      <c r="AP53" s="345">
        <v>0</v>
      </c>
      <c r="AQ53" s="345">
        <v>0</v>
      </c>
      <c r="AR53" s="345">
        <v>0</v>
      </c>
      <c r="AS53" s="342">
        <v>0</v>
      </c>
      <c r="AT53" s="345">
        <v>552.67870000000005</v>
      </c>
      <c r="AU53" s="345">
        <v>396.26020000000005</v>
      </c>
      <c r="AV53" s="345">
        <v>344.12070000000006</v>
      </c>
      <c r="AW53" s="342">
        <v>312.83700000000005</v>
      </c>
      <c r="AX53" s="345">
        <v>9.1244125000000018</v>
      </c>
      <c r="AY53" s="345">
        <v>7.5602275000000008</v>
      </c>
      <c r="AZ53" s="345">
        <v>6.9084837500000003</v>
      </c>
      <c r="BA53" s="342">
        <v>6.5174375000000007</v>
      </c>
      <c r="BB53" s="345">
        <v>0</v>
      </c>
      <c r="BC53" s="345">
        <v>0</v>
      </c>
      <c r="BD53" s="345">
        <v>0</v>
      </c>
      <c r="BE53" s="342">
        <v>0</v>
      </c>
      <c r="BF53" s="345">
        <v>0</v>
      </c>
      <c r="BG53" s="345">
        <v>0</v>
      </c>
      <c r="BH53" s="345">
        <v>0</v>
      </c>
      <c r="BI53" s="342">
        <v>0</v>
      </c>
      <c r="BJ53" s="388">
        <v>90.584795321637415</v>
      </c>
      <c r="BK53" s="345">
        <v>0</v>
      </c>
      <c r="BL53" s="345">
        <v>0</v>
      </c>
      <c r="BM53" s="342">
        <v>0</v>
      </c>
      <c r="BN53" s="345">
        <v>0</v>
      </c>
      <c r="BO53" s="345">
        <v>0</v>
      </c>
      <c r="BP53" s="345">
        <v>0</v>
      </c>
      <c r="BQ53" s="342">
        <v>0</v>
      </c>
      <c r="BR53" s="345">
        <f t="shared" si="91"/>
        <v>8.5803264560679798E-2</v>
      </c>
      <c r="BS53" s="345">
        <f t="shared" si="90"/>
        <v>8.3860161500585326E-2</v>
      </c>
      <c r="BT53" s="345">
        <f t="shared" si="90"/>
        <v>8.3860161500585326E-2</v>
      </c>
      <c r="BU53" s="342">
        <f t="shared" si="90"/>
        <v>8.3860161500585326E-2</v>
      </c>
      <c r="BV53" s="348">
        <v>35</v>
      </c>
      <c r="BW53" s="348">
        <v>40</v>
      </c>
      <c r="BX53" s="348">
        <v>40</v>
      </c>
      <c r="BY53" s="349">
        <v>40</v>
      </c>
      <c r="BZ53" s="346">
        <v>0.08</v>
      </c>
      <c r="CA53" s="346">
        <v>0.08</v>
      </c>
      <c r="CB53" s="346">
        <v>0.08</v>
      </c>
      <c r="CC53" s="346">
        <v>0.08</v>
      </c>
    </row>
    <row r="54" spans="1:81" s="37" customFormat="1" ht="14.5" customHeight="1" x14ac:dyDescent="0.35">
      <c r="A54" s="413"/>
      <c r="B54" s="248" t="s">
        <v>38</v>
      </c>
      <c r="C54" s="234" t="s">
        <v>184</v>
      </c>
      <c r="D54" s="249" t="s">
        <v>37</v>
      </c>
      <c r="E54" s="403" t="s">
        <v>481</v>
      </c>
      <c r="F54" s="6">
        <f t="shared" si="58"/>
        <v>49</v>
      </c>
      <c r="G54" s="220">
        <v>1</v>
      </c>
      <c r="H54" s="221" t="s">
        <v>395</v>
      </c>
      <c r="I54" s="221" t="s">
        <v>396</v>
      </c>
      <c r="J54" s="224">
        <v>0</v>
      </c>
      <c r="K54" s="224" t="s">
        <v>12</v>
      </c>
      <c r="L54" s="224">
        <v>1</v>
      </c>
      <c r="M54" s="224">
        <v>0</v>
      </c>
      <c r="N54" s="323">
        <v>0</v>
      </c>
      <c r="O54" s="224">
        <v>0</v>
      </c>
      <c r="P54" s="224">
        <v>0</v>
      </c>
      <c r="Q54" s="222">
        <f t="shared" ref="Q54:Q78" si="92">$Q$53</f>
        <v>2000000</v>
      </c>
      <c r="R54" s="236">
        <v>0</v>
      </c>
      <c r="S54" s="236">
        <v>0</v>
      </c>
      <c r="T54" s="236">
        <v>0</v>
      </c>
      <c r="U54" s="235">
        <v>0</v>
      </c>
      <c r="V54" s="37">
        <v>0</v>
      </c>
      <c r="W54" s="37">
        <v>0</v>
      </c>
      <c r="X54" s="37">
        <v>0</v>
      </c>
      <c r="Y54" s="222">
        <v>0</v>
      </c>
      <c r="Z54" s="37">
        <v>0</v>
      </c>
      <c r="AA54" s="37">
        <v>0</v>
      </c>
      <c r="AB54" s="37">
        <v>0</v>
      </c>
      <c r="AC54" s="222">
        <v>0</v>
      </c>
      <c r="AD54" s="225">
        <v>0</v>
      </c>
      <c r="AE54" s="225">
        <v>0</v>
      </c>
      <c r="AF54" s="225">
        <v>0</v>
      </c>
      <c r="AG54" s="226">
        <v>0</v>
      </c>
      <c r="AH54" s="225">
        <v>1</v>
      </c>
      <c r="AI54" s="225">
        <v>1</v>
      </c>
      <c r="AJ54" s="225">
        <v>1</v>
      </c>
      <c r="AK54" s="226">
        <v>1</v>
      </c>
      <c r="AL54" s="225">
        <v>1</v>
      </c>
      <c r="AM54" s="225">
        <v>1</v>
      </c>
      <c r="AN54" s="225">
        <v>1</v>
      </c>
      <c r="AO54" s="226">
        <v>1</v>
      </c>
      <c r="AP54" s="37">
        <v>0</v>
      </c>
      <c r="AQ54" s="37">
        <v>0</v>
      </c>
      <c r="AR54" s="37">
        <v>0</v>
      </c>
      <c r="AS54" s="222">
        <v>0</v>
      </c>
      <c r="AT54" s="37">
        <v>646.52980000000002</v>
      </c>
      <c r="AU54" s="37">
        <v>458.82760000000007</v>
      </c>
      <c r="AV54" s="37">
        <v>406.68810000000002</v>
      </c>
      <c r="AW54" s="222">
        <v>375.40440000000001</v>
      </c>
      <c r="AX54" s="37">
        <v>11.157853000000001</v>
      </c>
      <c r="AY54" s="37">
        <v>9.2808310000000009</v>
      </c>
      <c r="AZ54" s="37">
        <v>8.5508780000000009</v>
      </c>
      <c r="BA54" s="222">
        <v>8.1337620000000008</v>
      </c>
      <c r="BB54" s="37">
        <v>0</v>
      </c>
      <c r="BC54" s="37">
        <v>0</v>
      </c>
      <c r="BD54" s="37">
        <v>0</v>
      </c>
      <c r="BE54" s="222">
        <v>0</v>
      </c>
      <c r="BF54" s="37">
        <v>0</v>
      </c>
      <c r="BG54" s="37">
        <v>0</v>
      </c>
      <c r="BH54" s="37">
        <v>0</v>
      </c>
      <c r="BI54" s="222">
        <v>0</v>
      </c>
      <c r="BJ54" s="388">
        <v>90.584795321637415</v>
      </c>
      <c r="BK54" s="37">
        <v>0</v>
      </c>
      <c r="BL54" s="37">
        <v>0</v>
      </c>
      <c r="BM54" s="222">
        <v>0</v>
      </c>
      <c r="BN54" s="37">
        <v>0</v>
      </c>
      <c r="BO54" s="37">
        <v>0</v>
      </c>
      <c r="BP54" s="37">
        <v>0</v>
      </c>
      <c r="BQ54" s="222">
        <v>0</v>
      </c>
      <c r="BR54" s="37">
        <f t="shared" ref="BR54" si="93">IF(BV54&lt;&gt;0,(BZ54*(1+BZ54)^BV54)/((1+BZ54)^BV54-1),0)</f>
        <v>8.5803264560679798E-2</v>
      </c>
      <c r="BS54" s="37">
        <f t="shared" ref="BS54" si="94">IF(BW54&lt;&gt;0,(CA54*(1+CA54)^BW54)/((1+CA54)^BW54-1),0)</f>
        <v>8.3860161500585326E-2</v>
      </c>
      <c r="BT54" s="37">
        <f t="shared" ref="BT54" si="95">IF(BX54&lt;&gt;0,(CB54*(1+CB54)^BX54)/((1+CB54)^BX54-1),0)</f>
        <v>8.3860161500585326E-2</v>
      </c>
      <c r="BU54" s="222">
        <f t="shared" ref="BU54" si="96">IF(BY54&lt;&gt;0,(CC54*(1+CC54)^BY54)/((1+CC54)^BY54-1),0)</f>
        <v>8.3860161500585326E-2</v>
      </c>
      <c r="BV54" s="229">
        <v>35</v>
      </c>
      <c r="BW54" s="229">
        <v>40</v>
      </c>
      <c r="BX54" s="229">
        <v>40</v>
      </c>
      <c r="BY54" s="223">
        <v>40</v>
      </c>
      <c r="BZ54" s="225">
        <v>0.08</v>
      </c>
      <c r="CA54" s="225">
        <v>0.08</v>
      </c>
      <c r="CB54" s="225">
        <v>0.08</v>
      </c>
      <c r="CC54" s="225">
        <v>0.08</v>
      </c>
    </row>
    <row r="55" spans="1:81" s="179" customFormat="1" x14ac:dyDescent="0.35">
      <c r="A55" s="413"/>
      <c r="B55" s="250" t="str">
        <f t="shared" ref="B55:B66" si="97">CONCATENATE("RPU_"&amp;D55)</f>
        <v>RPU_ON_SP198-HH100</v>
      </c>
      <c r="C55" s="65" t="s">
        <v>184</v>
      </c>
      <c r="D55" s="174" t="s">
        <v>114</v>
      </c>
      <c r="E55" s="402" t="s">
        <v>479</v>
      </c>
      <c r="F55" s="6">
        <f t="shared" si="58"/>
        <v>50</v>
      </c>
      <c r="G55" s="175">
        <v>1</v>
      </c>
      <c r="H55" s="176" t="s">
        <v>395</v>
      </c>
      <c r="I55" s="176" t="s">
        <v>396</v>
      </c>
      <c r="J55" s="178">
        <v>0</v>
      </c>
      <c r="K55" s="178" t="s">
        <v>12</v>
      </c>
      <c r="L55" s="178">
        <v>1</v>
      </c>
      <c r="M55" s="178">
        <v>0</v>
      </c>
      <c r="N55" s="311">
        <v>0</v>
      </c>
      <c r="O55" s="178">
        <v>0</v>
      </c>
      <c r="P55" s="178">
        <v>0</v>
      </c>
      <c r="Q55" s="177">
        <f t="shared" si="92"/>
        <v>2000000</v>
      </c>
      <c r="R55" s="183">
        <v>0</v>
      </c>
      <c r="S55" s="183">
        <v>0</v>
      </c>
      <c r="T55" s="183">
        <v>0</v>
      </c>
      <c r="U55" s="237">
        <v>0</v>
      </c>
      <c r="V55" s="179">
        <v>0</v>
      </c>
      <c r="W55" s="179">
        <v>0</v>
      </c>
      <c r="X55" s="179">
        <v>0</v>
      </c>
      <c r="Y55" s="177">
        <v>0</v>
      </c>
      <c r="Z55" s="179">
        <v>0</v>
      </c>
      <c r="AA55" s="179">
        <v>0</v>
      </c>
      <c r="AB55" s="179">
        <v>0</v>
      </c>
      <c r="AC55" s="177">
        <v>0</v>
      </c>
      <c r="AD55" s="180">
        <v>0</v>
      </c>
      <c r="AE55" s="180">
        <v>0</v>
      </c>
      <c r="AF55" s="180">
        <v>0</v>
      </c>
      <c r="AG55" s="181">
        <v>0</v>
      </c>
      <c r="AH55" s="180">
        <v>1</v>
      </c>
      <c r="AI55" s="180">
        <v>1</v>
      </c>
      <c r="AJ55" s="180">
        <v>1</v>
      </c>
      <c r="AK55" s="181">
        <v>1</v>
      </c>
      <c r="AL55" s="180">
        <v>1</v>
      </c>
      <c r="AM55" s="180">
        <v>1</v>
      </c>
      <c r="AN55" s="180">
        <v>1</v>
      </c>
      <c r="AO55" s="181">
        <v>1</v>
      </c>
      <c r="AP55" s="179">
        <v>0</v>
      </c>
      <c r="AQ55" s="179">
        <v>0</v>
      </c>
      <c r="AR55" s="179">
        <v>0</v>
      </c>
      <c r="AS55" s="177">
        <v>0</v>
      </c>
      <c r="AT55" s="179">
        <v>1758.6807528485745</v>
      </c>
      <c r="AU55" s="179">
        <v>1633.060699073676</v>
      </c>
      <c r="AV55" s="179">
        <v>1538.8456587425023</v>
      </c>
      <c r="AW55" s="177">
        <v>1507.4406452987776</v>
      </c>
      <c r="AX55" s="179">
        <v>14.599060000000001</v>
      </c>
      <c r="AY55" s="179">
        <v>13.139154000000001</v>
      </c>
      <c r="AZ55" s="179">
        <v>12.088021680000002</v>
      </c>
      <c r="BA55" s="177">
        <v>11.8252386</v>
      </c>
      <c r="BB55" s="179">
        <v>1.5641850000000001E-3</v>
      </c>
      <c r="BC55" s="179">
        <v>1.4077665000000001E-3</v>
      </c>
      <c r="BD55" s="179">
        <v>1.2930596E-3</v>
      </c>
      <c r="BE55" s="177">
        <v>1.2722038E-3</v>
      </c>
      <c r="BF55" s="179">
        <v>0</v>
      </c>
      <c r="BG55" s="179">
        <v>0</v>
      </c>
      <c r="BH55" s="179">
        <v>0</v>
      </c>
      <c r="BI55" s="177">
        <v>0</v>
      </c>
      <c r="BJ55" s="389">
        <v>55.12222222222222</v>
      </c>
      <c r="BK55" s="351">
        <v>0</v>
      </c>
      <c r="BL55" s="351">
        <v>0</v>
      </c>
      <c r="BM55" s="352">
        <v>0</v>
      </c>
      <c r="BN55" s="179">
        <v>0</v>
      </c>
      <c r="BO55" s="179">
        <v>0</v>
      </c>
      <c r="BP55" s="179">
        <v>0</v>
      </c>
      <c r="BQ55" s="177">
        <v>0</v>
      </c>
      <c r="BR55" s="179">
        <f t="shared" ref="BR55" si="98">IF(BV55&lt;&gt;0,(BZ55*(1+BZ55)^BV55)/((1+BZ55)^BV55-1),0)</f>
        <v>9.1448096207564403E-2</v>
      </c>
      <c r="BS55" s="179">
        <f t="shared" ref="BS55" si="99">IF(BW55&lt;&gt;0,(CA55*(1+CA55)^BW55)/((1+CA55)^BW55-1),0)</f>
        <v>8.8827433387272267E-2</v>
      </c>
      <c r="BT55" s="179">
        <f t="shared" ref="BT55" si="100">IF(BX55&lt;&gt;0,(CB55*(1+CB55)^BX55)/((1+CB55)^BX55-1),0)</f>
        <v>8.8827433387272267E-2</v>
      </c>
      <c r="BU55" s="177">
        <f t="shared" ref="BU55" si="101">IF(BY55&lt;&gt;0,(CC55*(1+CC55)^BY55)/((1+CC55)^BY55-1),0)</f>
        <v>8.8827433387272267E-2</v>
      </c>
      <c r="BV55" s="182">
        <v>27</v>
      </c>
      <c r="BW55" s="182">
        <v>30</v>
      </c>
      <c r="BX55" s="182">
        <v>30</v>
      </c>
      <c r="BY55" s="251">
        <v>30</v>
      </c>
      <c r="BZ55" s="180">
        <v>0.08</v>
      </c>
      <c r="CA55" s="180">
        <v>0.08</v>
      </c>
      <c r="CB55" s="180">
        <v>0.08</v>
      </c>
      <c r="CC55" s="180">
        <v>0.08</v>
      </c>
    </row>
    <row r="56" spans="1:81" s="179" customFormat="1" x14ac:dyDescent="0.35">
      <c r="A56" s="413"/>
      <c r="B56" s="250" t="str">
        <f t="shared" si="97"/>
        <v>RPU_ON_SP198-HH150</v>
      </c>
      <c r="C56" s="65" t="s">
        <v>184</v>
      </c>
      <c r="D56" s="174" t="s">
        <v>40</v>
      </c>
      <c r="E56" s="402" t="s">
        <v>479</v>
      </c>
      <c r="F56" s="6">
        <f t="shared" si="58"/>
        <v>51</v>
      </c>
      <c r="G56" s="175">
        <v>1</v>
      </c>
      <c r="H56" s="176" t="s">
        <v>395</v>
      </c>
      <c r="I56" s="176" t="s">
        <v>396</v>
      </c>
      <c r="J56" s="178">
        <v>0</v>
      </c>
      <c r="K56" s="178" t="s">
        <v>12</v>
      </c>
      <c r="L56" s="178">
        <v>1</v>
      </c>
      <c r="M56" s="178">
        <v>0</v>
      </c>
      <c r="N56" s="311">
        <v>0</v>
      </c>
      <c r="O56" s="178">
        <v>0</v>
      </c>
      <c r="P56" s="178">
        <v>0</v>
      </c>
      <c r="Q56" s="177">
        <f t="shared" si="92"/>
        <v>2000000</v>
      </c>
      <c r="R56" s="183">
        <v>0</v>
      </c>
      <c r="S56" s="183">
        <v>0</v>
      </c>
      <c r="T56" s="183">
        <v>0</v>
      </c>
      <c r="U56" s="237">
        <v>0</v>
      </c>
      <c r="V56" s="179">
        <v>0</v>
      </c>
      <c r="W56" s="179">
        <v>0</v>
      </c>
      <c r="X56" s="179">
        <v>0</v>
      </c>
      <c r="Y56" s="177">
        <v>0</v>
      </c>
      <c r="Z56" s="179">
        <v>0</v>
      </c>
      <c r="AA56" s="179">
        <v>0</v>
      </c>
      <c r="AB56" s="179">
        <v>0</v>
      </c>
      <c r="AC56" s="177">
        <v>0</v>
      </c>
      <c r="AD56" s="180">
        <v>0</v>
      </c>
      <c r="AE56" s="180">
        <v>0</v>
      </c>
      <c r="AF56" s="180">
        <v>0</v>
      </c>
      <c r="AG56" s="181">
        <v>0</v>
      </c>
      <c r="AH56" s="180">
        <v>1</v>
      </c>
      <c r="AI56" s="180">
        <v>1</v>
      </c>
      <c r="AJ56" s="180">
        <v>1</v>
      </c>
      <c r="AK56" s="181">
        <v>1</v>
      </c>
      <c r="AL56" s="180">
        <v>1</v>
      </c>
      <c r="AM56" s="180">
        <v>1</v>
      </c>
      <c r="AN56" s="180">
        <v>1</v>
      </c>
      <c r="AO56" s="181">
        <v>1</v>
      </c>
      <c r="AP56" s="179">
        <v>0</v>
      </c>
      <c r="AQ56" s="179">
        <v>0</v>
      </c>
      <c r="AR56" s="179">
        <v>0</v>
      </c>
      <c r="AS56" s="177">
        <v>0</v>
      </c>
      <c r="AT56" s="179">
        <v>2188.7934195531479</v>
      </c>
      <c r="AU56" s="179">
        <v>2032.4510324422088</v>
      </c>
      <c r="AV56" s="179">
        <v>1915.1942421090046</v>
      </c>
      <c r="AW56" s="177">
        <v>1876.1086453312696</v>
      </c>
      <c r="AX56" s="179">
        <v>14.599060000000001</v>
      </c>
      <c r="AY56" s="179">
        <v>13.139154000000001</v>
      </c>
      <c r="AZ56" s="179">
        <v>12.088021680000002</v>
      </c>
      <c r="BA56" s="177">
        <v>11.8252386</v>
      </c>
      <c r="BB56" s="179">
        <v>1.5641850000000001E-3</v>
      </c>
      <c r="BC56" s="179">
        <v>1.4077665000000001E-3</v>
      </c>
      <c r="BD56" s="179">
        <v>1.2930596E-3</v>
      </c>
      <c r="BE56" s="177">
        <v>1.2722038E-3</v>
      </c>
      <c r="BF56" s="179">
        <v>0</v>
      </c>
      <c r="BG56" s="179">
        <v>0</v>
      </c>
      <c r="BH56" s="179">
        <v>0</v>
      </c>
      <c r="BI56" s="177">
        <v>0</v>
      </c>
      <c r="BJ56" s="389">
        <v>55.12222222222222</v>
      </c>
      <c r="BK56" s="351">
        <v>0</v>
      </c>
      <c r="BL56" s="351">
        <v>0</v>
      </c>
      <c r="BM56" s="352">
        <v>0</v>
      </c>
      <c r="BN56" s="179">
        <v>0</v>
      </c>
      <c r="BO56" s="179">
        <v>0</v>
      </c>
      <c r="BP56" s="179">
        <v>0</v>
      </c>
      <c r="BQ56" s="177">
        <v>0</v>
      </c>
      <c r="BR56" s="179">
        <f t="shared" ref="BR56:BR67" si="102">IF(BV56&lt;&gt;0,(BZ56*(1+BZ56)^BV56)/((1+BZ56)^BV56-1),0)</f>
        <v>9.1448096207564403E-2</v>
      </c>
      <c r="BS56" s="179">
        <f t="shared" ref="BS56:BS67" si="103">IF(BW56&lt;&gt;0,(CA56*(1+CA56)^BW56)/((1+CA56)^BW56-1),0)</f>
        <v>8.8827433387272267E-2</v>
      </c>
      <c r="BT56" s="179">
        <f t="shared" ref="BT56:BT67" si="104">IF(BX56&lt;&gt;0,(CB56*(1+CB56)^BX56)/((1+CB56)^BX56-1),0)</f>
        <v>8.8827433387272267E-2</v>
      </c>
      <c r="BU56" s="177">
        <f t="shared" ref="BU56:BU67" si="105">IF(BY56&lt;&gt;0,(CC56*(1+CC56)^BY56)/((1+CC56)^BY56-1),0)</f>
        <v>8.8827433387272267E-2</v>
      </c>
      <c r="BV56" s="182">
        <v>27</v>
      </c>
      <c r="BW56" s="182">
        <v>30</v>
      </c>
      <c r="BX56" s="182">
        <v>30</v>
      </c>
      <c r="BY56" s="251">
        <v>30</v>
      </c>
      <c r="BZ56" s="180">
        <v>0.08</v>
      </c>
      <c r="CA56" s="180">
        <v>0.08</v>
      </c>
      <c r="CB56" s="180">
        <v>0.08</v>
      </c>
      <c r="CC56" s="180">
        <v>0.08</v>
      </c>
    </row>
    <row r="57" spans="1:81" s="179" customFormat="1" x14ac:dyDescent="0.35">
      <c r="A57" s="413"/>
      <c r="B57" s="250" t="str">
        <f t="shared" si="97"/>
        <v>RPU_ON_SP237-HH100</v>
      </c>
      <c r="C57" s="65" t="s">
        <v>184</v>
      </c>
      <c r="D57" s="174" t="s">
        <v>41</v>
      </c>
      <c r="E57" s="402" t="s">
        <v>479</v>
      </c>
      <c r="F57" s="6">
        <f t="shared" si="58"/>
        <v>52</v>
      </c>
      <c r="G57" s="175">
        <v>1</v>
      </c>
      <c r="H57" s="176" t="s">
        <v>395</v>
      </c>
      <c r="I57" s="176" t="s">
        <v>396</v>
      </c>
      <c r="J57" s="178">
        <v>0</v>
      </c>
      <c r="K57" s="178" t="s">
        <v>12</v>
      </c>
      <c r="L57" s="178">
        <v>1</v>
      </c>
      <c r="M57" s="178">
        <v>0</v>
      </c>
      <c r="N57" s="311">
        <v>0</v>
      </c>
      <c r="O57" s="178">
        <v>0</v>
      </c>
      <c r="P57" s="178">
        <v>0</v>
      </c>
      <c r="Q57" s="177">
        <f t="shared" si="92"/>
        <v>2000000</v>
      </c>
      <c r="R57" s="183">
        <v>0</v>
      </c>
      <c r="S57" s="183">
        <v>0</v>
      </c>
      <c r="T57" s="183">
        <v>0</v>
      </c>
      <c r="U57" s="237">
        <v>0</v>
      </c>
      <c r="V57" s="179">
        <v>0</v>
      </c>
      <c r="W57" s="179">
        <v>0</v>
      </c>
      <c r="X57" s="179">
        <v>0</v>
      </c>
      <c r="Y57" s="177">
        <v>0</v>
      </c>
      <c r="Z57" s="179">
        <v>0</v>
      </c>
      <c r="AA57" s="179">
        <v>0</v>
      </c>
      <c r="AB57" s="179">
        <v>0</v>
      </c>
      <c r="AC57" s="177">
        <v>0</v>
      </c>
      <c r="AD57" s="180">
        <v>0</v>
      </c>
      <c r="AE57" s="180">
        <v>0</v>
      </c>
      <c r="AF57" s="180">
        <v>0</v>
      </c>
      <c r="AG57" s="181">
        <v>0</v>
      </c>
      <c r="AH57" s="180">
        <v>1</v>
      </c>
      <c r="AI57" s="180">
        <v>1</v>
      </c>
      <c r="AJ57" s="180">
        <v>1</v>
      </c>
      <c r="AK57" s="181">
        <v>1</v>
      </c>
      <c r="AL57" s="180">
        <v>1</v>
      </c>
      <c r="AM57" s="180">
        <v>1</v>
      </c>
      <c r="AN57" s="180">
        <v>1</v>
      </c>
      <c r="AO57" s="181">
        <v>1</v>
      </c>
      <c r="AP57" s="179">
        <v>0</v>
      </c>
      <c r="AQ57" s="179">
        <v>0</v>
      </c>
      <c r="AR57" s="179">
        <v>0</v>
      </c>
      <c r="AS57" s="177">
        <v>0</v>
      </c>
      <c r="AT57" s="179">
        <v>1554.7627916706663</v>
      </c>
      <c r="AU57" s="179">
        <v>1443.7083065513327</v>
      </c>
      <c r="AV57" s="179">
        <v>1360.4174427118328</v>
      </c>
      <c r="AW57" s="177">
        <v>1332.6538214319989</v>
      </c>
      <c r="AX57" s="179">
        <v>14.599060000000001</v>
      </c>
      <c r="AY57" s="179">
        <v>13.139154000000001</v>
      </c>
      <c r="AZ57" s="179">
        <v>12.088021680000002</v>
      </c>
      <c r="BA57" s="177">
        <v>11.8252386</v>
      </c>
      <c r="BB57" s="179">
        <v>1.5641850000000001E-3</v>
      </c>
      <c r="BC57" s="179">
        <v>1.4077665000000001E-3</v>
      </c>
      <c r="BD57" s="179">
        <v>1.2930596E-3</v>
      </c>
      <c r="BE57" s="177">
        <v>1.2722038E-3</v>
      </c>
      <c r="BF57" s="179">
        <v>0</v>
      </c>
      <c r="BG57" s="179">
        <v>0</v>
      </c>
      <c r="BH57" s="179">
        <v>0</v>
      </c>
      <c r="BI57" s="177">
        <v>0</v>
      </c>
      <c r="BJ57" s="389">
        <v>55.12222222222222</v>
      </c>
      <c r="BK57" s="351">
        <v>0</v>
      </c>
      <c r="BL57" s="351">
        <v>0</v>
      </c>
      <c r="BM57" s="352">
        <v>0</v>
      </c>
      <c r="BN57" s="179">
        <v>0</v>
      </c>
      <c r="BO57" s="179">
        <v>0</v>
      </c>
      <c r="BP57" s="179">
        <v>0</v>
      </c>
      <c r="BQ57" s="177">
        <v>0</v>
      </c>
      <c r="BR57" s="179">
        <f t="shared" si="102"/>
        <v>9.1448096207564403E-2</v>
      </c>
      <c r="BS57" s="179">
        <f t="shared" si="103"/>
        <v>8.8827433387272267E-2</v>
      </c>
      <c r="BT57" s="179">
        <f t="shared" si="104"/>
        <v>8.8827433387272267E-2</v>
      </c>
      <c r="BU57" s="177">
        <f t="shared" si="105"/>
        <v>8.8827433387272267E-2</v>
      </c>
      <c r="BV57" s="182">
        <v>27</v>
      </c>
      <c r="BW57" s="182">
        <v>30</v>
      </c>
      <c r="BX57" s="182">
        <v>30</v>
      </c>
      <c r="BY57" s="251">
        <v>30</v>
      </c>
      <c r="BZ57" s="180">
        <v>0.08</v>
      </c>
      <c r="CA57" s="180">
        <v>0.08</v>
      </c>
      <c r="CB57" s="180">
        <v>0.08</v>
      </c>
      <c r="CC57" s="180">
        <v>0.08</v>
      </c>
    </row>
    <row r="58" spans="1:81" s="179" customFormat="1" x14ac:dyDescent="0.35">
      <c r="A58" s="413"/>
      <c r="B58" s="250" t="str">
        <f t="shared" si="97"/>
        <v>RPU_ON_SP237-HH150</v>
      </c>
      <c r="C58" s="65" t="s">
        <v>184</v>
      </c>
      <c r="D58" s="174" t="s">
        <v>42</v>
      </c>
      <c r="E58" s="402" t="s">
        <v>479</v>
      </c>
      <c r="F58" s="6">
        <f t="shared" si="58"/>
        <v>53</v>
      </c>
      <c r="G58" s="175">
        <v>1</v>
      </c>
      <c r="H58" s="176" t="s">
        <v>395</v>
      </c>
      <c r="I58" s="176" t="s">
        <v>396</v>
      </c>
      <c r="J58" s="178">
        <v>0</v>
      </c>
      <c r="K58" s="178" t="s">
        <v>12</v>
      </c>
      <c r="L58" s="178">
        <v>1</v>
      </c>
      <c r="M58" s="178">
        <v>0</v>
      </c>
      <c r="N58" s="311">
        <v>0</v>
      </c>
      <c r="O58" s="178">
        <v>0</v>
      </c>
      <c r="P58" s="178">
        <v>0</v>
      </c>
      <c r="Q58" s="177">
        <f t="shared" si="92"/>
        <v>2000000</v>
      </c>
      <c r="R58" s="183">
        <v>0</v>
      </c>
      <c r="S58" s="183">
        <v>0</v>
      </c>
      <c r="T58" s="183">
        <v>0</v>
      </c>
      <c r="U58" s="237">
        <v>0</v>
      </c>
      <c r="V58" s="179">
        <v>0</v>
      </c>
      <c r="W58" s="179">
        <v>0</v>
      </c>
      <c r="X58" s="179">
        <v>0</v>
      </c>
      <c r="Y58" s="177">
        <v>0</v>
      </c>
      <c r="Z58" s="179">
        <v>0</v>
      </c>
      <c r="AA58" s="179">
        <v>0</v>
      </c>
      <c r="AB58" s="179">
        <v>0</v>
      </c>
      <c r="AC58" s="177">
        <v>0</v>
      </c>
      <c r="AD58" s="180">
        <v>0</v>
      </c>
      <c r="AE58" s="180">
        <v>0</v>
      </c>
      <c r="AF58" s="180">
        <v>0</v>
      </c>
      <c r="AG58" s="181">
        <v>0</v>
      </c>
      <c r="AH58" s="180">
        <v>1</v>
      </c>
      <c r="AI58" s="180">
        <v>1</v>
      </c>
      <c r="AJ58" s="180">
        <v>1</v>
      </c>
      <c r="AK58" s="181">
        <v>1</v>
      </c>
      <c r="AL58" s="180">
        <v>1</v>
      </c>
      <c r="AM58" s="180">
        <v>1</v>
      </c>
      <c r="AN58" s="180">
        <v>1</v>
      </c>
      <c r="AO58" s="181">
        <v>1</v>
      </c>
      <c r="AP58" s="179">
        <v>0</v>
      </c>
      <c r="AQ58" s="179">
        <v>0</v>
      </c>
      <c r="AR58" s="179">
        <v>0</v>
      </c>
      <c r="AS58" s="177">
        <v>0</v>
      </c>
      <c r="AT58" s="179">
        <v>1947.4738868244795</v>
      </c>
      <c r="AU58" s="179">
        <v>1808.3686091941595</v>
      </c>
      <c r="AV58" s="179">
        <v>1704.0396509714192</v>
      </c>
      <c r="AW58" s="177">
        <v>1669.2633315638391</v>
      </c>
      <c r="AX58" s="179">
        <v>14.599060000000001</v>
      </c>
      <c r="AY58" s="179">
        <v>13.139154000000001</v>
      </c>
      <c r="AZ58" s="179">
        <v>12.088021680000002</v>
      </c>
      <c r="BA58" s="177">
        <v>11.8252386</v>
      </c>
      <c r="BB58" s="179">
        <v>1.5641850000000001E-3</v>
      </c>
      <c r="BC58" s="179">
        <v>1.4077665000000001E-3</v>
      </c>
      <c r="BD58" s="179">
        <v>1.2930596E-3</v>
      </c>
      <c r="BE58" s="177">
        <v>1.2722038E-3</v>
      </c>
      <c r="BF58" s="179">
        <v>0</v>
      </c>
      <c r="BG58" s="179">
        <v>0</v>
      </c>
      <c r="BH58" s="179">
        <v>0</v>
      </c>
      <c r="BI58" s="177">
        <v>0</v>
      </c>
      <c r="BJ58" s="389">
        <v>55.12222222222222</v>
      </c>
      <c r="BK58" s="351">
        <v>0</v>
      </c>
      <c r="BL58" s="351">
        <v>0</v>
      </c>
      <c r="BM58" s="352">
        <v>0</v>
      </c>
      <c r="BN58" s="179">
        <v>0</v>
      </c>
      <c r="BO58" s="179">
        <v>0</v>
      </c>
      <c r="BP58" s="179">
        <v>0</v>
      </c>
      <c r="BQ58" s="177">
        <v>0</v>
      </c>
      <c r="BR58" s="179">
        <f t="shared" si="102"/>
        <v>9.1448096207564403E-2</v>
      </c>
      <c r="BS58" s="179">
        <f t="shared" si="103"/>
        <v>8.8827433387272267E-2</v>
      </c>
      <c r="BT58" s="179">
        <f t="shared" si="104"/>
        <v>8.8827433387272267E-2</v>
      </c>
      <c r="BU58" s="177">
        <f t="shared" si="105"/>
        <v>8.8827433387272267E-2</v>
      </c>
      <c r="BV58" s="182">
        <v>27</v>
      </c>
      <c r="BW58" s="182">
        <v>30</v>
      </c>
      <c r="BX58" s="182">
        <v>30</v>
      </c>
      <c r="BY58" s="251">
        <v>30</v>
      </c>
      <c r="BZ58" s="180">
        <v>0.08</v>
      </c>
      <c r="CA58" s="180">
        <v>0.08</v>
      </c>
      <c r="CB58" s="180">
        <v>0.08</v>
      </c>
      <c r="CC58" s="180">
        <v>0.08</v>
      </c>
    </row>
    <row r="59" spans="1:81" s="179" customFormat="1" x14ac:dyDescent="0.35">
      <c r="A59" s="413"/>
      <c r="B59" s="250" t="str">
        <f t="shared" si="97"/>
        <v>RPU_ON_SP277-HH100</v>
      </c>
      <c r="C59" s="65" t="s">
        <v>184</v>
      </c>
      <c r="D59" s="174" t="s">
        <v>43</v>
      </c>
      <c r="E59" s="402" t="s">
        <v>479</v>
      </c>
      <c r="F59" s="6">
        <f t="shared" si="58"/>
        <v>54</v>
      </c>
      <c r="G59" s="175">
        <v>1</v>
      </c>
      <c r="H59" s="176" t="s">
        <v>395</v>
      </c>
      <c r="I59" s="176" t="s">
        <v>396</v>
      </c>
      <c r="J59" s="178">
        <v>0</v>
      </c>
      <c r="K59" s="178" t="s">
        <v>12</v>
      </c>
      <c r="L59" s="178">
        <v>1</v>
      </c>
      <c r="M59" s="178">
        <v>0</v>
      </c>
      <c r="N59" s="311">
        <v>0</v>
      </c>
      <c r="O59" s="178">
        <v>0</v>
      </c>
      <c r="P59" s="178">
        <v>0</v>
      </c>
      <c r="Q59" s="177">
        <f t="shared" si="92"/>
        <v>2000000</v>
      </c>
      <c r="R59" s="183">
        <v>0</v>
      </c>
      <c r="S59" s="183">
        <v>0</v>
      </c>
      <c r="T59" s="183">
        <v>0</v>
      </c>
      <c r="U59" s="237">
        <v>0</v>
      </c>
      <c r="V59" s="179">
        <v>0</v>
      </c>
      <c r="W59" s="179">
        <v>0</v>
      </c>
      <c r="X59" s="179">
        <v>0</v>
      </c>
      <c r="Y59" s="177">
        <v>0</v>
      </c>
      <c r="Z59" s="179">
        <v>0</v>
      </c>
      <c r="AA59" s="179">
        <v>0</v>
      </c>
      <c r="AB59" s="179">
        <v>0</v>
      </c>
      <c r="AC59" s="177">
        <v>0</v>
      </c>
      <c r="AD59" s="180">
        <v>0</v>
      </c>
      <c r="AE59" s="180">
        <v>0</v>
      </c>
      <c r="AF59" s="180">
        <v>0</v>
      </c>
      <c r="AG59" s="181">
        <v>0</v>
      </c>
      <c r="AH59" s="180">
        <v>1</v>
      </c>
      <c r="AI59" s="180">
        <v>1</v>
      </c>
      <c r="AJ59" s="180">
        <v>1</v>
      </c>
      <c r="AK59" s="181">
        <v>1</v>
      </c>
      <c r="AL59" s="180">
        <v>1</v>
      </c>
      <c r="AM59" s="180">
        <v>1</v>
      </c>
      <c r="AN59" s="180">
        <v>1</v>
      </c>
      <c r="AO59" s="181">
        <v>1</v>
      </c>
      <c r="AP59" s="179">
        <v>0</v>
      </c>
      <c r="AQ59" s="179">
        <v>0</v>
      </c>
      <c r="AR59" s="179">
        <v>0</v>
      </c>
      <c r="AS59" s="177">
        <v>0</v>
      </c>
      <c r="AT59" s="179">
        <v>1414.9828559823698</v>
      </c>
      <c r="AU59" s="179">
        <v>1313.9126519836288</v>
      </c>
      <c r="AV59" s="179">
        <v>1238.1099989845734</v>
      </c>
      <c r="AW59" s="177">
        <v>1212.8424479848879</v>
      </c>
      <c r="AX59" s="179">
        <v>14.599060000000001</v>
      </c>
      <c r="AY59" s="179">
        <v>13.139154000000001</v>
      </c>
      <c r="AZ59" s="179">
        <v>12.088021680000002</v>
      </c>
      <c r="BA59" s="177">
        <v>11.8252386</v>
      </c>
      <c r="BB59" s="179">
        <v>1.5641850000000001E-3</v>
      </c>
      <c r="BC59" s="179">
        <v>1.4077665000000001E-3</v>
      </c>
      <c r="BD59" s="179">
        <v>1.2930596E-3</v>
      </c>
      <c r="BE59" s="177">
        <v>1.2722038E-3</v>
      </c>
      <c r="BF59" s="179">
        <v>0</v>
      </c>
      <c r="BG59" s="179">
        <v>0</v>
      </c>
      <c r="BH59" s="179">
        <v>0</v>
      </c>
      <c r="BI59" s="177">
        <v>0</v>
      </c>
      <c r="BJ59" s="389">
        <v>55.12222222222222</v>
      </c>
      <c r="BK59" s="351">
        <v>0</v>
      </c>
      <c r="BL59" s="351">
        <v>0</v>
      </c>
      <c r="BM59" s="352">
        <v>0</v>
      </c>
      <c r="BN59" s="179">
        <v>0</v>
      </c>
      <c r="BO59" s="179">
        <v>0</v>
      </c>
      <c r="BP59" s="179">
        <v>0</v>
      </c>
      <c r="BQ59" s="177">
        <v>0</v>
      </c>
      <c r="BR59" s="179">
        <f t="shared" si="102"/>
        <v>9.1448096207564403E-2</v>
      </c>
      <c r="BS59" s="179">
        <f t="shared" si="103"/>
        <v>8.8827433387272267E-2</v>
      </c>
      <c r="BT59" s="179">
        <f t="shared" si="104"/>
        <v>8.8827433387272267E-2</v>
      </c>
      <c r="BU59" s="177">
        <f t="shared" si="105"/>
        <v>8.8827433387272267E-2</v>
      </c>
      <c r="BV59" s="182">
        <v>27</v>
      </c>
      <c r="BW59" s="182">
        <v>30</v>
      </c>
      <c r="BX59" s="182">
        <v>30</v>
      </c>
      <c r="BY59" s="251">
        <v>30</v>
      </c>
      <c r="BZ59" s="180">
        <v>0.08</v>
      </c>
      <c r="CA59" s="180">
        <v>0.08</v>
      </c>
      <c r="CB59" s="180">
        <v>0.08</v>
      </c>
      <c r="CC59" s="180">
        <v>0.08</v>
      </c>
    </row>
    <row r="60" spans="1:81" s="179" customFormat="1" x14ac:dyDescent="0.35">
      <c r="A60" s="413"/>
      <c r="B60" s="250" t="str">
        <f t="shared" si="97"/>
        <v>RPU_ON_SP277-HH150</v>
      </c>
      <c r="C60" s="65" t="s">
        <v>184</v>
      </c>
      <c r="D60" s="174" t="s">
        <v>44</v>
      </c>
      <c r="E60" s="402" t="s">
        <v>479</v>
      </c>
      <c r="F60" s="6">
        <f t="shared" si="58"/>
        <v>55</v>
      </c>
      <c r="G60" s="175">
        <v>1</v>
      </c>
      <c r="H60" s="176" t="s">
        <v>395</v>
      </c>
      <c r="I60" s="176" t="s">
        <v>396</v>
      </c>
      <c r="J60" s="178">
        <v>0</v>
      </c>
      <c r="K60" s="178" t="s">
        <v>12</v>
      </c>
      <c r="L60" s="178">
        <v>1</v>
      </c>
      <c r="M60" s="178">
        <v>0</v>
      </c>
      <c r="N60" s="311">
        <v>0</v>
      </c>
      <c r="O60" s="178">
        <v>0</v>
      </c>
      <c r="P60" s="178">
        <v>0</v>
      </c>
      <c r="Q60" s="177">
        <f t="shared" si="92"/>
        <v>2000000</v>
      </c>
      <c r="R60" s="183">
        <v>0</v>
      </c>
      <c r="S60" s="183">
        <v>0</v>
      </c>
      <c r="T60" s="183">
        <v>0</v>
      </c>
      <c r="U60" s="237">
        <v>0</v>
      </c>
      <c r="V60" s="179">
        <v>0</v>
      </c>
      <c r="W60" s="179">
        <v>0</v>
      </c>
      <c r="X60" s="179">
        <v>0</v>
      </c>
      <c r="Y60" s="177">
        <v>0</v>
      </c>
      <c r="Z60" s="179">
        <v>0</v>
      </c>
      <c r="AA60" s="179">
        <v>0</v>
      </c>
      <c r="AB60" s="179">
        <v>0</v>
      </c>
      <c r="AC60" s="177">
        <v>0</v>
      </c>
      <c r="AD60" s="180">
        <v>0</v>
      </c>
      <c r="AE60" s="180">
        <v>0</v>
      </c>
      <c r="AF60" s="180">
        <v>0</v>
      </c>
      <c r="AG60" s="181">
        <v>0</v>
      </c>
      <c r="AH60" s="180">
        <v>1</v>
      </c>
      <c r="AI60" s="180">
        <v>1</v>
      </c>
      <c r="AJ60" s="180">
        <v>1</v>
      </c>
      <c r="AK60" s="181">
        <v>1</v>
      </c>
      <c r="AL60" s="180">
        <v>1</v>
      </c>
      <c r="AM60" s="180">
        <v>1</v>
      </c>
      <c r="AN60" s="180">
        <v>1</v>
      </c>
      <c r="AO60" s="181">
        <v>1</v>
      </c>
      <c r="AP60" s="179">
        <v>0</v>
      </c>
      <c r="AQ60" s="179">
        <v>0</v>
      </c>
      <c r="AR60" s="179">
        <v>0</v>
      </c>
      <c r="AS60" s="177">
        <v>0</v>
      </c>
      <c r="AT60" s="179">
        <v>1807.6939511361822</v>
      </c>
      <c r="AU60" s="179">
        <v>1678.5729546264547</v>
      </c>
      <c r="AV60" s="179">
        <v>1581.7322072441593</v>
      </c>
      <c r="AW60" s="177">
        <v>1549.4519581167272</v>
      </c>
      <c r="AX60" s="179">
        <v>14.599060000000001</v>
      </c>
      <c r="AY60" s="179">
        <v>13.139154000000001</v>
      </c>
      <c r="AZ60" s="179">
        <v>12.088021680000002</v>
      </c>
      <c r="BA60" s="177">
        <v>11.8252386</v>
      </c>
      <c r="BB60" s="179">
        <v>1.5641850000000001E-3</v>
      </c>
      <c r="BC60" s="179">
        <v>1.4077665000000001E-3</v>
      </c>
      <c r="BD60" s="179">
        <v>1.2930596E-3</v>
      </c>
      <c r="BE60" s="177">
        <v>1.2722038E-3</v>
      </c>
      <c r="BF60" s="179">
        <v>0</v>
      </c>
      <c r="BG60" s="179">
        <v>0</v>
      </c>
      <c r="BH60" s="179">
        <v>0</v>
      </c>
      <c r="BI60" s="177">
        <v>0</v>
      </c>
      <c r="BJ60" s="389">
        <v>55.12222222222222</v>
      </c>
      <c r="BK60" s="351">
        <v>0</v>
      </c>
      <c r="BL60" s="351">
        <v>0</v>
      </c>
      <c r="BM60" s="352">
        <v>0</v>
      </c>
      <c r="BN60" s="179">
        <v>0</v>
      </c>
      <c r="BO60" s="179">
        <v>0</v>
      </c>
      <c r="BP60" s="179">
        <v>0</v>
      </c>
      <c r="BQ60" s="177">
        <v>0</v>
      </c>
      <c r="BR60" s="179">
        <f t="shared" si="102"/>
        <v>9.1448096207564403E-2</v>
      </c>
      <c r="BS60" s="179">
        <f t="shared" si="103"/>
        <v>8.8827433387272267E-2</v>
      </c>
      <c r="BT60" s="179">
        <f t="shared" si="104"/>
        <v>8.8827433387272267E-2</v>
      </c>
      <c r="BU60" s="177">
        <f t="shared" si="105"/>
        <v>8.8827433387272267E-2</v>
      </c>
      <c r="BV60" s="182">
        <v>27</v>
      </c>
      <c r="BW60" s="182">
        <v>30</v>
      </c>
      <c r="BX60" s="182">
        <v>30</v>
      </c>
      <c r="BY60" s="251">
        <v>30</v>
      </c>
      <c r="BZ60" s="180">
        <v>0.08</v>
      </c>
      <c r="CA60" s="180">
        <v>0.08</v>
      </c>
      <c r="CB60" s="180">
        <v>0.08</v>
      </c>
      <c r="CC60" s="180">
        <v>0.08</v>
      </c>
    </row>
    <row r="61" spans="1:81" s="179" customFormat="1" x14ac:dyDescent="0.35">
      <c r="A61" s="413"/>
      <c r="B61" s="250" t="str">
        <f t="shared" si="97"/>
        <v>RPU_ON_SP321-HH100</v>
      </c>
      <c r="C61" s="65" t="s">
        <v>184</v>
      </c>
      <c r="D61" s="174" t="s">
        <v>45</v>
      </c>
      <c r="E61" s="402" t="s">
        <v>479</v>
      </c>
      <c r="F61" s="6">
        <f t="shared" si="58"/>
        <v>56</v>
      </c>
      <c r="G61" s="175">
        <v>1</v>
      </c>
      <c r="H61" s="176" t="s">
        <v>395</v>
      </c>
      <c r="I61" s="176" t="s">
        <v>396</v>
      </c>
      <c r="J61" s="178">
        <v>0</v>
      </c>
      <c r="K61" s="178" t="s">
        <v>12</v>
      </c>
      <c r="L61" s="178">
        <v>1</v>
      </c>
      <c r="M61" s="178">
        <v>0</v>
      </c>
      <c r="N61" s="311">
        <v>0</v>
      </c>
      <c r="O61" s="178">
        <v>0</v>
      </c>
      <c r="P61" s="178">
        <v>0</v>
      </c>
      <c r="Q61" s="177">
        <f t="shared" si="92"/>
        <v>2000000</v>
      </c>
      <c r="R61" s="183">
        <v>0</v>
      </c>
      <c r="S61" s="183">
        <v>0</v>
      </c>
      <c r="T61" s="183">
        <v>0</v>
      </c>
      <c r="U61" s="237">
        <v>0</v>
      </c>
      <c r="V61" s="179">
        <v>0</v>
      </c>
      <c r="W61" s="179">
        <v>0</v>
      </c>
      <c r="X61" s="179">
        <v>0</v>
      </c>
      <c r="Y61" s="177">
        <v>0</v>
      </c>
      <c r="Z61" s="179">
        <v>0</v>
      </c>
      <c r="AA61" s="179">
        <v>0</v>
      </c>
      <c r="AB61" s="179">
        <v>0</v>
      </c>
      <c r="AC61" s="177">
        <v>0</v>
      </c>
      <c r="AD61" s="180">
        <v>0</v>
      </c>
      <c r="AE61" s="180">
        <v>0</v>
      </c>
      <c r="AF61" s="180">
        <v>0</v>
      </c>
      <c r="AG61" s="181">
        <v>0</v>
      </c>
      <c r="AH61" s="180">
        <v>1</v>
      </c>
      <c r="AI61" s="180">
        <v>1</v>
      </c>
      <c r="AJ61" s="180">
        <v>1</v>
      </c>
      <c r="AK61" s="181">
        <v>1</v>
      </c>
      <c r="AL61" s="180">
        <v>1</v>
      </c>
      <c r="AM61" s="180">
        <v>1</v>
      </c>
      <c r="AN61" s="180">
        <v>1</v>
      </c>
      <c r="AO61" s="181">
        <v>1</v>
      </c>
      <c r="AP61" s="179">
        <v>0</v>
      </c>
      <c r="AQ61" s="179">
        <v>0</v>
      </c>
      <c r="AR61" s="179">
        <v>0</v>
      </c>
      <c r="AS61" s="177">
        <v>0</v>
      </c>
      <c r="AT61" s="179">
        <v>1301.2947800734096</v>
      </c>
      <c r="AU61" s="179">
        <v>1208.3451529253089</v>
      </c>
      <c r="AV61" s="179">
        <v>1138.6329325642334</v>
      </c>
      <c r="AW61" s="177">
        <v>1115.3955257772077</v>
      </c>
      <c r="AX61" s="179">
        <v>14.599060000000001</v>
      </c>
      <c r="AY61" s="179">
        <v>13.139154000000001</v>
      </c>
      <c r="AZ61" s="179">
        <v>12.088021680000002</v>
      </c>
      <c r="BA61" s="177">
        <v>11.8252386</v>
      </c>
      <c r="BB61" s="179">
        <v>1.5641850000000001E-3</v>
      </c>
      <c r="BC61" s="179">
        <v>1.4077665000000001E-3</v>
      </c>
      <c r="BD61" s="179">
        <v>1.2930596E-3</v>
      </c>
      <c r="BE61" s="177">
        <v>1.2722038E-3</v>
      </c>
      <c r="BF61" s="179">
        <v>0</v>
      </c>
      <c r="BG61" s="179">
        <v>0</v>
      </c>
      <c r="BH61" s="179">
        <v>0</v>
      </c>
      <c r="BI61" s="177">
        <v>0</v>
      </c>
      <c r="BJ61" s="389">
        <v>55.12222222222222</v>
      </c>
      <c r="BK61" s="351">
        <v>0</v>
      </c>
      <c r="BL61" s="351">
        <v>0</v>
      </c>
      <c r="BM61" s="352">
        <v>0</v>
      </c>
      <c r="BN61" s="179">
        <v>0</v>
      </c>
      <c r="BO61" s="179">
        <v>0</v>
      </c>
      <c r="BP61" s="179">
        <v>0</v>
      </c>
      <c r="BQ61" s="177">
        <v>0</v>
      </c>
      <c r="BR61" s="179">
        <f t="shared" si="102"/>
        <v>9.1448096207564403E-2</v>
      </c>
      <c r="BS61" s="179">
        <f t="shared" si="103"/>
        <v>8.8827433387272267E-2</v>
      </c>
      <c r="BT61" s="179">
        <f t="shared" si="104"/>
        <v>8.8827433387272267E-2</v>
      </c>
      <c r="BU61" s="177">
        <f t="shared" si="105"/>
        <v>8.8827433387272267E-2</v>
      </c>
      <c r="BV61" s="182">
        <v>27</v>
      </c>
      <c r="BW61" s="182">
        <v>30</v>
      </c>
      <c r="BX61" s="182">
        <v>30</v>
      </c>
      <c r="BY61" s="251">
        <v>30</v>
      </c>
      <c r="BZ61" s="180">
        <v>0.08</v>
      </c>
      <c r="CA61" s="180">
        <v>0.08</v>
      </c>
      <c r="CB61" s="180">
        <v>0.08</v>
      </c>
      <c r="CC61" s="180">
        <v>0.08</v>
      </c>
    </row>
    <row r="62" spans="1:81" s="179" customFormat="1" x14ac:dyDescent="0.35">
      <c r="A62" s="413"/>
      <c r="B62" s="250" t="str">
        <f t="shared" si="97"/>
        <v>RPU_ON_SP321-HH150</v>
      </c>
      <c r="C62" s="65" t="s">
        <v>184</v>
      </c>
      <c r="D62" s="174" t="s">
        <v>46</v>
      </c>
      <c r="E62" s="402" t="s">
        <v>479</v>
      </c>
      <c r="F62" s="6">
        <f t="shared" si="58"/>
        <v>57</v>
      </c>
      <c r="G62" s="175">
        <v>1</v>
      </c>
      <c r="H62" s="176" t="s">
        <v>395</v>
      </c>
      <c r="I62" s="176" t="s">
        <v>396</v>
      </c>
      <c r="J62" s="178">
        <v>0</v>
      </c>
      <c r="K62" s="178" t="s">
        <v>12</v>
      </c>
      <c r="L62" s="178">
        <v>1</v>
      </c>
      <c r="M62" s="178">
        <v>0</v>
      </c>
      <c r="N62" s="311">
        <v>0</v>
      </c>
      <c r="O62" s="178">
        <v>0</v>
      </c>
      <c r="P62" s="178">
        <v>0</v>
      </c>
      <c r="Q62" s="177">
        <f t="shared" si="92"/>
        <v>2000000</v>
      </c>
      <c r="R62" s="183">
        <v>0</v>
      </c>
      <c r="S62" s="183">
        <v>0</v>
      </c>
      <c r="T62" s="183">
        <v>0</v>
      </c>
      <c r="U62" s="237">
        <v>0</v>
      </c>
      <c r="V62" s="179">
        <v>0</v>
      </c>
      <c r="W62" s="179">
        <v>0</v>
      </c>
      <c r="X62" s="179">
        <v>0</v>
      </c>
      <c r="Y62" s="177">
        <v>0</v>
      </c>
      <c r="Z62" s="179">
        <v>0</v>
      </c>
      <c r="AA62" s="179">
        <v>0</v>
      </c>
      <c r="AB62" s="179">
        <v>0</v>
      </c>
      <c r="AC62" s="177">
        <v>0</v>
      </c>
      <c r="AD62" s="180">
        <v>0</v>
      </c>
      <c r="AE62" s="180">
        <v>0</v>
      </c>
      <c r="AF62" s="180">
        <v>0</v>
      </c>
      <c r="AG62" s="181">
        <v>0</v>
      </c>
      <c r="AH62" s="180">
        <v>1</v>
      </c>
      <c r="AI62" s="180">
        <v>1</v>
      </c>
      <c r="AJ62" s="180">
        <v>1</v>
      </c>
      <c r="AK62" s="181">
        <v>1</v>
      </c>
      <c r="AL62" s="180">
        <v>1</v>
      </c>
      <c r="AM62" s="180">
        <v>1</v>
      </c>
      <c r="AN62" s="180">
        <v>1</v>
      </c>
      <c r="AO62" s="181">
        <v>1</v>
      </c>
      <c r="AP62" s="179">
        <v>0</v>
      </c>
      <c r="AQ62" s="179">
        <v>0</v>
      </c>
      <c r="AR62" s="179">
        <v>0</v>
      </c>
      <c r="AS62" s="177">
        <v>0</v>
      </c>
      <c r="AT62" s="179">
        <v>1694.0063453254108</v>
      </c>
      <c r="AU62" s="179">
        <v>1573.0058920878812</v>
      </c>
      <c r="AV62" s="179">
        <v>1482.2555521597342</v>
      </c>
      <c r="AW62" s="177">
        <v>1452.0054388503518</v>
      </c>
      <c r="AX62" s="179">
        <v>14.599060000000001</v>
      </c>
      <c r="AY62" s="179">
        <v>13.139154000000001</v>
      </c>
      <c r="AZ62" s="179">
        <v>12.088021680000002</v>
      </c>
      <c r="BA62" s="177">
        <v>11.8252386</v>
      </c>
      <c r="BB62" s="179">
        <v>1.5641850000000001E-3</v>
      </c>
      <c r="BC62" s="179">
        <v>1.4077665000000001E-3</v>
      </c>
      <c r="BD62" s="179">
        <v>1.2930596E-3</v>
      </c>
      <c r="BE62" s="177">
        <v>1.2722038E-3</v>
      </c>
      <c r="BF62" s="179">
        <v>0</v>
      </c>
      <c r="BG62" s="179">
        <v>0</v>
      </c>
      <c r="BH62" s="179">
        <v>0</v>
      </c>
      <c r="BI62" s="177">
        <v>0</v>
      </c>
      <c r="BJ62" s="389">
        <v>55.12222222222222</v>
      </c>
      <c r="BK62" s="351">
        <v>0</v>
      </c>
      <c r="BL62" s="351">
        <v>0</v>
      </c>
      <c r="BM62" s="352">
        <v>0</v>
      </c>
      <c r="BN62" s="179">
        <v>0</v>
      </c>
      <c r="BO62" s="179">
        <v>0</v>
      </c>
      <c r="BP62" s="179">
        <v>0</v>
      </c>
      <c r="BQ62" s="177">
        <v>0</v>
      </c>
      <c r="BR62" s="179">
        <f t="shared" si="102"/>
        <v>9.1448096207564403E-2</v>
      </c>
      <c r="BS62" s="179">
        <f t="shared" si="103"/>
        <v>8.8827433387272267E-2</v>
      </c>
      <c r="BT62" s="179">
        <f t="shared" si="104"/>
        <v>8.8827433387272267E-2</v>
      </c>
      <c r="BU62" s="177">
        <f t="shared" si="105"/>
        <v>8.8827433387272267E-2</v>
      </c>
      <c r="BV62" s="182">
        <v>27</v>
      </c>
      <c r="BW62" s="182">
        <v>30</v>
      </c>
      <c r="BX62" s="182">
        <v>30</v>
      </c>
      <c r="BY62" s="251">
        <v>30</v>
      </c>
      <c r="BZ62" s="180">
        <v>0.08</v>
      </c>
      <c r="CA62" s="180">
        <v>0.08</v>
      </c>
      <c r="CB62" s="180">
        <v>0.08</v>
      </c>
      <c r="CC62" s="180">
        <v>0.08</v>
      </c>
    </row>
    <row r="63" spans="1:81" s="189" customFormat="1" x14ac:dyDescent="0.35">
      <c r="A63" s="413"/>
      <c r="B63" s="252" t="str">
        <f t="shared" si="97"/>
        <v>RPU_OFF_SP379-HH100</v>
      </c>
      <c r="C63" s="184" t="s">
        <v>184</v>
      </c>
      <c r="D63" s="185" t="s">
        <v>47</v>
      </c>
      <c r="E63" s="406" t="s">
        <v>480</v>
      </c>
      <c r="F63" s="6">
        <f t="shared" si="58"/>
        <v>58</v>
      </c>
      <c r="G63" s="186">
        <v>1</v>
      </c>
      <c r="H63" s="253" t="s">
        <v>395</v>
      </c>
      <c r="I63" s="253" t="s">
        <v>396</v>
      </c>
      <c r="J63" s="188">
        <v>0</v>
      </c>
      <c r="K63" s="188" t="s">
        <v>12</v>
      </c>
      <c r="L63" s="188">
        <v>1</v>
      </c>
      <c r="M63" s="188">
        <v>0</v>
      </c>
      <c r="N63" s="325">
        <v>0</v>
      </c>
      <c r="O63" s="188">
        <v>0</v>
      </c>
      <c r="P63" s="188">
        <v>0</v>
      </c>
      <c r="Q63" s="187">
        <f t="shared" si="92"/>
        <v>2000000</v>
      </c>
      <c r="R63" s="193">
        <v>0</v>
      </c>
      <c r="S63" s="193">
        <v>0</v>
      </c>
      <c r="T63" s="193">
        <v>0</v>
      </c>
      <c r="U63" s="254">
        <v>0</v>
      </c>
      <c r="V63" s="189">
        <v>0</v>
      </c>
      <c r="W63" s="189">
        <v>0</v>
      </c>
      <c r="X63" s="189">
        <v>0</v>
      </c>
      <c r="Y63" s="187">
        <v>0</v>
      </c>
      <c r="Z63" s="189">
        <v>0</v>
      </c>
      <c r="AA63" s="189">
        <v>0</v>
      </c>
      <c r="AB63" s="189">
        <v>0</v>
      </c>
      <c r="AC63" s="187">
        <v>0</v>
      </c>
      <c r="AD63" s="190">
        <v>0</v>
      </c>
      <c r="AE63" s="190">
        <v>0</v>
      </c>
      <c r="AF63" s="190">
        <v>0</v>
      </c>
      <c r="AG63" s="191">
        <v>0</v>
      </c>
      <c r="AH63" s="190">
        <v>1</v>
      </c>
      <c r="AI63" s="190">
        <v>1</v>
      </c>
      <c r="AJ63" s="190">
        <v>1</v>
      </c>
      <c r="AK63" s="191">
        <v>1</v>
      </c>
      <c r="AL63" s="190">
        <v>1</v>
      </c>
      <c r="AM63" s="190">
        <v>1</v>
      </c>
      <c r="AN63" s="190">
        <v>1</v>
      </c>
      <c r="AO63" s="191">
        <v>1</v>
      </c>
      <c r="AP63" s="189">
        <v>0</v>
      </c>
      <c r="AQ63" s="189">
        <v>0</v>
      </c>
      <c r="AR63" s="189">
        <v>0</v>
      </c>
      <c r="AS63" s="187">
        <v>0</v>
      </c>
      <c r="AT63" s="189">
        <v>2205.1904479084506</v>
      </c>
      <c r="AU63" s="189">
        <v>1998.1303119546053</v>
      </c>
      <c r="AV63" s="189">
        <v>1873.8942303822985</v>
      </c>
      <c r="AW63" s="187">
        <v>1842.8352099892215</v>
      </c>
      <c r="AX63" s="189">
        <v>41.773124610000004</v>
      </c>
      <c r="AY63" s="189">
        <v>37.595707870000005</v>
      </c>
      <c r="AZ63" s="189">
        <v>34.588301510000008</v>
      </c>
      <c r="BA63" s="187">
        <v>33.836449920000007</v>
      </c>
      <c r="BB63" s="189">
        <v>3.1283700000000001E-3</v>
      </c>
      <c r="BC63" s="189">
        <v>2.8155330000000003E-3</v>
      </c>
      <c r="BD63" s="189">
        <v>2.6069750000000001E-3</v>
      </c>
      <c r="BE63" s="187">
        <v>2.5026960000000004E-3</v>
      </c>
      <c r="BF63" s="189">
        <v>0</v>
      </c>
      <c r="BG63" s="189">
        <v>0</v>
      </c>
      <c r="BH63" s="189">
        <v>0</v>
      </c>
      <c r="BI63" s="187">
        <v>0</v>
      </c>
      <c r="BJ63" s="189">
        <v>53.53</v>
      </c>
      <c r="BK63" s="189">
        <v>0</v>
      </c>
      <c r="BL63" s="189">
        <v>0</v>
      </c>
      <c r="BM63" s="187">
        <v>0</v>
      </c>
      <c r="BN63" s="189">
        <v>0</v>
      </c>
      <c r="BO63" s="189">
        <v>0</v>
      </c>
      <c r="BP63" s="189">
        <v>0</v>
      </c>
      <c r="BQ63" s="187">
        <v>0</v>
      </c>
      <c r="BR63" s="189">
        <f t="shared" si="102"/>
        <v>9.1448096207564403E-2</v>
      </c>
      <c r="BS63" s="189">
        <f t="shared" si="103"/>
        <v>8.8827433387272267E-2</v>
      </c>
      <c r="BT63" s="189">
        <f t="shared" si="104"/>
        <v>8.8827433387272267E-2</v>
      </c>
      <c r="BU63" s="187">
        <f t="shared" si="105"/>
        <v>8.8827433387272267E-2</v>
      </c>
      <c r="BV63" s="192">
        <v>27</v>
      </c>
      <c r="BW63" s="192">
        <v>30</v>
      </c>
      <c r="BX63" s="192">
        <v>30</v>
      </c>
      <c r="BY63" s="255">
        <v>30</v>
      </c>
      <c r="BZ63" s="190">
        <v>0.08</v>
      </c>
      <c r="CA63" s="190">
        <v>0.08</v>
      </c>
      <c r="CB63" s="190">
        <v>0.08</v>
      </c>
      <c r="CC63" s="190">
        <v>0.08</v>
      </c>
    </row>
    <row r="64" spans="1:81" s="189" customFormat="1" x14ac:dyDescent="0.35">
      <c r="A64" s="413"/>
      <c r="B64" s="252" t="str">
        <f t="shared" si="97"/>
        <v>RPU_OFF_SP379-HH150</v>
      </c>
      <c r="C64" s="184" t="s">
        <v>184</v>
      </c>
      <c r="D64" s="185" t="s">
        <v>48</v>
      </c>
      <c r="E64" s="406" t="s">
        <v>480</v>
      </c>
      <c r="F64" s="6">
        <f t="shared" si="58"/>
        <v>59</v>
      </c>
      <c r="G64" s="186">
        <v>1</v>
      </c>
      <c r="H64" s="253" t="s">
        <v>395</v>
      </c>
      <c r="I64" s="253" t="s">
        <v>396</v>
      </c>
      <c r="J64" s="188">
        <v>0</v>
      </c>
      <c r="K64" s="188" t="s">
        <v>12</v>
      </c>
      <c r="L64" s="188">
        <v>1</v>
      </c>
      <c r="M64" s="188">
        <v>0</v>
      </c>
      <c r="N64" s="325">
        <v>0</v>
      </c>
      <c r="O64" s="188">
        <v>0</v>
      </c>
      <c r="P64" s="188">
        <v>0</v>
      </c>
      <c r="Q64" s="187">
        <f t="shared" si="92"/>
        <v>2000000</v>
      </c>
      <c r="R64" s="193">
        <v>0</v>
      </c>
      <c r="S64" s="193">
        <v>0</v>
      </c>
      <c r="T64" s="193">
        <v>0</v>
      </c>
      <c r="U64" s="254">
        <v>0</v>
      </c>
      <c r="V64" s="189">
        <v>0</v>
      </c>
      <c r="W64" s="189">
        <v>0</v>
      </c>
      <c r="X64" s="189">
        <v>0</v>
      </c>
      <c r="Y64" s="187">
        <v>0</v>
      </c>
      <c r="Z64" s="189">
        <v>0</v>
      </c>
      <c r="AA64" s="189">
        <v>0</v>
      </c>
      <c r="AB64" s="189">
        <v>0</v>
      </c>
      <c r="AC64" s="187">
        <v>0</v>
      </c>
      <c r="AD64" s="190">
        <v>0</v>
      </c>
      <c r="AE64" s="190">
        <v>0</v>
      </c>
      <c r="AF64" s="190">
        <v>0</v>
      </c>
      <c r="AG64" s="191">
        <v>0</v>
      </c>
      <c r="AH64" s="190">
        <v>1</v>
      </c>
      <c r="AI64" s="190">
        <v>1</v>
      </c>
      <c r="AJ64" s="190">
        <v>1</v>
      </c>
      <c r="AK64" s="191">
        <v>1</v>
      </c>
      <c r="AL64" s="190">
        <v>1</v>
      </c>
      <c r="AM64" s="190">
        <v>1</v>
      </c>
      <c r="AN64" s="190">
        <v>1</v>
      </c>
      <c r="AO64" s="191">
        <v>1</v>
      </c>
      <c r="AP64" s="189">
        <v>0</v>
      </c>
      <c r="AQ64" s="189">
        <v>0</v>
      </c>
      <c r="AR64" s="189">
        <v>0</v>
      </c>
      <c r="AS64" s="187">
        <v>0</v>
      </c>
      <c r="AT64" s="189">
        <v>2534.6071744804217</v>
      </c>
      <c r="AU64" s="189">
        <v>2296.6158904916497</v>
      </c>
      <c r="AV64" s="189">
        <v>2153.8211200983869</v>
      </c>
      <c r="AW64" s="187">
        <v>2118.1224275000709</v>
      </c>
      <c r="AX64" s="189">
        <v>41.773124610000004</v>
      </c>
      <c r="AY64" s="189">
        <v>37.595707870000005</v>
      </c>
      <c r="AZ64" s="189">
        <v>34.588301510000008</v>
      </c>
      <c r="BA64" s="187">
        <v>33.836449920000007</v>
      </c>
      <c r="BB64" s="189">
        <v>3.1283700000000001E-3</v>
      </c>
      <c r="BC64" s="189">
        <v>2.8155330000000003E-3</v>
      </c>
      <c r="BD64" s="189">
        <v>2.6069750000000001E-3</v>
      </c>
      <c r="BE64" s="187">
        <v>2.5026960000000004E-3</v>
      </c>
      <c r="BF64" s="189">
        <v>0</v>
      </c>
      <c r="BG64" s="189">
        <v>0</v>
      </c>
      <c r="BH64" s="189">
        <v>0</v>
      </c>
      <c r="BI64" s="187">
        <v>0</v>
      </c>
      <c r="BJ64" s="189">
        <v>53.529999999999994</v>
      </c>
      <c r="BK64" s="189">
        <v>0</v>
      </c>
      <c r="BL64" s="189">
        <v>0</v>
      </c>
      <c r="BM64" s="187">
        <v>0</v>
      </c>
      <c r="BN64" s="189">
        <v>0</v>
      </c>
      <c r="BO64" s="189">
        <v>0</v>
      </c>
      <c r="BP64" s="189">
        <v>0</v>
      </c>
      <c r="BQ64" s="187">
        <v>0</v>
      </c>
      <c r="BR64" s="189">
        <f t="shared" si="102"/>
        <v>9.1448096207564403E-2</v>
      </c>
      <c r="BS64" s="189">
        <f t="shared" si="103"/>
        <v>8.8827433387272267E-2</v>
      </c>
      <c r="BT64" s="189">
        <f t="shared" si="104"/>
        <v>8.8827433387272267E-2</v>
      </c>
      <c r="BU64" s="187">
        <f t="shared" si="105"/>
        <v>8.8827433387272267E-2</v>
      </c>
      <c r="BV64" s="192">
        <v>27</v>
      </c>
      <c r="BW64" s="192">
        <v>30</v>
      </c>
      <c r="BX64" s="192">
        <v>30</v>
      </c>
      <c r="BY64" s="255">
        <v>30</v>
      </c>
      <c r="BZ64" s="190">
        <v>0.08</v>
      </c>
      <c r="CA64" s="190">
        <v>0.08</v>
      </c>
      <c r="CB64" s="190">
        <v>0.08</v>
      </c>
      <c r="CC64" s="190">
        <v>0.08</v>
      </c>
    </row>
    <row r="65" spans="1:81" s="189" customFormat="1" x14ac:dyDescent="0.35">
      <c r="A65" s="413"/>
      <c r="B65" s="252" t="str">
        <f t="shared" si="97"/>
        <v>RPU_OFF_SP450-HH100</v>
      </c>
      <c r="C65" s="184" t="s">
        <v>184</v>
      </c>
      <c r="D65" s="185" t="s">
        <v>49</v>
      </c>
      <c r="E65" s="406" t="s">
        <v>480</v>
      </c>
      <c r="F65" s="6">
        <f t="shared" si="58"/>
        <v>60</v>
      </c>
      <c r="G65" s="186">
        <v>1</v>
      </c>
      <c r="H65" s="253" t="s">
        <v>395</v>
      </c>
      <c r="I65" s="253" t="s">
        <v>396</v>
      </c>
      <c r="J65" s="188">
        <v>0</v>
      </c>
      <c r="K65" s="188" t="s">
        <v>12</v>
      </c>
      <c r="L65" s="188">
        <v>1</v>
      </c>
      <c r="M65" s="188">
        <v>0</v>
      </c>
      <c r="N65" s="325">
        <v>0</v>
      </c>
      <c r="O65" s="188">
        <v>0</v>
      </c>
      <c r="P65" s="188">
        <v>0</v>
      </c>
      <c r="Q65" s="187">
        <f t="shared" si="92"/>
        <v>2000000</v>
      </c>
      <c r="R65" s="193">
        <v>0</v>
      </c>
      <c r="S65" s="193">
        <v>0</v>
      </c>
      <c r="T65" s="193">
        <v>0</v>
      </c>
      <c r="U65" s="254">
        <v>0</v>
      </c>
      <c r="V65" s="189">
        <v>0</v>
      </c>
      <c r="W65" s="189">
        <v>0</v>
      </c>
      <c r="X65" s="189">
        <v>0</v>
      </c>
      <c r="Y65" s="187">
        <v>0</v>
      </c>
      <c r="Z65" s="189">
        <v>0</v>
      </c>
      <c r="AA65" s="189">
        <v>0</v>
      </c>
      <c r="AB65" s="189">
        <v>0</v>
      </c>
      <c r="AC65" s="187">
        <v>0</v>
      </c>
      <c r="AD65" s="190">
        <v>0</v>
      </c>
      <c r="AE65" s="190">
        <v>0</v>
      </c>
      <c r="AF65" s="190">
        <v>0</v>
      </c>
      <c r="AG65" s="191">
        <v>0</v>
      </c>
      <c r="AH65" s="190">
        <v>1</v>
      </c>
      <c r="AI65" s="190">
        <v>1</v>
      </c>
      <c r="AJ65" s="190">
        <v>1</v>
      </c>
      <c r="AK65" s="191">
        <v>1</v>
      </c>
      <c r="AL65" s="190">
        <v>1</v>
      </c>
      <c r="AM65" s="190">
        <v>1</v>
      </c>
      <c r="AN65" s="190">
        <v>1</v>
      </c>
      <c r="AO65" s="191">
        <v>1</v>
      </c>
      <c r="AP65" s="189">
        <v>0</v>
      </c>
      <c r="AQ65" s="189">
        <v>0</v>
      </c>
      <c r="AR65" s="189">
        <v>0</v>
      </c>
      <c r="AS65" s="187">
        <v>0</v>
      </c>
      <c r="AT65" s="189">
        <v>1988.1234836201065</v>
      </c>
      <c r="AU65" s="189">
        <v>1801.4452222473265</v>
      </c>
      <c r="AV65" s="189">
        <v>1689.4382654236588</v>
      </c>
      <c r="AW65" s="187">
        <v>1661.4365262177421</v>
      </c>
      <c r="AX65" s="189">
        <v>41.773124610000004</v>
      </c>
      <c r="AY65" s="189">
        <v>37.595707870000005</v>
      </c>
      <c r="AZ65" s="189">
        <v>34.588301510000008</v>
      </c>
      <c r="BA65" s="187">
        <v>33.836449920000007</v>
      </c>
      <c r="BB65" s="189">
        <v>3.1283700000000001E-3</v>
      </c>
      <c r="BC65" s="189">
        <v>2.8155330000000003E-3</v>
      </c>
      <c r="BD65" s="189">
        <v>2.6069750000000001E-3</v>
      </c>
      <c r="BE65" s="187">
        <v>2.5026960000000004E-3</v>
      </c>
      <c r="BF65" s="189">
        <v>0</v>
      </c>
      <c r="BG65" s="189">
        <v>0</v>
      </c>
      <c r="BH65" s="189">
        <v>0</v>
      </c>
      <c r="BI65" s="187">
        <v>0</v>
      </c>
      <c r="BJ65" s="189">
        <v>53.529999999999994</v>
      </c>
      <c r="BK65" s="189">
        <v>0</v>
      </c>
      <c r="BL65" s="189">
        <v>0</v>
      </c>
      <c r="BM65" s="187">
        <v>0</v>
      </c>
      <c r="BN65" s="189">
        <v>0</v>
      </c>
      <c r="BO65" s="189">
        <v>0</v>
      </c>
      <c r="BP65" s="189">
        <v>0</v>
      </c>
      <c r="BQ65" s="187">
        <v>0</v>
      </c>
      <c r="BR65" s="189">
        <f t="shared" si="102"/>
        <v>9.1448096207564403E-2</v>
      </c>
      <c r="BS65" s="189">
        <f t="shared" si="103"/>
        <v>8.8827433387272267E-2</v>
      </c>
      <c r="BT65" s="189">
        <f t="shared" si="104"/>
        <v>8.8827433387272267E-2</v>
      </c>
      <c r="BU65" s="187">
        <f t="shared" si="105"/>
        <v>8.8827433387272267E-2</v>
      </c>
      <c r="BV65" s="192">
        <v>27</v>
      </c>
      <c r="BW65" s="192">
        <v>30</v>
      </c>
      <c r="BX65" s="192">
        <v>30</v>
      </c>
      <c r="BY65" s="255">
        <v>30</v>
      </c>
      <c r="BZ65" s="190">
        <v>0.08</v>
      </c>
      <c r="CA65" s="190">
        <v>0.08</v>
      </c>
      <c r="CB65" s="190">
        <v>0.08</v>
      </c>
      <c r="CC65" s="190">
        <v>0.08</v>
      </c>
    </row>
    <row r="66" spans="1:81" s="189" customFormat="1" x14ac:dyDescent="0.35">
      <c r="A66" s="413"/>
      <c r="B66" s="252" t="str">
        <f t="shared" si="97"/>
        <v>RPU_OFF_SP450-HH150</v>
      </c>
      <c r="C66" s="184" t="s">
        <v>184</v>
      </c>
      <c r="D66" s="185" t="s">
        <v>115</v>
      </c>
      <c r="E66" s="406" t="s">
        <v>480</v>
      </c>
      <c r="F66" s="6">
        <f t="shared" si="58"/>
        <v>61</v>
      </c>
      <c r="G66" s="186">
        <v>1</v>
      </c>
      <c r="H66" s="253" t="s">
        <v>395</v>
      </c>
      <c r="I66" s="253" t="s">
        <v>396</v>
      </c>
      <c r="J66" s="188">
        <v>0</v>
      </c>
      <c r="K66" s="188" t="s">
        <v>12</v>
      </c>
      <c r="L66" s="188">
        <v>1</v>
      </c>
      <c r="M66" s="188">
        <v>0</v>
      </c>
      <c r="N66" s="325">
        <v>0</v>
      </c>
      <c r="O66" s="188">
        <v>0</v>
      </c>
      <c r="P66" s="188">
        <v>0</v>
      </c>
      <c r="Q66" s="187">
        <f t="shared" si="92"/>
        <v>2000000</v>
      </c>
      <c r="R66" s="193">
        <v>0</v>
      </c>
      <c r="S66" s="193">
        <v>0</v>
      </c>
      <c r="T66" s="193">
        <v>0</v>
      </c>
      <c r="U66" s="254">
        <v>0</v>
      </c>
      <c r="V66" s="189">
        <v>0</v>
      </c>
      <c r="W66" s="189">
        <v>0</v>
      </c>
      <c r="X66" s="189">
        <v>0</v>
      </c>
      <c r="Y66" s="187">
        <v>0</v>
      </c>
      <c r="Z66" s="189">
        <v>0</v>
      </c>
      <c r="AA66" s="189">
        <v>0</v>
      </c>
      <c r="AB66" s="189">
        <v>0</v>
      </c>
      <c r="AC66" s="187">
        <v>0</v>
      </c>
      <c r="AD66" s="190">
        <v>0</v>
      </c>
      <c r="AE66" s="190">
        <v>0</v>
      </c>
      <c r="AF66" s="190">
        <v>0</v>
      </c>
      <c r="AG66" s="191">
        <v>0</v>
      </c>
      <c r="AH66" s="190">
        <v>1</v>
      </c>
      <c r="AI66" s="190">
        <v>1</v>
      </c>
      <c r="AJ66" s="190">
        <v>1</v>
      </c>
      <c r="AK66" s="191">
        <v>1</v>
      </c>
      <c r="AL66" s="190">
        <v>1</v>
      </c>
      <c r="AM66" s="190">
        <v>1</v>
      </c>
      <c r="AN66" s="190">
        <v>1</v>
      </c>
      <c r="AO66" s="191">
        <v>1</v>
      </c>
      <c r="AP66" s="189">
        <v>0</v>
      </c>
      <c r="AQ66" s="189">
        <v>0</v>
      </c>
      <c r="AR66" s="189">
        <v>0</v>
      </c>
      <c r="AS66" s="187">
        <v>0</v>
      </c>
      <c r="AT66" s="189">
        <v>2265.5270428386079</v>
      </c>
      <c r="AU66" s="189">
        <v>2052.8014989101002</v>
      </c>
      <c r="AV66" s="189">
        <v>1925.1661725529959</v>
      </c>
      <c r="AW66" s="187">
        <v>1893.2573409637196</v>
      </c>
      <c r="AX66" s="189">
        <v>41.773124610000004</v>
      </c>
      <c r="AY66" s="189">
        <v>37.595707870000005</v>
      </c>
      <c r="AZ66" s="189">
        <v>34.588301510000008</v>
      </c>
      <c r="BA66" s="187">
        <v>33.836449920000007</v>
      </c>
      <c r="BB66" s="189">
        <v>3.1283700000000001E-3</v>
      </c>
      <c r="BC66" s="189">
        <v>2.8155330000000003E-3</v>
      </c>
      <c r="BD66" s="189">
        <v>2.6069750000000001E-3</v>
      </c>
      <c r="BE66" s="187">
        <v>2.5026960000000004E-3</v>
      </c>
      <c r="BF66" s="189">
        <v>0</v>
      </c>
      <c r="BG66" s="189">
        <v>0</v>
      </c>
      <c r="BH66" s="189">
        <v>0</v>
      </c>
      <c r="BI66" s="187">
        <v>0</v>
      </c>
      <c r="BJ66" s="189">
        <v>53.529999999999994</v>
      </c>
      <c r="BK66" s="189">
        <v>0</v>
      </c>
      <c r="BL66" s="189">
        <v>0</v>
      </c>
      <c r="BM66" s="187">
        <v>0</v>
      </c>
      <c r="BN66" s="189">
        <v>0</v>
      </c>
      <c r="BO66" s="189">
        <v>0</v>
      </c>
      <c r="BP66" s="189">
        <v>0</v>
      </c>
      <c r="BQ66" s="187">
        <v>0</v>
      </c>
      <c r="BR66" s="189">
        <f t="shared" si="102"/>
        <v>9.1448096207564403E-2</v>
      </c>
      <c r="BS66" s="189">
        <f t="shared" si="103"/>
        <v>8.8827433387272267E-2</v>
      </c>
      <c r="BT66" s="189">
        <f t="shared" si="104"/>
        <v>8.8827433387272267E-2</v>
      </c>
      <c r="BU66" s="187">
        <f t="shared" si="105"/>
        <v>8.8827433387272267E-2</v>
      </c>
      <c r="BV66" s="192">
        <v>27</v>
      </c>
      <c r="BW66" s="192">
        <v>30</v>
      </c>
      <c r="BX66" s="192">
        <v>30</v>
      </c>
      <c r="BY66" s="255">
        <v>30</v>
      </c>
      <c r="BZ66" s="190">
        <v>0.08</v>
      </c>
      <c r="CA66" s="190">
        <v>0.08</v>
      </c>
      <c r="CB66" s="190">
        <v>0.08</v>
      </c>
      <c r="CC66" s="190">
        <v>0.08</v>
      </c>
    </row>
    <row r="67" spans="1:81" s="78" customFormat="1" ht="14.5" customHeight="1" x14ac:dyDescent="0.35">
      <c r="A67" s="413"/>
      <c r="B67" s="256" t="s">
        <v>328</v>
      </c>
      <c r="C67" s="76" t="s">
        <v>184</v>
      </c>
      <c r="D67" s="257" t="s">
        <v>329</v>
      </c>
      <c r="E67" s="396" t="s">
        <v>86</v>
      </c>
      <c r="F67" s="6">
        <f t="shared" si="58"/>
        <v>62</v>
      </c>
      <c r="G67" s="105">
        <v>1</v>
      </c>
      <c r="H67" s="117" t="s">
        <v>395</v>
      </c>
      <c r="I67" s="117" t="s">
        <v>396</v>
      </c>
      <c r="J67" s="126">
        <v>0</v>
      </c>
      <c r="K67" s="126" t="s">
        <v>12</v>
      </c>
      <c r="L67" s="126">
        <v>0</v>
      </c>
      <c r="M67" s="126">
        <v>0</v>
      </c>
      <c r="N67" s="126">
        <v>0</v>
      </c>
      <c r="O67" s="126">
        <v>0</v>
      </c>
      <c r="P67" s="126">
        <v>1</v>
      </c>
      <c r="Q67" s="136">
        <v>2000000</v>
      </c>
      <c r="R67" s="78">
        <v>0</v>
      </c>
      <c r="S67" s="78">
        <v>0</v>
      </c>
      <c r="T67" s="78">
        <v>0</v>
      </c>
      <c r="U67" s="136">
        <v>0</v>
      </c>
      <c r="V67" s="78">
        <v>0</v>
      </c>
      <c r="W67" s="78">
        <v>0</v>
      </c>
      <c r="X67" s="78">
        <v>0</v>
      </c>
      <c r="Y67" s="136">
        <v>0</v>
      </c>
      <c r="Z67" s="78">
        <v>0</v>
      </c>
      <c r="AA67" s="78">
        <v>0</v>
      </c>
      <c r="AB67" s="78">
        <v>0</v>
      </c>
      <c r="AC67" s="78">
        <v>0</v>
      </c>
      <c r="AD67" s="258">
        <v>0</v>
      </c>
      <c r="AE67" s="258">
        <v>0</v>
      </c>
      <c r="AF67" s="258">
        <v>0</v>
      </c>
      <c r="AG67" s="258">
        <v>0</v>
      </c>
      <c r="AH67" s="258">
        <v>1</v>
      </c>
      <c r="AI67" s="258">
        <v>1</v>
      </c>
      <c r="AJ67" s="258">
        <v>1</v>
      </c>
      <c r="AK67" s="258">
        <v>1</v>
      </c>
      <c r="AL67" s="258">
        <v>1</v>
      </c>
      <c r="AM67" s="258">
        <v>1</v>
      </c>
      <c r="AN67" s="258">
        <v>1</v>
      </c>
      <c r="AO67" s="358">
        <v>1</v>
      </c>
      <c r="AP67" s="78">
        <v>0</v>
      </c>
      <c r="AQ67" s="78">
        <v>0</v>
      </c>
      <c r="AR67" s="78">
        <v>0</v>
      </c>
      <c r="AS67" s="136">
        <v>0</v>
      </c>
      <c r="AT67" s="78">
        <v>3440.462003850032</v>
      </c>
      <c r="AU67" s="78">
        <f>AT67</f>
        <v>3440.462003850032</v>
      </c>
      <c r="AV67" s="78">
        <f t="shared" ref="AV67:AW67" si="106">AU67</f>
        <v>3440.462003850032</v>
      </c>
      <c r="AW67" s="78">
        <f t="shared" si="106"/>
        <v>3440.462003850032</v>
      </c>
      <c r="AX67" s="78">
        <v>59.583829865248902</v>
      </c>
      <c r="AY67" s="78">
        <f>AX67</f>
        <v>59.583829865248902</v>
      </c>
      <c r="AZ67" s="78">
        <f t="shared" ref="AZ67:BA67" si="107">AY67</f>
        <v>59.583829865248902</v>
      </c>
      <c r="BA67" s="78">
        <f t="shared" si="107"/>
        <v>59.583829865248902</v>
      </c>
      <c r="BB67" s="78">
        <v>4.5833715280960696E-3</v>
      </c>
      <c r="BC67" s="78">
        <f>BB67</f>
        <v>4.5833715280960696E-3</v>
      </c>
      <c r="BD67" s="78">
        <f t="shared" ref="BD67:BE67" si="108">BC67</f>
        <v>4.5833715280960696E-3</v>
      </c>
      <c r="BE67" s="78">
        <f t="shared" si="108"/>
        <v>4.5833715280960696E-3</v>
      </c>
      <c r="BF67" s="78">
        <v>0</v>
      </c>
      <c r="BG67" s="78">
        <v>0</v>
      </c>
      <c r="BH67" s="78">
        <v>0</v>
      </c>
      <c r="BI67" s="136">
        <v>0</v>
      </c>
      <c r="BJ67" s="78">
        <f t="shared" ref="BJ67:BJ70" si="109">((6.78*10^7)/(20*10^3))/30</f>
        <v>113</v>
      </c>
      <c r="BK67" s="78">
        <v>0</v>
      </c>
      <c r="BL67" s="78">
        <v>0</v>
      </c>
      <c r="BM67" s="136">
        <v>0</v>
      </c>
      <c r="BN67" s="78">
        <v>0</v>
      </c>
      <c r="BO67" s="78">
        <v>0</v>
      </c>
      <c r="BP67" s="78">
        <v>0</v>
      </c>
      <c r="BQ67" s="136">
        <v>0</v>
      </c>
      <c r="BR67" s="78">
        <f t="shared" si="102"/>
        <v>8.5810517220665614E-2</v>
      </c>
      <c r="BS67" s="78">
        <f t="shared" si="103"/>
        <v>8.5810517220665614E-2</v>
      </c>
      <c r="BT67" s="78">
        <f t="shared" si="104"/>
        <v>8.5810517220665614E-2</v>
      </c>
      <c r="BU67" s="136">
        <f t="shared" si="105"/>
        <v>8.5810517220665614E-2</v>
      </c>
      <c r="BV67" s="79">
        <v>25</v>
      </c>
      <c r="BW67" s="79">
        <v>25</v>
      </c>
      <c r="BX67" s="79">
        <v>25</v>
      </c>
      <c r="BY67" s="163">
        <v>25</v>
      </c>
      <c r="BZ67" s="80">
        <v>7.0000000000000007E-2</v>
      </c>
      <c r="CA67" s="80">
        <v>7.0000000000000007E-2</v>
      </c>
      <c r="CB67" s="80">
        <v>7.0000000000000007E-2</v>
      </c>
      <c r="CC67" s="80">
        <v>7.0000000000000007E-2</v>
      </c>
    </row>
    <row r="68" spans="1:81" s="78" customFormat="1" ht="14.5" customHeight="1" x14ac:dyDescent="0.35">
      <c r="A68" s="413"/>
      <c r="B68" s="256" t="s">
        <v>330</v>
      </c>
      <c r="C68" s="76" t="s">
        <v>184</v>
      </c>
      <c r="D68" s="257" t="s">
        <v>331</v>
      </c>
      <c r="E68" s="396" t="s">
        <v>86</v>
      </c>
      <c r="F68" s="6">
        <f t="shared" si="58"/>
        <v>63</v>
      </c>
      <c r="G68" s="105">
        <v>1</v>
      </c>
      <c r="H68" s="117" t="s">
        <v>395</v>
      </c>
      <c r="I68" s="117" t="s">
        <v>396</v>
      </c>
      <c r="J68" s="126">
        <v>0</v>
      </c>
      <c r="K68" s="126" t="s">
        <v>12</v>
      </c>
      <c r="L68" s="126">
        <v>0</v>
      </c>
      <c r="M68" s="126">
        <v>0</v>
      </c>
      <c r="N68" s="126">
        <v>0</v>
      </c>
      <c r="O68" s="126">
        <v>0</v>
      </c>
      <c r="P68" s="126">
        <v>1</v>
      </c>
      <c r="Q68" s="136">
        <v>2000000</v>
      </c>
      <c r="R68" s="78">
        <v>0</v>
      </c>
      <c r="S68" s="78">
        <v>0</v>
      </c>
      <c r="T68" s="78">
        <v>0</v>
      </c>
      <c r="U68" s="136">
        <v>0</v>
      </c>
      <c r="V68" s="78">
        <v>0</v>
      </c>
      <c r="W68" s="78">
        <v>0</v>
      </c>
      <c r="X68" s="78">
        <v>0</v>
      </c>
      <c r="Y68" s="136">
        <v>0</v>
      </c>
      <c r="Z68" s="78">
        <v>0</v>
      </c>
      <c r="AA68" s="78">
        <v>0</v>
      </c>
      <c r="AB68" s="78">
        <v>0</v>
      </c>
      <c r="AC68" s="78">
        <v>0</v>
      </c>
      <c r="AD68" s="258">
        <v>0</v>
      </c>
      <c r="AE68" s="258">
        <v>0</v>
      </c>
      <c r="AF68" s="258">
        <v>0</v>
      </c>
      <c r="AG68" s="258">
        <v>0</v>
      </c>
      <c r="AH68" s="258">
        <v>1</v>
      </c>
      <c r="AI68" s="258">
        <v>1</v>
      </c>
      <c r="AJ68" s="258">
        <v>1</v>
      </c>
      <c r="AK68" s="258">
        <v>1</v>
      </c>
      <c r="AL68" s="258">
        <v>1</v>
      </c>
      <c r="AM68" s="258">
        <v>1</v>
      </c>
      <c r="AN68" s="258">
        <v>1</v>
      </c>
      <c r="AO68" s="358">
        <v>1</v>
      </c>
      <c r="AP68" s="78">
        <v>0</v>
      </c>
      <c r="AQ68" s="78">
        <v>0</v>
      </c>
      <c r="AR68" s="78">
        <v>0</v>
      </c>
      <c r="AS68" s="136">
        <v>0</v>
      </c>
      <c r="AT68" s="78">
        <v>3440.462003850032</v>
      </c>
      <c r="AU68" s="78">
        <f t="shared" ref="AU68:AW68" si="110">AT68</f>
        <v>3440.462003850032</v>
      </c>
      <c r="AV68" s="78">
        <f t="shared" si="110"/>
        <v>3440.462003850032</v>
      </c>
      <c r="AW68" s="78">
        <f t="shared" si="110"/>
        <v>3440.462003850032</v>
      </c>
      <c r="AX68" s="78">
        <v>60.583829865248902</v>
      </c>
      <c r="AY68" s="78">
        <f t="shared" ref="AY68:BA68" si="111">AX68</f>
        <v>60.583829865248902</v>
      </c>
      <c r="AZ68" s="78">
        <f t="shared" si="111"/>
        <v>60.583829865248902</v>
      </c>
      <c r="BA68" s="78">
        <f t="shared" si="111"/>
        <v>60.583829865248902</v>
      </c>
      <c r="BB68" s="78">
        <v>1.0045833715281001</v>
      </c>
      <c r="BC68" s="78">
        <f t="shared" ref="BC68:BE68" si="112">BB68</f>
        <v>1.0045833715281001</v>
      </c>
      <c r="BD68" s="78">
        <f t="shared" si="112"/>
        <v>1.0045833715281001</v>
      </c>
      <c r="BE68" s="78">
        <f t="shared" si="112"/>
        <v>1.0045833715281001</v>
      </c>
      <c r="BF68" s="78">
        <v>0</v>
      </c>
      <c r="BG68" s="78">
        <v>0</v>
      </c>
      <c r="BH68" s="78">
        <v>0</v>
      </c>
      <c r="BI68" s="136">
        <v>0</v>
      </c>
      <c r="BJ68" s="78">
        <f t="shared" si="109"/>
        <v>113</v>
      </c>
      <c r="BK68" s="78">
        <v>0</v>
      </c>
      <c r="BL68" s="78">
        <v>0</v>
      </c>
      <c r="BM68" s="136">
        <v>0</v>
      </c>
      <c r="BN68" s="78">
        <v>0</v>
      </c>
      <c r="BO68" s="78">
        <v>0</v>
      </c>
      <c r="BP68" s="78">
        <v>0</v>
      </c>
      <c r="BQ68" s="136">
        <v>0</v>
      </c>
      <c r="BR68" s="78">
        <f t="shared" ref="BR68:BR82" si="113">IF(BV68&lt;&gt;0,(BZ68*(1+BZ68)^BV68)/((1+BZ68)^BV68-1),0)</f>
        <v>8.5810517220665614E-2</v>
      </c>
      <c r="BS68" s="78">
        <f t="shared" ref="BS68:BS78" si="114">IF(BW68&lt;&gt;0,(CA68*(1+CA68)^BW68)/((1+CA68)^BW68-1),0)</f>
        <v>8.5810517220665614E-2</v>
      </c>
      <c r="BT68" s="78">
        <f t="shared" ref="BT68:BT78" si="115">IF(BX68&lt;&gt;0,(CB68*(1+CB68)^BX68)/((1+CB68)^BX68-1),0)</f>
        <v>8.5810517220665614E-2</v>
      </c>
      <c r="BU68" s="136">
        <f t="shared" ref="BU68:BU78" si="116">IF(BY68&lt;&gt;0,(CC68*(1+CC68)^BY68)/((1+CC68)^BY68-1),0)</f>
        <v>8.5810517220665614E-2</v>
      </c>
      <c r="BV68" s="79">
        <v>25</v>
      </c>
      <c r="BW68" s="79">
        <v>25</v>
      </c>
      <c r="BX68" s="79">
        <v>25</v>
      </c>
      <c r="BY68" s="163">
        <v>25</v>
      </c>
      <c r="BZ68" s="80">
        <v>7.0000000000000007E-2</v>
      </c>
      <c r="CA68" s="80">
        <v>7.0000000000000007E-2</v>
      </c>
      <c r="CB68" s="80">
        <v>7.0000000000000007E-2</v>
      </c>
      <c r="CC68" s="80">
        <v>7.0000000000000007E-2</v>
      </c>
    </row>
    <row r="69" spans="1:81" s="78" customFormat="1" ht="14.5" customHeight="1" x14ac:dyDescent="0.35">
      <c r="A69" s="413"/>
      <c r="B69" s="256" t="s">
        <v>332</v>
      </c>
      <c r="C69" s="76" t="s">
        <v>184</v>
      </c>
      <c r="D69" s="257" t="s">
        <v>333</v>
      </c>
      <c r="E69" s="396" t="s">
        <v>86</v>
      </c>
      <c r="F69" s="6">
        <f t="shared" si="58"/>
        <v>64</v>
      </c>
      <c r="G69" s="105">
        <v>1</v>
      </c>
      <c r="H69" s="117" t="s">
        <v>395</v>
      </c>
      <c r="I69" s="117" t="s">
        <v>396</v>
      </c>
      <c r="J69" s="126">
        <v>0</v>
      </c>
      <c r="K69" s="126" t="s">
        <v>12</v>
      </c>
      <c r="L69" s="126">
        <v>0</v>
      </c>
      <c r="M69" s="126">
        <v>0</v>
      </c>
      <c r="N69" s="126">
        <v>0</v>
      </c>
      <c r="O69" s="126">
        <v>0</v>
      </c>
      <c r="P69" s="126">
        <v>1</v>
      </c>
      <c r="Q69" s="136">
        <v>2000000</v>
      </c>
      <c r="R69" s="78">
        <v>0</v>
      </c>
      <c r="S69" s="78">
        <v>0</v>
      </c>
      <c r="T69" s="78">
        <v>0</v>
      </c>
      <c r="U69" s="136">
        <v>0</v>
      </c>
      <c r="V69" s="78">
        <v>0</v>
      </c>
      <c r="W69" s="78">
        <v>0</v>
      </c>
      <c r="X69" s="78">
        <v>0</v>
      </c>
      <c r="Y69" s="136">
        <v>0</v>
      </c>
      <c r="Z69" s="78">
        <v>0</v>
      </c>
      <c r="AA69" s="78">
        <v>0</v>
      </c>
      <c r="AB69" s="78">
        <v>0</v>
      </c>
      <c r="AC69" s="78">
        <v>0</v>
      </c>
      <c r="AD69" s="258">
        <v>0</v>
      </c>
      <c r="AE69" s="258">
        <v>0</v>
      </c>
      <c r="AF69" s="258">
        <v>0</v>
      </c>
      <c r="AG69" s="258">
        <v>0</v>
      </c>
      <c r="AH69" s="258">
        <v>1</v>
      </c>
      <c r="AI69" s="258">
        <v>1</v>
      </c>
      <c r="AJ69" s="258">
        <v>1</v>
      </c>
      <c r="AK69" s="258">
        <v>1</v>
      </c>
      <c r="AL69" s="258">
        <v>1</v>
      </c>
      <c r="AM69" s="258">
        <v>1</v>
      </c>
      <c r="AN69" s="258">
        <v>1</v>
      </c>
      <c r="AO69" s="358">
        <v>1</v>
      </c>
      <c r="AP69" s="78">
        <v>0</v>
      </c>
      <c r="AQ69" s="78">
        <v>0</v>
      </c>
      <c r="AR69" s="78">
        <v>0</v>
      </c>
      <c r="AS69" s="136">
        <v>0</v>
      </c>
      <c r="AT69" s="78">
        <v>3440.462003850032</v>
      </c>
      <c r="AU69" s="78">
        <f t="shared" ref="AU69:AW69" si="117">AT69</f>
        <v>3440.462003850032</v>
      </c>
      <c r="AV69" s="78">
        <f t="shared" si="117"/>
        <v>3440.462003850032</v>
      </c>
      <c r="AW69" s="78">
        <f t="shared" si="117"/>
        <v>3440.462003850032</v>
      </c>
      <c r="AX69" s="78">
        <v>61.583829865248902</v>
      </c>
      <c r="AY69" s="78">
        <f t="shared" ref="AY69:BA69" si="118">AX69</f>
        <v>61.583829865248902</v>
      </c>
      <c r="AZ69" s="78">
        <f t="shared" si="118"/>
        <v>61.583829865248902</v>
      </c>
      <c r="BA69" s="78">
        <f t="shared" si="118"/>
        <v>61.583829865248902</v>
      </c>
      <c r="BB69" s="78">
        <v>2.0045833715281001</v>
      </c>
      <c r="BC69" s="78">
        <f t="shared" ref="BC69:BE69" si="119">BB69</f>
        <v>2.0045833715281001</v>
      </c>
      <c r="BD69" s="78">
        <f t="shared" si="119"/>
        <v>2.0045833715281001</v>
      </c>
      <c r="BE69" s="78">
        <f t="shared" si="119"/>
        <v>2.0045833715281001</v>
      </c>
      <c r="BF69" s="78">
        <v>0</v>
      </c>
      <c r="BG69" s="78">
        <v>0</v>
      </c>
      <c r="BH69" s="78">
        <v>0</v>
      </c>
      <c r="BI69" s="136">
        <v>0</v>
      </c>
      <c r="BJ69" s="78">
        <f t="shared" si="109"/>
        <v>113</v>
      </c>
      <c r="BK69" s="78">
        <v>0</v>
      </c>
      <c r="BL69" s="78">
        <v>0</v>
      </c>
      <c r="BM69" s="136">
        <v>0</v>
      </c>
      <c r="BN69" s="78">
        <v>0</v>
      </c>
      <c r="BO69" s="78">
        <v>0</v>
      </c>
      <c r="BP69" s="78">
        <v>0</v>
      </c>
      <c r="BQ69" s="136">
        <v>0</v>
      </c>
      <c r="BR69" s="78">
        <f t="shared" si="113"/>
        <v>8.5810517220665614E-2</v>
      </c>
      <c r="BS69" s="78">
        <f t="shared" si="114"/>
        <v>8.5810517220665614E-2</v>
      </c>
      <c r="BT69" s="78">
        <f t="shared" si="115"/>
        <v>8.5810517220665614E-2</v>
      </c>
      <c r="BU69" s="136">
        <f t="shared" si="116"/>
        <v>8.5810517220665614E-2</v>
      </c>
      <c r="BV69" s="79">
        <v>25</v>
      </c>
      <c r="BW69" s="79">
        <v>25</v>
      </c>
      <c r="BX69" s="79">
        <v>25</v>
      </c>
      <c r="BY69" s="163">
        <v>25</v>
      </c>
      <c r="BZ69" s="80">
        <v>7.0000000000000007E-2</v>
      </c>
      <c r="CA69" s="80">
        <v>7.0000000000000007E-2</v>
      </c>
      <c r="CB69" s="80">
        <v>7.0000000000000007E-2</v>
      </c>
      <c r="CC69" s="80">
        <v>7.0000000000000007E-2</v>
      </c>
    </row>
    <row r="70" spans="1:81" s="78" customFormat="1" ht="14.5" customHeight="1" x14ac:dyDescent="0.35">
      <c r="A70" s="413"/>
      <c r="B70" s="256" t="s">
        <v>334</v>
      </c>
      <c r="C70" s="76" t="s">
        <v>184</v>
      </c>
      <c r="D70" s="257" t="s">
        <v>335</v>
      </c>
      <c r="E70" s="396" t="s">
        <v>86</v>
      </c>
      <c r="F70" s="6">
        <f t="shared" ref="F70:F82" si="120">ROW(D69)-ROW($F$4)</f>
        <v>65</v>
      </c>
      <c r="G70" s="105">
        <v>1</v>
      </c>
      <c r="H70" s="117" t="s">
        <v>395</v>
      </c>
      <c r="I70" s="117" t="s">
        <v>396</v>
      </c>
      <c r="J70" s="126">
        <v>0</v>
      </c>
      <c r="K70" s="126" t="s">
        <v>12</v>
      </c>
      <c r="L70" s="126">
        <v>0</v>
      </c>
      <c r="M70" s="126">
        <v>0</v>
      </c>
      <c r="N70" s="126">
        <v>0</v>
      </c>
      <c r="O70" s="126">
        <v>0</v>
      </c>
      <c r="P70" s="126">
        <v>1</v>
      </c>
      <c r="Q70" s="136">
        <v>2000000</v>
      </c>
      <c r="R70" s="78">
        <v>0</v>
      </c>
      <c r="S70" s="78">
        <v>0</v>
      </c>
      <c r="T70" s="78">
        <v>0</v>
      </c>
      <c r="U70" s="136">
        <v>0</v>
      </c>
      <c r="V70" s="78">
        <v>0</v>
      </c>
      <c r="W70" s="78">
        <v>0</v>
      </c>
      <c r="X70" s="78">
        <v>0</v>
      </c>
      <c r="Y70" s="136">
        <v>0</v>
      </c>
      <c r="Z70" s="78">
        <v>0</v>
      </c>
      <c r="AA70" s="78">
        <v>0</v>
      </c>
      <c r="AB70" s="78">
        <v>0</v>
      </c>
      <c r="AC70" s="78">
        <v>0</v>
      </c>
      <c r="AD70" s="258">
        <v>0</v>
      </c>
      <c r="AE70" s="258">
        <v>0</v>
      </c>
      <c r="AF70" s="258">
        <v>0</v>
      </c>
      <c r="AG70" s="258">
        <v>0</v>
      </c>
      <c r="AH70" s="258">
        <v>1</v>
      </c>
      <c r="AI70" s="258">
        <v>1</v>
      </c>
      <c r="AJ70" s="258">
        <v>1</v>
      </c>
      <c r="AK70" s="258">
        <v>1</v>
      </c>
      <c r="AL70" s="258">
        <v>1</v>
      </c>
      <c r="AM70" s="258">
        <v>1</v>
      </c>
      <c r="AN70" s="258">
        <v>1</v>
      </c>
      <c r="AO70" s="358">
        <v>1</v>
      </c>
      <c r="AP70" s="78">
        <v>0</v>
      </c>
      <c r="AQ70" s="78">
        <v>0</v>
      </c>
      <c r="AR70" s="78">
        <v>0</v>
      </c>
      <c r="AS70" s="136">
        <v>0</v>
      </c>
      <c r="AT70" s="78">
        <v>3440.462003850032</v>
      </c>
      <c r="AU70" s="78">
        <f t="shared" ref="AU70:AW70" si="121">AT70</f>
        <v>3440.462003850032</v>
      </c>
      <c r="AV70" s="78">
        <f t="shared" si="121"/>
        <v>3440.462003850032</v>
      </c>
      <c r="AW70" s="78">
        <f t="shared" si="121"/>
        <v>3440.462003850032</v>
      </c>
      <c r="AX70" s="78">
        <v>62.583829865248902</v>
      </c>
      <c r="AY70" s="78">
        <f t="shared" ref="AY70:BA70" si="122">AX70</f>
        <v>62.583829865248902</v>
      </c>
      <c r="AZ70" s="78">
        <f t="shared" si="122"/>
        <v>62.583829865248902</v>
      </c>
      <c r="BA70" s="78">
        <f t="shared" si="122"/>
        <v>62.583829865248902</v>
      </c>
      <c r="BB70" s="78">
        <v>3.0045833715281001</v>
      </c>
      <c r="BC70" s="78">
        <f t="shared" ref="BC70:BE70" si="123">BB70</f>
        <v>3.0045833715281001</v>
      </c>
      <c r="BD70" s="78">
        <f t="shared" si="123"/>
        <v>3.0045833715281001</v>
      </c>
      <c r="BE70" s="78">
        <f t="shared" si="123"/>
        <v>3.0045833715281001</v>
      </c>
      <c r="BF70" s="78">
        <v>0</v>
      </c>
      <c r="BG70" s="78">
        <v>0</v>
      </c>
      <c r="BH70" s="78">
        <v>0</v>
      </c>
      <c r="BI70" s="136">
        <v>0</v>
      </c>
      <c r="BJ70" s="78">
        <f t="shared" si="109"/>
        <v>113</v>
      </c>
      <c r="BK70" s="78">
        <v>0</v>
      </c>
      <c r="BL70" s="78">
        <v>0</v>
      </c>
      <c r="BM70" s="136">
        <v>0</v>
      </c>
      <c r="BN70" s="78">
        <v>0</v>
      </c>
      <c r="BO70" s="78">
        <v>0</v>
      </c>
      <c r="BP70" s="78">
        <v>0</v>
      </c>
      <c r="BQ70" s="136">
        <v>0</v>
      </c>
      <c r="BR70" s="78">
        <f t="shared" si="113"/>
        <v>8.5810517220665614E-2</v>
      </c>
      <c r="BS70" s="78">
        <f t="shared" si="114"/>
        <v>8.5810517220665614E-2</v>
      </c>
      <c r="BT70" s="78">
        <f t="shared" si="115"/>
        <v>8.5810517220665614E-2</v>
      </c>
      <c r="BU70" s="136">
        <f t="shared" si="116"/>
        <v>8.5810517220665614E-2</v>
      </c>
      <c r="BV70" s="79">
        <v>25</v>
      </c>
      <c r="BW70" s="79">
        <v>25</v>
      </c>
      <c r="BX70" s="79">
        <v>25</v>
      </c>
      <c r="BY70" s="163">
        <v>25</v>
      </c>
      <c r="BZ70" s="80">
        <v>7.0000000000000007E-2</v>
      </c>
      <c r="CA70" s="80">
        <v>7.0000000000000007E-2</v>
      </c>
      <c r="CB70" s="80">
        <v>7.0000000000000007E-2</v>
      </c>
      <c r="CC70" s="80">
        <v>7.0000000000000007E-2</v>
      </c>
    </row>
    <row r="71" spans="1:81" s="266" customFormat="1" ht="14.5" customHeight="1" x14ac:dyDescent="0.35">
      <c r="A71" s="413"/>
      <c r="B71" s="259" t="s">
        <v>14</v>
      </c>
      <c r="C71" s="260" t="s">
        <v>184</v>
      </c>
      <c r="D71" s="261" t="s">
        <v>182</v>
      </c>
      <c r="E71" s="407" t="s">
        <v>86</v>
      </c>
      <c r="F71" s="6">
        <f t="shared" si="120"/>
        <v>66</v>
      </c>
      <c r="G71" s="262">
        <v>1</v>
      </c>
      <c r="H71" s="263" t="s">
        <v>395</v>
      </c>
      <c r="I71" s="263" t="s">
        <v>12</v>
      </c>
      <c r="J71" s="265">
        <v>0</v>
      </c>
      <c r="K71" s="265" t="s">
        <v>12</v>
      </c>
      <c r="L71" s="265">
        <v>0</v>
      </c>
      <c r="M71" s="265">
        <v>0</v>
      </c>
      <c r="N71" s="265">
        <v>0</v>
      </c>
      <c r="O71" s="265">
        <v>0</v>
      </c>
      <c r="P71" s="265">
        <v>-1</v>
      </c>
      <c r="Q71" s="264">
        <v>2000000</v>
      </c>
      <c r="R71" s="266">
        <v>0</v>
      </c>
      <c r="S71" s="266">
        <v>0</v>
      </c>
      <c r="T71" s="266">
        <v>0</v>
      </c>
      <c r="U71" s="264">
        <v>0</v>
      </c>
      <c r="V71" s="266">
        <v>0</v>
      </c>
      <c r="W71" s="266">
        <v>0</v>
      </c>
      <c r="X71" s="266">
        <v>0</v>
      </c>
      <c r="Y71" s="264">
        <v>0</v>
      </c>
      <c r="Z71" s="266">
        <v>0</v>
      </c>
      <c r="AA71" s="266">
        <v>0</v>
      </c>
      <c r="AB71" s="266">
        <v>0</v>
      </c>
      <c r="AC71" s="266">
        <v>0</v>
      </c>
      <c r="AD71" s="267">
        <v>0</v>
      </c>
      <c r="AE71" s="267">
        <v>0</v>
      </c>
      <c r="AF71" s="267">
        <v>0</v>
      </c>
      <c r="AG71" s="267">
        <v>0</v>
      </c>
      <c r="AH71" s="267">
        <v>1</v>
      </c>
      <c r="AI71" s="267">
        <v>1</v>
      </c>
      <c r="AJ71" s="267">
        <v>1</v>
      </c>
      <c r="AK71" s="267">
        <v>1</v>
      </c>
      <c r="AL71" s="267">
        <v>1</v>
      </c>
      <c r="AM71" s="267">
        <v>1</v>
      </c>
      <c r="AN71" s="267">
        <v>1</v>
      </c>
      <c r="AO71" s="359">
        <v>1</v>
      </c>
      <c r="AP71" s="266">
        <v>0</v>
      </c>
      <c r="AQ71" s="266">
        <v>0</v>
      </c>
      <c r="AR71" s="266">
        <v>0</v>
      </c>
      <c r="AS71" s="264">
        <v>0</v>
      </c>
      <c r="AT71" s="266">
        <v>3440.462003850032</v>
      </c>
      <c r="AU71" s="266">
        <f t="shared" ref="AU71:AW71" si="124">AT71</f>
        <v>3440.462003850032</v>
      </c>
      <c r="AV71" s="266">
        <f t="shared" si="124"/>
        <v>3440.462003850032</v>
      </c>
      <c r="AW71" s="266">
        <f t="shared" si="124"/>
        <v>3440.462003850032</v>
      </c>
      <c r="AX71" s="266">
        <v>63.583829865248902</v>
      </c>
      <c r="AY71" s="266">
        <f t="shared" ref="AY71:BA71" si="125">AX71</f>
        <v>63.583829865248902</v>
      </c>
      <c r="AZ71" s="266">
        <f t="shared" si="125"/>
        <v>63.583829865248902</v>
      </c>
      <c r="BA71" s="266">
        <f t="shared" si="125"/>
        <v>63.583829865248902</v>
      </c>
      <c r="BB71" s="266">
        <v>4.0045833715281001</v>
      </c>
      <c r="BC71" s="266">
        <f t="shared" ref="BC71:BE71" si="126">BB71</f>
        <v>4.0045833715281001</v>
      </c>
      <c r="BD71" s="266">
        <f t="shared" si="126"/>
        <v>4.0045833715281001</v>
      </c>
      <c r="BE71" s="266">
        <f t="shared" si="126"/>
        <v>4.0045833715281001</v>
      </c>
      <c r="BF71" s="266">
        <v>0</v>
      </c>
      <c r="BG71" s="266">
        <v>0</v>
      </c>
      <c r="BH71" s="266">
        <v>0</v>
      </c>
      <c r="BI71" s="264">
        <v>0</v>
      </c>
      <c r="BJ71" s="266">
        <v>0</v>
      </c>
      <c r="BK71" s="266">
        <v>0</v>
      </c>
      <c r="BL71" s="266">
        <v>0</v>
      </c>
      <c r="BM71" s="264">
        <v>0</v>
      </c>
      <c r="BN71" s="266">
        <v>0</v>
      </c>
      <c r="BO71" s="266">
        <v>0</v>
      </c>
      <c r="BP71" s="266">
        <v>0</v>
      </c>
      <c r="BQ71" s="264">
        <v>0</v>
      </c>
      <c r="BR71" s="266">
        <f t="shared" si="113"/>
        <v>8.5810517220665614E-2</v>
      </c>
      <c r="BS71" s="266">
        <f t="shared" si="114"/>
        <v>8.5810517220665614E-2</v>
      </c>
      <c r="BT71" s="266">
        <f t="shared" si="115"/>
        <v>8.5810517220665614E-2</v>
      </c>
      <c r="BU71" s="264">
        <f t="shared" si="116"/>
        <v>8.5810517220665614E-2</v>
      </c>
      <c r="BV71" s="268">
        <v>25</v>
      </c>
      <c r="BW71" s="268">
        <v>25</v>
      </c>
      <c r="BX71" s="268">
        <v>25</v>
      </c>
      <c r="BY71" s="354">
        <v>25</v>
      </c>
      <c r="BZ71" s="269">
        <v>7.0000000000000007E-2</v>
      </c>
      <c r="CA71" s="269">
        <v>7.0000000000000007E-2</v>
      </c>
      <c r="CB71" s="269">
        <v>7.0000000000000007E-2</v>
      </c>
      <c r="CC71" s="269">
        <v>7.0000000000000007E-2</v>
      </c>
    </row>
    <row r="72" spans="1:81" s="266" customFormat="1" ht="14.5" customHeight="1" x14ac:dyDescent="0.35">
      <c r="A72" s="413"/>
      <c r="B72" s="259" t="s">
        <v>15</v>
      </c>
      <c r="C72" s="260" t="s">
        <v>184</v>
      </c>
      <c r="D72" s="261" t="s">
        <v>183</v>
      </c>
      <c r="E72" s="407" t="s">
        <v>86</v>
      </c>
      <c r="F72" s="6">
        <f t="shared" si="120"/>
        <v>67</v>
      </c>
      <c r="G72" s="262">
        <v>1</v>
      </c>
      <c r="H72" s="263" t="s">
        <v>395</v>
      </c>
      <c r="I72" s="263" t="s">
        <v>396</v>
      </c>
      <c r="J72" s="265">
        <v>0</v>
      </c>
      <c r="K72" s="265" t="s">
        <v>12</v>
      </c>
      <c r="L72" s="265">
        <v>0</v>
      </c>
      <c r="M72" s="265">
        <v>0</v>
      </c>
      <c r="N72" s="265">
        <v>0</v>
      </c>
      <c r="O72" s="265">
        <v>0</v>
      </c>
      <c r="P72" s="265">
        <v>1</v>
      </c>
      <c r="Q72" s="264">
        <v>2000000</v>
      </c>
      <c r="R72" s="266">
        <v>0</v>
      </c>
      <c r="S72" s="266">
        <v>0</v>
      </c>
      <c r="T72" s="266">
        <v>0</v>
      </c>
      <c r="U72" s="264">
        <v>0</v>
      </c>
      <c r="V72" s="266">
        <v>0</v>
      </c>
      <c r="W72" s="266">
        <v>0</v>
      </c>
      <c r="X72" s="266">
        <v>0</v>
      </c>
      <c r="Y72" s="264">
        <v>0</v>
      </c>
      <c r="Z72" s="266">
        <v>0</v>
      </c>
      <c r="AA72" s="266">
        <v>0</v>
      </c>
      <c r="AB72" s="266">
        <v>0</v>
      </c>
      <c r="AC72" s="266">
        <v>0</v>
      </c>
      <c r="AD72" s="267">
        <v>0</v>
      </c>
      <c r="AE72" s="267">
        <v>0</v>
      </c>
      <c r="AF72" s="267">
        <v>0</v>
      </c>
      <c r="AG72" s="267">
        <v>0</v>
      </c>
      <c r="AH72" s="267">
        <v>1</v>
      </c>
      <c r="AI72" s="267">
        <v>1</v>
      </c>
      <c r="AJ72" s="267">
        <v>1</v>
      </c>
      <c r="AK72" s="267">
        <v>1</v>
      </c>
      <c r="AL72" s="267">
        <v>1</v>
      </c>
      <c r="AM72" s="267">
        <v>1</v>
      </c>
      <c r="AN72" s="267">
        <v>1</v>
      </c>
      <c r="AO72" s="359">
        <v>1</v>
      </c>
      <c r="AP72" s="266">
        <v>0</v>
      </c>
      <c r="AQ72" s="266">
        <v>0</v>
      </c>
      <c r="AR72" s="266">
        <v>0</v>
      </c>
      <c r="AS72" s="264">
        <v>0</v>
      </c>
      <c r="AT72" s="266">
        <v>3440.462003850032</v>
      </c>
      <c r="AU72" s="266">
        <f t="shared" ref="AU72:AW72" si="127">AT72</f>
        <v>3440.462003850032</v>
      </c>
      <c r="AV72" s="266">
        <f t="shared" si="127"/>
        <v>3440.462003850032</v>
      </c>
      <c r="AW72" s="266">
        <f t="shared" si="127"/>
        <v>3440.462003850032</v>
      </c>
      <c r="AX72" s="266">
        <v>64.583829865248902</v>
      </c>
      <c r="AY72" s="266">
        <f t="shared" ref="AY72:BA72" si="128">AX72</f>
        <v>64.583829865248902</v>
      </c>
      <c r="AZ72" s="266">
        <f t="shared" si="128"/>
        <v>64.583829865248902</v>
      </c>
      <c r="BA72" s="266">
        <f t="shared" si="128"/>
        <v>64.583829865248902</v>
      </c>
      <c r="BB72" s="266">
        <v>5.0045833715281001</v>
      </c>
      <c r="BC72" s="266">
        <f t="shared" ref="BC72:BE72" si="129">BB72</f>
        <v>5.0045833715281001</v>
      </c>
      <c r="BD72" s="266">
        <f t="shared" si="129"/>
        <v>5.0045833715281001</v>
      </c>
      <c r="BE72" s="266">
        <f t="shared" si="129"/>
        <v>5.0045833715281001</v>
      </c>
      <c r="BF72" s="266">
        <v>0</v>
      </c>
      <c r="BG72" s="266">
        <v>0</v>
      </c>
      <c r="BH72" s="266">
        <v>0</v>
      </c>
      <c r="BI72" s="264">
        <v>0</v>
      </c>
      <c r="BJ72" s="266">
        <v>0</v>
      </c>
      <c r="BK72" s="266">
        <v>0</v>
      </c>
      <c r="BL72" s="266">
        <v>0</v>
      </c>
      <c r="BM72" s="264">
        <v>0</v>
      </c>
      <c r="BN72" s="266">
        <v>0</v>
      </c>
      <c r="BO72" s="266">
        <v>0</v>
      </c>
      <c r="BP72" s="266">
        <v>0</v>
      </c>
      <c r="BQ72" s="264">
        <v>0</v>
      </c>
      <c r="BR72" s="266">
        <f t="shared" si="113"/>
        <v>8.5810517220665614E-2</v>
      </c>
      <c r="BS72" s="266">
        <f t="shared" si="114"/>
        <v>8.5810517220665614E-2</v>
      </c>
      <c r="BT72" s="266">
        <f t="shared" si="115"/>
        <v>8.5810517220665614E-2</v>
      </c>
      <c r="BU72" s="264">
        <f t="shared" si="116"/>
        <v>8.5810517220665614E-2</v>
      </c>
      <c r="BV72" s="268">
        <v>25</v>
      </c>
      <c r="BW72" s="268">
        <v>25</v>
      </c>
      <c r="BX72" s="268">
        <v>25</v>
      </c>
      <c r="BY72" s="354">
        <v>25</v>
      </c>
      <c r="BZ72" s="269">
        <v>7.0000000000000007E-2</v>
      </c>
      <c r="CA72" s="269">
        <v>7.0000000000000007E-2</v>
      </c>
      <c r="CB72" s="269">
        <v>7.0000000000000007E-2</v>
      </c>
      <c r="CC72" s="269">
        <v>7.0000000000000007E-2</v>
      </c>
    </row>
    <row r="73" spans="1:81" s="277" customFormat="1" ht="14.5" customHeight="1" x14ac:dyDescent="0.35">
      <c r="A73" s="413"/>
      <c r="B73" s="270" t="s">
        <v>16</v>
      </c>
      <c r="C73" s="271" t="s">
        <v>184</v>
      </c>
      <c r="D73" s="272" t="s">
        <v>336</v>
      </c>
      <c r="E73" s="408" t="s">
        <v>86</v>
      </c>
      <c r="F73" s="6">
        <f t="shared" si="120"/>
        <v>68</v>
      </c>
      <c r="G73" s="273">
        <v>1</v>
      </c>
      <c r="H73" s="274" t="s">
        <v>396</v>
      </c>
      <c r="I73" s="274" t="s">
        <v>396</v>
      </c>
      <c r="J73" s="276">
        <v>0</v>
      </c>
      <c r="K73" s="276" t="s">
        <v>12</v>
      </c>
      <c r="L73" s="276">
        <v>0</v>
      </c>
      <c r="M73" s="276">
        <v>0</v>
      </c>
      <c r="N73" s="276">
        <v>0</v>
      </c>
      <c r="O73" s="276">
        <v>0</v>
      </c>
      <c r="P73" s="276">
        <v>0</v>
      </c>
      <c r="Q73" s="275">
        <v>2000000</v>
      </c>
      <c r="R73" s="277">
        <v>0</v>
      </c>
      <c r="S73" s="277">
        <v>0</v>
      </c>
      <c r="T73" s="277">
        <v>0</v>
      </c>
      <c r="U73" s="275">
        <v>0</v>
      </c>
      <c r="V73" s="277">
        <v>0</v>
      </c>
      <c r="W73" s="277">
        <v>0</v>
      </c>
      <c r="X73" s="277">
        <v>0</v>
      </c>
      <c r="Y73" s="275">
        <v>0</v>
      </c>
      <c r="Z73" s="277">
        <v>0</v>
      </c>
      <c r="AA73" s="277">
        <v>0</v>
      </c>
      <c r="AB73" s="277">
        <v>0</v>
      </c>
      <c r="AC73" s="277">
        <v>0</v>
      </c>
      <c r="AD73" s="278">
        <v>0</v>
      </c>
      <c r="AE73" s="278">
        <v>0</v>
      </c>
      <c r="AF73" s="278">
        <v>0</v>
      </c>
      <c r="AG73" s="278">
        <v>0</v>
      </c>
      <c r="AH73" s="278">
        <v>1</v>
      </c>
      <c r="AI73" s="278">
        <v>1</v>
      </c>
      <c r="AJ73" s="278">
        <v>1</v>
      </c>
      <c r="AK73" s="278">
        <v>1</v>
      </c>
      <c r="AL73" s="278">
        <v>1</v>
      </c>
      <c r="AM73" s="278">
        <v>1</v>
      </c>
      <c r="AN73" s="278">
        <v>1</v>
      </c>
      <c r="AO73" s="360">
        <v>1</v>
      </c>
      <c r="AP73" s="277">
        <v>0</v>
      </c>
      <c r="AQ73" s="277">
        <v>0</v>
      </c>
      <c r="AR73" s="277">
        <v>0</v>
      </c>
      <c r="AS73" s="275">
        <v>0</v>
      </c>
      <c r="AT73" s="277">
        <v>3440.462003850032</v>
      </c>
      <c r="AU73" s="277">
        <f t="shared" ref="AU73:AW73" si="130">AT73</f>
        <v>3440.462003850032</v>
      </c>
      <c r="AV73" s="277">
        <f t="shared" si="130"/>
        <v>3440.462003850032</v>
      </c>
      <c r="AW73" s="277">
        <f t="shared" si="130"/>
        <v>3440.462003850032</v>
      </c>
      <c r="AX73" s="277">
        <v>65.583829865248902</v>
      </c>
      <c r="AY73" s="277">
        <f t="shared" ref="AY73:BA73" si="131">AX73</f>
        <v>65.583829865248902</v>
      </c>
      <c r="AZ73" s="277">
        <f t="shared" si="131"/>
        <v>65.583829865248902</v>
      </c>
      <c r="BA73" s="277">
        <f t="shared" si="131"/>
        <v>65.583829865248902</v>
      </c>
      <c r="BB73" s="277">
        <v>6.0045833715281001</v>
      </c>
      <c r="BC73" s="277">
        <f t="shared" ref="BC73:BE73" si="132">BB73</f>
        <v>6.0045833715281001</v>
      </c>
      <c r="BD73" s="277">
        <f t="shared" si="132"/>
        <v>6.0045833715281001</v>
      </c>
      <c r="BE73" s="277">
        <f t="shared" si="132"/>
        <v>6.0045833715281001</v>
      </c>
      <c r="BF73" s="277">
        <v>0</v>
      </c>
      <c r="BG73" s="277">
        <v>0</v>
      </c>
      <c r="BH73" s="277">
        <v>0</v>
      </c>
      <c r="BI73" s="275">
        <v>0</v>
      </c>
      <c r="BJ73" s="277">
        <v>0</v>
      </c>
      <c r="BK73" s="277">
        <v>0</v>
      </c>
      <c r="BL73" s="277">
        <v>0</v>
      </c>
      <c r="BM73" s="275">
        <v>0</v>
      </c>
      <c r="BN73" s="277">
        <v>0</v>
      </c>
      <c r="BO73" s="277">
        <v>0</v>
      </c>
      <c r="BP73" s="277">
        <v>0</v>
      </c>
      <c r="BQ73" s="275">
        <v>0</v>
      </c>
      <c r="BR73" s="277">
        <f t="shared" si="113"/>
        <v>8.5810517220665614E-2</v>
      </c>
      <c r="BS73" s="277">
        <f t="shared" si="114"/>
        <v>8.5810517220665614E-2</v>
      </c>
      <c r="BT73" s="277">
        <f t="shared" si="115"/>
        <v>8.5810517220665614E-2</v>
      </c>
      <c r="BU73" s="275">
        <f t="shared" si="116"/>
        <v>8.5810517220665614E-2</v>
      </c>
      <c r="BV73" s="279">
        <v>25</v>
      </c>
      <c r="BW73" s="279">
        <v>25</v>
      </c>
      <c r="BX73" s="279">
        <v>25</v>
      </c>
      <c r="BY73" s="355">
        <v>25</v>
      </c>
      <c r="BZ73" s="280">
        <v>7.0000000000000007E-2</v>
      </c>
      <c r="CA73" s="280">
        <v>7.0000000000000007E-2</v>
      </c>
      <c r="CB73" s="280">
        <v>7.0000000000000007E-2</v>
      </c>
      <c r="CC73" s="280">
        <v>7.0000000000000007E-2</v>
      </c>
    </row>
    <row r="74" spans="1:81" s="277" customFormat="1" ht="14.5" customHeight="1" x14ac:dyDescent="0.35">
      <c r="A74" s="413"/>
      <c r="B74" s="270" t="s">
        <v>16</v>
      </c>
      <c r="C74" s="271" t="s">
        <v>184</v>
      </c>
      <c r="D74" s="272" t="s">
        <v>337</v>
      </c>
      <c r="E74" s="408" t="s">
        <v>86</v>
      </c>
      <c r="F74" s="6">
        <f t="shared" si="120"/>
        <v>69</v>
      </c>
      <c r="G74" s="273">
        <v>1</v>
      </c>
      <c r="H74" s="274" t="s">
        <v>396</v>
      </c>
      <c r="I74" s="274" t="s">
        <v>396</v>
      </c>
      <c r="J74" s="276">
        <v>0</v>
      </c>
      <c r="K74" s="276" t="s">
        <v>12</v>
      </c>
      <c r="L74" s="276">
        <v>0</v>
      </c>
      <c r="M74" s="276">
        <v>0</v>
      </c>
      <c r="N74" s="276">
        <v>0</v>
      </c>
      <c r="O74" s="276">
        <v>0</v>
      </c>
      <c r="P74" s="276">
        <v>0</v>
      </c>
      <c r="Q74" s="275">
        <v>2000000</v>
      </c>
      <c r="R74" s="277">
        <v>0</v>
      </c>
      <c r="S74" s="277">
        <v>0</v>
      </c>
      <c r="T74" s="277">
        <v>0</v>
      </c>
      <c r="U74" s="275">
        <v>0</v>
      </c>
      <c r="V74" s="277">
        <v>0</v>
      </c>
      <c r="W74" s="277">
        <v>0</v>
      </c>
      <c r="X74" s="277">
        <v>0</v>
      </c>
      <c r="Y74" s="275">
        <v>0</v>
      </c>
      <c r="Z74" s="277">
        <v>0</v>
      </c>
      <c r="AA74" s="277">
        <v>0</v>
      </c>
      <c r="AB74" s="277">
        <v>0</v>
      </c>
      <c r="AC74" s="277">
        <v>0</v>
      </c>
      <c r="AD74" s="278">
        <v>0</v>
      </c>
      <c r="AE74" s="278">
        <v>0</v>
      </c>
      <c r="AF74" s="278">
        <v>0</v>
      </c>
      <c r="AG74" s="278">
        <v>0</v>
      </c>
      <c r="AH74" s="278">
        <v>1</v>
      </c>
      <c r="AI74" s="278">
        <v>1</v>
      </c>
      <c r="AJ74" s="278">
        <v>1</v>
      </c>
      <c r="AK74" s="278">
        <v>1</v>
      </c>
      <c r="AL74" s="278">
        <v>1</v>
      </c>
      <c r="AM74" s="278">
        <v>1</v>
      </c>
      <c r="AN74" s="278">
        <v>1</v>
      </c>
      <c r="AO74" s="360">
        <v>1</v>
      </c>
      <c r="AP74" s="277">
        <v>0</v>
      </c>
      <c r="AQ74" s="277">
        <v>0</v>
      </c>
      <c r="AR74" s="277">
        <v>0</v>
      </c>
      <c r="AS74" s="275">
        <v>0</v>
      </c>
      <c r="AT74" s="277">
        <v>3440.462003850032</v>
      </c>
      <c r="AU74" s="277">
        <f t="shared" ref="AU74:AW74" si="133">AT74</f>
        <v>3440.462003850032</v>
      </c>
      <c r="AV74" s="277">
        <f t="shared" si="133"/>
        <v>3440.462003850032</v>
      </c>
      <c r="AW74" s="277">
        <f t="shared" si="133"/>
        <v>3440.462003850032</v>
      </c>
      <c r="AX74" s="277">
        <v>66.583829865248902</v>
      </c>
      <c r="AY74" s="277">
        <f t="shared" ref="AY74:BA74" si="134">AX74</f>
        <v>66.583829865248902</v>
      </c>
      <c r="AZ74" s="277">
        <f t="shared" si="134"/>
        <v>66.583829865248902</v>
      </c>
      <c r="BA74" s="277">
        <f t="shared" si="134"/>
        <v>66.583829865248902</v>
      </c>
      <c r="BB74" s="277">
        <v>7.0045833715281001</v>
      </c>
      <c r="BC74" s="277">
        <f t="shared" ref="BC74:BE74" si="135">BB74</f>
        <v>7.0045833715281001</v>
      </c>
      <c r="BD74" s="277">
        <f t="shared" si="135"/>
        <v>7.0045833715281001</v>
      </c>
      <c r="BE74" s="277">
        <f t="shared" si="135"/>
        <v>7.0045833715281001</v>
      </c>
      <c r="BF74" s="277">
        <v>0</v>
      </c>
      <c r="BG74" s="277">
        <v>0</v>
      </c>
      <c r="BH74" s="277">
        <v>0</v>
      </c>
      <c r="BI74" s="275">
        <v>0</v>
      </c>
      <c r="BJ74" s="277">
        <v>0</v>
      </c>
      <c r="BK74" s="277">
        <v>0</v>
      </c>
      <c r="BL74" s="277">
        <v>0</v>
      </c>
      <c r="BM74" s="275">
        <v>0</v>
      </c>
      <c r="BN74" s="277">
        <v>0</v>
      </c>
      <c r="BO74" s="277">
        <v>0</v>
      </c>
      <c r="BP74" s="277">
        <v>0</v>
      </c>
      <c r="BQ74" s="275">
        <v>0</v>
      </c>
      <c r="BR74" s="277">
        <f t="shared" si="113"/>
        <v>8.5810517220665614E-2</v>
      </c>
      <c r="BS74" s="277">
        <f t="shared" si="114"/>
        <v>8.5810517220665614E-2</v>
      </c>
      <c r="BT74" s="277">
        <f t="shared" si="115"/>
        <v>8.5810517220665614E-2</v>
      </c>
      <c r="BU74" s="275">
        <f t="shared" si="116"/>
        <v>8.5810517220665614E-2</v>
      </c>
      <c r="BV74" s="279">
        <v>25</v>
      </c>
      <c r="BW74" s="279">
        <v>25</v>
      </c>
      <c r="BX74" s="279">
        <v>25</v>
      </c>
      <c r="BY74" s="355">
        <v>25</v>
      </c>
      <c r="BZ74" s="280">
        <v>7.0000000000000007E-2</v>
      </c>
      <c r="CA74" s="280">
        <v>7.0000000000000007E-2</v>
      </c>
      <c r="CB74" s="280">
        <v>7.0000000000000007E-2</v>
      </c>
      <c r="CC74" s="280">
        <v>7.0000000000000007E-2</v>
      </c>
    </row>
    <row r="75" spans="1:81" s="277" customFormat="1" ht="14.5" customHeight="1" x14ac:dyDescent="0.35">
      <c r="A75" s="413"/>
      <c r="B75" s="270" t="s">
        <v>16</v>
      </c>
      <c r="C75" s="271" t="s">
        <v>184</v>
      </c>
      <c r="D75" s="272" t="s">
        <v>415</v>
      </c>
      <c r="E75" s="408" t="s">
        <v>86</v>
      </c>
      <c r="F75" s="6">
        <f t="shared" si="120"/>
        <v>70</v>
      </c>
      <c r="G75" s="273">
        <v>1</v>
      </c>
      <c r="H75" s="274" t="s">
        <v>396</v>
      </c>
      <c r="I75" s="274" t="s">
        <v>396</v>
      </c>
      <c r="J75" s="276">
        <v>0</v>
      </c>
      <c r="K75" s="276" t="s">
        <v>12</v>
      </c>
      <c r="L75" s="276">
        <v>0</v>
      </c>
      <c r="M75" s="276">
        <v>0</v>
      </c>
      <c r="N75" s="276">
        <v>0</v>
      </c>
      <c r="O75" s="276">
        <v>0</v>
      </c>
      <c r="P75" s="276">
        <v>0</v>
      </c>
      <c r="Q75" s="275">
        <v>2000000</v>
      </c>
      <c r="R75" s="277">
        <v>0</v>
      </c>
      <c r="S75" s="277">
        <v>0</v>
      </c>
      <c r="T75" s="277">
        <v>0</v>
      </c>
      <c r="U75" s="275">
        <v>0</v>
      </c>
      <c r="V75" s="277">
        <v>0</v>
      </c>
      <c r="W75" s="277">
        <v>0</v>
      </c>
      <c r="X75" s="277">
        <v>0</v>
      </c>
      <c r="Y75" s="275">
        <v>0</v>
      </c>
      <c r="Z75" s="277">
        <v>0</v>
      </c>
      <c r="AA75" s="277">
        <v>0</v>
      </c>
      <c r="AB75" s="277">
        <v>0</v>
      </c>
      <c r="AC75" s="277">
        <v>0</v>
      </c>
      <c r="AD75" s="278">
        <v>0</v>
      </c>
      <c r="AE75" s="278">
        <v>0</v>
      </c>
      <c r="AF75" s="278">
        <v>0</v>
      </c>
      <c r="AG75" s="278">
        <v>0</v>
      </c>
      <c r="AH75" s="278">
        <v>1</v>
      </c>
      <c r="AI75" s="278">
        <v>1</v>
      </c>
      <c r="AJ75" s="278">
        <v>1</v>
      </c>
      <c r="AK75" s="278">
        <v>1</v>
      </c>
      <c r="AL75" s="278">
        <v>1</v>
      </c>
      <c r="AM75" s="278">
        <v>1</v>
      </c>
      <c r="AN75" s="278">
        <v>1</v>
      </c>
      <c r="AO75" s="360">
        <v>1</v>
      </c>
      <c r="AP75" s="277">
        <v>0</v>
      </c>
      <c r="AQ75" s="277">
        <v>0</v>
      </c>
      <c r="AR75" s="277">
        <v>0</v>
      </c>
      <c r="AS75" s="275">
        <v>0</v>
      </c>
      <c r="AT75" s="277">
        <v>3440.462003850032</v>
      </c>
      <c r="AU75" s="277">
        <f t="shared" ref="AU75:AW75" si="136">AT75</f>
        <v>3440.462003850032</v>
      </c>
      <c r="AV75" s="277">
        <f t="shared" si="136"/>
        <v>3440.462003850032</v>
      </c>
      <c r="AW75" s="277">
        <f t="shared" si="136"/>
        <v>3440.462003850032</v>
      </c>
      <c r="AX75" s="277">
        <v>67.583829865248902</v>
      </c>
      <c r="AY75" s="277">
        <f t="shared" ref="AY75:BA75" si="137">AX75</f>
        <v>67.583829865248902</v>
      </c>
      <c r="AZ75" s="277">
        <f t="shared" si="137"/>
        <v>67.583829865248902</v>
      </c>
      <c r="BA75" s="277">
        <f t="shared" si="137"/>
        <v>67.583829865248902</v>
      </c>
      <c r="BB75" s="277">
        <v>8.0045833715280992</v>
      </c>
      <c r="BC75" s="277">
        <f t="shared" ref="BC75:BE75" si="138">BB75</f>
        <v>8.0045833715280992</v>
      </c>
      <c r="BD75" s="277">
        <f t="shared" si="138"/>
        <v>8.0045833715280992</v>
      </c>
      <c r="BE75" s="277">
        <f t="shared" si="138"/>
        <v>8.0045833715280992</v>
      </c>
      <c r="BF75" s="277">
        <v>0</v>
      </c>
      <c r="BG75" s="277">
        <v>0</v>
      </c>
      <c r="BH75" s="277">
        <v>0</v>
      </c>
      <c r="BI75" s="275">
        <v>0</v>
      </c>
      <c r="BJ75" s="277">
        <v>0</v>
      </c>
      <c r="BK75" s="277">
        <v>0</v>
      </c>
      <c r="BL75" s="277">
        <v>0</v>
      </c>
      <c r="BM75" s="275">
        <v>0</v>
      </c>
      <c r="BN75" s="277">
        <v>0</v>
      </c>
      <c r="BO75" s="277">
        <v>0</v>
      </c>
      <c r="BP75" s="277">
        <v>0</v>
      </c>
      <c r="BQ75" s="275">
        <v>0</v>
      </c>
      <c r="BR75" s="277">
        <f t="shared" si="113"/>
        <v>8.5810517220665614E-2</v>
      </c>
      <c r="BS75" s="277">
        <f t="shared" si="114"/>
        <v>8.5810517220665614E-2</v>
      </c>
      <c r="BT75" s="277">
        <f t="shared" si="115"/>
        <v>8.5810517220665614E-2</v>
      </c>
      <c r="BU75" s="275">
        <f t="shared" si="116"/>
        <v>8.5810517220665614E-2</v>
      </c>
      <c r="BV75" s="279">
        <v>25</v>
      </c>
      <c r="BW75" s="279">
        <v>25</v>
      </c>
      <c r="BX75" s="279">
        <v>25</v>
      </c>
      <c r="BY75" s="355">
        <v>25</v>
      </c>
      <c r="BZ75" s="280">
        <v>7.0000000000000007E-2</v>
      </c>
      <c r="CA75" s="280">
        <v>7.0000000000000007E-2</v>
      </c>
      <c r="CB75" s="280">
        <v>7.0000000000000007E-2</v>
      </c>
      <c r="CC75" s="280">
        <v>7.0000000000000007E-2</v>
      </c>
    </row>
    <row r="76" spans="1:81" s="277" customFormat="1" ht="14.5" customHeight="1" x14ac:dyDescent="0.35">
      <c r="A76" s="413"/>
      <c r="B76" s="270" t="s">
        <v>16</v>
      </c>
      <c r="C76" s="271" t="s">
        <v>184</v>
      </c>
      <c r="D76" s="272" t="s">
        <v>338</v>
      </c>
      <c r="E76" s="408" t="s">
        <v>86</v>
      </c>
      <c r="F76" s="6">
        <f t="shared" si="120"/>
        <v>71</v>
      </c>
      <c r="G76" s="273">
        <v>1</v>
      </c>
      <c r="H76" s="274" t="s">
        <v>396</v>
      </c>
      <c r="I76" s="274" t="s">
        <v>396</v>
      </c>
      <c r="J76" s="276">
        <v>0</v>
      </c>
      <c r="K76" s="276" t="s">
        <v>12</v>
      </c>
      <c r="L76" s="276">
        <v>0</v>
      </c>
      <c r="M76" s="276">
        <v>0</v>
      </c>
      <c r="N76" s="276">
        <v>0</v>
      </c>
      <c r="O76" s="276">
        <v>0</v>
      </c>
      <c r="P76" s="276">
        <v>0</v>
      </c>
      <c r="Q76" s="275">
        <v>2000000</v>
      </c>
      <c r="R76" s="277">
        <v>0</v>
      </c>
      <c r="S76" s="277">
        <v>0</v>
      </c>
      <c r="T76" s="277">
        <v>0</v>
      </c>
      <c r="U76" s="275">
        <v>0</v>
      </c>
      <c r="V76" s="277">
        <v>0</v>
      </c>
      <c r="W76" s="277">
        <v>0</v>
      </c>
      <c r="X76" s="277">
        <v>0</v>
      </c>
      <c r="Y76" s="275">
        <v>0</v>
      </c>
      <c r="Z76" s="277">
        <v>0</v>
      </c>
      <c r="AA76" s="277">
        <v>0</v>
      </c>
      <c r="AB76" s="277">
        <v>0</v>
      </c>
      <c r="AC76" s="277">
        <v>0</v>
      </c>
      <c r="AD76" s="278">
        <v>0</v>
      </c>
      <c r="AE76" s="278">
        <v>0</v>
      </c>
      <c r="AF76" s="278">
        <v>0</v>
      </c>
      <c r="AG76" s="278">
        <v>0</v>
      </c>
      <c r="AH76" s="278">
        <v>1</v>
      </c>
      <c r="AI76" s="278">
        <v>1</v>
      </c>
      <c r="AJ76" s="278">
        <v>1</v>
      </c>
      <c r="AK76" s="278">
        <v>1</v>
      </c>
      <c r="AL76" s="278">
        <v>1</v>
      </c>
      <c r="AM76" s="278">
        <v>1</v>
      </c>
      <c r="AN76" s="278">
        <v>1</v>
      </c>
      <c r="AO76" s="360">
        <v>1</v>
      </c>
      <c r="AP76" s="277">
        <v>0</v>
      </c>
      <c r="AQ76" s="277">
        <v>0</v>
      </c>
      <c r="AR76" s="277">
        <v>0</v>
      </c>
      <c r="AS76" s="275">
        <v>0</v>
      </c>
      <c r="AT76" s="277">
        <v>3440.462003850032</v>
      </c>
      <c r="AU76" s="277">
        <f t="shared" ref="AU76:AW76" si="139">AT76</f>
        <v>3440.462003850032</v>
      </c>
      <c r="AV76" s="277">
        <f t="shared" si="139"/>
        <v>3440.462003850032</v>
      </c>
      <c r="AW76" s="277">
        <f t="shared" si="139"/>
        <v>3440.462003850032</v>
      </c>
      <c r="AX76" s="277">
        <v>68.583829865248902</v>
      </c>
      <c r="AY76" s="277">
        <f t="shared" ref="AY76:BA76" si="140">AX76</f>
        <v>68.583829865248902</v>
      </c>
      <c r="AZ76" s="277">
        <f t="shared" si="140"/>
        <v>68.583829865248902</v>
      </c>
      <c r="BA76" s="277">
        <f t="shared" si="140"/>
        <v>68.583829865248902</v>
      </c>
      <c r="BB76" s="277">
        <v>9.0045833715280992</v>
      </c>
      <c r="BC76" s="277">
        <f t="shared" ref="BC76:BE76" si="141">BB76</f>
        <v>9.0045833715280992</v>
      </c>
      <c r="BD76" s="277">
        <f t="shared" si="141"/>
        <v>9.0045833715280992</v>
      </c>
      <c r="BE76" s="277">
        <f t="shared" si="141"/>
        <v>9.0045833715280992</v>
      </c>
      <c r="BF76" s="277">
        <v>0</v>
      </c>
      <c r="BG76" s="277">
        <v>0</v>
      </c>
      <c r="BH76" s="277">
        <v>0</v>
      </c>
      <c r="BI76" s="275">
        <v>0</v>
      </c>
      <c r="BJ76" s="277">
        <v>0</v>
      </c>
      <c r="BK76" s="277">
        <v>0</v>
      </c>
      <c r="BL76" s="277">
        <v>0</v>
      </c>
      <c r="BM76" s="275">
        <v>0</v>
      </c>
      <c r="BN76" s="277">
        <v>0</v>
      </c>
      <c r="BO76" s="277">
        <v>0</v>
      </c>
      <c r="BP76" s="277">
        <v>0</v>
      </c>
      <c r="BQ76" s="275">
        <v>0</v>
      </c>
      <c r="BR76" s="277">
        <f t="shared" si="113"/>
        <v>8.5810517220665614E-2</v>
      </c>
      <c r="BS76" s="277">
        <f t="shared" si="114"/>
        <v>8.5810517220665614E-2</v>
      </c>
      <c r="BT76" s="277">
        <f t="shared" si="115"/>
        <v>8.5810517220665614E-2</v>
      </c>
      <c r="BU76" s="275">
        <f t="shared" si="116"/>
        <v>8.5810517220665614E-2</v>
      </c>
      <c r="BV76" s="279">
        <v>25</v>
      </c>
      <c r="BW76" s="279">
        <v>25</v>
      </c>
      <c r="BX76" s="279">
        <v>25</v>
      </c>
      <c r="BY76" s="355">
        <v>25</v>
      </c>
      <c r="BZ76" s="280">
        <v>7.0000000000000007E-2</v>
      </c>
      <c r="CA76" s="280">
        <v>7.0000000000000007E-2</v>
      </c>
      <c r="CB76" s="280">
        <v>7.0000000000000007E-2</v>
      </c>
      <c r="CC76" s="280">
        <v>7.0000000000000007E-2</v>
      </c>
    </row>
    <row r="77" spans="1:81" ht="14.5" customHeight="1" x14ac:dyDescent="0.35">
      <c r="A77" s="413"/>
      <c r="B77" s="171" t="s">
        <v>184</v>
      </c>
      <c r="C77" s="7" t="s">
        <v>184</v>
      </c>
      <c r="D77" s="169" t="s">
        <v>339</v>
      </c>
      <c r="E77" s="25" t="s">
        <v>86</v>
      </c>
      <c r="F77" s="6">
        <f t="shared" si="120"/>
        <v>72</v>
      </c>
      <c r="G77" s="108">
        <v>1</v>
      </c>
      <c r="H77" s="120" t="s">
        <v>12</v>
      </c>
      <c r="I77" s="120" t="s">
        <v>12</v>
      </c>
      <c r="J77" s="121">
        <v>0</v>
      </c>
      <c r="K77" s="121" t="s">
        <v>12</v>
      </c>
      <c r="L77" s="121">
        <v>1</v>
      </c>
      <c r="M77" s="121">
        <v>0</v>
      </c>
      <c r="N77" s="121">
        <v>0</v>
      </c>
      <c r="O77" s="121">
        <v>0</v>
      </c>
      <c r="P77" s="121">
        <v>-1</v>
      </c>
      <c r="Q77" s="15">
        <v>2000000</v>
      </c>
      <c r="R77">
        <v>0</v>
      </c>
      <c r="S77">
        <v>0</v>
      </c>
      <c r="T77">
        <v>0</v>
      </c>
      <c r="U77" s="15">
        <v>0</v>
      </c>
      <c r="V77">
        <v>0</v>
      </c>
      <c r="W77">
        <v>0</v>
      </c>
      <c r="X77">
        <v>0</v>
      </c>
      <c r="Y77" s="15">
        <v>0</v>
      </c>
      <c r="Z77">
        <v>0</v>
      </c>
      <c r="AA77">
        <v>0</v>
      </c>
      <c r="AB77">
        <v>0</v>
      </c>
      <c r="AC77">
        <v>0</v>
      </c>
      <c r="AD77" s="170">
        <v>0</v>
      </c>
      <c r="AE77" s="170">
        <v>0</v>
      </c>
      <c r="AF77" s="170">
        <v>0</v>
      </c>
      <c r="AG77" s="170">
        <v>0</v>
      </c>
      <c r="AH77" s="170">
        <v>1</v>
      </c>
      <c r="AI77" s="170">
        <v>1</v>
      </c>
      <c r="AJ77" s="170">
        <v>1</v>
      </c>
      <c r="AK77" s="170">
        <v>1</v>
      </c>
      <c r="AL77" s="170">
        <v>1</v>
      </c>
      <c r="AM77" s="170">
        <v>1</v>
      </c>
      <c r="AN77" s="170">
        <v>1</v>
      </c>
      <c r="AO77" s="361">
        <v>1</v>
      </c>
      <c r="AP77">
        <v>0</v>
      </c>
      <c r="AQ77">
        <v>0</v>
      </c>
      <c r="AR77">
        <v>0</v>
      </c>
      <c r="AS77" s="15">
        <v>0</v>
      </c>
      <c r="AT77">
        <v>3440.462003850032</v>
      </c>
      <c r="AU77">
        <f t="shared" ref="AU77:AW77" si="142">AT77</f>
        <v>3440.462003850032</v>
      </c>
      <c r="AV77">
        <f t="shared" si="142"/>
        <v>3440.462003850032</v>
      </c>
      <c r="AW77">
        <f t="shared" si="142"/>
        <v>3440.462003850032</v>
      </c>
      <c r="AX77">
        <v>69.583829865248902</v>
      </c>
      <c r="AY77">
        <f t="shared" ref="AY77:BA77" si="143">AX77</f>
        <v>69.583829865248902</v>
      </c>
      <c r="AZ77">
        <f t="shared" si="143"/>
        <v>69.583829865248902</v>
      </c>
      <c r="BA77">
        <f t="shared" si="143"/>
        <v>69.583829865248902</v>
      </c>
      <c r="BB77">
        <v>10.004583371528099</v>
      </c>
      <c r="BC77">
        <f t="shared" ref="BC77:BE77" si="144">BB77</f>
        <v>10.004583371528099</v>
      </c>
      <c r="BD77">
        <f t="shared" si="144"/>
        <v>10.004583371528099</v>
      </c>
      <c r="BE77">
        <f t="shared" si="144"/>
        <v>10.004583371528099</v>
      </c>
      <c r="BF77">
        <v>0</v>
      </c>
      <c r="BG77">
        <v>0</v>
      </c>
      <c r="BH77">
        <v>0</v>
      </c>
      <c r="BI77" s="15">
        <v>0</v>
      </c>
      <c r="BJ77">
        <v>0</v>
      </c>
      <c r="BK77">
        <v>0</v>
      </c>
      <c r="BL77">
        <v>0</v>
      </c>
      <c r="BM77" s="15">
        <v>0</v>
      </c>
      <c r="BN77">
        <v>0</v>
      </c>
      <c r="BO77">
        <v>0</v>
      </c>
      <c r="BP77">
        <v>0</v>
      </c>
      <c r="BQ77" s="15">
        <v>0</v>
      </c>
      <c r="BR77">
        <f t="shared" si="113"/>
        <v>8.5810517220665614E-2</v>
      </c>
      <c r="BS77">
        <f t="shared" si="114"/>
        <v>8.5810517220665614E-2</v>
      </c>
      <c r="BT77">
        <f t="shared" si="115"/>
        <v>8.5810517220665614E-2</v>
      </c>
      <c r="BU77" s="15">
        <f t="shared" si="116"/>
        <v>8.5810517220665614E-2</v>
      </c>
      <c r="BV77" s="17">
        <v>25</v>
      </c>
      <c r="BW77" s="17">
        <v>25</v>
      </c>
      <c r="BX77" s="17">
        <v>25</v>
      </c>
      <c r="BY77" s="166">
        <v>25</v>
      </c>
      <c r="BZ77" s="9">
        <v>7.0000000000000007E-2</v>
      </c>
      <c r="CA77" s="9">
        <v>7.0000000000000007E-2</v>
      </c>
      <c r="CB77" s="9">
        <v>7.0000000000000007E-2</v>
      </c>
      <c r="CC77" s="9">
        <v>7.0000000000000007E-2</v>
      </c>
    </row>
    <row r="78" spans="1:81" s="213" customFormat="1" x14ac:dyDescent="0.35">
      <c r="A78" s="413"/>
      <c r="B78" s="281" t="s">
        <v>18</v>
      </c>
      <c r="C78" s="207" t="s">
        <v>23</v>
      </c>
      <c r="D78" s="282" t="s">
        <v>32</v>
      </c>
      <c r="E78" s="409" t="s">
        <v>86</v>
      </c>
      <c r="F78" s="6">
        <f t="shared" si="120"/>
        <v>73</v>
      </c>
      <c r="G78" s="208">
        <v>1</v>
      </c>
      <c r="H78" s="209" t="s">
        <v>395</v>
      </c>
      <c r="I78" s="209" t="s">
        <v>396</v>
      </c>
      <c r="J78" s="212">
        <v>0</v>
      </c>
      <c r="K78" s="212" t="s">
        <v>12</v>
      </c>
      <c r="L78" s="212">
        <v>1</v>
      </c>
      <c r="M78" s="212">
        <v>0</v>
      </c>
      <c r="N78" s="326">
        <v>0</v>
      </c>
      <c r="O78" s="212">
        <v>0</v>
      </c>
      <c r="P78" s="212">
        <v>0</v>
      </c>
      <c r="Q78" s="210">
        <f t="shared" si="92"/>
        <v>2000000</v>
      </c>
      <c r="R78" s="233">
        <v>0</v>
      </c>
      <c r="S78" s="233">
        <v>0</v>
      </c>
      <c r="T78" s="233">
        <v>0</v>
      </c>
      <c r="U78" s="232">
        <v>0</v>
      </c>
      <c r="V78" s="213">
        <v>0</v>
      </c>
      <c r="W78" s="213">
        <v>0</v>
      </c>
      <c r="X78" s="213">
        <v>0</v>
      </c>
      <c r="Y78" s="210">
        <v>0</v>
      </c>
      <c r="Z78" s="213">
        <v>0</v>
      </c>
      <c r="AA78" s="213">
        <v>0</v>
      </c>
      <c r="AB78" s="213">
        <v>0</v>
      </c>
      <c r="AC78" s="210">
        <v>0</v>
      </c>
      <c r="AD78" s="214">
        <v>0</v>
      </c>
      <c r="AE78" s="214">
        <v>0</v>
      </c>
      <c r="AF78" s="214">
        <v>0</v>
      </c>
      <c r="AG78" s="215">
        <v>0</v>
      </c>
      <c r="AH78" s="214">
        <v>1</v>
      </c>
      <c r="AI78" s="214">
        <v>1</v>
      </c>
      <c r="AJ78" s="214">
        <v>1</v>
      </c>
      <c r="AK78" s="215">
        <v>1</v>
      </c>
      <c r="AL78" s="214">
        <v>1</v>
      </c>
      <c r="AM78" s="214">
        <v>1</v>
      </c>
      <c r="AN78" s="214">
        <v>1</v>
      </c>
      <c r="AO78" s="215">
        <v>1</v>
      </c>
      <c r="AP78" s="213">
        <v>0</v>
      </c>
      <c r="AQ78" s="213">
        <v>0</v>
      </c>
      <c r="AR78" s="213">
        <v>0</v>
      </c>
      <c r="AS78" s="210">
        <v>0</v>
      </c>
      <c r="AT78" s="213">
        <v>180</v>
      </c>
      <c r="AU78" s="213">
        <v>180</v>
      </c>
      <c r="AV78" s="213">
        <v>180</v>
      </c>
      <c r="AW78" s="210">
        <v>180</v>
      </c>
      <c r="AX78" s="213">
        <v>0</v>
      </c>
      <c r="AY78" s="213">
        <v>0</v>
      </c>
      <c r="AZ78" s="213">
        <v>0</v>
      </c>
      <c r="BA78" s="210">
        <v>0</v>
      </c>
      <c r="BB78" s="213">
        <v>1.6649999999999998E-2</v>
      </c>
      <c r="BC78" s="213">
        <v>1.6649999999999998E-2</v>
      </c>
      <c r="BD78" s="213">
        <v>1.6649999999999998E-2</v>
      </c>
      <c r="BE78" s="210">
        <v>1.6649999999999998E-2</v>
      </c>
      <c r="BF78" s="213">
        <v>0</v>
      </c>
      <c r="BG78" s="213">
        <v>0</v>
      </c>
      <c r="BH78" s="213">
        <v>0</v>
      </c>
      <c r="BI78" s="210">
        <v>0</v>
      </c>
      <c r="BJ78" s="213">
        <v>0</v>
      </c>
      <c r="BK78" s="213">
        <v>0</v>
      </c>
      <c r="BL78" s="213">
        <v>0</v>
      </c>
      <c r="BM78" s="210">
        <v>0</v>
      </c>
      <c r="BN78" s="213">
        <v>0</v>
      </c>
      <c r="BO78" s="213">
        <v>0</v>
      </c>
      <c r="BP78" s="213">
        <v>0</v>
      </c>
      <c r="BQ78" s="210">
        <v>0</v>
      </c>
      <c r="BR78" s="213">
        <f t="shared" si="113"/>
        <v>8.8827433387272267E-2</v>
      </c>
      <c r="BS78" s="213">
        <f t="shared" si="114"/>
        <v>8.8827433387272267E-2</v>
      </c>
      <c r="BT78" s="213">
        <f t="shared" si="115"/>
        <v>8.8827433387272267E-2</v>
      </c>
      <c r="BU78" s="210">
        <f t="shared" si="116"/>
        <v>8.8827433387272267E-2</v>
      </c>
      <c r="BV78" s="216">
        <v>30</v>
      </c>
      <c r="BW78" s="216">
        <v>30</v>
      </c>
      <c r="BX78" s="216">
        <v>30</v>
      </c>
      <c r="BY78" s="211">
        <v>30</v>
      </c>
      <c r="BZ78" s="214">
        <v>0.08</v>
      </c>
      <c r="CA78" s="214">
        <v>0.08</v>
      </c>
      <c r="CB78" s="214">
        <v>0.08</v>
      </c>
      <c r="CC78" s="214">
        <v>0.08</v>
      </c>
    </row>
    <row r="79" spans="1:81" s="213" customFormat="1" x14ac:dyDescent="0.35">
      <c r="A79" s="413"/>
      <c r="B79" s="281" t="s">
        <v>159</v>
      </c>
      <c r="C79" s="207" t="s">
        <v>24</v>
      </c>
      <c r="D79" s="282" t="s">
        <v>185</v>
      </c>
      <c r="E79" s="409" t="s">
        <v>86</v>
      </c>
      <c r="F79" s="6">
        <f t="shared" si="120"/>
        <v>74</v>
      </c>
      <c r="G79" s="208">
        <v>1</v>
      </c>
      <c r="H79" s="209" t="s">
        <v>395</v>
      </c>
      <c r="I79" s="209" t="s">
        <v>396</v>
      </c>
      <c r="J79" s="212">
        <v>0</v>
      </c>
      <c r="K79" s="212" t="s">
        <v>12</v>
      </c>
      <c r="L79" s="212">
        <v>-1</v>
      </c>
      <c r="M79" s="212">
        <v>0</v>
      </c>
      <c r="N79" s="326">
        <v>0</v>
      </c>
      <c r="O79" s="212">
        <v>0</v>
      </c>
      <c r="P79" s="212">
        <v>0</v>
      </c>
      <c r="Q79" s="210">
        <v>24000</v>
      </c>
      <c r="R79" s="213">
        <v>0</v>
      </c>
      <c r="S79" s="213">
        <v>0</v>
      </c>
      <c r="T79" s="213">
        <v>0</v>
      </c>
      <c r="U79" s="210">
        <v>0</v>
      </c>
      <c r="V79" s="213">
        <v>0</v>
      </c>
      <c r="W79" s="213">
        <v>0</v>
      </c>
      <c r="X79" s="213">
        <v>0</v>
      </c>
      <c r="Y79" s="210">
        <v>0</v>
      </c>
      <c r="Z79" s="213">
        <v>0</v>
      </c>
      <c r="AA79" s="213">
        <v>0</v>
      </c>
      <c r="AB79" s="213">
        <v>0</v>
      </c>
      <c r="AC79" s="210">
        <v>0</v>
      </c>
      <c r="AD79" s="214">
        <v>0</v>
      </c>
      <c r="AE79" s="214">
        <v>0</v>
      </c>
      <c r="AF79" s="214">
        <v>0</v>
      </c>
      <c r="AG79" s="215">
        <v>0</v>
      </c>
      <c r="AH79" s="214">
        <v>1</v>
      </c>
      <c r="AI79" s="214">
        <v>1</v>
      </c>
      <c r="AJ79" s="214">
        <v>1</v>
      </c>
      <c r="AK79" s="215">
        <v>1</v>
      </c>
      <c r="AL79" s="214">
        <v>1</v>
      </c>
      <c r="AM79" s="214">
        <v>1</v>
      </c>
      <c r="AN79" s="214">
        <v>1</v>
      </c>
      <c r="AO79" s="215">
        <v>1</v>
      </c>
      <c r="AP79" s="213">
        <v>0</v>
      </c>
      <c r="AQ79" s="213">
        <v>0</v>
      </c>
      <c r="AR79" s="213">
        <v>0</v>
      </c>
      <c r="AS79" s="210">
        <v>0</v>
      </c>
      <c r="AT79" s="213">
        <v>0</v>
      </c>
      <c r="AU79" s="213">
        <v>0</v>
      </c>
      <c r="AV79" s="213">
        <v>0</v>
      </c>
      <c r="AW79" s="210">
        <v>0</v>
      </c>
      <c r="AX79" s="213">
        <v>0</v>
      </c>
      <c r="AY79" s="213">
        <v>0</v>
      </c>
      <c r="AZ79" s="213">
        <v>0</v>
      </c>
      <c r="BA79" s="210">
        <v>0</v>
      </c>
      <c r="BB79" s="213">
        <v>0</v>
      </c>
      <c r="BC79" s="213">
        <v>0</v>
      </c>
      <c r="BD79" s="213">
        <v>0</v>
      </c>
      <c r="BE79" s="210">
        <v>0</v>
      </c>
      <c r="BF79" s="213">
        <v>0</v>
      </c>
      <c r="BG79" s="213">
        <v>0</v>
      </c>
      <c r="BH79" s="213">
        <v>0</v>
      </c>
      <c r="BI79" s="210">
        <v>0</v>
      </c>
      <c r="BJ79" s="213">
        <v>0</v>
      </c>
      <c r="BK79" s="213">
        <v>0</v>
      </c>
      <c r="BL79" s="213">
        <v>0</v>
      </c>
      <c r="BM79" s="210">
        <v>0</v>
      </c>
      <c r="BN79" s="213">
        <v>0</v>
      </c>
      <c r="BO79" s="213">
        <v>0</v>
      </c>
      <c r="BP79" s="213">
        <v>0</v>
      </c>
      <c r="BQ79" s="210">
        <v>0</v>
      </c>
      <c r="BR79" s="213">
        <f t="shared" si="113"/>
        <v>0</v>
      </c>
      <c r="BS79" s="213">
        <v>0</v>
      </c>
      <c r="BT79" s="213">
        <v>0</v>
      </c>
      <c r="BU79" s="210">
        <v>0</v>
      </c>
      <c r="BV79" s="213">
        <v>0</v>
      </c>
      <c r="BW79" s="213">
        <v>0</v>
      </c>
      <c r="BX79" s="213">
        <v>0</v>
      </c>
      <c r="BY79" s="210">
        <v>0</v>
      </c>
      <c r="BZ79" s="214">
        <v>0.08</v>
      </c>
      <c r="CA79" s="214">
        <v>0.08</v>
      </c>
      <c r="CB79" s="214">
        <v>0.08</v>
      </c>
      <c r="CC79" s="214">
        <v>0.08</v>
      </c>
    </row>
    <row r="80" spans="1:81" s="37" customFormat="1" x14ac:dyDescent="0.35">
      <c r="A80" s="413"/>
      <c r="B80" s="248" t="s">
        <v>14</v>
      </c>
      <c r="C80" s="234" t="s">
        <v>184</v>
      </c>
      <c r="D80" s="249" t="s">
        <v>33</v>
      </c>
      <c r="E80" s="403" t="s">
        <v>86</v>
      </c>
      <c r="F80" s="6">
        <f t="shared" si="120"/>
        <v>75</v>
      </c>
      <c r="G80" s="220">
        <v>1</v>
      </c>
      <c r="H80" s="221" t="s">
        <v>395</v>
      </c>
      <c r="I80" s="221" t="s">
        <v>396</v>
      </c>
      <c r="J80" s="224">
        <v>0</v>
      </c>
      <c r="K80" s="224" t="s">
        <v>12</v>
      </c>
      <c r="L80" s="224">
        <v>-1</v>
      </c>
      <c r="M80" s="224">
        <v>0</v>
      </c>
      <c r="N80" s="323">
        <v>0</v>
      </c>
      <c r="O80" s="224">
        <v>0</v>
      </c>
      <c r="P80" s="224">
        <v>0</v>
      </c>
      <c r="Q80" s="222">
        <f>Q82/2</f>
        <v>10000000</v>
      </c>
      <c r="R80" s="236">
        <v>0</v>
      </c>
      <c r="S80" s="236">
        <v>0</v>
      </c>
      <c r="T80" s="236">
        <v>0</v>
      </c>
      <c r="U80" s="235">
        <v>0</v>
      </c>
      <c r="V80" s="37">
        <v>0</v>
      </c>
      <c r="W80" s="37">
        <v>0</v>
      </c>
      <c r="X80" s="37">
        <v>0</v>
      </c>
      <c r="Y80" s="222">
        <v>0</v>
      </c>
      <c r="Z80" s="37">
        <v>0</v>
      </c>
      <c r="AA80" s="37">
        <v>0</v>
      </c>
      <c r="AB80" s="37">
        <v>0</v>
      </c>
      <c r="AC80" s="222">
        <v>0</v>
      </c>
      <c r="AD80" s="225">
        <v>0</v>
      </c>
      <c r="AE80" s="225">
        <v>0</v>
      </c>
      <c r="AF80" s="225">
        <v>0</v>
      </c>
      <c r="AG80" s="226">
        <v>0</v>
      </c>
      <c r="AH80" s="225">
        <v>1</v>
      </c>
      <c r="AI80" s="225">
        <v>1</v>
      </c>
      <c r="AJ80" s="225">
        <v>1</v>
      </c>
      <c r="AK80" s="226">
        <v>1</v>
      </c>
      <c r="AL80" s="225">
        <v>1</v>
      </c>
      <c r="AM80" s="225">
        <v>1</v>
      </c>
      <c r="AN80" s="225">
        <v>1</v>
      </c>
      <c r="AO80" s="226">
        <v>1</v>
      </c>
      <c r="AP80" s="37">
        <v>0.06</v>
      </c>
      <c r="AQ80" s="37">
        <v>0.05</v>
      </c>
      <c r="AR80" s="37">
        <f>(AQ80+AS80)/2</f>
        <v>3.7500000000000006E-2</v>
      </c>
      <c r="AS80" s="222">
        <v>2.5000000000000001E-2</v>
      </c>
      <c r="AT80" s="37">
        <v>0</v>
      </c>
      <c r="AU80" s="37">
        <v>0</v>
      </c>
      <c r="AV80" s="37">
        <v>0</v>
      </c>
      <c r="AW80" s="222">
        <v>0</v>
      </c>
      <c r="AX80" s="37">
        <v>0</v>
      </c>
      <c r="AY80" s="37">
        <v>0</v>
      </c>
      <c r="AZ80" s="37">
        <v>0</v>
      </c>
      <c r="BA80" s="222">
        <v>0</v>
      </c>
      <c r="BB80" s="37">
        <v>0</v>
      </c>
      <c r="BC80" s="37">
        <v>0</v>
      </c>
      <c r="BD80" s="37">
        <v>0</v>
      </c>
      <c r="BE80" s="222">
        <v>0</v>
      </c>
      <c r="BF80" s="37">
        <v>0</v>
      </c>
      <c r="BG80" s="37">
        <v>0</v>
      </c>
      <c r="BH80" s="37">
        <v>0</v>
      </c>
      <c r="BI80" s="222">
        <v>0</v>
      </c>
      <c r="BJ80" s="37">
        <v>0</v>
      </c>
      <c r="BK80" s="37">
        <v>0</v>
      </c>
      <c r="BL80" s="37">
        <v>0</v>
      </c>
      <c r="BM80" s="222">
        <v>0</v>
      </c>
      <c r="BN80" s="37">
        <v>0</v>
      </c>
      <c r="BO80" s="37">
        <v>0</v>
      </c>
      <c r="BP80" s="37">
        <v>0</v>
      </c>
      <c r="BQ80" s="222">
        <v>0</v>
      </c>
      <c r="BR80" s="37">
        <f t="shared" si="113"/>
        <v>0</v>
      </c>
      <c r="BS80" s="37">
        <v>0</v>
      </c>
      <c r="BT80" s="37">
        <v>0</v>
      </c>
      <c r="BU80" s="222">
        <v>0</v>
      </c>
      <c r="BV80" s="37">
        <v>0</v>
      </c>
      <c r="BW80" s="37">
        <v>0</v>
      </c>
      <c r="BX80" s="37">
        <v>0</v>
      </c>
      <c r="BY80" s="222">
        <v>0</v>
      </c>
      <c r="BZ80" s="225">
        <v>0.08</v>
      </c>
      <c r="CA80" s="225">
        <v>0.08</v>
      </c>
      <c r="CB80" s="225">
        <v>0.08</v>
      </c>
      <c r="CC80" s="225">
        <v>0.08</v>
      </c>
    </row>
    <row r="81" spans="1:81" s="37" customFormat="1" x14ac:dyDescent="0.35">
      <c r="A81" s="413"/>
      <c r="B81" s="248" t="s">
        <v>15</v>
      </c>
      <c r="C81" s="234" t="s">
        <v>184</v>
      </c>
      <c r="D81" s="249" t="s">
        <v>34</v>
      </c>
      <c r="E81" s="403" t="s">
        <v>86</v>
      </c>
      <c r="F81" s="6">
        <f t="shared" si="120"/>
        <v>76</v>
      </c>
      <c r="G81" s="220">
        <v>1</v>
      </c>
      <c r="H81" s="221" t="s">
        <v>395</v>
      </c>
      <c r="I81" s="221" t="s">
        <v>396</v>
      </c>
      <c r="J81" s="224">
        <v>0</v>
      </c>
      <c r="K81" s="224" t="s">
        <v>12</v>
      </c>
      <c r="L81" s="224">
        <v>1</v>
      </c>
      <c r="M81" s="224">
        <v>0</v>
      </c>
      <c r="N81" s="323">
        <v>0</v>
      </c>
      <c r="O81" s="224">
        <v>0</v>
      </c>
      <c r="P81" s="224">
        <v>0</v>
      </c>
      <c r="Q81" s="222">
        <f>3*Q82</f>
        <v>60000000</v>
      </c>
      <c r="R81" s="236">
        <v>0</v>
      </c>
      <c r="S81" s="236">
        <v>0</v>
      </c>
      <c r="T81" s="236">
        <v>0</v>
      </c>
      <c r="U81" s="235">
        <v>0</v>
      </c>
      <c r="V81" s="37">
        <v>0</v>
      </c>
      <c r="W81" s="37">
        <v>0</v>
      </c>
      <c r="X81" s="37">
        <v>0</v>
      </c>
      <c r="Y81" s="222">
        <v>0</v>
      </c>
      <c r="Z81" s="37">
        <v>0</v>
      </c>
      <c r="AA81" s="37">
        <v>0</v>
      </c>
      <c r="AB81" s="37">
        <v>0</v>
      </c>
      <c r="AC81" s="222">
        <v>0</v>
      </c>
      <c r="AD81" s="225">
        <v>0</v>
      </c>
      <c r="AE81" s="225">
        <v>0</v>
      </c>
      <c r="AF81" s="225">
        <v>0</v>
      </c>
      <c r="AG81" s="226">
        <v>0</v>
      </c>
      <c r="AH81" s="225">
        <v>1</v>
      </c>
      <c r="AI81" s="225">
        <v>1</v>
      </c>
      <c r="AJ81" s="225">
        <v>1</v>
      </c>
      <c r="AK81" s="226">
        <v>1</v>
      </c>
      <c r="AL81" s="225">
        <v>1</v>
      </c>
      <c r="AM81" s="225">
        <v>1</v>
      </c>
      <c r="AN81" s="225">
        <v>1</v>
      </c>
      <c r="AO81" s="226">
        <v>1</v>
      </c>
      <c r="AP81" s="37">
        <v>0.06</v>
      </c>
      <c r="AQ81" s="37">
        <v>0.05</v>
      </c>
      <c r="AR81" s="37">
        <f>(AQ81+AS81)/2</f>
        <v>3.7500000000000006E-2</v>
      </c>
      <c r="AS81" s="222">
        <v>2.5000000000000001E-2</v>
      </c>
      <c r="AT81" s="37">
        <v>0</v>
      </c>
      <c r="AU81" s="37">
        <v>0</v>
      </c>
      <c r="AV81" s="37">
        <v>0</v>
      </c>
      <c r="AW81" s="222">
        <v>0</v>
      </c>
      <c r="AX81" s="37">
        <v>0</v>
      </c>
      <c r="AY81" s="37">
        <v>0</v>
      </c>
      <c r="AZ81" s="37">
        <v>0</v>
      </c>
      <c r="BA81" s="222">
        <v>0</v>
      </c>
      <c r="BB81" s="37">
        <v>0</v>
      </c>
      <c r="BC81" s="37">
        <v>0</v>
      </c>
      <c r="BD81" s="37">
        <v>0</v>
      </c>
      <c r="BE81" s="222">
        <v>0</v>
      </c>
      <c r="BF81" s="37">
        <v>0</v>
      </c>
      <c r="BG81" s="37">
        <v>0</v>
      </c>
      <c r="BH81" s="37">
        <v>0</v>
      </c>
      <c r="BI81" s="222">
        <v>0</v>
      </c>
      <c r="BJ81" s="37">
        <v>0</v>
      </c>
      <c r="BK81" s="37">
        <v>0</v>
      </c>
      <c r="BL81" s="37">
        <v>0</v>
      </c>
      <c r="BM81" s="222">
        <v>0</v>
      </c>
      <c r="BN81" s="37">
        <v>0</v>
      </c>
      <c r="BO81" s="37">
        <v>0</v>
      </c>
      <c r="BP81" s="37">
        <v>0</v>
      </c>
      <c r="BQ81" s="222">
        <v>0</v>
      </c>
      <c r="BR81" s="37">
        <f t="shared" si="113"/>
        <v>0</v>
      </c>
      <c r="BS81" s="37">
        <v>0</v>
      </c>
      <c r="BT81" s="37">
        <v>0</v>
      </c>
      <c r="BU81" s="222">
        <v>0</v>
      </c>
      <c r="BV81" s="37">
        <v>0</v>
      </c>
      <c r="BW81" s="37">
        <v>0</v>
      </c>
      <c r="BX81" s="37">
        <v>0</v>
      </c>
      <c r="BY81" s="222">
        <v>0</v>
      </c>
      <c r="BZ81" s="225">
        <v>0.08</v>
      </c>
      <c r="CA81" s="225">
        <v>0.08</v>
      </c>
      <c r="CB81" s="225">
        <v>0.08</v>
      </c>
      <c r="CC81" s="225">
        <v>0.08</v>
      </c>
    </row>
    <row r="82" spans="1:81" s="37" customFormat="1" x14ac:dyDescent="0.35">
      <c r="A82" s="413"/>
      <c r="B82" s="248" t="s">
        <v>16</v>
      </c>
      <c r="C82" s="234" t="s">
        <v>184</v>
      </c>
      <c r="D82" s="219" t="s">
        <v>35</v>
      </c>
      <c r="E82" s="403" t="s">
        <v>478</v>
      </c>
      <c r="F82" s="6">
        <f t="shared" si="120"/>
        <v>77</v>
      </c>
      <c r="G82" s="220">
        <v>1</v>
      </c>
      <c r="H82" s="221" t="s">
        <v>396</v>
      </c>
      <c r="I82" s="221" t="s">
        <v>396</v>
      </c>
      <c r="J82" s="224">
        <v>0</v>
      </c>
      <c r="K82" s="224" t="s">
        <v>12</v>
      </c>
      <c r="L82" s="224">
        <v>0</v>
      </c>
      <c r="M82" s="224">
        <v>0</v>
      </c>
      <c r="N82" s="323">
        <v>0</v>
      </c>
      <c r="O82" s="224">
        <v>0</v>
      </c>
      <c r="P82" s="224">
        <v>0</v>
      </c>
      <c r="Q82" s="222">
        <v>20000000</v>
      </c>
      <c r="R82" s="236">
        <v>0</v>
      </c>
      <c r="S82" s="236">
        <v>0</v>
      </c>
      <c r="T82" s="236">
        <v>0</v>
      </c>
      <c r="U82" s="235">
        <v>0</v>
      </c>
      <c r="V82" s="37">
        <v>0</v>
      </c>
      <c r="W82" s="37">
        <v>0</v>
      </c>
      <c r="X82" s="37">
        <v>0</v>
      </c>
      <c r="Y82" s="222">
        <v>0</v>
      </c>
      <c r="Z82" s="37">
        <v>0</v>
      </c>
      <c r="AA82" s="37">
        <v>0</v>
      </c>
      <c r="AB82" s="37">
        <v>0</v>
      </c>
      <c r="AC82" s="222">
        <v>0</v>
      </c>
      <c r="AD82" s="225">
        <v>0.1</v>
      </c>
      <c r="AE82" s="225">
        <v>0</v>
      </c>
      <c r="AF82" s="225">
        <v>0</v>
      </c>
      <c r="AG82" s="226">
        <v>0</v>
      </c>
      <c r="AH82" s="225">
        <v>1</v>
      </c>
      <c r="AI82" s="225">
        <v>1</v>
      </c>
      <c r="AJ82" s="225">
        <v>1</v>
      </c>
      <c r="AK82" s="226">
        <v>1</v>
      </c>
      <c r="AL82" s="225">
        <v>1</v>
      </c>
      <c r="AM82" s="225">
        <v>1</v>
      </c>
      <c r="AN82" s="225">
        <v>1</v>
      </c>
      <c r="AO82" s="226">
        <v>1</v>
      </c>
      <c r="AP82" s="37">
        <v>0</v>
      </c>
      <c r="AQ82" s="37">
        <v>0</v>
      </c>
      <c r="AR82" s="37">
        <v>0</v>
      </c>
      <c r="AS82" s="222">
        <v>0</v>
      </c>
      <c r="AT82" s="37">
        <v>550</v>
      </c>
      <c r="AU82" s="37">
        <v>180</v>
      </c>
      <c r="AV82" s="37">
        <f>(AU82+AW82)/2</f>
        <v>162.5</v>
      </c>
      <c r="AW82" s="222">
        <v>145</v>
      </c>
      <c r="AX82" s="37">
        <f>AT82*0.015</f>
        <v>8.25</v>
      </c>
      <c r="AY82" s="37">
        <f>AU82*0.015</f>
        <v>2.6999999999999997</v>
      </c>
      <c r="AZ82" s="37">
        <f>AV82*0.015</f>
        <v>2.4375</v>
      </c>
      <c r="BA82" s="222">
        <f>AW82*0.015</f>
        <v>2.1749999999999998</v>
      </c>
      <c r="BB82" s="37">
        <v>0</v>
      </c>
      <c r="BC82" s="37">
        <v>0</v>
      </c>
      <c r="BD82" s="37">
        <v>0</v>
      </c>
      <c r="BE82" s="222">
        <v>0</v>
      </c>
      <c r="BF82" s="37">
        <v>0</v>
      </c>
      <c r="BG82" s="37">
        <v>0</v>
      </c>
      <c r="BH82" s="37">
        <v>0</v>
      </c>
      <c r="BI82" s="222">
        <v>0</v>
      </c>
      <c r="BJ82" s="37">
        <v>2.64634920634921</v>
      </c>
      <c r="BK82" s="37">
        <v>0</v>
      </c>
      <c r="BL82" s="37">
        <v>0</v>
      </c>
      <c r="BM82" s="222">
        <v>0</v>
      </c>
      <c r="BN82" s="37">
        <v>0</v>
      </c>
      <c r="BO82" s="37">
        <v>0</v>
      </c>
      <c r="BP82" s="37">
        <v>0</v>
      </c>
      <c r="BQ82" s="222">
        <v>0</v>
      </c>
      <c r="BR82" s="37">
        <f t="shared" si="113"/>
        <v>0.11682954493601999</v>
      </c>
      <c r="BS82" s="37">
        <f t="shared" ref="BS82" si="145">IF(BW82&lt;&gt;0,(CA82*(1+CA82)^BW82)/((1+CA82)^BW82-1),0)</f>
        <v>0.10185220882315059</v>
      </c>
      <c r="BT82" s="37">
        <f t="shared" ref="BT82" si="146">IF(BX82&lt;&gt;0,(CB82*(1+CB82)^BX82)/((1+CB82)^BX82-1),0)</f>
        <v>9.3678779051968114E-2</v>
      </c>
      <c r="BU82" s="222">
        <f t="shared" ref="BU82" si="147">IF(BY82&lt;&gt;0,(CC82*(1+CC82)^BY82)/((1+CC82)^BY82-1),0)</f>
        <v>8.8827433387272267E-2</v>
      </c>
      <c r="BV82" s="229">
        <v>15</v>
      </c>
      <c r="BW82" s="229">
        <v>20</v>
      </c>
      <c r="BX82" s="229">
        <v>25</v>
      </c>
      <c r="BY82" s="223">
        <v>30</v>
      </c>
      <c r="BZ82" s="225">
        <v>0.08</v>
      </c>
      <c r="CA82" s="225">
        <v>0.08</v>
      </c>
      <c r="CB82" s="225">
        <v>0.08</v>
      </c>
      <c r="CC82" s="225">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G13" sqref="G13"/>
    </sheetView>
  </sheetViews>
  <sheetFormatPr defaultRowHeight="14.5" x14ac:dyDescent="0.35"/>
  <cols>
    <col min="1" max="1" width="33.453125" customWidth="1"/>
  </cols>
  <sheetData>
    <row r="1" spans="1:1" x14ac:dyDescent="0.35">
      <c r="A1" t="s">
        <v>416</v>
      </c>
    </row>
    <row r="2" spans="1:1" x14ac:dyDescent="0.35">
      <c r="A2" t="s">
        <v>418</v>
      </c>
    </row>
    <row r="3" spans="1:1" x14ac:dyDescent="0.35">
      <c r="A3" s="284" t="s">
        <v>463</v>
      </c>
    </row>
    <row r="5" spans="1:1" x14ac:dyDescent="0.35">
      <c r="A5" s="19" t="s">
        <v>417</v>
      </c>
    </row>
    <row r="6" spans="1:1" x14ac:dyDescent="0.35">
      <c r="A6" s="337" t="s">
        <v>36</v>
      </c>
    </row>
    <row r="7" spans="1:1" x14ac:dyDescent="0.35">
      <c r="A7" s="174" t="s">
        <v>41</v>
      </c>
    </row>
    <row r="8" spans="1:1" x14ac:dyDescent="0.35">
      <c r="A8" s="174" t="s">
        <v>42</v>
      </c>
    </row>
    <row r="9" spans="1:1" x14ac:dyDescent="0.35">
      <c r="A9" s="174" t="s">
        <v>43</v>
      </c>
    </row>
    <row r="10" spans="1:1" x14ac:dyDescent="0.35">
      <c r="A10" s="174" t="s">
        <v>44</v>
      </c>
    </row>
    <row r="11" spans="1:1" x14ac:dyDescent="0.35">
      <c r="A11" s="174" t="s">
        <v>45</v>
      </c>
    </row>
    <row r="12" spans="1:1" x14ac:dyDescent="0.35">
      <c r="A12" s="174" t="s">
        <v>46</v>
      </c>
    </row>
    <row r="13" spans="1:1" x14ac:dyDescent="0.35">
      <c r="A13" s="185" t="s">
        <v>47</v>
      </c>
    </row>
    <row r="14" spans="1:1" x14ac:dyDescent="0.35">
      <c r="A14" s="185" t="s">
        <v>48</v>
      </c>
    </row>
    <row r="15" spans="1:1" x14ac:dyDescent="0.35">
      <c r="A15" s="185" t="s">
        <v>49</v>
      </c>
    </row>
    <row r="16" spans="1:1" x14ac:dyDescent="0.35">
      <c r="A16" s="185"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6"/>
  <sheetViews>
    <sheetView workbookViewId="0">
      <selection activeCell="C16" sqref="C16"/>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441</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INDEX(Data_base_case!$D$5:$BU$82,MATCH(Scenarios_definition!C5,Data_base_case!$D$5:$D$82,0),MATCH(Scenarios_definition!D5&amp;Scenarios_definition!G5,Data_base_case!$D$4:$BU$4,0))</f>
        <v>1</v>
      </c>
    </row>
    <row r="6" spans="1:127" x14ac:dyDescent="0.35">
      <c r="A6" s="1" t="s">
        <v>293</v>
      </c>
      <c r="B6" s="1" t="s">
        <v>292</v>
      </c>
      <c r="C6" s="7" t="s">
        <v>32</v>
      </c>
      <c r="D6" s="1" t="s">
        <v>93</v>
      </c>
      <c r="E6" s="40" t="s">
        <v>95</v>
      </c>
      <c r="F6" s="1">
        <v>0</v>
      </c>
      <c r="G6" s="39" t="s">
        <v>95</v>
      </c>
      <c r="H6" s="1">
        <f>INDEX(Data_base_case!$D$5:$BU$82,MATCH(Scenarios_definition!C6,Data_base_case!$D$5:$D$82,0),MATCH(Scenarios_definition!D6&amp;Scenarios_definition!G6,Data_base_case!$D$4:$BU$4,0))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19"/>
  <sheetViews>
    <sheetView zoomScale="88" zoomScaleNormal="145" workbookViewId="0">
      <selection activeCell="T32" sqref="T32"/>
    </sheetView>
  </sheetViews>
  <sheetFormatPr defaultRowHeight="14.5" x14ac:dyDescent="0.35"/>
  <cols>
    <col min="1" max="1" width="15.08984375" bestFit="1" customWidth="1"/>
    <col min="2" max="2" width="31.54296875" customWidth="1"/>
    <col min="3" max="3" width="23.7265625" style="10" customWidth="1"/>
    <col min="4" max="4" width="13.1796875" style="10" customWidth="1"/>
    <col min="5" max="5" width="11.7265625" style="10" customWidth="1"/>
    <col min="6" max="6" width="11.1796875" style="10" customWidth="1"/>
    <col min="7" max="7" width="14.7265625" style="10" customWidth="1"/>
    <col min="8" max="8" width="15.36328125" style="10" customWidth="1"/>
    <col min="9" max="9" width="19.90625" style="10" customWidth="1"/>
    <col min="10" max="10" width="10.90625" style="10" customWidth="1"/>
    <col min="11" max="11" width="16.36328125" style="10" customWidth="1"/>
    <col min="12" max="12" width="18.08984375" style="10" customWidth="1"/>
    <col min="13" max="13" width="13" style="10" customWidth="1"/>
    <col min="14" max="14" width="15.7265625" style="10" customWidth="1"/>
    <col min="15" max="17" width="31.90625" style="10" customWidth="1"/>
    <col min="18" max="18" width="12.6328125" style="10" customWidth="1"/>
    <col min="19" max="19" width="13.453125" style="10" customWidth="1"/>
    <col min="20" max="20" width="15.7265625" style="10" customWidth="1"/>
    <col min="21" max="21" width="17.26953125" style="10" customWidth="1"/>
    <col min="22" max="22" width="18.45312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C1" s="10" t="s">
        <v>105</v>
      </c>
      <c r="X1" s="10"/>
      <c r="Y1" s="10"/>
      <c r="Z1" s="10"/>
    </row>
    <row r="2" spans="1:39" ht="16.5" customHeight="1" x14ac:dyDescent="0.35">
      <c r="B2" s="420" t="s">
        <v>110</v>
      </c>
      <c r="C2" s="421" t="s">
        <v>344</v>
      </c>
      <c r="D2" s="8" t="s">
        <v>173</v>
      </c>
      <c r="E2" s="8" t="s">
        <v>87</v>
      </c>
      <c r="F2" s="8" t="s">
        <v>317</v>
      </c>
      <c r="G2" s="8" t="s">
        <v>405</v>
      </c>
      <c r="H2" s="283" t="s">
        <v>410</v>
      </c>
      <c r="I2" s="8" t="s">
        <v>16</v>
      </c>
      <c r="J2" s="8">
        <v>2025</v>
      </c>
      <c r="K2" s="422" t="s">
        <v>127</v>
      </c>
      <c r="L2" s="422" t="s">
        <v>424</v>
      </c>
      <c r="M2" s="8" t="s">
        <v>179</v>
      </c>
      <c r="N2" s="420" t="s">
        <v>341</v>
      </c>
      <c r="O2" s="425" t="s">
        <v>343</v>
      </c>
      <c r="P2" s="96"/>
      <c r="Q2" s="96"/>
      <c r="R2" s="8" t="s">
        <v>117</v>
      </c>
      <c r="S2" s="8" t="s">
        <v>117</v>
      </c>
      <c r="T2" s="422" t="s">
        <v>175</v>
      </c>
      <c r="U2" s="423" t="s">
        <v>176</v>
      </c>
      <c r="V2" s="424" t="s">
        <v>178</v>
      </c>
      <c r="W2" s="420" t="s">
        <v>462</v>
      </c>
      <c r="X2" s="8" t="s">
        <v>152</v>
      </c>
      <c r="Y2" s="8" t="s">
        <v>152</v>
      </c>
      <c r="Z2" s="8" t="s">
        <v>106</v>
      </c>
    </row>
    <row r="3" spans="1:39" x14ac:dyDescent="0.35">
      <c r="B3" s="420"/>
      <c r="C3" s="421"/>
      <c r="D3" s="8" t="s">
        <v>442</v>
      </c>
      <c r="E3" s="8" t="s">
        <v>60</v>
      </c>
      <c r="F3" s="8" t="s">
        <v>318</v>
      </c>
      <c r="G3" s="8" t="s">
        <v>406</v>
      </c>
      <c r="H3" s="283" t="s">
        <v>414</v>
      </c>
      <c r="I3" s="8" t="s">
        <v>413</v>
      </c>
      <c r="J3" s="8">
        <v>2030</v>
      </c>
      <c r="K3" s="422"/>
      <c r="L3" s="422"/>
      <c r="M3" s="8" t="s">
        <v>180</v>
      </c>
      <c r="N3" s="420"/>
      <c r="O3" s="425"/>
      <c r="P3" s="96"/>
      <c r="Q3" s="96"/>
      <c r="T3" s="422"/>
      <c r="U3" s="423"/>
      <c r="V3" s="424"/>
      <c r="W3" s="420"/>
      <c r="X3" s="8"/>
      <c r="Y3" s="8"/>
      <c r="Z3" s="8"/>
    </row>
    <row r="4" spans="1:39" x14ac:dyDescent="0.35">
      <c r="B4" s="420"/>
      <c r="C4" s="421"/>
      <c r="D4" s="8" t="s">
        <v>443</v>
      </c>
      <c r="E4" s="8" t="s">
        <v>86</v>
      </c>
      <c r="F4" t="s">
        <v>461</v>
      </c>
      <c r="G4" s="8" t="s">
        <v>407</v>
      </c>
      <c r="H4" s="283" t="s">
        <v>411</v>
      </c>
      <c r="I4" s="8"/>
      <c r="J4" s="8">
        <v>2040</v>
      </c>
      <c r="K4" s="8"/>
      <c r="L4" s="422"/>
      <c r="M4" s="8" t="s">
        <v>172</v>
      </c>
      <c r="N4" s="420"/>
      <c r="O4" s="8"/>
      <c r="P4" s="8"/>
      <c r="Q4" s="8"/>
      <c r="R4" s="8"/>
      <c r="S4" s="8"/>
      <c r="T4" s="422"/>
      <c r="U4" s="423"/>
      <c r="V4" s="424"/>
      <c r="W4" s="420"/>
      <c r="X4" s="8"/>
      <c r="Y4" s="8"/>
      <c r="Z4" s="8"/>
    </row>
    <row r="5" spans="1:39" x14ac:dyDescent="0.35">
      <c r="B5" s="420"/>
      <c r="C5" s="421"/>
      <c r="D5" s="8" t="s">
        <v>444</v>
      </c>
      <c r="E5" s="8"/>
      <c r="F5" s="8" t="s">
        <v>319</v>
      </c>
      <c r="G5" s="8" t="s">
        <v>408</v>
      </c>
      <c r="H5" s="8"/>
      <c r="I5" s="8"/>
      <c r="J5" s="8">
        <v>2050</v>
      </c>
      <c r="K5" s="8"/>
      <c r="L5" s="26"/>
      <c r="M5" s="8"/>
      <c r="N5" s="25"/>
      <c r="O5" s="425" t="s">
        <v>342</v>
      </c>
      <c r="P5" s="96"/>
      <c r="Q5" s="96"/>
      <c r="R5" s="8"/>
      <c r="S5" s="8"/>
      <c r="T5" s="422"/>
      <c r="U5" s="423"/>
      <c r="V5" s="424"/>
      <c r="W5" s="420"/>
      <c r="X5" s="8"/>
      <c r="Y5" s="8"/>
      <c r="Z5" s="8"/>
    </row>
    <row r="6" spans="1:39" x14ac:dyDescent="0.35">
      <c r="B6" s="420"/>
      <c r="C6" s="421"/>
      <c r="D6" s="8" t="s">
        <v>445</v>
      </c>
      <c r="E6" s="8"/>
      <c r="F6" s="8" t="s">
        <v>86</v>
      </c>
      <c r="G6" s="8" t="s">
        <v>409</v>
      </c>
      <c r="H6" s="8"/>
      <c r="I6" s="8"/>
      <c r="J6" s="8"/>
      <c r="K6" s="8"/>
      <c r="L6" s="26"/>
      <c r="M6" s="8"/>
      <c r="N6" s="25"/>
      <c r="O6" s="425"/>
      <c r="P6" s="96"/>
      <c r="Q6" s="96"/>
      <c r="R6" s="8"/>
      <c r="S6" s="8"/>
      <c r="T6" s="422"/>
      <c r="U6" s="423"/>
      <c r="V6" s="424"/>
      <c r="W6" s="420"/>
      <c r="X6" s="8"/>
      <c r="Y6" s="8"/>
      <c r="Z6" s="8"/>
    </row>
    <row r="7" spans="1:39" x14ac:dyDescent="0.35">
      <c r="B7" s="420"/>
      <c r="C7" s="421"/>
      <c r="D7" s="8" t="s">
        <v>291</v>
      </c>
      <c r="E7" s="8"/>
      <c r="F7" s="8"/>
      <c r="G7" s="8"/>
      <c r="H7" s="8"/>
      <c r="I7" s="8"/>
      <c r="J7" s="8"/>
      <c r="K7" s="8"/>
      <c r="L7" s="8"/>
      <c r="N7" s="25"/>
      <c r="O7" s="425"/>
      <c r="P7" s="96"/>
      <c r="Q7" s="96"/>
      <c r="R7" s="8"/>
      <c r="S7" s="8"/>
      <c r="T7" s="422"/>
      <c r="U7" s="423"/>
      <c r="V7" s="424"/>
      <c r="W7" s="420"/>
      <c r="X7" s="12"/>
      <c r="Y7" s="12"/>
      <c r="Z7" s="12"/>
      <c r="AA7" s="95"/>
      <c r="AB7" s="12"/>
      <c r="AC7" s="12"/>
      <c r="AD7" s="12"/>
      <c r="AE7" s="12"/>
      <c r="AF7" s="12"/>
      <c r="AG7" s="12"/>
      <c r="AH7" s="12"/>
      <c r="AI7" s="12"/>
      <c r="AJ7" s="22"/>
      <c r="AK7" s="419" t="s">
        <v>107</v>
      </c>
      <c r="AL7" s="414"/>
      <c r="AM7" s="414"/>
    </row>
    <row r="8" spans="1:39" x14ac:dyDescent="0.35">
      <c r="B8" s="24"/>
      <c r="C8" s="25"/>
      <c r="D8" s="8" t="s">
        <v>275</v>
      </c>
      <c r="E8" s="8"/>
      <c r="F8" s="8"/>
      <c r="G8" s="8"/>
      <c r="H8" s="8"/>
      <c r="I8" s="8"/>
      <c r="J8" s="8"/>
      <c r="K8" s="8"/>
      <c r="L8" s="8"/>
      <c r="N8" s="25"/>
      <c r="O8" s="425"/>
      <c r="P8" s="96"/>
      <c r="Q8" s="96"/>
      <c r="R8" s="8"/>
      <c r="S8" s="8"/>
      <c r="T8" s="26"/>
      <c r="U8" s="41"/>
      <c r="V8" s="42"/>
      <c r="W8" s="26"/>
      <c r="X8" s="12"/>
      <c r="Y8" s="12"/>
      <c r="Z8" s="12"/>
      <c r="AA8" s="95"/>
      <c r="AB8" s="12"/>
      <c r="AC8" s="12"/>
      <c r="AD8" s="12"/>
      <c r="AE8" s="12"/>
      <c r="AF8" s="12"/>
      <c r="AG8" s="12"/>
      <c r="AH8" s="12"/>
      <c r="AI8" s="12"/>
      <c r="AJ8" s="22"/>
      <c r="AK8" s="12"/>
      <c r="AL8" s="12"/>
      <c r="AM8" s="12"/>
    </row>
    <row r="9" spans="1:39" x14ac:dyDescent="0.35">
      <c r="B9" s="24"/>
      <c r="C9" s="25"/>
      <c r="D9" s="8" t="s">
        <v>276</v>
      </c>
      <c r="E9" s="8"/>
      <c r="F9" s="8"/>
      <c r="G9" s="8"/>
      <c r="H9" s="8"/>
      <c r="I9" s="8"/>
      <c r="J9" s="8"/>
      <c r="K9" s="8"/>
      <c r="L9" s="8"/>
      <c r="N9" s="25"/>
      <c r="O9" s="425"/>
      <c r="P9" s="96"/>
      <c r="Q9" s="96"/>
      <c r="R9" s="8"/>
      <c r="S9" s="8"/>
      <c r="T9" s="26"/>
      <c r="U9" s="41"/>
      <c r="V9" s="42"/>
      <c r="W9" s="26"/>
      <c r="X9" s="12"/>
      <c r="Y9" s="12"/>
      <c r="Z9" s="12"/>
      <c r="AA9" s="95" t="s">
        <v>419</v>
      </c>
      <c r="AB9" s="12"/>
      <c r="AC9" s="12"/>
      <c r="AD9" s="12"/>
      <c r="AE9" s="12"/>
      <c r="AF9" s="12"/>
      <c r="AG9" s="12"/>
      <c r="AH9" s="12"/>
      <c r="AI9" s="12"/>
      <c r="AJ9" s="22"/>
      <c r="AK9" s="12"/>
      <c r="AL9" s="12"/>
      <c r="AM9" s="12"/>
    </row>
    <row r="10" spans="1:39" x14ac:dyDescent="0.35">
      <c r="B10" s="24"/>
      <c r="C10" s="25"/>
      <c r="D10" s="8" t="s">
        <v>277</v>
      </c>
      <c r="E10" s="8"/>
      <c r="F10" s="8"/>
      <c r="G10" s="8"/>
      <c r="H10" s="8"/>
      <c r="I10" s="8"/>
      <c r="J10" s="8"/>
      <c r="K10" s="8"/>
      <c r="L10" s="8"/>
      <c r="N10" s="25"/>
      <c r="O10" s="96"/>
      <c r="P10" s="96"/>
      <c r="Q10" s="96"/>
      <c r="R10" s="8"/>
      <c r="S10" s="8"/>
      <c r="T10" s="26"/>
      <c r="U10" s="41"/>
      <c r="V10" s="42"/>
      <c r="W10" s="26"/>
      <c r="X10" s="12"/>
      <c r="Y10" s="12"/>
      <c r="Z10" s="12"/>
      <c r="AA10" s="95"/>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K11" s="8"/>
      <c r="L11" s="8"/>
      <c r="N11" s="25"/>
      <c r="O11" s="96"/>
      <c r="P11" s="96"/>
      <c r="Q11" s="96"/>
      <c r="R11" s="8"/>
      <c r="S11" s="8"/>
      <c r="T11" s="26"/>
      <c r="U11" s="41"/>
      <c r="V11" s="42"/>
      <c r="W11" s="26"/>
      <c r="X11" s="12"/>
      <c r="Y11" s="12"/>
      <c r="Z11" s="12"/>
      <c r="AA11" s="95"/>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K12" s="8"/>
      <c r="L12" s="8"/>
      <c r="N12" s="25"/>
      <c r="O12" s="96"/>
      <c r="P12" s="96"/>
      <c r="Q12" s="96"/>
      <c r="R12" s="8"/>
      <c r="S12" s="8"/>
      <c r="T12" s="26"/>
      <c r="U12" s="41"/>
      <c r="V12" s="42"/>
      <c r="W12" s="26"/>
      <c r="X12" s="12"/>
      <c r="Y12" s="12"/>
      <c r="Z12" s="12"/>
      <c r="AA12" s="95"/>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K13" s="8"/>
      <c r="L13" s="8"/>
      <c r="N13" s="25"/>
      <c r="O13" s="96"/>
      <c r="P13" s="96"/>
      <c r="Q13" s="96"/>
      <c r="R13" s="8"/>
      <c r="S13" s="8"/>
      <c r="T13" s="26"/>
      <c r="U13" s="41"/>
      <c r="V13" s="42"/>
      <c r="W13" s="26"/>
      <c r="X13" s="12"/>
      <c r="Y13" s="12"/>
      <c r="Z13" s="12"/>
      <c r="AA13" s="95"/>
      <c r="AB13" s="12"/>
      <c r="AC13" s="12"/>
      <c r="AD13" s="12"/>
      <c r="AE13" s="12"/>
      <c r="AF13" s="12"/>
      <c r="AG13" s="12"/>
      <c r="AH13" s="12"/>
      <c r="AI13" s="12"/>
      <c r="AJ13" s="22"/>
      <c r="AK13" s="12"/>
      <c r="AL13" s="12"/>
      <c r="AM13" s="12"/>
    </row>
    <row r="14" spans="1:39" x14ac:dyDescent="0.35">
      <c r="B14" s="10"/>
      <c r="X14" s="10"/>
      <c r="Y14" s="10"/>
      <c r="Z14" s="10"/>
      <c r="AA14" s="95"/>
      <c r="AB14" s="12"/>
      <c r="AC14" s="12"/>
      <c r="AD14" s="12"/>
      <c r="AE14" s="12"/>
      <c r="AF14" s="12"/>
      <c r="AG14" s="12"/>
      <c r="AH14" s="12"/>
      <c r="AI14" s="12"/>
      <c r="AJ14" s="22"/>
      <c r="AK14" s="12"/>
      <c r="AL14" s="12"/>
    </row>
    <row r="15" spans="1:39" s="19" customFormat="1" x14ac:dyDescent="0.35">
      <c r="A15" s="19" t="s">
        <v>69</v>
      </c>
      <c r="B15" s="19" t="s">
        <v>109</v>
      </c>
      <c r="C15" s="19" t="s">
        <v>108</v>
      </c>
      <c r="D15" s="19" t="s">
        <v>70</v>
      </c>
      <c r="E15" s="19" t="s">
        <v>85</v>
      </c>
      <c r="F15" s="19" t="s">
        <v>320</v>
      </c>
      <c r="G15" s="19" t="s">
        <v>71</v>
      </c>
      <c r="H15" s="19" t="s">
        <v>168</v>
      </c>
      <c r="I15" s="19" t="s">
        <v>169</v>
      </c>
      <c r="J15" s="19" t="s">
        <v>124</v>
      </c>
      <c r="K15" s="19" t="s">
        <v>125</v>
      </c>
      <c r="L15" s="19" t="s">
        <v>73</v>
      </c>
      <c r="M15" s="19" t="s">
        <v>160</v>
      </c>
      <c r="N15" s="19" t="s">
        <v>340</v>
      </c>
      <c r="O15" s="19" t="s">
        <v>305</v>
      </c>
      <c r="P15" s="19" t="s">
        <v>420</v>
      </c>
      <c r="Q15" s="19" t="s">
        <v>421</v>
      </c>
      <c r="R15" s="19" t="s">
        <v>118</v>
      </c>
      <c r="S15" s="19" t="s">
        <v>116</v>
      </c>
      <c r="T15" s="19" t="s">
        <v>163</v>
      </c>
      <c r="U15" s="19" t="s">
        <v>170</v>
      </c>
      <c r="V15" s="19" t="s">
        <v>177</v>
      </c>
      <c r="W15" s="19" t="s">
        <v>469</v>
      </c>
      <c r="X15" s="19" t="s">
        <v>72</v>
      </c>
      <c r="Y15" s="19" t="s">
        <v>151</v>
      </c>
      <c r="Z15" s="19" t="s">
        <v>74</v>
      </c>
      <c r="AA15" s="20" t="s">
        <v>77</v>
      </c>
      <c r="AB15" s="19" t="s">
        <v>78</v>
      </c>
      <c r="AC15" s="19" t="s">
        <v>79</v>
      </c>
      <c r="AD15" s="19" t="s">
        <v>88</v>
      </c>
      <c r="AE15" s="19" t="s">
        <v>89</v>
      </c>
      <c r="AF15" s="19" t="s">
        <v>90</v>
      </c>
      <c r="AG15" s="19" t="s">
        <v>91</v>
      </c>
      <c r="AH15" s="19" t="s">
        <v>283</v>
      </c>
      <c r="AI15" s="19" t="s">
        <v>284</v>
      </c>
      <c r="AJ15" s="21" t="s">
        <v>80</v>
      </c>
      <c r="AK15" s="19" t="s">
        <v>81</v>
      </c>
      <c r="AL15" s="19" t="s">
        <v>82</v>
      </c>
      <c r="AM15" s="19" t="s">
        <v>83</v>
      </c>
    </row>
    <row r="16" spans="1:39" x14ac:dyDescent="0.35">
      <c r="A16" s="8">
        <f t="shared" ref="A16:A19" si="0">ROW(A16)-ROW($A$15)</f>
        <v>1</v>
      </c>
      <c r="B16" s="8" t="s">
        <v>471</v>
      </c>
      <c r="C16" s="10" t="s">
        <v>293</v>
      </c>
      <c r="D16" s="8" t="s">
        <v>84</v>
      </c>
      <c r="E16" s="10" t="s">
        <v>86</v>
      </c>
      <c r="F16" s="10" t="s">
        <v>86</v>
      </c>
      <c r="G16" s="10" t="s">
        <v>406</v>
      </c>
      <c r="H16" s="10" t="s">
        <v>412</v>
      </c>
      <c r="I16" s="10" t="s">
        <v>413</v>
      </c>
      <c r="J16" s="10">
        <v>2030</v>
      </c>
      <c r="K16" s="10" t="s">
        <v>171</v>
      </c>
      <c r="L16" s="391" t="s">
        <v>466</v>
      </c>
      <c r="M16" t="s">
        <v>172</v>
      </c>
      <c r="N16" s="12" t="s">
        <v>86</v>
      </c>
      <c r="O16" s="12" t="s">
        <v>475</v>
      </c>
      <c r="P16" s="10" t="s">
        <v>422</v>
      </c>
      <c r="Q16" s="10" t="s">
        <v>423</v>
      </c>
      <c r="R16" s="10">
        <v>0</v>
      </c>
      <c r="S16" s="10">
        <v>0</v>
      </c>
      <c r="T16" s="10">
        <v>-1</v>
      </c>
      <c r="U16" s="10" t="s">
        <v>86</v>
      </c>
      <c r="V16" s="10">
        <v>0</v>
      </c>
      <c r="W16" s="10" t="s">
        <v>476</v>
      </c>
      <c r="X16" t="s">
        <v>161</v>
      </c>
      <c r="Y16" t="s">
        <v>162</v>
      </c>
      <c r="Z16" t="s">
        <v>294</v>
      </c>
      <c r="AA16" s="14" t="b">
        <v>0</v>
      </c>
      <c r="AB16" t="b">
        <v>0</v>
      </c>
      <c r="AC16" t="b">
        <v>1</v>
      </c>
      <c r="AD16" t="b">
        <v>0</v>
      </c>
      <c r="AE16" t="b">
        <v>0</v>
      </c>
      <c r="AF16" t="b">
        <v>0</v>
      </c>
      <c r="AG16" t="b">
        <v>0</v>
      </c>
      <c r="AH16" t="b">
        <v>0</v>
      </c>
      <c r="AI16" t="b">
        <v>0</v>
      </c>
      <c r="AJ16" s="15" t="b">
        <v>0</v>
      </c>
      <c r="AK16" t="b">
        <v>0</v>
      </c>
      <c r="AL16" t="b">
        <v>0</v>
      </c>
      <c r="AM16" t="b">
        <v>1</v>
      </c>
    </row>
    <row r="17" spans="1:39" x14ac:dyDescent="0.35">
      <c r="A17" s="8">
        <f>ROW(A17)-ROW($A$15)</f>
        <v>2</v>
      </c>
      <c r="B17" s="8" t="s">
        <v>472</v>
      </c>
      <c r="C17" s="10" t="s">
        <v>292</v>
      </c>
      <c r="D17" s="8" t="s">
        <v>84</v>
      </c>
      <c r="E17" s="10" t="s">
        <v>86</v>
      </c>
      <c r="F17" s="10" t="s">
        <v>86</v>
      </c>
      <c r="G17" s="10" t="s">
        <v>406</v>
      </c>
      <c r="H17" s="10" t="s">
        <v>412</v>
      </c>
      <c r="I17" s="10" t="s">
        <v>413</v>
      </c>
      <c r="J17" s="10">
        <v>2030</v>
      </c>
      <c r="K17" s="10" t="s">
        <v>171</v>
      </c>
      <c r="L17" s="391" t="s">
        <v>466</v>
      </c>
      <c r="M17" t="s">
        <v>172</v>
      </c>
      <c r="N17" s="12" t="s">
        <v>86</v>
      </c>
      <c r="O17" s="12" t="s">
        <v>470</v>
      </c>
      <c r="P17" s="10" t="s">
        <v>422</v>
      </c>
      <c r="Q17" s="10" t="s">
        <v>423</v>
      </c>
      <c r="R17" s="10">
        <v>0</v>
      </c>
      <c r="S17" s="10">
        <v>0</v>
      </c>
      <c r="T17" s="10">
        <v>-1</v>
      </c>
      <c r="U17" s="10" t="s">
        <v>86</v>
      </c>
      <c r="V17" s="10">
        <v>0</v>
      </c>
      <c r="W17" s="10" t="s">
        <v>476</v>
      </c>
      <c r="X17" t="s">
        <v>161</v>
      </c>
      <c r="Y17" t="s">
        <v>162</v>
      </c>
      <c r="Z17" t="s">
        <v>294</v>
      </c>
      <c r="AA17" s="14" t="b">
        <v>0</v>
      </c>
      <c r="AB17" t="b">
        <v>0</v>
      </c>
      <c r="AC17" t="b">
        <v>1</v>
      </c>
      <c r="AD17" t="b">
        <v>0</v>
      </c>
      <c r="AE17" t="b">
        <v>0</v>
      </c>
      <c r="AF17" t="b">
        <v>1</v>
      </c>
      <c r="AG17" t="b">
        <v>1</v>
      </c>
      <c r="AH17" t="b">
        <v>1</v>
      </c>
      <c r="AI17" t="b">
        <v>1</v>
      </c>
      <c r="AJ17" s="15" t="b">
        <v>0</v>
      </c>
      <c r="AK17" t="b">
        <v>0</v>
      </c>
      <c r="AL17" t="b">
        <v>0</v>
      </c>
      <c r="AM17" t="b">
        <v>1</v>
      </c>
    </row>
    <row r="18" spans="1:39" x14ac:dyDescent="0.35">
      <c r="A18" s="8">
        <f t="shared" si="0"/>
        <v>3</v>
      </c>
      <c r="B18" s="8" t="s">
        <v>473</v>
      </c>
      <c r="C18" s="10" t="s">
        <v>293</v>
      </c>
      <c r="D18" s="8" t="s">
        <v>84</v>
      </c>
      <c r="E18" s="10" t="s">
        <v>86</v>
      </c>
      <c r="F18" s="10" t="s">
        <v>86</v>
      </c>
      <c r="G18" s="10" t="s">
        <v>405</v>
      </c>
      <c r="H18" s="10" t="s">
        <v>412</v>
      </c>
      <c r="I18" s="10" t="s">
        <v>413</v>
      </c>
      <c r="J18" s="10">
        <v>2025</v>
      </c>
      <c r="K18" s="10" t="s">
        <v>171</v>
      </c>
      <c r="L18" s="391" t="s">
        <v>466</v>
      </c>
      <c r="M18" t="s">
        <v>179</v>
      </c>
      <c r="N18" s="12" t="s">
        <v>86</v>
      </c>
      <c r="O18" s="12" t="s">
        <v>306</v>
      </c>
      <c r="P18" s="10" t="s">
        <v>422</v>
      </c>
      <c r="Q18" s="10" t="s">
        <v>423</v>
      </c>
      <c r="R18" s="10">
        <v>0</v>
      </c>
      <c r="S18" s="10">
        <v>0</v>
      </c>
      <c r="T18" s="10">
        <f>28.2/1000</f>
        <v>2.8199999999999999E-2</v>
      </c>
      <c r="U18" s="10" t="s">
        <v>467</v>
      </c>
      <c r="V18" s="10">
        <v>-1</v>
      </c>
      <c r="W18" s="10" t="s">
        <v>476</v>
      </c>
      <c r="X18" t="s">
        <v>161</v>
      </c>
      <c r="Y18" t="s">
        <v>162</v>
      </c>
      <c r="Z18" t="s">
        <v>294</v>
      </c>
      <c r="AA18" s="14" t="b">
        <v>0</v>
      </c>
      <c r="AB18" t="b">
        <v>0</v>
      </c>
      <c r="AC18" t="b">
        <v>1</v>
      </c>
      <c r="AD18" t="b">
        <v>0</v>
      </c>
      <c r="AE18" t="b">
        <v>0</v>
      </c>
      <c r="AF18" t="b">
        <v>1</v>
      </c>
      <c r="AG18" t="b">
        <v>1</v>
      </c>
      <c r="AH18" t="b">
        <v>1</v>
      </c>
      <c r="AI18" t="b">
        <v>1</v>
      </c>
      <c r="AJ18" s="15" t="b">
        <v>0</v>
      </c>
      <c r="AK18" t="b">
        <v>0</v>
      </c>
      <c r="AL18" t="b">
        <v>0</v>
      </c>
      <c r="AM18" t="b">
        <v>1</v>
      </c>
    </row>
    <row r="19" spans="1:39" x14ac:dyDescent="0.35">
      <c r="A19" s="8">
        <f t="shared" si="0"/>
        <v>4</v>
      </c>
      <c r="B19" s="8" t="s">
        <v>474</v>
      </c>
      <c r="C19" s="10" t="s">
        <v>293</v>
      </c>
      <c r="D19" s="8" t="s">
        <v>84</v>
      </c>
      <c r="E19" s="10" t="s">
        <v>86</v>
      </c>
      <c r="F19" s="10" t="s">
        <v>86</v>
      </c>
      <c r="G19" s="10" t="s">
        <v>405</v>
      </c>
      <c r="H19" s="10" t="s">
        <v>412</v>
      </c>
      <c r="I19" s="10" t="s">
        <v>413</v>
      </c>
      <c r="J19" s="10">
        <v>2025</v>
      </c>
      <c r="K19" s="10" t="s">
        <v>171</v>
      </c>
      <c r="L19" s="391" t="s">
        <v>466</v>
      </c>
      <c r="M19" t="s">
        <v>179</v>
      </c>
      <c r="N19" s="12" t="s">
        <v>86</v>
      </c>
      <c r="O19" s="12" t="s">
        <v>306</v>
      </c>
      <c r="P19" s="10" t="s">
        <v>422</v>
      </c>
      <c r="Q19" s="10" t="s">
        <v>423</v>
      </c>
      <c r="R19" s="10">
        <v>0</v>
      </c>
      <c r="S19" s="10">
        <v>0</v>
      </c>
      <c r="T19" s="10">
        <f>28.2/1000</f>
        <v>2.8199999999999999E-2</v>
      </c>
      <c r="U19" s="10" t="s">
        <v>467</v>
      </c>
      <c r="V19" s="10">
        <v>0</v>
      </c>
      <c r="W19" s="10" t="s">
        <v>476</v>
      </c>
      <c r="X19" t="s">
        <v>161</v>
      </c>
      <c r="Y19" t="s">
        <v>162</v>
      </c>
      <c r="Z19" t="s">
        <v>294</v>
      </c>
      <c r="AA19" s="14" t="b">
        <v>0</v>
      </c>
      <c r="AB19" t="b">
        <v>0</v>
      </c>
      <c r="AC19" t="b">
        <v>1</v>
      </c>
      <c r="AD19" t="b">
        <v>0</v>
      </c>
      <c r="AE19" t="b">
        <v>0</v>
      </c>
      <c r="AF19" t="b">
        <v>1</v>
      </c>
      <c r="AG19" t="b">
        <v>1</v>
      </c>
      <c r="AH19" t="b">
        <v>1</v>
      </c>
      <c r="AI19" t="b">
        <v>1</v>
      </c>
      <c r="AJ19" s="15" t="b">
        <v>0</v>
      </c>
      <c r="AK19" t="b">
        <v>0</v>
      </c>
      <c r="AL19" t="b">
        <v>0</v>
      </c>
      <c r="AM19" t="b">
        <v>1</v>
      </c>
    </row>
  </sheetData>
  <mergeCells count="12">
    <mergeCell ref="AK7:AM7"/>
    <mergeCell ref="B2:B7"/>
    <mergeCell ref="C2:C7"/>
    <mergeCell ref="W2:W7"/>
    <mergeCell ref="L2:L4"/>
    <mergeCell ref="K2:K3"/>
    <mergeCell ref="U2:U7"/>
    <mergeCell ref="T2:T7"/>
    <mergeCell ref="V2:V7"/>
    <mergeCell ref="O5:O9"/>
    <mergeCell ref="O2:O3"/>
    <mergeCell ref="N2:N4"/>
  </mergeCells>
  <phoneticPr fontId="16" type="noConversion"/>
  <conditionalFormatting sqref="AA16:AM19">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0" t="s">
        <v>110</v>
      </c>
      <c r="C2" s="421" t="s">
        <v>104</v>
      </c>
      <c r="D2" s="8" t="s">
        <v>179</v>
      </c>
      <c r="E2" s="8" t="s">
        <v>67</v>
      </c>
      <c r="F2" s="8" t="s">
        <v>87</v>
      </c>
      <c r="G2" s="8">
        <v>2020</v>
      </c>
      <c r="H2" s="422" t="s">
        <v>127</v>
      </c>
      <c r="I2" s="422" t="s">
        <v>126</v>
      </c>
      <c r="J2" s="8" t="s">
        <v>59</v>
      </c>
      <c r="K2" s="8" t="s">
        <v>117</v>
      </c>
      <c r="L2" s="8" t="s">
        <v>117</v>
      </c>
      <c r="M2" s="422" t="s">
        <v>175</v>
      </c>
      <c r="N2" s="423" t="s">
        <v>176</v>
      </c>
      <c r="O2" s="424" t="s">
        <v>178</v>
      </c>
      <c r="P2" s="422" t="s">
        <v>121</v>
      </c>
      <c r="Q2" s="422" t="s">
        <v>122</v>
      </c>
      <c r="R2" s="8" t="s">
        <v>152</v>
      </c>
      <c r="S2" s="8" t="s">
        <v>152</v>
      </c>
      <c r="T2" s="8" t="s">
        <v>106</v>
      </c>
    </row>
    <row r="3" spans="1:35" x14ac:dyDescent="0.35">
      <c r="B3" s="420"/>
      <c r="C3" s="421"/>
      <c r="D3" s="8" t="s">
        <v>180</v>
      </c>
      <c r="E3" s="8" t="s">
        <v>84</v>
      </c>
      <c r="F3" s="8" t="s">
        <v>60</v>
      </c>
      <c r="G3" s="8">
        <v>2030</v>
      </c>
      <c r="H3" s="422"/>
      <c r="I3" s="422"/>
      <c r="J3" s="8" t="s">
        <v>68</v>
      </c>
      <c r="M3" s="422"/>
      <c r="N3" s="423"/>
      <c r="O3" s="424"/>
      <c r="P3" s="422"/>
      <c r="Q3" s="422"/>
      <c r="R3" s="8"/>
      <c r="S3" s="8"/>
      <c r="T3" s="8"/>
    </row>
    <row r="4" spans="1:35" x14ac:dyDescent="0.35">
      <c r="B4" s="420"/>
      <c r="C4" s="421"/>
      <c r="D4" s="8" t="s">
        <v>172</v>
      </c>
      <c r="E4" s="8" t="s">
        <v>275</v>
      </c>
      <c r="F4" s="8" t="s">
        <v>86</v>
      </c>
      <c r="G4" s="8">
        <v>2050</v>
      </c>
      <c r="H4" s="8"/>
      <c r="I4" s="422"/>
      <c r="J4" s="8" t="s">
        <v>167</v>
      </c>
      <c r="K4" s="8"/>
      <c r="L4" s="8"/>
      <c r="M4" s="422"/>
      <c r="N4" s="423"/>
      <c r="O4" s="424"/>
      <c r="P4" s="422"/>
      <c r="Q4" s="422"/>
      <c r="R4" s="8"/>
      <c r="S4" s="8"/>
      <c r="T4" s="8"/>
    </row>
    <row r="5" spans="1:35" x14ac:dyDescent="0.35">
      <c r="B5" s="420"/>
      <c r="C5" s="421"/>
      <c r="D5" s="8"/>
      <c r="E5" s="8" t="s">
        <v>276</v>
      </c>
      <c r="F5" s="8"/>
      <c r="G5" s="8"/>
      <c r="H5" s="8"/>
      <c r="I5" s="26"/>
      <c r="J5" s="8"/>
      <c r="K5" s="8"/>
      <c r="L5" s="8"/>
      <c r="M5" s="422"/>
      <c r="N5" s="423"/>
      <c r="O5" s="424"/>
      <c r="P5" s="422"/>
      <c r="Q5" s="422"/>
      <c r="R5" s="8"/>
      <c r="S5" s="8"/>
      <c r="T5" s="8"/>
    </row>
    <row r="6" spans="1:35" x14ac:dyDescent="0.35">
      <c r="B6" s="420"/>
      <c r="C6" s="421"/>
      <c r="D6" s="8"/>
      <c r="E6" s="8" t="s">
        <v>277</v>
      </c>
      <c r="F6" s="8"/>
      <c r="G6" s="8"/>
      <c r="H6" s="8"/>
      <c r="I6" s="26"/>
      <c r="J6" s="8"/>
      <c r="K6" s="8"/>
      <c r="L6" s="8"/>
      <c r="M6" s="422"/>
      <c r="N6" s="423"/>
      <c r="O6" s="424"/>
      <c r="P6" s="422"/>
      <c r="Q6" s="422"/>
      <c r="R6" s="8"/>
      <c r="S6" s="8"/>
      <c r="T6" s="8"/>
    </row>
    <row r="7" spans="1:35" x14ac:dyDescent="0.35">
      <c r="B7" s="420"/>
      <c r="C7" s="421"/>
      <c r="E7" s="8" t="s">
        <v>278</v>
      </c>
      <c r="F7" s="8"/>
      <c r="G7" s="8"/>
      <c r="H7" s="8"/>
      <c r="I7" s="8"/>
      <c r="J7" s="8"/>
      <c r="K7" s="8"/>
      <c r="L7" s="8"/>
      <c r="M7" s="422"/>
      <c r="N7" s="423"/>
      <c r="O7" s="424"/>
      <c r="P7" s="422"/>
      <c r="Q7" s="422"/>
      <c r="R7" s="12"/>
      <c r="S7" s="12"/>
      <c r="T7" s="12"/>
      <c r="V7" s="95" t="s">
        <v>103</v>
      </c>
      <c r="W7" s="12"/>
      <c r="X7" s="12"/>
      <c r="Y7" s="12"/>
      <c r="Z7" s="12"/>
      <c r="AA7" s="12"/>
      <c r="AB7" s="12"/>
      <c r="AC7" s="12"/>
      <c r="AD7" s="12"/>
      <c r="AE7" s="12"/>
      <c r="AF7" s="22"/>
      <c r="AG7" s="419" t="s">
        <v>107</v>
      </c>
      <c r="AH7" s="414"/>
      <c r="AI7" s="414"/>
    </row>
    <row r="8" spans="1:35" x14ac:dyDescent="0.35">
      <c r="B8" s="24"/>
      <c r="C8" s="25"/>
      <c r="E8" s="8" t="s">
        <v>291</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0" t="s">
        <v>110</v>
      </c>
      <c r="C2" s="421" t="s">
        <v>104</v>
      </c>
      <c r="D2" s="8" t="s">
        <v>179</v>
      </c>
      <c r="E2" s="8" t="s">
        <v>67</v>
      </c>
      <c r="F2" s="8" t="s">
        <v>87</v>
      </c>
      <c r="G2" s="8">
        <v>2020</v>
      </c>
      <c r="H2" s="422" t="s">
        <v>127</v>
      </c>
      <c r="I2" s="422" t="s">
        <v>126</v>
      </c>
      <c r="J2" s="8" t="s">
        <v>59</v>
      </c>
      <c r="K2" s="8" t="s">
        <v>117</v>
      </c>
      <c r="L2" s="8" t="s">
        <v>117</v>
      </c>
      <c r="M2" s="422" t="s">
        <v>175</v>
      </c>
      <c r="N2" s="423" t="s">
        <v>176</v>
      </c>
      <c r="O2" s="424" t="s">
        <v>178</v>
      </c>
      <c r="P2" s="422" t="s">
        <v>121</v>
      </c>
      <c r="Q2" s="422" t="s">
        <v>122</v>
      </c>
      <c r="R2" s="8" t="s">
        <v>152</v>
      </c>
      <c r="S2" s="8" t="s">
        <v>152</v>
      </c>
      <c r="T2" s="8" t="s">
        <v>106</v>
      </c>
    </row>
    <row r="3" spans="1:35" x14ac:dyDescent="0.35">
      <c r="B3" s="420"/>
      <c r="C3" s="421"/>
      <c r="D3" s="8" t="s">
        <v>180</v>
      </c>
      <c r="E3" s="8" t="s">
        <v>84</v>
      </c>
      <c r="F3" s="8" t="s">
        <v>60</v>
      </c>
      <c r="G3" s="8">
        <v>2030</v>
      </c>
      <c r="H3" s="422"/>
      <c r="I3" s="422"/>
      <c r="J3" s="8" t="s">
        <v>68</v>
      </c>
      <c r="M3" s="422"/>
      <c r="N3" s="423"/>
      <c r="O3" s="424"/>
      <c r="P3" s="422"/>
      <c r="Q3" s="422"/>
      <c r="R3" s="8"/>
      <c r="S3" s="8"/>
      <c r="T3" s="8"/>
    </row>
    <row r="4" spans="1:35" x14ac:dyDescent="0.35">
      <c r="B4" s="420"/>
      <c r="C4" s="421"/>
      <c r="D4" s="8" t="s">
        <v>172</v>
      </c>
      <c r="E4" s="8" t="s">
        <v>275</v>
      </c>
      <c r="F4" s="8" t="s">
        <v>86</v>
      </c>
      <c r="G4" s="8">
        <v>2050</v>
      </c>
      <c r="H4" s="8"/>
      <c r="I4" s="422"/>
      <c r="J4" s="8" t="s">
        <v>167</v>
      </c>
      <c r="K4" s="8"/>
      <c r="L4" s="8"/>
      <c r="M4" s="422"/>
      <c r="N4" s="423"/>
      <c r="O4" s="424"/>
      <c r="P4" s="422"/>
      <c r="Q4" s="422"/>
      <c r="R4" s="8"/>
      <c r="S4" s="8"/>
      <c r="T4" s="8"/>
    </row>
    <row r="5" spans="1:35" x14ac:dyDescent="0.35">
      <c r="B5" s="420"/>
      <c r="C5" s="421"/>
      <c r="D5" s="8"/>
      <c r="E5" s="8" t="s">
        <v>276</v>
      </c>
      <c r="F5" s="8"/>
      <c r="G5" s="8"/>
      <c r="H5" s="8"/>
      <c r="I5" s="26"/>
      <c r="J5" s="8"/>
      <c r="K5" s="8"/>
      <c r="L5" s="8"/>
      <c r="M5" s="422"/>
      <c r="N5" s="423"/>
      <c r="O5" s="424"/>
      <c r="P5" s="422"/>
      <c r="Q5" s="422"/>
      <c r="R5" s="8"/>
      <c r="S5" s="8"/>
      <c r="T5" s="8"/>
    </row>
    <row r="6" spans="1:35" x14ac:dyDescent="0.35">
      <c r="B6" s="420"/>
      <c r="C6" s="421"/>
      <c r="D6" s="8"/>
      <c r="E6" s="8" t="s">
        <v>277</v>
      </c>
      <c r="F6" s="8"/>
      <c r="G6" s="8"/>
      <c r="H6" s="8"/>
      <c r="I6" s="26"/>
      <c r="J6" s="8"/>
      <c r="K6" s="8"/>
      <c r="L6" s="8"/>
      <c r="M6" s="422"/>
      <c r="N6" s="423"/>
      <c r="O6" s="424"/>
      <c r="P6" s="422"/>
      <c r="Q6" s="422"/>
      <c r="R6" s="8"/>
      <c r="S6" s="8"/>
      <c r="T6" s="8"/>
    </row>
    <row r="7" spans="1:35" x14ac:dyDescent="0.35">
      <c r="B7" s="420"/>
      <c r="C7" s="421"/>
      <c r="E7" s="8" t="s">
        <v>278</v>
      </c>
      <c r="F7" s="8"/>
      <c r="G7" s="8"/>
      <c r="H7" s="8"/>
      <c r="I7" s="8"/>
      <c r="J7" s="8"/>
      <c r="K7" s="8"/>
      <c r="L7" s="8"/>
      <c r="M7" s="422"/>
      <c r="N7" s="423"/>
      <c r="O7" s="424"/>
      <c r="P7" s="422"/>
      <c r="Q7" s="422"/>
      <c r="R7" s="12"/>
      <c r="S7" s="12"/>
      <c r="T7" s="12"/>
      <c r="V7" s="95" t="s">
        <v>103</v>
      </c>
      <c r="W7" s="12"/>
      <c r="X7" s="12"/>
      <c r="Y7" s="12"/>
      <c r="Z7" s="12"/>
      <c r="AA7" s="12"/>
      <c r="AB7" s="12"/>
      <c r="AC7" s="12"/>
      <c r="AD7" s="12"/>
      <c r="AE7" s="12"/>
      <c r="AF7" s="22"/>
      <c r="AG7" s="419" t="s">
        <v>107</v>
      </c>
      <c r="AH7" s="414"/>
      <c r="AI7" s="414"/>
    </row>
    <row r="8" spans="1:35" x14ac:dyDescent="0.35">
      <c r="B8" s="24"/>
      <c r="C8" s="25"/>
      <c r="E8" s="8" t="s">
        <v>291</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BM9" activePane="bottomRight" state="frozen"/>
      <selection pane="topRight" activeCell="F1" sqref="F1"/>
      <selection pane="bottomLeft" activeCell="A12" sqref="A12"/>
      <selection pane="bottomRight" activeCell="BU14" sqref="BU14"/>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9" customWidth="1"/>
    <col min="9" max="9" width="24.7265625" style="121" customWidth="1"/>
    <col min="10" max="10" width="20.26953125" style="121" customWidth="1"/>
    <col min="11" max="11" width="9.54296875" style="121" customWidth="1"/>
    <col min="12" max="13" width="11.81640625" style="121" customWidth="1"/>
    <col min="14" max="15" width="10.453125" style="121"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6"/>
  </cols>
  <sheetData>
    <row r="1" spans="1:80" ht="16" customHeight="1" x14ac:dyDescent="0.35">
      <c r="A1" s="414"/>
      <c r="B1" s="414"/>
      <c r="C1" s="414"/>
      <c r="D1" s="4"/>
      <c r="E1" s="8"/>
      <c r="F1" s="98" t="s">
        <v>93</v>
      </c>
      <c r="G1" s="110" t="s">
        <v>371</v>
      </c>
      <c r="H1" s="110" t="s">
        <v>372</v>
      </c>
      <c r="I1" s="122" t="s">
        <v>404</v>
      </c>
      <c r="J1" s="127" t="s">
        <v>2</v>
      </c>
      <c r="K1" s="122" t="s">
        <v>4</v>
      </c>
      <c r="L1" s="122" t="s">
        <v>5</v>
      </c>
      <c r="M1" s="122" t="s">
        <v>274</v>
      </c>
      <c r="N1" s="127" t="s">
        <v>3</v>
      </c>
      <c r="O1" s="127" t="s">
        <v>181</v>
      </c>
      <c r="P1" s="172" t="s">
        <v>6</v>
      </c>
      <c r="Q1" s="410" t="s">
        <v>51</v>
      </c>
      <c r="R1" s="411"/>
      <c r="S1" s="411"/>
      <c r="T1" s="412"/>
      <c r="U1" s="410" t="s">
        <v>52</v>
      </c>
      <c r="V1" s="411"/>
      <c r="W1" s="411"/>
      <c r="X1" s="412"/>
      <c r="Y1" s="410" t="s">
        <v>273</v>
      </c>
      <c r="Z1" s="411"/>
      <c r="AA1" s="411"/>
      <c r="AB1" s="412"/>
      <c r="AC1" s="410" t="s">
        <v>53</v>
      </c>
      <c r="AD1" s="411"/>
      <c r="AE1" s="411"/>
      <c r="AF1" s="412"/>
      <c r="AG1" s="410" t="s">
        <v>54</v>
      </c>
      <c r="AH1" s="411"/>
      <c r="AI1" s="411"/>
      <c r="AJ1" s="412"/>
      <c r="AK1" s="410" t="s">
        <v>55</v>
      </c>
      <c r="AL1" s="411"/>
      <c r="AM1" s="411"/>
      <c r="AN1" s="412"/>
      <c r="AO1" s="410" t="s">
        <v>56</v>
      </c>
      <c r="AP1" s="411"/>
      <c r="AQ1" s="411"/>
      <c r="AR1" s="412"/>
      <c r="AS1" s="410" t="s">
        <v>128</v>
      </c>
      <c r="AT1" s="411"/>
      <c r="AU1" s="411"/>
      <c r="AV1" s="412"/>
      <c r="AW1" s="410" t="s">
        <v>129</v>
      </c>
      <c r="AX1" s="411"/>
      <c r="AY1" s="411"/>
      <c r="AZ1" s="412"/>
      <c r="BA1" s="410" t="s">
        <v>403</v>
      </c>
      <c r="BB1" s="411"/>
      <c r="BC1" s="411"/>
      <c r="BD1" s="412"/>
      <c r="BE1" s="410" t="s">
        <v>130</v>
      </c>
      <c r="BF1" s="411"/>
      <c r="BG1" s="411"/>
      <c r="BH1" s="412"/>
      <c r="BI1" s="410" t="s">
        <v>94</v>
      </c>
      <c r="BJ1" s="411"/>
      <c r="BK1" s="411"/>
      <c r="BL1" s="412"/>
      <c r="BM1" s="410" t="s">
        <v>57</v>
      </c>
      <c r="BN1" s="411"/>
      <c r="BO1" s="411"/>
      <c r="BP1" s="412"/>
      <c r="BQ1" s="410" t="s">
        <v>58</v>
      </c>
      <c r="BR1" s="411"/>
      <c r="BS1" s="411"/>
      <c r="BT1" s="412"/>
      <c r="BU1" s="410" t="s">
        <v>307</v>
      </c>
      <c r="BV1" s="411"/>
      <c r="BW1" s="411"/>
      <c r="BX1" s="412"/>
      <c r="BY1" s="418" t="s">
        <v>308</v>
      </c>
      <c r="BZ1" s="418"/>
      <c r="CA1" s="418"/>
      <c r="CB1" s="418"/>
    </row>
    <row r="2" spans="1:80" s="4" customFormat="1" ht="15" customHeight="1" x14ac:dyDescent="0.35">
      <c r="A2" s="23"/>
      <c r="B2" s="415" t="s">
        <v>7</v>
      </c>
      <c r="C2" s="416" t="s">
        <v>8</v>
      </c>
      <c r="D2" s="415" t="s">
        <v>9</v>
      </c>
      <c r="E2" s="32" t="s">
        <v>1</v>
      </c>
      <c r="F2" s="99" t="s">
        <v>93</v>
      </c>
      <c r="G2" s="111" t="str">
        <f>G1</f>
        <v>Capacity units</v>
      </c>
      <c r="H2" s="111" t="str">
        <f>H1</f>
        <v>Output units</v>
      </c>
      <c r="I2" s="111" t="str">
        <f>I1</f>
        <v>Yearly demand (output)</v>
      </c>
      <c r="J2" s="123" t="s">
        <v>2</v>
      </c>
      <c r="K2" s="123" t="s">
        <v>4</v>
      </c>
      <c r="L2" s="123" t="s">
        <v>5</v>
      </c>
      <c r="M2" s="123" t="s">
        <v>274</v>
      </c>
      <c r="N2" s="123" t="s">
        <v>3</v>
      </c>
      <c r="O2" s="123" t="s">
        <v>181</v>
      </c>
      <c r="P2" s="131" t="s">
        <v>6</v>
      </c>
      <c r="Q2" s="16" t="s">
        <v>51</v>
      </c>
      <c r="R2" s="16" t="s">
        <v>51</v>
      </c>
      <c r="S2" s="16" t="s">
        <v>51</v>
      </c>
      <c r="T2" s="131" t="s">
        <v>51</v>
      </c>
      <c r="U2" s="16" t="s">
        <v>52</v>
      </c>
      <c r="V2" s="16" t="s">
        <v>52</v>
      </c>
      <c r="W2" s="16" t="s">
        <v>52</v>
      </c>
      <c r="X2" s="131" t="s">
        <v>52</v>
      </c>
      <c r="Y2" s="16" t="s">
        <v>273</v>
      </c>
      <c r="Z2" s="16" t="s">
        <v>273</v>
      </c>
      <c r="AA2" s="16" t="s">
        <v>273</v>
      </c>
      <c r="AB2" s="131" t="s">
        <v>273</v>
      </c>
      <c r="AC2" s="16" t="s">
        <v>53</v>
      </c>
      <c r="AD2" s="16" t="s">
        <v>53</v>
      </c>
      <c r="AE2" s="16" t="s">
        <v>53</v>
      </c>
      <c r="AF2" s="131" t="s">
        <v>53</v>
      </c>
      <c r="AG2" s="16" t="s">
        <v>54</v>
      </c>
      <c r="AH2" s="16" t="s">
        <v>54</v>
      </c>
      <c r="AI2" s="16" t="s">
        <v>54</v>
      </c>
      <c r="AJ2" s="131" t="s">
        <v>54</v>
      </c>
      <c r="AK2" s="16" t="s">
        <v>55</v>
      </c>
      <c r="AL2" s="16" t="s">
        <v>55</v>
      </c>
      <c r="AM2" s="16" t="s">
        <v>55</v>
      </c>
      <c r="AN2" s="131" t="s">
        <v>55</v>
      </c>
      <c r="AO2" s="16" t="s">
        <v>56</v>
      </c>
      <c r="AP2" s="16" t="s">
        <v>56</v>
      </c>
      <c r="AQ2" s="16" t="s">
        <v>56</v>
      </c>
      <c r="AR2" s="131" t="s">
        <v>56</v>
      </c>
      <c r="AS2" s="16" t="s">
        <v>128</v>
      </c>
      <c r="AT2" s="16" t="s">
        <v>128</v>
      </c>
      <c r="AU2" s="16" t="s">
        <v>128</v>
      </c>
      <c r="AV2" s="131" t="s">
        <v>128</v>
      </c>
      <c r="AW2" s="16" t="s">
        <v>129</v>
      </c>
      <c r="AX2" s="16" t="s">
        <v>129</v>
      </c>
      <c r="AY2" s="16" t="s">
        <v>129</v>
      </c>
      <c r="AZ2" s="131" t="s">
        <v>129</v>
      </c>
      <c r="BA2" s="16" t="s">
        <v>403</v>
      </c>
      <c r="BB2" s="16" t="s">
        <v>403</v>
      </c>
      <c r="BC2" s="16" t="s">
        <v>403</v>
      </c>
      <c r="BD2" s="16" t="s">
        <v>403</v>
      </c>
      <c r="BE2" s="16" t="s">
        <v>130</v>
      </c>
      <c r="BF2" s="16" t="s">
        <v>130</v>
      </c>
      <c r="BG2" s="16" t="s">
        <v>130</v>
      </c>
      <c r="BH2" s="131" t="s">
        <v>130</v>
      </c>
      <c r="BI2" s="16" t="s">
        <v>94</v>
      </c>
      <c r="BJ2" s="16" t="s">
        <v>94</v>
      </c>
      <c r="BK2" s="16" t="s">
        <v>94</v>
      </c>
      <c r="BL2" s="131" t="s">
        <v>94</v>
      </c>
      <c r="BM2" s="16" t="s">
        <v>57</v>
      </c>
      <c r="BN2" s="16" t="s">
        <v>57</v>
      </c>
      <c r="BO2" s="16" t="s">
        <v>57</v>
      </c>
      <c r="BP2" s="131" t="s">
        <v>57</v>
      </c>
      <c r="BQ2" s="16" t="s">
        <v>58</v>
      </c>
      <c r="BR2" s="16" t="s">
        <v>58</v>
      </c>
      <c r="BS2" s="16" t="s">
        <v>58</v>
      </c>
      <c r="BT2" s="131" t="s">
        <v>58</v>
      </c>
      <c r="BU2" s="160" t="s">
        <v>307</v>
      </c>
      <c r="BV2" s="160" t="s">
        <v>307</v>
      </c>
      <c r="BW2" s="160" t="s">
        <v>307</v>
      </c>
      <c r="BX2" s="161" t="s">
        <v>307</v>
      </c>
      <c r="BY2" s="16" t="s">
        <v>308</v>
      </c>
      <c r="BZ2" s="16" t="s">
        <v>308</v>
      </c>
      <c r="CA2" s="16" t="s">
        <v>308</v>
      </c>
      <c r="CB2" s="16" t="s">
        <v>308</v>
      </c>
    </row>
    <row r="3" spans="1:80" s="4" customFormat="1" ht="14" customHeight="1" x14ac:dyDescent="0.35">
      <c r="A3" s="31"/>
      <c r="B3" s="415"/>
      <c r="C3" s="416"/>
      <c r="D3" s="415"/>
      <c r="E3" s="32" t="s">
        <v>66</v>
      </c>
      <c r="F3" s="100" t="s">
        <v>95</v>
      </c>
      <c r="G3" s="112" t="s">
        <v>95</v>
      </c>
      <c r="H3" s="112" t="s">
        <v>95</v>
      </c>
      <c r="I3" s="112" t="s">
        <v>95</v>
      </c>
      <c r="J3" s="112" t="s">
        <v>95</v>
      </c>
      <c r="K3" s="112" t="s">
        <v>95</v>
      </c>
      <c r="L3" s="112" t="s">
        <v>95</v>
      </c>
      <c r="M3" s="112" t="s">
        <v>95</v>
      </c>
      <c r="N3" s="109" t="s">
        <v>95</v>
      </c>
      <c r="O3" s="109" t="s">
        <v>95</v>
      </c>
      <c r="P3" s="100" t="s">
        <v>95</v>
      </c>
      <c r="Q3" s="97">
        <v>0</v>
      </c>
      <c r="R3" s="97">
        <v>0</v>
      </c>
      <c r="S3" s="97">
        <v>0</v>
      </c>
      <c r="T3" s="132">
        <v>0</v>
      </c>
      <c r="U3" s="97">
        <v>0</v>
      </c>
      <c r="V3" s="97">
        <v>0</v>
      </c>
      <c r="W3" s="97">
        <v>0</v>
      </c>
      <c r="X3" s="132">
        <v>0</v>
      </c>
      <c r="Y3" s="97">
        <v>0</v>
      </c>
      <c r="Z3" s="97">
        <v>0</v>
      </c>
      <c r="AA3" s="97">
        <v>0</v>
      </c>
      <c r="AB3" s="132">
        <v>0</v>
      </c>
      <c r="AC3" s="97">
        <v>0</v>
      </c>
      <c r="AD3" s="97">
        <v>0</v>
      </c>
      <c r="AE3" s="97">
        <v>0</v>
      </c>
      <c r="AF3" s="132">
        <v>0</v>
      </c>
      <c r="AG3" s="97">
        <v>0</v>
      </c>
      <c r="AH3" s="97">
        <v>0</v>
      </c>
      <c r="AI3" s="97">
        <v>0</v>
      </c>
      <c r="AJ3" s="132">
        <v>0</v>
      </c>
      <c r="AK3" s="97">
        <v>0</v>
      </c>
      <c r="AL3" s="97">
        <v>0</v>
      </c>
      <c r="AM3" s="97">
        <v>0</v>
      </c>
      <c r="AN3" s="132">
        <v>0</v>
      </c>
      <c r="AO3" s="97">
        <v>0</v>
      </c>
      <c r="AP3" s="97">
        <v>0</v>
      </c>
      <c r="AQ3" s="97">
        <v>0</v>
      </c>
      <c r="AR3" s="132">
        <v>0</v>
      </c>
      <c r="AS3" s="97">
        <v>0</v>
      </c>
      <c r="AT3" s="97">
        <v>0</v>
      </c>
      <c r="AU3" s="97">
        <v>0</v>
      </c>
      <c r="AV3" s="132">
        <v>0</v>
      </c>
      <c r="AW3" s="97">
        <v>0</v>
      </c>
      <c r="AX3" s="97">
        <v>0</v>
      </c>
      <c r="AY3" s="97">
        <v>0</v>
      </c>
      <c r="AZ3" s="132">
        <v>0</v>
      </c>
      <c r="BA3" s="97">
        <v>0</v>
      </c>
      <c r="BB3" s="97">
        <v>0</v>
      </c>
      <c r="BC3" s="97">
        <v>0</v>
      </c>
      <c r="BD3" s="132">
        <v>0</v>
      </c>
      <c r="BE3" s="97">
        <v>0</v>
      </c>
      <c r="BF3" s="97">
        <v>0</v>
      </c>
      <c r="BG3" s="97">
        <v>0</v>
      </c>
      <c r="BH3" s="132">
        <v>0</v>
      </c>
      <c r="BI3" s="97">
        <v>0</v>
      </c>
      <c r="BJ3" s="97">
        <v>0</v>
      </c>
      <c r="BK3" s="97">
        <v>0</v>
      </c>
      <c r="BL3" s="132">
        <v>0</v>
      </c>
      <c r="BM3" s="97">
        <v>0</v>
      </c>
      <c r="BN3" s="97">
        <v>0</v>
      </c>
      <c r="BO3" s="97">
        <v>0</v>
      </c>
      <c r="BP3" s="132">
        <v>0</v>
      </c>
      <c r="BQ3" s="97">
        <v>0</v>
      </c>
      <c r="BR3" s="97">
        <v>0</v>
      </c>
      <c r="BS3" s="97">
        <v>0</v>
      </c>
      <c r="BT3" s="132">
        <v>0</v>
      </c>
      <c r="BU3" s="97">
        <v>0</v>
      </c>
      <c r="BV3" s="97">
        <v>0</v>
      </c>
      <c r="BW3" s="97">
        <v>0</v>
      </c>
      <c r="BX3" s="132">
        <v>0</v>
      </c>
      <c r="BY3" s="97">
        <v>0</v>
      </c>
      <c r="BZ3" s="97">
        <v>0</v>
      </c>
      <c r="CA3" s="97">
        <v>0</v>
      </c>
      <c r="CB3" s="97">
        <v>0</v>
      </c>
    </row>
    <row r="4" spans="1:80" s="4" customFormat="1" ht="5.5" customHeight="1" x14ac:dyDescent="0.35">
      <c r="A4" s="31"/>
      <c r="B4" s="415"/>
      <c r="C4" s="416"/>
      <c r="D4" s="415"/>
      <c r="E4" s="32"/>
      <c r="F4" s="100" t="str">
        <f>F2&amp;F3</f>
        <v>Used (1 or 0)All</v>
      </c>
      <c r="G4" s="112" t="str">
        <f>G2&amp;G3</f>
        <v>Capacity unitsAll</v>
      </c>
      <c r="H4" s="112" t="str">
        <f>H2&amp;H3</f>
        <v>Output unitsAll</v>
      </c>
      <c r="I4" s="112" t="str">
        <f t="shared" ref="I4:BT4" si="0">I2&amp;I3</f>
        <v>Yearly demand (output)All</v>
      </c>
      <c r="J4" s="112" t="str">
        <f t="shared" si="0"/>
        <v>Produced fromAll</v>
      </c>
      <c r="K4" s="112" t="str">
        <f t="shared" si="0"/>
        <v>El balanceAll</v>
      </c>
      <c r="L4" s="112" t="str">
        <f t="shared" si="0"/>
        <v>Heat balanceAll</v>
      </c>
      <c r="M4" s="112" t="str">
        <f t="shared" si="0"/>
        <v>Process heat balanceAll</v>
      </c>
      <c r="N4" s="112" t="str">
        <f t="shared" si="0"/>
        <v>H2 balanceAll</v>
      </c>
      <c r="O4" s="112" t="str">
        <f t="shared" si="0"/>
        <v>CSP balanceAll</v>
      </c>
      <c r="P4" s="100" t="str">
        <f t="shared" si="0"/>
        <v>Max CapacityAll</v>
      </c>
      <c r="Q4" s="11" t="str">
        <f t="shared" si="0"/>
        <v>Fuel production rate (kg output/kg input)0</v>
      </c>
      <c r="R4" s="11" t="str">
        <f t="shared" si="0"/>
        <v>Fuel production rate (kg output/kg input)0</v>
      </c>
      <c r="S4" s="11" t="str">
        <f t="shared" si="0"/>
        <v>Fuel production rate (kg output/kg input)0</v>
      </c>
      <c r="T4" s="100" t="str">
        <f t="shared" si="0"/>
        <v>Fuel production rate (kg output/kg input)0</v>
      </c>
      <c r="U4" s="11" t="str">
        <f t="shared" si="0"/>
        <v>Heat generated (kWh/output)0</v>
      </c>
      <c r="V4" s="11" t="str">
        <f t="shared" si="0"/>
        <v>Heat generated (kWh/output)0</v>
      </c>
      <c r="W4" s="11" t="str">
        <f t="shared" si="0"/>
        <v>Heat generated (kWh/output)0</v>
      </c>
      <c r="X4" s="100" t="str">
        <f t="shared" si="0"/>
        <v>Heat generated (kWh/output)0</v>
      </c>
      <c r="Y4" s="11" t="str">
        <f t="shared" si="0"/>
        <v>Process heat generated (kWh/output)0</v>
      </c>
      <c r="Z4" s="11" t="str">
        <f t="shared" si="0"/>
        <v>Process heat generated (kWh/output)0</v>
      </c>
      <c r="AA4" s="11" t="str">
        <f t="shared" si="0"/>
        <v>Process heat generated (kWh/output)0</v>
      </c>
      <c r="AB4" s="100" t="str">
        <f t="shared" si="0"/>
        <v>Process heat generated (kWh/output)0</v>
      </c>
      <c r="AC4" s="11" t="str">
        <f t="shared" si="0"/>
        <v>Load min (% of max capacity)0</v>
      </c>
      <c r="AD4" s="11" t="str">
        <f t="shared" si="0"/>
        <v>Load min (% of max capacity)0</v>
      </c>
      <c r="AE4" s="11" t="str">
        <f t="shared" si="0"/>
        <v>Load min (% of max capacity)0</v>
      </c>
      <c r="AF4" s="100" t="str">
        <f t="shared" si="0"/>
        <v>Load min (% of max capacity)0</v>
      </c>
      <c r="AG4" s="11" t="str">
        <f t="shared" si="0"/>
        <v>Ramp up (% of capacity /h)0</v>
      </c>
      <c r="AH4" s="11" t="str">
        <f t="shared" si="0"/>
        <v>Ramp up (% of capacity /h)0</v>
      </c>
      <c r="AI4" s="11" t="str">
        <f t="shared" si="0"/>
        <v>Ramp up (% of capacity /h)0</v>
      </c>
      <c r="AJ4" s="100" t="str">
        <f t="shared" si="0"/>
        <v>Ramp up (% of capacity /h)0</v>
      </c>
      <c r="AK4" s="11" t="str">
        <f t="shared" si="0"/>
        <v>Ramp down (% of capacity /h)0</v>
      </c>
      <c r="AL4" s="11" t="str">
        <f t="shared" si="0"/>
        <v>Ramp down (% of capacity /h)0</v>
      </c>
      <c r="AM4" s="11" t="str">
        <f t="shared" si="0"/>
        <v>Ramp down (% of capacity /h)0</v>
      </c>
      <c r="AN4" s="100" t="str">
        <f t="shared" si="0"/>
        <v>Ramp down (% of capacity /h)0</v>
      </c>
      <c r="AO4" s="11" t="str">
        <f t="shared" si="0"/>
        <v>Electrical consumption (kWh/output)0</v>
      </c>
      <c r="AP4" s="11" t="str">
        <f t="shared" si="0"/>
        <v>Electrical consumption (kWh/output)0</v>
      </c>
      <c r="AQ4" s="11" t="str">
        <f t="shared" si="0"/>
        <v>Electrical consumption (kWh/output)0</v>
      </c>
      <c r="AR4" s="100" t="str">
        <f t="shared" si="0"/>
        <v>Electrical consumption (kWh/output)0</v>
      </c>
      <c r="AS4" s="11" t="str">
        <f t="shared" si="0"/>
        <v>Investment (EUR/Capacity installed)0</v>
      </c>
      <c r="AT4" s="11" t="str">
        <f t="shared" si="0"/>
        <v>Investment (EUR/Capacity installed)0</v>
      </c>
      <c r="AU4" s="11" t="str">
        <f t="shared" si="0"/>
        <v>Investment (EUR/Capacity installed)0</v>
      </c>
      <c r="AV4" s="100" t="str">
        <f t="shared" si="0"/>
        <v>Investment (EUR/Capacity installed)0</v>
      </c>
      <c r="AW4" s="11" t="str">
        <f t="shared" si="0"/>
        <v>Fixed cost (EUR/Capacity installed/y)0</v>
      </c>
      <c r="AX4" s="11" t="str">
        <f t="shared" si="0"/>
        <v>Fixed cost (EUR/Capacity installed/y)0</v>
      </c>
      <c r="AY4" s="11" t="str">
        <f t="shared" si="0"/>
        <v>Fixed cost (EUR/Capacity installed/y)0</v>
      </c>
      <c r="AZ4" s="100" t="str">
        <f t="shared" si="0"/>
        <v>Fixed cost (EUR/Capacity installed/y)0</v>
      </c>
      <c r="BA4" s="11" t="str">
        <f t="shared" si="0"/>
        <v>Variable cost (EUR/output)0</v>
      </c>
      <c r="BB4" s="11" t="str">
        <f t="shared" si="0"/>
        <v>Variable cost (EUR/output)0</v>
      </c>
      <c r="BC4" s="11" t="str">
        <f t="shared" si="0"/>
        <v>Variable cost (EUR/output)0</v>
      </c>
      <c r="BD4" s="100" t="str">
        <f t="shared" si="0"/>
        <v>Variable cost (EUR/output)0</v>
      </c>
      <c r="BE4" s="11" t="str">
        <f t="shared" si="0"/>
        <v>Fuel selling price (EUR/output)0</v>
      </c>
      <c r="BF4" s="11" t="str">
        <f t="shared" si="0"/>
        <v>Fuel selling price (EUR/output)0</v>
      </c>
      <c r="BG4" s="11" t="str">
        <f t="shared" si="0"/>
        <v>Fuel selling price (EUR/output)0</v>
      </c>
      <c r="BH4" s="100" t="str">
        <f t="shared" si="0"/>
        <v>Fuel selling price (EUR/output)0</v>
      </c>
      <c r="BI4" s="11" t="str">
        <f t="shared" si="0"/>
        <v>CO2e infrastructure (kg CO2e/Capacity/y)0</v>
      </c>
      <c r="BJ4" s="11" t="str">
        <f t="shared" si="0"/>
        <v>CO2e infrastructure (kg CO2e/Capacity/y)0</v>
      </c>
      <c r="BK4" s="11" t="str">
        <f t="shared" si="0"/>
        <v>CO2e infrastructure (kg CO2e/Capacity/y)0</v>
      </c>
      <c r="BL4" s="100" t="str">
        <f t="shared" si="0"/>
        <v>CO2e infrastructure (kg CO2e/Capacity/y)0</v>
      </c>
      <c r="BM4" s="11" t="str">
        <f t="shared" si="0"/>
        <v>CO2e process (kg CO2e/output)0</v>
      </c>
      <c r="BN4" s="11" t="str">
        <f t="shared" si="0"/>
        <v>CO2e process (kg CO2e/output)0</v>
      </c>
      <c r="BO4" s="11" t="str">
        <f t="shared" si="0"/>
        <v>CO2e process (kg CO2e/output)0</v>
      </c>
      <c r="BP4" s="100" t="str">
        <f t="shared" si="0"/>
        <v>CO2e process (kg CO2e/output)0</v>
      </c>
      <c r="BQ4" s="11" t="str">
        <f t="shared" si="0"/>
        <v>Annuity factor0</v>
      </c>
      <c r="BR4" s="11" t="str">
        <f t="shared" si="0"/>
        <v>Annuity factor0</v>
      </c>
      <c r="BS4" s="11" t="str">
        <f t="shared" si="0"/>
        <v>Annuity factor0</v>
      </c>
      <c r="BT4" s="100" t="str">
        <f t="shared" si="0"/>
        <v>Annuity factor0</v>
      </c>
      <c r="BU4" s="11" t="str">
        <f t="shared" ref="BU4:CB4" si="1">BU2&amp;BU3</f>
        <v>Lifetime (years)0</v>
      </c>
      <c r="BV4" s="11" t="str">
        <f t="shared" si="1"/>
        <v>Lifetime (years)0</v>
      </c>
      <c r="BW4" s="11" t="str">
        <f t="shared" si="1"/>
        <v>Lifetime (years)0</v>
      </c>
      <c r="BX4" s="100"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15"/>
      <c r="C5" s="416"/>
      <c r="D5" s="415"/>
      <c r="E5" s="38" t="s">
        <v>10</v>
      </c>
      <c r="F5" s="101">
        <v>0</v>
      </c>
      <c r="G5" s="113">
        <v>0</v>
      </c>
      <c r="H5" s="113">
        <v>0</v>
      </c>
      <c r="I5" s="113">
        <v>0</v>
      </c>
      <c r="J5" s="113">
        <v>0</v>
      </c>
      <c r="K5" s="113">
        <v>0</v>
      </c>
      <c r="L5" s="113">
        <v>0</v>
      </c>
      <c r="M5" s="113">
        <v>0</v>
      </c>
      <c r="N5" s="113">
        <v>0</v>
      </c>
      <c r="O5" s="113">
        <v>0</v>
      </c>
      <c r="P5" s="101">
        <v>0</v>
      </c>
      <c r="Q5" s="5">
        <v>0</v>
      </c>
      <c r="R5" s="5">
        <v>0</v>
      </c>
      <c r="S5" s="5">
        <v>0</v>
      </c>
      <c r="T5" s="101">
        <v>0</v>
      </c>
      <c r="U5" s="5">
        <v>0</v>
      </c>
      <c r="V5" s="5">
        <v>0</v>
      </c>
      <c r="W5" s="5">
        <v>0</v>
      </c>
      <c r="X5" s="101">
        <v>0</v>
      </c>
      <c r="Y5" s="5">
        <v>0</v>
      </c>
      <c r="Z5" s="5">
        <v>0</v>
      </c>
      <c r="AA5" s="5">
        <v>0</v>
      </c>
      <c r="AB5" s="101">
        <v>0</v>
      </c>
      <c r="AC5" s="5">
        <v>0</v>
      </c>
      <c r="AD5" s="5">
        <v>0</v>
      </c>
      <c r="AE5" s="5">
        <v>0</v>
      </c>
      <c r="AF5" s="101">
        <v>0</v>
      </c>
      <c r="AG5" s="5">
        <v>0</v>
      </c>
      <c r="AH5" s="5">
        <v>0</v>
      </c>
      <c r="AI5" s="5">
        <v>0</v>
      </c>
      <c r="AJ5" s="101">
        <v>0</v>
      </c>
      <c r="AK5" s="5">
        <v>0</v>
      </c>
      <c r="AL5" s="5">
        <v>0</v>
      </c>
      <c r="AM5" s="5">
        <v>0</v>
      </c>
      <c r="AN5" s="101">
        <v>0</v>
      </c>
      <c r="AO5" s="5">
        <v>0</v>
      </c>
      <c r="AP5" s="5">
        <v>0</v>
      </c>
      <c r="AQ5" s="5">
        <v>0</v>
      </c>
      <c r="AR5" s="101">
        <v>0</v>
      </c>
      <c r="AS5" s="5">
        <v>0</v>
      </c>
      <c r="AT5" s="5">
        <v>0</v>
      </c>
      <c r="AU5" s="5">
        <v>0</v>
      </c>
      <c r="AV5" s="101">
        <v>0</v>
      </c>
      <c r="AW5" s="5">
        <v>0</v>
      </c>
      <c r="AX5" s="5">
        <v>0</v>
      </c>
      <c r="AY5" s="5">
        <v>0</v>
      </c>
      <c r="AZ5" s="101">
        <v>0</v>
      </c>
      <c r="BA5" s="5">
        <v>0</v>
      </c>
      <c r="BB5" s="5">
        <v>0</v>
      </c>
      <c r="BC5" s="5">
        <v>0</v>
      </c>
      <c r="BD5" s="101">
        <v>0</v>
      </c>
      <c r="BE5" s="5">
        <v>0</v>
      </c>
      <c r="BF5" s="5">
        <v>0</v>
      </c>
      <c r="BG5" s="5">
        <v>0</v>
      </c>
      <c r="BH5" s="101">
        <v>0</v>
      </c>
      <c r="BI5" s="5">
        <v>0</v>
      </c>
      <c r="BJ5" s="5">
        <v>0</v>
      </c>
      <c r="BK5" s="5">
        <v>0</v>
      </c>
      <c r="BL5" s="101">
        <v>0</v>
      </c>
      <c r="BM5" s="5">
        <v>0</v>
      </c>
      <c r="BN5" s="5">
        <v>0</v>
      </c>
      <c r="BO5" s="5">
        <v>0</v>
      </c>
      <c r="BP5" s="101">
        <v>0</v>
      </c>
      <c r="BQ5" s="5">
        <v>0</v>
      </c>
      <c r="BR5" s="5">
        <v>0</v>
      </c>
      <c r="BS5" s="5">
        <v>0</v>
      </c>
      <c r="BT5" s="101">
        <v>0</v>
      </c>
      <c r="BU5" s="5">
        <v>0</v>
      </c>
      <c r="BV5" s="5">
        <v>0</v>
      </c>
      <c r="BW5" s="5">
        <v>0</v>
      </c>
      <c r="BX5" s="101">
        <v>0</v>
      </c>
      <c r="BY5" s="5">
        <v>0</v>
      </c>
      <c r="BZ5" s="5">
        <v>0</v>
      </c>
      <c r="CA5" s="5">
        <v>0</v>
      </c>
      <c r="CB5" s="5">
        <v>0</v>
      </c>
    </row>
    <row r="6" spans="1:80" s="25" customFormat="1" ht="18" customHeight="1" x14ac:dyDescent="0.35">
      <c r="A6" s="413" t="s">
        <v>11</v>
      </c>
      <c r="B6" s="285" t="s">
        <v>97</v>
      </c>
      <c r="C6" s="286" t="s">
        <v>184</v>
      </c>
      <c r="D6" s="287" t="s">
        <v>425</v>
      </c>
      <c r="E6" s="6">
        <v>0</v>
      </c>
      <c r="F6" s="299">
        <v>0</v>
      </c>
      <c r="G6" s="301" t="s">
        <v>426</v>
      </c>
      <c r="H6" s="301" t="s">
        <v>427</v>
      </c>
      <c r="I6" s="303">
        <v>0</v>
      </c>
      <c r="J6" s="312" t="str">
        <f>B7</f>
        <v>Product/Reactant1</v>
      </c>
      <c r="K6" s="321">
        <v>0</v>
      </c>
      <c r="L6" s="321">
        <v>0</v>
      </c>
      <c r="M6" s="321">
        <v>0</v>
      </c>
      <c r="N6" s="321">
        <v>0</v>
      </c>
      <c r="O6" s="321">
        <v>0</v>
      </c>
      <c r="P6" s="289">
        <v>0</v>
      </c>
      <c r="Q6" s="288">
        <v>0</v>
      </c>
      <c r="R6" s="288">
        <v>0</v>
      </c>
      <c r="S6" s="288">
        <v>0</v>
      </c>
      <c r="T6" s="289">
        <v>0</v>
      </c>
      <c r="U6" s="288">
        <v>0</v>
      </c>
      <c r="V6" s="288">
        <v>0</v>
      </c>
      <c r="W6" s="288">
        <v>0</v>
      </c>
      <c r="X6" s="289">
        <v>0</v>
      </c>
      <c r="Y6" s="288">
        <v>0</v>
      </c>
      <c r="Z6" s="288">
        <v>0</v>
      </c>
      <c r="AA6" s="288">
        <v>0</v>
      </c>
      <c r="AB6" s="289">
        <v>0</v>
      </c>
      <c r="AC6" s="291">
        <v>0</v>
      </c>
      <c r="AD6" s="327">
        <v>0</v>
      </c>
      <c r="AE6" s="327">
        <v>0</v>
      </c>
      <c r="AF6" s="327">
        <v>0</v>
      </c>
      <c r="AG6" s="291">
        <v>0</v>
      </c>
      <c r="AH6" s="327">
        <v>0</v>
      </c>
      <c r="AI6" s="327">
        <v>0</v>
      </c>
      <c r="AJ6" s="327">
        <v>0</v>
      </c>
      <c r="AK6" s="291">
        <v>0</v>
      </c>
      <c r="AL6" s="327">
        <v>0</v>
      </c>
      <c r="AM6" s="327">
        <v>0</v>
      </c>
      <c r="AN6" s="356">
        <v>0</v>
      </c>
      <c r="AO6" s="329">
        <v>0</v>
      </c>
      <c r="AP6" s="329">
        <v>0</v>
      </c>
      <c r="AQ6" s="329">
        <v>0</v>
      </c>
      <c r="AR6" s="363">
        <v>0</v>
      </c>
      <c r="AS6" s="332">
        <v>0</v>
      </c>
      <c r="AT6" s="332">
        <v>0</v>
      </c>
      <c r="AU6" s="332">
        <v>0</v>
      </c>
      <c r="AV6" s="332">
        <v>0</v>
      </c>
      <c r="AW6" s="290">
        <v>0</v>
      </c>
      <c r="AX6" s="288">
        <v>0</v>
      </c>
      <c r="AY6" s="288">
        <v>0</v>
      </c>
      <c r="AZ6" s="288">
        <v>0</v>
      </c>
      <c r="BA6" s="292">
        <v>0</v>
      </c>
      <c r="BB6" s="330">
        <v>0</v>
      </c>
      <c r="BC6" s="330">
        <v>0</v>
      </c>
      <c r="BD6" s="330">
        <v>0</v>
      </c>
      <c r="BE6" s="290">
        <v>0</v>
      </c>
      <c r="BF6" s="288">
        <v>0</v>
      </c>
      <c r="BG6" s="288">
        <v>0</v>
      </c>
      <c r="BH6" s="289">
        <v>0</v>
      </c>
      <c r="BI6" s="288">
        <v>0</v>
      </c>
      <c r="BJ6" s="288">
        <v>0</v>
      </c>
      <c r="BK6" s="288">
        <v>0</v>
      </c>
      <c r="BL6" s="289">
        <v>0</v>
      </c>
      <c r="BM6" s="288">
        <v>0</v>
      </c>
      <c r="BN6" s="288">
        <v>0</v>
      </c>
      <c r="BO6" s="288">
        <v>0</v>
      </c>
      <c r="BP6" s="289">
        <v>0</v>
      </c>
      <c r="BQ6" s="288">
        <v>0</v>
      </c>
      <c r="BR6" s="288">
        <v>0</v>
      </c>
      <c r="BS6" s="288">
        <v>0</v>
      </c>
      <c r="BT6" s="289">
        <v>0</v>
      </c>
      <c r="BU6" s="288">
        <v>0</v>
      </c>
      <c r="BV6" s="288">
        <v>0</v>
      </c>
      <c r="BW6" s="288">
        <v>0</v>
      </c>
      <c r="BX6" s="289">
        <v>0</v>
      </c>
      <c r="BY6" s="288">
        <v>0</v>
      </c>
      <c r="BZ6" s="288">
        <v>0</v>
      </c>
      <c r="CA6" s="288">
        <v>0</v>
      </c>
      <c r="CB6" s="288">
        <v>0</v>
      </c>
    </row>
    <row r="7" spans="1:80" x14ac:dyDescent="0.35">
      <c r="A7" s="413"/>
      <c r="B7" s="285" t="s">
        <v>96</v>
      </c>
      <c r="C7" s="286" t="s">
        <v>184</v>
      </c>
      <c r="D7" s="287" t="s">
        <v>429</v>
      </c>
      <c r="E7" s="6">
        <v>0</v>
      </c>
      <c r="F7" s="299">
        <v>0</v>
      </c>
      <c r="G7" s="301" t="s">
        <v>373</v>
      </c>
      <c r="H7" s="301" t="s">
        <v>374</v>
      </c>
      <c r="I7" s="304">
        <v>0</v>
      </c>
      <c r="J7" s="312" t="str">
        <f>B8</f>
        <v>Product/Reactant2</v>
      </c>
      <c r="K7" s="321">
        <v>0</v>
      </c>
      <c r="L7" s="321">
        <v>0</v>
      </c>
      <c r="M7" s="321">
        <v>0</v>
      </c>
      <c r="N7" s="321">
        <v>0</v>
      </c>
      <c r="O7" s="321">
        <v>0</v>
      </c>
      <c r="P7" s="289">
        <v>0</v>
      </c>
      <c r="Q7" s="288">
        <v>0</v>
      </c>
      <c r="R7" s="288">
        <v>0</v>
      </c>
      <c r="S7" s="288">
        <v>0</v>
      </c>
      <c r="T7" s="289">
        <v>0</v>
      </c>
      <c r="U7" s="288">
        <v>0</v>
      </c>
      <c r="V7" s="288">
        <v>0</v>
      </c>
      <c r="W7" s="288">
        <v>0</v>
      </c>
      <c r="X7" s="289">
        <v>0</v>
      </c>
      <c r="Y7" s="288">
        <v>0</v>
      </c>
      <c r="Z7" s="288">
        <v>0</v>
      </c>
      <c r="AA7" s="288">
        <v>0</v>
      </c>
      <c r="AB7" s="289">
        <v>0</v>
      </c>
      <c r="AC7" s="291">
        <v>0</v>
      </c>
      <c r="AD7" s="327">
        <v>0</v>
      </c>
      <c r="AE7" s="327">
        <v>0</v>
      </c>
      <c r="AF7" s="327">
        <v>0</v>
      </c>
      <c r="AG7" s="291">
        <v>0</v>
      </c>
      <c r="AH7" s="327">
        <v>0</v>
      </c>
      <c r="AI7" s="327">
        <v>0</v>
      </c>
      <c r="AJ7" s="327">
        <v>0</v>
      </c>
      <c r="AK7" s="291">
        <v>0</v>
      </c>
      <c r="AL7" s="327">
        <v>0</v>
      </c>
      <c r="AM7" s="327">
        <v>0</v>
      </c>
      <c r="AN7" s="356">
        <v>0</v>
      </c>
      <c r="AO7" s="330">
        <v>0</v>
      </c>
      <c r="AP7" s="330">
        <v>0</v>
      </c>
      <c r="AQ7" s="330">
        <v>0</v>
      </c>
      <c r="AR7" s="364">
        <v>0</v>
      </c>
      <c r="AS7" s="333">
        <v>0</v>
      </c>
      <c r="AT7" s="333">
        <v>0</v>
      </c>
      <c r="AU7" s="333">
        <v>0</v>
      </c>
      <c r="AV7" s="333">
        <v>0</v>
      </c>
      <c r="AW7" s="292">
        <v>0</v>
      </c>
      <c r="AX7" s="330">
        <v>0</v>
      </c>
      <c r="AY7" s="330">
        <v>0</v>
      </c>
      <c r="AZ7" s="330">
        <v>0</v>
      </c>
      <c r="BA7" s="292">
        <v>0</v>
      </c>
      <c r="BB7" s="330">
        <v>0</v>
      </c>
      <c r="BC7" s="330">
        <v>0</v>
      </c>
      <c r="BD7" s="330">
        <v>0</v>
      </c>
      <c r="BE7" s="290">
        <v>0</v>
      </c>
      <c r="BF7" s="288">
        <v>0</v>
      </c>
      <c r="BG7" s="288">
        <v>0</v>
      </c>
      <c r="BH7" s="289">
        <v>0</v>
      </c>
      <c r="BI7" s="288">
        <v>0</v>
      </c>
      <c r="BJ7" s="288">
        <v>0</v>
      </c>
      <c r="BK7" s="288">
        <v>0</v>
      </c>
      <c r="BL7" s="289">
        <v>0</v>
      </c>
      <c r="BM7" s="288">
        <v>0</v>
      </c>
      <c r="BN7" s="288">
        <v>0</v>
      </c>
      <c r="BO7" s="288">
        <v>0</v>
      </c>
      <c r="BP7" s="289">
        <v>0</v>
      </c>
      <c r="BQ7" s="288">
        <v>0</v>
      </c>
      <c r="BR7" s="288">
        <v>0</v>
      </c>
      <c r="BS7" s="288">
        <v>0</v>
      </c>
      <c r="BT7" s="289">
        <v>0</v>
      </c>
      <c r="BU7" s="288">
        <v>0</v>
      </c>
      <c r="BV7" s="288">
        <v>0</v>
      </c>
      <c r="BW7" s="288">
        <v>0</v>
      </c>
      <c r="BX7" s="289">
        <v>0</v>
      </c>
      <c r="BY7" s="288">
        <v>0</v>
      </c>
      <c r="BZ7" s="288">
        <v>0</v>
      </c>
      <c r="CA7" s="288">
        <v>0</v>
      </c>
      <c r="CB7" s="288">
        <v>0</v>
      </c>
    </row>
    <row r="8" spans="1:80" x14ac:dyDescent="0.35">
      <c r="A8" s="413"/>
      <c r="B8" s="285" t="s">
        <v>428</v>
      </c>
      <c r="C8" s="293" t="s">
        <v>119</v>
      </c>
      <c r="D8" s="287" t="s">
        <v>447</v>
      </c>
      <c r="E8" s="6">
        <v>0</v>
      </c>
      <c r="F8" s="299">
        <v>0</v>
      </c>
      <c r="G8" s="301" t="s">
        <v>375</v>
      </c>
      <c r="H8" s="301" t="s">
        <v>376</v>
      </c>
      <c r="I8" s="304">
        <v>0</v>
      </c>
      <c r="J8" s="312" t="str">
        <f>B34</f>
        <v>Reactant10</v>
      </c>
      <c r="K8" s="321">
        <v>0</v>
      </c>
      <c r="L8" s="321">
        <v>0</v>
      </c>
      <c r="M8" s="321">
        <v>0</v>
      </c>
      <c r="N8" s="321">
        <v>0</v>
      </c>
      <c r="O8" s="321">
        <v>0</v>
      </c>
      <c r="P8" s="289">
        <v>0</v>
      </c>
      <c r="Q8" s="288">
        <v>0</v>
      </c>
      <c r="R8" s="288">
        <v>0</v>
      </c>
      <c r="S8" s="288">
        <v>0</v>
      </c>
      <c r="T8" s="289">
        <v>0</v>
      </c>
      <c r="U8" s="288">
        <v>0</v>
      </c>
      <c r="V8" s="288" t="s">
        <v>450</v>
      </c>
      <c r="W8" s="288">
        <v>0</v>
      </c>
      <c r="X8" s="289">
        <v>0</v>
      </c>
      <c r="Y8" s="288">
        <v>0</v>
      </c>
      <c r="Z8" s="288">
        <v>0</v>
      </c>
      <c r="AA8" s="288">
        <v>0</v>
      </c>
      <c r="AB8" s="288">
        <v>0</v>
      </c>
      <c r="AC8" s="291">
        <v>0</v>
      </c>
      <c r="AD8" s="327" t="s">
        <v>451</v>
      </c>
      <c r="AE8" s="327">
        <v>0</v>
      </c>
      <c r="AF8" s="327">
        <v>0</v>
      </c>
      <c r="AG8" s="291">
        <v>0</v>
      </c>
      <c r="AH8" s="327" t="s">
        <v>452</v>
      </c>
      <c r="AI8" s="327">
        <v>0</v>
      </c>
      <c r="AJ8" s="327">
        <v>0</v>
      </c>
      <c r="AK8" s="291">
        <v>0</v>
      </c>
      <c r="AL8" s="327" t="s">
        <v>452</v>
      </c>
      <c r="AM8" s="327">
        <v>0</v>
      </c>
      <c r="AN8" s="356">
        <v>0</v>
      </c>
      <c r="AO8" s="329">
        <v>0</v>
      </c>
      <c r="AP8" s="329" t="s">
        <v>452</v>
      </c>
      <c r="AQ8" s="329">
        <v>0</v>
      </c>
      <c r="AR8" s="363">
        <v>0</v>
      </c>
      <c r="AS8" s="332">
        <v>0</v>
      </c>
      <c r="AT8" s="332" t="s">
        <v>453</v>
      </c>
      <c r="AU8" s="332">
        <v>0</v>
      </c>
      <c r="AV8" s="332">
        <v>0</v>
      </c>
      <c r="AW8" s="290">
        <v>0</v>
      </c>
      <c r="AX8" s="288" t="s">
        <v>454</v>
      </c>
      <c r="AY8" s="288">
        <v>0</v>
      </c>
      <c r="AZ8" s="288">
        <v>0</v>
      </c>
      <c r="BA8" s="292">
        <v>0</v>
      </c>
      <c r="BB8" s="330">
        <v>0</v>
      </c>
      <c r="BC8" s="330">
        <v>0</v>
      </c>
      <c r="BD8" s="330">
        <v>0</v>
      </c>
      <c r="BE8" s="290">
        <v>0</v>
      </c>
      <c r="BF8" s="288">
        <v>0</v>
      </c>
      <c r="BG8" s="288">
        <v>0</v>
      </c>
      <c r="BH8" s="289">
        <v>0</v>
      </c>
      <c r="BI8" s="288">
        <v>0</v>
      </c>
      <c r="BJ8" s="288">
        <v>0</v>
      </c>
      <c r="BK8" s="288">
        <v>0</v>
      </c>
      <c r="BL8" s="289">
        <v>0</v>
      </c>
      <c r="BM8" s="288">
        <v>0</v>
      </c>
      <c r="BN8" s="288">
        <v>0</v>
      </c>
      <c r="BO8" s="288">
        <v>0</v>
      </c>
      <c r="BP8" s="289">
        <v>0</v>
      </c>
      <c r="BQ8" s="288">
        <v>0</v>
      </c>
      <c r="BR8" s="288" t="s">
        <v>455</v>
      </c>
      <c r="BS8" s="288">
        <v>0</v>
      </c>
      <c r="BT8" s="289">
        <v>0</v>
      </c>
      <c r="BU8" s="288">
        <v>0</v>
      </c>
      <c r="BV8" s="288">
        <v>0</v>
      </c>
      <c r="BW8" s="288">
        <v>0</v>
      </c>
      <c r="BX8" s="289">
        <v>0</v>
      </c>
      <c r="BY8" s="288">
        <v>0</v>
      </c>
      <c r="BZ8" s="288">
        <v>0</v>
      </c>
      <c r="CA8" s="288">
        <v>0</v>
      </c>
      <c r="CB8" s="288">
        <v>0</v>
      </c>
    </row>
    <row r="9" spans="1:80" s="376" customFormat="1" x14ac:dyDescent="0.35">
      <c r="A9" s="413"/>
      <c r="B9" s="366" t="s">
        <v>97</v>
      </c>
      <c r="C9" s="367" t="s">
        <v>184</v>
      </c>
      <c r="D9" s="368" t="s">
        <v>430</v>
      </c>
      <c r="E9" s="369">
        <v>0</v>
      </c>
      <c r="F9" s="370">
        <v>0</v>
      </c>
      <c r="G9" s="371" t="s">
        <v>426</v>
      </c>
      <c r="H9" s="371" t="s">
        <v>427</v>
      </c>
      <c r="I9" s="372">
        <v>0</v>
      </c>
      <c r="J9" s="373" t="str">
        <f>B10</f>
        <v>Product/Reactant3</v>
      </c>
      <c r="K9" s="374">
        <v>0</v>
      </c>
      <c r="L9" s="374">
        <v>0</v>
      </c>
      <c r="M9" s="374">
        <v>0</v>
      </c>
      <c r="N9" s="374">
        <v>0</v>
      </c>
      <c r="O9" s="374">
        <v>0</v>
      </c>
      <c r="P9" s="375">
        <v>0</v>
      </c>
      <c r="Q9" s="376">
        <v>0</v>
      </c>
      <c r="R9" s="376" t="s">
        <v>456</v>
      </c>
      <c r="S9" s="376">
        <v>0</v>
      </c>
      <c r="T9" s="375">
        <v>0</v>
      </c>
      <c r="U9" s="376">
        <v>0</v>
      </c>
      <c r="V9" s="376">
        <v>0</v>
      </c>
      <c r="W9" s="376">
        <v>0</v>
      </c>
      <c r="X9" s="375">
        <v>0</v>
      </c>
      <c r="Y9" s="376">
        <v>0</v>
      </c>
      <c r="Z9" s="376">
        <v>0</v>
      </c>
      <c r="AA9" s="376">
        <v>0</v>
      </c>
      <c r="AB9" s="375">
        <v>0</v>
      </c>
      <c r="AC9" s="377">
        <v>0</v>
      </c>
      <c r="AD9" s="378">
        <v>0</v>
      </c>
      <c r="AE9" s="378">
        <v>0</v>
      </c>
      <c r="AF9" s="378">
        <v>0</v>
      </c>
      <c r="AG9" s="377">
        <v>0</v>
      </c>
      <c r="AH9" s="378">
        <v>0</v>
      </c>
      <c r="AI9" s="378">
        <v>0</v>
      </c>
      <c r="AJ9" s="378">
        <v>0</v>
      </c>
      <c r="AK9" s="377">
        <v>0</v>
      </c>
      <c r="AL9" s="378">
        <v>0</v>
      </c>
      <c r="AM9" s="378">
        <v>0</v>
      </c>
      <c r="AN9" s="379">
        <v>0</v>
      </c>
      <c r="AO9" s="380">
        <v>0</v>
      </c>
      <c r="AP9" s="380">
        <v>0</v>
      </c>
      <c r="AQ9" s="380">
        <v>0</v>
      </c>
      <c r="AR9" s="381">
        <v>0</v>
      </c>
      <c r="AS9" s="382">
        <v>0</v>
      </c>
      <c r="AT9" s="382">
        <v>0</v>
      </c>
      <c r="AU9" s="382">
        <v>0</v>
      </c>
      <c r="AV9" s="382">
        <v>0</v>
      </c>
      <c r="AW9" s="383">
        <v>0</v>
      </c>
      <c r="AX9" s="376">
        <v>0</v>
      </c>
      <c r="AY9" s="376">
        <v>0</v>
      </c>
      <c r="AZ9" s="376">
        <v>0</v>
      </c>
      <c r="BA9" s="384">
        <v>0</v>
      </c>
      <c r="BB9" s="385">
        <v>0</v>
      </c>
      <c r="BC9" s="385">
        <v>0</v>
      </c>
      <c r="BD9" s="385">
        <v>0</v>
      </c>
      <c r="BE9" s="383">
        <v>0</v>
      </c>
      <c r="BF9" s="376">
        <v>0</v>
      </c>
      <c r="BG9" s="376">
        <v>0</v>
      </c>
      <c r="BH9" s="375">
        <v>0</v>
      </c>
      <c r="BI9" s="376">
        <v>0</v>
      </c>
      <c r="BJ9" s="376">
        <v>0</v>
      </c>
      <c r="BK9" s="376">
        <v>0</v>
      </c>
      <c r="BL9" s="375">
        <v>0</v>
      </c>
      <c r="BM9" s="376">
        <v>0</v>
      </c>
      <c r="BN9" s="376">
        <v>0</v>
      </c>
      <c r="BO9" s="376">
        <v>0</v>
      </c>
      <c r="BP9" s="375">
        <v>0</v>
      </c>
      <c r="BQ9" s="376">
        <v>0</v>
      </c>
      <c r="BR9" s="376">
        <v>0</v>
      </c>
      <c r="BS9" s="376">
        <v>0</v>
      </c>
      <c r="BT9" s="375">
        <v>0</v>
      </c>
      <c r="BU9" s="376">
        <v>0</v>
      </c>
      <c r="BV9" s="376">
        <v>0</v>
      </c>
      <c r="BW9" s="376">
        <v>0</v>
      </c>
      <c r="BX9" s="375">
        <v>0</v>
      </c>
      <c r="BY9" s="376">
        <v>0</v>
      </c>
      <c r="BZ9" s="376">
        <v>0</v>
      </c>
      <c r="CA9" s="376">
        <v>0</v>
      </c>
      <c r="CB9" s="376">
        <v>0</v>
      </c>
    </row>
    <row r="10" spans="1:80" s="376" customFormat="1" x14ac:dyDescent="0.35">
      <c r="A10" s="413"/>
      <c r="B10" s="366" t="s">
        <v>98</v>
      </c>
      <c r="C10" s="386" t="s">
        <v>119</v>
      </c>
      <c r="D10" s="368" t="s">
        <v>448</v>
      </c>
      <c r="E10" s="369">
        <v>0</v>
      </c>
      <c r="F10" s="370">
        <v>0</v>
      </c>
      <c r="G10" s="371" t="s">
        <v>375</v>
      </c>
      <c r="H10" s="371" t="s">
        <v>376</v>
      </c>
      <c r="I10" s="372">
        <v>0</v>
      </c>
      <c r="J10" s="373" t="str">
        <f>B34</f>
        <v>Reactant10</v>
      </c>
      <c r="K10" s="374">
        <v>0</v>
      </c>
      <c r="L10" s="374">
        <v>0</v>
      </c>
      <c r="M10" s="374">
        <v>0</v>
      </c>
      <c r="N10" s="374">
        <v>0</v>
      </c>
      <c r="O10" s="374">
        <v>0</v>
      </c>
      <c r="P10" s="375">
        <v>0</v>
      </c>
      <c r="Q10" s="376">
        <v>0</v>
      </c>
      <c r="R10" s="376" t="s">
        <v>457</v>
      </c>
      <c r="S10" s="376">
        <v>0</v>
      </c>
      <c r="T10" s="375">
        <v>0</v>
      </c>
      <c r="U10" s="376">
        <v>0</v>
      </c>
      <c r="V10" s="376" t="s">
        <v>458</v>
      </c>
      <c r="W10" s="376">
        <v>0</v>
      </c>
      <c r="X10" s="375">
        <v>0</v>
      </c>
      <c r="Y10" s="376">
        <v>0</v>
      </c>
      <c r="Z10" s="376">
        <v>0</v>
      </c>
      <c r="AA10" s="376">
        <v>0</v>
      </c>
      <c r="AB10" s="376">
        <v>0</v>
      </c>
      <c r="AC10" s="377">
        <v>0</v>
      </c>
      <c r="AD10" s="378" t="s">
        <v>451</v>
      </c>
      <c r="AE10" s="378">
        <v>0</v>
      </c>
      <c r="AF10" s="378">
        <v>0</v>
      </c>
      <c r="AG10" s="377">
        <v>0</v>
      </c>
      <c r="AH10" s="378" t="s">
        <v>452</v>
      </c>
      <c r="AI10" s="378">
        <v>0</v>
      </c>
      <c r="AJ10" s="378">
        <v>0</v>
      </c>
      <c r="AK10" s="377">
        <v>0</v>
      </c>
      <c r="AL10" s="378" t="s">
        <v>452</v>
      </c>
      <c r="AM10" s="378">
        <v>0</v>
      </c>
      <c r="AN10" s="379">
        <v>0</v>
      </c>
      <c r="AO10" s="380">
        <v>0</v>
      </c>
      <c r="AP10" s="380">
        <v>0</v>
      </c>
      <c r="AQ10" s="380">
        <v>0</v>
      </c>
      <c r="AR10" s="381">
        <v>0</v>
      </c>
      <c r="AS10" s="382">
        <v>0</v>
      </c>
      <c r="AT10" s="382" t="s">
        <v>459</v>
      </c>
      <c r="AU10" s="382"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2"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7">
        <v>0</v>
      </c>
      <c r="AX10" s="376" t="s">
        <v>460</v>
      </c>
      <c r="AY10" s="376">
        <v>0</v>
      </c>
      <c r="AZ10" s="376">
        <v>0</v>
      </c>
      <c r="BA10" s="384">
        <v>0</v>
      </c>
      <c r="BB10" s="385">
        <v>0</v>
      </c>
      <c r="BC10" s="385">
        <v>0</v>
      </c>
      <c r="BD10" s="385">
        <v>0</v>
      </c>
      <c r="BE10" s="383">
        <v>0</v>
      </c>
      <c r="BF10" s="376">
        <v>0</v>
      </c>
      <c r="BG10" s="376">
        <v>0</v>
      </c>
      <c r="BH10" s="375">
        <v>0</v>
      </c>
      <c r="BI10" s="376">
        <v>0</v>
      </c>
      <c r="BJ10" s="376">
        <v>0</v>
      </c>
      <c r="BK10" s="376">
        <v>0</v>
      </c>
      <c r="BL10" s="375">
        <v>0</v>
      </c>
      <c r="BM10" s="376">
        <v>0</v>
      </c>
      <c r="BN10" s="376">
        <v>0</v>
      </c>
      <c r="BO10" s="376">
        <v>0</v>
      </c>
      <c r="BP10" s="375">
        <v>0</v>
      </c>
      <c r="BQ10" s="376">
        <v>0</v>
      </c>
      <c r="BR10" s="376" t="s">
        <v>455</v>
      </c>
      <c r="BS10" s="376">
        <v>0</v>
      </c>
      <c r="BT10" s="375">
        <v>0</v>
      </c>
      <c r="BU10" s="376">
        <v>0</v>
      </c>
      <c r="BV10" s="376">
        <v>0</v>
      </c>
      <c r="BW10" s="376">
        <v>0</v>
      </c>
      <c r="BX10" s="375">
        <v>0</v>
      </c>
      <c r="BY10" s="376">
        <v>0</v>
      </c>
      <c r="BZ10" s="376">
        <v>0</v>
      </c>
      <c r="CA10" s="376">
        <v>0</v>
      </c>
      <c r="CB10" s="376">
        <v>0</v>
      </c>
    </row>
    <row r="11" spans="1:80" x14ac:dyDescent="0.35">
      <c r="A11" s="413"/>
      <c r="B11" s="75" t="s">
        <v>97</v>
      </c>
      <c r="C11" s="76" t="s">
        <v>184</v>
      </c>
      <c r="D11" s="77" t="s">
        <v>432</v>
      </c>
      <c r="E11" s="6">
        <v>0</v>
      </c>
      <c r="F11" s="300">
        <v>0</v>
      </c>
      <c r="G11" s="302" t="s">
        <v>426</v>
      </c>
      <c r="H11" s="302" t="s">
        <v>427</v>
      </c>
      <c r="I11" s="303">
        <v>0</v>
      </c>
      <c r="J11" s="314" t="str">
        <f>B12</f>
        <v>Product/Reactant4</v>
      </c>
      <c r="K11" s="322">
        <v>0</v>
      </c>
      <c r="L11" s="322">
        <v>0</v>
      </c>
      <c r="M11" s="322">
        <v>0</v>
      </c>
      <c r="N11" s="322">
        <v>0</v>
      </c>
      <c r="O11" s="322">
        <v>0</v>
      </c>
      <c r="P11" s="295">
        <v>0</v>
      </c>
      <c r="Q11" s="294">
        <v>0</v>
      </c>
      <c r="R11" s="294">
        <v>0</v>
      </c>
      <c r="S11" s="294">
        <v>0</v>
      </c>
      <c r="T11" s="295">
        <v>0</v>
      </c>
      <c r="U11" s="294">
        <v>0</v>
      </c>
      <c r="V11" s="294">
        <v>0</v>
      </c>
      <c r="W11" s="294">
        <v>0</v>
      </c>
      <c r="X11" s="295">
        <v>0</v>
      </c>
      <c r="Y11" s="294">
        <v>0</v>
      </c>
      <c r="Z11" s="294">
        <v>0</v>
      </c>
      <c r="AA11" s="294">
        <v>0</v>
      </c>
      <c r="AB11" s="295">
        <v>0</v>
      </c>
      <c r="AC11" s="297">
        <v>0</v>
      </c>
      <c r="AD11" s="328">
        <v>0</v>
      </c>
      <c r="AE11" s="328">
        <v>0</v>
      </c>
      <c r="AF11" s="328">
        <v>0</v>
      </c>
      <c r="AG11" s="297">
        <v>0</v>
      </c>
      <c r="AH11" s="328">
        <v>0</v>
      </c>
      <c r="AI11" s="328">
        <v>0</v>
      </c>
      <c r="AJ11" s="328">
        <v>0</v>
      </c>
      <c r="AK11" s="297">
        <v>0</v>
      </c>
      <c r="AL11" s="328">
        <v>0</v>
      </c>
      <c r="AM11" s="328">
        <v>0</v>
      </c>
      <c r="AN11" s="357">
        <v>0</v>
      </c>
      <c r="AO11" s="331">
        <v>0</v>
      </c>
      <c r="AP11" s="331">
        <v>0</v>
      </c>
      <c r="AQ11" s="331">
        <v>0</v>
      </c>
      <c r="AR11" s="365">
        <v>0</v>
      </c>
      <c r="AS11" s="362">
        <v>0</v>
      </c>
      <c r="AT11" s="294">
        <v>0</v>
      </c>
      <c r="AU11" s="294">
        <v>0</v>
      </c>
      <c r="AV11" s="294">
        <v>0</v>
      </c>
      <c r="AW11" s="296">
        <v>0</v>
      </c>
      <c r="AX11" s="294">
        <v>0</v>
      </c>
      <c r="AY11" s="294">
        <v>0</v>
      </c>
      <c r="AZ11" s="294">
        <v>0</v>
      </c>
      <c r="BA11" s="298">
        <v>0</v>
      </c>
      <c r="BB11" s="331">
        <v>0</v>
      </c>
      <c r="BC11" s="331">
        <v>0</v>
      </c>
      <c r="BD11" s="331">
        <v>0</v>
      </c>
      <c r="BE11" s="296">
        <v>0</v>
      </c>
      <c r="BF11" s="294">
        <v>0</v>
      </c>
      <c r="BG11" s="294">
        <v>0</v>
      </c>
      <c r="BH11" s="295">
        <v>0</v>
      </c>
      <c r="BI11" s="294">
        <v>0</v>
      </c>
      <c r="BJ11" s="294">
        <v>0</v>
      </c>
      <c r="BK11" s="294">
        <v>0</v>
      </c>
      <c r="BL11" s="295">
        <v>0</v>
      </c>
      <c r="BM11" s="294">
        <v>0</v>
      </c>
      <c r="BN11" s="294">
        <v>0</v>
      </c>
      <c r="BO11" s="294">
        <v>0</v>
      </c>
      <c r="BP11" s="295">
        <v>0</v>
      </c>
      <c r="BQ11" s="294">
        <v>0</v>
      </c>
      <c r="BR11" s="294">
        <v>0</v>
      </c>
      <c r="BS11" s="294">
        <v>0</v>
      </c>
      <c r="BT11" s="295">
        <v>0</v>
      </c>
      <c r="BU11" s="294">
        <v>0</v>
      </c>
      <c r="BV11" s="294">
        <v>0</v>
      </c>
      <c r="BW11" s="294">
        <v>0</v>
      </c>
      <c r="BX11" s="295">
        <v>0</v>
      </c>
      <c r="BY11" s="294">
        <v>0</v>
      </c>
      <c r="BZ11" s="294">
        <v>0</v>
      </c>
      <c r="CA11" s="294">
        <v>0</v>
      </c>
      <c r="CB11" s="294">
        <v>0</v>
      </c>
    </row>
    <row r="12" spans="1:80" x14ac:dyDescent="0.35">
      <c r="A12" s="413"/>
      <c r="B12" s="75" t="s">
        <v>431</v>
      </c>
      <c r="C12" s="82" t="s">
        <v>119</v>
      </c>
      <c r="D12" s="77" t="s">
        <v>446</v>
      </c>
      <c r="E12" s="6">
        <v>0</v>
      </c>
      <c r="F12" s="300">
        <v>0</v>
      </c>
      <c r="G12" s="302" t="s">
        <v>434</v>
      </c>
      <c r="H12" s="302" t="s">
        <v>435</v>
      </c>
      <c r="I12" s="306">
        <v>0</v>
      </c>
      <c r="J12" s="314" t="str">
        <f>B34</f>
        <v>Reactant10</v>
      </c>
      <c r="K12" s="322">
        <v>0</v>
      </c>
      <c r="L12" s="322">
        <v>0</v>
      </c>
      <c r="M12" s="322">
        <v>0</v>
      </c>
      <c r="N12" s="322">
        <v>0</v>
      </c>
      <c r="O12" s="322">
        <v>0</v>
      </c>
      <c r="P12" s="295">
        <v>0</v>
      </c>
      <c r="Q12" s="296">
        <v>0</v>
      </c>
      <c r="R12" s="294">
        <v>0</v>
      </c>
      <c r="S12" s="294">
        <v>0</v>
      </c>
      <c r="T12" s="295">
        <v>0</v>
      </c>
      <c r="U12" s="294">
        <v>0</v>
      </c>
      <c r="V12" s="294">
        <v>0</v>
      </c>
      <c r="W12" s="294">
        <v>0</v>
      </c>
      <c r="X12" s="295">
        <v>0</v>
      </c>
      <c r="Y12" s="294">
        <v>0</v>
      </c>
      <c r="Z12" s="294">
        <v>0</v>
      </c>
      <c r="AA12" s="294">
        <v>0</v>
      </c>
      <c r="AB12" s="295">
        <v>0</v>
      </c>
      <c r="AC12" s="297">
        <v>0</v>
      </c>
      <c r="AD12" s="328">
        <v>0</v>
      </c>
      <c r="AE12" s="328">
        <v>0</v>
      </c>
      <c r="AF12" s="328">
        <v>0</v>
      </c>
      <c r="AG12" s="297">
        <v>0</v>
      </c>
      <c r="AH12" s="328">
        <v>0</v>
      </c>
      <c r="AI12" s="328">
        <v>0</v>
      </c>
      <c r="AJ12" s="328">
        <v>0</v>
      </c>
      <c r="AK12" s="297">
        <v>0</v>
      </c>
      <c r="AL12" s="328">
        <v>0</v>
      </c>
      <c r="AM12" s="328">
        <v>0</v>
      </c>
      <c r="AN12" s="357">
        <v>0</v>
      </c>
      <c r="AO12" s="331">
        <v>0</v>
      </c>
      <c r="AP12" s="331">
        <v>0</v>
      </c>
      <c r="AQ12" s="331">
        <v>0</v>
      </c>
      <c r="AR12" s="365">
        <v>0</v>
      </c>
      <c r="AS12" s="334">
        <v>0</v>
      </c>
      <c r="AT12" s="334">
        <v>0</v>
      </c>
      <c r="AU12" s="334">
        <v>0</v>
      </c>
      <c r="AV12" s="334">
        <v>0</v>
      </c>
      <c r="AW12" s="296">
        <v>0</v>
      </c>
      <c r="AX12" s="294">
        <v>0</v>
      </c>
      <c r="AY12" s="294">
        <v>0</v>
      </c>
      <c r="AZ12" s="294">
        <v>0</v>
      </c>
      <c r="BA12" s="298">
        <v>0</v>
      </c>
      <c r="BB12" s="331">
        <v>0</v>
      </c>
      <c r="BC12" s="331">
        <v>0</v>
      </c>
      <c r="BD12" s="331">
        <v>0</v>
      </c>
      <c r="BE12" s="296">
        <v>0</v>
      </c>
      <c r="BF12" s="294">
        <v>0</v>
      </c>
      <c r="BG12" s="294">
        <v>0</v>
      </c>
      <c r="BH12" s="295">
        <v>0</v>
      </c>
      <c r="BI12" s="294">
        <v>0</v>
      </c>
      <c r="BJ12" s="294">
        <v>0</v>
      </c>
      <c r="BK12" s="294">
        <v>0</v>
      </c>
      <c r="BL12" s="295">
        <v>0</v>
      </c>
      <c r="BM12" s="294">
        <v>0</v>
      </c>
      <c r="BN12" s="294">
        <v>0</v>
      </c>
      <c r="BO12" s="294">
        <v>0</v>
      </c>
      <c r="BP12" s="295">
        <v>0</v>
      </c>
      <c r="BQ12" s="294">
        <v>0</v>
      </c>
      <c r="BR12" s="294"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4">
        <v>0</v>
      </c>
      <c r="BT12" s="295">
        <v>0</v>
      </c>
      <c r="BU12" s="294">
        <v>0</v>
      </c>
      <c r="BV12" s="294">
        <v>0</v>
      </c>
      <c r="BW12" s="294">
        <v>0</v>
      </c>
      <c r="BX12" s="295">
        <v>0</v>
      </c>
      <c r="BY12" s="294">
        <v>0</v>
      </c>
      <c r="BZ12" s="294">
        <v>0</v>
      </c>
      <c r="CA12" s="294">
        <v>0</v>
      </c>
      <c r="CB12" s="294">
        <v>0</v>
      </c>
    </row>
    <row r="13" spans="1:80" s="69" customFormat="1" ht="14.5" customHeight="1" x14ac:dyDescent="0.35">
      <c r="A13" s="413"/>
      <c r="B13" s="66" t="s">
        <v>97</v>
      </c>
      <c r="C13" s="67" t="s">
        <v>184</v>
      </c>
      <c r="D13" s="68" t="s">
        <v>50</v>
      </c>
      <c r="E13" s="6">
        <v>0</v>
      </c>
      <c r="F13" s="102">
        <v>0</v>
      </c>
      <c r="G13" s="114" t="s">
        <v>373</v>
      </c>
      <c r="H13" s="114" t="s">
        <v>374</v>
      </c>
      <c r="I13" s="124">
        <v>0</v>
      </c>
      <c r="J13" s="315" t="str">
        <f>B15</f>
        <v>Product/Reactant5</v>
      </c>
      <c r="K13" s="124">
        <v>0</v>
      </c>
      <c r="L13" s="124">
        <v>0</v>
      </c>
      <c r="M13" s="124">
        <v>0</v>
      </c>
      <c r="N13" s="124">
        <v>0</v>
      </c>
      <c r="O13" s="124">
        <v>0</v>
      </c>
      <c r="P13" s="133">
        <v>0</v>
      </c>
      <c r="Q13" s="69" t="s">
        <v>190</v>
      </c>
      <c r="R13" s="69" t="s">
        <v>190</v>
      </c>
      <c r="S13" s="69" t="s">
        <v>190</v>
      </c>
      <c r="T13" s="133" t="s">
        <v>190</v>
      </c>
      <c r="U13" s="69">
        <v>0</v>
      </c>
      <c r="V13" s="69">
        <v>0</v>
      </c>
      <c r="W13" s="69">
        <v>0</v>
      </c>
      <c r="X13" s="133">
        <v>0</v>
      </c>
      <c r="Y13" s="69">
        <v>0</v>
      </c>
      <c r="Z13" s="69">
        <v>0</v>
      </c>
      <c r="AA13" s="69">
        <v>0</v>
      </c>
      <c r="AB13" s="133">
        <v>0</v>
      </c>
      <c r="AC13" s="71">
        <v>0</v>
      </c>
      <c r="AD13" s="71">
        <v>0</v>
      </c>
      <c r="AE13" s="71">
        <v>0</v>
      </c>
      <c r="AF13" s="142">
        <v>0</v>
      </c>
      <c r="AG13" s="71">
        <v>0</v>
      </c>
      <c r="AH13" s="71">
        <v>0</v>
      </c>
      <c r="AI13" s="71">
        <v>0</v>
      </c>
      <c r="AJ13" s="142">
        <v>0</v>
      </c>
      <c r="AK13" s="71">
        <v>0</v>
      </c>
      <c r="AL13" s="71">
        <v>0</v>
      </c>
      <c r="AM13" s="71">
        <v>0</v>
      </c>
      <c r="AN13" s="142">
        <v>0</v>
      </c>
      <c r="AO13" s="72">
        <v>0</v>
      </c>
      <c r="AP13" s="72">
        <v>0</v>
      </c>
      <c r="AQ13" s="72">
        <v>0</v>
      </c>
      <c r="AR13" s="148">
        <v>0</v>
      </c>
      <c r="AS13" s="69">
        <v>0</v>
      </c>
      <c r="AT13" s="69">
        <v>0</v>
      </c>
      <c r="AU13" s="69">
        <v>0</v>
      </c>
      <c r="AV13" s="133">
        <v>0</v>
      </c>
      <c r="AW13" s="69">
        <v>0</v>
      </c>
      <c r="AX13" s="69">
        <v>0</v>
      </c>
      <c r="AY13" s="69">
        <v>0</v>
      </c>
      <c r="AZ13" s="133">
        <v>0</v>
      </c>
      <c r="BA13" s="69">
        <v>0</v>
      </c>
      <c r="BB13" s="69">
        <v>0</v>
      </c>
      <c r="BC13" s="69">
        <v>0</v>
      </c>
      <c r="BD13" s="133">
        <v>0</v>
      </c>
      <c r="BE13" s="69">
        <v>0</v>
      </c>
      <c r="BF13" s="69">
        <v>0</v>
      </c>
      <c r="BG13" s="69">
        <v>0</v>
      </c>
      <c r="BH13" s="133">
        <v>0</v>
      </c>
      <c r="BI13" s="69">
        <v>0</v>
      </c>
      <c r="BJ13" s="69">
        <v>0</v>
      </c>
      <c r="BK13" s="69">
        <v>0</v>
      </c>
      <c r="BL13" s="133">
        <v>0</v>
      </c>
      <c r="BM13" s="69">
        <v>0</v>
      </c>
      <c r="BN13" s="69">
        <v>0</v>
      </c>
      <c r="BO13" s="69">
        <v>0</v>
      </c>
      <c r="BP13" s="133">
        <v>0</v>
      </c>
      <c r="BQ13" s="69">
        <v>0</v>
      </c>
      <c r="BR13" s="69">
        <v>0</v>
      </c>
      <c r="BS13" s="69">
        <v>0</v>
      </c>
      <c r="BT13" s="133">
        <v>0</v>
      </c>
      <c r="BU13" s="70">
        <v>0</v>
      </c>
      <c r="BV13" s="70">
        <v>0</v>
      </c>
      <c r="BW13" s="70">
        <v>0</v>
      </c>
      <c r="BX13" s="70">
        <v>0</v>
      </c>
      <c r="BY13" s="158">
        <v>0</v>
      </c>
      <c r="BZ13" s="158">
        <v>0</v>
      </c>
      <c r="CA13" s="158">
        <v>0</v>
      </c>
      <c r="CB13" s="158">
        <v>0</v>
      </c>
    </row>
    <row r="14" spans="1:80" s="69" customFormat="1" x14ac:dyDescent="0.35">
      <c r="A14" s="413"/>
      <c r="B14" s="66" t="s">
        <v>97</v>
      </c>
      <c r="C14" s="67" t="s">
        <v>184</v>
      </c>
      <c r="D14" s="68" t="s">
        <v>61</v>
      </c>
      <c r="E14" s="6">
        <v>0</v>
      </c>
      <c r="F14" s="102">
        <v>0</v>
      </c>
      <c r="G14" s="114" t="s">
        <v>373</v>
      </c>
      <c r="H14" s="114" t="s">
        <v>374</v>
      </c>
      <c r="I14" s="124">
        <v>0</v>
      </c>
      <c r="J14" s="315" t="str">
        <f>B15</f>
        <v>Product/Reactant5</v>
      </c>
      <c r="K14" s="124">
        <v>0</v>
      </c>
      <c r="L14" s="124">
        <v>0</v>
      </c>
      <c r="M14" s="124">
        <v>0</v>
      </c>
      <c r="N14" s="124">
        <v>0</v>
      </c>
      <c r="O14" s="124">
        <v>0</v>
      </c>
      <c r="P14" s="133">
        <v>0</v>
      </c>
      <c r="Q14" s="69" t="s">
        <v>190</v>
      </c>
      <c r="R14" s="69" t="s">
        <v>190</v>
      </c>
      <c r="S14" s="69" t="s">
        <v>190</v>
      </c>
      <c r="T14" s="133" t="s">
        <v>190</v>
      </c>
      <c r="U14" s="69">
        <v>0</v>
      </c>
      <c r="V14" s="69">
        <v>0</v>
      </c>
      <c r="W14" s="69">
        <v>0</v>
      </c>
      <c r="X14" s="133">
        <v>0</v>
      </c>
      <c r="Y14" s="69">
        <v>0</v>
      </c>
      <c r="Z14" s="69">
        <v>0</v>
      </c>
      <c r="AA14" s="69">
        <v>0</v>
      </c>
      <c r="AB14" s="133">
        <v>0</v>
      </c>
      <c r="AC14" s="71">
        <v>0</v>
      </c>
      <c r="AD14" s="71">
        <v>0</v>
      </c>
      <c r="AE14" s="71">
        <v>0</v>
      </c>
      <c r="AF14" s="142">
        <v>0</v>
      </c>
      <c r="AG14" s="71">
        <v>0</v>
      </c>
      <c r="AH14" s="71">
        <v>0</v>
      </c>
      <c r="AI14" s="71">
        <v>0</v>
      </c>
      <c r="AJ14" s="142">
        <v>0</v>
      </c>
      <c r="AK14" s="71">
        <v>0</v>
      </c>
      <c r="AL14" s="71">
        <v>0</v>
      </c>
      <c r="AM14" s="71">
        <v>0</v>
      </c>
      <c r="AN14" s="142">
        <v>0</v>
      </c>
      <c r="AO14" s="73">
        <v>0</v>
      </c>
      <c r="AP14" s="73">
        <v>0</v>
      </c>
      <c r="AQ14" s="73">
        <v>0</v>
      </c>
      <c r="AR14" s="149">
        <v>0</v>
      </c>
      <c r="AS14" s="73">
        <v>0</v>
      </c>
      <c r="AT14" s="73">
        <v>0</v>
      </c>
      <c r="AU14" s="73">
        <v>0</v>
      </c>
      <c r="AV14" s="149">
        <v>0</v>
      </c>
      <c r="AW14" s="73">
        <v>0</v>
      </c>
      <c r="AX14" s="73">
        <v>0</v>
      </c>
      <c r="AY14" s="73">
        <v>0</v>
      </c>
      <c r="AZ14" s="149">
        <v>0</v>
      </c>
      <c r="BA14" s="73">
        <v>0</v>
      </c>
      <c r="BB14" s="73">
        <v>0</v>
      </c>
      <c r="BC14" s="73">
        <v>0</v>
      </c>
      <c r="BD14" s="149">
        <v>0</v>
      </c>
      <c r="BE14" s="69">
        <v>0</v>
      </c>
      <c r="BF14" s="69">
        <v>0</v>
      </c>
      <c r="BG14" s="69">
        <v>0</v>
      </c>
      <c r="BH14" s="133">
        <v>0</v>
      </c>
      <c r="BI14" s="69">
        <v>0</v>
      </c>
      <c r="BJ14" s="69">
        <v>0</v>
      </c>
      <c r="BK14" s="69">
        <v>0</v>
      </c>
      <c r="BL14" s="133">
        <v>0</v>
      </c>
      <c r="BM14" s="69">
        <v>0</v>
      </c>
      <c r="BN14" s="69">
        <v>0</v>
      </c>
      <c r="BO14" s="69">
        <v>0</v>
      </c>
      <c r="BP14" s="133">
        <v>0</v>
      </c>
      <c r="BQ14" s="69">
        <v>0</v>
      </c>
      <c r="BR14" s="69">
        <v>0</v>
      </c>
      <c r="BS14" s="69">
        <v>0</v>
      </c>
      <c r="BT14" s="133">
        <v>0</v>
      </c>
      <c r="BU14" s="70">
        <v>0</v>
      </c>
      <c r="BV14" s="70">
        <v>0</v>
      </c>
      <c r="BW14" s="70">
        <v>0</v>
      </c>
      <c r="BX14" s="167">
        <v>0</v>
      </c>
      <c r="BY14" s="158">
        <v>0</v>
      </c>
      <c r="BZ14" s="158">
        <v>0</v>
      </c>
      <c r="CA14" s="158">
        <v>0</v>
      </c>
      <c r="CB14" s="158">
        <v>0</v>
      </c>
    </row>
    <row r="15" spans="1:80" s="69" customFormat="1" x14ac:dyDescent="0.35">
      <c r="A15" s="413"/>
      <c r="B15" s="66" t="s">
        <v>433</v>
      </c>
      <c r="C15" s="74" t="s">
        <v>119</v>
      </c>
      <c r="D15" s="68" t="s">
        <v>449</v>
      </c>
      <c r="E15" s="6">
        <v>0</v>
      </c>
      <c r="F15" s="102">
        <v>0</v>
      </c>
      <c r="G15" s="114" t="s">
        <v>375</v>
      </c>
      <c r="H15" s="114" t="s">
        <v>376</v>
      </c>
      <c r="I15" s="307">
        <v>0</v>
      </c>
      <c r="J15" s="315" t="str">
        <f>B34</f>
        <v>Reactant10</v>
      </c>
      <c r="K15" s="124">
        <v>0</v>
      </c>
      <c r="L15" s="124">
        <v>0</v>
      </c>
      <c r="M15" s="124">
        <v>0</v>
      </c>
      <c r="N15" s="124">
        <v>0</v>
      </c>
      <c r="O15" s="124">
        <v>0</v>
      </c>
      <c r="P15" s="133">
        <v>0</v>
      </c>
      <c r="Q15" s="69" t="s">
        <v>190</v>
      </c>
      <c r="R15" s="69" t="s">
        <v>190</v>
      </c>
      <c r="S15" s="69" t="s">
        <v>190</v>
      </c>
      <c r="T15" s="133" t="s">
        <v>190</v>
      </c>
      <c r="U15" s="69">
        <v>0</v>
      </c>
      <c r="V15" s="69">
        <v>0</v>
      </c>
      <c r="W15" s="69">
        <v>0</v>
      </c>
      <c r="X15" s="133">
        <v>0</v>
      </c>
      <c r="Y15" s="69">
        <v>0</v>
      </c>
      <c r="Z15" s="69">
        <v>0</v>
      </c>
      <c r="AA15" s="69">
        <v>0</v>
      </c>
      <c r="AB15" s="133">
        <v>0</v>
      </c>
      <c r="AC15" s="71" t="s">
        <v>190</v>
      </c>
      <c r="AD15" s="71" t="s">
        <v>190</v>
      </c>
      <c r="AE15" s="71" t="s">
        <v>190</v>
      </c>
      <c r="AF15" s="142" t="s">
        <v>190</v>
      </c>
      <c r="AG15" s="71" t="s">
        <v>211</v>
      </c>
      <c r="AH15" s="71" t="s">
        <v>190</v>
      </c>
      <c r="AI15" s="71" t="s">
        <v>190</v>
      </c>
      <c r="AJ15" s="142" t="s">
        <v>190</v>
      </c>
      <c r="AK15" s="71" t="s">
        <v>211</v>
      </c>
      <c r="AL15" s="71" t="s">
        <v>190</v>
      </c>
      <c r="AM15" s="71" t="s">
        <v>190</v>
      </c>
      <c r="AN15" s="142" t="s">
        <v>190</v>
      </c>
      <c r="AO15" s="72" t="s">
        <v>190</v>
      </c>
      <c r="AP15" s="72" t="s">
        <v>190</v>
      </c>
      <c r="AQ15" s="72" t="s">
        <v>190</v>
      </c>
      <c r="AR15" s="148" t="s">
        <v>190</v>
      </c>
      <c r="AS15" s="69" t="s">
        <v>349</v>
      </c>
      <c r="AT15" s="69" t="s">
        <v>349</v>
      </c>
      <c r="AU15" s="69" t="s">
        <v>349</v>
      </c>
      <c r="AV15" s="133" t="s">
        <v>349</v>
      </c>
      <c r="AW15" s="69" t="s">
        <v>254</v>
      </c>
      <c r="AX15" s="69" t="s">
        <v>254</v>
      </c>
      <c r="AY15" s="69" t="s">
        <v>254</v>
      </c>
      <c r="AZ15" s="133" t="s">
        <v>254</v>
      </c>
      <c r="BA15" s="73">
        <v>0</v>
      </c>
      <c r="BB15" s="73">
        <v>0</v>
      </c>
      <c r="BC15" s="73">
        <v>0</v>
      </c>
      <c r="BD15" s="149">
        <v>0</v>
      </c>
      <c r="BE15" s="69">
        <v>0</v>
      </c>
      <c r="BF15" s="69">
        <v>0</v>
      </c>
      <c r="BG15" s="69">
        <v>0</v>
      </c>
      <c r="BH15" s="133">
        <v>0</v>
      </c>
      <c r="BI15" s="69">
        <v>0</v>
      </c>
      <c r="BJ15" s="69">
        <v>0</v>
      </c>
      <c r="BK15" s="69">
        <v>0</v>
      </c>
      <c r="BL15" s="133">
        <v>0</v>
      </c>
      <c r="BM15" s="69">
        <v>0</v>
      </c>
      <c r="BN15" s="69">
        <v>0</v>
      </c>
      <c r="BO15" s="69">
        <v>0</v>
      </c>
      <c r="BP15" s="133">
        <v>0</v>
      </c>
      <c r="BQ15" s="69" t="s">
        <v>261</v>
      </c>
      <c r="BR15" s="69" t="s">
        <v>261</v>
      </c>
      <c r="BS15" s="69" t="s">
        <v>261</v>
      </c>
      <c r="BT15" s="133" t="s">
        <v>261</v>
      </c>
      <c r="BU15" s="70">
        <v>0</v>
      </c>
      <c r="BV15" s="70">
        <v>0</v>
      </c>
      <c r="BW15" s="70">
        <v>0</v>
      </c>
      <c r="BX15" s="167">
        <v>0</v>
      </c>
      <c r="BY15" s="158">
        <v>0</v>
      </c>
      <c r="BZ15" s="158">
        <v>0</v>
      </c>
      <c r="CA15" s="158">
        <v>0</v>
      </c>
      <c r="CB15" s="158">
        <v>0</v>
      </c>
    </row>
    <row r="16" spans="1:80" s="47" customFormat="1" x14ac:dyDescent="0.35">
      <c r="A16" s="413"/>
      <c r="B16" s="43" t="s">
        <v>97</v>
      </c>
      <c r="C16" s="44" t="s">
        <v>184</v>
      </c>
      <c r="D16" s="45" t="s">
        <v>296</v>
      </c>
      <c r="E16" s="6">
        <v>0</v>
      </c>
      <c r="F16" s="103">
        <v>0</v>
      </c>
      <c r="G16" s="115" t="s">
        <v>397</v>
      </c>
      <c r="H16" s="115" t="s">
        <v>398</v>
      </c>
      <c r="I16" s="308">
        <v>0</v>
      </c>
      <c r="J16" s="316" t="str">
        <f>B17</f>
        <v>Product/Reactant6</v>
      </c>
      <c r="K16" s="128">
        <v>0</v>
      </c>
      <c r="L16" s="128">
        <v>0</v>
      </c>
      <c r="M16" s="128">
        <v>0</v>
      </c>
      <c r="N16" s="128">
        <v>0</v>
      </c>
      <c r="O16" s="128">
        <v>0</v>
      </c>
      <c r="P16" s="157">
        <v>0</v>
      </c>
      <c r="Q16" s="48" t="s">
        <v>350</v>
      </c>
      <c r="R16" s="48" t="s">
        <v>350</v>
      </c>
      <c r="S16" s="48" t="s">
        <v>350</v>
      </c>
      <c r="T16" s="134" t="s">
        <v>350</v>
      </c>
      <c r="U16" s="49">
        <v>0</v>
      </c>
      <c r="V16" s="49">
        <v>0</v>
      </c>
      <c r="W16" s="49">
        <v>0</v>
      </c>
      <c r="X16" s="139">
        <v>0</v>
      </c>
      <c r="Y16" s="49">
        <v>0</v>
      </c>
      <c r="Z16" s="49">
        <v>0</v>
      </c>
      <c r="AA16" s="49">
        <v>0</v>
      </c>
      <c r="AB16" s="139">
        <v>0</v>
      </c>
      <c r="AC16" s="50">
        <v>0</v>
      </c>
      <c r="AD16" s="50">
        <v>0</v>
      </c>
      <c r="AE16" s="50">
        <v>0</v>
      </c>
      <c r="AF16" s="143">
        <v>0</v>
      </c>
      <c r="AG16" s="50">
        <v>0</v>
      </c>
      <c r="AH16" s="50">
        <v>0</v>
      </c>
      <c r="AI16" s="50">
        <v>0</v>
      </c>
      <c r="AJ16" s="143">
        <v>0</v>
      </c>
      <c r="AK16" s="50">
        <v>0</v>
      </c>
      <c r="AL16" s="50">
        <v>0</v>
      </c>
      <c r="AM16" s="50">
        <v>0</v>
      </c>
      <c r="AN16" s="143">
        <v>0</v>
      </c>
      <c r="AO16" s="53">
        <v>0</v>
      </c>
      <c r="AP16" s="53">
        <v>0</v>
      </c>
      <c r="AQ16" s="53">
        <v>0</v>
      </c>
      <c r="AR16" s="150">
        <v>0</v>
      </c>
      <c r="AS16" s="53">
        <v>0</v>
      </c>
      <c r="AT16" s="53">
        <v>0</v>
      </c>
      <c r="AU16" s="53">
        <v>0</v>
      </c>
      <c r="AV16" s="150">
        <v>0</v>
      </c>
      <c r="AW16" s="53">
        <v>0</v>
      </c>
      <c r="AX16" s="53">
        <v>0</v>
      </c>
      <c r="AY16" s="53">
        <v>0</v>
      </c>
      <c r="AZ16" s="150">
        <v>0</v>
      </c>
      <c r="BA16" s="54">
        <v>0</v>
      </c>
      <c r="BB16" s="54">
        <v>0</v>
      </c>
      <c r="BC16" s="54">
        <v>0</v>
      </c>
      <c r="BD16" s="156">
        <v>0</v>
      </c>
      <c r="BE16" s="47">
        <v>0</v>
      </c>
      <c r="BF16" s="47">
        <v>0</v>
      </c>
      <c r="BG16" s="47">
        <v>0</v>
      </c>
      <c r="BH16" s="157">
        <v>0</v>
      </c>
      <c r="BI16" s="47">
        <v>0</v>
      </c>
      <c r="BJ16" s="47">
        <v>0</v>
      </c>
      <c r="BK16" s="47">
        <v>0</v>
      </c>
      <c r="BL16" s="157">
        <v>0</v>
      </c>
      <c r="BM16" s="47">
        <v>0</v>
      </c>
      <c r="BN16" s="47">
        <v>0</v>
      </c>
      <c r="BO16" s="47">
        <v>0</v>
      </c>
      <c r="BP16" s="157">
        <v>0</v>
      </c>
      <c r="BQ16" s="47">
        <v>0</v>
      </c>
      <c r="BR16" s="47">
        <v>0</v>
      </c>
      <c r="BS16" s="47">
        <v>0</v>
      </c>
      <c r="BT16" s="157">
        <v>0</v>
      </c>
      <c r="BU16" s="46">
        <v>0</v>
      </c>
      <c r="BV16" s="46">
        <v>0</v>
      </c>
      <c r="BW16" s="46">
        <v>0</v>
      </c>
      <c r="BX16" s="168">
        <v>0</v>
      </c>
      <c r="BY16" s="50">
        <v>0</v>
      </c>
      <c r="BZ16" s="50">
        <v>0</v>
      </c>
      <c r="CA16" s="50">
        <v>0</v>
      </c>
      <c r="CB16" s="50">
        <v>0</v>
      </c>
    </row>
    <row r="17" spans="1:80" s="47" customFormat="1" x14ac:dyDescent="0.35">
      <c r="A17" s="413"/>
      <c r="B17" s="43" t="s">
        <v>436</v>
      </c>
      <c r="C17" s="44" t="s">
        <v>119</v>
      </c>
      <c r="D17" s="45" t="s">
        <v>295</v>
      </c>
      <c r="E17" s="6">
        <v>0</v>
      </c>
      <c r="F17" s="103">
        <v>0</v>
      </c>
      <c r="G17" s="115" t="s">
        <v>375</v>
      </c>
      <c r="H17" s="115" t="s">
        <v>376</v>
      </c>
      <c r="I17" s="308">
        <v>0</v>
      </c>
      <c r="J17" s="316" t="str">
        <f>B34</f>
        <v>Reactant10</v>
      </c>
      <c r="K17" s="128">
        <v>0</v>
      </c>
      <c r="L17" s="128">
        <v>0</v>
      </c>
      <c r="M17" s="128">
        <v>0</v>
      </c>
      <c r="N17" s="128">
        <v>0</v>
      </c>
      <c r="O17" s="128">
        <v>0</v>
      </c>
      <c r="P17" s="157">
        <v>0</v>
      </c>
      <c r="Q17" s="48" t="s">
        <v>350</v>
      </c>
      <c r="R17" s="48" t="s">
        <v>350</v>
      </c>
      <c r="S17" s="48" t="s">
        <v>350</v>
      </c>
      <c r="T17" s="134" t="s">
        <v>350</v>
      </c>
      <c r="U17" s="49">
        <v>0</v>
      </c>
      <c r="V17" s="49">
        <v>0</v>
      </c>
      <c r="W17" s="49">
        <v>0</v>
      </c>
      <c r="X17" s="139">
        <v>0</v>
      </c>
      <c r="Y17" s="49">
        <v>0</v>
      </c>
      <c r="Z17" s="49">
        <v>0</v>
      </c>
      <c r="AA17" s="49">
        <v>0</v>
      </c>
      <c r="AB17" s="139">
        <v>0</v>
      </c>
      <c r="AC17" s="50" t="s">
        <v>190</v>
      </c>
      <c r="AD17" s="50" t="s">
        <v>190</v>
      </c>
      <c r="AE17" s="50" t="s">
        <v>190</v>
      </c>
      <c r="AF17" s="143" t="s">
        <v>190</v>
      </c>
      <c r="AG17" s="50" t="s">
        <v>211</v>
      </c>
      <c r="AH17" s="50" t="s">
        <v>190</v>
      </c>
      <c r="AI17" s="50" t="s">
        <v>190</v>
      </c>
      <c r="AJ17" s="143" t="s">
        <v>190</v>
      </c>
      <c r="AK17" s="50" t="s">
        <v>211</v>
      </c>
      <c r="AL17" s="50" t="s">
        <v>190</v>
      </c>
      <c r="AM17" s="50" t="s">
        <v>190</v>
      </c>
      <c r="AN17" s="143" t="s">
        <v>190</v>
      </c>
      <c r="AO17" s="51" t="s">
        <v>350</v>
      </c>
      <c r="AP17" s="51" t="s">
        <v>350</v>
      </c>
      <c r="AQ17" s="51" t="s">
        <v>350</v>
      </c>
      <c r="AR17" s="151" t="s">
        <v>350</v>
      </c>
      <c r="AS17" s="52" t="s">
        <v>350</v>
      </c>
      <c r="AT17" s="52" t="s">
        <v>350</v>
      </c>
      <c r="AU17" s="52" t="s">
        <v>350</v>
      </c>
      <c r="AV17" s="155" t="s">
        <v>350</v>
      </c>
      <c r="AW17" s="53" t="s">
        <v>351</v>
      </c>
      <c r="AX17" s="53" t="s">
        <v>351</v>
      </c>
      <c r="AY17" s="53" t="s">
        <v>351</v>
      </c>
      <c r="AZ17" s="150" t="s">
        <v>351</v>
      </c>
      <c r="BA17" s="54">
        <v>0</v>
      </c>
      <c r="BB17" s="54">
        <v>0</v>
      </c>
      <c r="BC17" s="54">
        <v>0</v>
      </c>
      <c r="BD17" s="156">
        <v>0</v>
      </c>
      <c r="BE17" s="47">
        <v>0</v>
      </c>
      <c r="BF17" s="47">
        <v>0</v>
      </c>
      <c r="BG17" s="47">
        <v>0</v>
      </c>
      <c r="BH17" s="157">
        <v>0</v>
      </c>
      <c r="BI17" s="47">
        <v>0</v>
      </c>
      <c r="BJ17" s="47">
        <v>0</v>
      </c>
      <c r="BK17" s="47">
        <v>0</v>
      </c>
      <c r="BL17" s="157">
        <v>0</v>
      </c>
      <c r="BM17" s="47">
        <v>0</v>
      </c>
      <c r="BN17" s="47">
        <v>0</v>
      </c>
      <c r="BO17" s="47">
        <v>0</v>
      </c>
      <c r="BP17" s="157">
        <v>0</v>
      </c>
      <c r="BQ17" s="47" t="s">
        <v>261</v>
      </c>
      <c r="BR17" s="47" t="s">
        <v>261</v>
      </c>
      <c r="BS17" s="47" t="s">
        <v>261</v>
      </c>
      <c r="BT17" s="157" t="s">
        <v>261</v>
      </c>
      <c r="BU17" s="46">
        <v>0</v>
      </c>
      <c r="BV17" s="46">
        <v>0</v>
      </c>
      <c r="BW17" s="46">
        <v>0</v>
      </c>
      <c r="BX17" s="168">
        <v>0</v>
      </c>
      <c r="BY17" s="50">
        <v>0</v>
      </c>
      <c r="BZ17" s="50">
        <v>0</v>
      </c>
      <c r="CA17" s="50">
        <v>0</v>
      </c>
      <c r="CB17" s="50">
        <v>0</v>
      </c>
    </row>
    <row r="18" spans="1:80" s="59" customFormat="1" x14ac:dyDescent="0.35">
      <c r="A18" s="413"/>
      <c r="B18" s="55" t="s">
        <v>97</v>
      </c>
      <c r="C18" s="56" t="s">
        <v>285</v>
      </c>
      <c r="D18" s="57" t="s">
        <v>297</v>
      </c>
      <c r="E18" s="6">
        <v>0</v>
      </c>
      <c r="F18" s="104">
        <v>0</v>
      </c>
      <c r="G18" s="116" t="s">
        <v>381</v>
      </c>
      <c r="H18" s="116" t="s">
        <v>382</v>
      </c>
      <c r="I18" s="125">
        <v>0</v>
      </c>
      <c r="J18" s="317" t="str">
        <f>B20</f>
        <v>Product/Reactant7</v>
      </c>
      <c r="K18" s="125">
        <v>0</v>
      </c>
      <c r="L18" s="125">
        <v>0</v>
      </c>
      <c r="M18" s="125">
        <v>0</v>
      </c>
      <c r="N18" s="125">
        <v>0</v>
      </c>
      <c r="O18" s="125">
        <v>0</v>
      </c>
      <c r="P18" s="135">
        <v>0</v>
      </c>
      <c r="Q18" s="59" t="s">
        <v>279</v>
      </c>
      <c r="R18" s="59" t="s">
        <v>279</v>
      </c>
      <c r="S18" s="59" t="s">
        <v>279</v>
      </c>
      <c r="T18" s="135" t="s">
        <v>279</v>
      </c>
      <c r="U18" s="59">
        <v>0</v>
      </c>
      <c r="V18" s="59">
        <v>0</v>
      </c>
      <c r="W18" s="59">
        <v>0</v>
      </c>
      <c r="X18" s="135">
        <v>0</v>
      </c>
      <c r="Y18" s="59">
        <v>0</v>
      </c>
      <c r="Z18" s="59">
        <v>0</v>
      </c>
      <c r="AA18" s="59">
        <v>0</v>
      </c>
      <c r="AB18" s="135">
        <v>0</v>
      </c>
      <c r="AC18" s="60">
        <v>0</v>
      </c>
      <c r="AD18" s="60">
        <v>0</v>
      </c>
      <c r="AE18" s="60">
        <v>0</v>
      </c>
      <c r="AF18" s="144">
        <v>0</v>
      </c>
      <c r="AG18" s="60">
        <v>0</v>
      </c>
      <c r="AH18" s="60">
        <v>0</v>
      </c>
      <c r="AI18" s="60">
        <v>0</v>
      </c>
      <c r="AJ18" s="144">
        <v>0</v>
      </c>
      <c r="AK18" s="60">
        <v>0</v>
      </c>
      <c r="AL18" s="60">
        <v>0</v>
      </c>
      <c r="AM18" s="60">
        <v>0</v>
      </c>
      <c r="AN18" s="144">
        <v>0</v>
      </c>
      <c r="AO18" s="61">
        <v>0</v>
      </c>
      <c r="AP18" s="61">
        <v>0</v>
      </c>
      <c r="AQ18" s="61">
        <v>0</v>
      </c>
      <c r="AR18" s="152">
        <v>0</v>
      </c>
      <c r="AS18" s="59">
        <v>0</v>
      </c>
      <c r="AT18" s="59">
        <v>0</v>
      </c>
      <c r="AU18" s="59">
        <v>0</v>
      </c>
      <c r="AV18" s="135">
        <v>0</v>
      </c>
      <c r="AW18" s="59">
        <v>0</v>
      </c>
      <c r="AX18" s="59">
        <v>0</v>
      </c>
      <c r="AY18" s="59">
        <v>0</v>
      </c>
      <c r="AZ18" s="135">
        <v>0</v>
      </c>
      <c r="BA18" s="59">
        <v>0</v>
      </c>
      <c r="BB18" s="59">
        <v>0</v>
      </c>
      <c r="BC18" s="59">
        <v>0</v>
      </c>
      <c r="BD18" s="135">
        <v>0</v>
      </c>
      <c r="BE18" s="59">
        <v>0</v>
      </c>
      <c r="BF18" s="59">
        <v>0</v>
      </c>
      <c r="BG18" s="59">
        <v>0</v>
      </c>
      <c r="BH18" s="135">
        <v>0</v>
      </c>
      <c r="BI18" s="59">
        <v>0</v>
      </c>
      <c r="BJ18" s="59">
        <v>0</v>
      </c>
      <c r="BK18" s="59">
        <v>0</v>
      </c>
      <c r="BL18" s="135">
        <v>0</v>
      </c>
      <c r="BM18" s="59" t="s">
        <v>352</v>
      </c>
      <c r="BN18" s="59" t="s">
        <v>352</v>
      </c>
      <c r="BO18" s="59" t="s">
        <v>352</v>
      </c>
      <c r="BP18" s="135" t="s">
        <v>352</v>
      </c>
      <c r="BQ18" s="59">
        <v>0</v>
      </c>
      <c r="BR18" s="59">
        <v>0</v>
      </c>
      <c r="BS18" s="59">
        <v>0</v>
      </c>
      <c r="BT18" s="135">
        <v>0</v>
      </c>
      <c r="BU18" s="58">
        <v>0</v>
      </c>
      <c r="BV18" s="58">
        <v>0</v>
      </c>
      <c r="BW18" s="58">
        <v>0</v>
      </c>
      <c r="BX18" s="162">
        <v>0</v>
      </c>
      <c r="BY18" s="60">
        <v>0</v>
      </c>
      <c r="BZ18" s="60">
        <v>0</v>
      </c>
      <c r="CA18" s="60">
        <v>0</v>
      </c>
      <c r="CB18" s="60">
        <v>0</v>
      </c>
    </row>
    <row r="19" spans="1:80" s="59" customFormat="1" x14ac:dyDescent="0.35">
      <c r="A19" s="413"/>
      <c r="B19" s="55" t="s">
        <v>97</v>
      </c>
      <c r="C19" s="62" t="s">
        <v>184</v>
      </c>
      <c r="D19" s="57" t="s">
        <v>302</v>
      </c>
      <c r="E19" s="6">
        <v>0</v>
      </c>
      <c r="F19" s="104">
        <v>0</v>
      </c>
      <c r="G19" s="116" t="s">
        <v>399</v>
      </c>
      <c r="H19" s="116" t="s">
        <v>402</v>
      </c>
      <c r="I19" s="125">
        <v>0</v>
      </c>
      <c r="J19" s="317" t="str">
        <f>B20</f>
        <v>Product/Reactant7</v>
      </c>
      <c r="K19" s="125">
        <v>0</v>
      </c>
      <c r="L19" s="125">
        <v>0</v>
      </c>
      <c r="M19" s="125">
        <v>0</v>
      </c>
      <c r="N19" s="125">
        <v>0</v>
      </c>
      <c r="O19" s="125">
        <v>0</v>
      </c>
      <c r="P19" s="135">
        <v>0</v>
      </c>
      <c r="Q19" s="59" t="s">
        <v>353</v>
      </c>
      <c r="R19" s="59" t="s">
        <v>353</v>
      </c>
      <c r="S19" s="59" t="s">
        <v>353</v>
      </c>
      <c r="T19" s="135" t="s">
        <v>353</v>
      </c>
      <c r="U19" s="59">
        <v>0</v>
      </c>
      <c r="V19" s="59">
        <v>0</v>
      </c>
      <c r="W19" s="59">
        <v>0</v>
      </c>
      <c r="X19" s="135">
        <v>0</v>
      </c>
      <c r="Y19" s="59">
        <v>0</v>
      </c>
      <c r="Z19" s="59">
        <v>0</v>
      </c>
      <c r="AA19" s="59">
        <v>0</v>
      </c>
      <c r="AB19" s="135">
        <v>0</v>
      </c>
      <c r="AC19" s="60">
        <v>0</v>
      </c>
      <c r="AD19" s="60">
        <v>0</v>
      </c>
      <c r="AE19" s="60">
        <v>0</v>
      </c>
      <c r="AF19" s="144">
        <v>0</v>
      </c>
      <c r="AG19" s="60">
        <v>0</v>
      </c>
      <c r="AH19" s="60">
        <v>0</v>
      </c>
      <c r="AI19" s="60">
        <v>0</v>
      </c>
      <c r="AJ19" s="144">
        <v>0</v>
      </c>
      <c r="AK19" s="60">
        <v>0</v>
      </c>
      <c r="AL19" s="60">
        <v>0</v>
      </c>
      <c r="AM19" s="60">
        <v>0</v>
      </c>
      <c r="AN19" s="144">
        <v>0</v>
      </c>
      <c r="AO19" s="61">
        <v>0</v>
      </c>
      <c r="AP19" s="61">
        <v>0</v>
      </c>
      <c r="AQ19" s="61">
        <v>0</v>
      </c>
      <c r="AR19" s="152">
        <v>0</v>
      </c>
      <c r="AS19" s="59">
        <v>0</v>
      </c>
      <c r="AT19" s="59">
        <v>0</v>
      </c>
      <c r="AU19" s="59">
        <v>0</v>
      </c>
      <c r="AV19" s="135">
        <v>0</v>
      </c>
      <c r="AW19" s="59">
        <v>0</v>
      </c>
      <c r="AX19" s="59">
        <v>0</v>
      </c>
      <c r="AY19" s="59">
        <v>0</v>
      </c>
      <c r="AZ19" s="135">
        <v>0</v>
      </c>
      <c r="BA19" s="59">
        <v>0</v>
      </c>
      <c r="BB19" s="59">
        <v>0</v>
      </c>
      <c r="BC19" s="59">
        <v>0</v>
      </c>
      <c r="BD19" s="135">
        <v>0</v>
      </c>
      <c r="BE19" s="59">
        <v>0</v>
      </c>
      <c r="BF19" s="59">
        <v>0</v>
      </c>
      <c r="BG19" s="59">
        <v>0</v>
      </c>
      <c r="BH19" s="135">
        <v>0</v>
      </c>
      <c r="BI19" s="59">
        <v>0</v>
      </c>
      <c r="BJ19" s="59">
        <v>0</v>
      </c>
      <c r="BK19" s="59">
        <v>0</v>
      </c>
      <c r="BL19" s="135">
        <v>0</v>
      </c>
      <c r="BM19" s="59">
        <v>0</v>
      </c>
      <c r="BN19" s="59">
        <v>0</v>
      </c>
      <c r="BO19" s="59">
        <v>0</v>
      </c>
      <c r="BP19" s="135">
        <v>0</v>
      </c>
      <c r="BQ19" s="59">
        <v>0</v>
      </c>
      <c r="BR19" s="59">
        <v>0</v>
      </c>
      <c r="BS19" s="59">
        <v>0</v>
      </c>
      <c r="BT19" s="135">
        <v>0</v>
      </c>
      <c r="BU19" s="58">
        <v>0</v>
      </c>
      <c r="BV19" s="58">
        <v>0</v>
      </c>
      <c r="BW19" s="58">
        <v>0</v>
      </c>
      <c r="BX19" s="162">
        <v>0</v>
      </c>
      <c r="BY19" s="60">
        <v>0</v>
      </c>
      <c r="BZ19" s="60">
        <v>0</v>
      </c>
      <c r="CA19" s="60">
        <v>0</v>
      </c>
      <c r="CB19" s="60">
        <v>0</v>
      </c>
    </row>
    <row r="20" spans="1:80" s="59" customFormat="1" x14ac:dyDescent="0.35">
      <c r="A20" s="413"/>
      <c r="B20" s="55" t="s">
        <v>437</v>
      </c>
      <c r="C20" s="62" t="s">
        <v>184</v>
      </c>
      <c r="D20" s="57" t="s">
        <v>298</v>
      </c>
      <c r="E20" s="6">
        <v>0</v>
      </c>
      <c r="F20" s="104">
        <v>0</v>
      </c>
      <c r="G20" s="116" t="s">
        <v>397</v>
      </c>
      <c r="H20" s="116" t="s">
        <v>398</v>
      </c>
      <c r="I20" s="309">
        <v>0</v>
      </c>
      <c r="J20" s="317" t="str">
        <f>B21</f>
        <v>Product/Reactant8</v>
      </c>
      <c r="K20" s="125">
        <v>0</v>
      </c>
      <c r="L20" s="125">
        <v>0</v>
      </c>
      <c r="M20" s="125">
        <v>0</v>
      </c>
      <c r="N20" s="125">
        <v>0</v>
      </c>
      <c r="O20" s="125">
        <v>0</v>
      </c>
      <c r="P20" s="135">
        <v>0</v>
      </c>
      <c r="Q20" s="59" t="s">
        <v>353</v>
      </c>
      <c r="R20" s="59" t="s">
        <v>353</v>
      </c>
      <c r="S20" s="59" t="s">
        <v>353</v>
      </c>
      <c r="T20" s="135" t="s">
        <v>353</v>
      </c>
      <c r="U20" s="63" t="s">
        <v>353</v>
      </c>
      <c r="V20" s="63" t="s">
        <v>353</v>
      </c>
      <c r="W20" s="63" t="s">
        <v>353</v>
      </c>
      <c r="X20" s="140" t="s">
        <v>353</v>
      </c>
      <c r="Y20" s="59">
        <v>0</v>
      </c>
      <c r="Z20" s="59">
        <v>0</v>
      </c>
      <c r="AA20" s="59">
        <v>0</v>
      </c>
      <c r="AB20" s="135">
        <v>0</v>
      </c>
      <c r="AC20" s="60">
        <v>0</v>
      </c>
      <c r="AD20" s="60">
        <v>0</v>
      </c>
      <c r="AE20" s="60">
        <v>0</v>
      </c>
      <c r="AF20" s="144">
        <v>0</v>
      </c>
      <c r="AG20" s="60">
        <v>0</v>
      </c>
      <c r="AH20" s="60">
        <v>0</v>
      </c>
      <c r="AI20" s="60">
        <v>0</v>
      </c>
      <c r="AJ20" s="144">
        <v>0</v>
      </c>
      <c r="AK20" s="60">
        <v>0</v>
      </c>
      <c r="AL20" s="60">
        <v>0</v>
      </c>
      <c r="AM20" s="60">
        <v>0</v>
      </c>
      <c r="AN20" s="144">
        <v>0</v>
      </c>
      <c r="AO20" s="64" t="s">
        <v>353</v>
      </c>
      <c r="AP20" s="64" t="s">
        <v>353</v>
      </c>
      <c r="AQ20" s="64" t="s">
        <v>353</v>
      </c>
      <c r="AR20" s="153" t="s">
        <v>353</v>
      </c>
      <c r="AS20" s="59" t="s">
        <v>353</v>
      </c>
      <c r="AT20" s="59" t="s">
        <v>353</v>
      </c>
      <c r="AU20" s="59" t="s">
        <v>353</v>
      </c>
      <c r="AV20" s="135" t="s">
        <v>353</v>
      </c>
      <c r="AW20" s="59" t="s">
        <v>353</v>
      </c>
      <c r="AX20" s="59" t="s">
        <v>353</v>
      </c>
      <c r="AY20" s="59" t="s">
        <v>353</v>
      </c>
      <c r="AZ20" s="135" t="s">
        <v>353</v>
      </c>
      <c r="BA20" s="59">
        <v>0</v>
      </c>
      <c r="BB20" s="59">
        <v>0</v>
      </c>
      <c r="BC20" s="59">
        <v>0</v>
      </c>
      <c r="BD20" s="135">
        <v>0</v>
      </c>
      <c r="BE20" s="59">
        <v>0</v>
      </c>
      <c r="BF20" s="59">
        <v>0</v>
      </c>
      <c r="BG20" s="59">
        <v>0</v>
      </c>
      <c r="BH20" s="135">
        <v>0</v>
      </c>
      <c r="BI20" s="59">
        <v>0</v>
      </c>
      <c r="BJ20" s="59">
        <v>0</v>
      </c>
      <c r="BK20" s="59">
        <v>0</v>
      </c>
      <c r="BL20" s="135">
        <v>0</v>
      </c>
      <c r="BM20" s="59">
        <v>0</v>
      </c>
      <c r="BN20" s="59">
        <v>0</v>
      </c>
      <c r="BO20" s="59">
        <v>0</v>
      </c>
      <c r="BP20" s="135">
        <v>0</v>
      </c>
      <c r="BQ20" s="59">
        <v>0</v>
      </c>
      <c r="BR20" s="59">
        <v>0</v>
      </c>
      <c r="BS20" s="59">
        <v>0</v>
      </c>
      <c r="BT20" s="135">
        <v>0</v>
      </c>
      <c r="BU20" s="58" t="s">
        <v>354</v>
      </c>
      <c r="BV20" s="58" t="s">
        <v>354</v>
      </c>
      <c r="BW20" s="58" t="s">
        <v>354</v>
      </c>
      <c r="BX20" s="162" t="s">
        <v>354</v>
      </c>
      <c r="BY20" s="60">
        <v>0</v>
      </c>
      <c r="BZ20" s="60">
        <v>0</v>
      </c>
      <c r="CA20" s="60">
        <v>0</v>
      </c>
      <c r="CB20" s="60">
        <v>0</v>
      </c>
    </row>
    <row r="21" spans="1:80" s="59" customFormat="1" x14ac:dyDescent="0.35">
      <c r="A21" s="413"/>
      <c r="B21" s="55" t="s">
        <v>438</v>
      </c>
      <c r="C21" s="56" t="s">
        <v>119</v>
      </c>
      <c r="D21" s="57" t="s">
        <v>301</v>
      </c>
      <c r="E21" s="6">
        <v>0</v>
      </c>
      <c r="F21" s="104">
        <v>0</v>
      </c>
      <c r="G21" s="116" t="s">
        <v>400</v>
      </c>
      <c r="H21" s="116" t="s">
        <v>401</v>
      </c>
      <c r="I21" s="309">
        <v>0</v>
      </c>
      <c r="J21" s="317" t="str">
        <f>B34</f>
        <v>Reactant10</v>
      </c>
      <c r="K21" s="125">
        <v>0</v>
      </c>
      <c r="L21" s="125">
        <v>0</v>
      </c>
      <c r="M21" s="125">
        <v>0</v>
      </c>
      <c r="N21" s="125">
        <v>0</v>
      </c>
      <c r="O21" s="125">
        <v>0</v>
      </c>
      <c r="P21" s="135">
        <v>0</v>
      </c>
      <c r="Q21" s="59" t="s">
        <v>353</v>
      </c>
      <c r="R21" s="59" t="s">
        <v>353</v>
      </c>
      <c r="S21" s="59" t="s">
        <v>353</v>
      </c>
      <c r="T21" s="135" t="s">
        <v>353</v>
      </c>
      <c r="U21" s="59">
        <v>0</v>
      </c>
      <c r="V21" s="59">
        <v>0</v>
      </c>
      <c r="W21" s="59">
        <v>0</v>
      </c>
      <c r="X21" s="135">
        <v>0</v>
      </c>
      <c r="Y21" s="59">
        <v>0</v>
      </c>
      <c r="Z21" s="59">
        <v>0</v>
      </c>
      <c r="AA21" s="59">
        <v>0</v>
      </c>
      <c r="AB21" s="135">
        <v>0</v>
      </c>
      <c r="AC21" s="60">
        <v>0</v>
      </c>
      <c r="AD21" s="60">
        <v>0</v>
      </c>
      <c r="AE21" s="60">
        <v>0</v>
      </c>
      <c r="AF21" s="144">
        <v>0</v>
      </c>
      <c r="AG21" s="60">
        <v>0</v>
      </c>
      <c r="AH21" s="60">
        <v>0</v>
      </c>
      <c r="AI21" s="60">
        <v>0</v>
      </c>
      <c r="AJ21" s="144">
        <v>0</v>
      </c>
      <c r="AK21" s="60">
        <v>0</v>
      </c>
      <c r="AL21" s="60">
        <v>0</v>
      </c>
      <c r="AM21" s="60">
        <v>0</v>
      </c>
      <c r="AN21" s="144">
        <v>0</v>
      </c>
      <c r="AO21" s="61" t="s">
        <v>353</v>
      </c>
      <c r="AP21" s="61" t="s">
        <v>353</v>
      </c>
      <c r="AQ21" s="61" t="s">
        <v>353</v>
      </c>
      <c r="AR21" s="152" t="s">
        <v>353</v>
      </c>
      <c r="AS21" s="59" t="s">
        <v>353</v>
      </c>
      <c r="AT21" s="59" t="s">
        <v>353</v>
      </c>
      <c r="AU21" s="59" t="s">
        <v>353</v>
      </c>
      <c r="AV21" s="135" t="s">
        <v>353</v>
      </c>
      <c r="AW21" s="59" t="s">
        <v>353</v>
      </c>
      <c r="AX21" s="59" t="s">
        <v>353</v>
      </c>
      <c r="AY21" s="59" t="s">
        <v>353</v>
      </c>
      <c r="AZ21" s="135" t="s">
        <v>353</v>
      </c>
      <c r="BA21" s="59">
        <v>0</v>
      </c>
      <c r="BB21" s="59">
        <v>0</v>
      </c>
      <c r="BC21" s="59">
        <v>0</v>
      </c>
      <c r="BD21" s="135">
        <v>0</v>
      </c>
      <c r="BE21" s="59">
        <v>0</v>
      </c>
      <c r="BF21" s="59">
        <v>0</v>
      </c>
      <c r="BG21" s="59">
        <v>0</v>
      </c>
      <c r="BH21" s="135">
        <v>0</v>
      </c>
      <c r="BI21" s="59">
        <v>0</v>
      </c>
      <c r="BJ21" s="59">
        <v>0</v>
      </c>
      <c r="BK21" s="59">
        <v>0</v>
      </c>
      <c r="BL21" s="135">
        <v>0</v>
      </c>
      <c r="BM21" s="59">
        <v>0</v>
      </c>
      <c r="BN21" s="59">
        <v>0</v>
      </c>
      <c r="BO21" s="59">
        <v>0</v>
      </c>
      <c r="BP21" s="135">
        <v>0</v>
      </c>
      <c r="BQ21" s="59">
        <v>0</v>
      </c>
      <c r="BR21" s="59">
        <v>0</v>
      </c>
      <c r="BS21" s="59">
        <v>0</v>
      </c>
      <c r="BT21" s="135">
        <v>0</v>
      </c>
      <c r="BU21" s="58" t="s">
        <v>354</v>
      </c>
      <c r="BV21" s="58" t="s">
        <v>354</v>
      </c>
      <c r="BW21" s="58" t="s">
        <v>354</v>
      </c>
      <c r="BX21" s="162" t="s">
        <v>354</v>
      </c>
      <c r="BY21" s="60">
        <v>0</v>
      </c>
      <c r="BZ21" s="60">
        <v>0</v>
      </c>
      <c r="CA21" s="60">
        <v>0</v>
      </c>
      <c r="CB21" s="60">
        <v>0</v>
      </c>
    </row>
    <row r="22" spans="1:80" s="78" customFormat="1" x14ac:dyDescent="0.35">
      <c r="A22" s="413"/>
      <c r="B22" s="75" t="s">
        <v>97</v>
      </c>
      <c r="C22" s="82" t="s">
        <v>285</v>
      </c>
      <c r="D22" s="77" t="s">
        <v>360</v>
      </c>
      <c r="E22" s="6">
        <v>0</v>
      </c>
      <c r="F22" s="105">
        <v>0</v>
      </c>
      <c r="G22" s="117" t="s">
        <v>381</v>
      </c>
      <c r="H22" s="117" t="s">
        <v>382</v>
      </c>
      <c r="I22" s="126">
        <v>0</v>
      </c>
      <c r="J22" s="318" t="str">
        <f>B28</f>
        <v>Product/Reactant9</v>
      </c>
      <c r="K22" s="126">
        <v>0</v>
      </c>
      <c r="L22" s="126">
        <v>0</v>
      </c>
      <c r="M22" s="126">
        <v>0</v>
      </c>
      <c r="N22" s="126">
        <v>0</v>
      </c>
      <c r="O22" s="126">
        <v>0</v>
      </c>
      <c r="P22" s="136">
        <v>0</v>
      </c>
      <c r="Q22" s="78" t="s">
        <v>355</v>
      </c>
      <c r="R22" s="78" t="s">
        <v>355</v>
      </c>
      <c r="S22" s="78" t="s">
        <v>355</v>
      </c>
      <c r="T22" s="136" t="s">
        <v>355</v>
      </c>
      <c r="U22" s="78">
        <v>0</v>
      </c>
      <c r="V22" s="78">
        <v>0</v>
      </c>
      <c r="W22" s="78">
        <v>0</v>
      </c>
      <c r="X22" s="136">
        <v>0</v>
      </c>
      <c r="Y22" s="78">
        <v>0</v>
      </c>
      <c r="Z22" s="78">
        <v>0</v>
      </c>
      <c r="AA22" s="78">
        <v>0</v>
      </c>
      <c r="AB22" s="136">
        <v>0</v>
      </c>
      <c r="AC22" s="80">
        <v>0</v>
      </c>
      <c r="AD22" s="80">
        <v>0</v>
      </c>
      <c r="AE22" s="80">
        <v>0</v>
      </c>
      <c r="AF22" s="145">
        <v>0</v>
      </c>
      <c r="AG22" s="80">
        <v>0</v>
      </c>
      <c r="AH22" s="80">
        <v>0</v>
      </c>
      <c r="AI22" s="80">
        <v>0</v>
      </c>
      <c r="AJ22" s="145">
        <v>0</v>
      </c>
      <c r="AK22" s="80">
        <v>0</v>
      </c>
      <c r="AL22" s="80">
        <v>0</v>
      </c>
      <c r="AM22" s="80">
        <v>0</v>
      </c>
      <c r="AN22" s="145">
        <v>0</v>
      </c>
      <c r="AO22" s="81">
        <v>0</v>
      </c>
      <c r="AP22" s="81">
        <v>0</v>
      </c>
      <c r="AQ22" s="81">
        <v>0</v>
      </c>
      <c r="AR22" s="154">
        <v>0</v>
      </c>
      <c r="AS22" s="78">
        <v>0</v>
      </c>
      <c r="AT22" s="78">
        <v>0</v>
      </c>
      <c r="AU22" s="78">
        <v>0</v>
      </c>
      <c r="AV22" s="136">
        <v>0</v>
      </c>
      <c r="AW22" s="78">
        <v>0</v>
      </c>
      <c r="AX22" s="78">
        <v>0</v>
      </c>
      <c r="AY22" s="78">
        <v>0</v>
      </c>
      <c r="AZ22" s="136">
        <v>0</v>
      </c>
      <c r="BA22" s="78">
        <v>0</v>
      </c>
      <c r="BB22" s="78">
        <v>0</v>
      </c>
      <c r="BC22" s="78">
        <v>0</v>
      </c>
      <c r="BD22" s="136">
        <v>0</v>
      </c>
      <c r="BE22" s="78">
        <v>0</v>
      </c>
      <c r="BF22" s="78">
        <v>0</v>
      </c>
      <c r="BG22" s="78">
        <v>0</v>
      </c>
      <c r="BH22" s="136">
        <v>0</v>
      </c>
      <c r="BI22" s="78">
        <v>0</v>
      </c>
      <c r="BJ22" s="78">
        <v>0</v>
      </c>
      <c r="BK22" s="78">
        <v>0</v>
      </c>
      <c r="BL22" s="136">
        <v>0</v>
      </c>
      <c r="BM22" s="78" t="s">
        <v>352</v>
      </c>
      <c r="BN22" s="78" t="s">
        <v>352</v>
      </c>
      <c r="BO22" s="78" t="s">
        <v>352</v>
      </c>
      <c r="BP22" s="136" t="s">
        <v>352</v>
      </c>
      <c r="BQ22" s="78">
        <v>0</v>
      </c>
      <c r="BR22" s="78">
        <v>0</v>
      </c>
      <c r="BS22" s="78">
        <v>0</v>
      </c>
      <c r="BT22" s="136">
        <v>0</v>
      </c>
      <c r="BU22" s="79">
        <v>0</v>
      </c>
      <c r="BV22" s="79">
        <v>0</v>
      </c>
      <c r="BW22" s="79">
        <v>0</v>
      </c>
      <c r="BX22" s="163">
        <v>0</v>
      </c>
      <c r="BY22" s="79">
        <v>0</v>
      </c>
      <c r="BZ22" s="79">
        <v>0</v>
      </c>
      <c r="CA22" s="79">
        <v>0</v>
      </c>
      <c r="CB22" s="79">
        <v>0</v>
      </c>
    </row>
    <row r="23" spans="1:80" s="78" customFormat="1" x14ac:dyDescent="0.35">
      <c r="A23" s="413"/>
      <c r="B23" s="75" t="s">
        <v>97</v>
      </c>
      <c r="C23" s="76" t="s">
        <v>184</v>
      </c>
      <c r="D23" s="77" t="s">
        <v>288</v>
      </c>
      <c r="E23" s="6">
        <v>0</v>
      </c>
      <c r="F23" s="105">
        <v>0</v>
      </c>
      <c r="G23" s="117" t="s">
        <v>377</v>
      </c>
      <c r="H23" s="117" t="s">
        <v>378</v>
      </c>
      <c r="I23" s="126">
        <v>0</v>
      </c>
      <c r="J23" s="318" t="str">
        <f>B27</f>
        <v>Product/Reactant9</v>
      </c>
      <c r="K23" s="126">
        <v>0</v>
      </c>
      <c r="L23" s="126">
        <v>0</v>
      </c>
      <c r="M23" s="126">
        <v>0</v>
      </c>
      <c r="N23" s="126">
        <v>0</v>
      </c>
      <c r="O23" s="126">
        <v>0</v>
      </c>
      <c r="P23" s="136">
        <v>0</v>
      </c>
      <c r="Q23" s="78" t="s">
        <v>355</v>
      </c>
      <c r="R23" s="78" t="s">
        <v>355</v>
      </c>
      <c r="S23" s="78" t="s">
        <v>355</v>
      </c>
      <c r="T23" s="136" t="s">
        <v>355</v>
      </c>
      <c r="U23" s="78">
        <v>0</v>
      </c>
      <c r="V23" s="78">
        <v>0</v>
      </c>
      <c r="W23" s="78">
        <v>0</v>
      </c>
      <c r="X23" s="136">
        <v>0</v>
      </c>
      <c r="Y23" s="78">
        <v>0</v>
      </c>
      <c r="Z23" s="78">
        <v>0</v>
      </c>
      <c r="AA23" s="78">
        <v>0</v>
      </c>
      <c r="AB23" s="136">
        <v>0</v>
      </c>
      <c r="AC23" s="80">
        <v>0</v>
      </c>
      <c r="AD23" s="80">
        <v>0</v>
      </c>
      <c r="AE23" s="80">
        <v>0</v>
      </c>
      <c r="AF23" s="145">
        <v>0</v>
      </c>
      <c r="AG23" s="80">
        <v>0</v>
      </c>
      <c r="AH23" s="80">
        <v>0</v>
      </c>
      <c r="AI23" s="80">
        <v>0</v>
      </c>
      <c r="AJ23" s="145">
        <v>0</v>
      </c>
      <c r="AK23" s="80">
        <v>0</v>
      </c>
      <c r="AL23" s="80">
        <v>0</v>
      </c>
      <c r="AM23" s="80">
        <v>0</v>
      </c>
      <c r="AN23" s="145">
        <v>0</v>
      </c>
      <c r="AO23" s="81">
        <v>0</v>
      </c>
      <c r="AP23" s="81">
        <v>0</v>
      </c>
      <c r="AQ23" s="81">
        <v>0</v>
      </c>
      <c r="AR23" s="154">
        <v>0</v>
      </c>
      <c r="AS23" s="78">
        <v>0</v>
      </c>
      <c r="AT23" s="78">
        <v>0</v>
      </c>
      <c r="AU23" s="78">
        <v>0</v>
      </c>
      <c r="AV23" s="136">
        <v>0</v>
      </c>
      <c r="AW23" s="78">
        <v>0</v>
      </c>
      <c r="AX23" s="78">
        <v>0</v>
      </c>
      <c r="AY23" s="78">
        <v>0</v>
      </c>
      <c r="AZ23" s="136">
        <v>0</v>
      </c>
      <c r="BA23" s="78" t="s">
        <v>356</v>
      </c>
      <c r="BB23" s="78" t="s">
        <v>356</v>
      </c>
      <c r="BC23" s="78" t="s">
        <v>356</v>
      </c>
      <c r="BD23" s="136" t="s">
        <v>356</v>
      </c>
      <c r="BE23" s="78">
        <v>0</v>
      </c>
      <c r="BF23" s="78">
        <v>0</v>
      </c>
      <c r="BG23" s="78">
        <v>0</v>
      </c>
      <c r="BH23" s="136">
        <v>0</v>
      </c>
      <c r="BI23" s="78">
        <v>0</v>
      </c>
      <c r="BJ23" s="78">
        <v>0</v>
      </c>
      <c r="BK23" s="78">
        <v>0</v>
      </c>
      <c r="BL23" s="136">
        <v>0</v>
      </c>
      <c r="BM23" s="78">
        <v>0</v>
      </c>
      <c r="BN23" s="78">
        <v>0</v>
      </c>
      <c r="BO23" s="78">
        <v>0</v>
      </c>
      <c r="BP23" s="136">
        <v>0</v>
      </c>
      <c r="BQ23" s="78">
        <v>0</v>
      </c>
      <c r="BR23" s="78">
        <v>0</v>
      </c>
      <c r="BS23" s="78">
        <v>0</v>
      </c>
      <c r="BT23" s="136">
        <v>0</v>
      </c>
      <c r="BU23" s="79">
        <v>0</v>
      </c>
      <c r="BV23" s="79">
        <v>0</v>
      </c>
      <c r="BW23" s="79">
        <v>0</v>
      </c>
      <c r="BX23" s="163">
        <v>0</v>
      </c>
      <c r="BY23" s="79">
        <v>0</v>
      </c>
      <c r="BZ23" s="79">
        <v>0</v>
      </c>
      <c r="CA23" s="79">
        <v>0</v>
      </c>
      <c r="CB23" s="79">
        <v>0</v>
      </c>
    </row>
    <row r="24" spans="1:80" s="78" customFormat="1" x14ac:dyDescent="0.35">
      <c r="A24" s="413"/>
      <c r="B24" s="75" t="s">
        <v>97</v>
      </c>
      <c r="C24" s="76" t="s">
        <v>184</v>
      </c>
      <c r="D24" s="77" t="s">
        <v>287</v>
      </c>
      <c r="E24" s="6">
        <v>0</v>
      </c>
      <c r="F24" s="105">
        <v>0</v>
      </c>
      <c r="G24" s="117" t="s">
        <v>377</v>
      </c>
      <c r="H24" s="117" t="s">
        <v>378</v>
      </c>
      <c r="I24" s="126">
        <v>0</v>
      </c>
      <c r="J24" s="318" t="str">
        <f>B28</f>
        <v>Product/Reactant9</v>
      </c>
      <c r="K24" s="126">
        <v>0</v>
      </c>
      <c r="L24" s="126">
        <v>0</v>
      </c>
      <c r="M24" s="126">
        <v>0</v>
      </c>
      <c r="N24" s="126">
        <v>0</v>
      </c>
      <c r="O24" s="126">
        <v>0</v>
      </c>
      <c r="P24" s="136">
        <v>0</v>
      </c>
      <c r="Q24" s="78" t="s">
        <v>355</v>
      </c>
      <c r="R24" s="78" t="s">
        <v>355</v>
      </c>
      <c r="S24" s="78" t="s">
        <v>355</v>
      </c>
      <c r="T24" s="136" t="s">
        <v>355</v>
      </c>
      <c r="U24" s="78">
        <v>0</v>
      </c>
      <c r="V24" s="78">
        <v>0</v>
      </c>
      <c r="W24" s="78">
        <v>0</v>
      </c>
      <c r="X24" s="136">
        <v>0</v>
      </c>
      <c r="Y24" s="78">
        <v>0</v>
      </c>
      <c r="Z24" s="78">
        <v>0</v>
      </c>
      <c r="AA24" s="78">
        <v>0</v>
      </c>
      <c r="AB24" s="136">
        <v>0</v>
      </c>
      <c r="AC24" s="80">
        <v>0</v>
      </c>
      <c r="AD24" s="80">
        <v>0</v>
      </c>
      <c r="AE24" s="80">
        <v>0</v>
      </c>
      <c r="AF24" s="145">
        <v>0</v>
      </c>
      <c r="AG24" s="80">
        <v>0</v>
      </c>
      <c r="AH24" s="80">
        <v>0</v>
      </c>
      <c r="AI24" s="80">
        <v>0</v>
      </c>
      <c r="AJ24" s="145">
        <v>0</v>
      </c>
      <c r="AK24" s="80">
        <v>0</v>
      </c>
      <c r="AL24" s="80">
        <v>0</v>
      </c>
      <c r="AM24" s="80">
        <v>0</v>
      </c>
      <c r="AN24" s="145">
        <v>0</v>
      </c>
      <c r="AO24" s="81">
        <v>0</v>
      </c>
      <c r="AP24" s="81">
        <v>0</v>
      </c>
      <c r="AQ24" s="81">
        <v>0</v>
      </c>
      <c r="AR24" s="154">
        <v>0</v>
      </c>
      <c r="AS24" s="78">
        <v>0</v>
      </c>
      <c r="AT24" s="78">
        <v>0</v>
      </c>
      <c r="AU24" s="78">
        <v>0</v>
      </c>
      <c r="AV24" s="136">
        <v>0</v>
      </c>
      <c r="AW24" s="78">
        <v>0</v>
      </c>
      <c r="AX24" s="78">
        <v>0</v>
      </c>
      <c r="AY24" s="78">
        <v>0</v>
      </c>
      <c r="AZ24" s="136">
        <v>0</v>
      </c>
      <c r="BA24" s="78" t="s">
        <v>356</v>
      </c>
      <c r="BB24" s="78" t="s">
        <v>356</v>
      </c>
      <c r="BC24" s="78" t="s">
        <v>356</v>
      </c>
      <c r="BD24" s="136" t="s">
        <v>356</v>
      </c>
      <c r="BE24" s="78">
        <v>0</v>
      </c>
      <c r="BF24" s="78">
        <v>0</v>
      </c>
      <c r="BG24" s="78">
        <v>0</v>
      </c>
      <c r="BH24" s="136">
        <v>0</v>
      </c>
      <c r="BI24" s="78">
        <v>0</v>
      </c>
      <c r="BJ24" s="78">
        <v>0</v>
      </c>
      <c r="BK24" s="78">
        <v>0</v>
      </c>
      <c r="BL24" s="136">
        <v>0</v>
      </c>
      <c r="BM24" s="78">
        <v>0</v>
      </c>
      <c r="BN24" s="78">
        <v>0</v>
      </c>
      <c r="BO24" s="78">
        <v>0</v>
      </c>
      <c r="BP24" s="136">
        <v>0</v>
      </c>
      <c r="BQ24" s="78">
        <v>0</v>
      </c>
      <c r="BR24" s="78">
        <v>0</v>
      </c>
      <c r="BS24" s="78">
        <v>0</v>
      </c>
      <c r="BT24" s="136">
        <v>0</v>
      </c>
      <c r="BU24" s="79">
        <v>0</v>
      </c>
      <c r="BV24" s="79">
        <v>0</v>
      </c>
      <c r="BW24" s="79">
        <v>0</v>
      </c>
      <c r="BX24" s="163">
        <v>0</v>
      </c>
      <c r="BY24" s="79">
        <v>0</v>
      </c>
      <c r="BZ24" s="79">
        <v>0</v>
      </c>
      <c r="CA24" s="79">
        <v>0</v>
      </c>
      <c r="CB24" s="79">
        <v>0</v>
      </c>
    </row>
    <row r="25" spans="1:80" s="78" customFormat="1" x14ac:dyDescent="0.35">
      <c r="A25" s="413"/>
      <c r="B25" s="75" t="s">
        <v>97</v>
      </c>
      <c r="C25" s="76" t="s">
        <v>184</v>
      </c>
      <c r="D25" s="77" t="s">
        <v>290</v>
      </c>
      <c r="E25" s="6">
        <v>0</v>
      </c>
      <c r="F25" s="105">
        <v>0</v>
      </c>
      <c r="G25" s="117" t="s">
        <v>379</v>
      </c>
      <c r="H25" s="117" t="s">
        <v>380</v>
      </c>
      <c r="I25" s="126">
        <v>0</v>
      </c>
      <c r="J25" s="318" t="str">
        <f>B29</f>
        <v>Product/Reactant9</v>
      </c>
      <c r="K25" s="126">
        <v>0</v>
      </c>
      <c r="L25" s="126">
        <v>0</v>
      </c>
      <c r="M25" s="126">
        <v>0</v>
      </c>
      <c r="N25" s="126">
        <v>0</v>
      </c>
      <c r="O25" s="126">
        <v>0</v>
      </c>
      <c r="P25" s="136">
        <v>0</v>
      </c>
      <c r="Q25" s="78" t="s">
        <v>355</v>
      </c>
      <c r="R25" s="78" t="s">
        <v>355</v>
      </c>
      <c r="S25" s="78" t="s">
        <v>355</v>
      </c>
      <c r="T25" s="136" t="s">
        <v>355</v>
      </c>
      <c r="U25" s="78">
        <v>0</v>
      </c>
      <c r="V25" s="78">
        <v>0</v>
      </c>
      <c r="W25" s="78">
        <v>0</v>
      </c>
      <c r="X25" s="136">
        <v>0</v>
      </c>
      <c r="Y25" s="78">
        <v>0</v>
      </c>
      <c r="Z25" s="78">
        <v>0</v>
      </c>
      <c r="AA25" s="78">
        <v>0</v>
      </c>
      <c r="AB25" s="136">
        <v>0</v>
      </c>
      <c r="AC25" s="80">
        <v>0</v>
      </c>
      <c r="AD25" s="80">
        <v>0</v>
      </c>
      <c r="AE25" s="80">
        <v>0</v>
      </c>
      <c r="AF25" s="145">
        <v>0</v>
      </c>
      <c r="AG25" s="80">
        <v>0</v>
      </c>
      <c r="AH25" s="80">
        <v>0</v>
      </c>
      <c r="AI25" s="80">
        <v>0</v>
      </c>
      <c r="AJ25" s="145">
        <v>0</v>
      </c>
      <c r="AK25" s="80">
        <v>0</v>
      </c>
      <c r="AL25" s="80">
        <v>0</v>
      </c>
      <c r="AM25" s="80">
        <v>0</v>
      </c>
      <c r="AN25" s="145">
        <v>0</v>
      </c>
      <c r="AO25" s="81">
        <v>0</v>
      </c>
      <c r="AP25" s="81">
        <v>0</v>
      </c>
      <c r="AQ25" s="81">
        <v>0</v>
      </c>
      <c r="AR25" s="154">
        <v>0</v>
      </c>
      <c r="AS25" s="78">
        <v>0</v>
      </c>
      <c r="AT25" s="78">
        <v>0</v>
      </c>
      <c r="AU25" s="78">
        <v>0</v>
      </c>
      <c r="AV25" s="136">
        <v>0</v>
      </c>
      <c r="AW25" s="78">
        <v>0</v>
      </c>
      <c r="AX25" s="78">
        <v>0</v>
      </c>
      <c r="AY25" s="78">
        <v>0</v>
      </c>
      <c r="AZ25" s="136">
        <v>0</v>
      </c>
      <c r="BA25" s="78" t="s">
        <v>356</v>
      </c>
      <c r="BB25" s="78" t="s">
        <v>356</v>
      </c>
      <c r="BC25" s="78" t="s">
        <v>356</v>
      </c>
      <c r="BD25" s="136" t="s">
        <v>356</v>
      </c>
      <c r="BE25" s="78">
        <v>0</v>
      </c>
      <c r="BF25" s="78">
        <v>0</v>
      </c>
      <c r="BG25" s="78">
        <v>0</v>
      </c>
      <c r="BH25" s="136">
        <v>0</v>
      </c>
      <c r="BI25" s="78">
        <v>0</v>
      </c>
      <c r="BJ25" s="78">
        <v>0</v>
      </c>
      <c r="BK25" s="78">
        <v>0</v>
      </c>
      <c r="BL25" s="136">
        <v>0</v>
      </c>
      <c r="BM25" s="78">
        <v>0</v>
      </c>
      <c r="BN25" s="78">
        <v>0</v>
      </c>
      <c r="BO25" s="78">
        <v>0</v>
      </c>
      <c r="BP25" s="136">
        <v>0</v>
      </c>
      <c r="BQ25" s="78">
        <v>0</v>
      </c>
      <c r="BR25" s="78">
        <v>0</v>
      </c>
      <c r="BS25" s="78">
        <v>0</v>
      </c>
      <c r="BT25" s="136">
        <v>0</v>
      </c>
      <c r="BU25" s="79">
        <v>0</v>
      </c>
      <c r="BV25" s="79">
        <v>0</v>
      </c>
      <c r="BW25" s="79">
        <v>0</v>
      </c>
      <c r="BX25" s="163">
        <v>0</v>
      </c>
      <c r="BY25" s="79">
        <v>0</v>
      </c>
      <c r="BZ25" s="79">
        <v>0</v>
      </c>
      <c r="CA25" s="79">
        <v>0</v>
      </c>
      <c r="CB25" s="79">
        <v>0</v>
      </c>
    </row>
    <row r="26" spans="1:80" s="78" customFormat="1" x14ac:dyDescent="0.35">
      <c r="A26" s="413"/>
      <c r="B26" s="75" t="s">
        <v>97</v>
      </c>
      <c r="C26" s="76" t="s">
        <v>184</v>
      </c>
      <c r="D26" s="77" t="s">
        <v>289</v>
      </c>
      <c r="E26" s="6">
        <v>0</v>
      </c>
      <c r="F26" s="105">
        <v>0</v>
      </c>
      <c r="G26" s="117" t="s">
        <v>379</v>
      </c>
      <c r="H26" s="117" t="s">
        <v>380</v>
      </c>
      <c r="I26" s="126">
        <v>0</v>
      </c>
      <c r="J26" s="318" t="str">
        <f t="shared" ref="J26" si="3">B30</f>
        <v>Product/Reactant9</v>
      </c>
      <c r="K26" s="126">
        <v>0</v>
      </c>
      <c r="L26" s="126">
        <v>0</v>
      </c>
      <c r="M26" s="126">
        <v>0</v>
      </c>
      <c r="N26" s="126">
        <v>0</v>
      </c>
      <c r="O26" s="126">
        <v>0</v>
      </c>
      <c r="P26" s="136">
        <v>0</v>
      </c>
      <c r="Q26" s="78" t="s">
        <v>355</v>
      </c>
      <c r="R26" s="78" t="s">
        <v>355</v>
      </c>
      <c r="S26" s="78" t="s">
        <v>355</v>
      </c>
      <c r="T26" s="136" t="s">
        <v>355</v>
      </c>
      <c r="U26" s="78">
        <v>0</v>
      </c>
      <c r="V26" s="78">
        <v>0</v>
      </c>
      <c r="W26" s="78">
        <v>0</v>
      </c>
      <c r="X26" s="136">
        <v>0</v>
      </c>
      <c r="Y26" s="78">
        <v>0</v>
      </c>
      <c r="Z26" s="78">
        <v>0</v>
      </c>
      <c r="AA26" s="78">
        <v>0</v>
      </c>
      <c r="AB26" s="136">
        <v>0</v>
      </c>
      <c r="AC26" s="80">
        <v>0</v>
      </c>
      <c r="AD26" s="80">
        <v>0</v>
      </c>
      <c r="AE26" s="80">
        <v>0</v>
      </c>
      <c r="AF26" s="145">
        <v>0</v>
      </c>
      <c r="AG26" s="80">
        <v>0</v>
      </c>
      <c r="AH26" s="80">
        <v>0</v>
      </c>
      <c r="AI26" s="80">
        <v>0</v>
      </c>
      <c r="AJ26" s="145">
        <v>0</v>
      </c>
      <c r="AK26" s="80">
        <v>0</v>
      </c>
      <c r="AL26" s="80">
        <v>0</v>
      </c>
      <c r="AM26" s="80">
        <v>0</v>
      </c>
      <c r="AN26" s="145">
        <v>0</v>
      </c>
      <c r="AO26" s="81">
        <v>0</v>
      </c>
      <c r="AP26" s="81">
        <v>0</v>
      </c>
      <c r="AQ26" s="81">
        <v>0</v>
      </c>
      <c r="AR26" s="154">
        <v>0</v>
      </c>
      <c r="AS26" s="78">
        <v>0</v>
      </c>
      <c r="AT26" s="78">
        <v>0</v>
      </c>
      <c r="AU26" s="78">
        <v>0</v>
      </c>
      <c r="AV26" s="136">
        <v>0</v>
      </c>
      <c r="AW26" s="78">
        <v>0</v>
      </c>
      <c r="AX26" s="78">
        <v>0</v>
      </c>
      <c r="AY26" s="78">
        <v>0</v>
      </c>
      <c r="AZ26" s="136">
        <v>0</v>
      </c>
      <c r="BA26" s="78" t="s">
        <v>356</v>
      </c>
      <c r="BB26" s="78" t="s">
        <v>356</v>
      </c>
      <c r="BC26" s="78" t="s">
        <v>356</v>
      </c>
      <c r="BD26" s="136" t="s">
        <v>356</v>
      </c>
      <c r="BE26" s="78">
        <v>0</v>
      </c>
      <c r="BF26" s="78">
        <v>0</v>
      </c>
      <c r="BG26" s="78">
        <v>0</v>
      </c>
      <c r="BH26" s="136">
        <v>0</v>
      </c>
      <c r="BI26" s="78">
        <v>0</v>
      </c>
      <c r="BJ26" s="78">
        <v>0</v>
      </c>
      <c r="BK26" s="78">
        <v>0</v>
      </c>
      <c r="BL26" s="136">
        <v>0</v>
      </c>
      <c r="BM26" s="78">
        <v>0</v>
      </c>
      <c r="BN26" s="78">
        <v>0</v>
      </c>
      <c r="BO26" s="78">
        <v>0</v>
      </c>
      <c r="BP26" s="136">
        <v>0</v>
      </c>
      <c r="BQ26" s="78">
        <v>0</v>
      </c>
      <c r="BR26" s="78">
        <v>0</v>
      </c>
      <c r="BS26" s="78">
        <v>0</v>
      </c>
      <c r="BT26" s="136">
        <v>0</v>
      </c>
      <c r="BU26" s="79">
        <v>0</v>
      </c>
      <c r="BV26" s="79">
        <v>0</v>
      </c>
      <c r="BW26" s="79">
        <v>0</v>
      </c>
      <c r="BX26" s="163">
        <v>0</v>
      </c>
      <c r="BY26" s="79">
        <v>0</v>
      </c>
      <c r="BZ26" s="79">
        <v>0</v>
      </c>
      <c r="CA26" s="79">
        <v>0</v>
      </c>
      <c r="CB26" s="79">
        <v>0</v>
      </c>
    </row>
    <row r="27" spans="1:80" s="78" customFormat="1" x14ac:dyDescent="0.35">
      <c r="A27" s="413"/>
      <c r="B27" s="75" t="s">
        <v>439</v>
      </c>
      <c r="C27" s="82" t="s">
        <v>119</v>
      </c>
      <c r="D27" s="77" t="s">
        <v>361</v>
      </c>
      <c r="E27" s="6">
        <v>0</v>
      </c>
      <c r="F27" s="105">
        <v>0</v>
      </c>
      <c r="G27" s="117" t="s">
        <v>383</v>
      </c>
      <c r="H27" s="117" t="s">
        <v>384</v>
      </c>
      <c r="I27" s="126">
        <v>0</v>
      </c>
      <c r="J27" s="318" t="str">
        <f>B34</f>
        <v>Reactant10</v>
      </c>
      <c r="K27" s="126">
        <v>0</v>
      </c>
      <c r="L27" s="126">
        <v>0</v>
      </c>
      <c r="M27" s="126">
        <v>0</v>
      </c>
      <c r="N27" s="126">
        <v>0</v>
      </c>
      <c r="O27" s="126">
        <v>0</v>
      </c>
      <c r="P27" s="136">
        <v>0</v>
      </c>
      <c r="Q27" s="78" t="s">
        <v>355</v>
      </c>
      <c r="R27" s="78" t="s">
        <v>355</v>
      </c>
      <c r="S27" s="78" t="s">
        <v>355</v>
      </c>
      <c r="T27" s="136" t="s">
        <v>355</v>
      </c>
      <c r="U27" s="78" t="s">
        <v>355</v>
      </c>
      <c r="V27" s="78" t="s">
        <v>355</v>
      </c>
      <c r="W27" s="78" t="s">
        <v>355</v>
      </c>
      <c r="X27" s="136" t="s">
        <v>355</v>
      </c>
      <c r="Y27" s="78" t="s">
        <v>355</v>
      </c>
      <c r="Z27" s="78" t="s">
        <v>355</v>
      </c>
      <c r="AA27" s="78" t="s">
        <v>355</v>
      </c>
      <c r="AB27" s="136" t="s">
        <v>355</v>
      </c>
      <c r="AC27" s="80" t="s">
        <v>355</v>
      </c>
      <c r="AD27" s="80" t="s">
        <v>355</v>
      </c>
      <c r="AE27" s="80" t="s">
        <v>355</v>
      </c>
      <c r="AF27" s="145" t="s">
        <v>355</v>
      </c>
      <c r="AG27" s="80" t="s">
        <v>355</v>
      </c>
      <c r="AH27" s="80" t="s">
        <v>355</v>
      </c>
      <c r="AI27" s="80" t="s">
        <v>355</v>
      </c>
      <c r="AJ27" s="145" t="s">
        <v>355</v>
      </c>
      <c r="AK27" s="80" t="s">
        <v>355</v>
      </c>
      <c r="AL27" s="80" t="s">
        <v>355</v>
      </c>
      <c r="AM27" s="80" t="s">
        <v>355</v>
      </c>
      <c r="AN27" s="145" t="s">
        <v>355</v>
      </c>
      <c r="AO27" s="81" t="s">
        <v>355</v>
      </c>
      <c r="AP27" s="81" t="s">
        <v>355</v>
      </c>
      <c r="AQ27" s="81" t="s">
        <v>355</v>
      </c>
      <c r="AR27" s="154" t="s">
        <v>355</v>
      </c>
      <c r="AS27" s="78" t="s">
        <v>355</v>
      </c>
      <c r="AT27" s="78" t="s">
        <v>355</v>
      </c>
      <c r="AU27" s="78" t="s">
        <v>355</v>
      </c>
      <c r="AV27" s="136" t="s">
        <v>355</v>
      </c>
      <c r="AW27" s="78" t="s">
        <v>355</v>
      </c>
      <c r="AX27" s="78" t="s">
        <v>355</v>
      </c>
      <c r="AY27" s="78" t="s">
        <v>355</v>
      </c>
      <c r="AZ27" s="136" t="s">
        <v>355</v>
      </c>
      <c r="BA27" s="78" t="s">
        <v>355</v>
      </c>
      <c r="BB27" s="78" t="s">
        <v>355</v>
      </c>
      <c r="BC27" s="78" t="s">
        <v>355</v>
      </c>
      <c r="BD27" s="136" t="s">
        <v>355</v>
      </c>
      <c r="BE27" s="78" t="s">
        <v>355</v>
      </c>
      <c r="BF27" s="78" t="s">
        <v>355</v>
      </c>
      <c r="BG27" s="78" t="s">
        <v>355</v>
      </c>
      <c r="BH27" s="136" t="s">
        <v>355</v>
      </c>
      <c r="BI27" s="78" t="s">
        <v>279</v>
      </c>
      <c r="BJ27" s="78" t="s">
        <v>279</v>
      </c>
      <c r="BK27" s="78" t="s">
        <v>279</v>
      </c>
      <c r="BL27" s="136" t="s">
        <v>279</v>
      </c>
      <c r="BM27" s="78" t="s">
        <v>279</v>
      </c>
      <c r="BN27" s="78" t="s">
        <v>279</v>
      </c>
      <c r="BO27" s="78" t="s">
        <v>279</v>
      </c>
      <c r="BP27" s="136" t="s">
        <v>279</v>
      </c>
      <c r="BQ27" s="78" t="s">
        <v>355</v>
      </c>
      <c r="BR27" s="78" t="s">
        <v>355</v>
      </c>
      <c r="BS27" s="78" t="s">
        <v>355</v>
      </c>
      <c r="BT27" s="136" t="s">
        <v>355</v>
      </c>
      <c r="BU27" s="79">
        <v>0</v>
      </c>
      <c r="BV27" s="79">
        <v>0</v>
      </c>
      <c r="BW27" s="79">
        <v>0</v>
      </c>
      <c r="BX27" s="163">
        <v>0</v>
      </c>
      <c r="BY27" s="80">
        <v>0</v>
      </c>
      <c r="BZ27" s="80">
        <v>0</v>
      </c>
      <c r="CA27" s="80">
        <v>0</v>
      </c>
      <c r="CB27" s="80">
        <v>0</v>
      </c>
    </row>
    <row r="28" spans="1:80" s="78" customFormat="1" x14ac:dyDescent="0.35">
      <c r="A28" s="413"/>
      <c r="B28" s="75" t="s">
        <v>439</v>
      </c>
      <c r="C28" s="82" t="s">
        <v>119</v>
      </c>
      <c r="D28" s="77" t="s">
        <v>362</v>
      </c>
      <c r="E28" s="6">
        <v>0</v>
      </c>
      <c r="F28" s="105">
        <v>0</v>
      </c>
      <c r="G28" s="117" t="s">
        <v>383</v>
      </c>
      <c r="H28" s="117" t="s">
        <v>384</v>
      </c>
      <c r="I28" s="126">
        <v>0</v>
      </c>
      <c r="J28" s="318" t="str">
        <f>B34</f>
        <v>Reactant10</v>
      </c>
      <c r="K28" s="126">
        <v>0</v>
      </c>
      <c r="L28" s="126">
        <v>0</v>
      </c>
      <c r="M28" s="126">
        <v>0</v>
      </c>
      <c r="N28" s="126">
        <v>0</v>
      </c>
      <c r="O28" s="126">
        <v>0</v>
      </c>
      <c r="P28" s="136">
        <v>0</v>
      </c>
      <c r="Q28" s="78" t="s">
        <v>355</v>
      </c>
      <c r="R28" s="78" t="s">
        <v>355</v>
      </c>
      <c r="S28" s="78" t="s">
        <v>355</v>
      </c>
      <c r="T28" s="136" t="s">
        <v>355</v>
      </c>
      <c r="U28" s="78" t="s">
        <v>355</v>
      </c>
      <c r="V28" s="78" t="s">
        <v>355</v>
      </c>
      <c r="W28" s="78" t="s">
        <v>355</v>
      </c>
      <c r="X28" s="136" t="s">
        <v>355</v>
      </c>
      <c r="Y28" s="78" t="s">
        <v>355</v>
      </c>
      <c r="Z28" s="78" t="s">
        <v>355</v>
      </c>
      <c r="AA28" s="78" t="s">
        <v>355</v>
      </c>
      <c r="AB28" s="136" t="s">
        <v>355</v>
      </c>
      <c r="AC28" s="80" t="s">
        <v>355</v>
      </c>
      <c r="AD28" s="80" t="s">
        <v>355</v>
      </c>
      <c r="AE28" s="80" t="s">
        <v>355</v>
      </c>
      <c r="AF28" s="145" t="s">
        <v>355</v>
      </c>
      <c r="AG28" s="80" t="s">
        <v>355</v>
      </c>
      <c r="AH28" s="80" t="s">
        <v>355</v>
      </c>
      <c r="AI28" s="80" t="s">
        <v>355</v>
      </c>
      <c r="AJ28" s="145" t="s">
        <v>355</v>
      </c>
      <c r="AK28" s="80" t="s">
        <v>355</v>
      </c>
      <c r="AL28" s="80" t="s">
        <v>355</v>
      </c>
      <c r="AM28" s="80" t="s">
        <v>355</v>
      </c>
      <c r="AN28" s="145" t="s">
        <v>355</v>
      </c>
      <c r="AO28" s="81" t="s">
        <v>355</v>
      </c>
      <c r="AP28" s="81" t="s">
        <v>355</v>
      </c>
      <c r="AQ28" s="81" t="s">
        <v>355</v>
      </c>
      <c r="AR28" s="154" t="s">
        <v>355</v>
      </c>
      <c r="AS28" s="78" t="s">
        <v>355</v>
      </c>
      <c r="AT28" s="78" t="s">
        <v>355</v>
      </c>
      <c r="AU28" s="78" t="s">
        <v>355</v>
      </c>
      <c r="AV28" s="136" t="s">
        <v>355</v>
      </c>
      <c r="AW28" s="78" t="s">
        <v>355</v>
      </c>
      <c r="AX28" s="78" t="s">
        <v>355</v>
      </c>
      <c r="AY28" s="78" t="s">
        <v>355</v>
      </c>
      <c r="AZ28" s="136" t="s">
        <v>355</v>
      </c>
      <c r="BA28" s="78" t="s">
        <v>355</v>
      </c>
      <c r="BB28" s="78" t="s">
        <v>355</v>
      </c>
      <c r="BC28" s="78" t="s">
        <v>355</v>
      </c>
      <c r="BD28" s="136" t="s">
        <v>355</v>
      </c>
      <c r="BE28" s="78" t="s">
        <v>355</v>
      </c>
      <c r="BF28" s="78" t="s">
        <v>355</v>
      </c>
      <c r="BG28" s="78" t="s">
        <v>355</v>
      </c>
      <c r="BH28" s="136" t="s">
        <v>355</v>
      </c>
      <c r="BI28" s="78" t="s">
        <v>279</v>
      </c>
      <c r="BJ28" s="78" t="s">
        <v>279</v>
      </c>
      <c r="BK28" s="78" t="s">
        <v>279</v>
      </c>
      <c r="BL28" s="136" t="s">
        <v>279</v>
      </c>
      <c r="BM28" s="78" t="s">
        <v>279</v>
      </c>
      <c r="BN28" s="78" t="s">
        <v>279</v>
      </c>
      <c r="BO28" s="78" t="s">
        <v>279</v>
      </c>
      <c r="BP28" s="136" t="s">
        <v>279</v>
      </c>
      <c r="BQ28" s="78" t="s">
        <v>355</v>
      </c>
      <c r="BR28" s="78" t="s">
        <v>355</v>
      </c>
      <c r="BS28" s="78" t="s">
        <v>355</v>
      </c>
      <c r="BT28" s="136" t="s">
        <v>355</v>
      </c>
      <c r="BU28" s="79">
        <v>0</v>
      </c>
      <c r="BV28" s="79">
        <v>0</v>
      </c>
      <c r="BW28" s="79">
        <v>0</v>
      </c>
      <c r="BX28" s="163">
        <v>0</v>
      </c>
      <c r="BY28" s="80">
        <v>0</v>
      </c>
      <c r="BZ28" s="80">
        <v>0</v>
      </c>
      <c r="CA28" s="80">
        <v>0</v>
      </c>
      <c r="CB28" s="80">
        <v>0</v>
      </c>
    </row>
    <row r="29" spans="1:80" s="78" customFormat="1" x14ac:dyDescent="0.35">
      <c r="A29" s="413"/>
      <c r="B29" s="75" t="s">
        <v>439</v>
      </c>
      <c r="C29" s="82" t="s">
        <v>119</v>
      </c>
      <c r="D29" s="77" t="s">
        <v>363</v>
      </c>
      <c r="E29" s="6">
        <v>0</v>
      </c>
      <c r="F29" s="105">
        <v>0</v>
      </c>
      <c r="G29" s="117" t="s">
        <v>383</v>
      </c>
      <c r="H29" s="117" t="s">
        <v>384</v>
      </c>
      <c r="I29" s="126">
        <v>0</v>
      </c>
      <c r="J29" s="318" t="str">
        <f>B34</f>
        <v>Reactant10</v>
      </c>
      <c r="K29" s="126">
        <v>0</v>
      </c>
      <c r="L29" s="126">
        <v>0</v>
      </c>
      <c r="M29" s="126">
        <v>0</v>
      </c>
      <c r="N29" s="126">
        <v>0</v>
      </c>
      <c r="O29" s="126">
        <v>0</v>
      </c>
      <c r="P29" s="136">
        <v>0</v>
      </c>
      <c r="Q29" s="78" t="s">
        <v>355</v>
      </c>
      <c r="R29" s="78" t="s">
        <v>355</v>
      </c>
      <c r="S29" s="78" t="s">
        <v>355</v>
      </c>
      <c r="T29" s="136" t="s">
        <v>355</v>
      </c>
      <c r="U29" s="78" t="s">
        <v>355</v>
      </c>
      <c r="V29" s="78" t="s">
        <v>355</v>
      </c>
      <c r="W29" s="78" t="s">
        <v>355</v>
      </c>
      <c r="X29" s="136" t="s">
        <v>355</v>
      </c>
      <c r="Y29" s="78" t="s">
        <v>355</v>
      </c>
      <c r="Z29" s="78" t="s">
        <v>355</v>
      </c>
      <c r="AA29" s="78" t="s">
        <v>355</v>
      </c>
      <c r="AB29" s="136" t="s">
        <v>355</v>
      </c>
      <c r="AC29" s="80" t="s">
        <v>355</v>
      </c>
      <c r="AD29" s="80" t="s">
        <v>355</v>
      </c>
      <c r="AE29" s="80" t="s">
        <v>355</v>
      </c>
      <c r="AF29" s="145" t="s">
        <v>355</v>
      </c>
      <c r="AG29" s="80" t="s">
        <v>355</v>
      </c>
      <c r="AH29" s="80" t="s">
        <v>355</v>
      </c>
      <c r="AI29" s="80" t="s">
        <v>355</v>
      </c>
      <c r="AJ29" s="145" t="s">
        <v>355</v>
      </c>
      <c r="AK29" s="80" t="s">
        <v>355</v>
      </c>
      <c r="AL29" s="80" t="s">
        <v>355</v>
      </c>
      <c r="AM29" s="80" t="s">
        <v>355</v>
      </c>
      <c r="AN29" s="145" t="s">
        <v>355</v>
      </c>
      <c r="AO29" s="81" t="s">
        <v>355</v>
      </c>
      <c r="AP29" s="81" t="s">
        <v>355</v>
      </c>
      <c r="AQ29" s="81" t="s">
        <v>355</v>
      </c>
      <c r="AR29" s="154" t="s">
        <v>355</v>
      </c>
      <c r="AS29" s="78" t="s">
        <v>355</v>
      </c>
      <c r="AT29" s="78" t="s">
        <v>355</v>
      </c>
      <c r="AU29" s="78" t="s">
        <v>355</v>
      </c>
      <c r="AV29" s="136" t="s">
        <v>355</v>
      </c>
      <c r="AW29" s="78" t="s">
        <v>355</v>
      </c>
      <c r="AX29" s="78" t="s">
        <v>355</v>
      </c>
      <c r="AY29" s="78" t="s">
        <v>355</v>
      </c>
      <c r="AZ29" s="136" t="s">
        <v>355</v>
      </c>
      <c r="BA29" s="78" t="s">
        <v>355</v>
      </c>
      <c r="BB29" s="78" t="s">
        <v>355</v>
      </c>
      <c r="BC29" s="78" t="s">
        <v>355</v>
      </c>
      <c r="BD29" s="136" t="s">
        <v>355</v>
      </c>
      <c r="BE29" s="78" t="s">
        <v>355</v>
      </c>
      <c r="BF29" s="78" t="s">
        <v>355</v>
      </c>
      <c r="BG29" s="78" t="s">
        <v>355</v>
      </c>
      <c r="BH29" s="136" t="s">
        <v>355</v>
      </c>
      <c r="BI29" s="78" t="s">
        <v>279</v>
      </c>
      <c r="BJ29" s="78" t="s">
        <v>279</v>
      </c>
      <c r="BK29" s="78" t="s">
        <v>279</v>
      </c>
      <c r="BL29" s="136" t="s">
        <v>279</v>
      </c>
      <c r="BM29" s="78" t="s">
        <v>279</v>
      </c>
      <c r="BN29" s="78" t="s">
        <v>279</v>
      </c>
      <c r="BO29" s="78" t="s">
        <v>279</v>
      </c>
      <c r="BP29" s="136" t="s">
        <v>279</v>
      </c>
      <c r="BQ29" s="78" t="s">
        <v>355</v>
      </c>
      <c r="BR29" s="78" t="s">
        <v>355</v>
      </c>
      <c r="BS29" s="78" t="s">
        <v>355</v>
      </c>
      <c r="BT29" s="136" t="s">
        <v>355</v>
      </c>
      <c r="BU29" s="79">
        <v>0</v>
      </c>
      <c r="BV29" s="79">
        <v>0</v>
      </c>
      <c r="BW29" s="79">
        <v>0</v>
      </c>
      <c r="BX29" s="163">
        <v>0</v>
      </c>
      <c r="BY29" s="80">
        <v>0</v>
      </c>
      <c r="BZ29" s="80">
        <v>0</v>
      </c>
      <c r="CA29" s="80">
        <v>0</v>
      </c>
      <c r="CB29" s="80">
        <v>0</v>
      </c>
    </row>
    <row r="30" spans="1:80" s="78" customFormat="1" x14ac:dyDescent="0.35">
      <c r="A30" s="413"/>
      <c r="B30" s="75" t="s">
        <v>439</v>
      </c>
      <c r="C30" s="82" t="s">
        <v>119</v>
      </c>
      <c r="D30" s="77" t="s">
        <v>364</v>
      </c>
      <c r="E30" s="6">
        <v>0</v>
      </c>
      <c r="F30" s="105">
        <v>0</v>
      </c>
      <c r="G30" s="117" t="s">
        <v>383</v>
      </c>
      <c r="H30" s="117" t="s">
        <v>384</v>
      </c>
      <c r="I30" s="126">
        <v>0</v>
      </c>
      <c r="J30" s="318" t="str">
        <f>B34</f>
        <v>Reactant10</v>
      </c>
      <c r="K30" s="126">
        <v>0</v>
      </c>
      <c r="L30" s="126">
        <v>0</v>
      </c>
      <c r="M30" s="126">
        <v>0</v>
      </c>
      <c r="N30" s="126">
        <v>0</v>
      </c>
      <c r="O30" s="126">
        <v>0</v>
      </c>
      <c r="P30" s="136">
        <v>0</v>
      </c>
      <c r="Q30" s="78" t="s">
        <v>355</v>
      </c>
      <c r="R30" s="78" t="s">
        <v>355</v>
      </c>
      <c r="S30" s="78" t="s">
        <v>355</v>
      </c>
      <c r="T30" s="136" t="s">
        <v>355</v>
      </c>
      <c r="U30" s="78" t="s">
        <v>355</v>
      </c>
      <c r="V30" s="78" t="s">
        <v>355</v>
      </c>
      <c r="W30" s="78" t="s">
        <v>355</v>
      </c>
      <c r="X30" s="136" t="s">
        <v>355</v>
      </c>
      <c r="Y30" s="78" t="s">
        <v>355</v>
      </c>
      <c r="Z30" s="78" t="s">
        <v>355</v>
      </c>
      <c r="AA30" s="78" t="s">
        <v>355</v>
      </c>
      <c r="AB30" s="136" t="s">
        <v>355</v>
      </c>
      <c r="AC30" s="80" t="s">
        <v>355</v>
      </c>
      <c r="AD30" s="80" t="s">
        <v>355</v>
      </c>
      <c r="AE30" s="80" t="s">
        <v>355</v>
      </c>
      <c r="AF30" s="145" t="s">
        <v>355</v>
      </c>
      <c r="AG30" s="80" t="s">
        <v>355</v>
      </c>
      <c r="AH30" s="80" t="s">
        <v>355</v>
      </c>
      <c r="AI30" s="80" t="s">
        <v>355</v>
      </c>
      <c r="AJ30" s="145" t="s">
        <v>355</v>
      </c>
      <c r="AK30" s="80" t="s">
        <v>355</v>
      </c>
      <c r="AL30" s="80" t="s">
        <v>355</v>
      </c>
      <c r="AM30" s="80" t="s">
        <v>355</v>
      </c>
      <c r="AN30" s="145" t="s">
        <v>355</v>
      </c>
      <c r="AO30" s="81" t="s">
        <v>355</v>
      </c>
      <c r="AP30" s="81" t="s">
        <v>355</v>
      </c>
      <c r="AQ30" s="81" t="s">
        <v>355</v>
      </c>
      <c r="AR30" s="154" t="s">
        <v>355</v>
      </c>
      <c r="AS30" s="78" t="s">
        <v>355</v>
      </c>
      <c r="AT30" s="78" t="s">
        <v>355</v>
      </c>
      <c r="AU30" s="78" t="s">
        <v>355</v>
      </c>
      <c r="AV30" s="136" t="s">
        <v>355</v>
      </c>
      <c r="AW30" s="78" t="s">
        <v>355</v>
      </c>
      <c r="AX30" s="78" t="s">
        <v>355</v>
      </c>
      <c r="AY30" s="78" t="s">
        <v>355</v>
      </c>
      <c r="AZ30" s="136" t="s">
        <v>355</v>
      </c>
      <c r="BA30" s="78" t="s">
        <v>355</v>
      </c>
      <c r="BB30" s="78" t="s">
        <v>355</v>
      </c>
      <c r="BC30" s="78" t="s">
        <v>355</v>
      </c>
      <c r="BD30" s="136" t="s">
        <v>355</v>
      </c>
      <c r="BE30" s="78" t="s">
        <v>355</v>
      </c>
      <c r="BF30" s="78" t="s">
        <v>355</v>
      </c>
      <c r="BG30" s="78" t="s">
        <v>355</v>
      </c>
      <c r="BH30" s="136" t="s">
        <v>355</v>
      </c>
      <c r="BI30" s="78" t="s">
        <v>279</v>
      </c>
      <c r="BJ30" s="78" t="s">
        <v>279</v>
      </c>
      <c r="BK30" s="78" t="s">
        <v>279</v>
      </c>
      <c r="BL30" s="136" t="s">
        <v>279</v>
      </c>
      <c r="BM30" s="78" t="s">
        <v>279</v>
      </c>
      <c r="BN30" s="78" t="s">
        <v>279</v>
      </c>
      <c r="BO30" s="78" t="s">
        <v>279</v>
      </c>
      <c r="BP30" s="136" t="s">
        <v>279</v>
      </c>
      <c r="BQ30" s="78" t="s">
        <v>355</v>
      </c>
      <c r="BR30" s="78" t="s">
        <v>355</v>
      </c>
      <c r="BS30" s="78" t="s">
        <v>355</v>
      </c>
      <c r="BT30" s="136" t="s">
        <v>355</v>
      </c>
      <c r="BU30" s="79">
        <v>0</v>
      </c>
      <c r="BV30" s="79">
        <v>0</v>
      </c>
      <c r="BW30" s="79">
        <v>0</v>
      </c>
      <c r="BX30" s="163">
        <v>0</v>
      </c>
      <c r="BY30" s="80">
        <v>0</v>
      </c>
      <c r="BZ30" s="80">
        <v>0</v>
      </c>
      <c r="CA30" s="80">
        <v>0</v>
      </c>
      <c r="CB30" s="80">
        <v>0</v>
      </c>
    </row>
    <row r="31" spans="1:80" s="87" customFormat="1" x14ac:dyDescent="0.35">
      <c r="A31" s="413"/>
      <c r="B31" s="83" t="s">
        <v>97</v>
      </c>
      <c r="C31" s="84" t="s">
        <v>119</v>
      </c>
      <c r="D31" s="85" t="s">
        <v>365</v>
      </c>
      <c r="E31" s="6">
        <v>0</v>
      </c>
      <c r="F31" s="106">
        <v>0</v>
      </c>
      <c r="G31" s="118" t="s">
        <v>385</v>
      </c>
      <c r="H31" s="118" t="s">
        <v>386</v>
      </c>
      <c r="I31" s="305">
        <v>0</v>
      </c>
      <c r="J31" s="313" t="str">
        <f>B34</f>
        <v>Reactant10</v>
      </c>
      <c r="K31" s="129">
        <v>0</v>
      </c>
      <c r="L31" s="129">
        <v>0</v>
      </c>
      <c r="M31" s="129">
        <v>0</v>
      </c>
      <c r="N31" s="129">
        <v>0</v>
      </c>
      <c r="O31" s="129">
        <v>0</v>
      </c>
      <c r="P31" s="141">
        <v>0</v>
      </c>
      <c r="Q31" s="88" t="s">
        <v>194</v>
      </c>
      <c r="R31" s="88" t="s">
        <v>190</v>
      </c>
      <c r="S31" s="88" t="s">
        <v>190</v>
      </c>
      <c r="T31" s="137" t="s">
        <v>190</v>
      </c>
      <c r="U31" s="87">
        <v>0</v>
      </c>
      <c r="V31" s="87">
        <v>0</v>
      </c>
      <c r="W31" s="87">
        <v>0</v>
      </c>
      <c r="X31" s="141">
        <v>0</v>
      </c>
      <c r="Y31" s="87">
        <v>0</v>
      </c>
      <c r="Z31" s="87">
        <v>0</v>
      </c>
      <c r="AA31" s="87">
        <v>0</v>
      </c>
      <c r="AB31" s="141">
        <v>0</v>
      </c>
      <c r="AC31" s="89" t="s">
        <v>190</v>
      </c>
      <c r="AD31" s="89" t="s">
        <v>190</v>
      </c>
      <c r="AE31" s="89" t="s">
        <v>190</v>
      </c>
      <c r="AF31" s="146" t="s">
        <v>190</v>
      </c>
      <c r="AG31" s="89" t="s">
        <v>212</v>
      </c>
      <c r="AH31" s="89" t="s">
        <v>190</v>
      </c>
      <c r="AI31" s="89" t="s">
        <v>213</v>
      </c>
      <c r="AJ31" s="146" t="s">
        <v>213</v>
      </c>
      <c r="AK31" s="89" t="s">
        <v>212</v>
      </c>
      <c r="AL31" s="89" t="s">
        <v>190</v>
      </c>
      <c r="AM31" s="89" t="s">
        <v>213</v>
      </c>
      <c r="AN31" s="146" t="s">
        <v>213</v>
      </c>
      <c r="AO31" s="87" t="s">
        <v>190</v>
      </c>
      <c r="AP31" s="87" t="s">
        <v>190</v>
      </c>
      <c r="AQ31" s="87" t="s">
        <v>190</v>
      </c>
      <c r="AR31" s="141" t="s">
        <v>190</v>
      </c>
      <c r="AS31" s="87" t="s">
        <v>349</v>
      </c>
      <c r="AT31" s="87" t="s">
        <v>349</v>
      </c>
      <c r="AU31" s="87" t="s">
        <v>349</v>
      </c>
      <c r="AV31" s="141" t="s">
        <v>349</v>
      </c>
      <c r="AW31" s="87" t="s">
        <v>254</v>
      </c>
      <c r="AX31" s="87" t="s">
        <v>254</v>
      </c>
      <c r="AY31" s="87" t="s">
        <v>254</v>
      </c>
      <c r="AZ31" s="141" t="s">
        <v>254</v>
      </c>
      <c r="BA31" s="87">
        <v>0</v>
      </c>
      <c r="BB31" s="87">
        <v>0</v>
      </c>
      <c r="BC31" s="87">
        <v>0</v>
      </c>
      <c r="BD31" s="141">
        <v>0</v>
      </c>
      <c r="BE31" s="87">
        <v>0</v>
      </c>
      <c r="BF31" s="87">
        <v>0</v>
      </c>
      <c r="BG31" s="87">
        <v>0</v>
      </c>
      <c r="BH31" s="141">
        <v>0</v>
      </c>
      <c r="BI31" s="87">
        <v>0</v>
      </c>
      <c r="BJ31" s="87">
        <v>0</v>
      </c>
      <c r="BK31" s="87">
        <v>0</v>
      </c>
      <c r="BL31" s="141">
        <v>0</v>
      </c>
      <c r="BM31" s="87">
        <v>0</v>
      </c>
      <c r="BN31" s="87">
        <v>0</v>
      </c>
      <c r="BO31" s="87">
        <v>0</v>
      </c>
      <c r="BP31" s="141">
        <v>0</v>
      </c>
      <c r="BQ31" s="90" t="s">
        <v>261</v>
      </c>
      <c r="BR31" s="90" t="s">
        <v>261</v>
      </c>
      <c r="BS31" s="90" t="s">
        <v>261</v>
      </c>
      <c r="BT31" s="159" t="s">
        <v>261</v>
      </c>
      <c r="BU31" s="86">
        <v>0</v>
      </c>
      <c r="BV31" s="86">
        <v>0</v>
      </c>
      <c r="BW31" s="86">
        <v>0</v>
      </c>
      <c r="BX31" s="164">
        <v>0</v>
      </c>
      <c r="BY31" s="89">
        <v>0</v>
      </c>
      <c r="BZ31" s="89">
        <v>0</v>
      </c>
      <c r="CA31" s="89">
        <v>0</v>
      </c>
      <c r="CB31" s="89">
        <v>0</v>
      </c>
    </row>
    <row r="32" spans="1:80" s="87" customFormat="1" x14ac:dyDescent="0.35">
      <c r="A32" s="413"/>
      <c r="B32" s="83" t="s">
        <v>97</v>
      </c>
      <c r="C32" s="84" t="s">
        <v>119</v>
      </c>
      <c r="D32" s="85" t="s">
        <v>366</v>
      </c>
      <c r="E32" s="6">
        <v>0</v>
      </c>
      <c r="F32" s="106">
        <v>0</v>
      </c>
      <c r="G32" s="118" t="s">
        <v>385</v>
      </c>
      <c r="H32" s="118" t="s">
        <v>386</v>
      </c>
      <c r="I32" s="305">
        <v>0</v>
      </c>
      <c r="J32" s="313" t="str">
        <f>B34</f>
        <v>Reactant10</v>
      </c>
      <c r="K32" s="129">
        <v>0</v>
      </c>
      <c r="L32" s="129">
        <v>0</v>
      </c>
      <c r="M32" s="129">
        <v>0</v>
      </c>
      <c r="N32" s="129">
        <v>0</v>
      </c>
      <c r="O32" s="129">
        <v>0</v>
      </c>
      <c r="P32" s="141">
        <v>0</v>
      </c>
      <c r="Q32" s="88" t="s">
        <v>191</v>
      </c>
      <c r="R32" s="88" t="s">
        <v>190</v>
      </c>
      <c r="S32" s="88" t="s">
        <v>190</v>
      </c>
      <c r="T32" s="137" t="s">
        <v>190</v>
      </c>
      <c r="U32" s="87">
        <v>0</v>
      </c>
      <c r="V32" s="87">
        <v>0</v>
      </c>
      <c r="W32" s="87">
        <v>0</v>
      </c>
      <c r="X32" s="141">
        <v>0</v>
      </c>
      <c r="Y32" s="87">
        <v>0</v>
      </c>
      <c r="Z32" s="87">
        <v>0</v>
      </c>
      <c r="AA32" s="87">
        <v>0</v>
      </c>
      <c r="AB32" s="141">
        <v>0</v>
      </c>
      <c r="AC32" s="89" t="s">
        <v>190</v>
      </c>
      <c r="AD32" s="89" t="s">
        <v>190</v>
      </c>
      <c r="AE32" s="89" t="s">
        <v>190</v>
      </c>
      <c r="AF32" s="146" t="s">
        <v>190</v>
      </c>
      <c r="AG32" s="89" t="s">
        <v>212</v>
      </c>
      <c r="AH32" s="89" t="s">
        <v>190</v>
      </c>
      <c r="AI32" s="89" t="s">
        <v>213</v>
      </c>
      <c r="AJ32" s="146" t="s">
        <v>213</v>
      </c>
      <c r="AK32" s="89" t="s">
        <v>212</v>
      </c>
      <c r="AL32" s="89" t="s">
        <v>190</v>
      </c>
      <c r="AM32" s="89" t="s">
        <v>213</v>
      </c>
      <c r="AN32" s="146" t="s">
        <v>213</v>
      </c>
      <c r="AO32" s="87" t="s">
        <v>190</v>
      </c>
      <c r="AP32" s="87" t="s">
        <v>190</v>
      </c>
      <c r="AQ32" s="87" t="s">
        <v>190</v>
      </c>
      <c r="AR32" s="141" t="s">
        <v>190</v>
      </c>
      <c r="AS32" s="87" t="s">
        <v>349</v>
      </c>
      <c r="AT32" s="87" t="s">
        <v>349</v>
      </c>
      <c r="AU32" s="87" t="s">
        <v>349</v>
      </c>
      <c r="AV32" s="141" t="s">
        <v>349</v>
      </c>
      <c r="AW32" s="87" t="s">
        <v>254</v>
      </c>
      <c r="AX32" s="87" t="s">
        <v>254</v>
      </c>
      <c r="AY32" s="87" t="s">
        <v>254</v>
      </c>
      <c r="AZ32" s="141" t="s">
        <v>254</v>
      </c>
      <c r="BA32" s="87">
        <v>0</v>
      </c>
      <c r="BB32" s="87">
        <v>0</v>
      </c>
      <c r="BC32" s="87">
        <v>0</v>
      </c>
      <c r="BD32" s="141">
        <v>0</v>
      </c>
      <c r="BE32" s="87">
        <v>0</v>
      </c>
      <c r="BF32" s="87">
        <v>0</v>
      </c>
      <c r="BG32" s="87">
        <v>0</v>
      </c>
      <c r="BH32" s="141">
        <v>0</v>
      </c>
      <c r="BI32" s="87">
        <v>0</v>
      </c>
      <c r="BJ32" s="87">
        <v>0</v>
      </c>
      <c r="BK32" s="87">
        <v>0</v>
      </c>
      <c r="BL32" s="141">
        <v>0</v>
      </c>
      <c r="BM32" s="87">
        <v>0</v>
      </c>
      <c r="BN32" s="87">
        <v>0</v>
      </c>
      <c r="BO32" s="87">
        <v>0</v>
      </c>
      <c r="BP32" s="141">
        <v>0</v>
      </c>
      <c r="BQ32" s="90" t="s">
        <v>261</v>
      </c>
      <c r="BR32" s="90" t="s">
        <v>261</v>
      </c>
      <c r="BS32" s="90" t="s">
        <v>261</v>
      </c>
      <c r="BT32" s="159" t="s">
        <v>261</v>
      </c>
      <c r="BU32" s="86">
        <v>0</v>
      </c>
      <c r="BV32" s="86">
        <v>0</v>
      </c>
      <c r="BW32" s="86">
        <v>0</v>
      </c>
      <c r="BX32" s="164">
        <v>0</v>
      </c>
      <c r="BY32" s="89">
        <v>0</v>
      </c>
      <c r="BZ32" s="89">
        <v>0</v>
      </c>
      <c r="CA32" s="89">
        <v>0</v>
      </c>
      <c r="CB32" s="89">
        <v>0</v>
      </c>
    </row>
    <row r="33" spans="1:80" s="91" customFormat="1" x14ac:dyDescent="0.35">
      <c r="A33" s="413"/>
      <c r="B33" s="91" t="s">
        <v>97</v>
      </c>
      <c r="C33" s="65" t="s">
        <v>119</v>
      </c>
      <c r="D33" s="92" t="s">
        <v>174</v>
      </c>
      <c r="E33" s="6">
        <v>0</v>
      </c>
      <c r="F33" s="107">
        <v>0</v>
      </c>
      <c r="G33" s="119" t="s">
        <v>387</v>
      </c>
      <c r="H33" s="119" t="s">
        <v>388</v>
      </c>
      <c r="I33" s="310">
        <v>0</v>
      </c>
      <c r="J33" s="319" t="str">
        <f>B34</f>
        <v>Reactant10</v>
      </c>
      <c r="K33" s="130">
        <v>0</v>
      </c>
      <c r="L33" s="130">
        <v>0</v>
      </c>
      <c r="M33" s="130">
        <v>0</v>
      </c>
      <c r="N33" s="130">
        <v>0</v>
      </c>
      <c r="O33" s="130">
        <v>0</v>
      </c>
      <c r="P33" s="138">
        <v>0</v>
      </c>
      <c r="Q33" s="91">
        <v>0</v>
      </c>
      <c r="R33" s="91">
        <v>0</v>
      </c>
      <c r="S33" s="91">
        <v>0</v>
      </c>
      <c r="T33" s="138">
        <v>0</v>
      </c>
      <c r="U33" s="91">
        <v>0</v>
      </c>
      <c r="V33" s="91">
        <v>0</v>
      </c>
      <c r="W33" s="91">
        <v>0</v>
      </c>
      <c r="X33" s="138">
        <v>0</v>
      </c>
      <c r="Y33" s="91">
        <v>0</v>
      </c>
      <c r="Z33" s="91">
        <v>0</v>
      </c>
      <c r="AA33" s="91">
        <v>0</v>
      </c>
      <c r="AB33" s="138">
        <v>0</v>
      </c>
      <c r="AC33" s="94" t="s">
        <v>272</v>
      </c>
      <c r="AD33" s="94" t="s">
        <v>272</v>
      </c>
      <c r="AE33" s="94" t="s">
        <v>272</v>
      </c>
      <c r="AF33" s="147" t="s">
        <v>272</v>
      </c>
      <c r="AG33" s="94" t="s">
        <v>272</v>
      </c>
      <c r="AH33" s="94" t="s">
        <v>272</v>
      </c>
      <c r="AI33" s="94" t="s">
        <v>272</v>
      </c>
      <c r="AJ33" s="147" t="s">
        <v>272</v>
      </c>
      <c r="AK33" s="94" t="s">
        <v>272</v>
      </c>
      <c r="AL33" s="94" t="s">
        <v>272</v>
      </c>
      <c r="AM33" s="94" t="s">
        <v>272</v>
      </c>
      <c r="AN33" s="147" t="s">
        <v>272</v>
      </c>
      <c r="AO33" s="91">
        <v>0</v>
      </c>
      <c r="AP33" s="91">
        <v>0</v>
      </c>
      <c r="AQ33" s="91">
        <v>0</v>
      </c>
      <c r="AR33" s="138">
        <v>0</v>
      </c>
      <c r="AS33" s="91">
        <v>0</v>
      </c>
      <c r="AT33" s="91">
        <v>0</v>
      </c>
      <c r="AU33" s="91">
        <v>0</v>
      </c>
      <c r="AV33" s="138">
        <v>0</v>
      </c>
      <c r="AW33" s="91">
        <v>0</v>
      </c>
      <c r="AX33" s="91">
        <v>0</v>
      </c>
      <c r="AY33" s="91">
        <v>0</v>
      </c>
      <c r="AZ33" s="138">
        <v>0</v>
      </c>
      <c r="BA33" s="91">
        <v>0</v>
      </c>
      <c r="BB33" s="91">
        <v>0</v>
      </c>
      <c r="BC33" s="91">
        <v>0</v>
      </c>
      <c r="BD33" s="138">
        <v>0</v>
      </c>
      <c r="BE33" s="91">
        <v>0</v>
      </c>
      <c r="BF33" s="91">
        <v>0</v>
      </c>
      <c r="BG33" s="91">
        <v>0</v>
      </c>
      <c r="BH33" s="138">
        <v>0</v>
      </c>
      <c r="BI33" s="91">
        <v>0</v>
      </c>
      <c r="BJ33" s="91">
        <v>0</v>
      </c>
      <c r="BK33" s="91">
        <v>0</v>
      </c>
      <c r="BL33" s="138">
        <v>0</v>
      </c>
      <c r="BM33" s="91">
        <v>0</v>
      </c>
      <c r="BN33" s="91">
        <v>0</v>
      </c>
      <c r="BO33" s="91">
        <v>0</v>
      </c>
      <c r="BP33" s="138">
        <v>0</v>
      </c>
      <c r="BQ33" s="91">
        <v>0</v>
      </c>
      <c r="BR33" s="91">
        <v>0</v>
      </c>
      <c r="BS33" s="91">
        <v>0</v>
      </c>
      <c r="BT33" s="138">
        <v>0</v>
      </c>
      <c r="BU33" s="93">
        <v>0</v>
      </c>
      <c r="BV33" s="93">
        <v>0</v>
      </c>
      <c r="BW33" s="93">
        <v>0</v>
      </c>
      <c r="BX33" s="165">
        <v>0</v>
      </c>
      <c r="BY33" s="94">
        <v>0</v>
      </c>
      <c r="BZ33" s="94">
        <v>0</v>
      </c>
      <c r="CA33" s="94">
        <v>0</v>
      </c>
      <c r="CB33" s="94">
        <v>0</v>
      </c>
    </row>
    <row r="34" spans="1:80" s="179" customFormat="1" x14ac:dyDescent="0.35">
      <c r="A34" s="413"/>
      <c r="B34" s="173" t="s">
        <v>440</v>
      </c>
      <c r="C34" s="65" t="s">
        <v>184</v>
      </c>
      <c r="D34" s="174" t="s">
        <v>300</v>
      </c>
      <c r="E34" s="6">
        <v>0</v>
      </c>
      <c r="F34" s="175">
        <v>0</v>
      </c>
      <c r="G34" s="176" t="s">
        <v>387</v>
      </c>
      <c r="H34" s="176" t="s">
        <v>388</v>
      </c>
      <c r="I34" s="311">
        <v>0</v>
      </c>
      <c r="J34" s="176" t="s">
        <v>12</v>
      </c>
      <c r="K34" s="178">
        <v>0</v>
      </c>
      <c r="L34" s="178">
        <v>0</v>
      </c>
      <c r="M34" s="178">
        <v>0</v>
      </c>
      <c r="N34" s="178">
        <v>0</v>
      </c>
      <c r="O34" s="178">
        <v>0</v>
      </c>
      <c r="P34" s="177">
        <v>0</v>
      </c>
      <c r="Q34" s="183">
        <v>0</v>
      </c>
      <c r="R34" s="183">
        <v>0</v>
      </c>
      <c r="S34" s="183">
        <v>0</v>
      </c>
      <c r="T34" s="237">
        <v>0</v>
      </c>
      <c r="U34" s="179">
        <v>0</v>
      </c>
      <c r="V34" s="179">
        <v>0</v>
      </c>
      <c r="W34" s="179">
        <v>0</v>
      </c>
      <c r="X34" s="177">
        <v>0</v>
      </c>
      <c r="Y34" s="179">
        <v>0</v>
      </c>
      <c r="Z34" s="179">
        <v>0</v>
      </c>
      <c r="AA34" s="179">
        <v>0</v>
      </c>
      <c r="AB34" s="177">
        <v>0</v>
      </c>
      <c r="AC34" s="180">
        <v>0</v>
      </c>
      <c r="AD34" s="180">
        <v>0</v>
      </c>
      <c r="AE34" s="180">
        <v>0</v>
      </c>
      <c r="AF34" s="181">
        <v>0</v>
      </c>
      <c r="AG34" s="180">
        <v>0</v>
      </c>
      <c r="AH34" s="180">
        <v>0</v>
      </c>
      <c r="AI34" s="180">
        <v>0</v>
      </c>
      <c r="AJ34" s="181">
        <v>0</v>
      </c>
      <c r="AK34" s="180">
        <v>0</v>
      </c>
      <c r="AL34" s="180">
        <v>0</v>
      </c>
      <c r="AM34" s="180">
        <v>0</v>
      </c>
      <c r="AN34" s="181">
        <v>0</v>
      </c>
      <c r="AO34" s="183">
        <v>0</v>
      </c>
      <c r="AP34" s="183">
        <v>0</v>
      </c>
      <c r="AQ34" s="183">
        <v>0</v>
      </c>
      <c r="AR34" s="237">
        <v>0</v>
      </c>
      <c r="AS34" s="183">
        <v>0</v>
      </c>
      <c r="AT34" s="183">
        <v>0</v>
      </c>
      <c r="AU34" s="183">
        <v>0</v>
      </c>
      <c r="AV34" s="237">
        <v>0</v>
      </c>
      <c r="AW34" s="183">
        <v>0</v>
      </c>
      <c r="AX34" s="183">
        <v>0</v>
      </c>
      <c r="AY34" s="183">
        <v>0</v>
      </c>
      <c r="AZ34" s="237">
        <v>0</v>
      </c>
      <c r="BA34" s="183">
        <v>0</v>
      </c>
      <c r="BB34" s="183">
        <v>0</v>
      </c>
      <c r="BC34" s="183">
        <v>0</v>
      </c>
      <c r="BD34" s="237">
        <v>0</v>
      </c>
      <c r="BE34" s="183">
        <v>0</v>
      </c>
      <c r="BF34" s="183">
        <v>0</v>
      </c>
      <c r="BG34" s="183">
        <v>0</v>
      </c>
      <c r="BH34" s="237">
        <v>0</v>
      </c>
      <c r="BI34" s="91">
        <v>0</v>
      </c>
      <c r="BJ34" s="91">
        <v>0</v>
      </c>
      <c r="BK34" s="91">
        <v>0</v>
      </c>
      <c r="BL34" s="138">
        <v>0</v>
      </c>
      <c r="BM34" s="183">
        <v>0</v>
      </c>
      <c r="BN34" s="183">
        <v>0</v>
      </c>
      <c r="BO34" s="183">
        <v>0</v>
      </c>
      <c r="BP34" s="237">
        <v>0</v>
      </c>
      <c r="BQ34" s="183">
        <v>0</v>
      </c>
      <c r="BR34" s="183">
        <v>0</v>
      </c>
      <c r="BS34" s="183">
        <v>0</v>
      </c>
      <c r="BT34" s="237">
        <v>0</v>
      </c>
      <c r="BU34" s="182">
        <v>0</v>
      </c>
      <c r="BV34" s="182">
        <v>0</v>
      </c>
      <c r="BW34" s="182">
        <v>0</v>
      </c>
      <c r="BX34" s="251">
        <v>0</v>
      </c>
      <c r="BY34" s="180">
        <v>0</v>
      </c>
      <c r="BZ34" s="180">
        <v>0</v>
      </c>
      <c r="CA34" s="180">
        <v>0</v>
      </c>
      <c r="CB34" s="180">
        <v>0</v>
      </c>
    </row>
    <row r="35" spans="1:80" s="201" customFormat="1" x14ac:dyDescent="0.35">
      <c r="A35" s="413"/>
      <c r="B35" s="194" t="s">
        <v>280</v>
      </c>
      <c r="C35" s="195" t="s">
        <v>184</v>
      </c>
      <c r="D35" s="196" t="s">
        <v>25</v>
      </c>
      <c r="E35" s="6">
        <v>0</v>
      </c>
      <c r="F35" s="197">
        <v>0</v>
      </c>
      <c r="G35" s="198" t="s">
        <v>389</v>
      </c>
      <c r="H35" s="198" t="s">
        <v>390</v>
      </c>
      <c r="I35" s="200">
        <v>0</v>
      </c>
      <c r="J35" s="198" t="s">
        <v>12</v>
      </c>
      <c r="K35" s="200">
        <v>0</v>
      </c>
      <c r="L35" s="200">
        <v>0</v>
      </c>
      <c r="M35" s="200">
        <v>0</v>
      </c>
      <c r="N35" s="200">
        <v>0</v>
      </c>
      <c r="O35" s="200">
        <v>0</v>
      </c>
      <c r="P35" s="199">
        <v>0</v>
      </c>
      <c r="Q35" s="201">
        <v>0</v>
      </c>
      <c r="R35" s="201">
        <v>0</v>
      </c>
      <c r="S35" s="201">
        <v>0</v>
      </c>
      <c r="T35" s="199">
        <v>0</v>
      </c>
      <c r="U35" s="201">
        <v>0</v>
      </c>
      <c r="V35" s="201">
        <v>0</v>
      </c>
      <c r="W35" s="201">
        <v>0</v>
      </c>
      <c r="X35" s="199">
        <v>0</v>
      </c>
      <c r="Y35" s="201">
        <v>0</v>
      </c>
      <c r="Z35" s="201">
        <v>0</v>
      </c>
      <c r="AA35" s="201">
        <v>0</v>
      </c>
      <c r="AB35" s="199">
        <v>0</v>
      </c>
      <c r="AC35" s="202">
        <v>0</v>
      </c>
      <c r="AD35" s="202">
        <v>0</v>
      </c>
      <c r="AE35" s="202">
        <v>0</v>
      </c>
      <c r="AF35" s="203">
        <v>0</v>
      </c>
      <c r="AG35" s="202">
        <v>0</v>
      </c>
      <c r="AH35" s="202">
        <v>0</v>
      </c>
      <c r="AI35" s="202">
        <v>0</v>
      </c>
      <c r="AJ35" s="203">
        <v>0</v>
      </c>
      <c r="AK35" s="202">
        <v>0</v>
      </c>
      <c r="AL35" s="202">
        <v>0</v>
      </c>
      <c r="AM35" s="202">
        <v>0</v>
      </c>
      <c r="AN35" s="203">
        <v>0</v>
      </c>
      <c r="AO35" s="201" t="s">
        <v>230</v>
      </c>
      <c r="AP35" s="201" t="s">
        <v>230</v>
      </c>
      <c r="AQ35" s="201" t="s">
        <v>231</v>
      </c>
      <c r="AR35" s="199" t="s">
        <v>231</v>
      </c>
      <c r="AS35" s="201" t="s">
        <v>255</v>
      </c>
      <c r="AT35" s="201" t="s">
        <v>257</v>
      </c>
      <c r="AU35" s="201">
        <v>0</v>
      </c>
      <c r="AV35" s="199" t="s">
        <v>258</v>
      </c>
      <c r="AW35" s="201" t="s">
        <v>259</v>
      </c>
      <c r="AX35" s="201" t="s">
        <v>259</v>
      </c>
      <c r="AY35" s="201" t="s">
        <v>259</v>
      </c>
      <c r="AZ35" s="199" t="s">
        <v>259</v>
      </c>
      <c r="BA35" s="201">
        <v>0</v>
      </c>
      <c r="BB35" s="201">
        <v>0</v>
      </c>
      <c r="BC35" s="201">
        <v>0</v>
      </c>
      <c r="BD35" s="199">
        <v>0</v>
      </c>
      <c r="BE35" s="201">
        <v>0</v>
      </c>
      <c r="BF35" s="201">
        <v>0</v>
      </c>
      <c r="BG35" s="201">
        <v>0</v>
      </c>
      <c r="BH35" s="199">
        <v>0</v>
      </c>
      <c r="BI35" s="204">
        <v>0</v>
      </c>
      <c r="BJ35" s="204">
        <v>0</v>
      </c>
      <c r="BK35" s="204">
        <v>0</v>
      </c>
      <c r="BL35" s="350">
        <v>0</v>
      </c>
      <c r="BM35" s="204">
        <v>0</v>
      </c>
      <c r="BN35" s="204">
        <v>0</v>
      </c>
      <c r="BO35" s="204">
        <v>0</v>
      </c>
      <c r="BP35" s="350">
        <v>0</v>
      </c>
      <c r="BQ35" s="201" t="s">
        <v>357</v>
      </c>
      <c r="BR35" s="201" t="s">
        <v>357</v>
      </c>
      <c r="BS35" s="201" t="s">
        <v>357</v>
      </c>
      <c r="BT35" s="199" t="s">
        <v>357</v>
      </c>
      <c r="BU35" s="205">
        <v>0</v>
      </c>
      <c r="BV35" s="205">
        <v>0</v>
      </c>
      <c r="BW35" s="205">
        <v>0</v>
      </c>
      <c r="BX35" s="353">
        <v>0</v>
      </c>
      <c r="BY35" s="202">
        <v>0</v>
      </c>
      <c r="BZ35" s="202">
        <v>0</v>
      </c>
      <c r="CA35" s="202">
        <v>0</v>
      </c>
      <c r="CB35" s="202">
        <v>0</v>
      </c>
    </row>
    <row r="36" spans="1:80" s="201" customFormat="1" x14ac:dyDescent="0.35">
      <c r="A36" s="413"/>
      <c r="B36" s="194" t="str">
        <f>B35</f>
        <v>Reactant11</v>
      </c>
      <c r="C36" s="195" t="s">
        <v>184</v>
      </c>
      <c r="D36" s="196" t="s">
        <v>164</v>
      </c>
      <c r="E36" s="6">
        <v>0</v>
      </c>
      <c r="F36" s="197">
        <v>0</v>
      </c>
      <c r="G36" s="198" t="s">
        <v>389</v>
      </c>
      <c r="H36" s="198" t="s">
        <v>390</v>
      </c>
      <c r="I36" s="200">
        <v>0</v>
      </c>
      <c r="J36" s="198" t="s">
        <v>12</v>
      </c>
      <c r="K36" s="200">
        <v>0</v>
      </c>
      <c r="L36" s="200">
        <v>0</v>
      </c>
      <c r="M36" s="200">
        <v>0</v>
      </c>
      <c r="N36" s="200">
        <v>0</v>
      </c>
      <c r="O36" s="200">
        <v>0</v>
      </c>
      <c r="P36" s="199">
        <v>0</v>
      </c>
      <c r="Q36" s="201">
        <v>0</v>
      </c>
      <c r="R36" s="201">
        <v>0</v>
      </c>
      <c r="S36" s="201">
        <v>0</v>
      </c>
      <c r="T36" s="199">
        <v>0</v>
      </c>
      <c r="U36" s="201">
        <v>0</v>
      </c>
      <c r="V36" s="201">
        <v>0</v>
      </c>
      <c r="W36" s="201">
        <v>0</v>
      </c>
      <c r="X36" s="199">
        <v>0</v>
      </c>
      <c r="Y36" s="201">
        <v>0</v>
      </c>
      <c r="Z36" s="201">
        <v>0</v>
      </c>
      <c r="AA36" s="201">
        <v>0</v>
      </c>
      <c r="AB36" s="199">
        <v>0</v>
      </c>
      <c r="AC36" s="202">
        <v>0</v>
      </c>
      <c r="AD36" s="202">
        <v>0</v>
      </c>
      <c r="AE36" s="202">
        <v>0</v>
      </c>
      <c r="AF36" s="203">
        <v>0</v>
      </c>
      <c r="AG36" s="202">
        <v>0</v>
      </c>
      <c r="AH36" s="202">
        <v>0</v>
      </c>
      <c r="AI36" s="202">
        <v>0</v>
      </c>
      <c r="AJ36" s="203">
        <v>0</v>
      </c>
      <c r="AK36" s="202">
        <v>0</v>
      </c>
      <c r="AL36" s="202">
        <v>0</v>
      </c>
      <c r="AM36" s="202">
        <v>0</v>
      </c>
      <c r="AN36" s="203">
        <v>0</v>
      </c>
      <c r="AO36" s="206" t="s">
        <v>230</v>
      </c>
      <c r="AP36" s="201" t="s">
        <v>230</v>
      </c>
      <c r="AQ36" s="201" t="s">
        <v>231</v>
      </c>
      <c r="AR36" s="199" t="s">
        <v>231</v>
      </c>
      <c r="AS36" s="201" t="s">
        <v>255</v>
      </c>
      <c r="AT36" s="201" t="s">
        <v>256</v>
      </c>
      <c r="AU36" s="201">
        <v>0</v>
      </c>
      <c r="AV36" s="199" t="s">
        <v>258</v>
      </c>
      <c r="AW36" s="201" t="s">
        <v>259</v>
      </c>
      <c r="AX36" s="201" t="s">
        <v>259</v>
      </c>
      <c r="AY36" s="201" t="s">
        <v>259</v>
      </c>
      <c r="AZ36" s="199" t="s">
        <v>259</v>
      </c>
      <c r="BA36" s="201" t="s">
        <v>260</v>
      </c>
      <c r="BB36" s="201" t="s">
        <v>260</v>
      </c>
      <c r="BC36" s="201">
        <v>0</v>
      </c>
      <c r="BD36" s="199" t="s">
        <v>260</v>
      </c>
      <c r="BE36" s="201">
        <v>0</v>
      </c>
      <c r="BF36" s="201">
        <v>0</v>
      </c>
      <c r="BG36" s="201">
        <v>0</v>
      </c>
      <c r="BH36" s="199">
        <v>0</v>
      </c>
      <c r="BI36" s="204">
        <v>0</v>
      </c>
      <c r="BJ36" s="204">
        <v>0</v>
      </c>
      <c r="BK36" s="204">
        <v>0</v>
      </c>
      <c r="BL36" s="350">
        <v>0</v>
      </c>
      <c r="BM36" s="204">
        <v>0</v>
      </c>
      <c r="BN36" s="204">
        <v>0</v>
      </c>
      <c r="BO36" s="204">
        <v>0</v>
      </c>
      <c r="BP36" s="350">
        <v>0</v>
      </c>
      <c r="BQ36" s="201" t="s">
        <v>357</v>
      </c>
      <c r="BR36" s="201" t="s">
        <v>357</v>
      </c>
      <c r="BS36" s="201" t="s">
        <v>357</v>
      </c>
      <c r="BT36" s="199" t="s">
        <v>357</v>
      </c>
      <c r="BU36" s="205">
        <v>0</v>
      </c>
      <c r="BV36" s="205">
        <v>0</v>
      </c>
      <c r="BW36" s="205">
        <v>0</v>
      </c>
      <c r="BX36" s="353">
        <v>0</v>
      </c>
      <c r="BY36" s="202">
        <v>0</v>
      </c>
      <c r="BZ36" s="202">
        <v>0</v>
      </c>
      <c r="CA36" s="202">
        <v>0</v>
      </c>
      <c r="CB36" s="202">
        <v>0</v>
      </c>
    </row>
    <row r="37" spans="1:80" s="201" customFormat="1" x14ac:dyDescent="0.35">
      <c r="A37" s="413"/>
      <c r="B37" s="194" t="str">
        <f>B35</f>
        <v>Reactant11</v>
      </c>
      <c r="C37" s="195" t="s">
        <v>184</v>
      </c>
      <c r="D37" s="196" t="s">
        <v>165</v>
      </c>
      <c r="E37" s="6">
        <v>0</v>
      </c>
      <c r="F37" s="197">
        <v>0</v>
      </c>
      <c r="G37" s="198" t="s">
        <v>389</v>
      </c>
      <c r="H37" s="198" t="s">
        <v>390</v>
      </c>
      <c r="I37" s="200">
        <v>0</v>
      </c>
      <c r="J37" s="198" t="s">
        <v>12</v>
      </c>
      <c r="K37" s="200">
        <v>0</v>
      </c>
      <c r="L37" s="200">
        <v>0</v>
      </c>
      <c r="M37" s="200">
        <v>0</v>
      </c>
      <c r="N37" s="200">
        <v>0</v>
      </c>
      <c r="O37" s="200">
        <v>0</v>
      </c>
      <c r="P37" s="199">
        <v>0</v>
      </c>
      <c r="Q37" s="201">
        <v>0</v>
      </c>
      <c r="R37" s="201">
        <v>0</v>
      </c>
      <c r="S37" s="201">
        <v>0</v>
      </c>
      <c r="T37" s="199">
        <v>0</v>
      </c>
      <c r="U37" s="201">
        <v>0</v>
      </c>
      <c r="V37" s="201">
        <v>0</v>
      </c>
      <c r="W37" s="201">
        <v>0</v>
      </c>
      <c r="X37" s="199">
        <v>0</v>
      </c>
      <c r="Y37" s="201">
        <v>0</v>
      </c>
      <c r="Z37" s="201">
        <v>0</v>
      </c>
      <c r="AA37" s="201">
        <v>0</v>
      </c>
      <c r="AB37" s="199">
        <v>0</v>
      </c>
      <c r="AC37" s="202">
        <v>0</v>
      </c>
      <c r="AD37" s="202">
        <v>0</v>
      </c>
      <c r="AE37" s="202">
        <v>0</v>
      </c>
      <c r="AF37" s="203">
        <v>0</v>
      </c>
      <c r="AG37" s="202">
        <v>0</v>
      </c>
      <c r="AH37" s="202">
        <v>0</v>
      </c>
      <c r="AI37" s="202">
        <v>0</v>
      </c>
      <c r="AJ37" s="203">
        <v>0</v>
      </c>
      <c r="AK37" s="202">
        <v>0</v>
      </c>
      <c r="AL37" s="202">
        <v>0</v>
      </c>
      <c r="AM37" s="202">
        <v>0</v>
      </c>
      <c r="AN37" s="203">
        <v>0</v>
      </c>
      <c r="AO37" s="201" t="s">
        <v>230</v>
      </c>
      <c r="AP37" s="201" t="s">
        <v>230</v>
      </c>
      <c r="AQ37" s="201" t="s">
        <v>231</v>
      </c>
      <c r="AR37" s="199" t="s">
        <v>231</v>
      </c>
      <c r="AS37" s="201" t="s">
        <v>255</v>
      </c>
      <c r="AT37" s="201" t="s">
        <v>256</v>
      </c>
      <c r="AU37" s="201">
        <v>0</v>
      </c>
      <c r="AV37" s="199" t="s">
        <v>258</v>
      </c>
      <c r="AW37" s="201" t="s">
        <v>259</v>
      </c>
      <c r="AX37" s="201" t="s">
        <v>259</v>
      </c>
      <c r="AY37" s="201" t="s">
        <v>259</v>
      </c>
      <c r="AZ37" s="199" t="s">
        <v>259</v>
      </c>
      <c r="BA37" s="201" t="s">
        <v>260</v>
      </c>
      <c r="BB37" s="201" t="s">
        <v>260</v>
      </c>
      <c r="BC37" s="201">
        <v>0</v>
      </c>
      <c r="BD37" s="199" t="s">
        <v>260</v>
      </c>
      <c r="BE37" s="201">
        <v>0</v>
      </c>
      <c r="BF37" s="201">
        <v>0</v>
      </c>
      <c r="BG37" s="201">
        <v>0</v>
      </c>
      <c r="BH37" s="199">
        <v>0</v>
      </c>
      <c r="BI37" s="204">
        <v>0</v>
      </c>
      <c r="BJ37" s="204">
        <v>0</v>
      </c>
      <c r="BK37" s="204">
        <v>0</v>
      </c>
      <c r="BL37" s="350">
        <v>0</v>
      </c>
      <c r="BM37" s="204">
        <v>0</v>
      </c>
      <c r="BN37" s="204">
        <v>0</v>
      </c>
      <c r="BO37" s="204">
        <v>0</v>
      </c>
      <c r="BP37" s="350">
        <v>0</v>
      </c>
      <c r="BQ37" s="201" t="s">
        <v>357</v>
      </c>
      <c r="BR37" s="201" t="s">
        <v>357</v>
      </c>
      <c r="BS37" s="201" t="s">
        <v>357</v>
      </c>
      <c r="BT37" s="199" t="s">
        <v>357</v>
      </c>
      <c r="BU37" s="205">
        <v>0</v>
      </c>
      <c r="BV37" s="205">
        <v>0</v>
      </c>
      <c r="BW37" s="205">
        <v>0</v>
      </c>
      <c r="BX37" s="353">
        <v>0</v>
      </c>
      <c r="BY37" s="202">
        <v>0</v>
      </c>
      <c r="BZ37" s="202">
        <v>0</v>
      </c>
      <c r="CA37" s="202">
        <v>0</v>
      </c>
      <c r="CB37" s="202">
        <v>0</v>
      </c>
    </row>
    <row r="38" spans="1:80" s="37" customFormat="1" x14ac:dyDescent="0.35">
      <c r="A38" s="413"/>
      <c r="B38" s="217" t="s">
        <v>282</v>
      </c>
      <c r="C38" s="218" t="s">
        <v>13</v>
      </c>
      <c r="D38" s="219" t="s">
        <v>166</v>
      </c>
      <c r="E38" s="6">
        <v>0</v>
      </c>
      <c r="F38" s="220">
        <v>0</v>
      </c>
      <c r="G38" s="221" t="s">
        <v>387</v>
      </c>
      <c r="H38" s="221" t="s">
        <v>388</v>
      </c>
      <c r="I38" s="224">
        <v>0</v>
      </c>
      <c r="J38" s="320" t="str">
        <f>B35</f>
        <v>Reactant11</v>
      </c>
      <c r="K38" s="224">
        <v>0</v>
      </c>
      <c r="L38" s="224">
        <v>0</v>
      </c>
      <c r="M38" s="224">
        <v>0</v>
      </c>
      <c r="N38" s="224">
        <v>0</v>
      </c>
      <c r="O38" s="224">
        <v>0</v>
      </c>
      <c r="P38" s="222">
        <v>0</v>
      </c>
      <c r="Q38" s="37" t="s">
        <v>214</v>
      </c>
      <c r="R38" s="37" t="s">
        <v>214</v>
      </c>
      <c r="S38" s="37" t="s">
        <v>214</v>
      </c>
      <c r="T38" s="222" t="s">
        <v>214</v>
      </c>
      <c r="U38" s="37">
        <v>0</v>
      </c>
      <c r="V38" s="37">
        <v>0</v>
      </c>
      <c r="W38" s="37">
        <v>0</v>
      </c>
      <c r="X38" s="222">
        <v>0</v>
      </c>
      <c r="Y38" s="37">
        <v>0</v>
      </c>
      <c r="Z38" s="37">
        <v>0</v>
      </c>
      <c r="AA38" s="37">
        <v>0</v>
      </c>
      <c r="AB38" s="222">
        <v>0</v>
      </c>
      <c r="AC38" s="225">
        <v>0</v>
      </c>
      <c r="AD38" s="225">
        <v>0</v>
      </c>
      <c r="AE38" s="225">
        <v>0</v>
      </c>
      <c r="AF38" s="226">
        <v>0</v>
      </c>
      <c r="AG38" s="225">
        <v>0</v>
      </c>
      <c r="AH38" s="225">
        <v>0</v>
      </c>
      <c r="AI38" s="225">
        <v>0</v>
      </c>
      <c r="AJ38" s="226">
        <v>0</v>
      </c>
      <c r="AK38" s="225">
        <v>0</v>
      </c>
      <c r="AL38" s="225">
        <v>0</v>
      </c>
      <c r="AM38" s="225">
        <v>0</v>
      </c>
      <c r="AN38" s="226">
        <v>0</v>
      </c>
      <c r="AO38" s="37" t="s">
        <v>232</v>
      </c>
      <c r="AP38" s="37" t="s">
        <v>190</v>
      </c>
      <c r="AQ38" s="37" t="s">
        <v>190</v>
      </c>
      <c r="AR38" s="222" t="s">
        <v>190</v>
      </c>
      <c r="AS38" s="37" t="s">
        <v>261</v>
      </c>
      <c r="AT38" s="37" t="s">
        <v>261</v>
      </c>
      <c r="AU38" s="37">
        <v>0</v>
      </c>
      <c r="AV38" s="222" t="s">
        <v>261</v>
      </c>
      <c r="AW38" s="37" t="s">
        <v>262</v>
      </c>
      <c r="AX38" s="37" t="s">
        <v>262</v>
      </c>
      <c r="AY38" s="37" t="s">
        <v>262</v>
      </c>
      <c r="AZ38" s="222" t="s">
        <v>262</v>
      </c>
      <c r="BA38" s="37">
        <v>0</v>
      </c>
      <c r="BB38" s="37">
        <v>0</v>
      </c>
      <c r="BC38" s="37">
        <v>0</v>
      </c>
      <c r="BD38" s="222">
        <v>0</v>
      </c>
      <c r="BE38" s="37">
        <v>0</v>
      </c>
      <c r="BF38" s="37">
        <v>0</v>
      </c>
      <c r="BG38" s="37">
        <v>0</v>
      </c>
      <c r="BH38" s="222">
        <v>0</v>
      </c>
      <c r="BI38" s="37">
        <v>0</v>
      </c>
      <c r="BJ38" s="37">
        <v>0</v>
      </c>
      <c r="BK38" s="37">
        <v>0</v>
      </c>
      <c r="BL38" s="222">
        <v>0</v>
      </c>
      <c r="BM38" s="37">
        <v>0</v>
      </c>
      <c r="BN38" s="37">
        <v>0</v>
      </c>
      <c r="BO38" s="37">
        <v>0</v>
      </c>
      <c r="BP38" s="222">
        <v>0</v>
      </c>
      <c r="BQ38" s="227" t="s">
        <v>261</v>
      </c>
      <c r="BR38" s="227" t="s">
        <v>261</v>
      </c>
      <c r="BS38" s="227" t="s">
        <v>261</v>
      </c>
      <c r="BT38" s="228" t="s">
        <v>261</v>
      </c>
      <c r="BU38" s="229">
        <v>0</v>
      </c>
      <c r="BV38" s="229">
        <v>0</v>
      </c>
      <c r="BW38" s="229">
        <v>0</v>
      </c>
      <c r="BX38" s="223">
        <v>0</v>
      </c>
      <c r="BY38" s="225">
        <v>0</v>
      </c>
      <c r="BZ38" s="225">
        <v>0</v>
      </c>
      <c r="CA38" s="225">
        <v>0</v>
      </c>
      <c r="CB38" s="225">
        <v>0</v>
      </c>
    </row>
    <row r="39" spans="1:80" s="37" customFormat="1" x14ac:dyDescent="0.35">
      <c r="A39" s="413"/>
      <c r="B39" s="217" t="s">
        <v>282</v>
      </c>
      <c r="C39" s="218" t="s">
        <v>13</v>
      </c>
      <c r="D39" s="219" t="s">
        <v>367</v>
      </c>
      <c r="E39" s="6">
        <v>0</v>
      </c>
      <c r="F39" s="220">
        <v>0</v>
      </c>
      <c r="G39" s="221" t="s">
        <v>387</v>
      </c>
      <c r="H39" s="221" t="s">
        <v>388</v>
      </c>
      <c r="I39" s="224">
        <v>0</v>
      </c>
      <c r="J39" s="320" t="str">
        <f>B35</f>
        <v>Reactant11</v>
      </c>
      <c r="K39" s="224">
        <v>0</v>
      </c>
      <c r="L39" s="224">
        <v>0</v>
      </c>
      <c r="M39" s="224">
        <v>0</v>
      </c>
      <c r="N39" s="224">
        <v>0</v>
      </c>
      <c r="O39" s="224">
        <v>0</v>
      </c>
      <c r="P39" s="222">
        <v>0</v>
      </c>
      <c r="Q39" s="37" t="s">
        <v>214</v>
      </c>
      <c r="R39" s="37" t="s">
        <v>214</v>
      </c>
      <c r="S39" s="37" t="s">
        <v>214</v>
      </c>
      <c r="T39" s="222" t="s">
        <v>214</v>
      </c>
      <c r="U39" s="37">
        <v>0</v>
      </c>
      <c r="V39" s="37">
        <v>0</v>
      </c>
      <c r="W39" s="37">
        <v>0</v>
      </c>
      <c r="X39" s="222">
        <v>0</v>
      </c>
      <c r="Y39" s="37">
        <v>0</v>
      </c>
      <c r="Z39" s="37">
        <v>0</v>
      </c>
      <c r="AA39" s="37">
        <v>0</v>
      </c>
      <c r="AB39" s="222">
        <v>0</v>
      </c>
      <c r="AC39" s="225">
        <v>0</v>
      </c>
      <c r="AD39" s="225">
        <v>0</v>
      </c>
      <c r="AE39" s="225">
        <v>0</v>
      </c>
      <c r="AF39" s="226">
        <v>0</v>
      </c>
      <c r="AG39" s="225">
        <v>0</v>
      </c>
      <c r="AH39" s="225">
        <v>0</v>
      </c>
      <c r="AI39" s="225">
        <v>0</v>
      </c>
      <c r="AJ39" s="226">
        <v>0</v>
      </c>
      <c r="AK39" s="225">
        <v>0</v>
      </c>
      <c r="AL39" s="225">
        <v>0</v>
      </c>
      <c r="AM39" s="225">
        <v>0</v>
      </c>
      <c r="AN39" s="226">
        <v>0</v>
      </c>
      <c r="AO39" s="230" t="s">
        <v>270</v>
      </c>
      <c r="AP39" s="230" t="s">
        <v>190</v>
      </c>
      <c r="AQ39" s="230" t="s">
        <v>190</v>
      </c>
      <c r="AR39" s="231" t="s">
        <v>190</v>
      </c>
      <c r="AS39" s="230" t="s">
        <v>261</v>
      </c>
      <c r="AT39" s="37" t="s">
        <v>263</v>
      </c>
      <c r="AU39" s="37">
        <v>0</v>
      </c>
      <c r="AV39" s="222" t="s">
        <v>261</v>
      </c>
      <c r="AW39" s="230" t="s">
        <v>264</v>
      </c>
      <c r="AX39" s="230" t="s">
        <v>264</v>
      </c>
      <c r="AY39" s="230" t="s">
        <v>264</v>
      </c>
      <c r="AZ39" s="231" t="s">
        <v>264</v>
      </c>
      <c r="BA39" s="37">
        <v>0</v>
      </c>
      <c r="BB39" s="37">
        <v>0</v>
      </c>
      <c r="BC39" s="37">
        <v>0</v>
      </c>
      <c r="BD39" s="222">
        <v>0</v>
      </c>
      <c r="BE39" s="37">
        <v>0</v>
      </c>
      <c r="BF39" s="37">
        <v>0</v>
      </c>
      <c r="BG39" s="37">
        <v>0</v>
      </c>
      <c r="BH39" s="222">
        <v>0</v>
      </c>
      <c r="BI39" s="37">
        <v>0</v>
      </c>
      <c r="BJ39" s="37">
        <v>0</v>
      </c>
      <c r="BK39" s="37">
        <v>0</v>
      </c>
      <c r="BL39" s="222">
        <v>0</v>
      </c>
      <c r="BM39" s="37">
        <v>0</v>
      </c>
      <c r="BN39" s="37">
        <v>0</v>
      </c>
      <c r="BO39" s="37">
        <v>0</v>
      </c>
      <c r="BP39" s="222">
        <v>0</v>
      </c>
      <c r="BQ39" s="227" t="s">
        <v>261</v>
      </c>
      <c r="BR39" s="227" t="s">
        <v>261</v>
      </c>
      <c r="BS39" s="227" t="s">
        <v>261</v>
      </c>
      <c r="BT39" s="228" t="s">
        <v>261</v>
      </c>
      <c r="BU39" s="229">
        <v>0</v>
      </c>
      <c r="BV39" s="229">
        <v>0</v>
      </c>
      <c r="BW39" s="229">
        <v>0</v>
      </c>
      <c r="BX39" s="223">
        <v>0</v>
      </c>
      <c r="BY39" s="225">
        <v>0</v>
      </c>
      <c r="BZ39" s="225">
        <v>0</v>
      </c>
      <c r="CA39" s="225">
        <v>0</v>
      </c>
      <c r="CB39" s="225">
        <v>0</v>
      </c>
    </row>
    <row r="40" spans="1:80" s="37" customFormat="1" x14ac:dyDescent="0.35">
      <c r="A40" s="413"/>
      <c r="B40" s="217" t="s">
        <v>282</v>
      </c>
      <c r="C40" s="218" t="s">
        <v>13</v>
      </c>
      <c r="D40" s="219" t="s">
        <v>368</v>
      </c>
      <c r="E40" s="6">
        <v>0</v>
      </c>
      <c r="F40" s="220">
        <v>0</v>
      </c>
      <c r="G40" s="221" t="s">
        <v>387</v>
      </c>
      <c r="H40" s="221" t="s">
        <v>388</v>
      </c>
      <c r="I40" s="224">
        <v>0</v>
      </c>
      <c r="J40" s="320" t="str">
        <f>B35</f>
        <v>Reactant11</v>
      </c>
      <c r="K40" s="224">
        <v>0</v>
      </c>
      <c r="L40" s="224">
        <v>0</v>
      </c>
      <c r="M40" s="224">
        <v>0</v>
      </c>
      <c r="N40" s="224">
        <v>0</v>
      </c>
      <c r="O40" s="224">
        <v>0</v>
      </c>
      <c r="P40" s="222">
        <v>0</v>
      </c>
      <c r="Q40" s="37" t="s">
        <v>214</v>
      </c>
      <c r="R40" s="37" t="s">
        <v>214</v>
      </c>
      <c r="S40" s="37" t="s">
        <v>214</v>
      </c>
      <c r="T40" s="222" t="s">
        <v>214</v>
      </c>
      <c r="U40" s="37">
        <v>0</v>
      </c>
      <c r="V40" s="37">
        <v>0</v>
      </c>
      <c r="W40" s="37">
        <v>0</v>
      </c>
      <c r="X40" s="222">
        <v>0</v>
      </c>
      <c r="Y40" s="37">
        <v>0</v>
      </c>
      <c r="Z40" s="37">
        <v>0</v>
      </c>
      <c r="AA40" s="37">
        <v>0</v>
      </c>
      <c r="AB40" s="222">
        <v>0</v>
      </c>
      <c r="AC40" s="225">
        <v>0</v>
      </c>
      <c r="AD40" s="225">
        <v>0</v>
      </c>
      <c r="AE40" s="225">
        <v>0</v>
      </c>
      <c r="AF40" s="226">
        <v>0</v>
      </c>
      <c r="AG40" s="225">
        <v>0</v>
      </c>
      <c r="AH40" s="225">
        <v>0</v>
      </c>
      <c r="AI40" s="225">
        <v>0</v>
      </c>
      <c r="AJ40" s="226">
        <v>0</v>
      </c>
      <c r="AK40" s="225">
        <v>0</v>
      </c>
      <c r="AL40" s="225">
        <v>0</v>
      </c>
      <c r="AM40" s="225">
        <v>0</v>
      </c>
      <c r="AN40" s="226">
        <v>0</v>
      </c>
      <c r="AO40" s="230" t="s">
        <v>190</v>
      </c>
      <c r="AP40" s="229" t="s">
        <v>190</v>
      </c>
      <c r="AQ40" s="230" t="s">
        <v>190</v>
      </c>
      <c r="AR40" s="222" t="s">
        <v>190</v>
      </c>
      <c r="AS40" s="230" t="s">
        <v>261</v>
      </c>
      <c r="AT40" s="37" t="s">
        <v>263</v>
      </c>
      <c r="AU40" s="37">
        <v>0</v>
      </c>
      <c r="AV40" s="222" t="s">
        <v>261</v>
      </c>
      <c r="AW40" s="230" t="s">
        <v>264</v>
      </c>
      <c r="AX40" s="230" t="s">
        <v>264</v>
      </c>
      <c r="AY40" s="230" t="s">
        <v>264</v>
      </c>
      <c r="AZ40" s="231" t="s">
        <v>264</v>
      </c>
      <c r="BA40" s="37">
        <v>0</v>
      </c>
      <c r="BB40" s="37">
        <v>0</v>
      </c>
      <c r="BC40" s="37">
        <v>0</v>
      </c>
      <c r="BD40" s="222">
        <v>0</v>
      </c>
      <c r="BE40" s="37">
        <v>0</v>
      </c>
      <c r="BF40" s="37">
        <v>0</v>
      </c>
      <c r="BG40" s="37">
        <v>0</v>
      </c>
      <c r="BH40" s="222">
        <v>0</v>
      </c>
      <c r="BI40" s="37">
        <v>0</v>
      </c>
      <c r="BJ40" s="37">
        <v>0</v>
      </c>
      <c r="BK40" s="37">
        <v>0</v>
      </c>
      <c r="BL40" s="222">
        <v>0</v>
      </c>
      <c r="BM40" s="37">
        <v>0</v>
      </c>
      <c r="BN40" s="37">
        <v>0</v>
      </c>
      <c r="BO40" s="37">
        <v>0</v>
      </c>
      <c r="BP40" s="222">
        <v>0</v>
      </c>
      <c r="BQ40" s="227" t="s">
        <v>261</v>
      </c>
      <c r="BR40" s="227" t="s">
        <v>261</v>
      </c>
      <c r="BS40" s="227" t="s">
        <v>261</v>
      </c>
      <c r="BT40" s="228" t="s">
        <v>261</v>
      </c>
      <c r="BU40" s="229">
        <v>0</v>
      </c>
      <c r="BV40" s="229">
        <v>0</v>
      </c>
      <c r="BW40" s="229">
        <v>0</v>
      </c>
      <c r="BX40" s="223">
        <v>0</v>
      </c>
      <c r="BY40" s="225">
        <v>0</v>
      </c>
      <c r="BZ40" s="225">
        <v>0</v>
      </c>
      <c r="CA40" s="225">
        <v>0</v>
      </c>
      <c r="CB40" s="225">
        <v>0</v>
      </c>
    </row>
    <row r="41" spans="1:80" s="37" customFormat="1" x14ac:dyDescent="0.35">
      <c r="A41" s="413"/>
      <c r="B41" s="217" t="s">
        <v>282</v>
      </c>
      <c r="C41" s="218" t="s">
        <v>13</v>
      </c>
      <c r="D41" s="219" t="s">
        <v>369</v>
      </c>
      <c r="E41" s="6">
        <v>0</v>
      </c>
      <c r="F41" s="220">
        <v>0</v>
      </c>
      <c r="G41" s="221" t="s">
        <v>387</v>
      </c>
      <c r="H41" s="221" t="s">
        <v>388</v>
      </c>
      <c r="I41" s="224">
        <v>0</v>
      </c>
      <c r="J41" s="320" t="str">
        <f>B35</f>
        <v>Reactant11</v>
      </c>
      <c r="K41" s="224">
        <v>0</v>
      </c>
      <c r="L41" s="224">
        <v>0</v>
      </c>
      <c r="M41" s="224">
        <v>0</v>
      </c>
      <c r="N41" s="224">
        <v>0</v>
      </c>
      <c r="O41" s="224">
        <v>0</v>
      </c>
      <c r="P41" s="222">
        <v>0</v>
      </c>
      <c r="Q41" s="37" t="s">
        <v>214</v>
      </c>
      <c r="R41" s="37" t="s">
        <v>214</v>
      </c>
      <c r="S41" s="37" t="s">
        <v>214</v>
      </c>
      <c r="T41" s="222" t="s">
        <v>214</v>
      </c>
      <c r="U41" s="37">
        <v>0</v>
      </c>
      <c r="V41" s="37">
        <v>0</v>
      </c>
      <c r="W41" s="37">
        <v>0</v>
      </c>
      <c r="X41" s="222">
        <v>0</v>
      </c>
      <c r="Y41" s="37">
        <v>0</v>
      </c>
      <c r="Z41" s="37">
        <v>0</v>
      </c>
      <c r="AA41" s="37">
        <v>0</v>
      </c>
      <c r="AB41" s="222">
        <v>0</v>
      </c>
      <c r="AC41" s="225">
        <v>0</v>
      </c>
      <c r="AD41" s="225">
        <v>0</v>
      </c>
      <c r="AE41" s="225">
        <v>0</v>
      </c>
      <c r="AF41" s="226">
        <v>0</v>
      </c>
      <c r="AG41" s="225">
        <v>0</v>
      </c>
      <c r="AH41" s="225">
        <v>0</v>
      </c>
      <c r="AI41" s="225">
        <v>0</v>
      </c>
      <c r="AJ41" s="226">
        <v>0</v>
      </c>
      <c r="AK41" s="225">
        <v>0</v>
      </c>
      <c r="AL41" s="225">
        <v>0</v>
      </c>
      <c r="AM41" s="225">
        <v>0</v>
      </c>
      <c r="AN41" s="226">
        <v>0</v>
      </c>
      <c r="AO41" s="230">
        <v>0</v>
      </c>
      <c r="AP41" s="230">
        <v>0</v>
      </c>
      <c r="AQ41" s="230">
        <v>0</v>
      </c>
      <c r="AR41" s="231">
        <v>0</v>
      </c>
      <c r="AS41" s="230">
        <v>0</v>
      </c>
      <c r="AT41" s="230">
        <v>0</v>
      </c>
      <c r="AU41" s="230">
        <v>0</v>
      </c>
      <c r="AV41" s="231">
        <v>0</v>
      </c>
      <c r="AW41" s="230">
        <v>0</v>
      </c>
      <c r="AX41" s="230">
        <v>0</v>
      </c>
      <c r="AY41" s="230">
        <v>0</v>
      </c>
      <c r="AZ41" s="231">
        <v>0</v>
      </c>
      <c r="BA41" s="230">
        <v>0</v>
      </c>
      <c r="BB41" s="230">
        <v>0</v>
      </c>
      <c r="BC41" s="230">
        <v>0</v>
      </c>
      <c r="BD41" s="231">
        <v>0</v>
      </c>
      <c r="BE41" s="230">
        <v>0</v>
      </c>
      <c r="BF41" s="230">
        <v>0</v>
      </c>
      <c r="BG41" s="230">
        <v>0</v>
      </c>
      <c r="BH41" s="231">
        <v>0</v>
      </c>
      <c r="BI41" s="37">
        <v>0</v>
      </c>
      <c r="BJ41" s="37">
        <v>0</v>
      </c>
      <c r="BK41" s="37">
        <v>0</v>
      </c>
      <c r="BL41" s="222">
        <v>0</v>
      </c>
      <c r="BM41" s="230">
        <v>0</v>
      </c>
      <c r="BN41" s="230">
        <v>0</v>
      </c>
      <c r="BO41" s="230">
        <v>0</v>
      </c>
      <c r="BP41" s="231">
        <v>0</v>
      </c>
      <c r="BQ41" s="230" t="s">
        <v>261</v>
      </c>
      <c r="BR41" s="230" t="s">
        <v>261</v>
      </c>
      <c r="BS41" s="230" t="s">
        <v>261</v>
      </c>
      <c r="BT41" s="231" t="s">
        <v>261</v>
      </c>
      <c r="BU41" s="229">
        <v>0</v>
      </c>
      <c r="BV41" s="229">
        <v>0</v>
      </c>
      <c r="BW41" s="229">
        <v>0</v>
      </c>
      <c r="BX41" s="223">
        <v>0</v>
      </c>
      <c r="BY41" s="225">
        <v>0</v>
      </c>
      <c r="BZ41" s="225">
        <v>0</v>
      </c>
      <c r="CA41" s="225">
        <v>0</v>
      </c>
      <c r="CB41" s="225">
        <v>0</v>
      </c>
    </row>
    <row r="42" spans="1:80" s="37" customFormat="1" x14ac:dyDescent="0.35">
      <c r="A42" s="413"/>
      <c r="B42" s="217" t="s">
        <v>282</v>
      </c>
      <c r="C42" s="218" t="s">
        <v>13</v>
      </c>
      <c r="D42" s="219" t="s">
        <v>370</v>
      </c>
      <c r="E42" s="6">
        <v>0</v>
      </c>
      <c r="F42" s="220">
        <v>0</v>
      </c>
      <c r="G42" s="221" t="s">
        <v>387</v>
      </c>
      <c r="H42" s="221" t="s">
        <v>388</v>
      </c>
      <c r="I42" s="224">
        <v>0</v>
      </c>
      <c r="J42" s="320" t="str">
        <f>B35</f>
        <v>Reactant11</v>
      </c>
      <c r="K42" s="224">
        <v>0</v>
      </c>
      <c r="L42" s="224">
        <v>0</v>
      </c>
      <c r="M42" s="224">
        <v>0</v>
      </c>
      <c r="N42" s="224">
        <v>0</v>
      </c>
      <c r="O42" s="224">
        <v>0</v>
      </c>
      <c r="P42" s="222">
        <v>0</v>
      </c>
      <c r="Q42" s="37" t="s">
        <v>214</v>
      </c>
      <c r="R42" s="37" t="s">
        <v>214</v>
      </c>
      <c r="S42" s="37" t="s">
        <v>214</v>
      </c>
      <c r="T42" s="222" t="s">
        <v>214</v>
      </c>
      <c r="U42" s="37">
        <v>0</v>
      </c>
      <c r="V42" s="37">
        <v>0</v>
      </c>
      <c r="W42" s="37">
        <v>0</v>
      </c>
      <c r="X42" s="222">
        <v>0</v>
      </c>
      <c r="Y42" s="37">
        <v>0</v>
      </c>
      <c r="Z42" s="37">
        <v>0</v>
      </c>
      <c r="AA42" s="37">
        <v>0</v>
      </c>
      <c r="AB42" s="222">
        <v>0</v>
      </c>
      <c r="AC42" s="225">
        <v>0</v>
      </c>
      <c r="AD42" s="225">
        <v>0</v>
      </c>
      <c r="AE42" s="225">
        <v>0</v>
      </c>
      <c r="AF42" s="226">
        <v>0</v>
      </c>
      <c r="AG42" s="225">
        <v>0</v>
      </c>
      <c r="AH42" s="225">
        <v>0</v>
      </c>
      <c r="AI42" s="225">
        <v>0</v>
      </c>
      <c r="AJ42" s="226">
        <v>0</v>
      </c>
      <c r="AK42" s="225">
        <v>0</v>
      </c>
      <c r="AL42" s="225">
        <v>0</v>
      </c>
      <c r="AM42" s="225">
        <v>0</v>
      </c>
      <c r="AN42" s="226">
        <v>0</v>
      </c>
      <c r="AO42" s="230">
        <v>0</v>
      </c>
      <c r="AP42" s="230">
        <v>0</v>
      </c>
      <c r="AQ42" s="230">
        <v>0</v>
      </c>
      <c r="AR42" s="231">
        <v>0</v>
      </c>
      <c r="AS42" s="230">
        <v>0</v>
      </c>
      <c r="AT42" s="230">
        <v>0</v>
      </c>
      <c r="AU42" s="230">
        <v>0</v>
      </c>
      <c r="AV42" s="231">
        <v>0</v>
      </c>
      <c r="AW42" s="230">
        <v>0</v>
      </c>
      <c r="AX42" s="230">
        <v>0</v>
      </c>
      <c r="AY42" s="230">
        <v>0</v>
      </c>
      <c r="AZ42" s="231">
        <v>0</v>
      </c>
      <c r="BA42" s="230">
        <v>0</v>
      </c>
      <c r="BB42" s="230">
        <v>0</v>
      </c>
      <c r="BC42" s="230">
        <v>0</v>
      </c>
      <c r="BD42" s="231">
        <v>0</v>
      </c>
      <c r="BE42" s="230">
        <v>0</v>
      </c>
      <c r="BF42" s="230">
        <v>0</v>
      </c>
      <c r="BG42" s="230">
        <v>0</v>
      </c>
      <c r="BH42" s="231">
        <v>0</v>
      </c>
      <c r="BI42" s="37">
        <v>0</v>
      </c>
      <c r="BJ42" s="37">
        <v>0</v>
      </c>
      <c r="BK42" s="37">
        <v>0</v>
      </c>
      <c r="BL42" s="222">
        <v>0</v>
      </c>
      <c r="BM42" s="230">
        <v>0</v>
      </c>
      <c r="BN42" s="230">
        <v>0</v>
      </c>
      <c r="BO42" s="230">
        <v>0</v>
      </c>
      <c r="BP42" s="231">
        <v>0</v>
      </c>
      <c r="BQ42" s="230" t="s">
        <v>261</v>
      </c>
      <c r="BR42" s="230" t="s">
        <v>261</v>
      </c>
      <c r="BS42" s="230" t="s">
        <v>261</v>
      </c>
      <c r="BT42" s="231" t="s">
        <v>261</v>
      </c>
      <c r="BU42" s="229">
        <v>0</v>
      </c>
      <c r="BV42" s="229">
        <v>0</v>
      </c>
      <c r="BW42" s="229">
        <v>0</v>
      </c>
      <c r="BX42" s="223">
        <v>0</v>
      </c>
      <c r="BY42" s="225">
        <v>0</v>
      </c>
      <c r="BZ42" s="225">
        <v>0</v>
      </c>
      <c r="CA42" s="225">
        <v>0</v>
      </c>
      <c r="CB42" s="225">
        <v>0</v>
      </c>
    </row>
    <row r="43" spans="1:80" s="37" customFormat="1" x14ac:dyDescent="0.35">
      <c r="A43" s="413"/>
      <c r="B43" s="217" t="s">
        <v>97</v>
      </c>
      <c r="C43" s="218" t="s">
        <v>92</v>
      </c>
      <c r="D43" s="219" t="s">
        <v>28</v>
      </c>
      <c r="E43" s="6">
        <v>0</v>
      </c>
      <c r="F43" s="220">
        <v>0</v>
      </c>
      <c r="G43" s="221" t="s">
        <v>393</v>
      </c>
      <c r="H43" s="221" t="s">
        <v>394</v>
      </c>
      <c r="I43" s="224">
        <v>0</v>
      </c>
      <c r="J43" s="320" t="str">
        <f>B38</f>
        <v>Product/Reactant12</v>
      </c>
      <c r="K43" s="224">
        <v>0</v>
      </c>
      <c r="L43" s="224">
        <v>0</v>
      </c>
      <c r="M43" s="323">
        <v>0</v>
      </c>
      <c r="N43" s="224">
        <v>0</v>
      </c>
      <c r="O43" s="224">
        <v>0</v>
      </c>
      <c r="P43" s="222">
        <v>0</v>
      </c>
      <c r="Q43" s="37" t="s">
        <v>215</v>
      </c>
      <c r="R43" s="37" t="s">
        <v>215</v>
      </c>
      <c r="S43" s="37" t="s">
        <v>215</v>
      </c>
      <c r="T43" s="222" t="s">
        <v>215</v>
      </c>
      <c r="U43" s="37">
        <v>0</v>
      </c>
      <c r="V43" s="37">
        <v>0</v>
      </c>
      <c r="W43" s="37">
        <v>0</v>
      </c>
      <c r="X43" s="222">
        <v>0</v>
      </c>
      <c r="Y43" s="37">
        <v>0</v>
      </c>
      <c r="Z43" s="37">
        <v>0</v>
      </c>
      <c r="AA43" s="37">
        <v>0</v>
      </c>
      <c r="AB43" s="222">
        <v>0</v>
      </c>
      <c r="AC43" s="225">
        <v>0</v>
      </c>
      <c r="AD43" s="225">
        <v>0</v>
      </c>
      <c r="AE43" s="225">
        <v>0</v>
      </c>
      <c r="AF43" s="226">
        <v>0</v>
      </c>
      <c r="AG43" s="225">
        <v>0</v>
      </c>
      <c r="AH43" s="225">
        <v>0</v>
      </c>
      <c r="AI43" s="225">
        <v>0</v>
      </c>
      <c r="AJ43" s="226">
        <v>0</v>
      </c>
      <c r="AK43" s="225">
        <v>0</v>
      </c>
      <c r="AL43" s="225">
        <v>0</v>
      </c>
      <c r="AM43" s="225">
        <v>0</v>
      </c>
      <c r="AN43" s="226">
        <v>0</v>
      </c>
      <c r="AO43" s="37">
        <v>0</v>
      </c>
      <c r="AP43" s="37">
        <v>0</v>
      </c>
      <c r="AQ43" s="37">
        <v>0</v>
      </c>
      <c r="AR43" s="222">
        <v>0</v>
      </c>
      <c r="AS43" s="37">
        <v>0</v>
      </c>
      <c r="AT43" s="37">
        <v>0</v>
      </c>
      <c r="AU43" s="37">
        <v>0</v>
      </c>
      <c r="AV43" s="222">
        <v>0</v>
      </c>
      <c r="AW43" s="37">
        <v>0</v>
      </c>
      <c r="AX43" s="37">
        <v>0</v>
      </c>
      <c r="AY43" s="37">
        <v>0</v>
      </c>
      <c r="AZ43" s="222">
        <v>0</v>
      </c>
      <c r="BA43" s="37">
        <v>0</v>
      </c>
      <c r="BB43" s="37">
        <v>0</v>
      </c>
      <c r="BC43" s="37">
        <v>0</v>
      </c>
      <c r="BD43" s="222">
        <v>0</v>
      </c>
      <c r="BE43" s="37">
        <v>0</v>
      </c>
      <c r="BF43" s="37">
        <v>0</v>
      </c>
      <c r="BG43" s="37">
        <v>0</v>
      </c>
      <c r="BH43" s="222">
        <v>0</v>
      </c>
      <c r="BI43" s="37">
        <v>0</v>
      </c>
      <c r="BJ43" s="37">
        <v>0</v>
      </c>
      <c r="BK43" s="37">
        <v>0</v>
      </c>
      <c r="BL43" s="222">
        <v>0</v>
      </c>
      <c r="BM43" s="236">
        <v>0</v>
      </c>
      <c r="BN43" s="230">
        <v>0</v>
      </c>
      <c r="BO43" s="230">
        <v>0</v>
      </c>
      <c r="BP43" s="231">
        <v>0</v>
      </c>
      <c r="BQ43" s="37">
        <v>0</v>
      </c>
      <c r="BR43" s="37">
        <v>0</v>
      </c>
      <c r="BS43" s="37">
        <v>0</v>
      </c>
      <c r="BT43" s="222">
        <v>0</v>
      </c>
      <c r="BU43" s="229">
        <v>0</v>
      </c>
      <c r="BV43" s="229">
        <v>0</v>
      </c>
      <c r="BW43" s="229">
        <v>0</v>
      </c>
      <c r="BX43" s="223">
        <v>0</v>
      </c>
      <c r="BY43" s="225">
        <v>0</v>
      </c>
      <c r="BZ43" s="225">
        <v>0</v>
      </c>
      <c r="CA43" s="225">
        <v>0</v>
      </c>
      <c r="CB43" s="225">
        <v>0</v>
      </c>
    </row>
    <row r="44" spans="1:80" s="78" customFormat="1" x14ac:dyDescent="0.35">
      <c r="A44" s="413"/>
      <c r="B44" s="75" t="s">
        <v>19</v>
      </c>
      <c r="C44" s="82" t="s">
        <v>21</v>
      </c>
      <c r="D44" s="77" t="s">
        <v>26</v>
      </c>
      <c r="E44" s="6">
        <v>0</v>
      </c>
      <c r="F44" s="105">
        <v>0</v>
      </c>
      <c r="G44" s="117" t="s">
        <v>391</v>
      </c>
      <c r="H44" s="117" t="s">
        <v>392</v>
      </c>
      <c r="I44" s="238">
        <v>0</v>
      </c>
      <c r="J44" s="126" t="s">
        <v>12</v>
      </c>
      <c r="K44" s="126">
        <v>0</v>
      </c>
      <c r="L44" s="126">
        <v>0</v>
      </c>
      <c r="M44" s="126">
        <v>0</v>
      </c>
      <c r="N44" s="126">
        <v>0</v>
      </c>
      <c r="O44" s="126">
        <v>0</v>
      </c>
      <c r="P44" s="136">
        <v>0</v>
      </c>
      <c r="Q44" s="81">
        <v>0</v>
      </c>
      <c r="R44" s="81">
        <v>0</v>
      </c>
      <c r="S44" s="81">
        <v>0</v>
      </c>
      <c r="T44" s="154">
        <v>0</v>
      </c>
      <c r="U44" s="78">
        <v>0</v>
      </c>
      <c r="V44" s="78">
        <v>0</v>
      </c>
      <c r="W44" s="78">
        <v>0</v>
      </c>
      <c r="X44" s="136">
        <v>0</v>
      </c>
      <c r="Y44" s="78">
        <v>0</v>
      </c>
      <c r="Z44" s="78">
        <v>0</v>
      </c>
      <c r="AA44" s="78">
        <v>0</v>
      </c>
      <c r="AB44" s="136">
        <v>0</v>
      </c>
      <c r="AC44" s="80">
        <v>0</v>
      </c>
      <c r="AD44" s="80">
        <v>0</v>
      </c>
      <c r="AE44" s="80">
        <v>0</v>
      </c>
      <c r="AF44" s="145">
        <v>0</v>
      </c>
      <c r="AG44" s="80">
        <v>0</v>
      </c>
      <c r="AH44" s="80">
        <v>0</v>
      </c>
      <c r="AI44" s="80">
        <v>0</v>
      </c>
      <c r="AJ44" s="145">
        <v>0</v>
      </c>
      <c r="AK44" s="80">
        <v>0</v>
      </c>
      <c r="AL44" s="80">
        <v>0</v>
      </c>
      <c r="AM44" s="80">
        <v>0</v>
      </c>
      <c r="AN44" s="145">
        <v>0</v>
      </c>
      <c r="AO44" s="81">
        <v>0</v>
      </c>
      <c r="AP44" s="81">
        <v>0</v>
      </c>
      <c r="AQ44" s="81">
        <v>0</v>
      </c>
      <c r="AR44" s="154">
        <v>0</v>
      </c>
      <c r="AS44" s="81">
        <v>0</v>
      </c>
      <c r="AT44" s="81">
        <v>0</v>
      </c>
      <c r="AU44" s="81">
        <v>0</v>
      </c>
      <c r="AV44" s="154">
        <v>0</v>
      </c>
      <c r="AW44" s="81">
        <v>0</v>
      </c>
      <c r="AX44" s="81">
        <v>0</v>
      </c>
      <c r="AY44" s="81">
        <v>0</v>
      </c>
      <c r="AZ44" s="154">
        <v>0</v>
      </c>
      <c r="BA44" s="81">
        <v>0</v>
      </c>
      <c r="BB44" s="81">
        <v>0</v>
      </c>
      <c r="BC44" s="81">
        <v>0</v>
      </c>
      <c r="BD44" s="154">
        <v>0</v>
      </c>
      <c r="BE44" s="81">
        <v>0</v>
      </c>
      <c r="BF44" s="81">
        <v>0</v>
      </c>
      <c r="BG44" s="81">
        <v>0</v>
      </c>
      <c r="BH44" s="154">
        <v>0</v>
      </c>
      <c r="BI44" s="81">
        <v>0</v>
      </c>
      <c r="BJ44" s="81">
        <v>0</v>
      </c>
      <c r="BK44" s="81">
        <v>0</v>
      </c>
      <c r="BL44" s="154">
        <v>0</v>
      </c>
      <c r="BM44" s="81">
        <v>0</v>
      </c>
      <c r="BN44" s="81">
        <v>0</v>
      </c>
      <c r="BO44" s="81">
        <v>0</v>
      </c>
      <c r="BP44" s="154">
        <v>0</v>
      </c>
      <c r="BQ44" s="81">
        <v>0</v>
      </c>
      <c r="BR44" s="81">
        <v>0</v>
      </c>
      <c r="BS44" s="81">
        <v>0</v>
      </c>
      <c r="BT44" s="154">
        <v>0</v>
      </c>
      <c r="BU44" s="79">
        <v>0</v>
      </c>
      <c r="BV44" s="79">
        <v>0</v>
      </c>
      <c r="BW44" s="79">
        <v>0</v>
      </c>
      <c r="BX44" s="163">
        <v>0</v>
      </c>
      <c r="BY44" s="80">
        <v>0</v>
      </c>
      <c r="BZ44" s="80">
        <v>0</v>
      </c>
      <c r="CA44" s="80">
        <v>0</v>
      </c>
      <c r="CB44" s="80">
        <v>0</v>
      </c>
    </row>
    <row r="45" spans="1:80" s="78" customFormat="1" x14ac:dyDescent="0.35">
      <c r="A45" s="413"/>
      <c r="B45" s="75" t="s">
        <v>20</v>
      </c>
      <c r="C45" s="82" t="s">
        <v>22</v>
      </c>
      <c r="D45" s="77" t="s">
        <v>27</v>
      </c>
      <c r="E45" s="6">
        <v>0</v>
      </c>
      <c r="F45" s="105">
        <v>0</v>
      </c>
      <c r="G45" s="117" t="s">
        <v>391</v>
      </c>
      <c r="H45" s="117" t="s">
        <v>392</v>
      </c>
      <c r="I45" s="238">
        <v>0</v>
      </c>
      <c r="J45" s="126" t="s">
        <v>12</v>
      </c>
      <c r="K45" s="238">
        <v>0</v>
      </c>
      <c r="L45" s="126">
        <v>0</v>
      </c>
      <c r="M45" s="126">
        <v>0</v>
      </c>
      <c r="N45" s="238">
        <v>0</v>
      </c>
      <c r="O45" s="126">
        <v>0</v>
      </c>
      <c r="P45" s="136">
        <v>0</v>
      </c>
      <c r="Q45" s="81">
        <v>0</v>
      </c>
      <c r="R45" s="81">
        <v>0</v>
      </c>
      <c r="S45" s="81">
        <v>0</v>
      </c>
      <c r="T45" s="154">
        <v>0</v>
      </c>
      <c r="U45" s="78">
        <v>0</v>
      </c>
      <c r="V45" s="78">
        <v>0</v>
      </c>
      <c r="W45" s="78">
        <v>0</v>
      </c>
      <c r="X45" s="136">
        <v>0</v>
      </c>
      <c r="Y45" s="78">
        <v>0</v>
      </c>
      <c r="Z45" s="78">
        <v>0</v>
      </c>
      <c r="AA45" s="78">
        <v>0</v>
      </c>
      <c r="AB45" s="136">
        <v>0</v>
      </c>
      <c r="AC45" s="80">
        <v>0</v>
      </c>
      <c r="AD45" s="80">
        <v>0</v>
      </c>
      <c r="AE45" s="80">
        <v>0</v>
      </c>
      <c r="AF45" s="145">
        <v>0</v>
      </c>
      <c r="AG45" s="80">
        <v>0</v>
      </c>
      <c r="AH45" s="80">
        <v>0</v>
      </c>
      <c r="AI45" s="80">
        <v>0</v>
      </c>
      <c r="AJ45" s="145">
        <v>0</v>
      </c>
      <c r="AK45" s="80">
        <v>0</v>
      </c>
      <c r="AL45" s="80">
        <v>0</v>
      </c>
      <c r="AM45" s="80">
        <v>0</v>
      </c>
      <c r="AN45" s="145">
        <v>0</v>
      </c>
      <c r="AO45" s="81">
        <v>0</v>
      </c>
      <c r="AP45" s="81">
        <v>0</v>
      </c>
      <c r="AQ45" s="81">
        <v>0</v>
      </c>
      <c r="AR45" s="154">
        <v>0</v>
      </c>
      <c r="AS45" s="81">
        <v>0</v>
      </c>
      <c r="AT45" s="81">
        <v>0</v>
      </c>
      <c r="AU45" s="81">
        <v>0</v>
      </c>
      <c r="AV45" s="154">
        <v>0</v>
      </c>
      <c r="AW45" s="81">
        <v>0</v>
      </c>
      <c r="AX45" s="81">
        <v>0</v>
      </c>
      <c r="AY45" s="81">
        <v>0</v>
      </c>
      <c r="AZ45" s="154">
        <v>0</v>
      </c>
      <c r="BA45" s="81">
        <v>0</v>
      </c>
      <c r="BB45" s="81">
        <v>0</v>
      </c>
      <c r="BC45" s="81">
        <v>0</v>
      </c>
      <c r="BD45" s="154">
        <v>0</v>
      </c>
      <c r="BE45" s="239">
        <v>0</v>
      </c>
      <c r="BF45" s="239">
        <v>0</v>
      </c>
      <c r="BG45" s="81">
        <v>0</v>
      </c>
      <c r="BH45" s="240">
        <v>0</v>
      </c>
      <c r="BI45" s="81">
        <v>0</v>
      </c>
      <c r="BJ45" s="81">
        <v>0</v>
      </c>
      <c r="BK45" s="81">
        <v>0</v>
      </c>
      <c r="BL45" s="154">
        <v>0</v>
      </c>
      <c r="BM45" s="81">
        <v>0</v>
      </c>
      <c r="BN45" s="81">
        <v>0</v>
      </c>
      <c r="BO45" s="81">
        <v>0</v>
      </c>
      <c r="BP45" s="154">
        <v>0</v>
      </c>
      <c r="BQ45" s="81">
        <v>0</v>
      </c>
      <c r="BR45" s="81">
        <v>0</v>
      </c>
      <c r="BS45" s="81">
        <v>0</v>
      </c>
      <c r="BT45" s="154">
        <v>0</v>
      </c>
      <c r="BU45" s="79">
        <v>0</v>
      </c>
      <c r="BV45" s="79">
        <v>0</v>
      </c>
      <c r="BW45" s="79">
        <v>0</v>
      </c>
      <c r="BX45" s="163">
        <v>0</v>
      </c>
      <c r="BY45" s="80">
        <v>0</v>
      </c>
      <c r="BZ45" s="80">
        <v>0</v>
      </c>
      <c r="CA45" s="80">
        <v>0</v>
      </c>
      <c r="CB45" s="80">
        <v>0</v>
      </c>
    </row>
    <row r="46" spans="1:80" s="78" customFormat="1" x14ac:dyDescent="0.35">
      <c r="A46" s="413"/>
      <c r="B46" s="78" t="s">
        <v>184</v>
      </c>
      <c r="C46" s="82" t="s">
        <v>286</v>
      </c>
      <c r="D46" s="77" t="s">
        <v>281</v>
      </c>
      <c r="E46" s="6">
        <v>0</v>
      </c>
      <c r="F46" s="105">
        <v>0</v>
      </c>
      <c r="G46" s="117" t="s">
        <v>391</v>
      </c>
      <c r="H46" s="117" t="s">
        <v>392</v>
      </c>
      <c r="I46" s="238">
        <v>0</v>
      </c>
      <c r="J46" s="126" t="s">
        <v>12</v>
      </c>
      <c r="K46" s="238">
        <v>0</v>
      </c>
      <c r="L46" s="238">
        <v>0</v>
      </c>
      <c r="M46" s="238">
        <v>0</v>
      </c>
      <c r="N46" s="238">
        <v>0</v>
      </c>
      <c r="O46" s="238">
        <v>0</v>
      </c>
      <c r="P46" s="136">
        <v>0</v>
      </c>
      <c r="Q46" s="81">
        <v>0</v>
      </c>
      <c r="R46" s="81">
        <v>0</v>
      </c>
      <c r="S46" s="81">
        <v>0</v>
      </c>
      <c r="T46" s="154">
        <v>0</v>
      </c>
      <c r="U46" s="81">
        <v>0</v>
      </c>
      <c r="V46" s="81">
        <v>0</v>
      </c>
      <c r="W46" s="81">
        <v>0</v>
      </c>
      <c r="X46" s="154">
        <v>0</v>
      </c>
      <c r="Y46" s="81">
        <v>0</v>
      </c>
      <c r="Z46" s="81">
        <v>0</v>
      </c>
      <c r="AA46" s="81">
        <v>0</v>
      </c>
      <c r="AB46" s="154">
        <v>0</v>
      </c>
      <c r="AC46" s="80">
        <v>0</v>
      </c>
      <c r="AD46" s="80">
        <v>0</v>
      </c>
      <c r="AE46" s="80">
        <v>0</v>
      </c>
      <c r="AF46" s="145">
        <v>0</v>
      </c>
      <c r="AG46" s="80">
        <v>0</v>
      </c>
      <c r="AH46" s="80">
        <v>0</v>
      </c>
      <c r="AI46" s="80">
        <v>0</v>
      </c>
      <c r="AJ46" s="145">
        <v>0</v>
      </c>
      <c r="AK46" s="80">
        <v>0</v>
      </c>
      <c r="AL46" s="80">
        <v>0</v>
      </c>
      <c r="AM46" s="80">
        <v>0</v>
      </c>
      <c r="AN46" s="145">
        <v>0</v>
      </c>
      <c r="AO46" s="81">
        <v>0</v>
      </c>
      <c r="AP46" s="81">
        <v>0</v>
      </c>
      <c r="AQ46" s="81">
        <v>0</v>
      </c>
      <c r="AR46" s="154">
        <v>0</v>
      </c>
      <c r="AS46" s="81">
        <v>0</v>
      </c>
      <c r="AT46" s="81">
        <v>0</v>
      </c>
      <c r="AU46" s="81">
        <v>0</v>
      </c>
      <c r="AV46" s="154">
        <v>0</v>
      </c>
      <c r="AW46" s="81">
        <v>0</v>
      </c>
      <c r="AX46" s="81">
        <v>0</v>
      </c>
      <c r="AY46" s="81">
        <v>0</v>
      </c>
      <c r="AZ46" s="154">
        <v>0</v>
      </c>
      <c r="BA46" s="81">
        <v>0</v>
      </c>
      <c r="BB46" s="81">
        <v>0</v>
      </c>
      <c r="BC46" s="81">
        <v>0</v>
      </c>
      <c r="BD46" s="154">
        <v>0</v>
      </c>
      <c r="BE46" s="239">
        <v>0</v>
      </c>
      <c r="BF46" s="239">
        <v>0</v>
      </c>
      <c r="BG46" s="239">
        <v>0</v>
      </c>
      <c r="BH46" s="240">
        <v>0</v>
      </c>
      <c r="BI46" s="81">
        <v>0</v>
      </c>
      <c r="BJ46" s="81">
        <v>0</v>
      </c>
      <c r="BK46" s="81">
        <v>0</v>
      </c>
      <c r="BL46" s="154">
        <v>0</v>
      </c>
      <c r="BM46" s="81">
        <v>0</v>
      </c>
      <c r="BN46" s="81">
        <v>0</v>
      </c>
      <c r="BO46" s="81">
        <v>0</v>
      </c>
      <c r="BP46" s="154">
        <v>0</v>
      </c>
      <c r="BQ46" s="81">
        <v>0</v>
      </c>
      <c r="BR46" s="81">
        <v>0</v>
      </c>
      <c r="BS46" s="81">
        <v>0</v>
      </c>
      <c r="BT46" s="154">
        <v>0</v>
      </c>
      <c r="BU46" s="79">
        <v>0</v>
      </c>
      <c r="BV46" s="79">
        <v>0</v>
      </c>
      <c r="BW46" s="79">
        <v>0</v>
      </c>
      <c r="BX46" s="163">
        <v>0</v>
      </c>
      <c r="BY46" s="80">
        <v>0</v>
      </c>
      <c r="BZ46" s="80">
        <v>0</v>
      </c>
      <c r="CA46" s="80">
        <v>0</v>
      </c>
      <c r="CB46" s="80">
        <v>0</v>
      </c>
    </row>
    <row r="47" spans="1:80" s="87" customFormat="1" x14ac:dyDescent="0.35">
      <c r="A47" s="413"/>
      <c r="B47" s="83" t="s">
        <v>14</v>
      </c>
      <c r="C47" s="241" t="s">
        <v>184</v>
      </c>
      <c r="D47" s="85" t="s">
        <v>29</v>
      </c>
      <c r="E47" s="6">
        <v>0</v>
      </c>
      <c r="F47" s="106">
        <v>0</v>
      </c>
      <c r="G47" s="118" t="s">
        <v>387</v>
      </c>
      <c r="H47" s="118" t="s">
        <v>388</v>
      </c>
      <c r="I47" s="129">
        <v>0</v>
      </c>
      <c r="J47" s="129" t="s">
        <v>12</v>
      </c>
      <c r="K47" s="129">
        <v>0</v>
      </c>
      <c r="L47" s="129">
        <v>0</v>
      </c>
      <c r="M47" s="243">
        <v>0</v>
      </c>
      <c r="N47" s="243">
        <v>0</v>
      </c>
      <c r="O47" s="129">
        <v>0</v>
      </c>
      <c r="P47" s="141">
        <v>0</v>
      </c>
      <c r="Q47" s="87">
        <v>0</v>
      </c>
      <c r="R47" s="87">
        <v>0</v>
      </c>
      <c r="S47" s="87">
        <v>0</v>
      </c>
      <c r="T47" s="141">
        <v>0</v>
      </c>
      <c r="U47" s="87">
        <v>0</v>
      </c>
      <c r="V47" s="87">
        <v>0</v>
      </c>
      <c r="W47" s="87">
        <v>0</v>
      </c>
      <c r="X47" s="141">
        <v>0</v>
      </c>
      <c r="Y47" s="87">
        <v>0</v>
      </c>
      <c r="Z47" s="87">
        <v>0</v>
      </c>
      <c r="AA47" s="87">
        <v>0</v>
      </c>
      <c r="AB47" s="141">
        <v>0</v>
      </c>
      <c r="AC47" s="89">
        <v>0</v>
      </c>
      <c r="AD47" s="89">
        <v>0</v>
      </c>
      <c r="AE47" s="89">
        <v>0</v>
      </c>
      <c r="AF47" s="146">
        <v>0</v>
      </c>
      <c r="AG47" s="89">
        <v>0</v>
      </c>
      <c r="AH47" s="89">
        <v>0</v>
      </c>
      <c r="AI47" s="89">
        <v>0</v>
      </c>
      <c r="AJ47" s="146">
        <v>0</v>
      </c>
      <c r="AK47" s="89">
        <v>0</v>
      </c>
      <c r="AL47" s="89">
        <v>0</v>
      </c>
      <c r="AM47" s="89">
        <v>0</v>
      </c>
      <c r="AN47" s="146">
        <v>0</v>
      </c>
      <c r="AO47" s="87" t="s">
        <v>358</v>
      </c>
      <c r="AP47" s="87" t="s">
        <v>358</v>
      </c>
      <c r="AQ47" s="87" t="s">
        <v>358</v>
      </c>
      <c r="AR47" s="141" t="s">
        <v>358</v>
      </c>
      <c r="AS47" s="87">
        <v>0</v>
      </c>
      <c r="AT47" s="87">
        <v>0</v>
      </c>
      <c r="AU47" s="87">
        <v>0</v>
      </c>
      <c r="AV47" s="141">
        <v>0</v>
      </c>
      <c r="AW47" s="87">
        <v>0</v>
      </c>
      <c r="AX47" s="87">
        <v>0</v>
      </c>
      <c r="AY47" s="87">
        <v>0</v>
      </c>
      <c r="AZ47" s="141">
        <v>0</v>
      </c>
      <c r="BA47" s="87">
        <v>0</v>
      </c>
      <c r="BB47" s="87">
        <v>0</v>
      </c>
      <c r="BC47" s="87">
        <v>0</v>
      </c>
      <c r="BD47" s="141">
        <v>0</v>
      </c>
      <c r="BE47" s="87">
        <v>0</v>
      </c>
      <c r="BF47" s="87">
        <v>0</v>
      </c>
      <c r="BG47" s="87">
        <v>0</v>
      </c>
      <c r="BH47" s="141">
        <v>0</v>
      </c>
      <c r="BI47" s="87">
        <v>0</v>
      </c>
      <c r="BJ47" s="87">
        <v>0</v>
      </c>
      <c r="BK47" s="87">
        <v>0</v>
      </c>
      <c r="BL47" s="141">
        <v>0</v>
      </c>
      <c r="BM47" s="87">
        <v>0</v>
      </c>
      <c r="BN47" s="87">
        <v>0</v>
      </c>
      <c r="BO47" s="87">
        <v>0</v>
      </c>
      <c r="BP47" s="141">
        <v>0</v>
      </c>
      <c r="BQ47" s="87">
        <v>0</v>
      </c>
      <c r="BR47" s="87">
        <v>0</v>
      </c>
      <c r="BS47" s="87">
        <v>0</v>
      </c>
      <c r="BT47" s="141">
        <v>0</v>
      </c>
      <c r="BU47" s="86">
        <v>0</v>
      </c>
      <c r="BV47" s="86">
        <v>0</v>
      </c>
      <c r="BW47" s="86">
        <v>0</v>
      </c>
      <c r="BX47" s="164">
        <v>0</v>
      </c>
      <c r="BY47" s="89">
        <v>0</v>
      </c>
      <c r="BZ47" s="89">
        <v>0</v>
      </c>
      <c r="CA47" s="89">
        <v>0</v>
      </c>
      <c r="CB47" s="89">
        <v>0</v>
      </c>
    </row>
    <row r="48" spans="1:80" s="87" customFormat="1" x14ac:dyDescent="0.35">
      <c r="A48" s="413"/>
      <c r="B48" s="83" t="s">
        <v>15</v>
      </c>
      <c r="C48" s="241" t="s">
        <v>184</v>
      </c>
      <c r="D48" s="85" t="s">
        <v>30</v>
      </c>
      <c r="E48" s="6">
        <v>0</v>
      </c>
      <c r="F48" s="106">
        <v>0</v>
      </c>
      <c r="G48" s="118" t="s">
        <v>387</v>
      </c>
      <c r="H48" s="118" t="s">
        <v>388</v>
      </c>
      <c r="I48" s="129">
        <v>0</v>
      </c>
      <c r="J48" s="129" t="s">
        <v>12</v>
      </c>
      <c r="K48" s="129">
        <v>0</v>
      </c>
      <c r="L48" s="129">
        <v>0</v>
      </c>
      <c r="M48" s="243">
        <v>0</v>
      </c>
      <c r="N48" s="129">
        <v>0</v>
      </c>
      <c r="O48" s="129">
        <v>0</v>
      </c>
      <c r="P48" s="141">
        <v>0</v>
      </c>
      <c r="Q48" s="244">
        <v>0</v>
      </c>
      <c r="R48" s="244">
        <v>0</v>
      </c>
      <c r="S48" s="244">
        <v>0</v>
      </c>
      <c r="T48" s="242">
        <v>0</v>
      </c>
      <c r="U48" s="87">
        <v>0</v>
      </c>
      <c r="V48" s="87">
        <v>0</v>
      </c>
      <c r="W48" s="87">
        <v>0</v>
      </c>
      <c r="X48" s="141">
        <v>0</v>
      </c>
      <c r="Y48" s="87">
        <v>0</v>
      </c>
      <c r="Z48" s="87">
        <v>0</v>
      </c>
      <c r="AA48" s="87">
        <v>0</v>
      </c>
      <c r="AB48" s="141">
        <v>0</v>
      </c>
      <c r="AC48" s="89">
        <v>0</v>
      </c>
      <c r="AD48" s="89">
        <v>0</v>
      </c>
      <c r="AE48" s="89">
        <v>0</v>
      </c>
      <c r="AF48" s="146">
        <v>0</v>
      </c>
      <c r="AG48" s="89">
        <v>0</v>
      </c>
      <c r="AH48" s="89">
        <v>0</v>
      </c>
      <c r="AI48" s="89">
        <v>0</v>
      </c>
      <c r="AJ48" s="146">
        <v>0</v>
      </c>
      <c r="AK48" s="89">
        <v>0</v>
      </c>
      <c r="AL48" s="89">
        <v>0</v>
      </c>
      <c r="AM48" s="89">
        <v>0</v>
      </c>
      <c r="AN48" s="146">
        <v>0</v>
      </c>
      <c r="AO48" s="87">
        <v>0</v>
      </c>
      <c r="AP48" s="87">
        <v>0</v>
      </c>
      <c r="AQ48" s="87">
        <v>0</v>
      </c>
      <c r="AR48" s="141">
        <v>0</v>
      </c>
      <c r="AS48" s="87">
        <v>0</v>
      </c>
      <c r="AT48" s="87">
        <v>0</v>
      </c>
      <c r="AU48" s="87">
        <v>0</v>
      </c>
      <c r="AV48" s="141">
        <v>0</v>
      </c>
      <c r="AW48" s="87">
        <v>0</v>
      </c>
      <c r="AX48" s="87">
        <v>0</v>
      </c>
      <c r="AY48" s="87">
        <v>0</v>
      </c>
      <c r="AZ48" s="141">
        <v>0</v>
      </c>
      <c r="BA48" s="87">
        <v>0</v>
      </c>
      <c r="BB48" s="87">
        <v>0</v>
      </c>
      <c r="BC48" s="87">
        <v>0</v>
      </c>
      <c r="BD48" s="141">
        <v>0</v>
      </c>
      <c r="BE48" s="87">
        <v>0</v>
      </c>
      <c r="BF48" s="87">
        <v>0</v>
      </c>
      <c r="BG48" s="87">
        <v>0</v>
      </c>
      <c r="BH48" s="141">
        <v>0</v>
      </c>
      <c r="BI48" s="87">
        <v>0</v>
      </c>
      <c r="BJ48" s="87">
        <v>0</v>
      </c>
      <c r="BK48" s="87">
        <v>0</v>
      </c>
      <c r="BL48" s="141">
        <v>0</v>
      </c>
      <c r="BM48" s="87">
        <v>0</v>
      </c>
      <c r="BN48" s="87">
        <v>0</v>
      </c>
      <c r="BO48" s="87">
        <v>0</v>
      </c>
      <c r="BP48" s="141">
        <v>0</v>
      </c>
      <c r="BQ48" s="87">
        <v>0</v>
      </c>
      <c r="BR48" s="87">
        <v>0</v>
      </c>
      <c r="BS48" s="87">
        <v>0</v>
      </c>
      <c r="BT48" s="141">
        <v>0</v>
      </c>
      <c r="BU48" s="86">
        <v>0</v>
      </c>
      <c r="BV48" s="86">
        <v>0</v>
      </c>
      <c r="BW48" s="86">
        <v>0</v>
      </c>
      <c r="BX48" s="164">
        <v>0</v>
      </c>
      <c r="BY48" s="89">
        <v>0</v>
      </c>
      <c r="BZ48" s="89">
        <v>0</v>
      </c>
      <c r="CA48" s="89">
        <v>0</v>
      </c>
      <c r="CB48" s="89">
        <v>0</v>
      </c>
    </row>
    <row r="49" spans="1:80" s="87" customFormat="1" x14ac:dyDescent="0.35">
      <c r="A49" s="413"/>
      <c r="B49" s="83" t="s">
        <v>16</v>
      </c>
      <c r="C49" s="241" t="s">
        <v>184</v>
      </c>
      <c r="D49" s="245" t="s">
        <v>31</v>
      </c>
      <c r="E49" s="6">
        <v>0</v>
      </c>
      <c r="F49" s="106">
        <v>0</v>
      </c>
      <c r="G49" s="118" t="s">
        <v>388</v>
      </c>
      <c r="H49" s="118" t="s">
        <v>388</v>
      </c>
      <c r="I49" s="129">
        <v>0</v>
      </c>
      <c r="J49" s="129" t="s">
        <v>12</v>
      </c>
      <c r="K49" s="129">
        <v>0</v>
      </c>
      <c r="L49" s="129">
        <v>0</v>
      </c>
      <c r="M49" s="243">
        <v>0</v>
      </c>
      <c r="N49" s="129">
        <v>0</v>
      </c>
      <c r="O49" s="129">
        <v>0</v>
      </c>
      <c r="P49" s="141">
        <v>0</v>
      </c>
      <c r="Q49" s="244">
        <v>0</v>
      </c>
      <c r="R49" s="244">
        <v>0</v>
      </c>
      <c r="S49" s="244">
        <v>0</v>
      </c>
      <c r="T49" s="242">
        <v>0</v>
      </c>
      <c r="U49" s="87">
        <v>0</v>
      </c>
      <c r="V49" s="87">
        <v>0</v>
      </c>
      <c r="W49" s="87">
        <v>0</v>
      </c>
      <c r="X49" s="141">
        <v>0</v>
      </c>
      <c r="Y49" s="87">
        <v>0</v>
      </c>
      <c r="Z49" s="87">
        <v>0</v>
      </c>
      <c r="AA49" s="87">
        <v>0</v>
      </c>
      <c r="AB49" s="141">
        <v>0</v>
      </c>
      <c r="AC49" s="89" t="s">
        <v>216</v>
      </c>
      <c r="AD49" s="89" t="s">
        <v>216</v>
      </c>
      <c r="AE49" s="89" t="s">
        <v>216</v>
      </c>
      <c r="AF49" s="146" t="s">
        <v>216</v>
      </c>
      <c r="AG49" s="89">
        <v>0</v>
      </c>
      <c r="AH49" s="89">
        <v>0</v>
      </c>
      <c r="AI49" s="89">
        <v>0</v>
      </c>
      <c r="AJ49" s="146">
        <v>0</v>
      </c>
      <c r="AK49" s="89">
        <v>0</v>
      </c>
      <c r="AL49" s="89">
        <v>0</v>
      </c>
      <c r="AM49" s="89">
        <v>0</v>
      </c>
      <c r="AN49" s="146">
        <v>0</v>
      </c>
      <c r="AO49" s="87">
        <v>0</v>
      </c>
      <c r="AP49" s="87">
        <v>0</v>
      </c>
      <c r="AQ49" s="87">
        <v>0</v>
      </c>
      <c r="AR49" s="141">
        <v>0</v>
      </c>
      <c r="AS49" s="87" t="s">
        <v>265</v>
      </c>
      <c r="AT49" s="87" t="s">
        <v>265</v>
      </c>
      <c r="AU49" s="87">
        <v>0</v>
      </c>
      <c r="AV49" s="141" t="s">
        <v>266</v>
      </c>
      <c r="AW49" s="87" t="s">
        <v>267</v>
      </c>
      <c r="AX49" s="87" t="s">
        <v>267</v>
      </c>
      <c r="AY49" s="87" t="s">
        <v>267</v>
      </c>
      <c r="AZ49" s="141" t="s">
        <v>267</v>
      </c>
      <c r="BA49" s="87">
        <v>0</v>
      </c>
      <c r="BB49" s="87">
        <v>0</v>
      </c>
      <c r="BC49" s="87">
        <v>0</v>
      </c>
      <c r="BD49" s="141">
        <v>0</v>
      </c>
      <c r="BE49" s="87">
        <v>0</v>
      </c>
      <c r="BF49" s="87">
        <v>0</v>
      </c>
      <c r="BG49" s="87">
        <v>0</v>
      </c>
      <c r="BH49" s="141">
        <v>0</v>
      </c>
      <c r="BI49" s="87">
        <v>0</v>
      </c>
      <c r="BJ49" s="87">
        <v>0</v>
      </c>
      <c r="BK49" s="87">
        <v>0</v>
      </c>
      <c r="BL49" s="141">
        <v>0</v>
      </c>
      <c r="BM49" s="87">
        <v>0</v>
      </c>
      <c r="BN49" s="87">
        <v>0</v>
      </c>
      <c r="BO49" s="87">
        <v>0</v>
      </c>
      <c r="BP49" s="141">
        <v>0</v>
      </c>
      <c r="BQ49" s="87">
        <v>0</v>
      </c>
      <c r="BR49" s="87">
        <v>0</v>
      </c>
      <c r="BS49" s="87">
        <v>0</v>
      </c>
      <c r="BT49" s="141">
        <v>0</v>
      </c>
      <c r="BU49" s="86" t="s">
        <v>357</v>
      </c>
      <c r="BV49" s="86" t="s">
        <v>357</v>
      </c>
      <c r="BW49" s="86" t="s">
        <v>357</v>
      </c>
      <c r="BX49" s="164" t="s">
        <v>357</v>
      </c>
      <c r="BY49" s="89">
        <v>0</v>
      </c>
      <c r="BZ49" s="89">
        <v>0</v>
      </c>
      <c r="CA49" s="89">
        <v>0</v>
      </c>
      <c r="CB49" s="89">
        <v>0</v>
      </c>
    </row>
    <row r="50" spans="1:80" s="47" customFormat="1" x14ac:dyDescent="0.35">
      <c r="A50" s="413"/>
      <c r="B50" s="43" t="s">
        <v>14</v>
      </c>
      <c r="C50" s="246" t="s">
        <v>184</v>
      </c>
      <c r="D50" s="247" t="s">
        <v>111</v>
      </c>
      <c r="E50" s="6">
        <v>0</v>
      </c>
      <c r="F50" s="103">
        <v>0</v>
      </c>
      <c r="G50" s="115" t="s">
        <v>387</v>
      </c>
      <c r="H50" s="115" t="s">
        <v>388</v>
      </c>
      <c r="I50" s="128">
        <v>0</v>
      </c>
      <c r="J50" s="128" t="s">
        <v>12</v>
      </c>
      <c r="K50" s="128">
        <v>0</v>
      </c>
      <c r="L50" s="128">
        <v>0</v>
      </c>
      <c r="M50" s="324">
        <v>0</v>
      </c>
      <c r="N50" s="128">
        <v>0</v>
      </c>
      <c r="O50" s="128">
        <v>0</v>
      </c>
      <c r="P50" s="157">
        <v>0</v>
      </c>
      <c r="Q50" s="53">
        <v>0</v>
      </c>
      <c r="R50" s="53">
        <v>0</v>
      </c>
      <c r="S50" s="53">
        <v>0</v>
      </c>
      <c r="T50" s="150">
        <v>0</v>
      </c>
      <c r="U50" s="47">
        <v>0</v>
      </c>
      <c r="V50" s="47">
        <v>0</v>
      </c>
      <c r="W50" s="47">
        <v>0</v>
      </c>
      <c r="X50" s="157">
        <v>0</v>
      </c>
      <c r="Y50" s="47">
        <v>0</v>
      </c>
      <c r="Z50" s="47">
        <v>0</v>
      </c>
      <c r="AA50" s="47">
        <v>0</v>
      </c>
      <c r="AB50" s="157">
        <v>0</v>
      </c>
      <c r="AC50" s="50">
        <v>0</v>
      </c>
      <c r="AD50" s="50">
        <v>0</v>
      </c>
      <c r="AE50" s="50">
        <v>0</v>
      </c>
      <c r="AF50" s="143">
        <v>0</v>
      </c>
      <c r="AG50" s="50">
        <v>0</v>
      </c>
      <c r="AH50" s="50">
        <v>0</v>
      </c>
      <c r="AI50" s="50">
        <v>0</v>
      </c>
      <c r="AJ50" s="143">
        <v>0</v>
      </c>
      <c r="AK50" s="50">
        <v>0</v>
      </c>
      <c r="AL50" s="50">
        <v>0</v>
      </c>
      <c r="AM50" s="50">
        <v>0</v>
      </c>
      <c r="AN50" s="143">
        <v>0</v>
      </c>
      <c r="AO50" s="47" t="s">
        <v>268</v>
      </c>
      <c r="AP50" s="47" t="s">
        <v>268</v>
      </c>
      <c r="AQ50" s="47" t="s">
        <v>268</v>
      </c>
      <c r="AR50" s="157" t="s">
        <v>268</v>
      </c>
      <c r="AS50" s="47">
        <v>0</v>
      </c>
      <c r="AT50" s="47">
        <v>0</v>
      </c>
      <c r="AU50" s="47">
        <v>0</v>
      </c>
      <c r="AV50" s="157">
        <v>0</v>
      </c>
      <c r="AW50" s="47">
        <v>0</v>
      </c>
      <c r="AX50" s="47">
        <v>0</v>
      </c>
      <c r="AY50" s="47">
        <v>0</v>
      </c>
      <c r="AZ50" s="157">
        <v>0</v>
      </c>
      <c r="BA50" s="47">
        <v>0</v>
      </c>
      <c r="BB50" s="47">
        <v>0</v>
      </c>
      <c r="BC50" s="47">
        <v>0</v>
      </c>
      <c r="BD50" s="157">
        <v>0</v>
      </c>
      <c r="BE50" s="47">
        <v>0</v>
      </c>
      <c r="BF50" s="47">
        <v>0</v>
      </c>
      <c r="BG50" s="47">
        <v>0</v>
      </c>
      <c r="BH50" s="157">
        <v>0</v>
      </c>
      <c r="BI50" s="47">
        <v>0</v>
      </c>
      <c r="BJ50" s="47">
        <v>0</v>
      </c>
      <c r="BK50" s="47">
        <v>0</v>
      </c>
      <c r="BL50" s="157">
        <v>0</v>
      </c>
      <c r="BM50" s="47">
        <v>0</v>
      </c>
      <c r="BN50" s="47">
        <v>0</v>
      </c>
      <c r="BO50" s="47">
        <v>0</v>
      </c>
      <c r="BP50" s="157">
        <v>0</v>
      </c>
      <c r="BQ50" s="47">
        <v>0</v>
      </c>
      <c r="BR50" s="47">
        <v>0</v>
      </c>
      <c r="BS50" s="47">
        <v>0</v>
      </c>
      <c r="BT50" s="157">
        <v>0</v>
      </c>
      <c r="BU50" s="46">
        <v>0</v>
      </c>
      <c r="BV50" s="46">
        <v>0</v>
      </c>
      <c r="BW50" s="46">
        <v>0</v>
      </c>
      <c r="BX50" s="168">
        <v>0</v>
      </c>
      <c r="BY50" s="50">
        <v>0</v>
      </c>
      <c r="BZ50" s="50">
        <v>0</v>
      </c>
      <c r="CA50" s="50">
        <v>0</v>
      </c>
      <c r="CB50" s="50">
        <v>0</v>
      </c>
    </row>
    <row r="51" spans="1:80" s="47" customFormat="1" x14ac:dyDescent="0.35">
      <c r="A51" s="413"/>
      <c r="B51" s="43" t="s">
        <v>15</v>
      </c>
      <c r="C51" s="246" t="s">
        <v>184</v>
      </c>
      <c r="D51" s="247" t="s">
        <v>112</v>
      </c>
      <c r="E51" s="6">
        <v>0</v>
      </c>
      <c r="F51" s="103">
        <v>0</v>
      </c>
      <c r="G51" s="115" t="s">
        <v>387</v>
      </c>
      <c r="H51" s="115" t="s">
        <v>388</v>
      </c>
      <c r="I51" s="128">
        <v>0</v>
      </c>
      <c r="J51" s="128" t="s">
        <v>12</v>
      </c>
      <c r="K51" s="128">
        <v>0</v>
      </c>
      <c r="L51" s="128">
        <v>0</v>
      </c>
      <c r="M51" s="324">
        <v>0</v>
      </c>
      <c r="N51" s="128">
        <v>0</v>
      </c>
      <c r="O51" s="128">
        <v>0</v>
      </c>
      <c r="P51" s="157">
        <v>0</v>
      </c>
      <c r="Q51" s="53">
        <v>0</v>
      </c>
      <c r="R51" s="53">
        <v>0</v>
      </c>
      <c r="S51" s="53">
        <v>0</v>
      </c>
      <c r="T51" s="150">
        <v>0</v>
      </c>
      <c r="U51" s="47">
        <v>0</v>
      </c>
      <c r="V51" s="47">
        <v>0</v>
      </c>
      <c r="W51" s="47">
        <v>0</v>
      </c>
      <c r="X51" s="157">
        <v>0</v>
      </c>
      <c r="Y51" s="47">
        <v>0</v>
      </c>
      <c r="Z51" s="47">
        <v>0</v>
      </c>
      <c r="AA51" s="47">
        <v>0</v>
      </c>
      <c r="AB51" s="157">
        <v>0</v>
      </c>
      <c r="AC51" s="50">
        <v>0</v>
      </c>
      <c r="AD51" s="50">
        <v>0</v>
      </c>
      <c r="AE51" s="50">
        <v>0</v>
      </c>
      <c r="AF51" s="143">
        <v>0</v>
      </c>
      <c r="AG51" s="50">
        <v>0</v>
      </c>
      <c r="AH51" s="50">
        <v>0</v>
      </c>
      <c r="AI51" s="50">
        <v>0</v>
      </c>
      <c r="AJ51" s="143">
        <v>0</v>
      </c>
      <c r="AK51" s="50">
        <v>0</v>
      </c>
      <c r="AL51" s="50">
        <v>0</v>
      </c>
      <c r="AM51" s="50">
        <v>0</v>
      </c>
      <c r="AN51" s="143">
        <v>0</v>
      </c>
      <c r="AO51" s="47">
        <v>0</v>
      </c>
      <c r="AP51" s="47">
        <v>0</v>
      </c>
      <c r="AQ51" s="47">
        <v>0</v>
      </c>
      <c r="AR51" s="157">
        <v>0</v>
      </c>
      <c r="AS51" s="47">
        <v>0</v>
      </c>
      <c r="AT51" s="47">
        <v>0</v>
      </c>
      <c r="AU51" s="47">
        <v>0</v>
      </c>
      <c r="AV51" s="157">
        <v>0</v>
      </c>
      <c r="AW51" s="47">
        <v>0</v>
      </c>
      <c r="AX51" s="47">
        <v>0</v>
      </c>
      <c r="AY51" s="47">
        <v>0</v>
      </c>
      <c r="AZ51" s="157">
        <v>0</v>
      </c>
      <c r="BA51" s="47">
        <v>0</v>
      </c>
      <c r="BB51" s="47">
        <v>0</v>
      </c>
      <c r="BC51" s="47">
        <v>0</v>
      </c>
      <c r="BD51" s="157">
        <v>0</v>
      </c>
      <c r="BE51" s="47">
        <v>0</v>
      </c>
      <c r="BF51" s="47">
        <v>0</v>
      </c>
      <c r="BG51" s="47">
        <v>0</v>
      </c>
      <c r="BH51" s="157">
        <v>0</v>
      </c>
      <c r="BI51" s="47">
        <v>0</v>
      </c>
      <c r="BJ51" s="47">
        <v>0</v>
      </c>
      <c r="BK51" s="47">
        <v>0</v>
      </c>
      <c r="BL51" s="157">
        <v>0</v>
      </c>
      <c r="BM51" s="47">
        <v>0</v>
      </c>
      <c r="BN51" s="47">
        <v>0</v>
      </c>
      <c r="BO51" s="47">
        <v>0</v>
      </c>
      <c r="BP51" s="157">
        <v>0</v>
      </c>
      <c r="BQ51" s="47">
        <v>0</v>
      </c>
      <c r="BR51" s="47">
        <v>0</v>
      </c>
      <c r="BS51" s="47">
        <v>0</v>
      </c>
      <c r="BT51" s="157">
        <v>0</v>
      </c>
      <c r="BU51" s="46">
        <v>0</v>
      </c>
      <c r="BV51" s="46">
        <v>0</v>
      </c>
      <c r="BW51" s="46">
        <v>0</v>
      </c>
      <c r="BX51" s="168">
        <v>0</v>
      </c>
      <c r="BY51" s="50">
        <v>0</v>
      </c>
      <c r="BZ51" s="50">
        <v>0</v>
      </c>
      <c r="CA51" s="50">
        <v>0</v>
      </c>
      <c r="CB51" s="50">
        <v>0</v>
      </c>
    </row>
    <row r="52" spans="1:80" s="47" customFormat="1" x14ac:dyDescent="0.35">
      <c r="A52" s="413"/>
      <c r="B52" s="43" t="s">
        <v>16</v>
      </c>
      <c r="C52" s="246" t="s">
        <v>184</v>
      </c>
      <c r="D52" s="247" t="s">
        <v>113</v>
      </c>
      <c r="E52" s="6">
        <v>0</v>
      </c>
      <c r="F52" s="103">
        <v>0</v>
      </c>
      <c r="G52" s="115" t="s">
        <v>388</v>
      </c>
      <c r="H52" s="115" t="s">
        <v>388</v>
      </c>
      <c r="I52" s="128">
        <v>0</v>
      </c>
      <c r="J52" s="128" t="s">
        <v>12</v>
      </c>
      <c r="K52" s="128">
        <v>0</v>
      </c>
      <c r="L52" s="128">
        <v>0</v>
      </c>
      <c r="M52" s="324">
        <v>0</v>
      </c>
      <c r="N52" s="128">
        <v>0</v>
      </c>
      <c r="O52" s="128">
        <v>0</v>
      </c>
      <c r="P52" s="157">
        <v>0</v>
      </c>
      <c r="Q52" s="47">
        <v>0</v>
      </c>
      <c r="R52" s="47">
        <v>0</v>
      </c>
      <c r="S52" s="47">
        <v>0</v>
      </c>
      <c r="T52" s="157">
        <v>0</v>
      </c>
      <c r="U52" s="47">
        <v>0</v>
      </c>
      <c r="V52" s="47">
        <v>0</v>
      </c>
      <c r="W52" s="47">
        <v>0</v>
      </c>
      <c r="X52" s="157">
        <v>0</v>
      </c>
      <c r="Y52" s="47">
        <v>0</v>
      </c>
      <c r="Z52" s="47">
        <v>0</v>
      </c>
      <c r="AA52" s="47">
        <v>0</v>
      </c>
      <c r="AB52" s="157">
        <v>0</v>
      </c>
      <c r="AC52" s="50" t="s">
        <v>217</v>
      </c>
      <c r="AD52" s="50" t="s">
        <v>218</v>
      </c>
      <c r="AE52" s="50" t="s">
        <v>218</v>
      </c>
      <c r="AF52" s="143" t="s">
        <v>218</v>
      </c>
      <c r="AG52" s="50">
        <v>0</v>
      </c>
      <c r="AH52" s="50">
        <v>0</v>
      </c>
      <c r="AI52" s="50">
        <v>0</v>
      </c>
      <c r="AJ52" s="143">
        <v>0</v>
      </c>
      <c r="AK52" s="50">
        <v>0</v>
      </c>
      <c r="AL52" s="50">
        <v>0</v>
      </c>
      <c r="AM52" s="50">
        <v>0</v>
      </c>
      <c r="AN52" s="143">
        <v>0</v>
      </c>
      <c r="AO52" s="47">
        <v>0</v>
      </c>
      <c r="AP52" s="47">
        <v>0</v>
      </c>
      <c r="AQ52" s="47">
        <v>0</v>
      </c>
      <c r="AR52" s="157">
        <v>0</v>
      </c>
      <c r="AS52" s="47" t="s">
        <v>269</v>
      </c>
      <c r="AT52" s="47" t="s">
        <v>269</v>
      </c>
      <c r="AU52" s="47" t="s">
        <v>269</v>
      </c>
      <c r="AV52" s="157" t="s">
        <v>269</v>
      </c>
      <c r="AW52" s="47" t="s">
        <v>267</v>
      </c>
      <c r="AX52" s="47" t="s">
        <v>267</v>
      </c>
      <c r="AY52" s="47" t="s">
        <v>267</v>
      </c>
      <c r="AZ52" s="157" t="s">
        <v>267</v>
      </c>
      <c r="BA52" s="47">
        <v>0</v>
      </c>
      <c r="BB52" s="47">
        <v>0</v>
      </c>
      <c r="BC52" s="47">
        <v>0</v>
      </c>
      <c r="BD52" s="157">
        <v>0</v>
      </c>
      <c r="BE52" s="47">
        <v>0</v>
      </c>
      <c r="BF52" s="47">
        <v>0</v>
      </c>
      <c r="BG52" s="47">
        <v>0</v>
      </c>
      <c r="BH52" s="157">
        <v>0</v>
      </c>
      <c r="BI52" s="47">
        <v>0</v>
      </c>
      <c r="BJ52" s="47">
        <v>0</v>
      </c>
      <c r="BK52" s="47">
        <v>0</v>
      </c>
      <c r="BL52" s="157">
        <v>0</v>
      </c>
      <c r="BM52" s="47">
        <v>0</v>
      </c>
      <c r="BN52" s="47">
        <v>0</v>
      </c>
      <c r="BO52" s="47">
        <v>0</v>
      </c>
      <c r="BP52" s="157">
        <v>0</v>
      </c>
      <c r="BQ52" s="47">
        <v>0</v>
      </c>
      <c r="BR52" s="47">
        <v>0</v>
      </c>
      <c r="BS52" s="47">
        <v>0</v>
      </c>
      <c r="BT52" s="157">
        <v>0</v>
      </c>
      <c r="BU52" s="46" t="s">
        <v>357</v>
      </c>
      <c r="BV52" s="46" t="s">
        <v>357</v>
      </c>
      <c r="BW52" s="46" t="s">
        <v>357</v>
      </c>
      <c r="BX52" s="168" t="s">
        <v>357</v>
      </c>
      <c r="BY52" s="50">
        <v>0</v>
      </c>
      <c r="BZ52" s="50">
        <v>0</v>
      </c>
      <c r="CA52" s="50">
        <v>0</v>
      </c>
      <c r="CB52" s="50">
        <v>0</v>
      </c>
    </row>
    <row r="53" spans="1:80" s="345" customFormat="1" ht="14.5" customHeight="1" x14ac:dyDescent="0.35">
      <c r="A53" s="413" t="s">
        <v>17</v>
      </c>
      <c r="B53" s="335" t="s">
        <v>39</v>
      </c>
      <c r="C53" s="336" t="s">
        <v>184</v>
      </c>
      <c r="D53" s="337" t="s">
        <v>36</v>
      </c>
      <c r="E53" s="6">
        <v>0</v>
      </c>
      <c r="F53" s="338">
        <v>0</v>
      </c>
      <c r="G53" s="339" t="s">
        <v>395</v>
      </c>
      <c r="H53" s="339" t="s">
        <v>396</v>
      </c>
      <c r="I53" s="340">
        <v>0</v>
      </c>
      <c r="J53" s="340" t="s">
        <v>12</v>
      </c>
      <c r="K53" s="340">
        <v>0</v>
      </c>
      <c r="L53" s="340">
        <v>0</v>
      </c>
      <c r="M53" s="341">
        <v>0</v>
      </c>
      <c r="N53" s="340">
        <v>0</v>
      </c>
      <c r="O53" s="340">
        <v>0</v>
      </c>
      <c r="P53" s="342">
        <v>0</v>
      </c>
      <c r="Q53" s="343">
        <v>0</v>
      </c>
      <c r="R53" s="343">
        <v>0</v>
      </c>
      <c r="S53" s="343">
        <v>0</v>
      </c>
      <c r="T53" s="344">
        <v>0</v>
      </c>
      <c r="U53" s="345">
        <v>0</v>
      </c>
      <c r="V53" s="345">
        <v>0</v>
      </c>
      <c r="W53" s="345">
        <v>0</v>
      </c>
      <c r="X53" s="342">
        <v>0</v>
      </c>
      <c r="Y53" s="345">
        <v>0</v>
      </c>
      <c r="Z53" s="345">
        <v>0</v>
      </c>
      <c r="AA53" s="345">
        <v>0</v>
      </c>
      <c r="AB53" s="342">
        <v>0</v>
      </c>
      <c r="AC53" s="346">
        <v>0</v>
      </c>
      <c r="AD53" s="346">
        <v>0</v>
      </c>
      <c r="AE53" s="346">
        <v>0</v>
      </c>
      <c r="AF53" s="347">
        <v>0</v>
      </c>
      <c r="AG53" s="346">
        <v>0</v>
      </c>
      <c r="AH53" s="346">
        <v>0</v>
      </c>
      <c r="AI53" s="346">
        <v>0</v>
      </c>
      <c r="AJ53" s="347">
        <v>0</v>
      </c>
      <c r="AK53" s="346">
        <v>0</v>
      </c>
      <c r="AL53" s="346">
        <v>0</v>
      </c>
      <c r="AM53" s="346">
        <v>0</v>
      </c>
      <c r="AN53" s="347">
        <v>0</v>
      </c>
      <c r="AO53" s="345">
        <v>0</v>
      </c>
      <c r="AP53" s="345">
        <v>0</v>
      </c>
      <c r="AQ53" s="345">
        <v>0</v>
      </c>
      <c r="AR53" s="342">
        <v>0</v>
      </c>
      <c r="AS53" s="345" t="s">
        <v>270</v>
      </c>
      <c r="AT53" s="345" t="s">
        <v>271</v>
      </c>
      <c r="AU53" s="345" t="s">
        <v>271</v>
      </c>
      <c r="AV53" s="342" t="s">
        <v>271</v>
      </c>
      <c r="AW53" s="345" t="s">
        <v>270</v>
      </c>
      <c r="AX53" s="345" t="s">
        <v>271</v>
      </c>
      <c r="AY53" s="345" t="s">
        <v>271</v>
      </c>
      <c r="AZ53" s="342" t="s">
        <v>271</v>
      </c>
      <c r="BA53" s="345" t="s">
        <v>270</v>
      </c>
      <c r="BB53" s="345" t="s">
        <v>271</v>
      </c>
      <c r="BC53" s="345" t="s">
        <v>271</v>
      </c>
      <c r="BD53" s="342" t="s">
        <v>271</v>
      </c>
      <c r="BE53" s="345">
        <v>0</v>
      </c>
      <c r="BF53" s="345">
        <v>0</v>
      </c>
      <c r="BG53" s="345">
        <v>0</v>
      </c>
      <c r="BH53" s="342">
        <v>0</v>
      </c>
      <c r="BI53" s="345">
        <v>0</v>
      </c>
      <c r="BJ53" s="345">
        <v>0</v>
      </c>
      <c r="BK53" s="345">
        <v>0</v>
      </c>
      <c r="BL53" s="342">
        <v>0</v>
      </c>
      <c r="BM53" s="345">
        <v>0</v>
      </c>
      <c r="BN53" s="345">
        <v>0</v>
      </c>
      <c r="BO53" s="345">
        <v>0</v>
      </c>
      <c r="BP53" s="342">
        <v>0</v>
      </c>
      <c r="BQ53" s="345">
        <v>0</v>
      </c>
      <c r="BR53" s="345">
        <v>0</v>
      </c>
      <c r="BS53" s="345">
        <v>0</v>
      </c>
      <c r="BT53" s="342">
        <v>0</v>
      </c>
      <c r="BU53" s="348">
        <v>0</v>
      </c>
      <c r="BV53" s="348">
        <v>0</v>
      </c>
      <c r="BW53" s="348">
        <v>0</v>
      </c>
      <c r="BX53" s="349">
        <v>0</v>
      </c>
      <c r="BY53" s="346">
        <v>0</v>
      </c>
      <c r="BZ53" s="346">
        <v>0</v>
      </c>
      <c r="CA53" s="346">
        <v>0</v>
      </c>
      <c r="CB53" s="346">
        <v>0</v>
      </c>
    </row>
    <row r="54" spans="1:80" s="37" customFormat="1" ht="14.5" customHeight="1" x14ac:dyDescent="0.35">
      <c r="A54" s="413"/>
      <c r="B54" s="248" t="s">
        <v>38</v>
      </c>
      <c r="C54" s="234" t="s">
        <v>184</v>
      </c>
      <c r="D54" s="249" t="s">
        <v>37</v>
      </c>
      <c r="E54" s="6">
        <v>0</v>
      </c>
      <c r="F54" s="220">
        <v>0</v>
      </c>
      <c r="G54" s="221" t="s">
        <v>395</v>
      </c>
      <c r="H54" s="221" t="s">
        <v>396</v>
      </c>
      <c r="I54" s="224">
        <v>0</v>
      </c>
      <c r="J54" s="224" t="s">
        <v>12</v>
      </c>
      <c r="K54" s="224">
        <v>0</v>
      </c>
      <c r="L54" s="224">
        <v>0</v>
      </c>
      <c r="M54" s="323">
        <v>0</v>
      </c>
      <c r="N54" s="224">
        <v>0</v>
      </c>
      <c r="O54" s="224">
        <v>0</v>
      </c>
      <c r="P54" s="222">
        <v>0</v>
      </c>
      <c r="Q54" s="236">
        <v>0</v>
      </c>
      <c r="R54" s="236">
        <v>0</v>
      </c>
      <c r="S54" s="236">
        <v>0</v>
      </c>
      <c r="T54" s="235">
        <v>0</v>
      </c>
      <c r="U54" s="37">
        <v>0</v>
      </c>
      <c r="V54" s="37">
        <v>0</v>
      </c>
      <c r="W54" s="37">
        <v>0</v>
      </c>
      <c r="X54" s="222">
        <v>0</v>
      </c>
      <c r="Y54" s="37">
        <v>0</v>
      </c>
      <c r="Z54" s="37">
        <v>0</v>
      </c>
      <c r="AA54" s="37">
        <v>0</v>
      </c>
      <c r="AB54" s="222">
        <v>0</v>
      </c>
      <c r="AC54" s="225">
        <v>0</v>
      </c>
      <c r="AD54" s="225">
        <v>0</v>
      </c>
      <c r="AE54" s="225">
        <v>0</v>
      </c>
      <c r="AF54" s="226">
        <v>0</v>
      </c>
      <c r="AG54" s="225">
        <v>0</v>
      </c>
      <c r="AH54" s="225">
        <v>0</v>
      </c>
      <c r="AI54" s="225">
        <v>0</v>
      </c>
      <c r="AJ54" s="226">
        <v>0</v>
      </c>
      <c r="AK54" s="225">
        <v>0</v>
      </c>
      <c r="AL54" s="225">
        <v>0</v>
      </c>
      <c r="AM54" s="225">
        <v>0</v>
      </c>
      <c r="AN54" s="226">
        <v>0</v>
      </c>
      <c r="AO54" s="37">
        <v>0</v>
      </c>
      <c r="AP54" s="37">
        <v>0</v>
      </c>
      <c r="AQ54" s="37">
        <v>0</v>
      </c>
      <c r="AR54" s="222">
        <v>0</v>
      </c>
      <c r="AS54" s="37" t="s">
        <v>270</v>
      </c>
      <c r="AT54" s="37" t="s">
        <v>271</v>
      </c>
      <c r="AU54" s="37" t="s">
        <v>271</v>
      </c>
      <c r="AV54" s="222" t="s">
        <v>271</v>
      </c>
      <c r="AW54" s="37" t="s">
        <v>270</v>
      </c>
      <c r="AX54" s="37" t="s">
        <v>271</v>
      </c>
      <c r="AY54" s="37" t="s">
        <v>271</v>
      </c>
      <c r="AZ54" s="222" t="s">
        <v>271</v>
      </c>
      <c r="BA54" s="37" t="s">
        <v>270</v>
      </c>
      <c r="BB54" s="37" t="s">
        <v>271</v>
      </c>
      <c r="BC54" s="37" t="s">
        <v>271</v>
      </c>
      <c r="BD54" s="222" t="s">
        <v>271</v>
      </c>
      <c r="BE54" s="37">
        <v>0</v>
      </c>
      <c r="BF54" s="37">
        <v>0</v>
      </c>
      <c r="BG54" s="37">
        <v>0</v>
      </c>
      <c r="BH54" s="222">
        <v>0</v>
      </c>
      <c r="BI54" s="37">
        <v>0</v>
      </c>
      <c r="BJ54" s="37">
        <v>0</v>
      </c>
      <c r="BK54" s="37">
        <v>0</v>
      </c>
      <c r="BL54" s="222">
        <v>0</v>
      </c>
      <c r="BM54" s="37">
        <v>0</v>
      </c>
      <c r="BN54" s="37">
        <v>0</v>
      </c>
      <c r="BO54" s="37">
        <v>0</v>
      </c>
      <c r="BP54" s="222">
        <v>0</v>
      </c>
      <c r="BQ54" s="37">
        <v>0</v>
      </c>
      <c r="BR54" s="37">
        <v>0</v>
      </c>
      <c r="BS54" s="37">
        <v>0</v>
      </c>
      <c r="BT54" s="222">
        <v>0</v>
      </c>
      <c r="BU54" s="229">
        <v>0</v>
      </c>
      <c r="BV54" s="229">
        <v>0</v>
      </c>
      <c r="BW54" s="229">
        <v>0</v>
      </c>
      <c r="BX54" s="223">
        <v>0</v>
      </c>
      <c r="BY54" s="225">
        <v>0</v>
      </c>
      <c r="BZ54" s="225">
        <v>0</v>
      </c>
      <c r="CA54" s="225">
        <v>0</v>
      </c>
      <c r="CB54" s="225">
        <v>0</v>
      </c>
    </row>
    <row r="55" spans="1:80" s="179" customFormat="1" x14ac:dyDescent="0.35">
      <c r="A55" s="413"/>
      <c r="B55" s="250" t="str">
        <f>CONCATENATE("RPU_"&amp;D55)</f>
        <v>RPU_ON_SP198-HH100</v>
      </c>
      <c r="C55" s="65" t="s">
        <v>184</v>
      </c>
      <c r="D55" s="174" t="s">
        <v>114</v>
      </c>
      <c r="E55" s="6">
        <v>0</v>
      </c>
      <c r="F55" s="175">
        <v>0</v>
      </c>
      <c r="G55" s="176" t="s">
        <v>395</v>
      </c>
      <c r="H55" s="176" t="s">
        <v>396</v>
      </c>
      <c r="I55" s="178">
        <v>0</v>
      </c>
      <c r="J55" s="178" t="s">
        <v>12</v>
      </c>
      <c r="K55" s="178">
        <v>0</v>
      </c>
      <c r="L55" s="178">
        <v>0</v>
      </c>
      <c r="M55" s="311">
        <v>0</v>
      </c>
      <c r="N55" s="178">
        <v>0</v>
      </c>
      <c r="O55" s="178">
        <v>0</v>
      </c>
      <c r="P55" s="177">
        <v>0</v>
      </c>
      <c r="Q55" s="183">
        <v>0</v>
      </c>
      <c r="R55" s="183">
        <v>0</v>
      </c>
      <c r="S55" s="183">
        <v>0</v>
      </c>
      <c r="T55" s="237">
        <v>0</v>
      </c>
      <c r="U55" s="179">
        <v>0</v>
      </c>
      <c r="V55" s="179">
        <v>0</v>
      </c>
      <c r="W55" s="179">
        <v>0</v>
      </c>
      <c r="X55" s="177">
        <v>0</v>
      </c>
      <c r="Y55" s="179">
        <v>0</v>
      </c>
      <c r="Z55" s="179">
        <v>0</v>
      </c>
      <c r="AA55" s="179">
        <v>0</v>
      </c>
      <c r="AB55" s="177">
        <v>0</v>
      </c>
      <c r="AC55" s="180">
        <v>0</v>
      </c>
      <c r="AD55" s="180">
        <v>0</v>
      </c>
      <c r="AE55" s="180">
        <v>0</v>
      </c>
      <c r="AF55" s="181">
        <v>0</v>
      </c>
      <c r="AG55" s="180">
        <v>0</v>
      </c>
      <c r="AH55" s="180">
        <v>0</v>
      </c>
      <c r="AI55" s="180">
        <v>0</v>
      </c>
      <c r="AJ55" s="181">
        <v>0</v>
      </c>
      <c r="AK55" s="180">
        <v>0</v>
      </c>
      <c r="AL55" s="180">
        <v>0</v>
      </c>
      <c r="AM55" s="180">
        <v>0</v>
      </c>
      <c r="AN55" s="181">
        <v>0</v>
      </c>
      <c r="AO55" s="179">
        <v>0</v>
      </c>
      <c r="AP55" s="179">
        <v>0</v>
      </c>
      <c r="AQ55" s="179">
        <v>0</v>
      </c>
      <c r="AR55" s="177">
        <v>0</v>
      </c>
      <c r="AS55" s="179" t="s">
        <v>270</v>
      </c>
      <c r="AT55" s="179" t="s">
        <v>271</v>
      </c>
      <c r="AU55" s="179" t="s">
        <v>271</v>
      </c>
      <c r="AV55" s="177" t="s">
        <v>271</v>
      </c>
      <c r="AW55" s="179" t="s">
        <v>270</v>
      </c>
      <c r="AX55" s="179" t="s">
        <v>271</v>
      </c>
      <c r="AY55" s="179" t="s">
        <v>271</v>
      </c>
      <c r="AZ55" s="177" t="s">
        <v>271</v>
      </c>
      <c r="BA55" s="179" t="s">
        <v>270</v>
      </c>
      <c r="BB55" s="179" t="s">
        <v>271</v>
      </c>
      <c r="BC55" s="179" t="s">
        <v>271</v>
      </c>
      <c r="BD55" s="177" t="s">
        <v>271</v>
      </c>
      <c r="BE55" s="179">
        <v>0</v>
      </c>
      <c r="BF55" s="179">
        <v>0</v>
      </c>
      <c r="BG55" s="179">
        <v>0</v>
      </c>
      <c r="BH55" s="177">
        <v>0</v>
      </c>
      <c r="BI55" s="351">
        <v>0</v>
      </c>
      <c r="BJ55" s="351">
        <v>0</v>
      </c>
      <c r="BK55" s="351">
        <v>0</v>
      </c>
      <c r="BL55" s="352">
        <v>0</v>
      </c>
      <c r="BM55" s="179">
        <v>0</v>
      </c>
      <c r="BN55" s="179">
        <v>0</v>
      </c>
      <c r="BO55" s="179">
        <v>0</v>
      </c>
      <c r="BP55" s="177">
        <v>0</v>
      </c>
      <c r="BQ55" s="179">
        <v>0</v>
      </c>
      <c r="BR55" s="179">
        <v>0</v>
      </c>
      <c r="BS55" s="179">
        <v>0</v>
      </c>
      <c r="BT55" s="177">
        <v>0</v>
      </c>
      <c r="BU55" s="182">
        <v>0</v>
      </c>
      <c r="BV55" s="182">
        <v>0</v>
      </c>
      <c r="BW55" s="182">
        <v>0</v>
      </c>
      <c r="BX55" s="251">
        <v>0</v>
      </c>
      <c r="BY55" s="180">
        <v>0</v>
      </c>
      <c r="BZ55" s="180">
        <v>0</v>
      </c>
      <c r="CA55" s="180">
        <v>0</v>
      </c>
      <c r="CB55" s="180">
        <v>0</v>
      </c>
    </row>
    <row r="56" spans="1:80" s="179" customFormat="1" x14ac:dyDescent="0.35">
      <c r="A56" s="413"/>
      <c r="B56" s="250" t="str">
        <f t="shared" ref="B56:B66" si="4">CONCATENATE("RPU_"&amp;D56)</f>
        <v>RPU_ON_SP198-HH150</v>
      </c>
      <c r="C56" s="65" t="s">
        <v>184</v>
      </c>
      <c r="D56" s="174" t="s">
        <v>40</v>
      </c>
      <c r="E56" s="6">
        <v>0</v>
      </c>
      <c r="F56" s="175">
        <v>0</v>
      </c>
      <c r="G56" s="176" t="s">
        <v>395</v>
      </c>
      <c r="H56" s="176" t="s">
        <v>396</v>
      </c>
      <c r="I56" s="178">
        <v>0</v>
      </c>
      <c r="J56" s="178" t="s">
        <v>12</v>
      </c>
      <c r="K56" s="178">
        <v>0</v>
      </c>
      <c r="L56" s="178">
        <v>0</v>
      </c>
      <c r="M56" s="311">
        <v>0</v>
      </c>
      <c r="N56" s="178">
        <v>0</v>
      </c>
      <c r="O56" s="178">
        <v>0</v>
      </c>
      <c r="P56" s="177">
        <v>0</v>
      </c>
      <c r="Q56" s="183">
        <v>0</v>
      </c>
      <c r="R56" s="183">
        <v>0</v>
      </c>
      <c r="S56" s="183">
        <v>0</v>
      </c>
      <c r="T56" s="237">
        <v>0</v>
      </c>
      <c r="U56" s="179">
        <v>0</v>
      </c>
      <c r="V56" s="179">
        <v>0</v>
      </c>
      <c r="W56" s="179">
        <v>0</v>
      </c>
      <c r="X56" s="177">
        <v>0</v>
      </c>
      <c r="Y56" s="179">
        <v>0</v>
      </c>
      <c r="Z56" s="179">
        <v>0</v>
      </c>
      <c r="AA56" s="179">
        <v>0</v>
      </c>
      <c r="AB56" s="177">
        <v>0</v>
      </c>
      <c r="AC56" s="180">
        <v>0</v>
      </c>
      <c r="AD56" s="180">
        <v>0</v>
      </c>
      <c r="AE56" s="180">
        <v>0</v>
      </c>
      <c r="AF56" s="181">
        <v>0</v>
      </c>
      <c r="AG56" s="180">
        <v>0</v>
      </c>
      <c r="AH56" s="180">
        <v>0</v>
      </c>
      <c r="AI56" s="180">
        <v>0</v>
      </c>
      <c r="AJ56" s="181">
        <v>0</v>
      </c>
      <c r="AK56" s="180">
        <v>0</v>
      </c>
      <c r="AL56" s="180">
        <v>0</v>
      </c>
      <c r="AM56" s="180">
        <v>0</v>
      </c>
      <c r="AN56" s="181">
        <v>0</v>
      </c>
      <c r="AO56" s="179">
        <v>0</v>
      </c>
      <c r="AP56" s="179">
        <v>0</v>
      </c>
      <c r="AQ56" s="179">
        <v>0</v>
      </c>
      <c r="AR56" s="177">
        <v>0</v>
      </c>
      <c r="AS56" s="179" t="s">
        <v>270</v>
      </c>
      <c r="AT56" s="179" t="s">
        <v>271</v>
      </c>
      <c r="AU56" s="179" t="s">
        <v>271</v>
      </c>
      <c r="AV56" s="177" t="s">
        <v>271</v>
      </c>
      <c r="AW56" s="179" t="s">
        <v>270</v>
      </c>
      <c r="AX56" s="179" t="s">
        <v>271</v>
      </c>
      <c r="AY56" s="179" t="s">
        <v>271</v>
      </c>
      <c r="AZ56" s="177" t="s">
        <v>271</v>
      </c>
      <c r="BA56" s="179" t="s">
        <v>270</v>
      </c>
      <c r="BB56" s="179" t="s">
        <v>271</v>
      </c>
      <c r="BC56" s="179" t="s">
        <v>271</v>
      </c>
      <c r="BD56" s="177" t="s">
        <v>271</v>
      </c>
      <c r="BE56" s="179">
        <v>0</v>
      </c>
      <c r="BF56" s="179">
        <v>0</v>
      </c>
      <c r="BG56" s="179">
        <v>0</v>
      </c>
      <c r="BH56" s="177">
        <v>0</v>
      </c>
      <c r="BI56" s="351">
        <v>0</v>
      </c>
      <c r="BJ56" s="351">
        <v>0</v>
      </c>
      <c r="BK56" s="351">
        <v>0</v>
      </c>
      <c r="BL56" s="352">
        <v>0</v>
      </c>
      <c r="BM56" s="179">
        <v>0</v>
      </c>
      <c r="BN56" s="179">
        <v>0</v>
      </c>
      <c r="BO56" s="179">
        <v>0</v>
      </c>
      <c r="BP56" s="177">
        <v>0</v>
      </c>
      <c r="BQ56" s="179">
        <v>0</v>
      </c>
      <c r="BR56" s="179">
        <v>0</v>
      </c>
      <c r="BS56" s="179">
        <v>0</v>
      </c>
      <c r="BT56" s="177">
        <v>0</v>
      </c>
      <c r="BU56" s="182">
        <v>0</v>
      </c>
      <c r="BV56" s="182">
        <v>0</v>
      </c>
      <c r="BW56" s="182">
        <v>0</v>
      </c>
      <c r="BX56" s="251">
        <v>0</v>
      </c>
      <c r="BY56" s="180">
        <v>0</v>
      </c>
      <c r="BZ56" s="180">
        <v>0</v>
      </c>
      <c r="CA56" s="180">
        <v>0</v>
      </c>
      <c r="CB56" s="180">
        <v>0</v>
      </c>
    </row>
    <row r="57" spans="1:80" s="179" customFormat="1" x14ac:dyDescent="0.35">
      <c r="A57" s="413"/>
      <c r="B57" s="250" t="str">
        <f t="shared" si="4"/>
        <v>RPU_ON_SP237-HH100</v>
      </c>
      <c r="C57" s="65" t="s">
        <v>184</v>
      </c>
      <c r="D57" s="174" t="s">
        <v>41</v>
      </c>
      <c r="E57" s="6">
        <v>0</v>
      </c>
      <c r="F57" s="175">
        <v>0</v>
      </c>
      <c r="G57" s="176" t="s">
        <v>395</v>
      </c>
      <c r="H57" s="176" t="s">
        <v>396</v>
      </c>
      <c r="I57" s="178">
        <v>0</v>
      </c>
      <c r="J57" s="178" t="s">
        <v>12</v>
      </c>
      <c r="K57" s="178">
        <v>0</v>
      </c>
      <c r="L57" s="178">
        <v>0</v>
      </c>
      <c r="M57" s="311">
        <v>0</v>
      </c>
      <c r="N57" s="178">
        <v>0</v>
      </c>
      <c r="O57" s="178">
        <v>0</v>
      </c>
      <c r="P57" s="177">
        <v>0</v>
      </c>
      <c r="Q57" s="183">
        <v>0</v>
      </c>
      <c r="R57" s="183">
        <v>0</v>
      </c>
      <c r="S57" s="183">
        <v>0</v>
      </c>
      <c r="T57" s="237">
        <v>0</v>
      </c>
      <c r="U57" s="179">
        <v>0</v>
      </c>
      <c r="V57" s="179">
        <v>0</v>
      </c>
      <c r="W57" s="179">
        <v>0</v>
      </c>
      <c r="X57" s="177">
        <v>0</v>
      </c>
      <c r="Y57" s="179">
        <v>0</v>
      </c>
      <c r="Z57" s="179">
        <v>0</v>
      </c>
      <c r="AA57" s="179">
        <v>0</v>
      </c>
      <c r="AB57" s="177">
        <v>0</v>
      </c>
      <c r="AC57" s="180">
        <v>0</v>
      </c>
      <c r="AD57" s="180">
        <v>0</v>
      </c>
      <c r="AE57" s="180">
        <v>0</v>
      </c>
      <c r="AF57" s="181">
        <v>0</v>
      </c>
      <c r="AG57" s="180">
        <v>0</v>
      </c>
      <c r="AH57" s="180">
        <v>0</v>
      </c>
      <c r="AI57" s="180">
        <v>0</v>
      </c>
      <c r="AJ57" s="181">
        <v>0</v>
      </c>
      <c r="AK57" s="180">
        <v>0</v>
      </c>
      <c r="AL57" s="180">
        <v>0</v>
      </c>
      <c r="AM57" s="180">
        <v>0</v>
      </c>
      <c r="AN57" s="181">
        <v>0</v>
      </c>
      <c r="AO57" s="179">
        <v>0</v>
      </c>
      <c r="AP57" s="179">
        <v>0</v>
      </c>
      <c r="AQ57" s="179">
        <v>0</v>
      </c>
      <c r="AR57" s="177">
        <v>0</v>
      </c>
      <c r="AS57" s="179" t="s">
        <v>270</v>
      </c>
      <c r="AT57" s="179" t="s">
        <v>271</v>
      </c>
      <c r="AU57" s="179" t="s">
        <v>271</v>
      </c>
      <c r="AV57" s="177" t="s">
        <v>271</v>
      </c>
      <c r="AW57" s="179" t="s">
        <v>270</v>
      </c>
      <c r="AX57" s="179" t="s">
        <v>271</v>
      </c>
      <c r="AY57" s="179" t="s">
        <v>271</v>
      </c>
      <c r="AZ57" s="177" t="s">
        <v>271</v>
      </c>
      <c r="BA57" s="179" t="s">
        <v>270</v>
      </c>
      <c r="BB57" s="179" t="s">
        <v>271</v>
      </c>
      <c r="BC57" s="179" t="s">
        <v>271</v>
      </c>
      <c r="BD57" s="177" t="s">
        <v>271</v>
      </c>
      <c r="BE57" s="179">
        <v>0</v>
      </c>
      <c r="BF57" s="179">
        <v>0</v>
      </c>
      <c r="BG57" s="179">
        <v>0</v>
      </c>
      <c r="BH57" s="177">
        <v>0</v>
      </c>
      <c r="BI57" s="351">
        <v>0</v>
      </c>
      <c r="BJ57" s="351">
        <v>0</v>
      </c>
      <c r="BK57" s="351">
        <v>0</v>
      </c>
      <c r="BL57" s="352">
        <v>0</v>
      </c>
      <c r="BM57" s="179">
        <v>0</v>
      </c>
      <c r="BN57" s="179">
        <v>0</v>
      </c>
      <c r="BO57" s="179">
        <v>0</v>
      </c>
      <c r="BP57" s="177">
        <v>0</v>
      </c>
      <c r="BQ57" s="179">
        <v>0</v>
      </c>
      <c r="BR57" s="179">
        <v>0</v>
      </c>
      <c r="BS57" s="179">
        <v>0</v>
      </c>
      <c r="BT57" s="177">
        <v>0</v>
      </c>
      <c r="BU57" s="182">
        <v>0</v>
      </c>
      <c r="BV57" s="182">
        <v>0</v>
      </c>
      <c r="BW57" s="182">
        <v>0</v>
      </c>
      <c r="BX57" s="251">
        <v>0</v>
      </c>
      <c r="BY57" s="180">
        <v>0</v>
      </c>
      <c r="BZ57" s="180">
        <v>0</v>
      </c>
      <c r="CA57" s="180">
        <v>0</v>
      </c>
      <c r="CB57" s="180">
        <v>0</v>
      </c>
    </row>
    <row r="58" spans="1:80" s="179" customFormat="1" x14ac:dyDescent="0.35">
      <c r="A58" s="413"/>
      <c r="B58" s="250" t="str">
        <f t="shared" si="4"/>
        <v>RPU_ON_SP237-HH150</v>
      </c>
      <c r="C58" s="65" t="s">
        <v>184</v>
      </c>
      <c r="D58" s="174" t="s">
        <v>42</v>
      </c>
      <c r="E58" s="6">
        <v>0</v>
      </c>
      <c r="F58" s="175">
        <v>0</v>
      </c>
      <c r="G58" s="176" t="s">
        <v>395</v>
      </c>
      <c r="H58" s="176" t="s">
        <v>396</v>
      </c>
      <c r="I58" s="178">
        <v>0</v>
      </c>
      <c r="J58" s="178" t="s">
        <v>12</v>
      </c>
      <c r="K58" s="178">
        <v>0</v>
      </c>
      <c r="L58" s="178">
        <v>0</v>
      </c>
      <c r="M58" s="311">
        <v>0</v>
      </c>
      <c r="N58" s="178">
        <v>0</v>
      </c>
      <c r="O58" s="178">
        <v>0</v>
      </c>
      <c r="P58" s="177">
        <v>0</v>
      </c>
      <c r="Q58" s="183">
        <v>0</v>
      </c>
      <c r="R58" s="183">
        <v>0</v>
      </c>
      <c r="S58" s="183">
        <v>0</v>
      </c>
      <c r="T58" s="237">
        <v>0</v>
      </c>
      <c r="U58" s="179">
        <v>0</v>
      </c>
      <c r="V58" s="179">
        <v>0</v>
      </c>
      <c r="W58" s="179">
        <v>0</v>
      </c>
      <c r="X58" s="177">
        <v>0</v>
      </c>
      <c r="Y58" s="179">
        <v>0</v>
      </c>
      <c r="Z58" s="179">
        <v>0</v>
      </c>
      <c r="AA58" s="179">
        <v>0</v>
      </c>
      <c r="AB58" s="177">
        <v>0</v>
      </c>
      <c r="AC58" s="180">
        <v>0</v>
      </c>
      <c r="AD58" s="180">
        <v>0</v>
      </c>
      <c r="AE58" s="180">
        <v>0</v>
      </c>
      <c r="AF58" s="181">
        <v>0</v>
      </c>
      <c r="AG58" s="180">
        <v>0</v>
      </c>
      <c r="AH58" s="180">
        <v>0</v>
      </c>
      <c r="AI58" s="180">
        <v>0</v>
      </c>
      <c r="AJ58" s="181">
        <v>0</v>
      </c>
      <c r="AK58" s="180">
        <v>0</v>
      </c>
      <c r="AL58" s="180">
        <v>0</v>
      </c>
      <c r="AM58" s="180">
        <v>0</v>
      </c>
      <c r="AN58" s="181">
        <v>0</v>
      </c>
      <c r="AO58" s="179">
        <v>0</v>
      </c>
      <c r="AP58" s="179">
        <v>0</v>
      </c>
      <c r="AQ58" s="179">
        <v>0</v>
      </c>
      <c r="AR58" s="177">
        <v>0</v>
      </c>
      <c r="AS58" s="179" t="s">
        <v>270</v>
      </c>
      <c r="AT58" s="179" t="s">
        <v>271</v>
      </c>
      <c r="AU58" s="179" t="s">
        <v>271</v>
      </c>
      <c r="AV58" s="177" t="s">
        <v>271</v>
      </c>
      <c r="AW58" s="179" t="s">
        <v>270</v>
      </c>
      <c r="AX58" s="179" t="s">
        <v>271</v>
      </c>
      <c r="AY58" s="179" t="s">
        <v>271</v>
      </c>
      <c r="AZ58" s="177" t="s">
        <v>271</v>
      </c>
      <c r="BA58" s="179" t="s">
        <v>270</v>
      </c>
      <c r="BB58" s="179" t="s">
        <v>271</v>
      </c>
      <c r="BC58" s="179" t="s">
        <v>271</v>
      </c>
      <c r="BD58" s="177" t="s">
        <v>271</v>
      </c>
      <c r="BE58" s="179">
        <v>0</v>
      </c>
      <c r="BF58" s="179">
        <v>0</v>
      </c>
      <c r="BG58" s="179">
        <v>0</v>
      </c>
      <c r="BH58" s="177">
        <v>0</v>
      </c>
      <c r="BI58" s="351">
        <v>0</v>
      </c>
      <c r="BJ58" s="351">
        <v>0</v>
      </c>
      <c r="BK58" s="351">
        <v>0</v>
      </c>
      <c r="BL58" s="352">
        <v>0</v>
      </c>
      <c r="BM58" s="179">
        <v>0</v>
      </c>
      <c r="BN58" s="179">
        <v>0</v>
      </c>
      <c r="BO58" s="179">
        <v>0</v>
      </c>
      <c r="BP58" s="177">
        <v>0</v>
      </c>
      <c r="BQ58" s="179">
        <v>0</v>
      </c>
      <c r="BR58" s="179">
        <v>0</v>
      </c>
      <c r="BS58" s="179">
        <v>0</v>
      </c>
      <c r="BT58" s="177">
        <v>0</v>
      </c>
      <c r="BU58" s="182">
        <v>0</v>
      </c>
      <c r="BV58" s="182">
        <v>0</v>
      </c>
      <c r="BW58" s="182">
        <v>0</v>
      </c>
      <c r="BX58" s="251">
        <v>0</v>
      </c>
      <c r="BY58" s="180">
        <v>0</v>
      </c>
      <c r="BZ58" s="180">
        <v>0</v>
      </c>
      <c r="CA58" s="180">
        <v>0</v>
      </c>
      <c r="CB58" s="180">
        <v>0</v>
      </c>
    </row>
    <row r="59" spans="1:80" s="179" customFormat="1" x14ac:dyDescent="0.35">
      <c r="A59" s="413"/>
      <c r="B59" s="250" t="str">
        <f t="shared" si="4"/>
        <v>RPU_ON_SP277-HH100</v>
      </c>
      <c r="C59" s="65" t="s">
        <v>184</v>
      </c>
      <c r="D59" s="174" t="s">
        <v>43</v>
      </c>
      <c r="E59" s="6">
        <v>0</v>
      </c>
      <c r="F59" s="175">
        <v>0</v>
      </c>
      <c r="G59" s="176" t="s">
        <v>395</v>
      </c>
      <c r="H59" s="176" t="s">
        <v>396</v>
      </c>
      <c r="I59" s="178">
        <v>0</v>
      </c>
      <c r="J59" s="178" t="s">
        <v>12</v>
      </c>
      <c r="K59" s="178">
        <v>0</v>
      </c>
      <c r="L59" s="178">
        <v>0</v>
      </c>
      <c r="M59" s="311">
        <v>0</v>
      </c>
      <c r="N59" s="178">
        <v>0</v>
      </c>
      <c r="O59" s="178">
        <v>0</v>
      </c>
      <c r="P59" s="177">
        <v>0</v>
      </c>
      <c r="Q59" s="183">
        <v>0</v>
      </c>
      <c r="R59" s="183">
        <v>0</v>
      </c>
      <c r="S59" s="183">
        <v>0</v>
      </c>
      <c r="T59" s="237">
        <v>0</v>
      </c>
      <c r="U59" s="179">
        <v>0</v>
      </c>
      <c r="V59" s="179">
        <v>0</v>
      </c>
      <c r="W59" s="179">
        <v>0</v>
      </c>
      <c r="X59" s="177">
        <v>0</v>
      </c>
      <c r="Y59" s="179">
        <v>0</v>
      </c>
      <c r="Z59" s="179">
        <v>0</v>
      </c>
      <c r="AA59" s="179">
        <v>0</v>
      </c>
      <c r="AB59" s="177">
        <v>0</v>
      </c>
      <c r="AC59" s="180">
        <v>0</v>
      </c>
      <c r="AD59" s="180">
        <v>0</v>
      </c>
      <c r="AE59" s="180">
        <v>0</v>
      </c>
      <c r="AF59" s="181">
        <v>0</v>
      </c>
      <c r="AG59" s="180">
        <v>0</v>
      </c>
      <c r="AH59" s="180">
        <v>0</v>
      </c>
      <c r="AI59" s="180">
        <v>0</v>
      </c>
      <c r="AJ59" s="181">
        <v>0</v>
      </c>
      <c r="AK59" s="180">
        <v>0</v>
      </c>
      <c r="AL59" s="180">
        <v>0</v>
      </c>
      <c r="AM59" s="180">
        <v>0</v>
      </c>
      <c r="AN59" s="181">
        <v>0</v>
      </c>
      <c r="AO59" s="179">
        <v>0</v>
      </c>
      <c r="AP59" s="179">
        <v>0</v>
      </c>
      <c r="AQ59" s="179">
        <v>0</v>
      </c>
      <c r="AR59" s="177">
        <v>0</v>
      </c>
      <c r="AS59" s="179" t="s">
        <v>270</v>
      </c>
      <c r="AT59" s="179" t="s">
        <v>271</v>
      </c>
      <c r="AU59" s="179" t="s">
        <v>271</v>
      </c>
      <c r="AV59" s="177" t="s">
        <v>271</v>
      </c>
      <c r="AW59" s="179" t="s">
        <v>270</v>
      </c>
      <c r="AX59" s="179" t="s">
        <v>271</v>
      </c>
      <c r="AY59" s="179" t="s">
        <v>271</v>
      </c>
      <c r="AZ59" s="177" t="s">
        <v>271</v>
      </c>
      <c r="BA59" s="179" t="s">
        <v>270</v>
      </c>
      <c r="BB59" s="179" t="s">
        <v>271</v>
      </c>
      <c r="BC59" s="179" t="s">
        <v>271</v>
      </c>
      <c r="BD59" s="177" t="s">
        <v>271</v>
      </c>
      <c r="BE59" s="179">
        <v>0</v>
      </c>
      <c r="BF59" s="179">
        <v>0</v>
      </c>
      <c r="BG59" s="179">
        <v>0</v>
      </c>
      <c r="BH59" s="177">
        <v>0</v>
      </c>
      <c r="BI59" s="351">
        <v>0</v>
      </c>
      <c r="BJ59" s="351">
        <v>0</v>
      </c>
      <c r="BK59" s="351">
        <v>0</v>
      </c>
      <c r="BL59" s="352">
        <v>0</v>
      </c>
      <c r="BM59" s="179">
        <v>0</v>
      </c>
      <c r="BN59" s="179">
        <v>0</v>
      </c>
      <c r="BO59" s="179">
        <v>0</v>
      </c>
      <c r="BP59" s="177">
        <v>0</v>
      </c>
      <c r="BQ59" s="179">
        <v>0</v>
      </c>
      <c r="BR59" s="179">
        <v>0</v>
      </c>
      <c r="BS59" s="179">
        <v>0</v>
      </c>
      <c r="BT59" s="177">
        <v>0</v>
      </c>
      <c r="BU59" s="182">
        <v>0</v>
      </c>
      <c r="BV59" s="182">
        <v>0</v>
      </c>
      <c r="BW59" s="182">
        <v>0</v>
      </c>
      <c r="BX59" s="251">
        <v>0</v>
      </c>
      <c r="BY59" s="180">
        <v>0</v>
      </c>
      <c r="BZ59" s="180">
        <v>0</v>
      </c>
      <c r="CA59" s="180">
        <v>0</v>
      </c>
      <c r="CB59" s="180">
        <v>0</v>
      </c>
    </row>
    <row r="60" spans="1:80" s="179" customFormat="1" x14ac:dyDescent="0.35">
      <c r="A60" s="413"/>
      <c r="B60" s="250" t="str">
        <f t="shared" si="4"/>
        <v>RPU_ON_SP277-HH150</v>
      </c>
      <c r="C60" s="65" t="s">
        <v>184</v>
      </c>
      <c r="D60" s="174" t="s">
        <v>44</v>
      </c>
      <c r="E60" s="6">
        <v>0</v>
      </c>
      <c r="F60" s="175">
        <v>0</v>
      </c>
      <c r="G60" s="176" t="s">
        <v>395</v>
      </c>
      <c r="H60" s="176" t="s">
        <v>396</v>
      </c>
      <c r="I60" s="178">
        <v>0</v>
      </c>
      <c r="J60" s="178" t="s">
        <v>12</v>
      </c>
      <c r="K60" s="178">
        <v>0</v>
      </c>
      <c r="L60" s="178">
        <v>0</v>
      </c>
      <c r="M60" s="311">
        <v>0</v>
      </c>
      <c r="N60" s="178">
        <v>0</v>
      </c>
      <c r="O60" s="178">
        <v>0</v>
      </c>
      <c r="P60" s="177">
        <v>0</v>
      </c>
      <c r="Q60" s="183">
        <v>0</v>
      </c>
      <c r="R60" s="183">
        <v>0</v>
      </c>
      <c r="S60" s="183">
        <v>0</v>
      </c>
      <c r="T60" s="237">
        <v>0</v>
      </c>
      <c r="U60" s="179">
        <v>0</v>
      </c>
      <c r="V60" s="179">
        <v>0</v>
      </c>
      <c r="W60" s="179">
        <v>0</v>
      </c>
      <c r="X60" s="177">
        <v>0</v>
      </c>
      <c r="Y60" s="179">
        <v>0</v>
      </c>
      <c r="Z60" s="179">
        <v>0</v>
      </c>
      <c r="AA60" s="179">
        <v>0</v>
      </c>
      <c r="AB60" s="177">
        <v>0</v>
      </c>
      <c r="AC60" s="180">
        <v>0</v>
      </c>
      <c r="AD60" s="180">
        <v>0</v>
      </c>
      <c r="AE60" s="180">
        <v>0</v>
      </c>
      <c r="AF60" s="181">
        <v>0</v>
      </c>
      <c r="AG60" s="180">
        <v>0</v>
      </c>
      <c r="AH60" s="180">
        <v>0</v>
      </c>
      <c r="AI60" s="180">
        <v>0</v>
      </c>
      <c r="AJ60" s="181">
        <v>0</v>
      </c>
      <c r="AK60" s="180">
        <v>0</v>
      </c>
      <c r="AL60" s="180">
        <v>0</v>
      </c>
      <c r="AM60" s="180">
        <v>0</v>
      </c>
      <c r="AN60" s="181">
        <v>0</v>
      </c>
      <c r="AO60" s="179">
        <v>0</v>
      </c>
      <c r="AP60" s="179">
        <v>0</v>
      </c>
      <c r="AQ60" s="179">
        <v>0</v>
      </c>
      <c r="AR60" s="177">
        <v>0</v>
      </c>
      <c r="AS60" s="179" t="s">
        <v>270</v>
      </c>
      <c r="AT60" s="179" t="s">
        <v>271</v>
      </c>
      <c r="AU60" s="179" t="s">
        <v>271</v>
      </c>
      <c r="AV60" s="177" t="s">
        <v>271</v>
      </c>
      <c r="AW60" s="179" t="s">
        <v>270</v>
      </c>
      <c r="AX60" s="179" t="s">
        <v>271</v>
      </c>
      <c r="AY60" s="179" t="s">
        <v>271</v>
      </c>
      <c r="AZ60" s="177" t="s">
        <v>271</v>
      </c>
      <c r="BA60" s="179" t="s">
        <v>270</v>
      </c>
      <c r="BB60" s="179" t="s">
        <v>271</v>
      </c>
      <c r="BC60" s="179" t="s">
        <v>271</v>
      </c>
      <c r="BD60" s="177" t="s">
        <v>271</v>
      </c>
      <c r="BE60" s="179">
        <v>0</v>
      </c>
      <c r="BF60" s="179">
        <v>0</v>
      </c>
      <c r="BG60" s="179">
        <v>0</v>
      </c>
      <c r="BH60" s="177">
        <v>0</v>
      </c>
      <c r="BI60" s="351">
        <v>0</v>
      </c>
      <c r="BJ60" s="351">
        <v>0</v>
      </c>
      <c r="BK60" s="351">
        <v>0</v>
      </c>
      <c r="BL60" s="352">
        <v>0</v>
      </c>
      <c r="BM60" s="179">
        <v>0</v>
      </c>
      <c r="BN60" s="179">
        <v>0</v>
      </c>
      <c r="BO60" s="179">
        <v>0</v>
      </c>
      <c r="BP60" s="177">
        <v>0</v>
      </c>
      <c r="BQ60" s="179">
        <v>0</v>
      </c>
      <c r="BR60" s="179">
        <v>0</v>
      </c>
      <c r="BS60" s="179">
        <v>0</v>
      </c>
      <c r="BT60" s="177">
        <v>0</v>
      </c>
      <c r="BU60" s="182">
        <v>0</v>
      </c>
      <c r="BV60" s="182">
        <v>0</v>
      </c>
      <c r="BW60" s="182">
        <v>0</v>
      </c>
      <c r="BX60" s="251">
        <v>0</v>
      </c>
      <c r="BY60" s="180">
        <v>0</v>
      </c>
      <c r="BZ60" s="180">
        <v>0</v>
      </c>
      <c r="CA60" s="180">
        <v>0</v>
      </c>
      <c r="CB60" s="180">
        <v>0</v>
      </c>
    </row>
    <row r="61" spans="1:80" s="179" customFormat="1" x14ac:dyDescent="0.35">
      <c r="A61" s="413"/>
      <c r="B61" s="250" t="str">
        <f t="shared" si="4"/>
        <v>RPU_ON_SP321-HH100</v>
      </c>
      <c r="C61" s="65" t="s">
        <v>184</v>
      </c>
      <c r="D61" s="174" t="s">
        <v>45</v>
      </c>
      <c r="E61" s="6">
        <v>0</v>
      </c>
      <c r="F61" s="175">
        <v>0</v>
      </c>
      <c r="G61" s="176" t="s">
        <v>395</v>
      </c>
      <c r="H61" s="176" t="s">
        <v>396</v>
      </c>
      <c r="I61" s="178">
        <v>0</v>
      </c>
      <c r="J61" s="178" t="s">
        <v>12</v>
      </c>
      <c r="K61" s="178">
        <v>0</v>
      </c>
      <c r="L61" s="178">
        <v>0</v>
      </c>
      <c r="M61" s="311">
        <v>0</v>
      </c>
      <c r="N61" s="178">
        <v>0</v>
      </c>
      <c r="O61" s="178">
        <v>0</v>
      </c>
      <c r="P61" s="177">
        <v>0</v>
      </c>
      <c r="Q61" s="183">
        <v>0</v>
      </c>
      <c r="R61" s="183">
        <v>0</v>
      </c>
      <c r="S61" s="183">
        <v>0</v>
      </c>
      <c r="T61" s="237">
        <v>0</v>
      </c>
      <c r="U61" s="179">
        <v>0</v>
      </c>
      <c r="V61" s="179">
        <v>0</v>
      </c>
      <c r="W61" s="179">
        <v>0</v>
      </c>
      <c r="X61" s="177">
        <v>0</v>
      </c>
      <c r="Y61" s="179">
        <v>0</v>
      </c>
      <c r="Z61" s="179">
        <v>0</v>
      </c>
      <c r="AA61" s="179">
        <v>0</v>
      </c>
      <c r="AB61" s="177">
        <v>0</v>
      </c>
      <c r="AC61" s="180">
        <v>0</v>
      </c>
      <c r="AD61" s="180">
        <v>0</v>
      </c>
      <c r="AE61" s="180">
        <v>0</v>
      </c>
      <c r="AF61" s="181">
        <v>0</v>
      </c>
      <c r="AG61" s="180">
        <v>0</v>
      </c>
      <c r="AH61" s="180">
        <v>0</v>
      </c>
      <c r="AI61" s="180">
        <v>0</v>
      </c>
      <c r="AJ61" s="181">
        <v>0</v>
      </c>
      <c r="AK61" s="180">
        <v>0</v>
      </c>
      <c r="AL61" s="180">
        <v>0</v>
      </c>
      <c r="AM61" s="180">
        <v>0</v>
      </c>
      <c r="AN61" s="181">
        <v>0</v>
      </c>
      <c r="AO61" s="179">
        <v>0</v>
      </c>
      <c r="AP61" s="179">
        <v>0</v>
      </c>
      <c r="AQ61" s="179">
        <v>0</v>
      </c>
      <c r="AR61" s="177">
        <v>0</v>
      </c>
      <c r="AS61" s="179" t="s">
        <v>270</v>
      </c>
      <c r="AT61" s="179" t="s">
        <v>271</v>
      </c>
      <c r="AU61" s="179" t="s">
        <v>271</v>
      </c>
      <c r="AV61" s="177" t="s">
        <v>271</v>
      </c>
      <c r="AW61" s="179" t="s">
        <v>270</v>
      </c>
      <c r="AX61" s="179" t="s">
        <v>271</v>
      </c>
      <c r="AY61" s="179" t="s">
        <v>271</v>
      </c>
      <c r="AZ61" s="177" t="s">
        <v>271</v>
      </c>
      <c r="BA61" s="179" t="s">
        <v>270</v>
      </c>
      <c r="BB61" s="179" t="s">
        <v>271</v>
      </c>
      <c r="BC61" s="179" t="s">
        <v>271</v>
      </c>
      <c r="BD61" s="177" t="s">
        <v>271</v>
      </c>
      <c r="BE61" s="179">
        <v>0</v>
      </c>
      <c r="BF61" s="179">
        <v>0</v>
      </c>
      <c r="BG61" s="179">
        <v>0</v>
      </c>
      <c r="BH61" s="177">
        <v>0</v>
      </c>
      <c r="BI61" s="351">
        <v>0</v>
      </c>
      <c r="BJ61" s="351">
        <v>0</v>
      </c>
      <c r="BK61" s="351">
        <v>0</v>
      </c>
      <c r="BL61" s="352">
        <v>0</v>
      </c>
      <c r="BM61" s="179">
        <v>0</v>
      </c>
      <c r="BN61" s="179">
        <v>0</v>
      </c>
      <c r="BO61" s="179">
        <v>0</v>
      </c>
      <c r="BP61" s="177">
        <v>0</v>
      </c>
      <c r="BQ61" s="179">
        <v>0</v>
      </c>
      <c r="BR61" s="179">
        <v>0</v>
      </c>
      <c r="BS61" s="179">
        <v>0</v>
      </c>
      <c r="BT61" s="177">
        <v>0</v>
      </c>
      <c r="BU61" s="182">
        <v>0</v>
      </c>
      <c r="BV61" s="182">
        <v>0</v>
      </c>
      <c r="BW61" s="182">
        <v>0</v>
      </c>
      <c r="BX61" s="251">
        <v>0</v>
      </c>
      <c r="BY61" s="180">
        <v>0</v>
      </c>
      <c r="BZ61" s="180">
        <v>0</v>
      </c>
      <c r="CA61" s="180">
        <v>0</v>
      </c>
      <c r="CB61" s="180">
        <v>0</v>
      </c>
    </row>
    <row r="62" spans="1:80" s="179" customFormat="1" x14ac:dyDescent="0.35">
      <c r="A62" s="413"/>
      <c r="B62" s="250" t="str">
        <f t="shared" si="4"/>
        <v>RPU_ON_SP321-HH150</v>
      </c>
      <c r="C62" s="65" t="s">
        <v>184</v>
      </c>
      <c r="D62" s="174" t="s">
        <v>46</v>
      </c>
      <c r="E62" s="6">
        <v>0</v>
      </c>
      <c r="F62" s="175">
        <v>0</v>
      </c>
      <c r="G62" s="176" t="s">
        <v>395</v>
      </c>
      <c r="H62" s="176" t="s">
        <v>396</v>
      </c>
      <c r="I62" s="178">
        <v>0</v>
      </c>
      <c r="J62" s="178" t="s">
        <v>12</v>
      </c>
      <c r="K62" s="178">
        <v>0</v>
      </c>
      <c r="L62" s="178">
        <v>0</v>
      </c>
      <c r="M62" s="311">
        <v>0</v>
      </c>
      <c r="N62" s="178">
        <v>0</v>
      </c>
      <c r="O62" s="178">
        <v>0</v>
      </c>
      <c r="P62" s="177">
        <v>0</v>
      </c>
      <c r="Q62" s="183">
        <v>0</v>
      </c>
      <c r="R62" s="183">
        <v>0</v>
      </c>
      <c r="S62" s="183">
        <v>0</v>
      </c>
      <c r="T62" s="237">
        <v>0</v>
      </c>
      <c r="U62" s="179">
        <v>0</v>
      </c>
      <c r="V62" s="179">
        <v>0</v>
      </c>
      <c r="W62" s="179">
        <v>0</v>
      </c>
      <c r="X62" s="177">
        <v>0</v>
      </c>
      <c r="Y62" s="179">
        <v>0</v>
      </c>
      <c r="Z62" s="179">
        <v>0</v>
      </c>
      <c r="AA62" s="179">
        <v>0</v>
      </c>
      <c r="AB62" s="177">
        <v>0</v>
      </c>
      <c r="AC62" s="180">
        <v>0</v>
      </c>
      <c r="AD62" s="180">
        <v>0</v>
      </c>
      <c r="AE62" s="180">
        <v>0</v>
      </c>
      <c r="AF62" s="181">
        <v>0</v>
      </c>
      <c r="AG62" s="180">
        <v>0</v>
      </c>
      <c r="AH62" s="180">
        <v>0</v>
      </c>
      <c r="AI62" s="180">
        <v>0</v>
      </c>
      <c r="AJ62" s="181">
        <v>0</v>
      </c>
      <c r="AK62" s="180">
        <v>0</v>
      </c>
      <c r="AL62" s="180">
        <v>0</v>
      </c>
      <c r="AM62" s="180">
        <v>0</v>
      </c>
      <c r="AN62" s="181">
        <v>0</v>
      </c>
      <c r="AO62" s="179">
        <v>0</v>
      </c>
      <c r="AP62" s="179">
        <v>0</v>
      </c>
      <c r="AQ62" s="179">
        <v>0</v>
      </c>
      <c r="AR62" s="177">
        <v>0</v>
      </c>
      <c r="AS62" s="179" t="s">
        <v>270</v>
      </c>
      <c r="AT62" s="179" t="s">
        <v>271</v>
      </c>
      <c r="AU62" s="179" t="s">
        <v>271</v>
      </c>
      <c r="AV62" s="177" t="s">
        <v>271</v>
      </c>
      <c r="AW62" s="179" t="s">
        <v>270</v>
      </c>
      <c r="AX62" s="179" t="s">
        <v>271</v>
      </c>
      <c r="AY62" s="179" t="s">
        <v>271</v>
      </c>
      <c r="AZ62" s="177" t="s">
        <v>271</v>
      </c>
      <c r="BA62" s="179" t="s">
        <v>270</v>
      </c>
      <c r="BB62" s="179" t="s">
        <v>271</v>
      </c>
      <c r="BC62" s="179" t="s">
        <v>271</v>
      </c>
      <c r="BD62" s="177" t="s">
        <v>271</v>
      </c>
      <c r="BE62" s="179">
        <v>0</v>
      </c>
      <c r="BF62" s="179">
        <v>0</v>
      </c>
      <c r="BG62" s="179">
        <v>0</v>
      </c>
      <c r="BH62" s="177">
        <v>0</v>
      </c>
      <c r="BI62" s="351">
        <v>0</v>
      </c>
      <c r="BJ62" s="351">
        <v>0</v>
      </c>
      <c r="BK62" s="351">
        <v>0</v>
      </c>
      <c r="BL62" s="352">
        <v>0</v>
      </c>
      <c r="BM62" s="179">
        <v>0</v>
      </c>
      <c r="BN62" s="179">
        <v>0</v>
      </c>
      <c r="BO62" s="179">
        <v>0</v>
      </c>
      <c r="BP62" s="177">
        <v>0</v>
      </c>
      <c r="BQ62" s="179">
        <v>0</v>
      </c>
      <c r="BR62" s="179">
        <v>0</v>
      </c>
      <c r="BS62" s="179">
        <v>0</v>
      </c>
      <c r="BT62" s="177">
        <v>0</v>
      </c>
      <c r="BU62" s="182">
        <v>0</v>
      </c>
      <c r="BV62" s="182">
        <v>0</v>
      </c>
      <c r="BW62" s="182">
        <v>0</v>
      </c>
      <c r="BX62" s="251">
        <v>0</v>
      </c>
      <c r="BY62" s="180">
        <v>0</v>
      </c>
      <c r="BZ62" s="180">
        <v>0</v>
      </c>
      <c r="CA62" s="180">
        <v>0</v>
      </c>
      <c r="CB62" s="180">
        <v>0</v>
      </c>
    </row>
    <row r="63" spans="1:80" s="189" customFormat="1" x14ac:dyDescent="0.35">
      <c r="A63" s="413"/>
      <c r="B63" s="252" t="str">
        <f t="shared" si="4"/>
        <v>RPU_OFF_SP379-HH100</v>
      </c>
      <c r="C63" s="184" t="s">
        <v>184</v>
      </c>
      <c r="D63" s="185" t="s">
        <v>47</v>
      </c>
      <c r="E63" s="6">
        <v>0</v>
      </c>
      <c r="F63" s="186">
        <v>0</v>
      </c>
      <c r="G63" s="253" t="s">
        <v>395</v>
      </c>
      <c r="H63" s="253" t="s">
        <v>396</v>
      </c>
      <c r="I63" s="188">
        <v>0</v>
      </c>
      <c r="J63" s="188" t="s">
        <v>12</v>
      </c>
      <c r="K63" s="188">
        <v>0</v>
      </c>
      <c r="L63" s="188">
        <v>0</v>
      </c>
      <c r="M63" s="325">
        <v>0</v>
      </c>
      <c r="N63" s="188">
        <v>0</v>
      </c>
      <c r="O63" s="188">
        <v>0</v>
      </c>
      <c r="P63" s="187">
        <v>0</v>
      </c>
      <c r="Q63" s="193">
        <v>0</v>
      </c>
      <c r="R63" s="193">
        <v>0</v>
      </c>
      <c r="S63" s="193">
        <v>0</v>
      </c>
      <c r="T63" s="254">
        <v>0</v>
      </c>
      <c r="U63" s="189">
        <v>0</v>
      </c>
      <c r="V63" s="189">
        <v>0</v>
      </c>
      <c r="W63" s="189">
        <v>0</v>
      </c>
      <c r="X63" s="187">
        <v>0</v>
      </c>
      <c r="Y63" s="189">
        <v>0</v>
      </c>
      <c r="Z63" s="189">
        <v>0</v>
      </c>
      <c r="AA63" s="189">
        <v>0</v>
      </c>
      <c r="AB63" s="187">
        <v>0</v>
      </c>
      <c r="AC63" s="190">
        <v>0</v>
      </c>
      <c r="AD63" s="190">
        <v>0</v>
      </c>
      <c r="AE63" s="190">
        <v>0</v>
      </c>
      <c r="AF63" s="191">
        <v>0</v>
      </c>
      <c r="AG63" s="190">
        <v>0</v>
      </c>
      <c r="AH63" s="190">
        <v>0</v>
      </c>
      <c r="AI63" s="190">
        <v>0</v>
      </c>
      <c r="AJ63" s="191">
        <v>0</v>
      </c>
      <c r="AK63" s="190">
        <v>0</v>
      </c>
      <c r="AL63" s="190">
        <v>0</v>
      </c>
      <c r="AM63" s="190">
        <v>0</v>
      </c>
      <c r="AN63" s="191">
        <v>0</v>
      </c>
      <c r="AO63" s="189">
        <v>0</v>
      </c>
      <c r="AP63" s="189">
        <v>0</v>
      </c>
      <c r="AQ63" s="189">
        <v>0</v>
      </c>
      <c r="AR63" s="187">
        <v>0</v>
      </c>
      <c r="AS63" s="189" t="s">
        <v>270</v>
      </c>
      <c r="AT63" s="189" t="s">
        <v>271</v>
      </c>
      <c r="AU63" s="189" t="s">
        <v>271</v>
      </c>
      <c r="AV63" s="187" t="s">
        <v>271</v>
      </c>
      <c r="AW63" s="189" t="s">
        <v>270</v>
      </c>
      <c r="AX63" s="189" t="s">
        <v>271</v>
      </c>
      <c r="AY63" s="189" t="s">
        <v>271</v>
      </c>
      <c r="AZ63" s="187" t="s">
        <v>271</v>
      </c>
      <c r="BA63" s="189" t="s">
        <v>270</v>
      </c>
      <c r="BB63" s="189" t="s">
        <v>271</v>
      </c>
      <c r="BC63" s="189" t="s">
        <v>271</v>
      </c>
      <c r="BD63" s="187" t="s">
        <v>271</v>
      </c>
      <c r="BE63" s="189">
        <v>0</v>
      </c>
      <c r="BF63" s="189">
        <v>0</v>
      </c>
      <c r="BG63" s="189">
        <v>0</v>
      </c>
      <c r="BH63" s="187">
        <v>0</v>
      </c>
      <c r="BI63" s="189">
        <v>0</v>
      </c>
      <c r="BJ63" s="189">
        <v>0</v>
      </c>
      <c r="BK63" s="189">
        <v>0</v>
      </c>
      <c r="BL63" s="187">
        <v>0</v>
      </c>
      <c r="BM63" s="189">
        <v>0</v>
      </c>
      <c r="BN63" s="189">
        <v>0</v>
      </c>
      <c r="BO63" s="189">
        <v>0</v>
      </c>
      <c r="BP63" s="187">
        <v>0</v>
      </c>
      <c r="BQ63" s="189">
        <v>0</v>
      </c>
      <c r="BR63" s="189">
        <v>0</v>
      </c>
      <c r="BS63" s="189">
        <v>0</v>
      </c>
      <c r="BT63" s="187">
        <v>0</v>
      </c>
      <c r="BU63" s="192">
        <v>0</v>
      </c>
      <c r="BV63" s="192">
        <v>0</v>
      </c>
      <c r="BW63" s="192">
        <v>0</v>
      </c>
      <c r="BX63" s="255">
        <v>0</v>
      </c>
      <c r="BY63" s="190">
        <v>0</v>
      </c>
      <c r="BZ63" s="190">
        <v>0</v>
      </c>
      <c r="CA63" s="190">
        <v>0</v>
      </c>
      <c r="CB63" s="190">
        <v>0</v>
      </c>
    </row>
    <row r="64" spans="1:80" s="189" customFormat="1" x14ac:dyDescent="0.35">
      <c r="A64" s="413"/>
      <c r="B64" s="252" t="str">
        <f t="shared" si="4"/>
        <v>RPU_OFF_SP379-HH150</v>
      </c>
      <c r="C64" s="184" t="s">
        <v>184</v>
      </c>
      <c r="D64" s="185" t="s">
        <v>48</v>
      </c>
      <c r="E64" s="6">
        <v>0</v>
      </c>
      <c r="F64" s="186">
        <v>0</v>
      </c>
      <c r="G64" s="253" t="s">
        <v>395</v>
      </c>
      <c r="H64" s="253" t="s">
        <v>396</v>
      </c>
      <c r="I64" s="188">
        <v>0</v>
      </c>
      <c r="J64" s="188" t="s">
        <v>12</v>
      </c>
      <c r="K64" s="188">
        <v>0</v>
      </c>
      <c r="L64" s="188">
        <v>0</v>
      </c>
      <c r="M64" s="325">
        <v>0</v>
      </c>
      <c r="N64" s="188">
        <v>0</v>
      </c>
      <c r="O64" s="188">
        <v>0</v>
      </c>
      <c r="P64" s="187">
        <v>0</v>
      </c>
      <c r="Q64" s="193">
        <v>0</v>
      </c>
      <c r="R64" s="193">
        <v>0</v>
      </c>
      <c r="S64" s="193">
        <v>0</v>
      </c>
      <c r="T64" s="254">
        <v>0</v>
      </c>
      <c r="U64" s="189">
        <v>0</v>
      </c>
      <c r="V64" s="189">
        <v>0</v>
      </c>
      <c r="W64" s="189">
        <v>0</v>
      </c>
      <c r="X64" s="187">
        <v>0</v>
      </c>
      <c r="Y64" s="189">
        <v>0</v>
      </c>
      <c r="Z64" s="189">
        <v>0</v>
      </c>
      <c r="AA64" s="189">
        <v>0</v>
      </c>
      <c r="AB64" s="187">
        <v>0</v>
      </c>
      <c r="AC64" s="190">
        <v>0</v>
      </c>
      <c r="AD64" s="190">
        <v>0</v>
      </c>
      <c r="AE64" s="190">
        <v>0</v>
      </c>
      <c r="AF64" s="191">
        <v>0</v>
      </c>
      <c r="AG64" s="190">
        <v>0</v>
      </c>
      <c r="AH64" s="190">
        <v>0</v>
      </c>
      <c r="AI64" s="190">
        <v>0</v>
      </c>
      <c r="AJ64" s="191">
        <v>0</v>
      </c>
      <c r="AK64" s="190">
        <v>0</v>
      </c>
      <c r="AL64" s="190">
        <v>0</v>
      </c>
      <c r="AM64" s="190">
        <v>0</v>
      </c>
      <c r="AN64" s="191">
        <v>0</v>
      </c>
      <c r="AO64" s="189">
        <v>0</v>
      </c>
      <c r="AP64" s="189">
        <v>0</v>
      </c>
      <c r="AQ64" s="189">
        <v>0</v>
      </c>
      <c r="AR64" s="187">
        <v>0</v>
      </c>
      <c r="AS64" s="189" t="s">
        <v>270</v>
      </c>
      <c r="AT64" s="189" t="s">
        <v>271</v>
      </c>
      <c r="AU64" s="189" t="s">
        <v>271</v>
      </c>
      <c r="AV64" s="187" t="s">
        <v>271</v>
      </c>
      <c r="AW64" s="189" t="s">
        <v>270</v>
      </c>
      <c r="AX64" s="189" t="s">
        <v>271</v>
      </c>
      <c r="AY64" s="189" t="s">
        <v>271</v>
      </c>
      <c r="AZ64" s="187" t="s">
        <v>271</v>
      </c>
      <c r="BA64" s="189" t="s">
        <v>270</v>
      </c>
      <c r="BB64" s="189" t="s">
        <v>271</v>
      </c>
      <c r="BC64" s="189" t="s">
        <v>271</v>
      </c>
      <c r="BD64" s="187" t="s">
        <v>271</v>
      </c>
      <c r="BE64" s="189">
        <v>0</v>
      </c>
      <c r="BF64" s="189">
        <v>0</v>
      </c>
      <c r="BG64" s="189">
        <v>0</v>
      </c>
      <c r="BH64" s="187">
        <v>0</v>
      </c>
      <c r="BI64" s="189">
        <v>0</v>
      </c>
      <c r="BJ64" s="189">
        <v>0</v>
      </c>
      <c r="BK64" s="189">
        <v>0</v>
      </c>
      <c r="BL64" s="187">
        <v>0</v>
      </c>
      <c r="BM64" s="189">
        <v>0</v>
      </c>
      <c r="BN64" s="189">
        <v>0</v>
      </c>
      <c r="BO64" s="189">
        <v>0</v>
      </c>
      <c r="BP64" s="187">
        <v>0</v>
      </c>
      <c r="BQ64" s="189">
        <v>0</v>
      </c>
      <c r="BR64" s="189">
        <v>0</v>
      </c>
      <c r="BS64" s="189">
        <v>0</v>
      </c>
      <c r="BT64" s="187">
        <v>0</v>
      </c>
      <c r="BU64" s="192">
        <v>0</v>
      </c>
      <c r="BV64" s="192">
        <v>0</v>
      </c>
      <c r="BW64" s="192">
        <v>0</v>
      </c>
      <c r="BX64" s="255">
        <v>0</v>
      </c>
      <c r="BY64" s="190">
        <v>0</v>
      </c>
      <c r="BZ64" s="190">
        <v>0</v>
      </c>
      <c r="CA64" s="190">
        <v>0</v>
      </c>
      <c r="CB64" s="190">
        <v>0</v>
      </c>
    </row>
    <row r="65" spans="1:80" s="189" customFormat="1" x14ac:dyDescent="0.35">
      <c r="A65" s="413"/>
      <c r="B65" s="252" t="str">
        <f t="shared" si="4"/>
        <v>RPU_OFF_SP450-HH100</v>
      </c>
      <c r="C65" s="184" t="s">
        <v>184</v>
      </c>
      <c r="D65" s="185" t="s">
        <v>49</v>
      </c>
      <c r="E65" s="6">
        <v>0</v>
      </c>
      <c r="F65" s="186">
        <v>0</v>
      </c>
      <c r="G65" s="253" t="s">
        <v>395</v>
      </c>
      <c r="H65" s="253" t="s">
        <v>396</v>
      </c>
      <c r="I65" s="188">
        <v>0</v>
      </c>
      <c r="J65" s="188" t="s">
        <v>12</v>
      </c>
      <c r="K65" s="188">
        <v>0</v>
      </c>
      <c r="L65" s="188">
        <v>0</v>
      </c>
      <c r="M65" s="325">
        <v>0</v>
      </c>
      <c r="N65" s="188">
        <v>0</v>
      </c>
      <c r="O65" s="188">
        <v>0</v>
      </c>
      <c r="P65" s="187">
        <v>0</v>
      </c>
      <c r="Q65" s="193">
        <v>0</v>
      </c>
      <c r="R65" s="193">
        <v>0</v>
      </c>
      <c r="S65" s="193">
        <v>0</v>
      </c>
      <c r="T65" s="254">
        <v>0</v>
      </c>
      <c r="U65" s="189">
        <v>0</v>
      </c>
      <c r="V65" s="189">
        <v>0</v>
      </c>
      <c r="W65" s="189">
        <v>0</v>
      </c>
      <c r="X65" s="187">
        <v>0</v>
      </c>
      <c r="Y65" s="189">
        <v>0</v>
      </c>
      <c r="Z65" s="189">
        <v>0</v>
      </c>
      <c r="AA65" s="189">
        <v>0</v>
      </c>
      <c r="AB65" s="187">
        <v>0</v>
      </c>
      <c r="AC65" s="190">
        <v>0</v>
      </c>
      <c r="AD65" s="190">
        <v>0</v>
      </c>
      <c r="AE65" s="190">
        <v>0</v>
      </c>
      <c r="AF65" s="191">
        <v>0</v>
      </c>
      <c r="AG65" s="190">
        <v>0</v>
      </c>
      <c r="AH65" s="190">
        <v>0</v>
      </c>
      <c r="AI65" s="190">
        <v>0</v>
      </c>
      <c r="AJ65" s="191">
        <v>0</v>
      </c>
      <c r="AK65" s="190">
        <v>0</v>
      </c>
      <c r="AL65" s="190">
        <v>0</v>
      </c>
      <c r="AM65" s="190">
        <v>0</v>
      </c>
      <c r="AN65" s="191">
        <v>0</v>
      </c>
      <c r="AO65" s="189">
        <v>0</v>
      </c>
      <c r="AP65" s="189">
        <v>0</v>
      </c>
      <c r="AQ65" s="189">
        <v>0</v>
      </c>
      <c r="AR65" s="187">
        <v>0</v>
      </c>
      <c r="AS65" s="189" t="s">
        <v>270</v>
      </c>
      <c r="AT65" s="189" t="s">
        <v>271</v>
      </c>
      <c r="AU65" s="189" t="s">
        <v>271</v>
      </c>
      <c r="AV65" s="187" t="s">
        <v>271</v>
      </c>
      <c r="AW65" s="189" t="s">
        <v>270</v>
      </c>
      <c r="AX65" s="189" t="s">
        <v>271</v>
      </c>
      <c r="AY65" s="189" t="s">
        <v>271</v>
      </c>
      <c r="AZ65" s="187" t="s">
        <v>271</v>
      </c>
      <c r="BA65" s="189" t="s">
        <v>270</v>
      </c>
      <c r="BB65" s="189" t="s">
        <v>271</v>
      </c>
      <c r="BC65" s="189" t="s">
        <v>271</v>
      </c>
      <c r="BD65" s="187" t="s">
        <v>271</v>
      </c>
      <c r="BE65" s="189">
        <v>0</v>
      </c>
      <c r="BF65" s="189">
        <v>0</v>
      </c>
      <c r="BG65" s="189">
        <v>0</v>
      </c>
      <c r="BH65" s="187">
        <v>0</v>
      </c>
      <c r="BI65" s="189">
        <v>0</v>
      </c>
      <c r="BJ65" s="189">
        <v>0</v>
      </c>
      <c r="BK65" s="189">
        <v>0</v>
      </c>
      <c r="BL65" s="187">
        <v>0</v>
      </c>
      <c r="BM65" s="189">
        <v>0</v>
      </c>
      <c r="BN65" s="189">
        <v>0</v>
      </c>
      <c r="BO65" s="189">
        <v>0</v>
      </c>
      <c r="BP65" s="187">
        <v>0</v>
      </c>
      <c r="BQ65" s="189">
        <v>0</v>
      </c>
      <c r="BR65" s="189">
        <v>0</v>
      </c>
      <c r="BS65" s="189">
        <v>0</v>
      </c>
      <c r="BT65" s="187">
        <v>0</v>
      </c>
      <c r="BU65" s="192">
        <v>0</v>
      </c>
      <c r="BV65" s="192">
        <v>0</v>
      </c>
      <c r="BW65" s="192">
        <v>0</v>
      </c>
      <c r="BX65" s="255">
        <v>0</v>
      </c>
      <c r="BY65" s="190">
        <v>0</v>
      </c>
      <c r="BZ65" s="190">
        <v>0</v>
      </c>
      <c r="CA65" s="190">
        <v>0</v>
      </c>
      <c r="CB65" s="190">
        <v>0</v>
      </c>
    </row>
    <row r="66" spans="1:80" s="189" customFormat="1" x14ac:dyDescent="0.35">
      <c r="A66" s="413"/>
      <c r="B66" s="252" t="str">
        <f t="shared" si="4"/>
        <v>RPU_OFF_SP450-HH150</v>
      </c>
      <c r="C66" s="184" t="s">
        <v>184</v>
      </c>
      <c r="D66" s="185" t="s">
        <v>115</v>
      </c>
      <c r="E66" s="6">
        <v>0</v>
      </c>
      <c r="F66" s="186">
        <v>0</v>
      </c>
      <c r="G66" s="253" t="s">
        <v>395</v>
      </c>
      <c r="H66" s="253" t="s">
        <v>396</v>
      </c>
      <c r="I66" s="188">
        <v>0</v>
      </c>
      <c r="J66" s="188" t="s">
        <v>12</v>
      </c>
      <c r="K66" s="188">
        <v>0</v>
      </c>
      <c r="L66" s="188">
        <v>0</v>
      </c>
      <c r="M66" s="325">
        <v>0</v>
      </c>
      <c r="N66" s="188">
        <v>0</v>
      </c>
      <c r="O66" s="188">
        <v>0</v>
      </c>
      <c r="P66" s="187">
        <v>0</v>
      </c>
      <c r="Q66" s="193">
        <v>0</v>
      </c>
      <c r="R66" s="193">
        <v>0</v>
      </c>
      <c r="S66" s="193">
        <v>0</v>
      </c>
      <c r="T66" s="254">
        <v>0</v>
      </c>
      <c r="U66" s="189">
        <v>0</v>
      </c>
      <c r="V66" s="189">
        <v>0</v>
      </c>
      <c r="W66" s="189">
        <v>0</v>
      </c>
      <c r="X66" s="187">
        <v>0</v>
      </c>
      <c r="Y66" s="189">
        <v>0</v>
      </c>
      <c r="Z66" s="189">
        <v>0</v>
      </c>
      <c r="AA66" s="189">
        <v>0</v>
      </c>
      <c r="AB66" s="187">
        <v>0</v>
      </c>
      <c r="AC66" s="190">
        <v>0</v>
      </c>
      <c r="AD66" s="190">
        <v>0</v>
      </c>
      <c r="AE66" s="190">
        <v>0</v>
      </c>
      <c r="AF66" s="191">
        <v>0</v>
      </c>
      <c r="AG66" s="190">
        <v>0</v>
      </c>
      <c r="AH66" s="190">
        <v>0</v>
      </c>
      <c r="AI66" s="190">
        <v>0</v>
      </c>
      <c r="AJ66" s="191">
        <v>0</v>
      </c>
      <c r="AK66" s="190">
        <v>0</v>
      </c>
      <c r="AL66" s="190">
        <v>0</v>
      </c>
      <c r="AM66" s="190">
        <v>0</v>
      </c>
      <c r="AN66" s="191">
        <v>0</v>
      </c>
      <c r="AO66" s="189">
        <v>0</v>
      </c>
      <c r="AP66" s="189">
        <v>0</v>
      </c>
      <c r="AQ66" s="189">
        <v>0</v>
      </c>
      <c r="AR66" s="187">
        <v>0</v>
      </c>
      <c r="AS66" s="189" t="s">
        <v>270</v>
      </c>
      <c r="AT66" s="189" t="s">
        <v>271</v>
      </c>
      <c r="AU66" s="189" t="s">
        <v>271</v>
      </c>
      <c r="AV66" s="187" t="s">
        <v>271</v>
      </c>
      <c r="AW66" s="189" t="s">
        <v>270</v>
      </c>
      <c r="AX66" s="189" t="s">
        <v>271</v>
      </c>
      <c r="AY66" s="189" t="s">
        <v>271</v>
      </c>
      <c r="AZ66" s="187" t="s">
        <v>271</v>
      </c>
      <c r="BA66" s="189" t="s">
        <v>270</v>
      </c>
      <c r="BB66" s="189" t="s">
        <v>271</v>
      </c>
      <c r="BC66" s="189" t="s">
        <v>271</v>
      </c>
      <c r="BD66" s="187" t="s">
        <v>271</v>
      </c>
      <c r="BE66" s="189">
        <v>0</v>
      </c>
      <c r="BF66" s="189">
        <v>0</v>
      </c>
      <c r="BG66" s="189">
        <v>0</v>
      </c>
      <c r="BH66" s="187">
        <v>0</v>
      </c>
      <c r="BI66" s="189">
        <v>0</v>
      </c>
      <c r="BJ66" s="189">
        <v>0</v>
      </c>
      <c r="BK66" s="189">
        <v>0</v>
      </c>
      <c r="BL66" s="187">
        <v>0</v>
      </c>
      <c r="BM66" s="189">
        <v>0</v>
      </c>
      <c r="BN66" s="189">
        <v>0</v>
      </c>
      <c r="BO66" s="189">
        <v>0</v>
      </c>
      <c r="BP66" s="187">
        <v>0</v>
      </c>
      <c r="BQ66" s="189">
        <v>0</v>
      </c>
      <c r="BR66" s="189">
        <v>0</v>
      </c>
      <c r="BS66" s="189">
        <v>0</v>
      </c>
      <c r="BT66" s="187">
        <v>0</v>
      </c>
      <c r="BU66" s="192">
        <v>0</v>
      </c>
      <c r="BV66" s="192">
        <v>0</v>
      </c>
      <c r="BW66" s="192">
        <v>0</v>
      </c>
      <c r="BX66" s="255">
        <v>0</v>
      </c>
      <c r="BY66" s="190">
        <v>0</v>
      </c>
      <c r="BZ66" s="190">
        <v>0</v>
      </c>
      <c r="CA66" s="190">
        <v>0</v>
      </c>
      <c r="CB66" s="190">
        <v>0</v>
      </c>
    </row>
    <row r="67" spans="1:80" s="78" customFormat="1" ht="14.5" customHeight="1" x14ac:dyDescent="0.35">
      <c r="A67" s="413"/>
      <c r="B67" s="256" t="s">
        <v>328</v>
      </c>
      <c r="C67" s="76" t="s">
        <v>184</v>
      </c>
      <c r="D67" s="257" t="s">
        <v>329</v>
      </c>
      <c r="E67" s="6">
        <v>0</v>
      </c>
      <c r="F67" s="105">
        <v>0</v>
      </c>
      <c r="G67" s="117" t="s">
        <v>395</v>
      </c>
      <c r="H67" s="117" t="s">
        <v>396</v>
      </c>
      <c r="I67" s="126">
        <v>0</v>
      </c>
      <c r="J67" s="126" t="s">
        <v>12</v>
      </c>
      <c r="K67" s="126">
        <v>0</v>
      </c>
      <c r="L67" s="126">
        <v>0</v>
      </c>
      <c r="M67" s="126">
        <v>0</v>
      </c>
      <c r="N67" s="126">
        <v>0</v>
      </c>
      <c r="O67" s="126">
        <v>0</v>
      </c>
      <c r="P67" s="136">
        <v>0</v>
      </c>
      <c r="Q67" s="78">
        <v>0</v>
      </c>
      <c r="R67" s="78">
        <v>0</v>
      </c>
      <c r="S67" s="78">
        <v>0</v>
      </c>
      <c r="T67" s="136">
        <v>0</v>
      </c>
      <c r="U67" s="78">
        <v>0</v>
      </c>
      <c r="V67" s="78">
        <v>0</v>
      </c>
      <c r="W67" s="78">
        <v>0</v>
      </c>
      <c r="X67" s="136">
        <v>0</v>
      </c>
      <c r="Y67" s="78">
        <v>0</v>
      </c>
      <c r="Z67" s="78">
        <v>0</v>
      </c>
      <c r="AA67" s="78">
        <v>0</v>
      </c>
      <c r="AB67" s="78">
        <v>0</v>
      </c>
      <c r="AC67" s="258" t="s">
        <v>359</v>
      </c>
      <c r="AD67" s="258" t="s">
        <v>359</v>
      </c>
      <c r="AE67" s="258" t="s">
        <v>359</v>
      </c>
      <c r="AF67" s="258" t="s">
        <v>359</v>
      </c>
      <c r="AG67" s="258" t="s">
        <v>359</v>
      </c>
      <c r="AH67" s="258" t="s">
        <v>359</v>
      </c>
      <c r="AI67" s="258" t="s">
        <v>359</v>
      </c>
      <c r="AJ67" s="258" t="s">
        <v>359</v>
      </c>
      <c r="AK67" s="258" t="s">
        <v>359</v>
      </c>
      <c r="AL67" s="258" t="s">
        <v>359</v>
      </c>
      <c r="AM67" s="258" t="s">
        <v>359</v>
      </c>
      <c r="AN67" s="358" t="s">
        <v>359</v>
      </c>
      <c r="AO67" s="78" t="s">
        <v>359</v>
      </c>
      <c r="AP67" s="78" t="s">
        <v>359</v>
      </c>
      <c r="AQ67" s="78" t="s">
        <v>359</v>
      </c>
      <c r="AR67" s="136" t="s">
        <v>359</v>
      </c>
      <c r="AS67" s="78" t="s">
        <v>359</v>
      </c>
      <c r="AT67" s="78" t="s">
        <v>359</v>
      </c>
      <c r="AU67" s="78" t="s">
        <v>359</v>
      </c>
      <c r="AV67" s="78" t="s">
        <v>359</v>
      </c>
      <c r="AW67" s="78" t="s">
        <v>359</v>
      </c>
      <c r="AX67" s="78" t="s">
        <v>359</v>
      </c>
      <c r="AY67" s="78" t="s">
        <v>359</v>
      </c>
      <c r="AZ67" s="78" t="s">
        <v>359</v>
      </c>
      <c r="BA67" s="78" t="s">
        <v>359</v>
      </c>
      <c r="BB67" s="78" t="s">
        <v>359</v>
      </c>
      <c r="BC67" s="78" t="s">
        <v>359</v>
      </c>
      <c r="BD67" s="78" t="s">
        <v>359</v>
      </c>
      <c r="BE67" s="78">
        <v>0</v>
      </c>
      <c r="BF67" s="78">
        <v>0</v>
      </c>
      <c r="BG67" s="78">
        <v>0</v>
      </c>
      <c r="BH67" s="136">
        <v>0</v>
      </c>
      <c r="BI67" s="78">
        <v>0</v>
      </c>
      <c r="BJ67" s="78">
        <v>0</v>
      </c>
      <c r="BK67" s="78">
        <v>0</v>
      </c>
      <c r="BL67" s="136">
        <v>0</v>
      </c>
      <c r="BM67" s="78">
        <v>0</v>
      </c>
      <c r="BN67" s="78">
        <v>0</v>
      </c>
      <c r="BO67" s="78">
        <v>0</v>
      </c>
      <c r="BP67" s="136">
        <v>0</v>
      </c>
      <c r="BQ67" s="78" t="s">
        <v>359</v>
      </c>
      <c r="BR67" s="78" t="s">
        <v>359</v>
      </c>
      <c r="BS67" s="78" t="s">
        <v>359</v>
      </c>
      <c r="BT67" s="136" t="s">
        <v>359</v>
      </c>
      <c r="BU67" s="79" t="s">
        <v>359</v>
      </c>
      <c r="BV67" s="79" t="s">
        <v>359</v>
      </c>
      <c r="BW67" s="79" t="s">
        <v>359</v>
      </c>
      <c r="BX67" s="163" t="s">
        <v>359</v>
      </c>
      <c r="BY67" s="80" t="s">
        <v>359</v>
      </c>
      <c r="BZ67" s="80" t="s">
        <v>359</v>
      </c>
      <c r="CA67" s="80" t="s">
        <v>359</v>
      </c>
      <c r="CB67" s="80" t="s">
        <v>359</v>
      </c>
    </row>
    <row r="68" spans="1:80" s="78" customFormat="1" ht="14.5" customHeight="1" x14ac:dyDescent="0.35">
      <c r="A68" s="413"/>
      <c r="B68" s="256" t="s">
        <v>330</v>
      </c>
      <c r="C68" s="76" t="s">
        <v>184</v>
      </c>
      <c r="D68" s="257" t="s">
        <v>331</v>
      </c>
      <c r="E68" s="6">
        <v>0</v>
      </c>
      <c r="F68" s="105">
        <v>0</v>
      </c>
      <c r="G68" s="117" t="s">
        <v>395</v>
      </c>
      <c r="H68" s="117" t="s">
        <v>396</v>
      </c>
      <c r="I68" s="126">
        <v>0</v>
      </c>
      <c r="J68" s="126" t="s">
        <v>12</v>
      </c>
      <c r="K68" s="126">
        <v>0</v>
      </c>
      <c r="L68" s="126">
        <v>0</v>
      </c>
      <c r="M68" s="126">
        <v>0</v>
      </c>
      <c r="N68" s="126">
        <v>0</v>
      </c>
      <c r="O68" s="126">
        <v>0</v>
      </c>
      <c r="P68" s="136">
        <v>0</v>
      </c>
      <c r="Q68" s="78">
        <v>0</v>
      </c>
      <c r="R68" s="78">
        <v>0</v>
      </c>
      <c r="S68" s="78">
        <v>0</v>
      </c>
      <c r="T68" s="136">
        <v>0</v>
      </c>
      <c r="U68" s="78">
        <v>0</v>
      </c>
      <c r="V68" s="78">
        <v>0</v>
      </c>
      <c r="W68" s="78">
        <v>0</v>
      </c>
      <c r="X68" s="136">
        <v>0</v>
      </c>
      <c r="Y68" s="78">
        <v>0</v>
      </c>
      <c r="Z68" s="78">
        <v>0</v>
      </c>
      <c r="AA68" s="78">
        <v>0</v>
      </c>
      <c r="AB68" s="78">
        <v>0</v>
      </c>
      <c r="AC68" s="258" t="s">
        <v>359</v>
      </c>
      <c r="AD68" s="258" t="s">
        <v>359</v>
      </c>
      <c r="AE68" s="258" t="s">
        <v>359</v>
      </c>
      <c r="AF68" s="258" t="s">
        <v>359</v>
      </c>
      <c r="AG68" s="258" t="s">
        <v>359</v>
      </c>
      <c r="AH68" s="258" t="s">
        <v>359</v>
      </c>
      <c r="AI68" s="258" t="s">
        <v>359</v>
      </c>
      <c r="AJ68" s="258" t="s">
        <v>359</v>
      </c>
      <c r="AK68" s="258" t="s">
        <v>359</v>
      </c>
      <c r="AL68" s="258" t="s">
        <v>359</v>
      </c>
      <c r="AM68" s="258" t="s">
        <v>359</v>
      </c>
      <c r="AN68" s="358" t="s">
        <v>359</v>
      </c>
      <c r="AO68" s="78" t="s">
        <v>359</v>
      </c>
      <c r="AP68" s="78" t="s">
        <v>359</v>
      </c>
      <c r="AQ68" s="78" t="s">
        <v>359</v>
      </c>
      <c r="AR68" s="136" t="s">
        <v>359</v>
      </c>
      <c r="AS68" s="78" t="s">
        <v>359</v>
      </c>
      <c r="AT68" s="78" t="s">
        <v>359</v>
      </c>
      <c r="AU68" s="78" t="s">
        <v>359</v>
      </c>
      <c r="AV68" s="78" t="s">
        <v>359</v>
      </c>
      <c r="AW68" s="78" t="s">
        <v>359</v>
      </c>
      <c r="AX68" s="78" t="s">
        <v>359</v>
      </c>
      <c r="AY68" s="78" t="s">
        <v>359</v>
      </c>
      <c r="AZ68" s="78" t="s">
        <v>359</v>
      </c>
      <c r="BA68" s="78" t="s">
        <v>359</v>
      </c>
      <c r="BB68" s="78" t="s">
        <v>359</v>
      </c>
      <c r="BC68" s="78" t="s">
        <v>359</v>
      </c>
      <c r="BD68" s="78" t="s">
        <v>359</v>
      </c>
      <c r="BE68" s="78">
        <v>0</v>
      </c>
      <c r="BF68" s="78">
        <v>0</v>
      </c>
      <c r="BG68" s="78">
        <v>0</v>
      </c>
      <c r="BH68" s="136">
        <v>0</v>
      </c>
      <c r="BI68" s="78">
        <v>0</v>
      </c>
      <c r="BJ68" s="78">
        <v>0</v>
      </c>
      <c r="BK68" s="78">
        <v>0</v>
      </c>
      <c r="BL68" s="136">
        <v>0</v>
      </c>
      <c r="BM68" s="78">
        <v>0</v>
      </c>
      <c r="BN68" s="78">
        <v>0</v>
      </c>
      <c r="BO68" s="78">
        <v>0</v>
      </c>
      <c r="BP68" s="136">
        <v>0</v>
      </c>
      <c r="BQ68" s="78" t="s">
        <v>359</v>
      </c>
      <c r="BR68" s="78" t="s">
        <v>359</v>
      </c>
      <c r="BS68" s="78" t="s">
        <v>359</v>
      </c>
      <c r="BT68" s="136" t="s">
        <v>359</v>
      </c>
      <c r="BU68" s="79" t="s">
        <v>359</v>
      </c>
      <c r="BV68" s="79" t="s">
        <v>359</v>
      </c>
      <c r="BW68" s="79" t="s">
        <v>359</v>
      </c>
      <c r="BX68" s="163" t="s">
        <v>359</v>
      </c>
      <c r="BY68" s="80" t="s">
        <v>359</v>
      </c>
      <c r="BZ68" s="80" t="s">
        <v>359</v>
      </c>
      <c r="CA68" s="80" t="s">
        <v>359</v>
      </c>
      <c r="CB68" s="80" t="s">
        <v>359</v>
      </c>
    </row>
    <row r="69" spans="1:80" s="78" customFormat="1" ht="14.5" customHeight="1" x14ac:dyDescent="0.35">
      <c r="A69" s="413"/>
      <c r="B69" s="256" t="s">
        <v>332</v>
      </c>
      <c r="C69" s="76" t="s">
        <v>184</v>
      </c>
      <c r="D69" s="257" t="s">
        <v>333</v>
      </c>
      <c r="E69" s="6">
        <v>0</v>
      </c>
      <c r="F69" s="105">
        <v>0</v>
      </c>
      <c r="G69" s="117" t="s">
        <v>395</v>
      </c>
      <c r="H69" s="117" t="s">
        <v>396</v>
      </c>
      <c r="I69" s="126">
        <v>0</v>
      </c>
      <c r="J69" s="126" t="s">
        <v>12</v>
      </c>
      <c r="K69" s="126">
        <v>0</v>
      </c>
      <c r="L69" s="126">
        <v>0</v>
      </c>
      <c r="M69" s="126">
        <v>0</v>
      </c>
      <c r="N69" s="126">
        <v>0</v>
      </c>
      <c r="O69" s="126">
        <v>0</v>
      </c>
      <c r="P69" s="136">
        <v>0</v>
      </c>
      <c r="Q69" s="78">
        <v>0</v>
      </c>
      <c r="R69" s="78">
        <v>0</v>
      </c>
      <c r="S69" s="78">
        <v>0</v>
      </c>
      <c r="T69" s="136">
        <v>0</v>
      </c>
      <c r="U69" s="78">
        <v>0</v>
      </c>
      <c r="V69" s="78">
        <v>0</v>
      </c>
      <c r="W69" s="78">
        <v>0</v>
      </c>
      <c r="X69" s="136">
        <v>0</v>
      </c>
      <c r="Y69" s="78">
        <v>0</v>
      </c>
      <c r="Z69" s="78">
        <v>0</v>
      </c>
      <c r="AA69" s="78">
        <v>0</v>
      </c>
      <c r="AB69" s="78">
        <v>0</v>
      </c>
      <c r="AC69" s="258" t="s">
        <v>359</v>
      </c>
      <c r="AD69" s="258" t="s">
        <v>359</v>
      </c>
      <c r="AE69" s="258" t="s">
        <v>359</v>
      </c>
      <c r="AF69" s="258" t="s">
        <v>359</v>
      </c>
      <c r="AG69" s="258" t="s">
        <v>359</v>
      </c>
      <c r="AH69" s="258" t="s">
        <v>359</v>
      </c>
      <c r="AI69" s="258" t="s">
        <v>359</v>
      </c>
      <c r="AJ69" s="258" t="s">
        <v>359</v>
      </c>
      <c r="AK69" s="258" t="s">
        <v>359</v>
      </c>
      <c r="AL69" s="258" t="s">
        <v>359</v>
      </c>
      <c r="AM69" s="258" t="s">
        <v>359</v>
      </c>
      <c r="AN69" s="358" t="s">
        <v>359</v>
      </c>
      <c r="AO69" s="78" t="s">
        <v>359</v>
      </c>
      <c r="AP69" s="78" t="s">
        <v>359</v>
      </c>
      <c r="AQ69" s="78" t="s">
        <v>359</v>
      </c>
      <c r="AR69" s="136" t="s">
        <v>359</v>
      </c>
      <c r="AS69" s="78" t="s">
        <v>359</v>
      </c>
      <c r="AT69" s="78" t="s">
        <v>359</v>
      </c>
      <c r="AU69" s="78" t="s">
        <v>359</v>
      </c>
      <c r="AV69" s="78" t="s">
        <v>359</v>
      </c>
      <c r="AW69" s="78" t="s">
        <v>359</v>
      </c>
      <c r="AX69" s="78" t="s">
        <v>359</v>
      </c>
      <c r="AY69" s="78" t="s">
        <v>359</v>
      </c>
      <c r="AZ69" s="78" t="s">
        <v>359</v>
      </c>
      <c r="BA69" s="78" t="s">
        <v>359</v>
      </c>
      <c r="BB69" s="78" t="s">
        <v>359</v>
      </c>
      <c r="BC69" s="78" t="s">
        <v>359</v>
      </c>
      <c r="BD69" s="78" t="s">
        <v>359</v>
      </c>
      <c r="BE69" s="78">
        <v>0</v>
      </c>
      <c r="BF69" s="78">
        <v>0</v>
      </c>
      <c r="BG69" s="78">
        <v>0</v>
      </c>
      <c r="BH69" s="136">
        <v>0</v>
      </c>
      <c r="BI69" s="78">
        <v>0</v>
      </c>
      <c r="BJ69" s="78">
        <v>0</v>
      </c>
      <c r="BK69" s="78">
        <v>0</v>
      </c>
      <c r="BL69" s="136">
        <v>0</v>
      </c>
      <c r="BM69" s="78">
        <v>0</v>
      </c>
      <c r="BN69" s="78">
        <v>0</v>
      </c>
      <c r="BO69" s="78">
        <v>0</v>
      </c>
      <c r="BP69" s="136">
        <v>0</v>
      </c>
      <c r="BQ69" s="78" t="s">
        <v>359</v>
      </c>
      <c r="BR69" s="78" t="s">
        <v>359</v>
      </c>
      <c r="BS69" s="78" t="s">
        <v>359</v>
      </c>
      <c r="BT69" s="136" t="s">
        <v>359</v>
      </c>
      <c r="BU69" s="79" t="s">
        <v>359</v>
      </c>
      <c r="BV69" s="79" t="s">
        <v>359</v>
      </c>
      <c r="BW69" s="79" t="s">
        <v>359</v>
      </c>
      <c r="BX69" s="163" t="s">
        <v>359</v>
      </c>
      <c r="BY69" s="80" t="s">
        <v>359</v>
      </c>
      <c r="BZ69" s="80" t="s">
        <v>359</v>
      </c>
      <c r="CA69" s="80" t="s">
        <v>359</v>
      </c>
      <c r="CB69" s="80" t="s">
        <v>359</v>
      </c>
    </row>
    <row r="70" spans="1:80" s="78" customFormat="1" ht="14.5" customHeight="1" x14ac:dyDescent="0.35">
      <c r="A70" s="413"/>
      <c r="B70" s="256" t="s">
        <v>334</v>
      </c>
      <c r="C70" s="76" t="s">
        <v>184</v>
      </c>
      <c r="D70" s="257" t="s">
        <v>335</v>
      </c>
      <c r="E70" s="6">
        <v>0</v>
      </c>
      <c r="F70" s="105">
        <v>0</v>
      </c>
      <c r="G70" s="117" t="s">
        <v>395</v>
      </c>
      <c r="H70" s="117" t="s">
        <v>396</v>
      </c>
      <c r="I70" s="126">
        <v>0</v>
      </c>
      <c r="J70" s="126" t="s">
        <v>12</v>
      </c>
      <c r="K70" s="126">
        <v>0</v>
      </c>
      <c r="L70" s="126">
        <v>0</v>
      </c>
      <c r="M70" s="126">
        <v>0</v>
      </c>
      <c r="N70" s="126">
        <v>0</v>
      </c>
      <c r="O70" s="126">
        <v>0</v>
      </c>
      <c r="P70" s="136">
        <v>0</v>
      </c>
      <c r="Q70" s="78">
        <v>0</v>
      </c>
      <c r="R70" s="78">
        <v>0</v>
      </c>
      <c r="S70" s="78">
        <v>0</v>
      </c>
      <c r="T70" s="136">
        <v>0</v>
      </c>
      <c r="U70" s="78">
        <v>0</v>
      </c>
      <c r="V70" s="78">
        <v>0</v>
      </c>
      <c r="W70" s="78">
        <v>0</v>
      </c>
      <c r="X70" s="136">
        <v>0</v>
      </c>
      <c r="Y70" s="78">
        <v>0</v>
      </c>
      <c r="Z70" s="78">
        <v>0</v>
      </c>
      <c r="AA70" s="78">
        <v>0</v>
      </c>
      <c r="AB70" s="78">
        <v>0</v>
      </c>
      <c r="AC70" s="258" t="s">
        <v>359</v>
      </c>
      <c r="AD70" s="258" t="s">
        <v>359</v>
      </c>
      <c r="AE70" s="258" t="s">
        <v>359</v>
      </c>
      <c r="AF70" s="258" t="s">
        <v>359</v>
      </c>
      <c r="AG70" s="258" t="s">
        <v>359</v>
      </c>
      <c r="AH70" s="258" t="s">
        <v>359</v>
      </c>
      <c r="AI70" s="258" t="s">
        <v>359</v>
      </c>
      <c r="AJ70" s="258" t="s">
        <v>359</v>
      </c>
      <c r="AK70" s="258" t="s">
        <v>359</v>
      </c>
      <c r="AL70" s="258" t="s">
        <v>359</v>
      </c>
      <c r="AM70" s="258" t="s">
        <v>359</v>
      </c>
      <c r="AN70" s="358" t="s">
        <v>359</v>
      </c>
      <c r="AO70" s="78" t="s">
        <v>359</v>
      </c>
      <c r="AP70" s="78" t="s">
        <v>359</v>
      </c>
      <c r="AQ70" s="78" t="s">
        <v>359</v>
      </c>
      <c r="AR70" s="136" t="s">
        <v>359</v>
      </c>
      <c r="AS70" s="78" t="s">
        <v>359</v>
      </c>
      <c r="AT70" s="78" t="s">
        <v>359</v>
      </c>
      <c r="AU70" s="78" t="s">
        <v>359</v>
      </c>
      <c r="AV70" s="78" t="s">
        <v>359</v>
      </c>
      <c r="AW70" s="78" t="s">
        <v>359</v>
      </c>
      <c r="AX70" s="78" t="s">
        <v>359</v>
      </c>
      <c r="AY70" s="78" t="s">
        <v>359</v>
      </c>
      <c r="AZ70" s="78" t="s">
        <v>359</v>
      </c>
      <c r="BA70" s="78" t="s">
        <v>359</v>
      </c>
      <c r="BB70" s="78" t="s">
        <v>359</v>
      </c>
      <c r="BC70" s="78" t="s">
        <v>359</v>
      </c>
      <c r="BD70" s="78" t="s">
        <v>359</v>
      </c>
      <c r="BE70" s="78">
        <v>0</v>
      </c>
      <c r="BF70" s="78">
        <v>0</v>
      </c>
      <c r="BG70" s="78">
        <v>0</v>
      </c>
      <c r="BH70" s="136">
        <v>0</v>
      </c>
      <c r="BI70" s="78">
        <v>0</v>
      </c>
      <c r="BJ70" s="78">
        <v>0</v>
      </c>
      <c r="BK70" s="78">
        <v>0</v>
      </c>
      <c r="BL70" s="136">
        <v>0</v>
      </c>
      <c r="BM70" s="78">
        <v>0</v>
      </c>
      <c r="BN70" s="78">
        <v>0</v>
      </c>
      <c r="BO70" s="78">
        <v>0</v>
      </c>
      <c r="BP70" s="136">
        <v>0</v>
      </c>
      <c r="BQ70" s="78" t="s">
        <v>359</v>
      </c>
      <c r="BR70" s="78" t="s">
        <v>359</v>
      </c>
      <c r="BS70" s="78" t="s">
        <v>359</v>
      </c>
      <c r="BT70" s="136" t="s">
        <v>359</v>
      </c>
      <c r="BU70" s="79" t="s">
        <v>359</v>
      </c>
      <c r="BV70" s="79" t="s">
        <v>359</v>
      </c>
      <c r="BW70" s="79" t="s">
        <v>359</v>
      </c>
      <c r="BX70" s="163" t="s">
        <v>359</v>
      </c>
      <c r="BY70" s="80" t="s">
        <v>359</v>
      </c>
      <c r="BZ70" s="80" t="s">
        <v>359</v>
      </c>
      <c r="CA70" s="80" t="s">
        <v>359</v>
      </c>
      <c r="CB70" s="80" t="s">
        <v>359</v>
      </c>
    </row>
    <row r="71" spans="1:80" s="266" customFormat="1" ht="14.5" customHeight="1" x14ac:dyDescent="0.35">
      <c r="A71" s="413"/>
      <c r="B71" s="259" t="s">
        <v>14</v>
      </c>
      <c r="C71" s="260" t="s">
        <v>184</v>
      </c>
      <c r="D71" s="261" t="s">
        <v>182</v>
      </c>
      <c r="E71" s="6">
        <v>0</v>
      </c>
      <c r="F71" s="262">
        <v>0</v>
      </c>
      <c r="G71" s="263" t="s">
        <v>395</v>
      </c>
      <c r="H71" s="263" t="s">
        <v>12</v>
      </c>
      <c r="I71" s="265">
        <v>0</v>
      </c>
      <c r="J71" s="265" t="s">
        <v>12</v>
      </c>
      <c r="K71" s="265">
        <v>0</v>
      </c>
      <c r="L71" s="265">
        <v>0</v>
      </c>
      <c r="M71" s="265">
        <v>0</v>
      </c>
      <c r="N71" s="265">
        <v>0</v>
      </c>
      <c r="O71" s="265">
        <v>0</v>
      </c>
      <c r="P71" s="264">
        <v>0</v>
      </c>
      <c r="Q71" s="266">
        <v>0</v>
      </c>
      <c r="R71" s="266">
        <v>0</v>
      </c>
      <c r="S71" s="266">
        <v>0</v>
      </c>
      <c r="T71" s="264">
        <v>0</v>
      </c>
      <c r="U71" s="266">
        <v>0</v>
      </c>
      <c r="V71" s="266">
        <v>0</v>
      </c>
      <c r="W71" s="266">
        <v>0</v>
      </c>
      <c r="X71" s="264">
        <v>0</v>
      </c>
      <c r="Y71" s="266">
        <v>0</v>
      </c>
      <c r="Z71" s="266">
        <v>0</v>
      </c>
      <c r="AA71" s="266">
        <v>0</v>
      </c>
      <c r="AB71" s="266">
        <v>0</v>
      </c>
      <c r="AC71" s="267" t="s">
        <v>359</v>
      </c>
      <c r="AD71" s="267" t="s">
        <v>359</v>
      </c>
      <c r="AE71" s="267" t="s">
        <v>359</v>
      </c>
      <c r="AF71" s="267" t="s">
        <v>359</v>
      </c>
      <c r="AG71" s="267" t="s">
        <v>359</v>
      </c>
      <c r="AH71" s="267" t="s">
        <v>359</v>
      </c>
      <c r="AI71" s="267" t="s">
        <v>359</v>
      </c>
      <c r="AJ71" s="267" t="s">
        <v>359</v>
      </c>
      <c r="AK71" s="267" t="s">
        <v>359</v>
      </c>
      <c r="AL71" s="267" t="s">
        <v>359</v>
      </c>
      <c r="AM71" s="267" t="s">
        <v>359</v>
      </c>
      <c r="AN71" s="359" t="s">
        <v>359</v>
      </c>
      <c r="AO71" s="266" t="s">
        <v>359</v>
      </c>
      <c r="AP71" s="266" t="s">
        <v>359</v>
      </c>
      <c r="AQ71" s="266" t="s">
        <v>359</v>
      </c>
      <c r="AR71" s="264" t="s">
        <v>359</v>
      </c>
      <c r="AS71" s="266" t="s">
        <v>359</v>
      </c>
      <c r="AT71" s="266" t="s">
        <v>359</v>
      </c>
      <c r="AU71" s="266" t="s">
        <v>359</v>
      </c>
      <c r="AV71" s="266" t="s">
        <v>359</v>
      </c>
      <c r="AW71" s="266" t="s">
        <v>359</v>
      </c>
      <c r="AX71" s="266" t="s">
        <v>359</v>
      </c>
      <c r="AY71" s="266" t="s">
        <v>359</v>
      </c>
      <c r="AZ71" s="266" t="s">
        <v>359</v>
      </c>
      <c r="BA71" s="266" t="s">
        <v>359</v>
      </c>
      <c r="BB71" s="266" t="s">
        <v>359</v>
      </c>
      <c r="BC71" s="266" t="s">
        <v>359</v>
      </c>
      <c r="BD71" s="266" t="s">
        <v>359</v>
      </c>
      <c r="BE71" s="266">
        <v>0</v>
      </c>
      <c r="BF71" s="266">
        <v>0</v>
      </c>
      <c r="BG71" s="266">
        <v>0</v>
      </c>
      <c r="BH71" s="264">
        <v>0</v>
      </c>
      <c r="BI71" s="266">
        <v>0</v>
      </c>
      <c r="BJ71" s="266">
        <v>0</v>
      </c>
      <c r="BK71" s="266">
        <v>0</v>
      </c>
      <c r="BL71" s="264">
        <v>0</v>
      </c>
      <c r="BM71" s="266">
        <v>0</v>
      </c>
      <c r="BN71" s="266">
        <v>0</v>
      </c>
      <c r="BO71" s="266">
        <v>0</v>
      </c>
      <c r="BP71" s="264">
        <v>0</v>
      </c>
      <c r="BQ71" s="266" t="s">
        <v>359</v>
      </c>
      <c r="BR71" s="266" t="s">
        <v>359</v>
      </c>
      <c r="BS71" s="266" t="s">
        <v>359</v>
      </c>
      <c r="BT71" s="264" t="s">
        <v>359</v>
      </c>
      <c r="BU71" s="268" t="s">
        <v>359</v>
      </c>
      <c r="BV71" s="268" t="s">
        <v>359</v>
      </c>
      <c r="BW71" s="268" t="s">
        <v>359</v>
      </c>
      <c r="BX71" s="354" t="s">
        <v>359</v>
      </c>
      <c r="BY71" s="269" t="s">
        <v>359</v>
      </c>
      <c r="BZ71" s="269" t="s">
        <v>359</v>
      </c>
      <c r="CA71" s="269" t="s">
        <v>359</v>
      </c>
      <c r="CB71" s="269" t="s">
        <v>359</v>
      </c>
    </row>
    <row r="72" spans="1:80" s="266" customFormat="1" ht="14.5" customHeight="1" x14ac:dyDescent="0.35">
      <c r="A72" s="413"/>
      <c r="B72" s="259" t="s">
        <v>15</v>
      </c>
      <c r="C72" s="260" t="s">
        <v>184</v>
      </c>
      <c r="D72" s="261" t="s">
        <v>183</v>
      </c>
      <c r="E72" s="6">
        <v>0</v>
      </c>
      <c r="F72" s="262">
        <v>0</v>
      </c>
      <c r="G72" s="263" t="s">
        <v>395</v>
      </c>
      <c r="H72" s="263" t="s">
        <v>396</v>
      </c>
      <c r="I72" s="265">
        <v>0</v>
      </c>
      <c r="J72" s="265" t="s">
        <v>12</v>
      </c>
      <c r="K72" s="265">
        <v>0</v>
      </c>
      <c r="L72" s="265">
        <v>0</v>
      </c>
      <c r="M72" s="265">
        <v>0</v>
      </c>
      <c r="N72" s="265">
        <v>0</v>
      </c>
      <c r="O72" s="265">
        <v>0</v>
      </c>
      <c r="P72" s="264">
        <v>0</v>
      </c>
      <c r="Q72" s="266">
        <v>0</v>
      </c>
      <c r="R72" s="266">
        <v>0</v>
      </c>
      <c r="S72" s="266">
        <v>0</v>
      </c>
      <c r="T72" s="264">
        <v>0</v>
      </c>
      <c r="U72" s="266">
        <v>0</v>
      </c>
      <c r="V72" s="266">
        <v>0</v>
      </c>
      <c r="W72" s="266">
        <v>0</v>
      </c>
      <c r="X72" s="264">
        <v>0</v>
      </c>
      <c r="Y72" s="266">
        <v>0</v>
      </c>
      <c r="Z72" s="266">
        <v>0</v>
      </c>
      <c r="AA72" s="266">
        <v>0</v>
      </c>
      <c r="AB72" s="266">
        <v>0</v>
      </c>
      <c r="AC72" s="267" t="s">
        <v>359</v>
      </c>
      <c r="AD72" s="267" t="s">
        <v>359</v>
      </c>
      <c r="AE72" s="267" t="s">
        <v>359</v>
      </c>
      <c r="AF72" s="267" t="s">
        <v>359</v>
      </c>
      <c r="AG72" s="267" t="s">
        <v>359</v>
      </c>
      <c r="AH72" s="267" t="s">
        <v>359</v>
      </c>
      <c r="AI72" s="267" t="s">
        <v>359</v>
      </c>
      <c r="AJ72" s="267" t="s">
        <v>359</v>
      </c>
      <c r="AK72" s="267" t="s">
        <v>359</v>
      </c>
      <c r="AL72" s="267" t="s">
        <v>359</v>
      </c>
      <c r="AM72" s="267" t="s">
        <v>359</v>
      </c>
      <c r="AN72" s="359" t="s">
        <v>359</v>
      </c>
      <c r="AO72" s="266" t="s">
        <v>359</v>
      </c>
      <c r="AP72" s="266" t="s">
        <v>359</v>
      </c>
      <c r="AQ72" s="266" t="s">
        <v>359</v>
      </c>
      <c r="AR72" s="264" t="s">
        <v>359</v>
      </c>
      <c r="AS72" s="266" t="s">
        <v>359</v>
      </c>
      <c r="AT72" s="266" t="s">
        <v>359</v>
      </c>
      <c r="AU72" s="266" t="s">
        <v>359</v>
      </c>
      <c r="AV72" s="266" t="s">
        <v>359</v>
      </c>
      <c r="AW72" s="266" t="s">
        <v>359</v>
      </c>
      <c r="AX72" s="266" t="s">
        <v>359</v>
      </c>
      <c r="AY72" s="266" t="s">
        <v>359</v>
      </c>
      <c r="AZ72" s="266" t="s">
        <v>359</v>
      </c>
      <c r="BA72" s="266" t="s">
        <v>359</v>
      </c>
      <c r="BB72" s="266" t="s">
        <v>359</v>
      </c>
      <c r="BC72" s="266" t="s">
        <v>359</v>
      </c>
      <c r="BD72" s="266" t="s">
        <v>359</v>
      </c>
      <c r="BE72" s="266">
        <v>0</v>
      </c>
      <c r="BF72" s="266">
        <v>0</v>
      </c>
      <c r="BG72" s="266">
        <v>0</v>
      </c>
      <c r="BH72" s="264">
        <v>0</v>
      </c>
      <c r="BI72" s="266">
        <v>0</v>
      </c>
      <c r="BJ72" s="266">
        <v>0</v>
      </c>
      <c r="BK72" s="266">
        <v>0</v>
      </c>
      <c r="BL72" s="264">
        <v>0</v>
      </c>
      <c r="BM72" s="266">
        <v>0</v>
      </c>
      <c r="BN72" s="266">
        <v>0</v>
      </c>
      <c r="BO72" s="266">
        <v>0</v>
      </c>
      <c r="BP72" s="264">
        <v>0</v>
      </c>
      <c r="BQ72" s="266" t="s">
        <v>359</v>
      </c>
      <c r="BR72" s="266" t="s">
        <v>359</v>
      </c>
      <c r="BS72" s="266" t="s">
        <v>359</v>
      </c>
      <c r="BT72" s="264" t="s">
        <v>359</v>
      </c>
      <c r="BU72" s="268" t="s">
        <v>359</v>
      </c>
      <c r="BV72" s="268" t="s">
        <v>359</v>
      </c>
      <c r="BW72" s="268" t="s">
        <v>359</v>
      </c>
      <c r="BX72" s="354" t="s">
        <v>359</v>
      </c>
      <c r="BY72" s="269" t="s">
        <v>359</v>
      </c>
      <c r="BZ72" s="269" t="s">
        <v>359</v>
      </c>
      <c r="CA72" s="269" t="s">
        <v>359</v>
      </c>
      <c r="CB72" s="269" t="s">
        <v>359</v>
      </c>
    </row>
    <row r="73" spans="1:80" s="277" customFormat="1" ht="14.5" customHeight="1" x14ac:dyDescent="0.35">
      <c r="A73" s="413"/>
      <c r="B73" s="270" t="s">
        <v>16</v>
      </c>
      <c r="C73" s="271" t="s">
        <v>184</v>
      </c>
      <c r="D73" s="272" t="s">
        <v>336</v>
      </c>
      <c r="E73" s="6">
        <v>0</v>
      </c>
      <c r="F73" s="273">
        <v>0</v>
      </c>
      <c r="G73" s="274" t="s">
        <v>396</v>
      </c>
      <c r="H73" s="274" t="s">
        <v>396</v>
      </c>
      <c r="I73" s="276">
        <v>0</v>
      </c>
      <c r="J73" s="276" t="s">
        <v>12</v>
      </c>
      <c r="K73" s="276">
        <v>0</v>
      </c>
      <c r="L73" s="276">
        <v>0</v>
      </c>
      <c r="M73" s="276">
        <v>0</v>
      </c>
      <c r="N73" s="276">
        <v>0</v>
      </c>
      <c r="O73" s="276">
        <v>0</v>
      </c>
      <c r="P73" s="275">
        <v>0</v>
      </c>
      <c r="Q73" s="277">
        <v>0</v>
      </c>
      <c r="R73" s="277">
        <v>0</v>
      </c>
      <c r="S73" s="277">
        <v>0</v>
      </c>
      <c r="T73" s="275">
        <v>0</v>
      </c>
      <c r="U73" s="277">
        <v>0</v>
      </c>
      <c r="V73" s="277">
        <v>0</v>
      </c>
      <c r="W73" s="277">
        <v>0</v>
      </c>
      <c r="X73" s="275">
        <v>0</v>
      </c>
      <c r="Y73" s="277">
        <v>0</v>
      </c>
      <c r="Z73" s="277">
        <v>0</v>
      </c>
      <c r="AA73" s="277">
        <v>0</v>
      </c>
      <c r="AB73" s="277">
        <v>0</v>
      </c>
      <c r="AC73" s="278" t="s">
        <v>359</v>
      </c>
      <c r="AD73" s="278" t="s">
        <v>359</v>
      </c>
      <c r="AE73" s="278" t="s">
        <v>359</v>
      </c>
      <c r="AF73" s="278" t="s">
        <v>359</v>
      </c>
      <c r="AG73" s="278" t="s">
        <v>359</v>
      </c>
      <c r="AH73" s="278" t="s">
        <v>359</v>
      </c>
      <c r="AI73" s="278" t="s">
        <v>359</v>
      </c>
      <c r="AJ73" s="278" t="s">
        <v>359</v>
      </c>
      <c r="AK73" s="278" t="s">
        <v>359</v>
      </c>
      <c r="AL73" s="278" t="s">
        <v>359</v>
      </c>
      <c r="AM73" s="278" t="s">
        <v>359</v>
      </c>
      <c r="AN73" s="360" t="s">
        <v>359</v>
      </c>
      <c r="AO73" s="277" t="s">
        <v>359</v>
      </c>
      <c r="AP73" s="277" t="s">
        <v>359</v>
      </c>
      <c r="AQ73" s="277" t="s">
        <v>359</v>
      </c>
      <c r="AR73" s="275" t="s">
        <v>359</v>
      </c>
      <c r="AS73" s="277" t="s">
        <v>359</v>
      </c>
      <c r="AT73" s="277" t="s">
        <v>359</v>
      </c>
      <c r="AU73" s="277" t="s">
        <v>359</v>
      </c>
      <c r="AV73" s="277" t="s">
        <v>359</v>
      </c>
      <c r="AW73" s="277" t="s">
        <v>359</v>
      </c>
      <c r="AX73" s="277" t="s">
        <v>359</v>
      </c>
      <c r="AY73" s="277" t="s">
        <v>359</v>
      </c>
      <c r="AZ73" s="277" t="s">
        <v>359</v>
      </c>
      <c r="BA73" s="277" t="s">
        <v>359</v>
      </c>
      <c r="BB73" s="277" t="s">
        <v>359</v>
      </c>
      <c r="BC73" s="277" t="s">
        <v>359</v>
      </c>
      <c r="BD73" s="277" t="s">
        <v>359</v>
      </c>
      <c r="BE73" s="277">
        <v>0</v>
      </c>
      <c r="BF73" s="277">
        <v>0</v>
      </c>
      <c r="BG73" s="277">
        <v>0</v>
      </c>
      <c r="BH73" s="275">
        <v>0</v>
      </c>
      <c r="BI73" s="277">
        <v>0</v>
      </c>
      <c r="BJ73" s="277">
        <v>0</v>
      </c>
      <c r="BK73" s="277">
        <v>0</v>
      </c>
      <c r="BL73" s="275">
        <v>0</v>
      </c>
      <c r="BM73" s="277">
        <v>0</v>
      </c>
      <c r="BN73" s="277">
        <v>0</v>
      </c>
      <c r="BO73" s="277">
        <v>0</v>
      </c>
      <c r="BP73" s="275">
        <v>0</v>
      </c>
      <c r="BQ73" s="277" t="s">
        <v>359</v>
      </c>
      <c r="BR73" s="277" t="s">
        <v>359</v>
      </c>
      <c r="BS73" s="277" t="s">
        <v>359</v>
      </c>
      <c r="BT73" s="275" t="s">
        <v>359</v>
      </c>
      <c r="BU73" s="279" t="s">
        <v>359</v>
      </c>
      <c r="BV73" s="279" t="s">
        <v>359</v>
      </c>
      <c r="BW73" s="279" t="s">
        <v>359</v>
      </c>
      <c r="BX73" s="355" t="s">
        <v>359</v>
      </c>
      <c r="BY73" s="280" t="s">
        <v>359</v>
      </c>
      <c r="BZ73" s="280" t="s">
        <v>359</v>
      </c>
      <c r="CA73" s="280" t="s">
        <v>359</v>
      </c>
      <c r="CB73" s="280" t="s">
        <v>359</v>
      </c>
    </row>
    <row r="74" spans="1:80" s="277" customFormat="1" ht="14.5" customHeight="1" x14ac:dyDescent="0.35">
      <c r="A74" s="413"/>
      <c r="B74" s="270" t="s">
        <v>16</v>
      </c>
      <c r="C74" s="271" t="s">
        <v>184</v>
      </c>
      <c r="D74" s="272" t="s">
        <v>337</v>
      </c>
      <c r="E74" s="6">
        <v>0</v>
      </c>
      <c r="F74" s="273">
        <v>0</v>
      </c>
      <c r="G74" s="274" t="s">
        <v>396</v>
      </c>
      <c r="H74" s="274" t="s">
        <v>396</v>
      </c>
      <c r="I74" s="276">
        <v>0</v>
      </c>
      <c r="J74" s="276" t="s">
        <v>12</v>
      </c>
      <c r="K74" s="276">
        <v>0</v>
      </c>
      <c r="L74" s="276">
        <v>0</v>
      </c>
      <c r="M74" s="276">
        <v>0</v>
      </c>
      <c r="N74" s="276">
        <v>0</v>
      </c>
      <c r="O74" s="276">
        <v>0</v>
      </c>
      <c r="P74" s="275">
        <v>0</v>
      </c>
      <c r="Q74" s="277">
        <v>0</v>
      </c>
      <c r="R74" s="277">
        <v>0</v>
      </c>
      <c r="S74" s="277">
        <v>0</v>
      </c>
      <c r="T74" s="275">
        <v>0</v>
      </c>
      <c r="U74" s="277">
        <v>0</v>
      </c>
      <c r="V74" s="277">
        <v>0</v>
      </c>
      <c r="W74" s="277">
        <v>0</v>
      </c>
      <c r="X74" s="275">
        <v>0</v>
      </c>
      <c r="Y74" s="277">
        <v>0</v>
      </c>
      <c r="Z74" s="277">
        <v>0</v>
      </c>
      <c r="AA74" s="277">
        <v>0</v>
      </c>
      <c r="AB74" s="277">
        <v>0</v>
      </c>
      <c r="AC74" s="278" t="s">
        <v>359</v>
      </c>
      <c r="AD74" s="278" t="s">
        <v>359</v>
      </c>
      <c r="AE74" s="278" t="s">
        <v>359</v>
      </c>
      <c r="AF74" s="278" t="s">
        <v>359</v>
      </c>
      <c r="AG74" s="278" t="s">
        <v>359</v>
      </c>
      <c r="AH74" s="278" t="s">
        <v>359</v>
      </c>
      <c r="AI74" s="278" t="s">
        <v>359</v>
      </c>
      <c r="AJ74" s="278" t="s">
        <v>359</v>
      </c>
      <c r="AK74" s="278" t="s">
        <v>359</v>
      </c>
      <c r="AL74" s="278" t="s">
        <v>359</v>
      </c>
      <c r="AM74" s="278" t="s">
        <v>359</v>
      </c>
      <c r="AN74" s="360" t="s">
        <v>359</v>
      </c>
      <c r="AO74" s="277" t="s">
        <v>359</v>
      </c>
      <c r="AP74" s="277" t="s">
        <v>359</v>
      </c>
      <c r="AQ74" s="277" t="s">
        <v>359</v>
      </c>
      <c r="AR74" s="275" t="s">
        <v>359</v>
      </c>
      <c r="AS74" s="277" t="s">
        <v>359</v>
      </c>
      <c r="AT74" s="277" t="s">
        <v>359</v>
      </c>
      <c r="AU74" s="277" t="s">
        <v>359</v>
      </c>
      <c r="AV74" s="277" t="s">
        <v>359</v>
      </c>
      <c r="AW74" s="277" t="s">
        <v>359</v>
      </c>
      <c r="AX74" s="277" t="s">
        <v>359</v>
      </c>
      <c r="AY74" s="277" t="s">
        <v>359</v>
      </c>
      <c r="AZ74" s="277" t="s">
        <v>359</v>
      </c>
      <c r="BA74" s="277" t="s">
        <v>359</v>
      </c>
      <c r="BB74" s="277" t="s">
        <v>359</v>
      </c>
      <c r="BC74" s="277" t="s">
        <v>359</v>
      </c>
      <c r="BD74" s="277" t="s">
        <v>359</v>
      </c>
      <c r="BE74" s="277">
        <v>0</v>
      </c>
      <c r="BF74" s="277">
        <v>0</v>
      </c>
      <c r="BG74" s="277">
        <v>0</v>
      </c>
      <c r="BH74" s="275">
        <v>0</v>
      </c>
      <c r="BI74" s="277">
        <v>0</v>
      </c>
      <c r="BJ74" s="277">
        <v>0</v>
      </c>
      <c r="BK74" s="277">
        <v>0</v>
      </c>
      <c r="BL74" s="275">
        <v>0</v>
      </c>
      <c r="BM74" s="277">
        <v>0</v>
      </c>
      <c r="BN74" s="277">
        <v>0</v>
      </c>
      <c r="BO74" s="277">
        <v>0</v>
      </c>
      <c r="BP74" s="275">
        <v>0</v>
      </c>
      <c r="BQ74" s="277" t="s">
        <v>359</v>
      </c>
      <c r="BR74" s="277" t="s">
        <v>359</v>
      </c>
      <c r="BS74" s="277" t="s">
        <v>359</v>
      </c>
      <c r="BT74" s="275" t="s">
        <v>359</v>
      </c>
      <c r="BU74" s="279" t="s">
        <v>359</v>
      </c>
      <c r="BV74" s="279" t="s">
        <v>359</v>
      </c>
      <c r="BW74" s="279" t="s">
        <v>359</v>
      </c>
      <c r="BX74" s="355" t="s">
        <v>359</v>
      </c>
      <c r="BY74" s="280" t="s">
        <v>359</v>
      </c>
      <c r="BZ74" s="280" t="s">
        <v>359</v>
      </c>
      <c r="CA74" s="280" t="s">
        <v>359</v>
      </c>
      <c r="CB74" s="280" t="s">
        <v>359</v>
      </c>
    </row>
    <row r="75" spans="1:80" s="277" customFormat="1" ht="14.5" customHeight="1" x14ac:dyDescent="0.35">
      <c r="A75" s="413"/>
      <c r="B75" s="270" t="s">
        <v>16</v>
      </c>
      <c r="C75" s="271" t="s">
        <v>184</v>
      </c>
      <c r="D75" s="272" t="s">
        <v>415</v>
      </c>
      <c r="E75" s="6">
        <v>0</v>
      </c>
      <c r="F75" s="273">
        <v>0</v>
      </c>
      <c r="G75" s="274" t="s">
        <v>396</v>
      </c>
      <c r="H75" s="274" t="s">
        <v>396</v>
      </c>
      <c r="I75" s="276">
        <v>0</v>
      </c>
      <c r="J75" s="276" t="s">
        <v>12</v>
      </c>
      <c r="K75" s="276">
        <v>0</v>
      </c>
      <c r="L75" s="276">
        <v>0</v>
      </c>
      <c r="M75" s="276">
        <v>0</v>
      </c>
      <c r="N75" s="276">
        <v>0</v>
      </c>
      <c r="O75" s="276">
        <v>0</v>
      </c>
      <c r="P75" s="275">
        <v>0</v>
      </c>
      <c r="Q75" s="277">
        <v>0</v>
      </c>
      <c r="R75" s="277">
        <v>0</v>
      </c>
      <c r="S75" s="277">
        <v>0</v>
      </c>
      <c r="T75" s="275">
        <v>0</v>
      </c>
      <c r="U75" s="277">
        <v>0</v>
      </c>
      <c r="V75" s="277">
        <v>0</v>
      </c>
      <c r="W75" s="277">
        <v>0</v>
      </c>
      <c r="X75" s="275">
        <v>0</v>
      </c>
      <c r="Y75" s="277">
        <v>0</v>
      </c>
      <c r="Z75" s="277">
        <v>0</v>
      </c>
      <c r="AA75" s="277">
        <v>0</v>
      </c>
      <c r="AB75" s="277">
        <v>0</v>
      </c>
      <c r="AC75" s="278" t="s">
        <v>359</v>
      </c>
      <c r="AD75" s="278" t="s">
        <v>359</v>
      </c>
      <c r="AE75" s="278" t="s">
        <v>359</v>
      </c>
      <c r="AF75" s="278" t="s">
        <v>359</v>
      </c>
      <c r="AG75" s="278" t="s">
        <v>359</v>
      </c>
      <c r="AH75" s="278" t="s">
        <v>359</v>
      </c>
      <c r="AI75" s="278" t="s">
        <v>359</v>
      </c>
      <c r="AJ75" s="278" t="s">
        <v>359</v>
      </c>
      <c r="AK75" s="278" t="s">
        <v>359</v>
      </c>
      <c r="AL75" s="278" t="s">
        <v>359</v>
      </c>
      <c r="AM75" s="278" t="s">
        <v>359</v>
      </c>
      <c r="AN75" s="360" t="s">
        <v>359</v>
      </c>
      <c r="AO75" s="277" t="s">
        <v>359</v>
      </c>
      <c r="AP75" s="277" t="s">
        <v>359</v>
      </c>
      <c r="AQ75" s="277" t="s">
        <v>359</v>
      </c>
      <c r="AR75" s="275" t="s">
        <v>359</v>
      </c>
      <c r="AS75" s="277" t="s">
        <v>359</v>
      </c>
      <c r="AT75" s="277" t="s">
        <v>359</v>
      </c>
      <c r="AU75" s="277" t="s">
        <v>359</v>
      </c>
      <c r="AV75" s="277" t="s">
        <v>359</v>
      </c>
      <c r="AW75" s="277" t="s">
        <v>359</v>
      </c>
      <c r="AX75" s="277" t="s">
        <v>359</v>
      </c>
      <c r="AY75" s="277" t="s">
        <v>359</v>
      </c>
      <c r="AZ75" s="277" t="s">
        <v>359</v>
      </c>
      <c r="BA75" s="277" t="s">
        <v>359</v>
      </c>
      <c r="BB75" s="277" t="s">
        <v>359</v>
      </c>
      <c r="BC75" s="277" t="s">
        <v>359</v>
      </c>
      <c r="BD75" s="277" t="s">
        <v>359</v>
      </c>
      <c r="BE75" s="277">
        <v>0</v>
      </c>
      <c r="BF75" s="277">
        <v>0</v>
      </c>
      <c r="BG75" s="277">
        <v>0</v>
      </c>
      <c r="BH75" s="275">
        <v>0</v>
      </c>
      <c r="BI75" s="277">
        <v>0</v>
      </c>
      <c r="BJ75" s="277">
        <v>0</v>
      </c>
      <c r="BK75" s="277">
        <v>0</v>
      </c>
      <c r="BL75" s="275">
        <v>0</v>
      </c>
      <c r="BM75" s="277">
        <v>0</v>
      </c>
      <c r="BN75" s="277">
        <v>0</v>
      </c>
      <c r="BO75" s="277">
        <v>0</v>
      </c>
      <c r="BP75" s="275">
        <v>0</v>
      </c>
      <c r="BQ75" s="277" t="s">
        <v>359</v>
      </c>
      <c r="BR75" s="277" t="s">
        <v>359</v>
      </c>
      <c r="BS75" s="277" t="s">
        <v>359</v>
      </c>
      <c r="BT75" s="275" t="s">
        <v>359</v>
      </c>
      <c r="BU75" s="279" t="s">
        <v>359</v>
      </c>
      <c r="BV75" s="279" t="s">
        <v>359</v>
      </c>
      <c r="BW75" s="279" t="s">
        <v>359</v>
      </c>
      <c r="BX75" s="355" t="s">
        <v>359</v>
      </c>
      <c r="BY75" s="280" t="s">
        <v>359</v>
      </c>
      <c r="BZ75" s="280" t="s">
        <v>359</v>
      </c>
      <c r="CA75" s="280" t="s">
        <v>359</v>
      </c>
      <c r="CB75" s="280" t="s">
        <v>359</v>
      </c>
    </row>
    <row r="76" spans="1:80" s="277" customFormat="1" ht="14.5" customHeight="1" x14ac:dyDescent="0.35">
      <c r="A76" s="413"/>
      <c r="B76" s="270" t="s">
        <v>16</v>
      </c>
      <c r="C76" s="271" t="s">
        <v>184</v>
      </c>
      <c r="D76" s="272" t="s">
        <v>338</v>
      </c>
      <c r="E76" s="6">
        <v>0</v>
      </c>
      <c r="F76" s="273">
        <v>0</v>
      </c>
      <c r="G76" s="274" t="s">
        <v>396</v>
      </c>
      <c r="H76" s="274" t="s">
        <v>396</v>
      </c>
      <c r="I76" s="276">
        <v>0</v>
      </c>
      <c r="J76" s="276" t="s">
        <v>12</v>
      </c>
      <c r="K76" s="276">
        <v>0</v>
      </c>
      <c r="L76" s="276">
        <v>0</v>
      </c>
      <c r="M76" s="276">
        <v>0</v>
      </c>
      <c r="N76" s="276">
        <v>0</v>
      </c>
      <c r="O76" s="276">
        <v>0</v>
      </c>
      <c r="P76" s="275">
        <v>0</v>
      </c>
      <c r="Q76" s="277">
        <v>0</v>
      </c>
      <c r="R76" s="277">
        <v>0</v>
      </c>
      <c r="S76" s="277">
        <v>0</v>
      </c>
      <c r="T76" s="275">
        <v>0</v>
      </c>
      <c r="U76" s="277">
        <v>0</v>
      </c>
      <c r="V76" s="277">
        <v>0</v>
      </c>
      <c r="W76" s="277">
        <v>0</v>
      </c>
      <c r="X76" s="275">
        <v>0</v>
      </c>
      <c r="Y76" s="277">
        <v>0</v>
      </c>
      <c r="Z76" s="277">
        <v>0</v>
      </c>
      <c r="AA76" s="277">
        <v>0</v>
      </c>
      <c r="AB76" s="277">
        <v>0</v>
      </c>
      <c r="AC76" s="278" t="s">
        <v>359</v>
      </c>
      <c r="AD76" s="278" t="s">
        <v>359</v>
      </c>
      <c r="AE76" s="278" t="s">
        <v>359</v>
      </c>
      <c r="AF76" s="278" t="s">
        <v>359</v>
      </c>
      <c r="AG76" s="278" t="s">
        <v>359</v>
      </c>
      <c r="AH76" s="278" t="s">
        <v>359</v>
      </c>
      <c r="AI76" s="278" t="s">
        <v>359</v>
      </c>
      <c r="AJ76" s="278" t="s">
        <v>359</v>
      </c>
      <c r="AK76" s="278" t="s">
        <v>359</v>
      </c>
      <c r="AL76" s="278" t="s">
        <v>359</v>
      </c>
      <c r="AM76" s="278" t="s">
        <v>359</v>
      </c>
      <c r="AN76" s="360" t="s">
        <v>359</v>
      </c>
      <c r="AO76" s="277" t="s">
        <v>359</v>
      </c>
      <c r="AP76" s="277" t="s">
        <v>359</v>
      </c>
      <c r="AQ76" s="277" t="s">
        <v>359</v>
      </c>
      <c r="AR76" s="275" t="s">
        <v>359</v>
      </c>
      <c r="AS76" s="277" t="s">
        <v>359</v>
      </c>
      <c r="AT76" s="277" t="s">
        <v>359</v>
      </c>
      <c r="AU76" s="277" t="s">
        <v>359</v>
      </c>
      <c r="AV76" s="277" t="s">
        <v>359</v>
      </c>
      <c r="AW76" s="277" t="s">
        <v>359</v>
      </c>
      <c r="AX76" s="277" t="s">
        <v>359</v>
      </c>
      <c r="AY76" s="277" t="s">
        <v>359</v>
      </c>
      <c r="AZ76" s="277" t="s">
        <v>359</v>
      </c>
      <c r="BA76" s="277" t="s">
        <v>359</v>
      </c>
      <c r="BB76" s="277" t="s">
        <v>359</v>
      </c>
      <c r="BC76" s="277" t="s">
        <v>359</v>
      </c>
      <c r="BD76" s="277" t="s">
        <v>359</v>
      </c>
      <c r="BE76" s="277">
        <v>0</v>
      </c>
      <c r="BF76" s="277">
        <v>0</v>
      </c>
      <c r="BG76" s="277">
        <v>0</v>
      </c>
      <c r="BH76" s="275">
        <v>0</v>
      </c>
      <c r="BI76" s="277">
        <v>0</v>
      </c>
      <c r="BJ76" s="277">
        <v>0</v>
      </c>
      <c r="BK76" s="277">
        <v>0</v>
      </c>
      <c r="BL76" s="275">
        <v>0</v>
      </c>
      <c r="BM76" s="277">
        <v>0</v>
      </c>
      <c r="BN76" s="277">
        <v>0</v>
      </c>
      <c r="BO76" s="277">
        <v>0</v>
      </c>
      <c r="BP76" s="275">
        <v>0</v>
      </c>
      <c r="BQ76" s="277" t="s">
        <v>359</v>
      </c>
      <c r="BR76" s="277" t="s">
        <v>359</v>
      </c>
      <c r="BS76" s="277" t="s">
        <v>359</v>
      </c>
      <c r="BT76" s="275" t="s">
        <v>359</v>
      </c>
      <c r="BU76" s="279" t="s">
        <v>359</v>
      </c>
      <c r="BV76" s="279" t="s">
        <v>359</v>
      </c>
      <c r="BW76" s="279" t="s">
        <v>359</v>
      </c>
      <c r="BX76" s="355" t="s">
        <v>359</v>
      </c>
      <c r="BY76" s="280" t="s">
        <v>359</v>
      </c>
      <c r="BZ76" s="280" t="s">
        <v>359</v>
      </c>
      <c r="CA76" s="280" t="s">
        <v>359</v>
      </c>
      <c r="CB76" s="280" t="s">
        <v>359</v>
      </c>
    </row>
    <row r="77" spans="1:80" ht="14.5" customHeight="1" x14ac:dyDescent="0.35">
      <c r="A77" s="413"/>
      <c r="B77" s="171" t="s">
        <v>184</v>
      </c>
      <c r="C77" s="7" t="s">
        <v>184</v>
      </c>
      <c r="D77" s="169" t="s">
        <v>339</v>
      </c>
      <c r="E77" s="6">
        <v>0</v>
      </c>
      <c r="F77" s="108">
        <v>0</v>
      </c>
      <c r="G77" s="120" t="s">
        <v>12</v>
      </c>
      <c r="H77" s="120" t="s">
        <v>12</v>
      </c>
      <c r="I77" s="121">
        <v>0</v>
      </c>
      <c r="J77" s="121" t="s">
        <v>12</v>
      </c>
      <c r="K77" s="121">
        <v>0</v>
      </c>
      <c r="L77" s="121">
        <v>0</v>
      </c>
      <c r="M77" s="121">
        <v>0</v>
      </c>
      <c r="N77" s="121">
        <v>0</v>
      </c>
      <c r="O77" s="121">
        <v>0</v>
      </c>
      <c r="P77" s="15">
        <v>0</v>
      </c>
      <c r="Q77">
        <v>0</v>
      </c>
      <c r="R77">
        <v>0</v>
      </c>
      <c r="S77">
        <v>0</v>
      </c>
      <c r="T77" s="15">
        <v>0</v>
      </c>
      <c r="U77">
        <v>0</v>
      </c>
      <c r="V77">
        <v>0</v>
      </c>
      <c r="W77">
        <v>0</v>
      </c>
      <c r="X77" s="15">
        <v>0</v>
      </c>
      <c r="Y77">
        <v>0</v>
      </c>
      <c r="Z77">
        <v>0</v>
      </c>
      <c r="AA77">
        <v>0</v>
      </c>
      <c r="AB77">
        <v>0</v>
      </c>
      <c r="AC77" s="170" t="s">
        <v>359</v>
      </c>
      <c r="AD77" s="170" t="s">
        <v>359</v>
      </c>
      <c r="AE77" s="170" t="s">
        <v>359</v>
      </c>
      <c r="AF77" s="170" t="s">
        <v>359</v>
      </c>
      <c r="AG77" s="170" t="s">
        <v>359</v>
      </c>
      <c r="AH77" s="170" t="s">
        <v>359</v>
      </c>
      <c r="AI77" s="170" t="s">
        <v>359</v>
      </c>
      <c r="AJ77" s="170" t="s">
        <v>359</v>
      </c>
      <c r="AK77" s="170" t="s">
        <v>359</v>
      </c>
      <c r="AL77" s="170" t="s">
        <v>359</v>
      </c>
      <c r="AM77" s="170" t="s">
        <v>359</v>
      </c>
      <c r="AN77" s="361" t="s">
        <v>359</v>
      </c>
      <c r="AO77" t="s">
        <v>359</v>
      </c>
      <c r="AP77" t="s">
        <v>359</v>
      </c>
      <c r="AQ77" t="s">
        <v>359</v>
      </c>
      <c r="AR77" s="15" t="s">
        <v>359</v>
      </c>
      <c r="AS77" t="s">
        <v>359</v>
      </c>
      <c r="AT77" t="s">
        <v>359</v>
      </c>
      <c r="AU77" t="s">
        <v>359</v>
      </c>
      <c r="AV77" t="s">
        <v>359</v>
      </c>
      <c r="AW77" t="s">
        <v>359</v>
      </c>
      <c r="AX77" t="s">
        <v>359</v>
      </c>
      <c r="AY77" t="s">
        <v>359</v>
      </c>
      <c r="AZ77" t="s">
        <v>359</v>
      </c>
      <c r="BA77" t="s">
        <v>359</v>
      </c>
      <c r="BB77" t="s">
        <v>359</v>
      </c>
      <c r="BC77" t="s">
        <v>359</v>
      </c>
      <c r="BD77" t="s">
        <v>359</v>
      </c>
      <c r="BE77">
        <v>0</v>
      </c>
      <c r="BF77">
        <v>0</v>
      </c>
      <c r="BG77">
        <v>0</v>
      </c>
      <c r="BH77" s="15">
        <v>0</v>
      </c>
      <c r="BI77">
        <v>0</v>
      </c>
      <c r="BJ77">
        <v>0</v>
      </c>
      <c r="BK77">
        <v>0</v>
      </c>
      <c r="BL77" s="15">
        <v>0</v>
      </c>
      <c r="BM77">
        <v>0</v>
      </c>
      <c r="BN77">
        <v>0</v>
      </c>
      <c r="BO77">
        <v>0</v>
      </c>
      <c r="BP77" s="15">
        <v>0</v>
      </c>
      <c r="BQ77" t="s">
        <v>359</v>
      </c>
      <c r="BR77" t="s">
        <v>359</v>
      </c>
      <c r="BS77" t="s">
        <v>359</v>
      </c>
      <c r="BT77" s="15" t="s">
        <v>359</v>
      </c>
      <c r="BU77" s="17" t="s">
        <v>359</v>
      </c>
      <c r="BV77" s="17" t="s">
        <v>359</v>
      </c>
      <c r="BW77" s="17" t="s">
        <v>359</v>
      </c>
      <c r="BX77" s="166" t="s">
        <v>359</v>
      </c>
      <c r="BY77" s="9" t="s">
        <v>359</v>
      </c>
      <c r="BZ77" s="9" t="s">
        <v>359</v>
      </c>
      <c r="CA77" s="9" t="s">
        <v>359</v>
      </c>
      <c r="CB77" s="9" t="s">
        <v>359</v>
      </c>
    </row>
    <row r="78" spans="1:80" s="213" customFormat="1" x14ac:dyDescent="0.35">
      <c r="A78" s="413"/>
      <c r="B78" s="281" t="s">
        <v>18</v>
      </c>
      <c r="C78" s="207" t="s">
        <v>23</v>
      </c>
      <c r="D78" s="282" t="s">
        <v>32</v>
      </c>
      <c r="E78" s="6">
        <v>0</v>
      </c>
      <c r="F78" s="208">
        <v>0</v>
      </c>
      <c r="G78" s="209" t="s">
        <v>395</v>
      </c>
      <c r="H78" s="209" t="s">
        <v>396</v>
      </c>
      <c r="I78" s="212">
        <v>0</v>
      </c>
      <c r="J78" s="212" t="s">
        <v>12</v>
      </c>
      <c r="K78" s="212">
        <v>0</v>
      </c>
      <c r="L78" s="212">
        <v>0</v>
      </c>
      <c r="M78" s="326">
        <v>0</v>
      </c>
      <c r="N78" s="212">
        <v>0</v>
      </c>
      <c r="O78" s="212">
        <v>0</v>
      </c>
      <c r="P78" s="210">
        <v>0</v>
      </c>
      <c r="Q78" s="233">
        <v>0</v>
      </c>
      <c r="R78" s="233">
        <v>0</v>
      </c>
      <c r="S78" s="233">
        <v>0</v>
      </c>
      <c r="T78" s="232">
        <v>0</v>
      </c>
      <c r="U78" s="213">
        <v>0</v>
      </c>
      <c r="V78" s="213">
        <v>0</v>
      </c>
      <c r="W78" s="213">
        <v>0</v>
      </c>
      <c r="X78" s="210">
        <v>0</v>
      </c>
      <c r="Y78" s="213">
        <v>0</v>
      </c>
      <c r="Z78" s="213">
        <v>0</v>
      </c>
      <c r="AA78" s="213">
        <v>0</v>
      </c>
      <c r="AB78" s="210">
        <v>0</v>
      </c>
      <c r="AC78" s="214">
        <v>0</v>
      </c>
      <c r="AD78" s="214">
        <v>0</v>
      </c>
      <c r="AE78" s="214">
        <v>0</v>
      </c>
      <c r="AF78" s="215">
        <v>0</v>
      </c>
      <c r="AG78" s="214">
        <v>0</v>
      </c>
      <c r="AH78" s="214">
        <v>0</v>
      </c>
      <c r="AI78" s="214">
        <v>0</v>
      </c>
      <c r="AJ78" s="215">
        <v>0</v>
      </c>
      <c r="AK78" s="214">
        <v>0</v>
      </c>
      <c r="AL78" s="214">
        <v>0</v>
      </c>
      <c r="AM78" s="214">
        <v>0</v>
      </c>
      <c r="AN78" s="215">
        <v>0</v>
      </c>
      <c r="AO78" s="213">
        <v>0</v>
      </c>
      <c r="AP78" s="213">
        <v>0</v>
      </c>
      <c r="AQ78" s="213">
        <v>0</v>
      </c>
      <c r="AR78" s="210">
        <v>0</v>
      </c>
      <c r="AS78" s="213">
        <v>0</v>
      </c>
      <c r="AT78" s="213">
        <v>0</v>
      </c>
      <c r="AU78" s="213">
        <v>0</v>
      </c>
      <c r="AV78" s="210">
        <v>0</v>
      </c>
      <c r="AW78" s="213">
        <v>0</v>
      </c>
      <c r="AX78" s="213">
        <v>0</v>
      </c>
      <c r="AY78" s="213">
        <v>0</v>
      </c>
      <c r="AZ78" s="210">
        <v>0</v>
      </c>
      <c r="BA78" s="213" t="s">
        <v>232</v>
      </c>
      <c r="BB78" s="213" t="s">
        <v>232</v>
      </c>
      <c r="BC78" s="213" t="s">
        <v>232</v>
      </c>
      <c r="BD78" s="210" t="s">
        <v>232</v>
      </c>
      <c r="BE78" s="213">
        <v>0</v>
      </c>
      <c r="BF78" s="213">
        <v>0</v>
      </c>
      <c r="BG78" s="213">
        <v>0</v>
      </c>
      <c r="BH78" s="210">
        <v>0</v>
      </c>
      <c r="BI78" s="213">
        <v>0</v>
      </c>
      <c r="BJ78" s="213">
        <v>0</v>
      </c>
      <c r="BK78" s="213">
        <v>0</v>
      </c>
      <c r="BL78" s="210">
        <v>0</v>
      </c>
      <c r="BM78" s="213">
        <v>0</v>
      </c>
      <c r="BN78" s="213">
        <v>0</v>
      </c>
      <c r="BO78" s="213">
        <v>0</v>
      </c>
      <c r="BP78" s="210">
        <v>0</v>
      </c>
      <c r="BQ78" s="213">
        <v>0</v>
      </c>
      <c r="BR78" s="213">
        <v>0</v>
      </c>
      <c r="BS78" s="213">
        <v>0</v>
      </c>
      <c r="BT78" s="210">
        <v>0</v>
      </c>
      <c r="BU78" s="216">
        <v>0</v>
      </c>
      <c r="BV78" s="216">
        <v>0</v>
      </c>
      <c r="BW78" s="216">
        <v>0</v>
      </c>
      <c r="BX78" s="211">
        <v>0</v>
      </c>
      <c r="BY78" s="214">
        <v>0</v>
      </c>
      <c r="BZ78" s="214">
        <v>0</v>
      </c>
      <c r="CA78" s="214">
        <v>0</v>
      </c>
      <c r="CB78" s="214">
        <v>0</v>
      </c>
    </row>
    <row r="79" spans="1:80" s="213" customFormat="1" x14ac:dyDescent="0.35">
      <c r="A79" s="413"/>
      <c r="B79" s="281" t="s">
        <v>159</v>
      </c>
      <c r="C79" s="207" t="s">
        <v>24</v>
      </c>
      <c r="D79" s="282" t="s">
        <v>185</v>
      </c>
      <c r="E79" s="6">
        <v>0</v>
      </c>
      <c r="F79" s="208">
        <v>0</v>
      </c>
      <c r="G79" s="209" t="s">
        <v>395</v>
      </c>
      <c r="H79" s="209" t="s">
        <v>396</v>
      </c>
      <c r="I79" s="212">
        <v>0</v>
      </c>
      <c r="J79" s="212" t="s">
        <v>12</v>
      </c>
      <c r="K79" s="212">
        <v>0</v>
      </c>
      <c r="L79" s="212">
        <v>0</v>
      </c>
      <c r="M79" s="326">
        <v>0</v>
      </c>
      <c r="N79" s="212">
        <v>0</v>
      </c>
      <c r="O79" s="212">
        <v>0</v>
      </c>
      <c r="P79" s="210">
        <v>0</v>
      </c>
      <c r="Q79" s="213">
        <v>0</v>
      </c>
      <c r="R79" s="213">
        <v>0</v>
      </c>
      <c r="S79" s="213">
        <v>0</v>
      </c>
      <c r="T79" s="210">
        <v>0</v>
      </c>
      <c r="U79" s="213">
        <v>0</v>
      </c>
      <c r="V79" s="213">
        <v>0</v>
      </c>
      <c r="W79" s="213">
        <v>0</v>
      </c>
      <c r="X79" s="210">
        <v>0</v>
      </c>
      <c r="Y79" s="213">
        <v>0</v>
      </c>
      <c r="Z79" s="213">
        <v>0</v>
      </c>
      <c r="AA79" s="213">
        <v>0</v>
      </c>
      <c r="AB79" s="210">
        <v>0</v>
      </c>
      <c r="AC79" s="214">
        <v>0</v>
      </c>
      <c r="AD79" s="214">
        <v>0</v>
      </c>
      <c r="AE79" s="214">
        <v>0</v>
      </c>
      <c r="AF79" s="215">
        <v>0</v>
      </c>
      <c r="AG79" s="214">
        <v>0</v>
      </c>
      <c r="AH79" s="214">
        <v>0</v>
      </c>
      <c r="AI79" s="214">
        <v>0</v>
      </c>
      <c r="AJ79" s="215">
        <v>0</v>
      </c>
      <c r="AK79" s="214">
        <v>0</v>
      </c>
      <c r="AL79" s="214">
        <v>0</v>
      </c>
      <c r="AM79" s="214">
        <v>0</v>
      </c>
      <c r="AN79" s="215">
        <v>0</v>
      </c>
      <c r="AO79" s="213">
        <v>0</v>
      </c>
      <c r="AP79" s="213">
        <v>0</v>
      </c>
      <c r="AQ79" s="213">
        <v>0</v>
      </c>
      <c r="AR79" s="210">
        <v>0</v>
      </c>
      <c r="AS79" s="213">
        <v>0</v>
      </c>
      <c r="AT79" s="213">
        <v>0</v>
      </c>
      <c r="AU79" s="213">
        <v>0</v>
      </c>
      <c r="AV79" s="210">
        <v>0</v>
      </c>
      <c r="AW79" s="213">
        <v>0</v>
      </c>
      <c r="AX79" s="213">
        <v>0</v>
      </c>
      <c r="AY79" s="213">
        <v>0</v>
      </c>
      <c r="AZ79" s="210">
        <v>0</v>
      </c>
      <c r="BA79" s="213">
        <v>0</v>
      </c>
      <c r="BB79" s="213">
        <v>0</v>
      </c>
      <c r="BC79" s="213">
        <v>0</v>
      </c>
      <c r="BD79" s="210">
        <v>0</v>
      </c>
      <c r="BE79" s="213">
        <v>0</v>
      </c>
      <c r="BF79" s="213">
        <v>0</v>
      </c>
      <c r="BG79" s="213">
        <v>0</v>
      </c>
      <c r="BH79" s="210">
        <v>0</v>
      </c>
      <c r="BI79" s="213">
        <v>0</v>
      </c>
      <c r="BJ79" s="213">
        <v>0</v>
      </c>
      <c r="BK79" s="213">
        <v>0</v>
      </c>
      <c r="BL79" s="210">
        <v>0</v>
      </c>
      <c r="BM79" s="213">
        <v>0</v>
      </c>
      <c r="BN79" s="213">
        <v>0</v>
      </c>
      <c r="BO79" s="213">
        <v>0</v>
      </c>
      <c r="BP79" s="210">
        <v>0</v>
      </c>
      <c r="BQ79" s="213">
        <v>0</v>
      </c>
      <c r="BR79" s="213">
        <v>0</v>
      </c>
      <c r="BS79" s="213">
        <v>0</v>
      </c>
      <c r="BT79" s="210">
        <v>0</v>
      </c>
      <c r="BU79" s="213">
        <v>0</v>
      </c>
      <c r="BV79" s="213">
        <v>0</v>
      </c>
      <c r="BW79" s="213">
        <v>0</v>
      </c>
      <c r="BX79" s="210">
        <v>0</v>
      </c>
      <c r="BY79" s="214">
        <v>0</v>
      </c>
      <c r="BZ79" s="214">
        <v>0</v>
      </c>
      <c r="CA79" s="214">
        <v>0</v>
      </c>
      <c r="CB79" s="214">
        <v>0</v>
      </c>
    </row>
    <row r="80" spans="1:80" s="37" customFormat="1" x14ac:dyDescent="0.35">
      <c r="A80" s="413"/>
      <c r="B80" s="248" t="s">
        <v>14</v>
      </c>
      <c r="C80" s="234" t="s">
        <v>184</v>
      </c>
      <c r="D80" s="249" t="s">
        <v>33</v>
      </c>
      <c r="E80" s="6">
        <v>0</v>
      </c>
      <c r="F80" s="220">
        <v>0</v>
      </c>
      <c r="G80" s="221" t="s">
        <v>395</v>
      </c>
      <c r="H80" s="221" t="s">
        <v>396</v>
      </c>
      <c r="I80" s="224">
        <v>0</v>
      </c>
      <c r="J80" s="224" t="s">
        <v>12</v>
      </c>
      <c r="K80" s="224">
        <v>0</v>
      </c>
      <c r="L80" s="224">
        <v>0</v>
      </c>
      <c r="M80" s="323">
        <v>0</v>
      </c>
      <c r="N80" s="224">
        <v>0</v>
      </c>
      <c r="O80" s="224">
        <v>0</v>
      </c>
      <c r="P80" s="222">
        <v>0</v>
      </c>
      <c r="Q80" s="236">
        <v>0</v>
      </c>
      <c r="R80" s="236">
        <v>0</v>
      </c>
      <c r="S80" s="236">
        <v>0</v>
      </c>
      <c r="T80" s="235">
        <v>0</v>
      </c>
      <c r="U80" s="37">
        <v>0</v>
      </c>
      <c r="V80" s="37">
        <v>0</v>
      </c>
      <c r="W80" s="37">
        <v>0</v>
      </c>
      <c r="X80" s="222">
        <v>0</v>
      </c>
      <c r="Y80" s="37">
        <v>0</v>
      </c>
      <c r="Z80" s="37">
        <v>0</v>
      </c>
      <c r="AA80" s="37">
        <v>0</v>
      </c>
      <c r="AB80" s="222">
        <v>0</v>
      </c>
      <c r="AC80" s="225">
        <v>0</v>
      </c>
      <c r="AD80" s="225">
        <v>0</v>
      </c>
      <c r="AE80" s="225">
        <v>0</v>
      </c>
      <c r="AF80" s="226">
        <v>0</v>
      </c>
      <c r="AG80" s="225">
        <v>0</v>
      </c>
      <c r="AH80" s="225">
        <v>0</v>
      </c>
      <c r="AI80" s="225">
        <v>0</v>
      </c>
      <c r="AJ80" s="226">
        <v>0</v>
      </c>
      <c r="AK80" s="225">
        <v>0</v>
      </c>
      <c r="AL80" s="225">
        <v>0</v>
      </c>
      <c r="AM80" s="225">
        <v>0</v>
      </c>
      <c r="AN80" s="226">
        <v>0</v>
      </c>
      <c r="AO80" s="37" t="s">
        <v>357</v>
      </c>
      <c r="AP80" s="37" t="s">
        <v>357</v>
      </c>
      <c r="AQ80" s="37" t="s">
        <v>357</v>
      </c>
      <c r="AR80" s="222" t="s">
        <v>357</v>
      </c>
      <c r="AS80" s="37">
        <v>0</v>
      </c>
      <c r="AT80" s="37">
        <v>0</v>
      </c>
      <c r="AU80" s="37">
        <v>0</v>
      </c>
      <c r="AV80" s="222">
        <v>0</v>
      </c>
      <c r="AW80" s="37">
        <v>0</v>
      </c>
      <c r="AX80" s="37">
        <v>0</v>
      </c>
      <c r="AY80" s="37">
        <v>0</v>
      </c>
      <c r="AZ80" s="222">
        <v>0</v>
      </c>
      <c r="BA80" s="37">
        <v>0</v>
      </c>
      <c r="BB80" s="37">
        <v>0</v>
      </c>
      <c r="BC80" s="37">
        <v>0</v>
      </c>
      <c r="BD80" s="222">
        <v>0</v>
      </c>
      <c r="BE80" s="37">
        <v>0</v>
      </c>
      <c r="BF80" s="37">
        <v>0</v>
      </c>
      <c r="BG80" s="37">
        <v>0</v>
      </c>
      <c r="BH80" s="222">
        <v>0</v>
      </c>
      <c r="BI80" s="37">
        <v>0</v>
      </c>
      <c r="BJ80" s="37">
        <v>0</v>
      </c>
      <c r="BK80" s="37">
        <v>0</v>
      </c>
      <c r="BL80" s="222">
        <v>0</v>
      </c>
      <c r="BM80" s="37">
        <v>0</v>
      </c>
      <c r="BN80" s="37">
        <v>0</v>
      </c>
      <c r="BO80" s="37">
        <v>0</v>
      </c>
      <c r="BP80" s="222">
        <v>0</v>
      </c>
      <c r="BQ80" s="37">
        <v>0</v>
      </c>
      <c r="BR80" s="37">
        <v>0</v>
      </c>
      <c r="BS80" s="37">
        <v>0</v>
      </c>
      <c r="BT80" s="222">
        <v>0</v>
      </c>
      <c r="BU80" s="37">
        <v>0</v>
      </c>
      <c r="BV80" s="37">
        <v>0</v>
      </c>
      <c r="BW80" s="37">
        <v>0</v>
      </c>
      <c r="BX80" s="222">
        <v>0</v>
      </c>
      <c r="BY80" s="225">
        <v>0</v>
      </c>
      <c r="BZ80" s="225">
        <v>0</v>
      </c>
      <c r="CA80" s="225">
        <v>0</v>
      </c>
      <c r="CB80" s="225">
        <v>0</v>
      </c>
    </row>
    <row r="81" spans="1:80" s="37" customFormat="1" x14ac:dyDescent="0.35">
      <c r="A81" s="413"/>
      <c r="B81" s="248" t="s">
        <v>15</v>
      </c>
      <c r="C81" s="234" t="s">
        <v>184</v>
      </c>
      <c r="D81" s="249" t="s">
        <v>34</v>
      </c>
      <c r="E81" s="6">
        <v>0</v>
      </c>
      <c r="F81" s="220">
        <v>0</v>
      </c>
      <c r="G81" s="221" t="s">
        <v>395</v>
      </c>
      <c r="H81" s="221" t="s">
        <v>396</v>
      </c>
      <c r="I81" s="224">
        <v>0</v>
      </c>
      <c r="J81" s="224" t="s">
        <v>12</v>
      </c>
      <c r="K81" s="224">
        <v>0</v>
      </c>
      <c r="L81" s="224">
        <v>0</v>
      </c>
      <c r="M81" s="323">
        <v>0</v>
      </c>
      <c r="N81" s="224">
        <v>0</v>
      </c>
      <c r="O81" s="224">
        <v>0</v>
      </c>
      <c r="P81" s="222">
        <v>0</v>
      </c>
      <c r="Q81" s="236">
        <v>0</v>
      </c>
      <c r="R81" s="236">
        <v>0</v>
      </c>
      <c r="S81" s="236">
        <v>0</v>
      </c>
      <c r="T81" s="235">
        <v>0</v>
      </c>
      <c r="U81" s="37">
        <v>0</v>
      </c>
      <c r="V81" s="37">
        <v>0</v>
      </c>
      <c r="W81" s="37">
        <v>0</v>
      </c>
      <c r="X81" s="222">
        <v>0</v>
      </c>
      <c r="Y81" s="37">
        <v>0</v>
      </c>
      <c r="Z81" s="37">
        <v>0</v>
      </c>
      <c r="AA81" s="37">
        <v>0</v>
      </c>
      <c r="AB81" s="222">
        <v>0</v>
      </c>
      <c r="AC81" s="225">
        <v>0</v>
      </c>
      <c r="AD81" s="225">
        <v>0</v>
      </c>
      <c r="AE81" s="225">
        <v>0</v>
      </c>
      <c r="AF81" s="226">
        <v>0</v>
      </c>
      <c r="AG81" s="225">
        <v>0</v>
      </c>
      <c r="AH81" s="225">
        <v>0</v>
      </c>
      <c r="AI81" s="225">
        <v>0</v>
      </c>
      <c r="AJ81" s="226">
        <v>0</v>
      </c>
      <c r="AK81" s="225">
        <v>0</v>
      </c>
      <c r="AL81" s="225">
        <v>0</v>
      </c>
      <c r="AM81" s="225">
        <v>0</v>
      </c>
      <c r="AN81" s="226">
        <v>0</v>
      </c>
      <c r="AO81" s="37" t="s">
        <v>357</v>
      </c>
      <c r="AP81" s="37" t="s">
        <v>357</v>
      </c>
      <c r="AQ81" s="37" t="s">
        <v>357</v>
      </c>
      <c r="AR81" s="222" t="s">
        <v>357</v>
      </c>
      <c r="AS81" s="37">
        <v>0</v>
      </c>
      <c r="AT81" s="37">
        <v>0</v>
      </c>
      <c r="AU81" s="37">
        <v>0</v>
      </c>
      <c r="AV81" s="222">
        <v>0</v>
      </c>
      <c r="AW81" s="37">
        <v>0</v>
      </c>
      <c r="AX81" s="37">
        <v>0</v>
      </c>
      <c r="AY81" s="37">
        <v>0</v>
      </c>
      <c r="AZ81" s="222">
        <v>0</v>
      </c>
      <c r="BA81" s="37">
        <v>0</v>
      </c>
      <c r="BB81" s="37">
        <v>0</v>
      </c>
      <c r="BC81" s="37">
        <v>0</v>
      </c>
      <c r="BD81" s="222">
        <v>0</v>
      </c>
      <c r="BE81" s="37">
        <v>0</v>
      </c>
      <c r="BF81" s="37">
        <v>0</v>
      </c>
      <c r="BG81" s="37">
        <v>0</v>
      </c>
      <c r="BH81" s="222">
        <v>0</v>
      </c>
      <c r="BI81" s="37">
        <v>0</v>
      </c>
      <c r="BJ81" s="37">
        <v>0</v>
      </c>
      <c r="BK81" s="37">
        <v>0</v>
      </c>
      <c r="BL81" s="222">
        <v>0</v>
      </c>
      <c r="BM81" s="37">
        <v>0</v>
      </c>
      <c r="BN81" s="37">
        <v>0</v>
      </c>
      <c r="BO81" s="37">
        <v>0</v>
      </c>
      <c r="BP81" s="222">
        <v>0</v>
      </c>
      <c r="BQ81" s="37">
        <v>0</v>
      </c>
      <c r="BR81" s="37">
        <v>0</v>
      </c>
      <c r="BS81" s="37">
        <v>0</v>
      </c>
      <c r="BT81" s="222">
        <v>0</v>
      </c>
      <c r="BU81" s="37">
        <v>0</v>
      </c>
      <c r="BV81" s="37">
        <v>0</v>
      </c>
      <c r="BW81" s="37">
        <v>0</v>
      </c>
      <c r="BX81" s="222">
        <v>0</v>
      </c>
      <c r="BY81" s="225">
        <v>0</v>
      </c>
      <c r="BZ81" s="225">
        <v>0</v>
      </c>
      <c r="CA81" s="225">
        <v>0</v>
      </c>
      <c r="CB81" s="225">
        <v>0</v>
      </c>
    </row>
    <row r="82" spans="1:80" s="37" customFormat="1" x14ac:dyDescent="0.35">
      <c r="A82" s="413"/>
      <c r="B82" s="248" t="s">
        <v>16</v>
      </c>
      <c r="C82" s="234" t="s">
        <v>184</v>
      </c>
      <c r="D82" s="219" t="s">
        <v>35</v>
      </c>
      <c r="E82" s="6">
        <v>0</v>
      </c>
      <c r="F82" s="220">
        <v>0</v>
      </c>
      <c r="G82" s="221" t="s">
        <v>396</v>
      </c>
      <c r="H82" s="221" t="s">
        <v>396</v>
      </c>
      <c r="I82" s="224">
        <v>0</v>
      </c>
      <c r="J82" s="224" t="s">
        <v>12</v>
      </c>
      <c r="K82" s="224">
        <v>0</v>
      </c>
      <c r="L82" s="224">
        <v>0</v>
      </c>
      <c r="M82" s="323">
        <v>0</v>
      </c>
      <c r="N82" s="224">
        <v>0</v>
      </c>
      <c r="O82" s="224">
        <v>0</v>
      </c>
      <c r="P82" s="222">
        <v>0</v>
      </c>
      <c r="Q82" s="236">
        <v>0</v>
      </c>
      <c r="R82" s="236">
        <v>0</v>
      </c>
      <c r="S82" s="236">
        <v>0</v>
      </c>
      <c r="T82" s="235">
        <v>0</v>
      </c>
      <c r="U82" s="37">
        <v>0</v>
      </c>
      <c r="V82" s="37">
        <v>0</v>
      </c>
      <c r="W82" s="37">
        <v>0</v>
      </c>
      <c r="X82" s="222">
        <v>0</v>
      </c>
      <c r="Y82" s="37">
        <v>0</v>
      </c>
      <c r="Z82" s="37">
        <v>0</v>
      </c>
      <c r="AA82" s="37">
        <v>0</v>
      </c>
      <c r="AB82" s="222">
        <v>0</v>
      </c>
      <c r="AC82" s="225" t="s">
        <v>357</v>
      </c>
      <c r="AD82" s="225" t="s">
        <v>357</v>
      </c>
      <c r="AE82" s="225" t="s">
        <v>357</v>
      </c>
      <c r="AF82" s="226" t="s">
        <v>357</v>
      </c>
      <c r="AG82" s="225" t="s">
        <v>357</v>
      </c>
      <c r="AH82" s="225" t="s">
        <v>357</v>
      </c>
      <c r="AI82" s="225" t="s">
        <v>357</v>
      </c>
      <c r="AJ82" s="226" t="s">
        <v>357</v>
      </c>
      <c r="AK82" s="225" t="s">
        <v>357</v>
      </c>
      <c r="AL82" s="225" t="s">
        <v>357</v>
      </c>
      <c r="AM82" s="225" t="s">
        <v>357</v>
      </c>
      <c r="AN82" s="226" t="s">
        <v>357</v>
      </c>
      <c r="AO82" s="37" t="s">
        <v>357</v>
      </c>
      <c r="AP82" s="37" t="s">
        <v>357</v>
      </c>
      <c r="AQ82" s="37" t="s">
        <v>357</v>
      </c>
      <c r="AR82" s="222" t="s">
        <v>357</v>
      </c>
      <c r="AS82" s="37" t="s">
        <v>357</v>
      </c>
      <c r="AT82" s="37" t="s">
        <v>357</v>
      </c>
      <c r="AU82" s="37" t="s">
        <v>357</v>
      </c>
      <c r="AV82" s="222" t="s">
        <v>357</v>
      </c>
      <c r="AW82" s="37" t="s">
        <v>357</v>
      </c>
      <c r="AX82" s="37" t="s">
        <v>357</v>
      </c>
      <c r="AY82" s="37" t="s">
        <v>357</v>
      </c>
      <c r="AZ82" s="222" t="s">
        <v>357</v>
      </c>
      <c r="BA82" s="37" t="s">
        <v>357</v>
      </c>
      <c r="BB82" s="37" t="s">
        <v>357</v>
      </c>
      <c r="BC82" s="37" t="s">
        <v>357</v>
      </c>
      <c r="BD82" s="222" t="s">
        <v>357</v>
      </c>
      <c r="BE82" s="37">
        <v>0</v>
      </c>
      <c r="BF82" s="37">
        <v>0</v>
      </c>
      <c r="BG82" s="37">
        <v>0</v>
      </c>
      <c r="BH82" s="222">
        <v>0</v>
      </c>
      <c r="BI82" s="37">
        <v>0</v>
      </c>
      <c r="BJ82" s="37" t="s">
        <v>189</v>
      </c>
      <c r="BK82" s="37">
        <v>0</v>
      </c>
      <c r="BL82" s="222">
        <v>0</v>
      </c>
      <c r="BM82" s="37">
        <v>0</v>
      </c>
      <c r="BN82" s="37">
        <v>0</v>
      </c>
      <c r="BO82" s="37">
        <v>0</v>
      </c>
      <c r="BP82" s="222">
        <v>0</v>
      </c>
      <c r="BQ82" s="37">
        <v>0</v>
      </c>
      <c r="BR82" s="37">
        <v>0</v>
      </c>
      <c r="BS82" s="37">
        <v>0</v>
      </c>
      <c r="BT82" s="222">
        <v>0</v>
      </c>
      <c r="BU82" s="229" t="s">
        <v>357</v>
      </c>
      <c r="BV82" s="229" t="s">
        <v>357</v>
      </c>
      <c r="BW82" s="229" t="s">
        <v>357</v>
      </c>
      <c r="BX82" s="223" t="s">
        <v>357</v>
      </c>
      <c r="BY82" s="225">
        <v>0</v>
      </c>
      <c r="BZ82" s="225">
        <v>0</v>
      </c>
      <c r="CA82" s="225">
        <v>0</v>
      </c>
      <c r="CB82" s="225">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309</v>
      </c>
      <c r="B14" s="24" t="s">
        <v>310</v>
      </c>
      <c r="C14" s="24" t="s">
        <v>311</v>
      </c>
      <c r="D14" s="24">
        <v>2024</v>
      </c>
      <c r="E14" s="24" t="s">
        <v>207</v>
      </c>
      <c r="G14" s="27" t="s">
        <v>312</v>
      </c>
    </row>
    <row r="15" spans="1:8" ht="29" x14ac:dyDescent="0.35">
      <c r="A15" s="25" t="s">
        <v>313</v>
      </c>
      <c r="B15" s="24" t="s">
        <v>314</v>
      </c>
      <c r="C15" s="24" t="s">
        <v>315</v>
      </c>
      <c r="D15" s="24">
        <v>2024</v>
      </c>
      <c r="E15" s="24" t="s">
        <v>207</v>
      </c>
      <c r="G15" s="34" t="s">
        <v>316</v>
      </c>
    </row>
    <row r="16" spans="1:8" ht="29" x14ac:dyDescent="0.35">
      <c r="A16" s="25" t="s">
        <v>322</v>
      </c>
      <c r="B16" s="24" t="s">
        <v>321</v>
      </c>
      <c r="C16" s="24" t="s">
        <v>323</v>
      </c>
      <c r="D16" s="24">
        <v>2023</v>
      </c>
      <c r="E16" s="24" t="s">
        <v>198</v>
      </c>
      <c r="G16" s="27" t="s">
        <v>324</v>
      </c>
    </row>
    <row r="17" spans="1:7" ht="29" x14ac:dyDescent="0.35">
      <c r="A17" s="25" t="s">
        <v>326</v>
      </c>
      <c r="B17" s="24" t="s">
        <v>325</v>
      </c>
      <c r="C17" s="24" t="s">
        <v>228</v>
      </c>
      <c r="D17" s="24">
        <v>2024</v>
      </c>
      <c r="E17" s="24" t="s">
        <v>207</v>
      </c>
      <c r="G17" s="34" t="s">
        <v>327</v>
      </c>
    </row>
    <row r="18" spans="1:7" ht="29" x14ac:dyDescent="0.35">
      <c r="A18" s="25" t="s">
        <v>346</v>
      </c>
      <c r="B18" s="24" t="s">
        <v>345</v>
      </c>
      <c r="C18" s="24" t="s">
        <v>347</v>
      </c>
      <c r="D18" s="24">
        <v>2022</v>
      </c>
      <c r="E18" s="24" t="s">
        <v>207</v>
      </c>
      <c r="G18" s="34" t="s">
        <v>348</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2026-02-03T14:31:13Z</dcterms:modified>
</cp:coreProperties>
</file>