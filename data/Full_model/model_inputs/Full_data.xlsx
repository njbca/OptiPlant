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341" documentId="13_ncr:101_{A3C50E62-C836-458E-A845-B193B3547FD1}" xr6:coauthVersionLast="47" xr6:coauthVersionMax="47" xr10:uidLastSave="{008E2082-A906-4A77-BE78-9ED06E5EDB25}"/>
  <bookViews>
    <workbookView xWindow="19090" yWindow="-110" windowWidth="25820" windowHeight="13900" firstSheet="2"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 i="95" l="1"/>
  <c r="B31" i="95"/>
  <c r="A18" i="95"/>
  <c r="B18" i="95" s="1"/>
  <c r="B36" i="95"/>
  <c r="B35" i="95"/>
  <c r="B34" i="95"/>
  <c r="B33" i="95"/>
  <c r="B29" i="95"/>
  <c r="B28" i="95"/>
  <c r="A42" i="95"/>
  <c r="B42" i="95" s="1"/>
  <c r="A41" i="95"/>
  <c r="B41" i="95" s="1"/>
  <c r="A40" i="95"/>
  <c r="B40" i="95" s="1"/>
  <c r="A39" i="95"/>
  <c r="B39" i="95" s="1"/>
  <c r="A38" i="95"/>
  <c r="B38" i="95" s="1"/>
  <c r="A37" i="95"/>
  <c r="B37" i="95" s="1"/>
  <c r="A36" i="95"/>
  <c r="A35" i="95"/>
  <c r="A34" i="95"/>
  <c r="A33" i="95"/>
  <c r="A32" i="95"/>
  <c r="B32" i="95" s="1"/>
  <c r="A30" i="95"/>
  <c r="B30" i="95" s="1"/>
  <c r="A20" i="95"/>
  <c r="B20" i="95" s="1"/>
  <c r="A21" i="95"/>
  <c r="B21" i="95" s="1"/>
  <c r="A22" i="95"/>
  <c r="B22" i="95" s="1"/>
  <c r="A23" i="95"/>
  <c r="B23" i="95" s="1"/>
  <c r="A24" i="95"/>
  <c r="B24" i="95" s="1"/>
  <c r="A25" i="95"/>
  <c r="B25" i="95" s="1"/>
  <c r="A26" i="95"/>
  <c r="B26" i="95" s="1"/>
  <c r="A27" i="95"/>
  <c r="B27" i="95" s="1"/>
  <c r="A28" i="95"/>
  <c r="A29" i="95"/>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9" i="95" l="1"/>
  <c r="B19" i="95" s="1"/>
  <c r="A17" i="95"/>
  <c r="B17" i="95" s="1"/>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<sst xmlns="http://schemas.openxmlformats.org/spreadsheetml/2006/main" count="4240" uniqueCount="517">
  <si>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</si>
  <si>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</si>
  <si>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</si>
  <si>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</si>
  <si>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</si>
  <si>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</si>
  <si>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</si>
  <si>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</si>
  <si>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</si>
  <si>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</si>
  <si>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</si>
  <si>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</si>
  <si>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</si>
  <si>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</si>
  <si>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</si>
  <si>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</si>
  <si>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</si>
  <si>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</si>
  <si>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</si>
  <si>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</si>
  <si>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</si>
  <si>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</si>
  <si>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</si>
  <si>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</si>
  <si>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</si>
  <si>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</si>
  <si>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</si>
  <si>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</si>
  <si>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</si>
  <si>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</si>
  <si>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</si>
  <si>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</si>
  <si>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</si>
  <si>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</si>
  <si>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</si>
  <si>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</si>
  <si>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</si>
  <si>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</si>
  <si>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</si>
  <si>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</si>
  <si>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</si>
  <si>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</si>
  <si>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</si>
  <si>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</si>
  <si>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</si>
  <si>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</si>
  <si>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</si>
  <si>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</si>
  <si>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</si>
  <si>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</si>
  <si>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</si>
  <si>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</si>
  <si>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</si>
  <si>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</si>
  <si>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</si>
  <si>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</si>
  <si>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</si>
  <si>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</si>
  <si>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</si>
  <si>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</si>
  <si>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</si>
  <si>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</si>
  <si>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</si>
  <si>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</si>
  <si>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</si>
  <si>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</si>
  <si>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</si>
  <si>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</si>
  <si>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</si>
  <si>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</si>
  <si>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</si>
  <si>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</si>
  <si>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</si>
  <si>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</si>
  <si>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</si>
  <si>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</si>
  <si>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</si>
  <si>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</si>
  <si>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</si>
  <si>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</si>
  <si>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</si>
  <si>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</si>
  <si>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</si>
  <si>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</si>
  <si>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</si>
  <si>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</si>
  <si>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</si>
  <si>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</si>
  <si>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</si>
  <si>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</si>
  <si>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</si>
  <si>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</si>
  <si>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</si>
  <si>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</si>
  <si>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</si>
  <si>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</si>
  <si>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</si>
  <si>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</si>
  <si>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</si>
  <si>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</si>
  <si>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</si>
  <si>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</si>
  <si>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</si>
  <si>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</si>
  <si>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</si>
  <si>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</si>
  <si>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</si>
  <si>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</si>
  <si>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</si>
  <si>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</si>
  <si>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</si>
  <si>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</si>
  <si>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</si>
  <si>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</si>
  <si>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</si>
  <si>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</si>
  <si>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</si>
  <si>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</si>
  <si>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</si>
  <si>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</si>
  <si>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</si>
  <si>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</si>
  <si>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</si>
  <si>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</si>
  <si>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</si>
  <si>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</si>
  <si>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</si>
  <si>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</si>
  <si>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</si>
  <si>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</si>
  <si>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</si>
  <si>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</si>
  <si>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</si>
  <si>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</si>
  <si>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</si>
  <si>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</si>
  <si>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</si>
  <si>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</si>
  <si>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</si>
  <si>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</si>
  <si>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</si>
  <si>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</si>
  <si>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</si>
  <si>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</si>
  <si>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</si>
  <si>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</si>
  <si>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</si>
  <si>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</si>
  <si>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</si>
  <si>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</si>
  <si>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</si>
  <si>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</si>
  <si>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</si>
  <si>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</si>
  <si>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</si>
  <si>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</si>
  <si>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</si>
  <si>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</si>
  <si>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</si>
  <si>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</si>
  <si>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</si>
  <si>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</si>
  <si>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</si>
  <si>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</si>
  <si>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</si>
  <si>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</si>
  <si>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</si>
  <si>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</si>
  <si>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</si>
  <si>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</si>
  <si>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</si>
  <si>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</si>
  <si>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</si>
  <si>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</si>
  <si>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</si>
  <si>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</si>
  <si>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</si>
  <si>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</si>
  <si>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</si>
  <si>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</si>
  <si>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</si>
  <si>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</si>
  <si>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</si>
  <si>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</si>
  <si>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</si>
  <si>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</si>
  <si>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</si>
  <si>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</si>
  <si>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</si>
  <si>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</si>
  <si>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</si>
  <si>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</si>
  <si>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</si>
  <si>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</si>
  <si>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</si>
  <si>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</si>
  <si>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</si>
  <si>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</si>
  <si>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</si>
  <si>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</si>
  <si>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</si>
  <si>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</si>
  <si>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</si>
  <si>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</si>
  <si>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</si>
  <si>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</si>
  <si>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</si>
  <si>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</si>
  <si>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</si>
  <si>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</si>
  <si>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</si>
  <si>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</si>
  <si>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</si>
  <si>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</si>
  <si>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</si>
  <si>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</si>
  <si>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</si>
  <si>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</si>
  <si>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</si>
  <si>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</si>
  <si>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</si>
  <si>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</si>
  <si>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</si>
  <si>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</si>
  <si>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</si>
  <si>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</si>
  <si>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</si>
  <si>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</si>
  <si>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</si>
  <si>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</si>
  <si>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</si>
  <si>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</si>
  <si>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</si>
  <si>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</si>
  <si>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</si>
  <si>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</si>
  <si>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</si>
  <si>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</si>
  <si>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</si>
  <si>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</si>
  <si>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</si>
  <si>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</si>
  <si>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</si>
  <si>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</si>
  <si>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</si>
  <si>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</si>
  <si>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</si>
  <si>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</si>
  <si>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</si>
  <si>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</si>
  <si>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</si>
  <si>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</si>
  <si>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</si>
  <si>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</si>
  <si>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</si>
  <si>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</si>
  <si>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</si>
  <si>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</si>
  <si>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</si>
  <si>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</si>
  <si>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</si>
  <si>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</si>
  <si>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</si>
  <si>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</si>
  <si>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</si>
  <si>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</si>
  <si>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</si>
  <si>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</si>
  <si>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</si>
  <si>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</si>
  <si>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</si>
  <si>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</si>
  <si>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</si>
  <si>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</si>
  <si>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</si>
  <si>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</si>
  <si>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</si>
  <si>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</si>
  <si>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</si>
  <si>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</si>
  <si>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</si>
  <si>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</si>
  <si>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</si>
  <si>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</si>
  <si>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</si>
  <si>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</si>
  <si>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</si>
  <si>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</si>
  <si>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</si>
  <si>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</si>
  <si>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</si>
  <si>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</si>
  <si>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</si>
  <si>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</si>
  <si>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</si>
  <si>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</si>
  <si>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</si>
  <si>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</si>
  <si>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</si>
  <si>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</si>
  <si>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</si>
  <si>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</si>
  <si>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</si>
  <si>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</si>
  <si>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</si>
  <si>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</si>
  <si>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</si>
  <si>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</si>
  <si>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</si>
  <si>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</si>
  <si>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</si>
  <si>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</si>
  <si>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</si>
  <si>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</si>
  <si>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</si>
  <si>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</si>
  <si>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</si>
  <si>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</si>
  <si>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</si>
  <si>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</si>
  <si>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</si>
  <si>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</si>
  <si>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</si>
  <si>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</si>
  <si>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</si>
  <si>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</si>
  <si>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</si>
  <si>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</si>
  <si>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</si>
  <si>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</si>
  <si>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</si>
  <si>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</si>
  <si>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</si>
  <si>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</si>
  <si>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</si>
  <si>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</si>
  <si>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</si>
  <si>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</si>
  <si>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</si>
  <si>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</si>
  <si>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</si>
  <si>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</si>
  <si>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</si>
  <si>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</si>
  <si>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</si>
  <si>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</si>
  <si>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</si>
  <si>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</si>
  <si>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</si>
  <si>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</si>
  <si>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</si>
  <si>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</si>
  <si>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</si>
  <si>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</si>
  <si>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</si>
  <si>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</si>
  <si>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</si>
  <si>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</si>
  <si>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</si>
  <si>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</si>
  <si>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</si>
  <si>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</si>
  <si>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</si>
  <si>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</si>
  <si>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</si>
  <si>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</si>
  <si>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</si>
  <si>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</si>
  <si>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</si>
  <si>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</si>
  <si>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</si>
  <si>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</si>
  <si>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</si>
  <si>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</si>
  <si>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</si>
  <si>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</si>
  <si>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</si>
  <si>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</si>
  <si>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</si>
  <si>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</si>
  <si>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</si>
  <si>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</si>
  <si>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</si>
  <si>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</si>
  <si>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</si>
  <si>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</si>
  <si>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</si>
  <si>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</si>
  <si>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</si>
  <si>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</si>
  <si>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</si>
  <si>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</si>
  <si>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</si>
  <si>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</si>
  <si>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</si>
  <si>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</si>
  <si>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</si>
  <si>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</si>
  <si>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</si>
  <si>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</si>
  <si>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</si>
  <si>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</si>
  <si>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</si>
  <si>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</si>
  <si>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</si>
  <si>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</si>
  <si>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</si>
  <si>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</si>
  <si>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</si>
  <si>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</si>
  <si>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</si>
  <si>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</si>
  <si>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</si>
  <si>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</si>
  <si>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</si>
  <si>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</si>
  <si>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</si>
  <si>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</si>
  <si>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</si>
  <si>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</si>
  <si>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</si>
  <si>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</si>
  <si>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</si>
  <si>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</si>
  <si>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</si>
  <si>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</si>
  <si>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</si>
  <si>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</si>
  <si>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</si>
  <si>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</si>
  <si>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</si>
  <si>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</si>
  <si>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</si>
  <si>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</si>
  <si>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</si>
  <si>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</si>
  <si>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</si>
  <si>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</si>
  <si>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</si>
  <si>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</si>
  <si>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</si>
  <si>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</si>
  <si>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</si>
  <si>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</si>
  <si>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</si>
  <si>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</si>
  <si>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</si>
  <si>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</si>
  <si>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</si>
  <si>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</si>
  <si>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</si>
  <si>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</si>
  <si>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</si>
  <si>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</si>
  <si>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</si>
  <si>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</si>
  <si>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</si>
  <si>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</si>
  <si>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</si>
  <si>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</si>
  <si>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</si>
  <si>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LCIA2.0</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</si>
  <si>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</si>
  <si>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</si>
  <si>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</si>
  <si>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</si>
  <si>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</si>
  <si>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</si>
  <si>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</si>
  <si>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</si>
  <si>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</si>
  <si>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</si>
  <si>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</si>
  <si>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</si>
  <si>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H2_SOFC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</si>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</sst>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sz val="11"/>
      <color theme="9"/>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5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2" fillId="11" borderId="0" xfId="0" applyFont="1" applyFill="1" applyAlignment="1">
      <alignment horizontal="center" vertical="center"/>
    </xf>
    <xf numFmtId="0" fontId="2" fillId="6" borderId="0" xfId="0" applyFont="1" applyFill="1" applyAlignment="1">
      <alignment horizontal="center" vertical="center"/>
    </xf>
    <xf numFmtId="0" fontId="2" fillId="4" borderId="0" xfId="0" applyFont="1" applyFill="1" applyAlignment="1">
      <alignment horizontal="center" vertical="center"/>
    </xf>
    <xf numFmtId="0" fontId="18" fillId="4" borderId="0" xfId="0" applyFont="1" applyFill="1" applyAlignment="1">
      <alignment horizontal="center" vertical="center"/>
    </xf>
    <xf numFmtId="0" fontId="18" fillId="4" borderId="4" xfId="0" applyFont="1" applyFill="1" applyBorder="1" applyAlignment="1">
      <alignment horizontal="center" vertical="center"/>
    </xf>
    <xf numFmtId="0" fontId="18" fillId="8" borderId="0" xfId="0" applyFont="1" applyFill="1" applyAlignment="1">
      <alignment horizontal="center" vertical="center"/>
    </xf>
    <xf numFmtId="0" fontId="18" fillId="12" borderId="0" xfId="0" applyFont="1" applyFill="1" applyAlignment="1">
      <alignment horizontal="center" vertical="center"/>
    </xf>
    <xf numFmtId="0" fontId="2" fillId="7" borderId="0" xfId="0" applyFont="1" applyFill="1" applyAlignment="1">
      <alignment horizontal="center" vertical="center"/>
    </xf>
    <xf numFmtId="0" fontId="2" fillId="19" borderId="0" xfId="0" applyFont="1" applyFill="1" applyAlignment="1">
      <alignment horizontal="center" vertical="center"/>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9" fillId="0" borderId="0" xfId="0" applyFont="1" applyAlignment="1">
      <alignment horizontal="center" vertical="top"/>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3" fillId="0" borderId="0" xfId="0" applyFont="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2" fillId="0" borderId="0" xfId="0" applyFont="1" applyAlignment="1">
      <alignment horizontal="center" vertical="center" wrapText="1"/>
    </xf>
    <xf numFmtId="0" fontId="0" fillId="0" borderId="0" xfId="0" applyAlignment="1">
      <alignment horizontal="center" wrapText="1"/>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3" fillId="21" borderId="1" xfId="0" applyFont="1" applyFill="1" applyBorder="1" applyAlignment="1">
      <alignment horizontal="center"/>
    </xf>
    <xf numFmtId="0" fontId="3" fillId="21" borderId="0" xfId="0" applyFont="1" applyFill="1" applyAlignment="1">
      <alignment horizont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6" fillId="0" borderId="0" xfId="0" applyFont="1" applyAlignment="1">
      <alignment horizontal="center"/>
    </xf>
    <xf numFmtId="0" fontId="7"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G6" activePane="bottomRight" state="frozen"/>
      <selection pane="topRight" activeCell="F1" sqref="F1"/>
      <selection pane="bottomLeft" activeCell="A12" sqref="A12"/>
      <selection pane="bottomRight" activeCell="BM28" sqref="BM28"/>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36" t="s">
        <v>0</v>
      </c>
      <c r="B1" s="436"/>
      <c r="C1" s="436"/>
      <c r="D1" s="12"/>
      <c r="E1" s="393"/>
      <c r="F1" s="8"/>
      <c r="G1" s="97" t="s">
        <v>93</v>
      </c>
      <c r="H1" s="109" t="s">
        <v>369</v>
      </c>
      <c r="I1" s="109" t="s">
        <v>370</v>
      </c>
      <c r="J1" s="121" t="s">
        <v>402</v>
      </c>
      <c r="K1" s="126" t="s">
        <v>2</v>
      </c>
      <c r="L1" s="121" t="s">
        <v>4</v>
      </c>
      <c r="M1" s="121" t="s">
        <v>5</v>
      </c>
      <c r="N1" s="121" t="s">
        <v>274</v>
      </c>
      <c r="O1" s="126" t="s">
        <v>3</v>
      </c>
      <c r="P1" s="126" t="s">
        <v>181</v>
      </c>
      <c r="Q1" s="171" t="s">
        <v>6</v>
      </c>
      <c r="R1" s="449" t="s">
        <v>51</v>
      </c>
      <c r="S1" s="450"/>
      <c r="T1" s="450"/>
      <c r="U1" s="451"/>
      <c r="V1" s="449" t="s">
        <v>52</v>
      </c>
      <c r="W1" s="450"/>
      <c r="X1" s="450"/>
      <c r="Y1" s="451"/>
      <c r="Z1" s="449" t="s">
        <v>273</v>
      </c>
      <c r="AA1" s="450"/>
      <c r="AB1" s="450"/>
      <c r="AC1" s="451"/>
      <c r="AD1" s="449" t="s">
        <v>53</v>
      </c>
      <c r="AE1" s="450"/>
      <c r="AF1" s="450"/>
      <c r="AG1" s="451"/>
      <c r="AH1" s="449" t="s">
        <v>54</v>
      </c>
      <c r="AI1" s="450"/>
      <c r="AJ1" s="450"/>
      <c r="AK1" s="451"/>
      <c r="AL1" s="449" t="s">
        <v>55</v>
      </c>
      <c r="AM1" s="450"/>
      <c r="AN1" s="450"/>
      <c r="AO1" s="451"/>
      <c r="AP1" s="449" t="s">
        <v>56</v>
      </c>
      <c r="AQ1" s="450"/>
      <c r="AR1" s="450"/>
      <c r="AS1" s="451"/>
      <c r="AT1" s="449" t="s">
        <v>128</v>
      </c>
      <c r="AU1" s="450"/>
      <c r="AV1" s="450"/>
      <c r="AW1" s="451"/>
      <c r="AX1" s="449" t="s">
        <v>129</v>
      </c>
      <c r="AY1" s="450"/>
      <c r="AZ1" s="450"/>
      <c r="BA1" s="451"/>
      <c r="BB1" s="449" t="s">
        <v>401</v>
      </c>
      <c r="BC1" s="450"/>
      <c r="BD1" s="450"/>
      <c r="BE1" s="451"/>
      <c r="BF1" s="449" t="s">
        <v>130</v>
      </c>
      <c r="BG1" s="450"/>
      <c r="BH1" s="450"/>
      <c r="BI1" s="451"/>
      <c r="BJ1" s="449" t="s">
        <v>457</v>
      </c>
      <c r="BK1" s="450"/>
      <c r="BL1" s="450"/>
      <c r="BM1" s="451"/>
      <c r="BN1" s="449" t="s">
        <v>458</v>
      </c>
      <c r="BO1" s="450"/>
      <c r="BP1" s="450"/>
      <c r="BQ1" s="451"/>
      <c r="BR1" s="449" t="s">
        <v>58</v>
      </c>
      <c r="BS1" s="450"/>
      <c r="BT1" s="450"/>
      <c r="BU1" s="451"/>
      <c r="BV1" s="449" t="s">
        <v>306</v>
      </c>
      <c r="BW1" s="450"/>
      <c r="BX1" s="450"/>
      <c r="BY1" s="451"/>
      <c r="BZ1" s="452" t="s">
        <v>307</v>
      </c>
      <c r="CA1" s="452"/>
      <c r="CB1" s="452"/>
      <c r="CC1" s="452"/>
    </row>
    <row r="2" spans="1:81" s="4" customFormat="1" ht="15" customHeight="1" x14ac:dyDescent="0.35">
      <c r="A2" s="23"/>
      <c r="B2" s="454" t="s">
        <v>7</v>
      </c>
      <c r="C2" s="455" t="s">
        <v>8</v>
      </c>
      <c r="D2" s="454" t="s">
        <v>9</v>
      </c>
      <c r="E2" s="454"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54"/>
      <c r="C3" s="455"/>
      <c r="D3" s="454"/>
      <c r="E3" s="454"/>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131">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54"/>
      <c r="C4" s="455"/>
      <c r="D4" s="454"/>
      <c r="E4" s="454"/>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99"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54"/>
      <c r="C5" s="455"/>
      <c r="D5" s="454"/>
      <c r="E5" s="454"/>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100">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53" t="s">
        <v>11</v>
      </c>
      <c r="B6" s="284" t="s">
        <v>97</v>
      </c>
      <c r="C6" s="285" t="s">
        <v>184</v>
      </c>
      <c r="D6" s="286" t="s">
        <v>418</v>
      </c>
      <c r="E6" s="390" t="s">
        <v>469</v>
      </c>
      <c r="F6" s="6">
        <f t="shared" ref="F6:F37" si="14">ROW(D5)-ROW($F$4)</f>
        <v>1</v>
      </c>
      <c r="G6" s="298">
        <v>1</v>
      </c>
      <c r="H6" s="300" t="s">
        <v>419</v>
      </c>
      <c r="I6" s="300" t="s">
        <v>420</v>
      </c>
      <c r="J6" s="302">
        <v>3443530.9496236341</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329">
        <v>2.0212791944665698</v>
      </c>
      <c r="BF6" s="289">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53"/>
      <c r="B7" s="284" t="s">
        <v>96</v>
      </c>
      <c r="C7" s="285" t="s">
        <v>184</v>
      </c>
      <c r="D7" s="286" t="s">
        <v>422</v>
      </c>
      <c r="E7" s="390" t="s">
        <v>86</v>
      </c>
      <c r="F7" s="6">
        <f t="shared" si="14"/>
        <v>2</v>
      </c>
      <c r="G7" s="298">
        <v>1</v>
      </c>
      <c r="H7" s="300" t="s">
        <v>371</v>
      </c>
      <c r="I7" s="300" t="s">
        <v>372</v>
      </c>
      <c r="J7" s="303">
        <f>J6/R6</f>
        <v>1951009.036613957</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329">
        <f t="shared" si="16"/>
        <v>0.64</v>
      </c>
      <c r="BF7" s="289">
        <v>0</v>
      </c>
      <c r="BG7" s="287">
        <v>0</v>
      </c>
      <c r="BH7" s="287">
        <v>0</v>
      </c>
      <c r="BI7" s="288">
        <v>0</v>
      </c>
      <c r="BJ7" s="287">
        <v>0</v>
      </c>
      <c r="BK7" s="287">
        <v>0</v>
      </c>
      <c r="BL7" s="287">
        <v>0</v>
      </c>
      <c r="BM7" s="288">
        <v>0</v>
      </c>
      <c r="BN7" s="287">
        <v>0</v>
      </c>
      <c r="BO7" s="287">
        <v>0</v>
      </c>
      <c r="BP7" s="287">
        <v>0</v>
      </c>
      <c r="BQ7" s="288">
        <v>0</v>
      </c>
      <c r="BR7" s="287">
        <v>0.10004163570237409</v>
      </c>
      <c r="BS7" s="287">
        <v>0.10004163570237409</v>
      </c>
      <c r="BT7" s="287">
        <v>0.10004163570237409</v>
      </c>
      <c r="BU7" s="288">
        <v>0.10004163570237409</v>
      </c>
      <c r="BV7" s="287">
        <v>0</v>
      </c>
      <c r="BW7" s="287">
        <v>0</v>
      </c>
      <c r="BX7" s="287">
        <v>0</v>
      </c>
      <c r="BY7" s="288">
        <v>0</v>
      </c>
      <c r="BZ7" s="287">
        <v>0</v>
      </c>
      <c r="CA7" s="287">
        <v>0</v>
      </c>
      <c r="CB7" s="287">
        <v>0</v>
      </c>
      <c r="CC7" s="287">
        <v>0</v>
      </c>
    </row>
    <row r="8" spans="1:81" x14ac:dyDescent="0.35">
      <c r="A8" s="453"/>
      <c r="B8" s="284" t="s">
        <v>421</v>
      </c>
      <c r="C8" s="292" t="s">
        <v>119</v>
      </c>
      <c r="D8" s="286" t="s">
        <v>440</v>
      </c>
      <c r="E8" s="390" t="s">
        <v>472</v>
      </c>
      <c r="F8" s="6">
        <f t="shared" si="14"/>
        <v>3</v>
      </c>
      <c r="G8" s="298">
        <v>1</v>
      </c>
      <c r="H8" s="300" t="s">
        <v>373</v>
      </c>
      <c r="I8" s="300" t="s">
        <v>374</v>
      </c>
      <c r="J8" s="303">
        <f>J7/R7</f>
        <v>1419948.3527030253</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329">
        <v>0</v>
      </c>
      <c r="BF8" s="289">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53"/>
      <c r="B9" s="365" t="s">
        <v>97</v>
      </c>
      <c r="C9" s="366" t="s">
        <v>184</v>
      </c>
      <c r="D9" s="367" t="s">
        <v>423</v>
      </c>
      <c r="E9" s="391" t="s">
        <v>469</v>
      </c>
      <c r="F9" s="6">
        <f t="shared" si="14"/>
        <v>4</v>
      </c>
      <c r="G9" s="369">
        <v>1</v>
      </c>
      <c r="H9" s="370" t="s">
        <v>419</v>
      </c>
      <c r="I9" s="370" t="s">
        <v>420</v>
      </c>
      <c r="J9" s="371">
        <f>J6</f>
        <v>3443530.9496236341</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384">
        <v>2.1279194466572664E-2</v>
      </c>
      <c r="BF9" s="382">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53"/>
      <c r="B10" s="365" t="s">
        <v>98</v>
      </c>
      <c r="C10" s="385" t="s">
        <v>119</v>
      </c>
      <c r="D10" s="367" t="s">
        <v>441</v>
      </c>
      <c r="E10" s="421" t="s">
        <v>472</v>
      </c>
      <c r="F10" s="6">
        <f t="shared" si="14"/>
        <v>5</v>
      </c>
      <c r="G10" s="369">
        <v>1</v>
      </c>
      <c r="H10" s="370" t="s">
        <v>373</v>
      </c>
      <c r="I10" s="370" t="s">
        <v>374</v>
      </c>
      <c r="J10" s="371">
        <f>J9/R9</f>
        <v>4449006.3948625764</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384">
        <v>0</v>
      </c>
      <c r="BF10" s="382">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53"/>
      <c r="B11" s="74" t="s">
        <v>97</v>
      </c>
      <c r="C11" s="75" t="s">
        <v>184</v>
      </c>
      <c r="D11" s="76" t="s">
        <v>425</v>
      </c>
      <c r="E11" s="394" t="s">
        <v>469</v>
      </c>
      <c r="F11" s="6">
        <f t="shared" si="14"/>
        <v>6</v>
      </c>
      <c r="G11" s="299">
        <v>1</v>
      </c>
      <c r="H11" s="301" t="s">
        <v>419</v>
      </c>
      <c r="I11" s="301" t="s">
        <v>420</v>
      </c>
      <c r="J11" s="302">
        <f>J6</f>
        <v>3443530.9496236341</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330">
        <v>2.1279194466572664E-2</v>
      </c>
      <c r="BF11" s="295">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53"/>
      <c r="B12" s="74" t="s">
        <v>424</v>
      </c>
      <c r="C12" s="81" t="s">
        <v>119</v>
      </c>
      <c r="D12" s="76" t="s">
        <v>439</v>
      </c>
      <c r="E12" s="394" t="s">
        <v>86</v>
      </c>
      <c r="F12" s="6">
        <f t="shared" si="14"/>
        <v>7</v>
      </c>
      <c r="G12" s="299">
        <v>1</v>
      </c>
      <c r="H12" s="301" t="s">
        <v>427</v>
      </c>
      <c r="I12" s="301" t="s">
        <v>428</v>
      </c>
      <c r="J12" s="305">
        <f>J11/R11</f>
        <v>2227380.9505974348</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330">
        <v>0.64</v>
      </c>
      <c r="BF12" s="295">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53"/>
      <c r="B13" s="65" t="s">
        <v>97</v>
      </c>
      <c r="C13" s="66" t="s">
        <v>184</v>
      </c>
      <c r="D13" s="67" t="s">
        <v>50</v>
      </c>
      <c r="E13" s="395" t="s">
        <v>463</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13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53"/>
      <c r="B14" s="65" t="s">
        <v>97</v>
      </c>
      <c r="C14" s="66" t="s">
        <v>184</v>
      </c>
      <c r="D14" s="67" t="s">
        <v>61</v>
      </c>
      <c r="E14" s="395" t="s">
        <v>477</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148">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53"/>
      <c r="B15" s="65" t="s">
        <v>426</v>
      </c>
      <c r="C15" s="73" t="s">
        <v>119</v>
      </c>
      <c r="D15" s="67" t="s">
        <v>442</v>
      </c>
      <c r="E15" s="395" t="s">
        <v>472</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148">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53"/>
      <c r="B16" s="42" t="s">
        <v>97</v>
      </c>
      <c r="C16" s="43" t="s">
        <v>184</v>
      </c>
      <c r="D16" s="44" t="s">
        <v>296</v>
      </c>
      <c r="E16" s="396" t="s">
        <v>476</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15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53"/>
      <c r="B17" s="42" t="s">
        <v>429</v>
      </c>
      <c r="C17" s="43" t="s">
        <v>119</v>
      </c>
      <c r="D17" s="44" t="s">
        <v>295</v>
      </c>
      <c r="E17" s="396" t="s">
        <v>472</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15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53"/>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134">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53"/>
      <c r="B19" s="54" t="s">
        <v>97</v>
      </c>
      <c r="C19" s="61" t="s">
        <v>184</v>
      </c>
      <c r="D19" s="56" t="s">
        <v>302</v>
      </c>
      <c r="E19" s="397" t="s">
        <v>476</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134">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53"/>
      <c r="B20" s="54" t="s">
        <v>430</v>
      </c>
      <c r="C20" s="61" t="s">
        <v>184</v>
      </c>
      <c r="D20" s="56" t="s">
        <v>298</v>
      </c>
      <c r="E20" s="420" t="s">
        <v>471</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134">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53"/>
      <c r="B21" s="54" t="s">
        <v>431</v>
      </c>
      <c r="C21" s="55" t="s">
        <v>119</v>
      </c>
      <c r="D21" s="56" t="s">
        <v>301</v>
      </c>
      <c r="E21" s="397" t="s">
        <v>86</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134">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53"/>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135">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53"/>
      <c r="B23" s="74" t="s">
        <v>97</v>
      </c>
      <c r="C23" s="75" t="s">
        <v>184</v>
      </c>
      <c r="D23" s="76" t="s">
        <v>288</v>
      </c>
      <c r="E23" s="394" t="s">
        <v>476</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135">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53"/>
      <c r="B24" s="74" t="s">
        <v>97</v>
      </c>
      <c r="C24" s="75" t="s">
        <v>184</v>
      </c>
      <c r="D24" s="76" t="s">
        <v>287</v>
      </c>
      <c r="E24" s="394" t="s">
        <v>476</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135">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53"/>
      <c r="B25" s="74" t="s">
        <v>97</v>
      </c>
      <c r="C25" s="75" t="s">
        <v>184</v>
      </c>
      <c r="D25" s="76" t="s">
        <v>290</v>
      </c>
      <c r="E25" s="394" t="s">
        <v>476</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135">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53"/>
      <c r="B26" s="74" t="s">
        <v>97</v>
      </c>
      <c r="C26" s="75" t="s">
        <v>184</v>
      </c>
      <c r="D26" s="76" t="s">
        <v>289</v>
      </c>
      <c r="E26" s="394" t="s">
        <v>476</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135">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53"/>
      <c r="B27" s="74" t="s">
        <v>432</v>
      </c>
      <c r="C27" s="81" t="s">
        <v>119</v>
      </c>
      <c r="D27" s="76" t="s">
        <v>359</v>
      </c>
      <c r="E27" s="394" t="s">
        <v>472</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135">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53"/>
      <c r="B28" s="74" t="s">
        <v>432</v>
      </c>
      <c r="C28" s="81" t="s">
        <v>119</v>
      </c>
      <c r="D28" s="76" t="s">
        <v>360</v>
      </c>
      <c r="E28" s="394" t="s">
        <v>472</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135">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53"/>
      <c r="B29" s="74" t="s">
        <v>432</v>
      </c>
      <c r="C29" s="81" t="s">
        <v>119</v>
      </c>
      <c r="D29" s="76" t="s">
        <v>361</v>
      </c>
      <c r="E29" s="394" t="s">
        <v>472</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135">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53"/>
      <c r="B30" s="74" t="s">
        <v>432</v>
      </c>
      <c r="C30" s="81" t="s">
        <v>119</v>
      </c>
      <c r="D30" s="76" t="s">
        <v>362</v>
      </c>
      <c r="E30" s="394" t="s">
        <v>472</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135">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53"/>
      <c r="B31" s="82" t="s">
        <v>97</v>
      </c>
      <c r="C31" s="83" t="s">
        <v>119</v>
      </c>
      <c r="D31" s="84" t="s">
        <v>363</v>
      </c>
      <c r="E31" s="398" t="s">
        <v>470</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140">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53"/>
      <c r="B32" s="82" t="s">
        <v>97</v>
      </c>
      <c r="C32" s="83" t="s">
        <v>119</v>
      </c>
      <c r="D32" s="84" t="s">
        <v>364</v>
      </c>
      <c r="E32" s="398" t="s">
        <v>470</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140">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53"/>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137">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53"/>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236">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53"/>
      <c r="B35" s="216" t="s">
        <v>282</v>
      </c>
      <c r="C35" s="217" t="s">
        <v>13</v>
      </c>
      <c r="D35" s="218" t="s">
        <v>166</v>
      </c>
      <c r="E35" s="415" t="s">
        <v>473</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22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53"/>
      <c r="B36" s="216" t="s">
        <v>282</v>
      </c>
      <c r="C36" s="217" t="s">
        <v>13</v>
      </c>
      <c r="D36" s="218" t="s">
        <v>365</v>
      </c>
      <c r="E36" s="415" t="s">
        <v>474</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22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53"/>
      <c r="B37" s="216" t="s">
        <v>282</v>
      </c>
      <c r="C37" s="217" t="s">
        <v>13</v>
      </c>
      <c r="D37" s="218" t="s">
        <v>366</v>
      </c>
      <c r="E37" s="415" t="s">
        <v>474</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22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53"/>
      <c r="B38" s="216" t="s">
        <v>282</v>
      </c>
      <c r="C38" s="217" t="s">
        <v>13</v>
      </c>
      <c r="D38" s="218" t="s">
        <v>367</v>
      </c>
      <c r="E38" s="415" t="s">
        <v>473</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230">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53"/>
      <c r="B39" s="216" t="s">
        <v>282</v>
      </c>
      <c r="C39" s="217" t="s">
        <v>13</v>
      </c>
      <c r="D39" s="218" t="s">
        <v>368</v>
      </c>
      <c r="E39" s="415" t="s">
        <v>473</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230">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53"/>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22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53"/>
      <c r="B41" s="193" t="s">
        <v>280</v>
      </c>
      <c r="C41" s="194" t="s">
        <v>184</v>
      </c>
      <c r="D41" s="195" t="s">
        <v>25</v>
      </c>
      <c r="E41" s="402" t="s">
        <v>475</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198">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53"/>
      <c r="B42" s="193" t="str">
        <f>B41</f>
        <v>Reactant11</v>
      </c>
      <c r="C42" s="194" t="s">
        <v>184</v>
      </c>
      <c r="D42" s="195" t="s">
        <v>164</v>
      </c>
      <c r="E42" s="40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198">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53"/>
      <c r="B43" s="193" t="str">
        <f>B41</f>
        <v>Reactant11</v>
      </c>
      <c r="C43" s="194" t="s">
        <v>184</v>
      </c>
      <c r="D43" s="195" t="s">
        <v>165</v>
      </c>
      <c r="E43" s="40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198">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53"/>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15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53"/>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15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53"/>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15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53"/>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140">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53"/>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140">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53"/>
      <c r="B49" s="82" t="s">
        <v>16</v>
      </c>
      <c r="C49" s="240" t="s">
        <v>184</v>
      </c>
      <c r="D49" s="244" t="s">
        <v>31</v>
      </c>
      <c r="E49" s="413" t="s">
        <v>462</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140">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53"/>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156">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53"/>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156">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56"/>
      <c r="B52" s="42" t="s">
        <v>16</v>
      </c>
      <c r="C52" s="245" t="s">
        <v>184</v>
      </c>
      <c r="D52" s="246" t="s">
        <v>113</v>
      </c>
      <c r="E52" s="414" t="s">
        <v>462</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156">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53" t="s">
        <v>17</v>
      </c>
      <c r="B53" s="334" t="s">
        <v>39</v>
      </c>
      <c r="C53" s="335" t="s">
        <v>184</v>
      </c>
      <c r="D53" s="336" t="s">
        <v>36</v>
      </c>
      <c r="E53" s="417" t="s">
        <v>466</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341">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53"/>
      <c r="B54" s="247" t="s">
        <v>38</v>
      </c>
      <c r="C54" s="233" t="s">
        <v>184</v>
      </c>
      <c r="D54" s="248" t="s">
        <v>37</v>
      </c>
      <c r="E54" s="416" t="s">
        <v>466</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22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53"/>
      <c r="B55" s="249" t="str">
        <f t="shared" ref="B55:B66" si="99">CONCATENATE("RPU_"&amp;D55)</f>
        <v>RPU_ON_SP198-HH100</v>
      </c>
      <c r="C55" s="64" t="s">
        <v>184</v>
      </c>
      <c r="D55" s="173" t="s">
        <v>114</v>
      </c>
      <c r="E55" s="418" t="s">
        <v>467</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176">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53"/>
      <c r="B56" s="249" t="str">
        <f t="shared" si="99"/>
        <v>RPU_ON_SP198-HH150</v>
      </c>
      <c r="C56" s="64" t="s">
        <v>184</v>
      </c>
      <c r="D56" s="173" t="s">
        <v>40</v>
      </c>
      <c r="E56" s="418" t="s">
        <v>467</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176">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53"/>
      <c r="B57" s="249" t="str">
        <f t="shared" si="99"/>
        <v>RPU_ON_SP237-HH100</v>
      </c>
      <c r="C57" s="64" t="s">
        <v>184</v>
      </c>
      <c r="D57" s="173" t="s">
        <v>41</v>
      </c>
      <c r="E57" s="418" t="s">
        <v>467</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176">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53"/>
      <c r="B58" s="249" t="str">
        <f t="shared" si="99"/>
        <v>RPU_ON_SP237-HH150</v>
      </c>
      <c r="C58" s="64" t="s">
        <v>184</v>
      </c>
      <c r="D58" s="173" t="s">
        <v>42</v>
      </c>
      <c r="E58" s="418" t="s">
        <v>467</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176">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53"/>
      <c r="B59" s="249" t="str">
        <f t="shared" si="99"/>
        <v>RPU_ON_SP277-HH100</v>
      </c>
      <c r="C59" s="64" t="s">
        <v>184</v>
      </c>
      <c r="D59" s="173" t="s">
        <v>43</v>
      </c>
      <c r="E59" s="418" t="s">
        <v>467</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176">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53"/>
      <c r="B60" s="249" t="str">
        <f t="shared" si="99"/>
        <v>RPU_ON_SP277-HH150</v>
      </c>
      <c r="C60" s="64" t="s">
        <v>184</v>
      </c>
      <c r="D60" s="173" t="s">
        <v>44</v>
      </c>
      <c r="E60" s="418" t="s">
        <v>467</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176">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53"/>
      <c r="B61" s="249" t="str">
        <f t="shared" si="99"/>
        <v>RPU_ON_SP321-HH100</v>
      </c>
      <c r="C61" s="64" t="s">
        <v>184</v>
      </c>
      <c r="D61" s="173" t="s">
        <v>45</v>
      </c>
      <c r="E61" s="418" t="s">
        <v>467</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176">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53"/>
      <c r="B62" s="249" t="str">
        <f t="shared" si="99"/>
        <v>RPU_ON_SP321-HH150</v>
      </c>
      <c r="C62" s="64" t="s">
        <v>184</v>
      </c>
      <c r="D62" s="173" t="s">
        <v>46</v>
      </c>
      <c r="E62" s="418" t="s">
        <v>467</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176">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53"/>
      <c r="B63" s="251" t="str">
        <f t="shared" si="99"/>
        <v>RPU_OFF_SP379-HH100</v>
      </c>
      <c r="C63" s="183" t="s">
        <v>184</v>
      </c>
      <c r="D63" s="184" t="s">
        <v>47</v>
      </c>
      <c r="E63" s="419" t="s">
        <v>468</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186">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53"/>
      <c r="B64" s="251" t="str">
        <f t="shared" si="99"/>
        <v>RPU_OFF_SP379-HH150</v>
      </c>
      <c r="C64" s="183" t="s">
        <v>184</v>
      </c>
      <c r="D64" s="184" t="s">
        <v>48</v>
      </c>
      <c r="E64" s="419" t="s">
        <v>468</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186">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53"/>
      <c r="B65" s="251" t="str">
        <f t="shared" si="99"/>
        <v>RPU_OFF_SP450-HH100</v>
      </c>
      <c r="C65" s="183" t="s">
        <v>184</v>
      </c>
      <c r="D65" s="184" t="s">
        <v>49</v>
      </c>
      <c r="E65" s="419" t="s">
        <v>468</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186">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53"/>
      <c r="B66" s="251" t="str">
        <f t="shared" si="99"/>
        <v>RPU_OFF_SP450-HH150</v>
      </c>
      <c r="C66" s="183" t="s">
        <v>184</v>
      </c>
      <c r="D66" s="184" t="s">
        <v>115</v>
      </c>
      <c r="E66" s="419" t="s">
        <v>468</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186">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53"/>
      <c r="B67" s="255" t="s">
        <v>327</v>
      </c>
      <c r="C67" s="75" t="s">
        <v>184</v>
      </c>
      <c r="D67" s="256" t="s">
        <v>328</v>
      </c>
      <c r="E67" s="394"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7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53"/>
      <c r="B68" s="255" t="s">
        <v>329</v>
      </c>
      <c r="C68" s="75" t="s">
        <v>184</v>
      </c>
      <c r="D68" s="256" t="s">
        <v>330</v>
      </c>
      <c r="E68" s="394"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7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53"/>
      <c r="B69" s="255" t="s">
        <v>331</v>
      </c>
      <c r="C69" s="75" t="s">
        <v>184</v>
      </c>
      <c r="D69" s="256" t="s">
        <v>332</v>
      </c>
      <c r="E69" s="394"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7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53"/>
      <c r="B70" s="255" t="s">
        <v>333</v>
      </c>
      <c r="C70" s="75" t="s">
        <v>184</v>
      </c>
      <c r="D70" s="256" t="s">
        <v>334</v>
      </c>
      <c r="E70" s="394"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7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53"/>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265">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53"/>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265">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53"/>
      <c r="B73" s="269" t="s">
        <v>16</v>
      </c>
      <c r="C73" s="270" t="s">
        <v>184</v>
      </c>
      <c r="D73" s="271" t="s">
        <v>335</v>
      </c>
      <c r="E73" s="404"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276">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53"/>
      <c r="B74" s="269" t="s">
        <v>16</v>
      </c>
      <c r="C74" s="270" t="s">
        <v>184</v>
      </c>
      <c r="D74" s="271" t="s">
        <v>336</v>
      </c>
      <c r="E74" s="404"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276">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53"/>
      <c r="B75" s="269" t="s">
        <v>16</v>
      </c>
      <c r="C75" s="270" t="s">
        <v>184</v>
      </c>
      <c r="D75" s="271" t="s">
        <v>413</v>
      </c>
      <c r="E75" s="404"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276">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53"/>
      <c r="B76" s="269" t="s">
        <v>16</v>
      </c>
      <c r="C76" s="270" t="s">
        <v>184</v>
      </c>
      <c r="D76" s="271" t="s">
        <v>337</v>
      </c>
      <c r="E76" s="404"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276">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53"/>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53"/>
      <c r="B78" s="280" t="s">
        <v>18</v>
      </c>
      <c r="C78" s="206" t="s">
        <v>23</v>
      </c>
      <c r="D78" s="281" t="s">
        <v>32</v>
      </c>
      <c r="E78" s="405"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209">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53"/>
      <c r="B79" s="280" t="s">
        <v>159</v>
      </c>
      <c r="C79" s="206" t="s">
        <v>24</v>
      </c>
      <c r="D79" s="281" t="s">
        <v>185</v>
      </c>
      <c r="E79" s="405"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209">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53"/>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22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53"/>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22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53"/>
      <c r="B82" s="247" t="s">
        <v>16</v>
      </c>
      <c r="C82" s="233" t="s">
        <v>184</v>
      </c>
      <c r="D82" s="218" t="s">
        <v>35</v>
      </c>
      <c r="E82" s="416" t="s">
        <v>465</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22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R1:U1"/>
    <mergeCell ref="V1:Y1"/>
    <mergeCell ref="Z1:AC1"/>
    <mergeCell ref="A53:A82"/>
    <mergeCell ref="A1:C1"/>
    <mergeCell ref="D2:D5"/>
    <mergeCell ref="B2:B5"/>
    <mergeCell ref="C2:C5"/>
    <mergeCell ref="A6:A52"/>
    <mergeCell ref="E2:E5"/>
    <mergeCell ref="AD1:AG1"/>
    <mergeCell ref="AH1:AK1"/>
    <mergeCell ref="AL1:AO1"/>
    <mergeCell ref="AP1:AS1"/>
    <mergeCell ref="AX1:BA1"/>
    <mergeCell ref="AT1:AW1"/>
    <mergeCell ref="BR1:BU1"/>
    <mergeCell ref="BV1:BY1"/>
    <mergeCell ref="BZ1:CC1"/>
    <mergeCell ref="BB1:BE1"/>
    <mergeCell ref="BF1:BI1"/>
    <mergeCell ref="BJ1:BM1"/>
    <mergeCell ref="BN1:BQ1"/>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36</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10" t="s">
        <v>32</v>
      </c>
      <c r="D6" s="283" t="s">
        <v>93</v>
      </c>
      <c r="E6" s="411" t="s">
        <v>95</v>
      </c>
      <c r="F6" s="283">
        <v>0</v>
      </c>
      <c r="G6" s="412" t="s">
        <v>95</v>
      </c>
      <c r="H6" s="1">
        <f>INDEX(Data_base_case!$D$5:$BY$82,MATCH(Scenarios_definition!C6,Data_base_case!$D$5:$D$82,0),MATCH(Scenarios_definition!D6&amp;Scenarios_definition!G6,Data_base_case!$D$4:$BY$4,0))</f>
        <v>1</v>
      </c>
    </row>
    <row r="7" spans="1:127" x14ac:dyDescent="0.35">
      <c r="B7" s="406" t="s">
        <v>464</v>
      </c>
      <c r="C7" s="407" t="s">
        <v>37</v>
      </c>
      <c r="D7" s="406" t="s">
        <v>93</v>
      </c>
      <c r="E7" s="408" t="s">
        <v>95</v>
      </c>
      <c r="F7" s="406">
        <v>0</v>
      </c>
      <c r="G7" s="409" t="s">
        <v>95</v>
      </c>
      <c r="H7" s="1">
        <f>INDEX(Data_base_case!$D$5:$BY$82,MATCH(Scenarios_definition!C7,Data_base_case!$D$5:$D$82,0),MATCH(Scenarios_definition!D7&amp;Scenarios_definition!G7,Data_base_case!$D$4:$BY$4,0))</f>
        <v>1</v>
      </c>
    </row>
    <row r="8" spans="1:127" x14ac:dyDescent="0.35">
      <c r="B8" s="406" t="s">
        <v>464</v>
      </c>
      <c r="C8" s="407" t="s">
        <v>114</v>
      </c>
      <c r="D8" s="406" t="s">
        <v>93</v>
      </c>
      <c r="E8" s="408" t="s">
        <v>95</v>
      </c>
      <c r="F8" s="406">
        <v>0</v>
      </c>
      <c r="G8" s="409" t="s">
        <v>95</v>
      </c>
      <c r="H8" s="1">
        <f>INDEX(Data_base_case!$D$5:$BY$82,MATCH(Scenarios_definition!C8,Data_base_case!$D$5:$D$82,0),MATCH(Scenarios_definition!D8&amp;Scenarios_definition!G8,Data_base_case!$D$4:$BY$4,0))</f>
        <v>1</v>
      </c>
    </row>
    <row r="9" spans="1:127" x14ac:dyDescent="0.35">
      <c r="B9" s="406" t="s">
        <v>464</v>
      </c>
      <c r="C9" s="407" t="s">
        <v>40</v>
      </c>
      <c r="D9" s="406" t="s">
        <v>93</v>
      </c>
      <c r="E9" s="408" t="s">
        <v>95</v>
      </c>
      <c r="F9" s="406">
        <v>0</v>
      </c>
      <c r="G9" s="409"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42"/>
  <sheetViews>
    <sheetView tabSelected="1" topLeftCell="A12" zoomScale="88" zoomScaleNormal="145" workbookViewId="0">
      <selection activeCell="G26" sqref="G26"/>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37" t="s">
        <v>110</v>
      </c>
      <c r="C2" s="438" t="s">
        <v>492</v>
      </c>
      <c r="D2" s="8" t="s">
        <v>173</v>
      </c>
      <c r="E2" s="8" t="s">
        <v>87</v>
      </c>
      <c r="F2" s="8" t="s">
        <v>316</v>
      </c>
      <c r="G2" s="8" t="s">
        <v>403</v>
      </c>
      <c r="H2" s="282" t="s">
        <v>408</v>
      </c>
      <c r="I2" s="8" t="s">
        <v>16</v>
      </c>
      <c r="J2" s="8">
        <v>2025</v>
      </c>
      <c r="K2" s="8" t="s">
        <v>179</v>
      </c>
      <c r="L2" s="437" t="s">
        <v>340</v>
      </c>
      <c r="M2" s="441" t="s">
        <v>342</v>
      </c>
      <c r="N2" s="440" t="s">
        <v>494</v>
      </c>
      <c r="O2" s="440" t="s">
        <v>495</v>
      </c>
      <c r="P2" s="437" t="s">
        <v>496</v>
      </c>
      <c r="Q2" s="437" t="s">
        <v>497</v>
      </c>
      <c r="R2" s="440" t="s">
        <v>498</v>
      </c>
      <c r="S2" s="439" t="s">
        <v>176</v>
      </c>
      <c r="T2" s="439" t="s">
        <v>499</v>
      </c>
      <c r="U2" s="437" t="s">
        <v>500</v>
      </c>
      <c r="V2" s="437" t="s">
        <v>417</v>
      </c>
      <c r="W2" s="437" t="s">
        <v>455</v>
      </c>
      <c r="X2" s="8" t="s">
        <v>152</v>
      </c>
      <c r="Y2" s="8" t="s">
        <v>152</v>
      </c>
      <c r="Z2" s="8" t="s">
        <v>106</v>
      </c>
    </row>
    <row r="3" spans="1:39" x14ac:dyDescent="0.35">
      <c r="B3" s="437"/>
      <c r="C3" s="438"/>
      <c r="D3" s="8" t="s">
        <v>435</v>
      </c>
      <c r="E3" s="8" t="s">
        <v>60</v>
      </c>
      <c r="F3" s="8" t="s">
        <v>317</v>
      </c>
      <c r="G3" s="8" t="s">
        <v>404</v>
      </c>
      <c r="H3" s="282" t="s">
        <v>412</v>
      </c>
      <c r="I3" s="8" t="s">
        <v>411</v>
      </c>
      <c r="J3" s="8">
        <v>2030</v>
      </c>
      <c r="K3" s="8" t="s">
        <v>180</v>
      </c>
      <c r="L3" s="437"/>
      <c r="M3" s="441"/>
      <c r="N3" s="440"/>
      <c r="O3" s="440"/>
      <c r="P3" s="437"/>
      <c r="Q3" s="437"/>
      <c r="R3" s="440"/>
      <c r="S3" s="439"/>
      <c r="T3" s="439"/>
      <c r="U3" s="437"/>
      <c r="V3" s="437"/>
      <c r="W3" s="437"/>
      <c r="X3" s="8"/>
      <c r="Y3" s="8"/>
      <c r="Z3" s="8"/>
    </row>
    <row r="4" spans="1:39" x14ac:dyDescent="0.35">
      <c r="B4" s="437"/>
      <c r="C4" s="438"/>
      <c r="D4" s="8" t="s">
        <v>436</v>
      </c>
      <c r="E4" s="8" t="s">
        <v>86</v>
      </c>
      <c r="F4" t="s">
        <v>454</v>
      </c>
      <c r="G4" s="8" t="s">
        <v>405</v>
      </c>
      <c r="H4" s="282" t="s">
        <v>409</v>
      </c>
      <c r="I4" s="8"/>
      <c r="J4" s="8">
        <v>2040</v>
      </c>
      <c r="K4" s="8" t="s">
        <v>172</v>
      </c>
      <c r="L4" s="437"/>
      <c r="M4" s="8"/>
      <c r="N4" s="8"/>
      <c r="O4" s="8"/>
      <c r="P4" s="437"/>
      <c r="Q4" s="437"/>
      <c r="R4" s="440"/>
      <c r="S4" s="439"/>
      <c r="T4" s="439"/>
      <c r="U4" s="437"/>
      <c r="V4" s="437"/>
      <c r="W4" s="437"/>
      <c r="X4" s="8"/>
      <c r="Y4" s="8"/>
      <c r="Z4" s="8"/>
    </row>
    <row r="5" spans="1:39" x14ac:dyDescent="0.35">
      <c r="B5" s="437"/>
      <c r="C5" s="438"/>
      <c r="D5" s="8" t="s">
        <v>437</v>
      </c>
      <c r="E5" s="8"/>
      <c r="F5" s="8" t="s">
        <v>318</v>
      </c>
      <c r="G5" s="8" t="s">
        <v>406</v>
      </c>
      <c r="H5" s="8"/>
      <c r="I5" s="8"/>
      <c r="J5" s="8">
        <v>2050</v>
      </c>
      <c r="K5" s="8" t="s">
        <v>478</v>
      </c>
      <c r="L5" s="25"/>
      <c r="M5" s="441" t="s">
        <v>341</v>
      </c>
      <c r="N5" s="95"/>
      <c r="O5" s="95"/>
      <c r="P5" s="437"/>
      <c r="Q5" s="437"/>
      <c r="R5" s="440"/>
      <c r="S5" s="439"/>
      <c r="T5" s="439"/>
      <c r="U5" s="437"/>
      <c r="V5" s="26"/>
      <c r="W5" s="437"/>
      <c r="X5" s="8"/>
      <c r="Y5" s="8"/>
      <c r="Z5" s="8"/>
    </row>
    <row r="6" spans="1:39" x14ac:dyDescent="0.35">
      <c r="B6" s="437"/>
      <c r="C6" s="438"/>
      <c r="D6" s="8" t="s">
        <v>438</v>
      </c>
      <c r="E6" s="8"/>
      <c r="F6" s="8" t="s">
        <v>86</v>
      </c>
      <c r="G6" s="8" t="s">
        <v>407</v>
      </c>
      <c r="H6" s="8"/>
      <c r="I6" s="8"/>
      <c r="J6" s="8"/>
      <c r="K6" s="8" t="s">
        <v>493</v>
      </c>
      <c r="L6" s="25"/>
      <c r="M6" s="441"/>
      <c r="N6" s="95"/>
      <c r="O6" s="95"/>
      <c r="P6" s="437"/>
      <c r="Q6" s="437"/>
      <c r="R6" s="440"/>
      <c r="S6" s="439"/>
      <c r="T6" s="439"/>
      <c r="U6" s="8"/>
      <c r="V6" s="26"/>
      <c r="W6" s="437"/>
      <c r="X6" s="8"/>
      <c r="Y6" s="8"/>
      <c r="Z6" s="8"/>
    </row>
    <row r="7" spans="1:39" x14ac:dyDescent="0.35">
      <c r="B7" s="437"/>
      <c r="C7" s="438"/>
      <c r="D7" s="8" t="s">
        <v>291</v>
      </c>
      <c r="E7" s="8"/>
      <c r="F7" s="8"/>
      <c r="G7" s="8"/>
      <c r="H7" s="8"/>
      <c r="I7" s="8"/>
      <c r="J7" s="8"/>
      <c r="L7" s="25"/>
      <c r="M7" s="441"/>
      <c r="N7" s="95"/>
      <c r="O7" s="95"/>
      <c r="P7" s="437"/>
      <c r="Q7" s="437"/>
      <c r="R7" s="440"/>
      <c r="S7" s="439"/>
      <c r="T7" s="439"/>
      <c r="U7" s="8"/>
      <c r="V7" s="8"/>
      <c r="W7" s="437"/>
      <c r="X7" s="12"/>
      <c r="Y7" s="12"/>
      <c r="Z7" s="12"/>
      <c r="AA7" s="94"/>
      <c r="AB7" s="12"/>
      <c r="AC7" s="12"/>
      <c r="AD7" s="12"/>
      <c r="AE7" s="12"/>
      <c r="AF7" s="12"/>
      <c r="AG7" s="12"/>
      <c r="AH7" s="12"/>
      <c r="AI7" s="12"/>
      <c r="AJ7" s="22"/>
      <c r="AK7" s="435"/>
      <c r="AL7" s="436"/>
      <c r="AM7" s="436"/>
    </row>
    <row r="8" spans="1:39" x14ac:dyDescent="0.35">
      <c r="B8" s="24"/>
      <c r="C8" s="25"/>
      <c r="D8" s="8" t="s">
        <v>275</v>
      </c>
      <c r="E8" s="8"/>
      <c r="F8" s="8"/>
      <c r="G8" s="8" t="s">
        <v>490</v>
      </c>
      <c r="H8" s="8"/>
      <c r="I8" s="8"/>
      <c r="J8" s="8"/>
      <c r="L8" s="25"/>
      <c r="M8" s="441"/>
      <c r="N8" s="95"/>
      <c r="O8" s="95"/>
      <c r="P8" s="437"/>
      <c r="Q8" s="437"/>
      <c r="R8" s="26"/>
      <c r="S8" s="40"/>
      <c r="T8" s="439"/>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491</v>
      </c>
      <c r="H9" s="8"/>
      <c r="I9" s="8"/>
      <c r="J9" s="8"/>
      <c r="L9" s="25"/>
      <c r="M9" s="441"/>
      <c r="N9" s="95"/>
      <c r="O9" s="95"/>
      <c r="P9" s="8"/>
      <c r="Q9" s="8"/>
      <c r="R9" s="26" t="s">
        <v>514</v>
      </c>
      <c r="S9" s="40"/>
      <c r="T9" s="439"/>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39"/>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39"/>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39"/>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32" t="s">
        <v>484</v>
      </c>
      <c r="B15" s="432"/>
      <c r="C15" s="432"/>
      <c r="D15" s="433" t="s">
        <v>485</v>
      </c>
      <c r="E15" s="433"/>
      <c r="F15" s="433"/>
      <c r="G15" s="433"/>
      <c r="H15" s="433"/>
      <c r="I15" s="433"/>
      <c r="J15" s="433"/>
      <c r="K15" s="444" t="s">
        <v>486</v>
      </c>
      <c r="L15" s="444"/>
      <c r="M15" s="444"/>
      <c r="N15" s="444"/>
      <c r="O15" s="444"/>
      <c r="P15" s="434" t="s">
        <v>487</v>
      </c>
      <c r="Q15" s="434"/>
      <c r="R15" s="434"/>
      <c r="S15" s="434"/>
      <c r="T15" s="434"/>
      <c r="U15" s="442" t="s">
        <v>488</v>
      </c>
      <c r="V15" s="442"/>
      <c r="W15" s="442"/>
      <c r="X15" s="442"/>
      <c r="Y15" s="442"/>
      <c r="Z15" s="443"/>
      <c r="AA15" s="445" t="s">
        <v>489</v>
      </c>
      <c r="AB15" s="444"/>
      <c r="AC15" s="444"/>
      <c r="AD15" s="444"/>
      <c r="AE15" s="444"/>
      <c r="AF15" s="444"/>
      <c r="AG15" s="444"/>
      <c r="AH15" s="444"/>
      <c r="AI15" s="444"/>
      <c r="AJ15" s="446"/>
      <c r="AK15" s="447" t="s">
        <v>107</v>
      </c>
      <c r="AL15" s="448"/>
      <c r="AM15" s="448"/>
    </row>
    <row r="16" spans="1:39" s="19" customFormat="1" x14ac:dyDescent="0.35">
      <c r="A16" s="423" t="s">
        <v>69</v>
      </c>
      <c r="B16" s="423" t="s">
        <v>109</v>
      </c>
      <c r="C16" s="423" t="s">
        <v>108</v>
      </c>
      <c r="D16" s="422" t="s">
        <v>70</v>
      </c>
      <c r="E16" s="422" t="s">
        <v>85</v>
      </c>
      <c r="F16" s="422" t="s">
        <v>319</v>
      </c>
      <c r="G16" s="422" t="s">
        <v>71</v>
      </c>
      <c r="H16" s="422" t="s">
        <v>168</v>
      </c>
      <c r="I16" s="422" t="s">
        <v>169</v>
      </c>
      <c r="J16" s="422" t="s">
        <v>124</v>
      </c>
      <c r="K16" s="424" t="s">
        <v>160</v>
      </c>
      <c r="L16" s="424" t="s">
        <v>339</v>
      </c>
      <c r="M16" s="424" t="s">
        <v>305</v>
      </c>
      <c r="N16" s="424" t="s">
        <v>482</v>
      </c>
      <c r="O16" s="424" t="s">
        <v>480</v>
      </c>
      <c r="P16" s="425" t="s">
        <v>118</v>
      </c>
      <c r="Q16" s="425" t="s">
        <v>116</v>
      </c>
      <c r="R16" s="425" t="s">
        <v>163</v>
      </c>
      <c r="S16" s="425" t="s">
        <v>170</v>
      </c>
      <c r="T16" s="425" t="s">
        <v>177</v>
      </c>
      <c r="U16" s="426" t="s">
        <v>125</v>
      </c>
      <c r="V16" s="426" t="s">
        <v>73</v>
      </c>
      <c r="W16" s="426" t="s">
        <v>460</v>
      </c>
      <c r="X16" s="426" t="s">
        <v>72</v>
      </c>
      <c r="Y16" s="426" t="s">
        <v>151</v>
      </c>
      <c r="Z16" s="426" t="s">
        <v>74</v>
      </c>
      <c r="AA16" s="427" t="s">
        <v>77</v>
      </c>
      <c r="AB16" s="424" t="s">
        <v>78</v>
      </c>
      <c r="AC16" s="424" t="s">
        <v>79</v>
      </c>
      <c r="AD16" s="424" t="s">
        <v>88</v>
      </c>
      <c r="AE16" s="424" t="s">
        <v>89</v>
      </c>
      <c r="AF16" s="424" t="s">
        <v>90</v>
      </c>
      <c r="AG16" s="424" t="s">
        <v>91</v>
      </c>
      <c r="AH16" s="424" t="s">
        <v>283</v>
      </c>
      <c r="AI16" s="424" t="s">
        <v>284</v>
      </c>
      <c r="AJ16" s="428" t="s">
        <v>80</v>
      </c>
      <c r="AK16" s="429" t="s">
        <v>81</v>
      </c>
      <c r="AL16" s="429" t="s">
        <v>82</v>
      </c>
      <c r="AM16" s="429" t="s">
        <v>83</v>
      </c>
    </row>
    <row r="17" spans="1:39" s="8" customFormat="1" x14ac:dyDescent="0.35">
      <c r="A17" s="8">
        <f t="shared" ref="A17:A42" si="0">ROW(A17)-ROW($A$16)</f>
        <v>1</v>
      </c>
      <c r="B17" s="8" t="str">
        <f>"Test"&amp;A17</f>
        <v>Test1</v>
      </c>
      <c r="C17" s="12" t="s">
        <v>464</v>
      </c>
      <c r="D17" s="8" t="s">
        <v>436</v>
      </c>
      <c r="E17" s="12" t="s">
        <v>86</v>
      </c>
      <c r="F17" s="12" t="s">
        <v>86</v>
      </c>
      <c r="G17" s="12" t="s">
        <v>403</v>
      </c>
      <c r="H17" s="12" t="s">
        <v>410</v>
      </c>
      <c r="I17" s="12" t="s">
        <v>411</v>
      </c>
      <c r="J17" s="12">
        <v>2030</v>
      </c>
      <c r="K17" s="8" t="s">
        <v>478</v>
      </c>
      <c r="L17" s="12" t="s">
        <v>86</v>
      </c>
      <c r="M17" s="12" t="s">
        <v>479</v>
      </c>
      <c r="N17" s="168" t="s">
        <v>502</v>
      </c>
      <c r="O17" s="12" t="s">
        <v>481</v>
      </c>
      <c r="P17" s="12">
        <v>0</v>
      </c>
      <c r="Q17" s="12">
        <v>0</v>
      </c>
      <c r="R17" s="12">
        <v>-1</v>
      </c>
      <c r="S17" s="12" t="s">
        <v>86</v>
      </c>
      <c r="T17" s="12">
        <v>0</v>
      </c>
      <c r="U17" s="12" t="s">
        <v>171</v>
      </c>
      <c r="V17" s="12" t="s">
        <v>483</v>
      </c>
      <c r="W17" s="12" t="s">
        <v>461</v>
      </c>
      <c r="X17" s="8" t="s">
        <v>161</v>
      </c>
      <c r="Y17" s="8" t="s">
        <v>162</v>
      </c>
      <c r="Z17" s="8" t="s">
        <v>501</v>
      </c>
      <c r="AA17" s="430" t="b">
        <v>0</v>
      </c>
      <c r="AB17" s="8" t="b">
        <v>0</v>
      </c>
      <c r="AC17" s="8" t="b">
        <v>1</v>
      </c>
      <c r="AD17" s="8" t="b">
        <v>0</v>
      </c>
      <c r="AE17" s="8" t="b">
        <v>0</v>
      </c>
      <c r="AF17" s="8" t="b">
        <v>0</v>
      </c>
      <c r="AG17" s="8" t="b">
        <v>0</v>
      </c>
      <c r="AH17" s="8" t="b">
        <v>0</v>
      </c>
      <c r="AI17" s="8" t="b">
        <v>0</v>
      </c>
      <c r="AJ17" s="107" t="b">
        <v>0</v>
      </c>
      <c r="AK17" s="8" t="b">
        <v>0</v>
      </c>
      <c r="AL17" s="8" t="b">
        <v>0</v>
      </c>
      <c r="AM17" s="8" t="b">
        <v>1</v>
      </c>
    </row>
    <row r="18" spans="1:39" s="8" customFormat="1" x14ac:dyDescent="0.35">
      <c r="A18" s="8">
        <f t="shared" si="0"/>
        <v>2</v>
      </c>
      <c r="B18" s="8" t="str">
        <f>"Test"&amp;A18</f>
        <v>Test2</v>
      </c>
      <c r="C18" s="12" t="s">
        <v>464</v>
      </c>
      <c r="D18" s="8" t="s">
        <v>437</v>
      </c>
      <c r="E18" s="12" t="s">
        <v>86</v>
      </c>
      <c r="F18" s="12" t="s">
        <v>86</v>
      </c>
      <c r="G18" s="12" t="s">
        <v>403</v>
      </c>
      <c r="H18" s="12" t="s">
        <v>410</v>
      </c>
      <c r="I18" s="12" t="s">
        <v>411</v>
      </c>
      <c r="J18" s="12">
        <v>2030</v>
      </c>
      <c r="K18" s="8" t="s">
        <v>478</v>
      </c>
      <c r="L18" s="12" t="s">
        <v>86</v>
      </c>
      <c r="M18" s="12" t="s">
        <v>479</v>
      </c>
      <c r="N18" s="168" t="s">
        <v>515</v>
      </c>
      <c r="O18" s="12" t="s">
        <v>481</v>
      </c>
      <c r="P18" s="12">
        <v>0</v>
      </c>
      <c r="Q18" s="12">
        <v>0</v>
      </c>
      <c r="R18" s="12">
        <v>-1</v>
      </c>
      <c r="S18" s="12" t="s">
        <v>86</v>
      </c>
      <c r="T18" s="12">
        <v>1</v>
      </c>
      <c r="U18" s="12" t="s">
        <v>171</v>
      </c>
      <c r="V18" s="12" t="s">
        <v>483</v>
      </c>
      <c r="W18" s="12" t="s">
        <v>461</v>
      </c>
      <c r="X18" s="8" t="s">
        <v>161</v>
      </c>
      <c r="Y18" s="8" t="s">
        <v>162</v>
      </c>
      <c r="Z18" s="8" t="s">
        <v>501</v>
      </c>
      <c r="AA18" s="430" t="b">
        <v>0</v>
      </c>
      <c r="AB18" s="8" t="b">
        <v>0</v>
      </c>
      <c r="AC18" s="8" t="b">
        <v>1</v>
      </c>
      <c r="AD18" s="8" t="b">
        <v>0</v>
      </c>
      <c r="AE18" s="8" t="b">
        <v>0</v>
      </c>
      <c r="AF18" s="8" t="b">
        <v>0</v>
      </c>
      <c r="AG18" s="8" t="b">
        <v>0</v>
      </c>
      <c r="AH18" s="8" t="b">
        <v>0</v>
      </c>
      <c r="AI18" s="8" t="b">
        <v>0</v>
      </c>
      <c r="AJ18" s="107" t="b">
        <v>0</v>
      </c>
      <c r="AK18" s="8" t="b">
        <v>0</v>
      </c>
      <c r="AL18" s="8" t="b">
        <v>0</v>
      </c>
      <c r="AM18" s="8" t="b">
        <v>1</v>
      </c>
    </row>
    <row r="19" spans="1:39" s="8" customFormat="1" x14ac:dyDescent="0.35">
      <c r="A19" s="8">
        <f>ROW(A19)-ROW($A$16)</f>
        <v>3</v>
      </c>
      <c r="B19" s="8" t="str">
        <f t="shared" ref="B19:B42" si="1">"Test"&amp;A19</f>
        <v>Test3</v>
      </c>
      <c r="C19" s="12" t="s">
        <v>464</v>
      </c>
      <c r="D19" s="8" t="s">
        <v>436</v>
      </c>
      <c r="E19" s="12" t="s">
        <v>86</v>
      </c>
      <c r="F19" s="12" t="s">
        <v>86</v>
      </c>
      <c r="G19" s="12" t="s">
        <v>403</v>
      </c>
      <c r="H19" s="12" t="s">
        <v>410</v>
      </c>
      <c r="I19" s="12" t="s">
        <v>411</v>
      </c>
      <c r="J19" s="12">
        <v>2030</v>
      </c>
      <c r="K19" s="8" t="s">
        <v>478</v>
      </c>
      <c r="L19" s="12" t="s">
        <v>86</v>
      </c>
      <c r="M19" s="12" t="s">
        <v>479</v>
      </c>
      <c r="N19" s="168" t="s">
        <v>503</v>
      </c>
      <c r="O19" s="12" t="s">
        <v>481</v>
      </c>
      <c r="P19" s="12">
        <v>0</v>
      </c>
      <c r="Q19" s="12">
        <v>0</v>
      </c>
      <c r="R19" s="12">
        <v>-1</v>
      </c>
      <c r="S19" s="12" t="s">
        <v>86</v>
      </c>
      <c r="T19" s="12">
        <v>0</v>
      </c>
      <c r="U19" s="12" t="s">
        <v>171</v>
      </c>
      <c r="V19" s="12" t="s">
        <v>483</v>
      </c>
      <c r="W19" s="12" t="s">
        <v>461</v>
      </c>
      <c r="X19" s="8" t="s">
        <v>161</v>
      </c>
      <c r="Y19" s="8" t="s">
        <v>162</v>
      </c>
      <c r="Z19" s="8" t="s">
        <v>501</v>
      </c>
      <c r="AA19" s="430" t="b">
        <v>0</v>
      </c>
      <c r="AB19" s="8" t="b">
        <v>0</v>
      </c>
      <c r="AC19" s="8" t="b">
        <v>1</v>
      </c>
      <c r="AD19" s="8" t="b">
        <v>0</v>
      </c>
      <c r="AE19" s="8" t="b">
        <v>0</v>
      </c>
      <c r="AF19" s="8" t="b">
        <v>0</v>
      </c>
      <c r="AG19" s="8" t="b">
        <v>0</v>
      </c>
      <c r="AH19" s="8" t="b">
        <v>0</v>
      </c>
      <c r="AI19" s="8" t="b">
        <v>0</v>
      </c>
      <c r="AJ19" s="107" t="b">
        <v>0</v>
      </c>
      <c r="AK19" s="8" t="b">
        <v>0</v>
      </c>
      <c r="AL19" s="8" t="b">
        <v>0</v>
      </c>
      <c r="AM19" s="8" t="b">
        <v>1</v>
      </c>
    </row>
    <row r="20" spans="1:39" s="8" customFormat="1" x14ac:dyDescent="0.35">
      <c r="A20" s="8">
        <f t="shared" si="0"/>
        <v>4</v>
      </c>
      <c r="B20" s="8" t="str">
        <f t="shared" si="1"/>
        <v>Test4</v>
      </c>
      <c r="C20" s="12" t="s">
        <v>464</v>
      </c>
      <c r="D20" s="8" t="s">
        <v>436</v>
      </c>
      <c r="E20" s="12" t="s">
        <v>86</v>
      </c>
      <c r="F20" s="12" t="s">
        <v>86</v>
      </c>
      <c r="G20" s="12" t="s">
        <v>403</v>
      </c>
      <c r="H20" s="12" t="s">
        <v>410</v>
      </c>
      <c r="I20" s="12" t="s">
        <v>411</v>
      </c>
      <c r="J20" s="12">
        <v>2030</v>
      </c>
      <c r="K20" s="8" t="s">
        <v>478</v>
      </c>
      <c r="L20" s="12" t="s">
        <v>86</v>
      </c>
      <c r="M20" s="12" t="s">
        <v>479</v>
      </c>
      <c r="N20" s="431" t="s">
        <v>504</v>
      </c>
      <c r="O20" s="12" t="s">
        <v>481</v>
      </c>
      <c r="P20" s="12">
        <v>0</v>
      </c>
      <c r="Q20" s="12">
        <v>0</v>
      </c>
      <c r="R20" s="12">
        <v>-1</v>
      </c>
      <c r="S20" s="12" t="s">
        <v>86</v>
      </c>
      <c r="T20" s="12">
        <v>0</v>
      </c>
      <c r="U20" s="12" t="s">
        <v>171</v>
      </c>
      <c r="V20" s="12" t="s">
        <v>483</v>
      </c>
      <c r="W20" s="12" t="s">
        <v>461</v>
      </c>
      <c r="X20" s="8" t="s">
        <v>161</v>
      </c>
      <c r="Y20" s="8" t="s">
        <v>162</v>
      </c>
      <c r="Z20" s="8" t="s">
        <v>501</v>
      </c>
      <c r="AA20" s="430" t="b">
        <v>0</v>
      </c>
      <c r="AB20" s="8" t="b">
        <v>0</v>
      </c>
      <c r="AC20" s="8" t="b">
        <v>1</v>
      </c>
      <c r="AD20" s="8" t="b">
        <v>0</v>
      </c>
      <c r="AE20" s="8" t="b">
        <v>0</v>
      </c>
      <c r="AF20" s="8" t="b">
        <v>0</v>
      </c>
      <c r="AG20" s="8" t="b">
        <v>0</v>
      </c>
      <c r="AH20" s="8" t="b">
        <v>0</v>
      </c>
      <c r="AI20" s="8" t="b">
        <v>0</v>
      </c>
      <c r="AJ20" s="107" t="b">
        <v>0</v>
      </c>
      <c r="AK20" s="8" t="b">
        <v>0</v>
      </c>
      <c r="AL20" s="8" t="b">
        <v>0</v>
      </c>
      <c r="AM20" s="8" t="b">
        <v>1</v>
      </c>
    </row>
    <row r="21" spans="1:39" s="8" customFormat="1" x14ac:dyDescent="0.35">
      <c r="A21" s="8">
        <f t="shared" si="0"/>
        <v>5</v>
      </c>
      <c r="B21" s="8" t="str">
        <f t="shared" si="1"/>
        <v>Test5</v>
      </c>
      <c r="C21" s="12" t="s">
        <v>464</v>
      </c>
      <c r="D21" s="8" t="s">
        <v>436</v>
      </c>
      <c r="E21" s="12" t="s">
        <v>86</v>
      </c>
      <c r="F21" s="12" t="s">
        <v>86</v>
      </c>
      <c r="G21" s="12" t="s">
        <v>403</v>
      </c>
      <c r="H21" s="12" t="s">
        <v>410</v>
      </c>
      <c r="I21" s="12" t="s">
        <v>411</v>
      </c>
      <c r="J21" s="12">
        <v>2030</v>
      </c>
      <c r="K21" s="8" t="s">
        <v>478</v>
      </c>
      <c r="L21" s="12" t="s">
        <v>86</v>
      </c>
      <c r="M21" s="12" t="s">
        <v>479</v>
      </c>
      <c r="N21" s="431" t="s">
        <v>505</v>
      </c>
      <c r="O21" s="12" t="s">
        <v>481</v>
      </c>
      <c r="P21" s="12">
        <v>0</v>
      </c>
      <c r="Q21" s="12">
        <v>0</v>
      </c>
      <c r="R21" s="12">
        <v>-1</v>
      </c>
      <c r="S21" s="12" t="s">
        <v>86</v>
      </c>
      <c r="T21" s="12">
        <v>0</v>
      </c>
      <c r="U21" s="12" t="s">
        <v>171</v>
      </c>
      <c r="V21" s="12" t="s">
        <v>483</v>
      </c>
      <c r="W21" s="12" t="s">
        <v>461</v>
      </c>
      <c r="X21" s="8" t="s">
        <v>161</v>
      </c>
      <c r="Y21" s="8" t="s">
        <v>162</v>
      </c>
      <c r="Z21" s="8" t="s">
        <v>501</v>
      </c>
      <c r="AA21" s="430" t="b">
        <v>0</v>
      </c>
      <c r="AB21" s="8" t="b">
        <v>0</v>
      </c>
      <c r="AC21" s="8" t="b">
        <v>1</v>
      </c>
      <c r="AD21" s="8" t="b">
        <v>0</v>
      </c>
      <c r="AE21" s="8" t="b">
        <v>0</v>
      </c>
      <c r="AF21" s="8" t="b">
        <v>0</v>
      </c>
      <c r="AG21" s="8" t="b">
        <v>0</v>
      </c>
      <c r="AH21" s="8" t="b">
        <v>0</v>
      </c>
      <c r="AI21" s="8" t="b">
        <v>0</v>
      </c>
      <c r="AJ21" s="107" t="b">
        <v>0</v>
      </c>
      <c r="AK21" s="8" t="b">
        <v>0</v>
      </c>
      <c r="AL21" s="8" t="b">
        <v>0</v>
      </c>
      <c r="AM21" s="8" t="b">
        <v>1</v>
      </c>
    </row>
    <row r="22" spans="1:39" x14ac:dyDescent="0.35">
      <c r="A22" s="8">
        <f t="shared" si="0"/>
        <v>6</v>
      </c>
      <c r="B22" s="8" t="str">
        <f t="shared" si="1"/>
        <v>Test6</v>
      </c>
      <c r="C22" s="12" t="s">
        <v>464</v>
      </c>
      <c r="D22" s="8" t="s">
        <v>436</v>
      </c>
      <c r="E22" s="12" t="s">
        <v>86</v>
      </c>
      <c r="F22" s="12" t="s">
        <v>86</v>
      </c>
      <c r="G22" s="12" t="s">
        <v>403</v>
      </c>
      <c r="H22" s="12" t="s">
        <v>410</v>
      </c>
      <c r="I22" s="12" t="s">
        <v>411</v>
      </c>
      <c r="J22" s="12">
        <v>2030</v>
      </c>
      <c r="K22" s="8" t="s">
        <v>478</v>
      </c>
      <c r="L22" s="12" t="s">
        <v>86</v>
      </c>
      <c r="M22" s="12" t="s">
        <v>479</v>
      </c>
      <c r="N22" s="431" t="s">
        <v>506</v>
      </c>
      <c r="O22" s="12" t="s">
        <v>481</v>
      </c>
      <c r="P22" s="12">
        <v>0</v>
      </c>
      <c r="Q22" s="12">
        <v>0</v>
      </c>
      <c r="R22" s="12">
        <v>-1</v>
      </c>
      <c r="S22" s="12" t="s">
        <v>86</v>
      </c>
      <c r="T22" s="12">
        <v>0</v>
      </c>
      <c r="U22" s="12" t="s">
        <v>171</v>
      </c>
      <c r="V22" s="12" t="s">
        <v>483</v>
      </c>
      <c r="W22" s="12" t="s">
        <v>461</v>
      </c>
      <c r="X22" s="8" t="s">
        <v>161</v>
      </c>
      <c r="Y22" s="8" t="s">
        <v>162</v>
      </c>
      <c r="Z22" s="8" t="s">
        <v>501</v>
      </c>
      <c r="AA22" s="430" t="b">
        <v>0</v>
      </c>
      <c r="AB22" s="8" t="b">
        <v>0</v>
      </c>
      <c r="AC22" s="8" t="b">
        <v>1</v>
      </c>
      <c r="AD22" s="8" t="b">
        <v>0</v>
      </c>
      <c r="AE22" s="8" t="b">
        <v>0</v>
      </c>
      <c r="AF22" s="8" t="b">
        <v>0</v>
      </c>
      <c r="AG22" s="8" t="b">
        <v>0</v>
      </c>
      <c r="AH22" s="8" t="b">
        <v>0</v>
      </c>
      <c r="AI22" s="8" t="b">
        <v>0</v>
      </c>
      <c r="AJ22" s="107" t="b">
        <v>0</v>
      </c>
      <c r="AK22" s="8" t="b">
        <v>0</v>
      </c>
      <c r="AL22" s="8" t="b">
        <v>0</v>
      </c>
      <c r="AM22" s="8" t="b">
        <v>1</v>
      </c>
    </row>
    <row r="23" spans="1:39" x14ac:dyDescent="0.35">
      <c r="A23" s="8">
        <f t="shared" si="0"/>
        <v>7</v>
      </c>
      <c r="B23" s="8" t="str">
        <f t="shared" si="1"/>
        <v>Test7</v>
      </c>
      <c r="C23" s="12" t="s">
        <v>464</v>
      </c>
      <c r="D23" s="8" t="s">
        <v>436</v>
      </c>
      <c r="E23" s="12" t="s">
        <v>86</v>
      </c>
      <c r="F23" s="12" t="s">
        <v>86</v>
      </c>
      <c r="G23" s="12" t="s">
        <v>403</v>
      </c>
      <c r="H23" s="12" t="s">
        <v>410</v>
      </c>
      <c r="I23" s="12" t="s">
        <v>411</v>
      </c>
      <c r="J23" s="12">
        <v>2030</v>
      </c>
      <c r="K23" s="8" t="s">
        <v>478</v>
      </c>
      <c r="L23" s="12" t="s">
        <v>86</v>
      </c>
      <c r="M23" s="12" t="s">
        <v>479</v>
      </c>
      <c r="N23" s="431" t="s">
        <v>507</v>
      </c>
      <c r="O23" s="12" t="s">
        <v>481</v>
      </c>
      <c r="P23" s="12">
        <v>0</v>
      </c>
      <c r="Q23" s="12">
        <v>0</v>
      </c>
      <c r="R23" s="12">
        <v>-1</v>
      </c>
      <c r="S23" s="12" t="s">
        <v>86</v>
      </c>
      <c r="T23" s="12">
        <v>0</v>
      </c>
      <c r="U23" s="12" t="s">
        <v>171</v>
      </c>
      <c r="V23" s="12" t="s">
        <v>483</v>
      </c>
      <c r="W23" s="12" t="s">
        <v>461</v>
      </c>
      <c r="X23" s="8" t="s">
        <v>161</v>
      </c>
      <c r="Y23" s="8" t="s">
        <v>162</v>
      </c>
      <c r="Z23" s="8" t="s">
        <v>501</v>
      </c>
      <c r="AA23" s="430" t="b">
        <v>0</v>
      </c>
      <c r="AB23" s="8" t="b">
        <v>0</v>
      </c>
      <c r="AC23" s="8" t="b">
        <v>1</v>
      </c>
      <c r="AD23" s="8" t="b">
        <v>0</v>
      </c>
      <c r="AE23" s="8" t="b">
        <v>0</v>
      </c>
      <c r="AF23" s="8" t="b">
        <v>0</v>
      </c>
      <c r="AG23" s="8" t="b">
        <v>0</v>
      </c>
      <c r="AH23" s="8" t="b">
        <v>0</v>
      </c>
      <c r="AI23" s="8" t="b">
        <v>0</v>
      </c>
      <c r="AJ23" s="107" t="b">
        <v>0</v>
      </c>
      <c r="AK23" s="8" t="b">
        <v>0</v>
      </c>
      <c r="AL23" s="8" t="b">
        <v>0</v>
      </c>
      <c r="AM23" s="8" t="b">
        <v>1</v>
      </c>
    </row>
    <row r="24" spans="1:39" x14ac:dyDescent="0.35">
      <c r="A24" s="8">
        <f t="shared" si="0"/>
        <v>8</v>
      </c>
      <c r="B24" s="8" t="str">
        <f t="shared" si="1"/>
        <v>Test8</v>
      </c>
      <c r="C24" s="12" t="s">
        <v>464</v>
      </c>
      <c r="D24" s="8" t="s">
        <v>436</v>
      </c>
      <c r="E24" s="12" t="s">
        <v>86</v>
      </c>
      <c r="F24" s="12" t="s">
        <v>86</v>
      </c>
      <c r="G24" s="12" t="s">
        <v>403</v>
      </c>
      <c r="H24" s="12" t="s">
        <v>410</v>
      </c>
      <c r="I24" s="12" t="s">
        <v>411</v>
      </c>
      <c r="J24" s="12">
        <v>2030</v>
      </c>
      <c r="K24" s="8" t="s">
        <v>478</v>
      </c>
      <c r="L24" s="12" t="s">
        <v>86</v>
      </c>
      <c r="M24" s="12" t="s">
        <v>479</v>
      </c>
      <c r="N24" s="431" t="s">
        <v>508</v>
      </c>
      <c r="O24" s="12" t="s">
        <v>516</v>
      </c>
      <c r="P24" s="12">
        <v>0</v>
      </c>
      <c r="Q24" s="12">
        <v>0</v>
      </c>
      <c r="R24" s="12">
        <v>-1</v>
      </c>
      <c r="S24" s="12" t="s">
        <v>86</v>
      </c>
      <c r="T24" s="12">
        <v>0</v>
      </c>
      <c r="U24" s="12" t="s">
        <v>171</v>
      </c>
      <c r="V24" s="12" t="s">
        <v>483</v>
      </c>
      <c r="W24" s="12" t="s">
        <v>461</v>
      </c>
      <c r="X24" s="8" t="s">
        <v>161</v>
      </c>
      <c r="Y24" s="8" t="s">
        <v>162</v>
      </c>
      <c r="Z24" s="8" t="s">
        <v>501</v>
      </c>
      <c r="AA24" s="430" t="b">
        <v>0</v>
      </c>
      <c r="AB24" s="8" t="b">
        <v>0</v>
      </c>
      <c r="AC24" s="8" t="b">
        <v>1</v>
      </c>
      <c r="AD24" s="8" t="b">
        <v>0</v>
      </c>
      <c r="AE24" s="8" t="b">
        <v>0</v>
      </c>
      <c r="AF24" s="8" t="b">
        <v>0</v>
      </c>
      <c r="AG24" s="8" t="b">
        <v>0</v>
      </c>
      <c r="AH24" s="8" t="b">
        <v>0</v>
      </c>
      <c r="AI24" s="8" t="b">
        <v>0</v>
      </c>
      <c r="AJ24" s="107" t="b">
        <v>0</v>
      </c>
      <c r="AK24" s="8" t="b">
        <v>0</v>
      </c>
      <c r="AL24" s="8" t="b">
        <v>0</v>
      </c>
      <c r="AM24" s="8" t="b">
        <v>1</v>
      </c>
    </row>
    <row r="25" spans="1:39" x14ac:dyDescent="0.35">
      <c r="A25" s="8">
        <f t="shared" si="0"/>
        <v>9</v>
      </c>
      <c r="B25" s="8" t="str">
        <f t="shared" si="1"/>
        <v>Test9</v>
      </c>
      <c r="C25" s="12" t="s">
        <v>464</v>
      </c>
      <c r="D25" s="8" t="s">
        <v>436</v>
      </c>
      <c r="E25" s="12" t="s">
        <v>86</v>
      </c>
      <c r="F25" s="12" t="s">
        <v>86</v>
      </c>
      <c r="G25" s="12" t="s">
        <v>403</v>
      </c>
      <c r="H25" s="12" t="s">
        <v>410</v>
      </c>
      <c r="I25" s="12" t="s">
        <v>411</v>
      </c>
      <c r="J25" s="12">
        <v>2030</v>
      </c>
      <c r="K25" s="8" t="s">
        <v>478</v>
      </c>
      <c r="L25" s="12" t="s">
        <v>86</v>
      </c>
      <c r="M25" s="12" t="s">
        <v>479</v>
      </c>
      <c r="N25" s="168" t="s">
        <v>509</v>
      </c>
      <c r="O25" s="12" t="s">
        <v>516</v>
      </c>
      <c r="P25" s="12">
        <v>0</v>
      </c>
      <c r="Q25" s="12">
        <v>0</v>
      </c>
      <c r="R25" s="12">
        <v>-1</v>
      </c>
      <c r="S25" s="12" t="s">
        <v>86</v>
      </c>
      <c r="T25" s="12">
        <v>0</v>
      </c>
      <c r="U25" s="12" t="s">
        <v>171</v>
      </c>
      <c r="V25" s="12" t="s">
        <v>483</v>
      </c>
      <c r="W25" s="12" t="s">
        <v>461</v>
      </c>
      <c r="X25" s="8" t="s">
        <v>161</v>
      </c>
      <c r="Y25" s="8" t="s">
        <v>162</v>
      </c>
      <c r="Z25" s="8" t="s">
        <v>501</v>
      </c>
      <c r="AA25" s="430" t="b">
        <v>0</v>
      </c>
      <c r="AB25" s="8" t="b">
        <v>0</v>
      </c>
      <c r="AC25" s="8" t="b">
        <v>1</v>
      </c>
      <c r="AD25" s="8" t="b">
        <v>0</v>
      </c>
      <c r="AE25" s="8" t="b">
        <v>0</v>
      </c>
      <c r="AF25" s="8" t="b">
        <v>0</v>
      </c>
      <c r="AG25" s="8" t="b">
        <v>0</v>
      </c>
      <c r="AH25" s="8" t="b">
        <v>0</v>
      </c>
      <c r="AI25" s="8" t="b">
        <v>0</v>
      </c>
      <c r="AJ25" s="107" t="b">
        <v>0</v>
      </c>
      <c r="AK25" s="8" t="b">
        <v>0</v>
      </c>
      <c r="AL25" s="8" t="b">
        <v>0</v>
      </c>
      <c r="AM25" s="8" t="b">
        <v>1</v>
      </c>
    </row>
    <row r="26" spans="1:39" x14ac:dyDescent="0.35">
      <c r="A26" s="8">
        <f t="shared" si="0"/>
        <v>10</v>
      </c>
      <c r="B26" s="8" t="str">
        <f t="shared" si="1"/>
        <v>Test10</v>
      </c>
      <c r="C26" s="12" t="s">
        <v>464</v>
      </c>
      <c r="D26" s="8" t="s">
        <v>436</v>
      </c>
      <c r="E26" s="12" t="s">
        <v>86</v>
      </c>
      <c r="F26" s="12" t="s">
        <v>86</v>
      </c>
      <c r="G26" s="12" t="s">
        <v>403</v>
      </c>
      <c r="H26" s="12" t="s">
        <v>410</v>
      </c>
      <c r="I26" s="12" t="s">
        <v>411</v>
      </c>
      <c r="J26" s="12">
        <v>2030</v>
      </c>
      <c r="K26" s="8" t="s">
        <v>478</v>
      </c>
      <c r="L26" s="12" t="s">
        <v>86</v>
      </c>
      <c r="M26" s="12" t="s">
        <v>479</v>
      </c>
      <c r="N26" s="431" t="s">
        <v>510</v>
      </c>
      <c r="O26" s="12" t="s">
        <v>516</v>
      </c>
      <c r="P26" s="12">
        <v>0</v>
      </c>
      <c r="Q26" s="12">
        <v>0</v>
      </c>
      <c r="R26" s="12">
        <v>-1</v>
      </c>
      <c r="S26" s="12" t="s">
        <v>86</v>
      </c>
      <c r="T26" s="12">
        <v>0</v>
      </c>
      <c r="U26" s="12" t="s">
        <v>171</v>
      </c>
      <c r="V26" s="12" t="s">
        <v>483</v>
      </c>
      <c r="W26" s="12" t="s">
        <v>461</v>
      </c>
      <c r="X26" s="8" t="s">
        <v>161</v>
      </c>
      <c r="Y26" s="8" t="s">
        <v>162</v>
      </c>
      <c r="Z26" s="8" t="s">
        <v>501</v>
      </c>
      <c r="AA26" s="430" t="b">
        <v>0</v>
      </c>
      <c r="AB26" s="8" t="b">
        <v>0</v>
      </c>
      <c r="AC26" s="8" t="b">
        <v>1</v>
      </c>
      <c r="AD26" s="8" t="b">
        <v>0</v>
      </c>
      <c r="AE26" s="8" t="b">
        <v>0</v>
      </c>
      <c r="AF26" s="8" t="b">
        <v>0</v>
      </c>
      <c r="AG26" s="8" t="b">
        <v>0</v>
      </c>
      <c r="AH26" s="8" t="b">
        <v>0</v>
      </c>
      <c r="AI26" s="8" t="b">
        <v>0</v>
      </c>
      <c r="AJ26" s="107" t="b">
        <v>0</v>
      </c>
      <c r="AK26" s="8" t="b">
        <v>0</v>
      </c>
      <c r="AL26" s="8" t="b">
        <v>0</v>
      </c>
      <c r="AM26" s="8" t="b">
        <v>1</v>
      </c>
    </row>
    <row r="27" spans="1:39" x14ac:dyDescent="0.35">
      <c r="A27" s="8">
        <f t="shared" si="0"/>
        <v>11</v>
      </c>
      <c r="B27" s="8" t="str">
        <f t="shared" si="1"/>
        <v>Test11</v>
      </c>
      <c r="C27" s="12" t="s">
        <v>464</v>
      </c>
      <c r="D27" s="8" t="s">
        <v>436</v>
      </c>
      <c r="E27" s="12" t="s">
        <v>86</v>
      </c>
      <c r="F27" s="12" t="s">
        <v>86</v>
      </c>
      <c r="G27" s="12" t="s">
        <v>403</v>
      </c>
      <c r="H27" s="12" t="s">
        <v>410</v>
      </c>
      <c r="I27" s="12" t="s">
        <v>411</v>
      </c>
      <c r="J27" s="12">
        <v>2030</v>
      </c>
      <c r="K27" s="8" t="s">
        <v>478</v>
      </c>
      <c r="L27" s="12" t="s">
        <v>86</v>
      </c>
      <c r="M27" s="12" t="s">
        <v>479</v>
      </c>
      <c r="N27" s="431" t="s">
        <v>511</v>
      </c>
      <c r="O27" s="12" t="s">
        <v>516</v>
      </c>
      <c r="P27" s="12">
        <v>0</v>
      </c>
      <c r="Q27" s="12">
        <v>0</v>
      </c>
      <c r="R27" s="12">
        <v>-1</v>
      </c>
      <c r="S27" s="12" t="s">
        <v>86</v>
      </c>
      <c r="T27" s="12">
        <v>0</v>
      </c>
      <c r="U27" s="12" t="s">
        <v>171</v>
      </c>
      <c r="V27" s="12" t="s">
        <v>483</v>
      </c>
      <c r="W27" s="12" t="s">
        <v>461</v>
      </c>
      <c r="X27" s="8" t="s">
        <v>161</v>
      </c>
      <c r="Y27" s="8" t="s">
        <v>162</v>
      </c>
      <c r="Z27" s="8" t="s">
        <v>501</v>
      </c>
      <c r="AA27" s="430" t="b">
        <v>0</v>
      </c>
      <c r="AB27" s="8" t="b">
        <v>0</v>
      </c>
      <c r="AC27" s="8" t="b">
        <v>1</v>
      </c>
      <c r="AD27" s="8" t="b">
        <v>0</v>
      </c>
      <c r="AE27" s="8" t="b">
        <v>0</v>
      </c>
      <c r="AF27" s="8" t="b">
        <v>0</v>
      </c>
      <c r="AG27" s="8" t="b">
        <v>0</v>
      </c>
      <c r="AH27" s="8" t="b">
        <v>0</v>
      </c>
      <c r="AI27" s="8" t="b">
        <v>0</v>
      </c>
      <c r="AJ27" s="107" t="b">
        <v>0</v>
      </c>
      <c r="AK27" s="8" t="b">
        <v>0</v>
      </c>
      <c r="AL27" s="8" t="b">
        <v>0</v>
      </c>
      <c r="AM27" s="8" t="b">
        <v>1</v>
      </c>
    </row>
    <row r="28" spans="1:39" x14ac:dyDescent="0.35">
      <c r="A28" s="8">
        <f t="shared" si="0"/>
        <v>12</v>
      </c>
      <c r="B28" s="8" t="str">
        <f t="shared" si="1"/>
        <v>Test12</v>
      </c>
      <c r="C28" s="12" t="s">
        <v>464</v>
      </c>
      <c r="D28" s="8" t="s">
        <v>436</v>
      </c>
      <c r="E28" s="12" t="s">
        <v>86</v>
      </c>
      <c r="F28" s="12" t="s">
        <v>86</v>
      </c>
      <c r="G28" s="12" t="s">
        <v>403</v>
      </c>
      <c r="H28" s="12" t="s">
        <v>410</v>
      </c>
      <c r="I28" s="12" t="s">
        <v>411</v>
      </c>
      <c r="J28" s="12">
        <v>2030</v>
      </c>
      <c r="K28" s="8" t="s">
        <v>478</v>
      </c>
      <c r="L28" s="12" t="s">
        <v>86</v>
      </c>
      <c r="M28" s="12" t="s">
        <v>479</v>
      </c>
      <c r="N28" s="431" t="s">
        <v>512</v>
      </c>
      <c r="O28" s="12" t="s">
        <v>516</v>
      </c>
      <c r="P28" s="12">
        <v>0</v>
      </c>
      <c r="Q28" s="12">
        <v>0</v>
      </c>
      <c r="R28" s="12">
        <v>-1</v>
      </c>
      <c r="S28" s="12" t="s">
        <v>86</v>
      </c>
      <c r="T28" s="12">
        <v>0</v>
      </c>
      <c r="U28" s="12" t="s">
        <v>171</v>
      </c>
      <c r="V28" s="12" t="s">
        <v>483</v>
      </c>
      <c r="W28" s="12" t="s">
        <v>461</v>
      </c>
      <c r="X28" s="8" t="s">
        <v>161</v>
      </c>
      <c r="Y28" s="8" t="s">
        <v>162</v>
      </c>
      <c r="Z28" s="8" t="s">
        <v>501</v>
      </c>
      <c r="AA28" s="430" t="b">
        <v>0</v>
      </c>
      <c r="AB28" s="8" t="b">
        <v>0</v>
      </c>
      <c r="AC28" s="8" t="b">
        <v>1</v>
      </c>
      <c r="AD28" s="8" t="b">
        <v>0</v>
      </c>
      <c r="AE28" s="8" t="b">
        <v>0</v>
      </c>
      <c r="AF28" s="8" t="b">
        <v>0</v>
      </c>
      <c r="AG28" s="8" t="b">
        <v>0</v>
      </c>
      <c r="AH28" s="8" t="b">
        <v>0</v>
      </c>
      <c r="AI28" s="8" t="b">
        <v>0</v>
      </c>
      <c r="AJ28" s="107" t="b">
        <v>0</v>
      </c>
      <c r="AK28" s="8" t="b">
        <v>0</v>
      </c>
      <c r="AL28" s="8" t="b">
        <v>0</v>
      </c>
      <c r="AM28" s="8" t="b">
        <v>1</v>
      </c>
    </row>
    <row r="29" spans="1:39" x14ac:dyDescent="0.35">
      <c r="A29" s="8">
        <f t="shared" si="0"/>
        <v>13</v>
      </c>
      <c r="B29" s="8" t="str">
        <f t="shared" si="1"/>
        <v>Test13</v>
      </c>
      <c r="C29" s="12" t="s">
        <v>464</v>
      </c>
      <c r="D29" s="8" t="s">
        <v>436</v>
      </c>
      <c r="E29" s="12" t="s">
        <v>86</v>
      </c>
      <c r="F29" s="12" t="s">
        <v>86</v>
      </c>
      <c r="G29" s="12" t="s">
        <v>403</v>
      </c>
      <c r="H29" s="12" t="s">
        <v>410</v>
      </c>
      <c r="I29" s="12" t="s">
        <v>411</v>
      </c>
      <c r="J29" s="12">
        <v>2030</v>
      </c>
      <c r="K29" s="8" t="s">
        <v>478</v>
      </c>
      <c r="L29" s="12" t="s">
        <v>86</v>
      </c>
      <c r="M29" s="12" t="s">
        <v>479</v>
      </c>
      <c r="N29" s="431" t="s">
        <v>513</v>
      </c>
      <c r="O29" s="12" t="s">
        <v>516</v>
      </c>
      <c r="P29" s="12">
        <v>0</v>
      </c>
      <c r="Q29" s="12">
        <v>0</v>
      </c>
      <c r="R29" s="12">
        <v>-1</v>
      </c>
      <c r="S29" s="12" t="s">
        <v>86</v>
      </c>
      <c r="T29" s="12">
        <v>0</v>
      </c>
      <c r="U29" s="12" t="s">
        <v>171</v>
      </c>
      <c r="V29" s="12" t="s">
        <v>483</v>
      </c>
      <c r="W29" s="12" t="s">
        <v>461</v>
      </c>
      <c r="X29" s="8" t="s">
        <v>161</v>
      </c>
      <c r="Y29" s="8" t="s">
        <v>162</v>
      </c>
      <c r="Z29" s="8" t="s">
        <v>501</v>
      </c>
      <c r="AA29" s="430" t="b">
        <v>0</v>
      </c>
      <c r="AB29" s="8" t="b">
        <v>0</v>
      </c>
      <c r="AC29" s="8" t="b">
        <v>1</v>
      </c>
      <c r="AD29" s="8" t="b">
        <v>0</v>
      </c>
      <c r="AE29" s="8" t="b">
        <v>0</v>
      </c>
      <c r="AF29" s="8" t="b">
        <v>0</v>
      </c>
      <c r="AG29" s="8" t="b">
        <v>0</v>
      </c>
      <c r="AH29" s="8" t="b">
        <v>0</v>
      </c>
      <c r="AI29" s="8" t="b">
        <v>0</v>
      </c>
      <c r="AJ29" s="107" t="b">
        <v>0</v>
      </c>
      <c r="AK29" s="8" t="b">
        <v>0</v>
      </c>
      <c r="AL29" s="8" t="b">
        <v>0</v>
      </c>
      <c r="AM29" s="8" t="b">
        <v>1</v>
      </c>
    </row>
    <row r="30" spans="1:39" s="8" customFormat="1" x14ac:dyDescent="0.35">
      <c r="A30" s="8">
        <f t="shared" si="0"/>
        <v>14</v>
      </c>
      <c r="B30" s="8" t="str">
        <f t="shared" si="1"/>
        <v>Test14</v>
      </c>
      <c r="C30" s="12" t="s">
        <v>293</v>
      </c>
      <c r="D30" s="8" t="s">
        <v>436</v>
      </c>
      <c r="E30" s="12" t="s">
        <v>86</v>
      </c>
      <c r="F30" s="12" t="s">
        <v>86</v>
      </c>
      <c r="G30" s="12" t="s">
        <v>403</v>
      </c>
      <c r="H30" s="12" t="s">
        <v>410</v>
      </c>
      <c r="I30" s="12" t="s">
        <v>411</v>
      </c>
      <c r="J30" s="12">
        <v>2030</v>
      </c>
      <c r="K30" s="8" t="s">
        <v>478</v>
      </c>
      <c r="L30" s="12" t="s">
        <v>86</v>
      </c>
      <c r="M30" s="12" t="s">
        <v>479</v>
      </c>
      <c r="N30" s="168" t="s">
        <v>502</v>
      </c>
      <c r="O30" s="12" t="s">
        <v>481</v>
      </c>
      <c r="P30" s="12">
        <v>0</v>
      </c>
      <c r="Q30" s="12">
        <v>0</v>
      </c>
      <c r="R30" s="12">
        <v>-1</v>
      </c>
      <c r="S30" s="12" t="s">
        <v>86</v>
      </c>
      <c r="T30" s="12">
        <v>0</v>
      </c>
      <c r="U30" s="12" t="s">
        <v>171</v>
      </c>
      <c r="V30" s="12" t="s">
        <v>483</v>
      </c>
      <c r="W30" s="12" t="s">
        <v>461</v>
      </c>
      <c r="X30" s="8" t="s">
        <v>161</v>
      </c>
      <c r="Y30" s="8" t="s">
        <v>162</v>
      </c>
      <c r="Z30" s="8" t="s">
        <v>501</v>
      </c>
      <c r="AA30" s="430" t="b">
        <v>0</v>
      </c>
      <c r="AB30" s="8" t="b">
        <v>0</v>
      </c>
      <c r="AC30" s="8" t="b">
        <v>1</v>
      </c>
      <c r="AD30" s="8" t="b">
        <v>0</v>
      </c>
      <c r="AE30" s="8" t="b">
        <v>0</v>
      </c>
      <c r="AF30" s="8" t="b">
        <v>0</v>
      </c>
      <c r="AG30" s="8" t="b">
        <v>0</v>
      </c>
      <c r="AH30" s="8" t="b">
        <v>0</v>
      </c>
      <c r="AI30" s="8" t="b">
        <v>0</v>
      </c>
      <c r="AJ30" s="107" t="b">
        <v>0</v>
      </c>
      <c r="AK30" s="8" t="b">
        <v>0</v>
      </c>
      <c r="AL30" s="8" t="b">
        <v>0</v>
      </c>
      <c r="AM30" s="8" t="b">
        <v>1</v>
      </c>
    </row>
    <row r="31" spans="1:39" s="8" customFormat="1" x14ac:dyDescent="0.35">
      <c r="A31" s="8">
        <f t="shared" si="0"/>
        <v>15</v>
      </c>
      <c r="B31" s="8" t="str">
        <f t="shared" si="1"/>
        <v>Test15</v>
      </c>
      <c r="C31" s="12" t="s">
        <v>293</v>
      </c>
      <c r="D31" s="8" t="s">
        <v>437</v>
      </c>
      <c r="E31" s="12" t="s">
        <v>86</v>
      </c>
      <c r="F31" s="12" t="s">
        <v>86</v>
      </c>
      <c r="G31" s="12" t="s">
        <v>403</v>
      </c>
      <c r="H31" s="12" t="s">
        <v>410</v>
      </c>
      <c r="I31" s="12" t="s">
        <v>411</v>
      </c>
      <c r="J31" s="12">
        <v>2030</v>
      </c>
      <c r="K31" s="8" t="s">
        <v>478</v>
      </c>
      <c r="L31" s="12" t="s">
        <v>86</v>
      </c>
      <c r="M31" s="12" t="s">
        <v>479</v>
      </c>
      <c r="N31" s="168" t="s">
        <v>515</v>
      </c>
      <c r="O31" s="12" t="s">
        <v>481</v>
      </c>
      <c r="P31" s="12">
        <v>0</v>
      </c>
      <c r="Q31" s="12">
        <v>0</v>
      </c>
      <c r="R31" s="12">
        <v>-1</v>
      </c>
      <c r="S31" s="12" t="s">
        <v>86</v>
      </c>
      <c r="T31" s="12">
        <v>1</v>
      </c>
      <c r="U31" s="12" t="s">
        <v>171</v>
      </c>
      <c r="V31" s="12" t="s">
        <v>483</v>
      </c>
      <c r="W31" s="12" t="s">
        <v>461</v>
      </c>
      <c r="X31" s="8" t="s">
        <v>161</v>
      </c>
      <c r="Y31" s="8" t="s">
        <v>162</v>
      </c>
      <c r="Z31" s="8" t="s">
        <v>501</v>
      </c>
      <c r="AA31" s="430" t="b">
        <v>0</v>
      </c>
      <c r="AB31" s="8" t="b">
        <v>0</v>
      </c>
      <c r="AC31" s="8" t="b">
        <v>1</v>
      </c>
      <c r="AD31" s="8" t="b">
        <v>0</v>
      </c>
      <c r="AE31" s="8" t="b">
        <v>0</v>
      </c>
      <c r="AF31" s="8" t="b">
        <v>0</v>
      </c>
      <c r="AG31" s="8" t="b">
        <v>0</v>
      </c>
      <c r="AH31" s="8" t="b">
        <v>0</v>
      </c>
      <c r="AI31" s="8" t="b">
        <v>0</v>
      </c>
      <c r="AJ31" s="107" t="b">
        <v>0</v>
      </c>
      <c r="AK31" s="8" t="b">
        <v>0</v>
      </c>
      <c r="AL31" s="8" t="b">
        <v>0</v>
      </c>
      <c r="AM31" s="8" t="b">
        <v>1</v>
      </c>
    </row>
    <row r="32" spans="1:39" s="8" customFormat="1" x14ac:dyDescent="0.35">
      <c r="A32" s="8">
        <f>ROW(A32)-ROW($A$16)</f>
        <v>16</v>
      </c>
      <c r="B32" s="8" t="str">
        <f t="shared" si="1"/>
        <v>Test16</v>
      </c>
      <c r="C32" s="12" t="s">
        <v>293</v>
      </c>
      <c r="D32" s="8" t="s">
        <v>436</v>
      </c>
      <c r="E32" s="12" t="s">
        <v>86</v>
      </c>
      <c r="F32" s="12" t="s">
        <v>86</v>
      </c>
      <c r="G32" s="12" t="s">
        <v>403</v>
      </c>
      <c r="H32" s="12" t="s">
        <v>410</v>
      </c>
      <c r="I32" s="12" t="s">
        <v>411</v>
      </c>
      <c r="J32" s="12">
        <v>2030</v>
      </c>
      <c r="K32" s="8" t="s">
        <v>478</v>
      </c>
      <c r="L32" s="12" t="s">
        <v>86</v>
      </c>
      <c r="M32" s="12" t="s">
        <v>479</v>
      </c>
      <c r="N32" s="168" t="s">
        <v>503</v>
      </c>
      <c r="O32" s="12" t="s">
        <v>481</v>
      </c>
      <c r="P32" s="12">
        <v>0</v>
      </c>
      <c r="Q32" s="12">
        <v>0</v>
      </c>
      <c r="R32" s="12">
        <v>-1</v>
      </c>
      <c r="S32" s="12" t="s">
        <v>86</v>
      </c>
      <c r="T32" s="12">
        <v>0</v>
      </c>
      <c r="U32" s="12" t="s">
        <v>171</v>
      </c>
      <c r="V32" s="12" t="s">
        <v>483</v>
      </c>
      <c r="W32" s="12" t="s">
        <v>461</v>
      </c>
      <c r="X32" s="8" t="s">
        <v>161</v>
      </c>
      <c r="Y32" s="8" t="s">
        <v>162</v>
      </c>
      <c r="Z32" s="8" t="s">
        <v>501</v>
      </c>
      <c r="AA32" s="430" t="b">
        <v>0</v>
      </c>
      <c r="AB32" s="8" t="b">
        <v>0</v>
      </c>
      <c r="AC32" s="8" t="b">
        <v>1</v>
      </c>
      <c r="AD32" s="8" t="b">
        <v>0</v>
      </c>
      <c r="AE32" s="8" t="b">
        <v>0</v>
      </c>
      <c r="AF32" s="8" t="b">
        <v>0</v>
      </c>
      <c r="AG32" s="8" t="b">
        <v>0</v>
      </c>
      <c r="AH32" s="8" t="b">
        <v>0</v>
      </c>
      <c r="AI32" s="8" t="b">
        <v>0</v>
      </c>
      <c r="AJ32" s="107" t="b">
        <v>0</v>
      </c>
      <c r="AK32" s="8" t="b">
        <v>0</v>
      </c>
      <c r="AL32" s="8" t="b">
        <v>0</v>
      </c>
      <c r="AM32" s="8" t="b">
        <v>1</v>
      </c>
    </row>
    <row r="33" spans="1:39" s="8" customFormat="1" x14ac:dyDescent="0.35">
      <c r="A33" s="8">
        <f t="shared" si="0"/>
        <v>17</v>
      </c>
      <c r="B33" s="8" t="str">
        <f t="shared" si="1"/>
        <v>Test17</v>
      </c>
      <c r="C33" s="12" t="s">
        <v>293</v>
      </c>
      <c r="D33" s="8" t="s">
        <v>436</v>
      </c>
      <c r="E33" s="12" t="s">
        <v>86</v>
      </c>
      <c r="F33" s="12" t="s">
        <v>86</v>
      </c>
      <c r="G33" s="12" t="s">
        <v>403</v>
      </c>
      <c r="H33" s="12" t="s">
        <v>410</v>
      </c>
      <c r="I33" s="12" t="s">
        <v>411</v>
      </c>
      <c r="J33" s="12">
        <v>2030</v>
      </c>
      <c r="K33" s="8" t="s">
        <v>478</v>
      </c>
      <c r="L33" s="12" t="s">
        <v>86</v>
      </c>
      <c r="M33" s="12" t="s">
        <v>479</v>
      </c>
      <c r="N33" s="431" t="s">
        <v>504</v>
      </c>
      <c r="O33" s="12" t="s">
        <v>481</v>
      </c>
      <c r="P33" s="12">
        <v>0</v>
      </c>
      <c r="Q33" s="12">
        <v>0</v>
      </c>
      <c r="R33" s="12">
        <v>-1</v>
      </c>
      <c r="S33" s="12" t="s">
        <v>86</v>
      </c>
      <c r="T33" s="12">
        <v>0</v>
      </c>
      <c r="U33" s="12" t="s">
        <v>171</v>
      </c>
      <c r="V33" s="12" t="s">
        <v>483</v>
      </c>
      <c r="W33" s="12" t="s">
        <v>461</v>
      </c>
      <c r="X33" s="8" t="s">
        <v>161</v>
      </c>
      <c r="Y33" s="8" t="s">
        <v>162</v>
      </c>
      <c r="Z33" s="8" t="s">
        <v>501</v>
      </c>
      <c r="AA33" s="430" t="b">
        <v>0</v>
      </c>
      <c r="AB33" s="8" t="b">
        <v>0</v>
      </c>
      <c r="AC33" s="8" t="b">
        <v>1</v>
      </c>
      <c r="AD33" s="8" t="b">
        <v>0</v>
      </c>
      <c r="AE33" s="8" t="b">
        <v>0</v>
      </c>
      <c r="AF33" s="8" t="b">
        <v>0</v>
      </c>
      <c r="AG33" s="8" t="b">
        <v>0</v>
      </c>
      <c r="AH33" s="8" t="b">
        <v>0</v>
      </c>
      <c r="AI33" s="8" t="b">
        <v>0</v>
      </c>
      <c r="AJ33" s="107" t="b">
        <v>0</v>
      </c>
      <c r="AK33" s="8" t="b">
        <v>0</v>
      </c>
      <c r="AL33" s="8" t="b">
        <v>0</v>
      </c>
      <c r="AM33" s="8" t="b">
        <v>1</v>
      </c>
    </row>
    <row r="34" spans="1:39" s="8" customFormat="1" x14ac:dyDescent="0.35">
      <c r="A34" s="8">
        <f t="shared" si="0"/>
        <v>18</v>
      </c>
      <c r="B34" s="8" t="str">
        <f t="shared" si="1"/>
        <v>Test18</v>
      </c>
      <c r="C34" s="12" t="s">
        <v>293</v>
      </c>
      <c r="D34" s="8" t="s">
        <v>436</v>
      </c>
      <c r="E34" s="12" t="s">
        <v>86</v>
      </c>
      <c r="F34" s="12" t="s">
        <v>86</v>
      </c>
      <c r="G34" s="12" t="s">
        <v>403</v>
      </c>
      <c r="H34" s="12" t="s">
        <v>410</v>
      </c>
      <c r="I34" s="12" t="s">
        <v>411</v>
      </c>
      <c r="J34" s="12">
        <v>2030</v>
      </c>
      <c r="K34" s="8" t="s">
        <v>478</v>
      </c>
      <c r="L34" s="12" t="s">
        <v>86</v>
      </c>
      <c r="M34" s="12" t="s">
        <v>479</v>
      </c>
      <c r="N34" s="431" t="s">
        <v>505</v>
      </c>
      <c r="O34" s="12" t="s">
        <v>481</v>
      </c>
      <c r="P34" s="12">
        <v>0</v>
      </c>
      <c r="Q34" s="12">
        <v>0</v>
      </c>
      <c r="R34" s="12">
        <v>-1</v>
      </c>
      <c r="S34" s="12" t="s">
        <v>86</v>
      </c>
      <c r="T34" s="12">
        <v>0</v>
      </c>
      <c r="U34" s="12" t="s">
        <v>171</v>
      </c>
      <c r="V34" s="12" t="s">
        <v>483</v>
      </c>
      <c r="W34" s="12" t="s">
        <v>461</v>
      </c>
      <c r="X34" s="8" t="s">
        <v>161</v>
      </c>
      <c r="Y34" s="8" t="s">
        <v>162</v>
      </c>
      <c r="Z34" s="8" t="s">
        <v>501</v>
      </c>
      <c r="AA34" s="430" t="b">
        <v>0</v>
      </c>
      <c r="AB34" s="8" t="b">
        <v>0</v>
      </c>
      <c r="AC34" s="8" t="b">
        <v>1</v>
      </c>
      <c r="AD34" s="8" t="b">
        <v>0</v>
      </c>
      <c r="AE34" s="8" t="b">
        <v>0</v>
      </c>
      <c r="AF34" s="8" t="b">
        <v>0</v>
      </c>
      <c r="AG34" s="8" t="b">
        <v>0</v>
      </c>
      <c r="AH34" s="8" t="b">
        <v>0</v>
      </c>
      <c r="AI34" s="8" t="b">
        <v>0</v>
      </c>
      <c r="AJ34" s="107" t="b">
        <v>0</v>
      </c>
      <c r="AK34" s="8" t="b">
        <v>0</v>
      </c>
      <c r="AL34" s="8" t="b">
        <v>0</v>
      </c>
      <c r="AM34" s="8" t="b">
        <v>1</v>
      </c>
    </row>
    <row r="35" spans="1:39" x14ac:dyDescent="0.35">
      <c r="A35" s="8">
        <f t="shared" si="0"/>
        <v>19</v>
      </c>
      <c r="B35" s="8" t="str">
        <f t="shared" si="1"/>
        <v>Test19</v>
      </c>
      <c r="C35" s="12" t="s">
        <v>293</v>
      </c>
      <c r="D35" s="8" t="s">
        <v>436</v>
      </c>
      <c r="E35" s="12" t="s">
        <v>86</v>
      </c>
      <c r="F35" s="12" t="s">
        <v>86</v>
      </c>
      <c r="G35" s="12" t="s">
        <v>403</v>
      </c>
      <c r="H35" s="12" t="s">
        <v>410</v>
      </c>
      <c r="I35" s="12" t="s">
        <v>411</v>
      </c>
      <c r="J35" s="12">
        <v>2030</v>
      </c>
      <c r="K35" s="8" t="s">
        <v>478</v>
      </c>
      <c r="L35" s="12" t="s">
        <v>86</v>
      </c>
      <c r="M35" s="12" t="s">
        <v>479</v>
      </c>
      <c r="N35" s="431" t="s">
        <v>506</v>
      </c>
      <c r="O35" s="12" t="s">
        <v>481</v>
      </c>
      <c r="P35" s="12">
        <v>0</v>
      </c>
      <c r="Q35" s="12">
        <v>0</v>
      </c>
      <c r="R35" s="12">
        <v>-1</v>
      </c>
      <c r="S35" s="12" t="s">
        <v>86</v>
      </c>
      <c r="T35" s="12">
        <v>0</v>
      </c>
      <c r="U35" s="12" t="s">
        <v>171</v>
      </c>
      <c r="V35" s="12" t="s">
        <v>483</v>
      </c>
      <c r="W35" s="12" t="s">
        <v>461</v>
      </c>
      <c r="X35" s="8" t="s">
        <v>161</v>
      </c>
      <c r="Y35" s="8" t="s">
        <v>162</v>
      </c>
      <c r="Z35" s="8" t="s">
        <v>501</v>
      </c>
      <c r="AA35" s="430" t="b">
        <v>0</v>
      </c>
      <c r="AB35" s="8" t="b">
        <v>0</v>
      </c>
      <c r="AC35" s="8" t="b">
        <v>1</v>
      </c>
      <c r="AD35" s="8" t="b">
        <v>0</v>
      </c>
      <c r="AE35" s="8" t="b">
        <v>0</v>
      </c>
      <c r="AF35" s="8" t="b">
        <v>0</v>
      </c>
      <c r="AG35" s="8" t="b">
        <v>0</v>
      </c>
      <c r="AH35" s="8" t="b">
        <v>0</v>
      </c>
      <c r="AI35" s="8" t="b">
        <v>0</v>
      </c>
      <c r="AJ35" s="107" t="b">
        <v>0</v>
      </c>
      <c r="AK35" s="8" t="b">
        <v>0</v>
      </c>
      <c r="AL35" s="8" t="b">
        <v>0</v>
      </c>
      <c r="AM35" s="8" t="b">
        <v>1</v>
      </c>
    </row>
    <row r="36" spans="1:39" x14ac:dyDescent="0.35">
      <c r="A36" s="8">
        <f t="shared" si="0"/>
        <v>20</v>
      </c>
      <c r="B36" s="8" t="str">
        <f t="shared" si="1"/>
        <v>Test20</v>
      </c>
      <c r="C36" s="12" t="s">
        <v>293</v>
      </c>
      <c r="D36" s="8" t="s">
        <v>436</v>
      </c>
      <c r="E36" s="12" t="s">
        <v>86</v>
      </c>
      <c r="F36" s="12" t="s">
        <v>86</v>
      </c>
      <c r="G36" s="12" t="s">
        <v>403</v>
      </c>
      <c r="H36" s="12" t="s">
        <v>410</v>
      </c>
      <c r="I36" s="12" t="s">
        <v>411</v>
      </c>
      <c r="J36" s="12">
        <v>2030</v>
      </c>
      <c r="K36" s="8" t="s">
        <v>478</v>
      </c>
      <c r="L36" s="12" t="s">
        <v>86</v>
      </c>
      <c r="M36" s="12" t="s">
        <v>479</v>
      </c>
      <c r="N36" s="431" t="s">
        <v>507</v>
      </c>
      <c r="O36" s="12" t="s">
        <v>481</v>
      </c>
      <c r="P36" s="12">
        <v>0</v>
      </c>
      <c r="Q36" s="12">
        <v>0</v>
      </c>
      <c r="R36" s="12">
        <v>-1</v>
      </c>
      <c r="S36" s="12" t="s">
        <v>86</v>
      </c>
      <c r="T36" s="12">
        <v>0</v>
      </c>
      <c r="U36" s="12" t="s">
        <v>171</v>
      </c>
      <c r="V36" s="12" t="s">
        <v>483</v>
      </c>
      <c r="W36" s="12" t="s">
        <v>461</v>
      </c>
      <c r="X36" s="8" t="s">
        <v>161</v>
      </c>
      <c r="Y36" s="8" t="s">
        <v>162</v>
      </c>
      <c r="Z36" s="8" t="s">
        <v>501</v>
      </c>
      <c r="AA36" s="430" t="b">
        <v>0</v>
      </c>
      <c r="AB36" s="8" t="b">
        <v>0</v>
      </c>
      <c r="AC36" s="8" t="b">
        <v>1</v>
      </c>
      <c r="AD36" s="8" t="b">
        <v>0</v>
      </c>
      <c r="AE36" s="8" t="b">
        <v>0</v>
      </c>
      <c r="AF36" s="8" t="b">
        <v>0</v>
      </c>
      <c r="AG36" s="8" t="b">
        <v>0</v>
      </c>
      <c r="AH36" s="8" t="b">
        <v>0</v>
      </c>
      <c r="AI36" s="8" t="b">
        <v>0</v>
      </c>
      <c r="AJ36" s="107" t="b">
        <v>0</v>
      </c>
      <c r="AK36" s="8" t="b">
        <v>0</v>
      </c>
      <c r="AL36" s="8" t="b">
        <v>0</v>
      </c>
      <c r="AM36" s="8" t="b">
        <v>1</v>
      </c>
    </row>
    <row r="37" spans="1:39" x14ac:dyDescent="0.35">
      <c r="A37" s="8">
        <f t="shared" si="0"/>
        <v>21</v>
      </c>
      <c r="B37" s="8" t="str">
        <f t="shared" si="1"/>
        <v>Test21</v>
      </c>
      <c r="C37" s="12" t="s">
        <v>293</v>
      </c>
      <c r="D37" s="8" t="s">
        <v>436</v>
      </c>
      <c r="E37" s="12" t="s">
        <v>86</v>
      </c>
      <c r="F37" s="12" t="s">
        <v>86</v>
      </c>
      <c r="G37" s="12" t="s">
        <v>403</v>
      </c>
      <c r="H37" s="12" t="s">
        <v>410</v>
      </c>
      <c r="I37" s="12" t="s">
        <v>411</v>
      </c>
      <c r="J37" s="12">
        <v>2030</v>
      </c>
      <c r="K37" s="8" t="s">
        <v>478</v>
      </c>
      <c r="L37" s="12" t="s">
        <v>86</v>
      </c>
      <c r="M37" s="12" t="s">
        <v>479</v>
      </c>
      <c r="N37" s="431" t="s">
        <v>508</v>
      </c>
      <c r="O37" s="12" t="s">
        <v>516</v>
      </c>
      <c r="P37" s="12">
        <v>0</v>
      </c>
      <c r="Q37" s="12">
        <v>0</v>
      </c>
      <c r="R37" s="12">
        <v>-1</v>
      </c>
      <c r="S37" s="12" t="s">
        <v>86</v>
      </c>
      <c r="T37" s="12">
        <v>0</v>
      </c>
      <c r="U37" s="12" t="s">
        <v>171</v>
      </c>
      <c r="V37" s="12" t="s">
        <v>483</v>
      </c>
      <c r="W37" s="12" t="s">
        <v>461</v>
      </c>
      <c r="X37" s="8" t="s">
        <v>161</v>
      </c>
      <c r="Y37" s="8" t="s">
        <v>162</v>
      </c>
      <c r="Z37" s="8" t="s">
        <v>501</v>
      </c>
      <c r="AA37" s="430" t="b">
        <v>0</v>
      </c>
      <c r="AB37" s="8" t="b">
        <v>0</v>
      </c>
      <c r="AC37" s="8" t="b">
        <v>1</v>
      </c>
      <c r="AD37" s="8" t="b">
        <v>0</v>
      </c>
      <c r="AE37" s="8" t="b">
        <v>0</v>
      </c>
      <c r="AF37" s="8" t="b">
        <v>0</v>
      </c>
      <c r="AG37" s="8" t="b">
        <v>0</v>
      </c>
      <c r="AH37" s="8" t="b">
        <v>0</v>
      </c>
      <c r="AI37" s="8" t="b">
        <v>0</v>
      </c>
      <c r="AJ37" s="107" t="b">
        <v>0</v>
      </c>
      <c r="AK37" s="8" t="b">
        <v>0</v>
      </c>
      <c r="AL37" s="8" t="b">
        <v>0</v>
      </c>
      <c r="AM37" s="8" t="b">
        <v>1</v>
      </c>
    </row>
    <row r="38" spans="1:39" x14ac:dyDescent="0.35">
      <c r="A38" s="8">
        <f t="shared" si="0"/>
        <v>22</v>
      </c>
      <c r="B38" s="8" t="str">
        <f t="shared" si="1"/>
        <v>Test22</v>
      </c>
      <c r="C38" s="12" t="s">
        <v>293</v>
      </c>
      <c r="D38" s="8" t="s">
        <v>436</v>
      </c>
      <c r="E38" s="12" t="s">
        <v>86</v>
      </c>
      <c r="F38" s="12" t="s">
        <v>86</v>
      </c>
      <c r="G38" s="12" t="s">
        <v>403</v>
      </c>
      <c r="H38" s="12" t="s">
        <v>410</v>
      </c>
      <c r="I38" s="12" t="s">
        <v>411</v>
      </c>
      <c r="J38" s="12">
        <v>2030</v>
      </c>
      <c r="K38" s="8" t="s">
        <v>478</v>
      </c>
      <c r="L38" s="12" t="s">
        <v>86</v>
      </c>
      <c r="M38" s="12" t="s">
        <v>479</v>
      </c>
      <c r="N38" s="168" t="s">
        <v>509</v>
      </c>
      <c r="O38" s="12" t="s">
        <v>516</v>
      </c>
      <c r="P38" s="12">
        <v>0</v>
      </c>
      <c r="Q38" s="12">
        <v>0</v>
      </c>
      <c r="R38" s="12">
        <v>-1</v>
      </c>
      <c r="S38" s="12" t="s">
        <v>86</v>
      </c>
      <c r="T38" s="12">
        <v>0</v>
      </c>
      <c r="U38" s="12" t="s">
        <v>171</v>
      </c>
      <c r="V38" s="12" t="s">
        <v>483</v>
      </c>
      <c r="W38" s="12" t="s">
        <v>461</v>
      </c>
      <c r="X38" s="8" t="s">
        <v>161</v>
      </c>
      <c r="Y38" s="8" t="s">
        <v>162</v>
      </c>
      <c r="Z38" s="8" t="s">
        <v>501</v>
      </c>
      <c r="AA38" s="430" t="b">
        <v>0</v>
      </c>
      <c r="AB38" s="8" t="b">
        <v>0</v>
      </c>
      <c r="AC38" s="8" t="b">
        <v>1</v>
      </c>
      <c r="AD38" s="8" t="b">
        <v>0</v>
      </c>
      <c r="AE38" s="8" t="b">
        <v>0</v>
      </c>
      <c r="AF38" s="8" t="b">
        <v>0</v>
      </c>
      <c r="AG38" s="8" t="b">
        <v>0</v>
      </c>
      <c r="AH38" s="8" t="b">
        <v>0</v>
      </c>
      <c r="AI38" s="8" t="b">
        <v>0</v>
      </c>
      <c r="AJ38" s="107" t="b">
        <v>0</v>
      </c>
      <c r="AK38" s="8" t="b">
        <v>0</v>
      </c>
      <c r="AL38" s="8" t="b">
        <v>0</v>
      </c>
      <c r="AM38" s="8" t="b">
        <v>1</v>
      </c>
    </row>
    <row r="39" spans="1:39" x14ac:dyDescent="0.35">
      <c r="A39" s="8">
        <f t="shared" si="0"/>
        <v>23</v>
      </c>
      <c r="B39" s="8" t="str">
        <f t="shared" si="1"/>
        <v>Test23</v>
      </c>
      <c r="C39" s="12" t="s">
        <v>293</v>
      </c>
      <c r="D39" s="8" t="s">
        <v>436</v>
      </c>
      <c r="E39" s="12" t="s">
        <v>86</v>
      </c>
      <c r="F39" s="12" t="s">
        <v>86</v>
      </c>
      <c r="G39" s="12" t="s">
        <v>403</v>
      </c>
      <c r="H39" s="12" t="s">
        <v>410</v>
      </c>
      <c r="I39" s="12" t="s">
        <v>411</v>
      </c>
      <c r="J39" s="12">
        <v>2030</v>
      </c>
      <c r="K39" s="8" t="s">
        <v>478</v>
      </c>
      <c r="L39" s="12" t="s">
        <v>86</v>
      </c>
      <c r="M39" s="12" t="s">
        <v>479</v>
      </c>
      <c r="N39" s="431" t="s">
        <v>510</v>
      </c>
      <c r="O39" s="12" t="s">
        <v>516</v>
      </c>
      <c r="P39" s="12">
        <v>0</v>
      </c>
      <c r="Q39" s="12">
        <v>0</v>
      </c>
      <c r="R39" s="12">
        <v>-1</v>
      </c>
      <c r="S39" s="12" t="s">
        <v>86</v>
      </c>
      <c r="T39" s="12">
        <v>0</v>
      </c>
      <c r="U39" s="12" t="s">
        <v>171</v>
      </c>
      <c r="V39" s="12" t="s">
        <v>483</v>
      </c>
      <c r="W39" s="12" t="s">
        <v>461</v>
      </c>
      <c r="X39" s="8" t="s">
        <v>161</v>
      </c>
      <c r="Y39" s="8" t="s">
        <v>162</v>
      </c>
      <c r="Z39" s="8" t="s">
        <v>501</v>
      </c>
      <c r="AA39" s="430" t="b">
        <v>0</v>
      </c>
      <c r="AB39" s="8" t="b">
        <v>0</v>
      </c>
      <c r="AC39" s="8" t="b">
        <v>1</v>
      </c>
      <c r="AD39" s="8" t="b">
        <v>0</v>
      </c>
      <c r="AE39" s="8" t="b">
        <v>0</v>
      </c>
      <c r="AF39" s="8" t="b">
        <v>0</v>
      </c>
      <c r="AG39" s="8" t="b">
        <v>0</v>
      </c>
      <c r="AH39" s="8" t="b">
        <v>0</v>
      </c>
      <c r="AI39" s="8" t="b">
        <v>0</v>
      </c>
      <c r="AJ39" s="107" t="b">
        <v>0</v>
      </c>
      <c r="AK39" s="8" t="b">
        <v>0</v>
      </c>
      <c r="AL39" s="8" t="b">
        <v>0</v>
      </c>
      <c r="AM39" s="8" t="b">
        <v>1</v>
      </c>
    </row>
    <row r="40" spans="1:39" x14ac:dyDescent="0.35">
      <c r="A40" s="8">
        <f t="shared" si="0"/>
        <v>24</v>
      </c>
      <c r="B40" s="8" t="str">
        <f t="shared" si="1"/>
        <v>Test24</v>
      </c>
      <c r="C40" s="12" t="s">
        <v>293</v>
      </c>
      <c r="D40" s="8" t="s">
        <v>436</v>
      </c>
      <c r="E40" s="12" t="s">
        <v>86</v>
      </c>
      <c r="F40" s="12" t="s">
        <v>86</v>
      </c>
      <c r="G40" s="12" t="s">
        <v>403</v>
      </c>
      <c r="H40" s="12" t="s">
        <v>410</v>
      </c>
      <c r="I40" s="12" t="s">
        <v>411</v>
      </c>
      <c r="J40" s="12">
        <v>2030</v>
      </c>
      <c r="K40" s="8" t="s">
        <v>478</v>
      </c>
      <c r="L40" s="12" t="s">
        <v>86</v>
      </c>
      <c r="M40" s="12" t="s">
        <v>479</v>
      </c>
      <c r="N40" s="431" t="s">
        <v>511</v>
      </c>
      <c r="O40" s="12" t="s">
        <v>516</v>
      </c>
      <c r="P40" s="12">
        <v>0</v>
      </c>
      <c r="Q40" s="12">
        <v>0</v>
      </c>
      <c r="R40" s="12">
        <v>-1</v>
      </c>
      <c r="S40" s="12" t="s">
        <v>86</v>
      </c>
      <c r="T40" s="12">
        <v>0</v>
      </c>
      <c r="U40" s="12" t="s">
        <v>171</v>
      </c>
      <c r="V40" s="12" t="s">
        <v>483</v>
      </c>
      <c r="W40" s="12" t="s">
        <v>461</v>
      </c>
      <c r="X40" s="8" t="s">
        <v>161</v>
      </c>
      <c r="Y40" s="8" t="s">
        <v>162</v>
      </c>
      <c r="Z40" s="8" t="s">
        <v>501</v>
      </c>
      <c r="AA40" s="430" t="b">
        <v>0</v>
      </c>
      <c r="AB40" s="8" t="b">
        <v>0</v>
      </c>
      <c r="AC40" s="8" t="b">
        <v>1</v>
      </c>
      <c r="AD40" s="8" t="b">
        <v>0</v>
      </c>
      <c r="AE40" s="8" t="b">
        <v>0</v>
      </c>
      <c r="AF40" s="8" t="b">
        <v>0</v>
      </c>
      <c r="AG40" s="8" t="b">
        <v>0</v>
      </c>
      <c r="AH40" s="8" t="b">
        <v>0</v>
      </c>
      <c r="AI40" s="8" t="b">
        <v>0</v>
      </c>
      <c r="AJ40" s="107" t="b">
        <v>0</v>
      </c>
      <c r="AK40" s="8" t="b">
        <v>0</v>
      </c>
      <c r="AL40" s="8" t="b">
        <v>0</v>
      </c>
      <c r="AM40" s="8" t="b">
        <v>1</v>
      </c>
    </row>
    <row r="41" spans="1:39" x14ac:dyDescent="0.35">
      <c r="A41" s="8">
        <f t="shared" si="0"/>
        <v>25</v>
      </c>
      <c r="B41" s="8" t="str">
        <f t="shared" si="1"/>
        <v>Test25</v>
      </c>
      <c r="C41" s="12" t="s">
        <v>293</v>
      </c>
      <c r="D41" s="8" t="s">
        <v>436</v>
      </c>
      <c r="E41" s="12" t="s">
        <v>86</v>
      </c>
      <c r="F41" s="12" t="s">
        <v>86</v>
      </c>
      <c r="G41" s="12" t="s">
        <v>403</v>
      </c>
      <c r="H41" s="12" t="s">
        <v>410</v>
      </c>
      <c r="I41" s="12" t="s">
        <v>411</v>
      </c>
      <c r="J41" s="12">
        <v>2030</v>
      </c>
      <c r="K41" s="8" t="s">
        <v>478</v>
      </c>
      <c r="L41" s="12" t="s">
        <v>86</v>
      </c>
      <c r="M41" s="12" t="s">
        <v>479</v>
      </c>
      <c r="N41" s="431" t="s">
        <v>512</v>
      </c>
      <c r="O41" s="12" t="s">
        <v>516</v>
      </c>
      <c r="P41" s="12">
        <v>0</v>
      </c>
      <c r="Q41" s="12">
        <v>0</v>
      </c>
      <c r="R41" s="12">
        <v>-1</v>
      </c>
      <c r="S41" s="12" t="s">
        <v>86</v>
      </c>
      <c r="T41" s="12">
        <v>0</v>
      </c>
      <c r="U41" s="12" t="s">
        <v>171</v>
      </c>
      <c r="V41" s="12" t="s">
        <v>483</v>
      </c>
      <c r="W41" s="12" t="s">
        <v>461</v>
      </c>
      <c r="X41" s="8" t="s">
        <v>161</v>
      </c>
      <c r="Y41" s="8" t="s">
        <v>162</v>
      </c>
      <c r="Z41" s="8" t="s">
        <v>501</v>
      </c>
      <c r="AA41" s="430" t="b">
        <v>0</v>
      </c>
      <c r="AB41" s="8" t="b">
        <v>0</v>
      </c>
      <c r="AC41" s="8" t="b">
        <v>1</v>
      </c>
      <c r="AD41" s="8" t="b">
        <v>0</v>
      </c>
      <c r="AE41" s="8" t="b">
        <v>0</v>
      </c>
      <c r="AF41" s="8" t="b">
        <v>0</v>
      </c>
      <c r="AG41" s="8" t="b">
        <v>0</v>
      </c>
      <c r="AH41" s="8" t="b">
        <v>0</v>
      </c>
      <c r="AI41" s="8" t="b">
        <v>0</v>
      </c>
      <c r="AJ41" s="107" t="b">
        <v>0</v>
      </c>
      <c r="AK41" s="8" t="b">
        <v>0</v>
      </c>
      <c r="AL41" s="8" t="b">
        <v>0</v>
      </c>
      <c r="AM41" s="8" t="b">
        <v>1</v>
      </c>
    </row>
    <row r="42" spans="1:39" x14ac:dyDescent="0.35">
      <c r="A42" s="8">
        <f t="shared" si="0"/>
        <v>26</v>
      </c>
      <c r="B42" s="8" t="str">
        <f t="shared" si="1"/>
        <v>Test26</v>
      </c>
      <c r="C42" s="12" t="s">
        <v>293</v>
      </c>
      <c r="D42" s="8" t="s">
        <v>436</v>
      </c>
      <c r="E42" s="12" t="s">
        <v>86</v>
      </c>
      <c r="F42" s="12" t="s">
        <v>86</v>
      </c>
      <c r="G42" s="12" t="s">
        <v>403</v>
      </c>
      <c r="H42" s="12" t="s">
        <v>410</v>
      </c>
      <c r="I42" s="12" t="s">
        <v>411</v>
      </c>
      <c r="J42" s="12">
        <v>2030</v>
      </c>
      <c r="K42" s="8" t="s">
        <v>478</v>
      </c>
      <c r="L42" s="12" t="s">
        <v>86</v>
      </c>
      <c r="M42" s="12" t="s">
        <v>479</v>
      </c>
      <c r="N42" s="431" t="s">
        <v>513</v>
      </c>
      <c r="O42" s="12" t="s">
        <v>516</v>
      </c>
      <c r="P42" s="12">
        <v>0</v>
      </c>
      <c r="Q42" s="12">
        <v>0</v>
      </c>
      <c r="R42" s="12">
        <v>-1</v>
      </c>
      <c r="S42" s="12" t="s">
        <v>86</v>
      </c>
      <c r="T42" s="12">
        <v>0</v>
      </c>
      <c r="U42" s="12" t="s">
        <v>171</v>
      </c>
      <c r="V42" s="12" t="s">
        <v>483</v>
      </c>
      <c r="W42" s="12" t="s">
        <v>461</v>
      </c>
      <c r="X42" s="8" t="s">
        <v>161</v>
      </c>
      <c r="Y42" s="8" t="s">
        <v>162</v>
      </c>
      <c r="Z42" s="8" t="s">
        <v>501</v>
      </c>
      <c r="AA42" s="430" t="b">
        <v>0</v>
      </c>
      <c r="AB42" s="8" t="b">
        <v>0</v>
      </c>
      <c r="AC42" s="8" t="b">
        <v>1</v>
      </c>
      <c r="AD42" s="8" t="b">
        <v>0</v>
      </c>
      <c r="AE42" s="8" t="b">
        <v>0</v>
      </c>
      <c r="AF42" s="8" t="b">
        <v>0</v>
      </c>
      <c r="AG42" s="8" t="b">
        <v>0</v>
      </c>
      <c r="AH42" s="8" t="b">
        <v>0</v>
      </c>
      <c r="AI42" s="8" t="b">
        <v>0</v>
      </c>
      <c r="AJ42" s="107" t="b">
        <v>0</v>
      </c>
      <c r="AK42" s="8" t="b">
        <v>0</v>
      </c>
      <c r="AL42" s="8" t="b">
        <v>0</v>
      </c>
      <c r="AM42" s="8" t="b">
        <v>1</v>
      </c>
    </row>
  </sheetData>
  <mergeCells count="23">
    <mergeCell ref="AK15:AM15"/>
    <mergeCell ref="N2:N3"/>
    <mergeCell ref="O2:O3"/>
    <mergeCell ref="P2:P8"/>
    <mergeCell ref="Q2:Q8"/>
    <mergeCell ref="T2:T12"/>
    <mergeCell ref="U2:U5"/>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s>
  <phoneticPr fontId="16" type="noConversion"/>
  <conditionalFormatting sqref="AA17:AM42">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7" t="s">
        <v>110</v>
      </c>
      <c r="C2" s="438" t="s">
        <v>104</v>
      </c>
      <c r="D2" s="8" t="s">
        <v>179</v>
      </c>
      <c r="E2" s="8" t="s">
        <v>67</v>
      </c>
      <c r="F2" s="8" t="s">
        <v>87</v>
      </c>
      <c r="G2" s="8">
        <v>2020</v>
      </c>
      <c r="H2" s="440" t="s">
        <v>127</v>
      </c>
      <c r="I2" s="440" t="s">
        <v>126</v>
      </c>
      <c r="J2" s="8" t="s">
        <v>59</v>
      </c>
      <c r="K2" s="8" t="s">
        <v>117</v>
      </c>
      <c r="L2" s="8" t="s">
        <v>117</v>
      </c>
      <c r="M2" s="440" t="s">
        <v>175</v>
      </c>
      <c r="N2" s="439" t="s">
        <v>176</v>
      </c>
      <c r="O2" s="457" t="s">
        <v>178</v>
      </c>
      <c r="P2" s="440" t="s">
        <v>121</v>
      </c>
      <c r="Q2" s="440" t="s">
        <v>122</v>
      </c>
      <c r="R2" s="8" t="s">
        <v>152</v>
      </c>
      <c r="S2" s="8" t="s">
        <v>152</v>
      </c>
      <c r="T2" s="8" t="s">
        <v>106</v>
      </c>
    </row>
    <row r="3" spans="1:35" x14ac:dyDescent="0.35">
      <c r="B3" s="437"/>
      <c r="C3" s="438"/>
      <c r="D3" s="8" t="s">
        <v>180</v>
      </c>
      <c r="E3" s="8" t="s">
        <v>84</v>
      </c>
      <c r="F3" s="8" t="s">
        <v>60</v>
      </c>
      <c r="G3" s="8">
        <v>2030</v>
      </c>
      <c r="H3" s="440"/>
      <c r="I3" s="440"/>
      <c r="J3" s="8" t="s">
        <v>68</v>
      </c>
      <c r="M3" s="440"/>
      <c r="N3" s="439"/>
      <c r="O3" s="457"/>
      <c r="P3" s="440"/>
      <c r="Q3" s="440"/>
      <c r="R3" s="8"/>
      <c r="S3" s="8"/>
      <c r="T3" s="8"/>
    </row>
    <row r="4" spans="1:35" x14ac:dyDescent="0.35">
      <c r="B4" s="437"/>
      <c r="C4" s="438"/>
      <c r="D4" s="8" t="s">
        <v>172</v>
      </c>
      <c r="E4" s="8" t="s">
        <v>275</v>
      </c>
      <c r="F4" s="8" t="s">
        <v>86</v>
      </c>
      <c r="G4" s="8">
        <v>2050</v>
      </c>
      <c r="H4" s="8"/>
      <c r="I4" s="440"/>
      <c r="J4" s="8" t="s">
        <v>167</v>
      </c>
      <c r="K4" s="8"/>
      <c r="L4" s="8"/>
      <c r="M4" s="440"/>
      <c r="N4" s="439"/>
      <c r="O4" s="457"/>
      <c r="P4" s="440"/>
      <c r="Q4" s="440"/>
      <c r="R4" s="8"/>
      <c r="S4" s="8"/>
      <c r="T4" s="8"/>
    </row>
    <row r="5" spans="1:35" x14ac:dyDescent="0.35">
      <c r="B5" s="437"/>
      <c r="C5" s="438"/>
      <c r="D5" s="8"/>
      <c r="E5" s="8" t="s">
        <v>276</v>
      </c>
      <c r="F5" s="8"/>
      <c r="G5" s="8"/>
      <c r="H5" s="8"/>
      <c r="I5" s="26"/>
      <c r="J5" s="8"/>
      <c r="K5" s="8"/>
      <c r="L5" s="8"/>
      <c r="M5" s="440"/>
      <c r="N5" s="439"/>
      <c r="O5" s="457"/>
      <c r="P5" s="440"/>
      <c r="Q5" s="440"/>
      <c r="R5" s="8"/>
      <c r="S5" s="8"/>
      <c r="T5" s="8"/>
    </row>
    <row r="6" spans="1:35" x14ac:dyDescent="0.35">
      <c r="B6" s="437"/>
      <c r="C6" s="438"/>
      <c r="D6" s="8"/>
      <c r="E6" s="8" t="s">
        <v>277</v>
      </c>
      <c r="F6" s="8"/>
      <c r="G6" s="8"/>
      <c r="H6" s="8"/>
      <c r="I6" s="26"/>
      <c r="J6" s="8"/>
      <c r="K6" s="8"/>
      <c r="L6" s="8"/>
      <c r="M6" s="440"/>
      <c r="N6" s="439"/>
      <c r="O6" s="457"/>
      <c r="P6" s="440"/>
      <c r="Q6" s="440"/>
      <c r="R6" s="8"/>
      <c r="S6" s="8"/>
      <c r="T6" s="8"/>
    </row>
    <row r="7" spans="1:35" x14ac:dyDescent="0.35">
      <c r="B7" s="437"/>
      <c r="C7" s="438"/>
      <c r="E7" s="8" t="s">
        <v>278</v>
      </c>
      <c r="F7" s="8"/>
      <c r="G7" s="8"/>
      <c r="H7" s="8"/>
      <c r="I7" s="8"/>
      <c r="J7" s="8"/>
      <c r="K7" s="8"/>
      <c r="L7" s="8"/>
      <c r="M7" s="440"/>
      <c r="N7" s="439"/>
      <c r="O7" s="457"/>
      <c r="P7" s="440"/>
      <c r="Q7" s="440"/>
      <c r="R7" s="12"/>
      <c r="S7" s="12"/>
      <c r="T7" s="12"/>
      <c r="V7" s="94" t="s">
        <v>103</v>
      </c>
      <c r="W7" s="12"/>
      <c r="X7" s="12"/>
      <c r="Y7" s="12"/>
      <c r="Z7" s="12"/>
      <c r="AA7" s="12"/>
      <c r="AB7" s="12"/>
      <c r="AC7" s="12"/>
      <c r="AD7" s="12"/>
      <c r="AE7" s="12"/>
      <c r="AF7" s="22"/>
      <c r="AG7" s="435" t="s">
        <v>107</v>
      </c>
      <c r="AH7" s="436"/>
      <c r="AI7" s="436"/>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7" t="s">
        <v>110</v>
      </c>
      <c r="C2" s="438" t="s">
        <v>104</v>
      </c>
      <c r="D2" s="8" t="s">
        <v>179</v>
      </c>
      <c r="E2" s="8" t="s">
        <v>67</v>
      </c>
      <c r="F2" s="8" t="s">
        <v>87</v>
      </c>
      <c r="G2" s="8">
        <v>2020</v>
      </c>
      <c r="H2" s="440" t="s">
        <v>127</v>
      </c>
      <c r="I2" s="440" t="s">
        <v>126</v>
      </c>
      <c r="J2" s="8" t="s">
        <v>59</v>
      </c>
      <c r="K2" s="8" t="s">
        <v>117</v>
      </c>
      <c r="L2" s="8" t="s">
        <v>117</v>
      </c>
      <c r="M2" s="440" t="s">
        <v>175</v>
      </c>
      <c r="N2" s="439" t="s">
        <v>176</v>
      </c>
      <c r="O2" s="457" t="s">
        <v>178</v>
      </c>
      <c r="P2" s="440" t="s">
        <v>121</v>
      </c>
      <c r="Q2" s="440" t="s">
        <v>122</v>
      </c>
      <c r="R2" s="8" t="s">
        <v>152</v>
      </c>
      <c r="S2" s="8" t="s">
        <v>152</v>
      </c>
      <c r="T2" s="8" t="s">
        <v>106</v>
      </c>
    </row>
    <row r="3" spans="1:35" x14ac:dyDescent="0.35">
      <c r="B3" s="437"/>
      <c r="C3" s="438"/>
      <c r="D3" s="8" t="s">
        <v>180</v>
      </c>
      <c r="E3" s="8" t="s">
        <v>84</v>
      </c>
      <c r="F3" s="8" t="s">
        <v>60</v>
      </c>
      <c r="G3" s="8">
        <v>2030</v>
      </c>
      <c r="H3" s="440"/>
      <c r="I3" s="440"/>
      <c r="J3" s="8" t="s">
        <v>68</v>
      </c>
      <c r="M3" s="440"/>
      <c r="N3" s="439"/>
      <c r="O3" s="457"/>
      <c r="P3" s="440"/>
      <c r="Q3" s="440"/>
      <c r="R3" s="8"/>
      <c r="S3" s="8"/>
      <c r="T3" s="8"/>
    </row>
    <row r="4" spans="1:35" x14ac:dyDescent="0.35">
      <c r="B4" s="437"/>
      <c r="C4" s="438"/>
      <c r="D4" s="8" t="s">
        <v>172</v>
      </c>
      <c r="E4" s="8" t="s">
        <v>275</v>
      </c>
      <c r="F4" s="8" t="s">
        <v>86</v>
      </c>
      <c r="G4" s="8">
        <v>2050</v>
      </c>
      <c r="H4" s="8"/>
      <c r="I4" s="440"/>
      <c r="J4" s="8" t="s">
        <v>167</v>
      </c>
      <c r="K4" s="8"/>
      <c r="L4" s="8"/>
      <c r="M4" s="440"/>
      <c r="N4" s="439"/>
      <c r="O4" s="457"/>
      <c r="P4" s="440"/>
      <c r="Q4" s="440"/>
      <c r="R4" s="8"/>
      <c r="S4" s="8"/>
      <c r="T4" s="8"/>
    </row>
    <row r="5" spans="1:35" x14ac:dyDescent="0.35">
      <c r="B5" s="437"/>
      <c r="C5" s="438"/>
      <c r="D5" s="8"/>
      <c r="E5" s="8" t="s">
        <v>276</v>
      </c>
      <c r="F5" s="8"/>
      <c r="G5" s="8"/>
      <c r="H5" s="8"/>
      <c r="I5" s="26"/>
      <c r="J5" s="8"/>
      <c r="K5" s="8"/>
      <c r="L5" s="8"/>
      <c r="M5" s="440"/>
      <c r="N5" s="439"/>
      <c r="O5" s="457"/>
      <c r="P5" s="440"/>
      <c r="Q5" s="440"/>
      <c r="R5" s="8"/>
      <c r="S5" s="8"/>
      <c r="T5" s="8"/>
    </row>
    <row r="6" spans="1:35" x14ac:dyDescent="0.35">
      <c r="B6" s="437"/>
      <c r="C6" s="438"/>
      <c r="D6" s="8"/>
      <c r="E6" s="8" t="s">
        <v>277</v>
      </c>
      <c r="F6" s="8"/>
      <c r="G6" s="8"/>
      <c r="H6" s="8"/>
      <c r="I6" s="26"/>
      <c r="J6" s="8"/>
      <c r="K6" s="8"/>
      <c r="L6" s="8"/>
      <c r="M6" s="440"/>
      <c r="N6" s="439"/>
      <c r="O6" s="457"/>
      <c r="P6" s="440"/>
      <c r="Q6" s="440"/>
      <c r="R6" s="8"/>
      <c r="S6" s="8"/>
      <c r="T6" s="8"/>
    </row>
    <row r="7" spans="1:35" x14ac:dyDescent="0.35">
      <c r="B7" s="437"/>
      <c r="C7" s="438"/>
      <c r="E7" s="8" t="s">
        <v>278</v>
      </c>
      <c r="F7" s="8"/>
      <c r="G7" s="8"/>
      <c r="H7" s="8"/>
      <c r="I7" s="8"/>
      <c r="J7" s="8"/>
      <c r="K7" s="8"/>
      <c r="L7" s="8"/>
      <c r="M7" s="440"/>
      <c r="N7" s="439"/>
      <c r="O7" s="457"/>
      <c r="P7" s="440"/>
      <c r="Q7" s="440"/>
      <c r="R7" s="12"/>
      <c r="S7" s="12"/>
      <c r="T7" s="12"/>
      <c r="V7" s="94" t="s">
        <v>103</v>
      </c>
      <c r="W7" s="12"/>
      <c r="X7" s="12"/>
      <c r="Y7" s="12"/>
      <c r="Z7" s="12"/>
      <c r="AA7" s="12"/>
      <c r="AB7" s="12"/>
      <c r="AC7" s="12"/>
      <c r="AD7" s="12"/>
      <c r="AE7" s="12"/>
      <c r="AF7" s="22"/>
      <c r="AG7" s="435" t="s">
        <v>107</v>
      </c>
      <c r="AH7" s="436"/>
      <c r="AI7" s="436"/>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36"/>
      <c r="B1" s="436"/>
      <c r="C1" s="436"/>
      <c r="D1" s="4"/>
      <c r="E1" s="8"/>
      <c r="F1" s="97" t="s">
        <v>93</v>
      </c>
      <c r="G1" s="109" t="s">
        <v>369</v>
      </c>
      <c r="H1" s="109" t="s">
        <v>370</v>
      </c>
      <c r="I1" s="121" t="s">
        <v>402</v>
      </c>
      <c r="J1" s="126" t="s">
        <v>2</v>
      </c>
      <c r="K1" s="121" t="s">
        <v>4</v>
      </c>
      <c r="L1" s="121" t="s">
        <v>5</v>
      </c>
      <c r="M1" s="121" t="s">
        <v>274</v>
      </c>
      <c r="N1" s="126" t="s">
        <v>3</v>
      </c>
      <c r="O1" s="126" t="s">
        <v>181</v>
      </c>
      <c r="P1" s="171" t="s">
        <v>6</v>
      </c>
      <c r="Q1" s="449" t="s">
        <v>51</v>
      </c>
      <c r="R1" s="450"/>
      <c r="S1" s="450"/>
      <c r="T1" s="451"/>
      <c r="U1" s="449" t="s">
        <v>52</v>
      </c>
      <c r="V1" s="450"/>
      <c r="W1" s="450"/>
      <c r="X1" s="451"/>
      <c r="Y1" s="449" t="s">
        <v>273</v>
      </c>
      <c r="Z1" s="450"/>
      <c r="AA1" s="450"/>
      <c r="AB1" s="451"/>
      <c r="AC1" s="449" t="s">
        <v>53</v>
      </c>
      <c r="AD1" s="450"/>
      <c r="AE1" s="450"/>
      <c r="AF1" s="451"/>
      <c r="AG1" s="449" t="s">
        <v>54</v>
      </c>
      <c r="AH1" s="450"/>
      <c r="AI1" s="450"/>
      <c r="AJ1" s="451"/>
      <c r="AK1" s="449" t="s">
        <v>55</v>
      </c>
      <c r="AL1" s="450"/>
      <c r="AM1" s="450"/>
      <c r="AN1" s="451"/>
      <c r="AO1" s="449" t="s">
        <v>56</v>
      </c>
      <c r="AP1" s="450"/>
      <c r="AQ1" s="450"/>
      <c r="AR1" s="451"/>
      <c r="AS1" s="449" t="s">
        <v>128</v>
      </c>
      <c r="AT1" s="450"/>
      <c r="AU1" s="450"/>
      <c r="AV1" s="451"/>
      <c r="AW1" s="449" t="s">
        <v>129</v>
      </c>
      <c r="AX1" s="450"/>
      <c r="AY1" s="450"/>
      <c r="AZ1" s="451"/>
      <c r="BA1" s="449" t="s">
        <v>401</v>
      </c>
      <c r="BB1" s="450"/>
      <c r="BC1" s="450"/>
      <c r="BD1" s="451"/>
      <c r="BE1" s="449" t="s">
        <v>130</v>
      </c>
      <c r="BF1" s="450"/>
      <c r="BG1" s="450"/>
      <c r="BH1" s="451"/>
      <c r="BI1" s="449" t="s">
        <v>94</v>
      </c>
      <c r="BJ1" s="450"/>
      <c r="BK1" s="450"/>
      <c r="BL1" s="451"/>
      <c r="BM1" s="449" t="s">
        <v>57</v>
      </c>
      <c r="BN1" s="450"/>
      <c r="BO1" s="450"/>
      <c r="BP1" s="451"/>
      <c r="BQ1" s="449" t="s">
        <v>58</v>
      </c>
      <c r="BR1" s="450"/>
      <c r="BS1" s="450"/>
      <c r="BT1" s="451"/>
      <c r="BU1" s="449" t="s">
        <v>306</v>
      </c>
      <c r="BV1" s="450"/>
      <c r="BW1" s="450"/>
      <c r="BX1" s="451"/>
      <c r="BY1" s="452" t="s">
        <v>307</v>
      </c>
      <c r="BZ1" s="452"/>
      <c r="CA1" s="452"/>
      <c r="CB1" s="452"/>
    </row>
    <row r="2" spans="1:80" s="4" customFormat="1" ht="15" customHeight="1" x14ac:dyDescent="0.35">
      <c r="A2" s="23"/>
      <c r="B2" s="454" t="s">
        <v>7</v>
      </c>
      <c r="C2" s="455" t="s">
        <v>8</v>
      </c>
      <c r="D2" s="454"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54"/>
      <c r="C3" s="455"/>
      <c r="D3" s="454"/>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54"/>
      <c r="C4" s="455"/>
      <c r="D4" s="454"/>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54"/>
      <c r="C5" s="455"/>
      <c r="D5" s="454"/>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53"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53"/>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53"/>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53"/>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53"/>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53"/>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53"/>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53"/>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53"/>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53"/>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53"/>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53"/>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53"/>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53"/>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53"/>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53"/>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53"/>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53"/>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53"/>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53"/>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53"/>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53"/>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53"/>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53"/>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53"/>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53"/>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53"/>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53"/>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53"/>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53"/>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53"/>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53"/>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53"/>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53"/>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53"/>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53"/>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53"/>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53"/>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53"/>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53"/>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53"/>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53"/>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53"/>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53"/>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53"/>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53"/>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53"/>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53"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53"/>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53"/>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53"/>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53"/>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53"/>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53"/>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53"/>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53"/>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53"/>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53"/>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53"/>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53"/>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53"/>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53"/>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53"/>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53"/>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53"/>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53"/>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53"/>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53"/>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53"/>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53"/>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53"/>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53"/>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53"/>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53"/>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53"/>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53"/>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53"/>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 ref="A53:A82"/>
    <mergeCell ref="Q1:T1"/>
    <mergeCell ref="U1:X1"/>
    <mergeCell ref="Y1:AB1"/>
    <mergeCell ref="AC1:AF1"/>
    <mergeCell ref="A6:A52"/>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2026-02-13T16:07:12Z</dcterms:modified>
</cp:coreProperties>
</file>