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codeName="ThisWorkbook"/>
  <xr:revisionPtr revIDLastSave="474" documentId="13_ncr:101_{A3C50E62-C836-458E-A845-B193B3547FD1}" xr6:coauthVersionLast="47" xr6:coauthVersionMax="47" xr10:uidLastSave="{7FDA16AD-C06F-4CB9-8949-635FB3F936A5}"/>
  <bookViews>
    <workbookView xWindow="-110" yWindow="-110" windowWidth="19420" windowHeight="11500"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95" l="1"/>
  <c r="B37" i="95"/>
  <c r="B38" i="95"/>
  <c r="B39" i="95"/>
  <c r="B40" i="95"/>
  <c r="B41" i="95"/>
  <c r="B42" i="95"/>
  <c r="B43" i="95"/>
  <c r="B44" i="95"/>
  <c r="B45" i="95"/>
  <c r="B46" i="95"/>
  <c r="B47" i="95"/>
  <c r="B35" i="95"/>
  <c r="A47" i="95"/>
  <c r="A46" i="95"/>
  <c r="A45" i="95"/>
  <c r="A44" i="95"/>
  <c r="A43" i="95"/>
  <c r="A42" i="95"/>
  <c r="A41" i="95"/>
  <c r="A40" i="95"/>
  <c r="A39" i="95"/>
  <c r="A38" i="95"/>
  <c r="A37" i="95"/>
  <c r="A36" i="95"/>
  <c r="A35" i="95"/>
  <c r="B22" i="95"/>
  <c r="A22" i="95"/>
  <c r="B23" i="95"/>
  <c r="B24" i="95"/>
  <c r="B25" i="95"/>
  <c r="B26" i="95"/>
  <c r="B27" i="95"/>
  <c r="B28" i="95"/>
  <c r="B29" i="95"/>
  <c r="B30" i="95"/>
  <c r="B31" i="95"/>
  <c r="B32" i="95"/>
  <c r="B33" i="95"/>
  <c r="B34" i="95"/>
  <c r="J11" i="79"/>
  <c r="A20" i="95" l="1"/>
  <c r="B20" i="95" s="1"/>
  <c r="A19" i="95"/>
  <c r="B19" i="95" s="1"/>
  <c r="A18" i="95"/>
  <c r="B18" i="95" s="1"/>
  <c r="A17" i="95"/>
  <c r="B17" i="95" s="1"/>
  <c r="A23" i="95"/>
  <c r="A34" i="95"/>
  <c r="A33" i="95"/>
  <c r="A32" i="95"/>
  <c r="A31" i="95"/>
  <c r="A30" i="95"/>
  <c r="A29" i="95"/>
  <c r="A28" i="95"/>
  <c r="A27" i="95"/>
  <c r="A26" i="95"/>
  <c r="A25" i="95"/>
  <c r="A24" i="95"/>
  <c r="A21" i="95"/>
  <c r="BK17" i="79"/>
  <c r="BK38" i="79"/>
  <c r="BK39" i="79"/>
  <c r="BK67" i="79"/>
  <c r="BK68" i="79"/>
  <c r="BK69" i="79"/>
  <c r="BK70" i="79"/>
  <c r="H5" i="80"/>
  <c r="H6" i="80"/>
  <c r="H7" i="80"/>
  <c r="H8" i="80"/>
  <c r="H9" i="80"/>
  <c r="AT15" i="79"/>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BS10" i="79"/>
  <c r="BS12" i="79" s="1"/>
  <c r="K9" i="79"/>
  <c r="J9" i="79"/>
  <c r="S8" i="79"/>
  <c r="T8" i="79" s="1"/>
  <c r="U8" i="79" s="1"/>
  <c r="BC7" i="79"/>
  <c r="BD7" i="79" s="1"/>
  <c r="BE7" i="79" s="1"/>
  <c r="K7" i="79"/>
  <c r="S6" i="79"/>
  <c r="T6" i="79" s="1"/>
  <c r="U6" i="79" s="1"/>
  <c r="K6" i="79"/>
  <c r="J10" i="79" l="1"/>
  <c r="J12" i="79" s="1"/>
  <c r="I5" i="79"/>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<sst xmlns="http://schemas.openxmlformats.org/spreadsheetml/2006/main" count="4336" uniqueCount="521">
  <si>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</si>
  <si>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</si>
  <si>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</si>
  <si>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</si>
  <si>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</si>
  <si>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</si>
  <si>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</si>
  <si>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</si>
  <si>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</si>
  <si>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</si>
  <si>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</si>
  <si>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</si>
  <si>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</si>
  <si>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</si>
  <si>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</si>
  <si>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</si>
  <si>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</si>
  <si>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</si>
  <si>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</si>
  <si>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</si>
  <si>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</si>
  <si>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</si>
  <si>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</si>
  <si>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</si>
  <si>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</si>
  <si>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</si>
  <si>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</si>
  <si>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</si>
  <si>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</si>
  <si>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</si>
  <si>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</si>
  <si>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</si>
  <si>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</si>
  <si>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</si>
  <si>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</si>
  <si>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</si>
  <si>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</si>
  <si>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</si>
  <si>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</si>
  <si>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</si>
  <si>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</si>
  <si>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</si>
  <si>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</si>
  <si>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</si>
  <si>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</si>
  <si>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</si>
  <si>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</si>
  <si>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</si>
  <si>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</si>
  <si>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</si>
  <si>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</si>
  <si>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</si>
  <si>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</si>
  <si>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</si>
  <si>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</si>
  <si>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</si>
  <si>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</si>
  <si>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</si>
  <si>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</si>
  <si>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</si>
  <si>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</si>
  <si>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</si>
  <si>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</si>
  <si>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</si>
  <si>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</si>
  <si>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</si>
  <si>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</si>
  <si>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</si>
  <si>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</si>
  <si>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</si>
  <si>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</si>
  <si>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</si>
  <si>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</si>
  <si>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</si>
  <si>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</si>
  <si>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</si>
  <si>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</si>
  <si>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</si>
  <si>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</si>
  <si>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</si>
  <si>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</si>
  <si>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</si>
  <si>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</si>
  <si>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</si>
  <si>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</si>
  <si>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</si>
  <si>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</si>
  <si>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</si>
  <si>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</si>
  <si>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</si>
  <si>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</si>
  <si>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</si>
  <si>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</si>
  <si>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</si>
  <si>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</si>
  <si>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</si>
  <si>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</si>
  <si>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</si>
  <si>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</si>
  <si>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</si>
  <si>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</si>
  <si>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</si>
  <si>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</si>
  <si>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</si>
  <si>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</si>
  <si>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</si>
  <si>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</si>
  <si>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</si>
  <si>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</si>
  <si>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</si>
  <si>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</si>
  <si>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</si>
  <si>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</si>
  <si>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</si>
  <si>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</si>
  <si>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</si>
  <si>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</si>
  <si>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</si>
  <si>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</si>
  <si>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</si>
  <si>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</si>
  <si>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</si>
  <si>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</si>
  <si>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</si>
  <si>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</si>
  <si>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</si>
  <si>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</si>
  <si>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</si>
  <si>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</si>
  <si>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</si>
  <si>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</si>
  <si>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</si>
  <si>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</si>
  <si>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</si>
  <si>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</si>
  <si>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</si>
  <si>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</si>
  <si>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</si>
  <si>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</si>
  <si>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</si>
  <si>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</si>
  <si>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</si>
  <si>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</si>
  <si>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</si>
  <si>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</si>
  <si>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</si>
  <si>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</si>
  <si>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</si>
  <si>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</si>
  <si>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</si>
  <si>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</si>
  <si>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</si>
  <si>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</si>
  <si>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</si>
  <si>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</si>
  <si>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</si>
  <si>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</si>
  <si>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</si>
  <si>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</si>
  <si>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</si>
  <si>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</si>
  <si>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</si>
  <si>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</si>
  <si>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</si>
  <si>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</si>
  <si>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</si>
  <si>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</si>
  <si>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</si>
  <si>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</si>
  <si>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</si>
  <si>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</si>
  <si>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</si>
  <si>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</si>
  <si>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</si>
  <si>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</si>
  <si>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</si>
  <si>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</si>
  <si>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</si>
  <si>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</si>
  <si>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</si>
  <si>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</si>
  <si>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</si>
  <si>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</si>
  <si>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</si>
  <si>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</si>
  <si>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</si>
  <si>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</si>
  <si>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</si>
  <si>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</si>
  <si>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</si>
  <si>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</si>
  <si>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</si>
  <si>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</si>
  <si>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</si>
  <si>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</si>
  <si>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</si>
  <si>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</si>
  <si>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</si>
  <si>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</si>
  <si>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</si>
  <si>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</si>
  <si>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</si>
  <si>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</si>
  <si>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</si>
  <si>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</si>
  <si>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</si>
  <si>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</si>
  <si>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</si>
  <si>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</si>
  <si>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</si>
  <si>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</si>
  <si>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</si>
  <si>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</si>
  <si>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</si>
  <si>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</si>
  <si>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</si>
  <si>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</si>
  <si>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</si>
  <si>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</si>
  <si>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</si>
  <si>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</si>
  <si>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</si>
  <si>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</si>
  <si>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</si>
  <si>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</si>
  <si>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</si>
  <si>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</si>
  <si>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</si>
  <si>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</si>
  <si>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</si>
  <si>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</si>
  <si>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</si>
  <si>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</si>
  <si>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</si>
  <si>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</si>
  <si>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</si>
  <si>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</si>
  <si>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</si>
  <si>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</si>
  <si>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</si>
  <si>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</si>
  <si>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</si>
  <si>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</si>
  <si>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</si>
  <si>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</si>
  <si>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</si>
  <si>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</si>
  <si>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</si>
  <si>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</si>
  <si>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</si>
  <si>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</si>
  <si>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</si>
  <si>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</si>
  <si>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</si>
  <si>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</si>
  <si>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</si>
  <si>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</si>
  <si>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</si>
  <si>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</si>
  <si>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</si>
  <si>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</si>
  <si>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</si>
  <si>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</si>
  <si>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</si>
  <si>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</si>
  <si>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</si>
  <si>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</si>
  <si>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</si>
  <si>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</si>
  <si>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</si>
  <si>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</si>
  <si>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</si>
  <si>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</si>
  <si>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</si>
  <si>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</si>
  <si>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</si>
  <si>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</si>
  <si>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</si>
  <si>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</si>
  <si>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</si>
  <si>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</si>
  <si>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</si>
  <si>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</si>
  <si>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</si>
  <si>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</si>
  <si>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</si>
  <si>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</si>
  <si>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</si>
  <si>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</si>
  <si>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</si>
  <si>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</si>
  <si>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</si>
  <si>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</si>
  <si>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</si>
  <si>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</si>
  <si>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</si>
  <si>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</si>
  <si>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</si>
  <si>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</si>
  <si>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</si>
  <si>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</si>
  <si>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</si>
  <si>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</si>
  <si>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</si>
  <si>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</si>
  <si>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</si>
  <si>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</si>
  <si>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</si>
  <si>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</si>
  <si>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</si>
  <si>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</si>
  <si>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</si>
  <si>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</si>
  <si>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</si>
  <si>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</si>
  <si>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</si>
  <si>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</si>
  <si>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</si>
  <si>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</si>
  <si>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</si>
  <si>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</si>
  <si>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</si>
  <si>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</si>
  <si>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</si>
  <si>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</si>
  <si>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</si>
  <si>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</si>
  <si>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</si>
  <si>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</si>
  <si>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</si>
  <si>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</si>
  <si>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</si>
  <si>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</si>
  <si>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</si>
  <si>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</si>
  <si>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</si>
  <si>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</si>
  <si>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</si>
  <si>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</si>
  <si>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</si>
  <si>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</si>
  <si>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</si>
  <si>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</si>
  <si>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</si>
  <si>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</si>
  <si>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</si>
  <si>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</si>
  <si>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</si>
  <si>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</si>
  <si>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</si>
  <si>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</si>
  <si>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</si>
  <si>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</si>
  <si>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</si>
  <si>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</si>
  <si>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</si>
  <si>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</si>
  <si>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</si>
  <si>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</si>
  <si>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</si>
  <si>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</si>
  <si>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</si>
  <si>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</si>
  <si>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</si>
  <si>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</si>
  <si>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</si>
  <si>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</si>
  <si>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</si>
  <si>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</si>
  <si>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</si>
  <si>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</si>
  <si>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</si>
  <si>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</si>
  <si>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</si>
  <si>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</si>
  <si>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</si>
  <si>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</si>
  <si>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</si>
  <si>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</si>
  <si>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</si>
  <si>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</si>
  <si>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</si>
  <si>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</si>
  <si>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</si>
  <si>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</si>
  <si>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</si>
  <si>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</si>
  <si>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</si>
  <si>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</si>
  <si>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</si>
  <si>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</si>
  <si>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</si>
  <si>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</si>
  <si>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</si>
  <si>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</si>
  <si>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</si>
  <si>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</si>
  <si>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</si>
  <si>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</si>
  <si>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</si>
  <si>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</si>
  <si>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</si>
  <si>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</si>
  <si>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</si>
  <si>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</si>
  <si>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</si>
  <si>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</si>
  <si>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</si>
  <si>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</si>
  <si>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</si>
  <si>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</si>
  <si>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</si>
  <si>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</si>
  <si>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</si>
  <si>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</si>
  <si>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</si>
  <si>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</si>
  <si>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</si>
  <si>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</si>
  <si>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</si>
  <si>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</si>
  <si>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</si>
  <si>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</si>
  <si>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</si>
  <si>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</si>
  <si>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</si>
  <si>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</si>
  <si>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</si>
  <si>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</si>
  <si>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</si>
  <si>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</si>
  <si>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</si>
  <si>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</si>
  <si>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</si>
  <si>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</si>
  <si>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</si>
  <si>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</si>
  <si>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</si>
  <si>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</si>
  <si>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</si>
  <si>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</si>
  <si>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</si>
  <si>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</si>
  <si>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</si>
  <si>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</si>
  <si>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</si>
  <si>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</si>
  <si>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</si>
  <si>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</si>
  <si>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</si>
  <si>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</si>
  <si>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</si>
  <si>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</si>
  <si>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</si>
  <si>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</si>
  <si>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</si>
  <si>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</si>
  <si>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</si>
  <si>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</si>
  <si>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Lcia technology tag</t>
  </si>
  <si>
    <t>Lcia data filename</t>
  </si>
  <si>
    <t>H2_STORAGE_TANK</t>
  </si>
  <si>
    <t>DAC_HT</t>
  </si>
  <si>
    <t>Only-grid</t>
  </si>
  <si>
    <t>ELEC_BATTERY</t>
  </si>
  <si>
    <t>ELEC_PV_GROUND</t>
  </si>
  <si>
    <t>ELEC_WIND_ONSHORE</t>
  </si>
  <si>
    <t>ELEC_WIND_OFFSHORE</t>
  </si>
  <si>
    <t>FUEL_FEEDSTOCK_BIOGAS_INFLOW</t>
  </si>
  <si>
    <t>FUEL_NH3_PLANT_INFLOW</t>
  </si>
  <si>
    <t>FUEL_PYROLYSIS_PLANT_INFLOW</t>
  </si>
  <si>
    <t>FUEL_MeOH_PLANT_INFLOW</t>
  </si>
  <si>
    <t>H2_AEC</t>
  </si>
  <si>
    <t>DESALINATION</t>
  </si>
  <si>
    <t>FUEL_FEEDSTOCK_BIOMASS_INFLOW</t>
  </si>
  <si>
    <t>CC_PS</t>
  </si>
  <si>
    <t>Skive</t>
  </si>
  <si>
    <t>72,4000,4400,8760</t>
  </si>
  <si>
    <t>Hourly lcia count method</t>
  </si>
  <si>
    <t>Production</t>
  </si>
  <si>
    <t>Hourly CO2 count method for regulation</t>
  </si>
  <si>
    <t>2019_lcia_skive</t>
  </si>
  <si>
    <t>General scenario definition</t>
  </si>
  <si>
    <t>Fuel production system set-up</t>
  </si>
  <si>
    <t>Hourly profiles set-up</t>
  </si>
  <si>
    <t>CO2 and grid usage regulation set-up</t>
  </si>
  <si>
    <t>Input/output files and folders</t>
  </si>
  <si>
    <t>Options definition</t>
  </si>
  <si>
    <t>A = Alone</t>
  </si>
  <si>
    <t>HI = Heat integrated</t>
  </si>
  <si>
    <t>From Scenarios_definition sheet</t>
  </si>
  <si>
    <t>Antofagasta</t>
  </si>
  <si>
    <t>See in the hourly profile file in the CO2 regulated sheet</t>
  </si>
  <si>
    <t>See in the hourly profile file in the Lcia_hourly sheet</t>
  </si>
  <si>
    <t>CO2 tax applied to building the infrastructure (i.e. CBAM) in €/kg CO2</t>
  </si>
  <si>
    <t>CO2 tax applied when operating the system in €/kg CO2</t>
  </si>
  <si>
    <t>Yearly trashold of emission in kg CO2e / MJ fuel (-1 if no treshhold is applied)</t>
  </si>
  <si>
    <t>How renewable criterion is applied: enforcement or incentive ? If incentive put a number for price difference between certified and non certified electricity in EUR/kWh. If enforcement put -1</t>
  </si>
  <si>
    <t>Folder name where the excel profile is located</t>
  </si>
  <si>
    <t>GLS_analysis</t>
  </si>
  <si>
    <t>Prod_stationarycomb_IPCC2006</t>
  </si>
  <si>
    <t>Prod_scope2_Ispra</t>
  </si>
  <si>
    <t>Prod_scope2_IPCC</t>
  </si>
  <si>
    <t>Prod_scope3_IPCC</t>
  </si>
  <si>
    <t>Prod_scope2_Electricity_Maps</t>
  </si>
  <si>
    <t>Prod_scope3_Electricity_Maps</t>
  </si>
  <si>
    <t>Cons_stationarycomb_IPCC2006</t>
  </si>
  <si>
    <t>Cons_scope2_Ispra</t>
  </si>
  <si>
    <t>Cons_scope2_IPCC</t>
  </si>
  <si>
    <t>Cons_scope3_IPCC</t>
  </si>
  <si>
    <t>Cons_scope2_Electricity_Maps</t>
  </si>
  <si>
    <t>Cons_scope3_Electricity_Maps</t>
  </si>
  <si>
    <t>0.0282 (Certify)</t>
  </si>
  <si>
    <t>Prod_RFNBO</t>
  </si>
  <si>
    <t>Consumption</t>
  </si>
  <si>
    <t>2019_CO2</t>
  </si>
  <si>
    <t>Test</t>
  </si>
  <si>
    <t>72,4000,4400,4500</t>
  </si>
  <si>
    <t>LCIA2.1</t>
  </si>
  <si>
    <t>Scope2_hourly</t>
  </si>
  <si>
    <t>No tax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</si>
</sst>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
  </numFmts>
  <fonts count="19"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b/>
      <sz val="11"/>
      <name val="Calibri"/>
      <family val="2"/>
    </font>
  </fonts>
  <fills count="22">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59999389629810485"/>
        <bgColor indexed="64"/>
      </patternFill>
    </fill>
  </fills>
  <borders count="11">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
      <left/>
      <right style="medium">
        <color auto="1"/>
      </right>
      <top/>
      <bottom/>
      <diagonal/>
    </border>
    <border>
      <left/>
      <right style="medium">
        <color auto="1"/>
      </right>
      <top style="thin">
        <color indexed="64"/>
      </top>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89">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5" fillId="4" borderId="0" xfId="0" applyFont="1" applyFill="1" applyAlignment="1">
      <alignment horizontal="center"/>
    </xf>
    <xf numFmtId="0" fontId="5" fillId="17" borderId="0" xfId="0" applyFont="1" applyFill="1" applyAlignment="1">
      <alignment horizontal="center"/>
    </xf>
    <xf numFmtId="0" fontId="5" fillId="11" borderId="0" xfId="0" applyFont="1" applyFill="1" applyAlignment="1">
      <alignment horizontal="center"/>
    </xf>
    <xf numFmtId="0" fontId="5" fillId="10" borderId="0" xfId="0" applyFont="1" applyFill="1" applyAlignment="1">
      <alignment horizontal="center"/>
    </xf>
    <xf numFmtId="0" fontId="5" fillId="8" borderId="0" xfId="0" applyFont="1" applyFill="1" applyAlignment="1">
      <alignment horizontal="center"/>
    </xf>
    <xf numFmtId="0" fontId="5" fillId="11" borderId="1" xfId="0" applyFont="1" applyFill="1" applyBorder="1" applyAlignment="1">
      <alignment horizontal="center"/>
    </xf>
    <xf numFmtId="0" fontId="5" fillId="11" borderId="2" xfId="0" applyFont="1" applyFill="1" applyBorder="1" applyAlignment="1">
      <alignment horizontal="center"/>
    </xf>
    <xf numFmtId="0" fontId="5" fillId="21" borderId="0" xfId="0" applyFont="1" applyFill="1" applyAlignment="1">
      <alignment horizontal="center"/>
    </xf>
    <xf numFmtId="0" fontId="0" fillId="0" borderId="1" xfId="0" applyBorder="1" applyAlignment="1">
      <alignment horizontal="center"/>
    </xf>
    <xf numFmtId="0" fontId="18" fillId="0" borderId="0" xfId="0" applyFont="1" applyAlignment="1">
      <alignment horizontal="center" vertical="top"/>
    </xf>
    <xf numFmtId="0" fontId="4" fillId="19" borderId="0" xfId="0" applyFont="1" applyFill="1" applyAlignment="1">
      <alignment horizontal="center" vertical="center"/>
    </xf>
    <xf numFmtId="0" fontId="4" fillId="7" borderId="0" xfId="0" applyFont="1" applyFill="1" applyAlignment="1">
      <alignment horizontal="center" vertical="center"/>
    </xf>
    <xf numFmtId="0" fontId="4" fillId="4" borderId="0" xfId="0" applyFont="1" applyFill="1" applyAlignment="1">
      <alignment horizontal="center" vertical="center"/>
    </xf>
    <xf numFmtId="0" fontId="4" fillId="11" borderId="0" xfId="0" applyFont="1" applyFill="1" applyAlignment="1">
      <alignment horizontal="center" vertical="center"/>
    </xf>
    <xf numFmtId="0" fontId="4" fillId="6" borderId="0" xfId="0" applyFont="1" applyFill="1" applyAlignment="1">
      <alignment horizontal="center" vertical="center"/>
    </xf>
    <xf numFmtId="0" fontId="4" fillId="4" borderId="4" xfId="0" applyFont="1" applyFill="1" applyBorder="1" applyAlignment="1">
      <alignment horizontal="center" vertical="center"/>
    </xf>
    <xf numFmtId="0" fontId="4" fillId="12" borderId="0" xfId="0" applyFont="1" applyFill="1" applyAlignment="1">
      <alignment horizontal="center" vertical="center"/>
    </xf>
    <xf numFmtId="0" fontId="15" fillId="4" borderId="0" xfId="0" applyFont="1" applyFill="1" applyAlignment="1">
      <alignment horizontal="center" vertical="center"/>
    </xf>
    <xf numFmtId="0" fontId="15" fillId="10" borderId="0" xfId="0" applyFont="1" applyFill="1" applyAlignment="1">
      <alignment horizontal="center" vertical="center"/>
    </xf>
    <xf numFmtId="0" fontId="15" fillId="7" borderId="0" xfId="0" applyFont="1" applyFill="1" applyAlignment="1">
      <alignment horizontal="center" vertical="center"/>
    </xf>
    <xf numFmtId="0" fontId="15" fillId="13" borderId="0" xfId="0" applyFont="1" applyFill="1" applyAlignment="1">
      <alignment horizontal="center" vertical="center"/>
    </xf>
    <xf numFmtId="0" fontId="15" fillId="16" borderId="0" xfId="0" applyFont="1" applyFill="1" applyAlignment="1">
      <alignment horizontal="center" vertical="center"/>
    </xf>
    <xf numFmtId="166" fontId="0" fillId="17" borderId="0" xfId="0" applyNumberFormat="1" applyFill="1"/>
    <xf numFmtId="166" fontId="0" fillId="17" borderId="2" xfId="0" applyNumberFormat="1" applyFill="1" applyBorder="1"/>
    <xf numFmtId="0" fontId="8" fillId="3" borderId="9" xfId="0" applyFont="1" applyFill="1" applyBorder="1"/>
    <xf numFmtId="0" fontId="3" fillId="0" borderId="9" xfId="0" quotePrefix="1" applyFont="1" applyBorder="1" applyAlignment="1">
      <alignment horizontal="center"/>
    </xf>
    <xf numFmtId="0" fontId="6" fillId="0" borderId="9" xfId="0" applyFont="1" applyBorder="1" applyAlignment="1">
      <alignment horizontal="center" vertical="center" wrapText="1"/>
    </xf>
    <xf numFmtId="0" fontId="0" fillId="2" borderId="9" xfId="0" applyFill="1" applyBorder="1" applyAlignment="1">
      <alignment horizontal="center" vertical="center"/>
    </xf>
    <xf numFmtId="0" fontId="4" fillId="17" borderId="9" xfId="1" applyNumberFormat="1" applyFont="1" applyFill="1" applyBorder="1"/>
    <xf numFmtId="0" fontId="4" fillId="19" borderId="9" xfId="1" applyNumberFormat="1" applyFont="1" applyFill="1" applyBorder="1"/>
    <xf numFmtId="0" fontId="4" fillId="10" borderId="9" xfId="1" applyNumberFormat="1" applyFont="1" applyFill="1" applyBorder="1"/>
    <xf numFmtId="0" fontId="0" fillId="9" borderId="9" xfId="0" applyFill="1" applyBorder="1"/>
    <xf numFmtId="0" fontId="4" fillId="9" borderId="9" xfId="1" applyNumberFormat="1" applyFont="1" applyFill="1" applyBorder="1"/>
    <xf numFmtId="0" fontId="4" fillId="6" borderId="9" xfId="1" applyNumberFormat="1" applyFont="1" applyFill="1" applyBorder="1"/>
    <xf numFmtId="0" fontId="0" fillId="7" borderId="9" xfId="0" applyFill="1" applyBorder="1"/>
    <xf numFmtId="0" fontId="0" fillId="10" borderId="9" xfId="0" applyFill="1" applyBorder="1"/>
    <xf numFmtId="0" fontId="0" fillId="11" borderId="9" xfId="0" applyFill="1" applyBorder="1"/>
    <xf numFmtId="0" fontId="4" fillId="8" borderId="9" xfId="0" applyFont="1" applyFill="1" applyBorder="1"/>
    <xf numFmtId="0" fontId="0" fillId="8" borderId="9" xfId="1" applyNumberFormat="1" applyFont="1" applyFill="1" applyBorder="1"/>
    <xf numFmtId="0" fontId="0" fillId="4" borderId="9" xfId="0" applyFill="1" applyBorder="1"/>
    <xf numFmtId="0" fontId="4" fillId="4" borderId="9" xfId="0" applyFont="1" applyFill="1" applyBorder="1"/>
    <xf numFmtId="0" fontId="0" fillId="13" borderId="9" xfId="0" applyFill="1" applyBorder="1"/>
    <xf numFmtId="0" fontId="0" fillId="10" borderId="9" xfId="1" applyNumberFormat="1" applyFont="1" applyFill="1" applyBorder="1"/>
    <xf numFmtId="0" fontId="0" fillId="6" borderId="9" xfId="0" applyFill="1" applyBorder="1"/>
    <xf numFmtId="0" fontId="0" fillId="4" borderId="10" xfId="0" applyFill="1" applyBorder="1"/>
    <xf numFmtId="0" fontId="0" fillId="8" borderId="9" xfId="0" applyFill="1" applyBorder="1"/>
    <xf numFmtId="0" fontId="0" fillId="12" borderId="9" xfId="0" applyFill="1" applyBorder="1"/>
    <xf numFmtId="0" fontId="0" fillId="15" borderId="9" xfId="0" applyFill="1" applyBorder="1"/>
    <xf numFmtId="0" fontId="0" fillId="16" borderId="9" xfId="0" applyFill="1" applyBorder="1"/>
    <xf numFmtId="0" fontId="0" fillId="0" borderId="9" xfId="0" applyBorder="1"/>
    <xf numFmtId="0" fontId="0" fillId="14" borderId="9" xfId="0" applyFill="1" applyBorder="1"/>
    <xf numFmtId="0" fontId="3" fillId="21" borderId="1" xfId="0" applyFont="1" applyFill="1" applyBorder="1" applyAlignment="1">
      <alignment horizontal="center"/>
    </xf>
    <xf numFmtId="0" fontId="3" fillId="21" borderId="0" xfId="0" applyFont="1" applyFill="1" applyAlignment="1">
      <alignment horizontal="center"/>
    </xf>
    <xf numFmtId="0" fontId="0" fillId="0" borderId="0" xfId="0" applyAlignment="1">
      <alignment horizont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3" fillId="20" borderId="0" xfId="0" applyFont="1" applyFill="1" applyAlignment="1">
      <alignment horizontal="center"/>
    </xf>
    <xf numFmtId="0" fontId="3" fillId="9" borderId="0" xfId="0" applyFont="1" applyFill="1" applyAlignment="1">
      <alignment horizontal="center"/>
    </xf>
    <xf numFmtId="0" fontId="3" fillId="15" borderId="0" xfId="0" applyFont="1" applyFill="1" applyAlignment="1">
      <alignment horizontal="center"/>
    </xf>
    <xf numFmtId="0" fontId="3" fillId="0" borderId="1" xfId="0" applyFont="1" applyBorder="1" applyAlignment="1">
      <alignment horizontal="center"/>
    </xf>
    <xf numFmtId="0" fontId="3" fillId="0" borderId="0" xfId="0" applyFont="1" applyAlignment="1">
      <alignment horizontal="center"/>
    </xf>
    <xf numFmtId="0" fontId="0" fillId="0" borderId="0" xfId="0" applyAlignment="1">
      <alignment horizontal="center" vertical="center"/>
    </xf>
    <xf numFmtId="0" fontId="14" fillId="0" borderId="0" xfId="0" applyFont="1" applyAlignment="1">
      <alignment horizontal="center" wrapText="1"/>
    </xf>
    <xf numFmtId="0" fontId="3" fillId="12" borderId="0" xfId="0" applyFont="1" applyFill="1" applyAlignment="1">
      <alignment horizontal="center"/>
    </xf>
    <xf numFmtId="0" fontId="3" fillId="12" borderId="2" xfId="0" applyFont="1" applyFill="1" applyBorder="1" applyAlignment="1">
      <alignment horizontal="center"/>
    </xf>
    <xf numFmtId="0" fontId="3" fillId="6" borderId="0" xfId="0" applyFont="1" applyFill="1" applyAlignment="1">
      <alignment horizontal="center"/>
    </xf>
    <xf numFmtId="0" fontId="3" fillId="6" borderId="1" xfId="0" applyFont="1" applyFill="1" applyBorder="1" applyAlignment="1">
      <alignment horizontal="center"/>
    </xf>
    <xf numFmtId="0" fontId="3" fillId="6" borderId="2" xfId="0" applyFont="1" applyFill="1" applyBorder="1" applyAlignment="1">
      <alignment horizont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0" xfId="0" applyFont="1" applyAlignment="1">
      <alignment horizontal="center"/>
    </xf>
    <xf numFmtId="0" fontId="13" fillId="0" borderId="0" xfId="0" applyFont="1" applyAlignment="1">
      <alignment horizontal="center" vertic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njbca/Documents/Models/OptiPlant/Sources%20and%20documentation/Techno%20economics%20data.xlsx" TargetMode="External"/><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tabSelected="1" zoomScale="82" zoomScaleNormal="145" workbookViewId="0">
      <pane xSplit="6" ySplit="5" topLeftCell="G6" activePane="bottomRight" state="frozen"/>
      <selection pane="topRight" activeCell="F1" sqref="F1"/>
      <selection pane="bottomLeft" activeCell="A12" sqref="A12"/>
      <selection pane="bottomRight" activeCell="J8" sqref="J8"/>
    </sheetView>
  </sheetViews>
  <sheetFormatPr defaultColWidth="8.7265625" defaultRowHeight="14.5" x14ac:dyDescent="0.35"/>
  <cols>
    <col min="1" max="1" width="8.08984375" customWidth="1"/>
    <col min="2" max="2" width="15.6328125" style="2" customWidth="1"/>
    <col min="3" max="4" width="21" style="3" customWidth="1"/>
    <col min="5" max="5" width="30" style="392"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461"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72" t="s">
        <v>0</v>
      </c>
      <c r="B1" s="472"/>
      <c r="C1" s="472"/>
      <c r="D1" s="12"/>
      <c r="E1" s="393"/>
      <c r="F1" s="8"/>
      <c r="G1" s="97" t="s">
        <v>93</v>
      </c>
      <c r="H1" s="109" t="s">
        <v>369</v>
      </c>
      <c r="I1" s="109" t="s">
        <v>370</v>
      </c>
      <c r="J1" s="121" t="s">
        <v>402</v>
      </c>
      <c r="K1" s="126" t="s">
        <v>2</v>
      </c>
      <c r="L1" s="121" t="s">
        <v>4</v>
      </c>
      <c r="M1" s="121" t="s">
        <v>5</v>
      </c>
      <c r="N1" s="121" t="s">
        <v>274</v>
      </c>
      <c r="O1" s="126" t="s">
        <v>3</v>
      </c>
      <c r="P1" s="126" t="s">
        <v>181</v>
      </c>
      <c r="Q1" s="171" t="s">
        <v>6</v>
      </c>
      <c r="R1" s="480" t="s">
        <v>51</v>
      </c>
      <c r="S1" s="481"/>
      <c r="T1" s="481"/>
      <c r="U1" s="482"/>
      <c r="V1" s="480" t="s">
        <v>52</v>
      </c>
      <c r="W1" s="481"/>
      <c r="X1" s="481"/>
      <c r="Y1" s="482"/>
      <c r="Z1" s="480" t="s">
        <v>273</v>
      </c>
      <c r="AA1" s="481"/>
      <c r="AB1" s="481"/>
      <c r="AC1" s="482"/>
      <c r="AD1" s="480" t="s">
        <v>53</v>
      </c>
      <c r="AE1" s="481"/>
      <c r="AF1" s="481"/>
      <c r="AG1" s="482"/>
      <c r="AH1" s="480" t="s">
        <v>54</v>
      </c>
      <c r="AI1" s="481"/>
      <c r="AJ1" s="481"/>
      <c r="AK1" s="482"/>
      <c r="AL1" s="480" t="s">
        <v>55</v>
      </c>
      <c r="AM1" s="481"/>
      <c r="AN1" s="481"/>
      <c r="AO1" s="482"/>
      <c r="AP1" s="480" t="s">
        <v>56</v>
      </c>
      <c r="AQ1" s="481"/>
      <c r="AR1" s="481"/>
      <c r="AS1" s="482"/>
      <c r="AT1" s="480" t="s">
        <v>128</v>
      </c>
      <c r="AU1" s="481"/>
      <c r="AV1" s="481"/>
      <c r="AW1" s="482"/>
      <c r="AX1" s="480" t="s">
        <v>129</v>
      </c>
      <c r="AY1" s="481"/>
      <c r="AZ1" s="481"/>
      <c r="BA1" s="482"/>
      <c r="BB1" s="480" t="s">
        <v>401</v>
      </c>
      <c r="BC1" s="481"/>
      <c r="BD1" s="481"/>
      <c r="BE1" s="482"/>
      <c r="BF1" s="480" t="s">
        <v>130</v>
      </c>
      <c r="BG1" s="481"/>
      <c r="BH1" s="481"/>
      <c r="BI1" s="482"/>
      <c r="BJ1" s="480" t="s">
        <v>457</v>
      </c>
      <c r="BK1" s="481"/>
      <c r="BL1" s="481"/>
      <c r="BM1" s="482"/>
      <c r="BN1" s="480" t="s">
        <v>458</v>
      </c>
      <c r="BO1" s="481"/>
      <c r="BP1" s="481"/>
      <c r="BQ1" s="482"/>
      <c r="BR1" s="480" t="s">
        <v>58</v>
      </c>
      <c r="BS1" s="481"/>
      <c r="BT1" s="481"/>
      <c r="BU1" s="482"/>
      <c r="BV1" s="480" t="s">
        <v>306</v>
      </c>
      <c r="BW1" s="481"/>
      <c r="BX1" s="481"/>
      <c r="BY1" s="482"/>
      <c r="BZ1" s="487" t="s">
        <v>307</v>
      </c>
      <c r="CA1" s="487"/>
      <c r="CB1" s="487"/>
      <c r="CC1" s="487"/>
    </row>
    <row r="2" spans="1:81" s="4" customFormat="1" ht="15" customHeight="1" x14ac:dyDescent="0.35">
      <c r="A2" s="23"/>
      <c r="B2" s="484" t="s">
        <v>7</v>
      </c>
      <c r="C2" s="485" t="s">
        <v>8</v>
      </c>
      <c r="D2" s="484" t="s">
        <v>9</v>
      </c>
      <c r="E2" s="484" t="s">
        <v>459</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43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84"/>
      <c r="C3" s="485"/>
      <c r="D3" s="484"/>
      <c r="E3" s="484"/>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437">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84"/>
      <c r="C4" s="485"/>
      <c r="D4" s="484"/>
      <c r="E4" s="484"/>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438"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84"/>
      <c r="C5" s="485"/>
      <c r="D5" s="484"/>
      <c r="E5" s="484"/>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439">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83" t="s">
        <v>11</v>
      </c>
      <c r="B6" s="284" t="s">
        <v>97</v>
      </c>
      <c r="C6" s="285" t="s">
        <v>184</v>
      </c>
      <c r="D6" s="286" t="s">
        <v>418</v>
      </c>
      <c r="E6" s="390" t="s">
        <v>468</v>
      </c>
      <c r="F6" s="6">
        <f t="shared" ref="F6:F37" si="14">ROW(D5)-ROW($F$4)</f>
        <v>1</v>
      </c>
      <c r="G6" s="298">
        <v>1</v>
      </c>
      <c r="H6" s="300" t="s">
        <v>419</v>
      </c>
      <c r="I6" s="300" t="s">
        <v>420</v>
      </c>
      <c r="J6" s="302">
        <v>0</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440">
        <v>2.0212791944665698</v>
      </c>
      <c r="BF6" s="287">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83"/>
      <c r="B7" s="284" t="s">
        <v>96</v>
      </c>
      <c r="C7" s="285" t="s">
        <v>184</v>
      </c>
      <c r="D7" s="286" t="s">
        <v>422</v>
      </c>
      <c r="E7" s="390" t="s">
        <v>86</v>
      </c>
      <c r="F7" s="6">
        <f t="shared" si="14"/>
        <v>2</v>
      </c>
      <c r="G7" s="298">
        <v>1</v>
      </c>
      <c r="H7" s="300" t="s">
        <v>371</v>
      </c>
      <c r="I7" s="300" t="s">
        <v>372</v>
      </c>
      <c r="J7" s="303">
        <v>0</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v>
      </c>
      <c r="BC7" s="329">
        <f>BB7</f>
        <v>0</v>
      </c>
      <c r="BD7" s="329">
        <f t="shared" ref="BD7:BE7" si="16">BC7</f>
        <v>0</v>
      </c>
      <c r="BE7" s="440">
        <f t="shared" si="16"/>
        <v>0</v>
      </c>
      <c r="BF7" s="287">
        <v>0</v>
      </c>
      <c r="BG7" s="287">
        <v>0</v>
      </c>
      <c r="BH7" s="287">
        <v>0</v>
      </c>
      <c r="BI7" s="288">
        <v>0</v>
      </c>
      <c r="BJ7" s="287">
        <v>0</v>
      </c>
      <c r="BK7" s="287">
        <v>0</v>
      </c>
      <c r="BL7" s="287">
        <v>0</v>
      </c>
      <c r="BM7" s="288">
        <v>0</v>
      </c>
      <c r="BN7" s="287">
        <v>0</v>
      </c>
      <c r="BO7" s="287">
        <v>0</v>
      </c>
      <c r="BP7" s="287">
        <v>0</v>
      </c>
      <c r="BQ7" s="288">
        <v>0</v>
      </c>
      <c r="BR7" s="434">
        <v>0.10004163570237409</v>
      </c>
      <c r="BS7" s="434">
        <v>0.10004163570237409</v>
      </c>
      <c r="BT7" s="434">
        <v>0.10004163570237409</v>
      </c>
      <c r="BU7" s="435">
        <v>0.10004163570237409</v>
      </c>
      <c r="BV7" s="287">
        <v>20</v>
      </c>
      <c r="BW7" s="287">
        <v>20</v>
      </c>
      <c r="BX7" s="287">
        <v>20</v>
      </c>
      <c r="BY7" s="287">
        <v>20</v>
      </c>
      <c r="BZ7" s="287">
        <v>0</v>
      </c>
      <c r="CA7" s="287">
        <v>0</v>
      </c>
      <c r="CB7" s="287">
        <v>0</v>
      </c>
      <c r="CC7" s="287">
        <v>0</v>
      </c>
    </row>
    <row r="8" spans="1:81" x14ac:dyDescent="0.35">
      <c r="A8" s="483"/>
      <c r="B8" s="284" t="s">
        <v>421</v>
      </c>
      <c r="C8" s="292" t="s">
        <v>119</v>
      </c>
      <c r="D8" s="286" t="s">
        <v>440</v>
      </c>
      <c r="E8" s="390" t="s">
        <v>471</v>
      </c>
      <c r="F8" s="6">
        <f t="shared" si="14"/>
        <v>3</v>
      </c>
      <c r="G8" s="298">
        <v>1</v>
      </c>
      <c r="H8" s="300" t="s">
        <v>373</v>
      </c>
      <c r="I8" s="300" t="s">
        <v>374</v>
      </c>
      <c r="J8" s="303">
        <v>8000000</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13924</v>
      </c>
      <c r="AV8" s="331">
        <v>13924</v>
      </c>
      <c r="AW8" s="331">
        <v>13924</v>
      </c>
      <c r="AX8" s="289">
        <f>AT8*0.05</f>
        <v>696.2</v>
      </c>
      <c r="AY8" s="287">
        <v>696.2</v>
      </c>
      <c r="AZ8" s="287">
        <v>696.2</v>
      </c>
      <c r="BA8" s="287">
        <v>696.2</v>
      </c>
      <c r="BB8" s="291">
        <v>0</v>
      </c>
      <c r="BC8" s="329">
        <v>0</v>
      </c>
      <c r="BD8" s="329">
        <v>0</v>
      </c>
      <c r="BE8" s="440">
        <v>0</v>
      </c>
      <c r="BF8" s="287">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83"/>
      <c r="B9" s="365" t="s">
        <v>97</v>
      </c>
      <c r="C9" s="366" t="s">
        <v>184</v>
      </c>
      <c r="D9" s="367" t="s">
        <v>423</v>
      </c>
      <c r="E9" s="391" t="s">
        <v>468</v>
      </c>
      <c r="F9" s="6">
        <f t="shared" si="14"/>
        <v>4</v>
      </c>
      <c r="G9" s="369">
        <v>1</v>
      </c>
      <c r="H9" s="370" t="s">
        <v>419</v>
      </c>
      <c r="I9" s="370" t="s">
        <v>420</v>
      </c>
      <c r="J9" s="371">
        <f>J6</f>
        <v>0</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441">
        <v>2.1279194466572664E-2</v>
      </c>
      <c r="BF9" s="375">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83"/>
      <c r="B10" s="365" t="s">
        <v>98</v>
      </c>
      <c r="C10" s="385" t="s">
        <v>119</v>
      </c>
      <c r="D10" s="367" t="s">
        <v>441</v>
      </c>
      <c r="E10" s="422" t="s">
        <v>471</v>
      </c>
      <c r="F10" s="6">
        <f t="shared" si="14"/>
        <v>5</v>
      </c>
      <c r="G10" s="369">
        <v>1</v>
      </c>
      <c r="H10" s="370" t="s">
        <v>373</v>
      </c>
      <c r="I10" s="370" t="s">
        <v>374</v>
      </c>
      <c r="J10" s="371">
        <f>J9/R9</f>
        <v>0</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441">
        <v>0</v>
      </c>
      <c r="BF10" s="375">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83"/>
      <c r="B11" s="74" t="s">
        <v>97</v>
      </c>
      <c r="C11" s="75" t="s">
        <v>184</v>
      </c>
      <c r="D11" s="76" t="s">
        <v>425</v>
      </c>
      <c r="E11" s="394" t="s">
        <v>468</v>
      </c>
      <c r="F11" s="6">
        <f t="shared" si="14"/>
        <v>6</v>
      </c>
      <c r="G11" s="299">
        <v>1</v>
      </c>
      <c r="H11" s="301" t="s">
        <v>419</v>
      </c>
      <c r="I11" s="301" t="s">
        <v>420</v>
      </c>
      <c r="J11" s="302">
        <f>J6</f>
        <v>0</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442">
        <v>2.1279194466572664E-2</v>
      </c>
      <c r="BF11" s="293">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83"/>
      <c r="B12" s="74" t="s">
        <v>424</v>
      </c>
      <c r="C12" s="81" t="s">
        <v>119</v>
      </c>
      <c r="D12" s="76" t="s">
        <v>439</v>
      </c>
      <c r="E12" s="430" t="s">
        <v>471</v>
      </c>
      <c r="F12" s="6">
        <f t="shared" si="14"/>
        <v>7</v>
      </c>
      <c r="G12" s="299">
        <v>1</v>
      </c>
      <c r="H12" s="301" t="s">
        <v>427</v>
      </c>
      <c r="I12" s="301" t="s">
        <v>428</v>
      </c>
      <c r="J12" s="305">
        <f>J11/R11</f>
        <v>0</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442">
        <v>0.64</v>
      </c>
      <c r="BF12" s="293">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30</v>
      </c>
      <c r="BW12" s="293">
        <v>30</v>
      </c>
      <c r="BX12" s="293">
        <v>30</v>
      </c>
      <c r="BY12" s="293">
        <v>30</v>
      </c>
      <c r="BZ12" s="293">
        <v>0</v>
      </c>
      <c r="CA12" s="293">
        <v>0</v>
      </c>
      <c r="CB12" s="293">
        <v>0</v>
      </c>
      <c r="CC12" s="293">
        <v>0</v>
      </c>
    </row>
    <row r="13" spans="1:81" s="68" customFormat="1" ht="14.5" customHeight="1" x14ac:dyDescent="0.35">
      <c r="A13" s="483"/>
      <c r="B13" s="65" t="s">
        <v>97</v>
      </c>
      <c r="C13" s="66" t="s">
        <v>184</v>
      </c>
      <c r="D13" s="67" t="s">
        <v>50</v>
      </c>
      <c r="E13" s="395" t="s">
        <v>462</v>
      </c>
      <c r="F13" s="6">
        <f t="shared" si="14"/>
        <v>8</v>
      </c>
      <c r="G13" s="101">
        <v>1</v>
      </c>
      <c r="H13" s="113" t="s">
        <v>371</v>
      </c>
      <c r="I13" s="113" t="s">
        <v>372</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443">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83"/>
      <c r="B14" s="65" t="s">
        <v>97</v>
      </c>
      <c r="C14" s="66" t="s">
        <v>184</v>
      </c>
      <c r="D14" s="67" t="s">
        <v>61</v>
      </c>
      <c r="E14" s="395" t="s">
        <v>475</v>
      </c>
      <c r="F14" s="6">
        <f t="shared" si="14"/>
        <v>9</v>
      </c>
      <c r="G14" s="101">
        <v>1</v>
      </c>
      <c r="H14" s="113" t="s">
        <v>371</v>
      </c>
      <c r="I14" s="113" t="s">
        <v>372</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444">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83"/>
      <c r="B15" s="65" t="s">
        <v>426</v>
      </c>
      <c r="C15" s="73" t="s">
        <v>119</v>
      </c>
      <c r="D15" s="67" t="s">
        <v>442</v>
      </c>
      <c r="E15" s="395" t="s">
        <v>471</v>
      </c>
      <c r="F15" s="6">
        <f t="shared" si="14"/>
        <v>10</v>
      </c>
      <c r="G15" s="101">
        <v>1</v>
      </c>
      <c r="H15" s="113" t="s">
        <v>373</v>
      </c>
      <c r="I15" s="113" t="s">
        <v>374</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444">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83"/>
      <c r="B16" s="42" t="s">
        <v>97</v>
      </c>
      <c r="C16" s="43" t="s">
        <v>184</v>
      </c>
      <c r="D16" s="44" t="s">
        <v>296</v>
      </c>
      <c r="E16" s="396" t="s">
        <v>474</v>
      </c>
      <c r="F16" s="6">
        <f t="shared" si="14"/>
        <v>11</v>
      </c>
      <c r="G16" s="102">
        <v>1</v>
      </c>
      <c r="H16" s="114" t="s">
        <v>395</v>
      </c>
      <c r="I16" s="114" t="s">
        <v>396</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44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83"/>
      <c r="B17" s="42" t="s">
        <v>429</v>
      </c>
      <c r="C17" s="43" t="s">
        <v>119</v>
      </c>
      <c r="D17" s="44" t="s">
        <v>295</v>
      </c>
      <c r="E17" s="396" t="s">
        <v>471</v>
      </c>
      <c r="F17" s="6">
        <f t="shared" si="14"/>
        <v>12</v>
      </c>
      <c r="G17" s="102">
        <v>1</v>
      </c>
      <c r="H17" s="114" t="s">
        <v>373</v>
      </c>
      <c r="I17" s="114" t="s">
        <v>374</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44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83"/>
      <c r="B18" s="54" t="s">
        <v>97</v>
      </c>
      <c r="C18" s="55" t="s">
        <v>285</v>
      </c>
      <c r="D18" s="56" t="s">
        <v>297</v>
      </c>
      <c r="E18" s="397" t="s">
        <v>86</v>
      </c>
      <c r="F18" s="6">
        <f t="shared" si="14"/>
        <v>13</v>
      </c>
      <c r="G18" s="103">
        <v>1</v>
      </c>
      <c r="H18" s="115" t="s">
        <v>379</v>
      </c>
      <c r="I18" s="115" t="s">
        <v>380</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446">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83"/>
      <c r="B19" s="54" t="s">
        <v>97</v>
      </c>
      <c r="C19" s="61" t="s">
        <v>184</v>
      </c>
      <c r="D19" s="56" t="s">
        <v>302</v>
      </c>
      <c r="E19" s="397" t="s">
        <v>474</v>
      </c>
      <c r="F19" s="6">
        <f t="shared" si="14"/>
        <v>14</v>
      </c>
      <c r="G19" s="103">
        <v>1</v>
      </c>
      <c r="H19" s="115" t="s">
        <v>397</v>
      </c>
      <c r="I19" s="115" t="s">
        <v>400</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446">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83"/>
      <c r="B20" s="54" t="s">
        <v>430</v>
      </c>
      <c r="C20" s="61" t="s">
        <v>184</v>
      </c>
      <c r="D20" s="56" t="s">
        <v>298</v>
      </c>
      <c r="E20" s="423" t="s">
        <v>470</v>
      </c>
      <c r="F20" s="6">
        <f t="shared" si="14"/>
        <v>15</v>
      </c>
      <c r="G20" s="103">
        <v>1</v>
      </c>
      <c r="H20" s="115" t="s">
        <v>395</v>
      </c>
      <c r="I20" s="115" t="s">
        <v>396</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446">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83"/>
      <c r="B21" s="54" t="s">
        <v>431</v>
      </c>
      <c r="C21" s="55" t="s">
        <v>119</v>
      </c>
      <c r="D21" s="56" t="s">
        <v>301</v>
      </c>
      <c r="E21" s="431" t="s">
        <v>471</v>
      </c>
      <c r="F21" s="6">
        <f t="shared" si="14"/>
        <v>16</v>
      </c>
      <c r="G21" s="103">
        <v>1</v>
      </c>
      <c r="H21" s="115" t="s">
        <v>398</v>
      </c>
      <c r="I21" s="115" t="s">
        <v>399</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446">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83"/>
      <c r="B22" s="74" t="s">
        <v>97</v>
      </c>
      <c r="C22" s="81" t="s">
        <v>285</v>
      </c>
      <c r="D22" s="76" t="s">
        <v>358</v>
      </c>
      <c r="E22" s="394" t="s">
        <v>86</v>
      </c>
      <c r="F22" s="6">
        <f t="shared" si="14"/>
        <v>17</v>
      </c>
      <c r="G22" s="104">
        <v>1</v>
      </c>
      <c r="H22" s="116" t="s">
        <v>379</v>
      </c>
      <c r="I22" s="116" t="s">
        <v>380</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447">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83"/>
      <c r="B23" s="74" t="s">
        <v>97</v>
      </c>
      <c r="C23" s="75" t="s">
        <v>184</v>
      </c>
      <c r="D23" s="76" t="s">
        <v>288</v>
      </c>
      <c r="E23" s="394" t="s">
        <v>474</v>
      </c>
      <c r="F23" s="6">
        <f t="shared" si="14"/>
        <v>18</v>
      </c>
      <c r="G23" s="104">
        <v>1</v>
      </c>
      <c r="H23" s="116" t="s">
        <v>375</v>
      </c>
      <c r="I23" s="116" t="s">
        <v>376</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447">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83"/>
      <c r="B24" s="74" t="s">
        <v>97</v>
      </c>
      <c r="C24" s="75" t="s">
        <v>184</v>
      </c>
      <c r="D24" s="76" t="s">
        <v>287</v>
      </c>
      <c r="E24" s="394" t="s">
        <v>474</v>
      </c>
      <c r="F24" s="6">
        <f t="shared" si="14"/>
        <v>19</v>
      </c>
      <c r="G24" s="104">
        <v>1</v>
      </c>
      <c r="H24" s="116" t="s">
        <v>375</v>
      </c>
      <c r="I24" s="116" t="s">
        <v>376</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447">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83"/>
      <c r="B25" s="74" t="s">
        <v>97</v>
      </c>
      <c r="C25" s="75" t="s">
        <v>184</v>
      </c>
      <c r="D25" s="76" t="s">
        <v>290</v>
      </c>
      <c r="E25" s="394" t="s">
        <v>474</v>
      </c>
      <c r="F25" s="6">
        <f t="shared" si="14"/>
        <v>20</v>
      </c>
      <c r="G25" s="104">
        <v>1</v>
      </c>
      <c r="H25" s="116" t="s">
        <v>377</v>
      </c>
      <c r="I25" s="116" t="s">
        <v>378</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447">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83"/>
      <c r="B26" s="74" t="s">
        <v>97</v>
      </c>
      <c r="C26" s="75" t="s">
        <v>184</v>
      </c>
      <c r="D26" s="76" t="s">
        <v>289</v>
      </c>
      <c r="E26" s="394" t="s">
        <v>474</v>
      </c>
      <c r="F26" s="6">
        <f t="shared" si="14"/>
        <v>21</v>
      </c>
      <c r="G26" s="104">
        <v>1</v>
      </c>
      <c r="H26" s="116" t="s">
        <v>377</v>
      </c>
      <c r="I26" s="116" t="s">
        <v>378</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447">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83"/>
      <c r="B27" s="74" t="s">
        <v>432</v>
      </c>
      <c r="C27" s="81" t="s">
        <v>119</v>
      </c>
      <c r="D27" s="76" t="s">
        <v>359</v>
      </c>
      <c r="E27" s="394" t="s">
        <v>471</v>
      </c>
      <c r="F27" s="6">
        <f t="shared" si="14"/>
        <v>22</v>
      </c>
      <c r="G27" s="104">
        <v>1</v>
      </c>
      <c r="H27" s="116" t="s">
        <v>381</v>
      </c>
      <c r="I27" s="116" t="s">
        <v>382</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447">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83"/>
      <c r="B28" s="74" t="s">
        <v>432</v>
      </c>
      <c r="C28" s="81" t="s">
        <v>119</v>
      </c>
      <c r="D28" s="76" t="s">
        <v>360</v>
      </c>
      <c r="E28" s="394" t="s">
        <v>471</v>
      </c>
      <c r="F28" s="6">
        <f t="shared" si="14"/>
        <v>23</v>
      </c>
      <c r="G28" s="104">
        <v>1</v>
      </c>
      <c r="H28" s="116" t="s">
        <v>381</v>
      </c>
      <c r="I28" s="116" t="s">
        <v>382</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447">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83"/>
      <c r="B29" s="74" t="s">
        <v>432</v>
      </c>
      <c r="C29" s="81" t="s">
        <v>119</v>
      </c>
      <c r="D29" s="76" t="s">
        <v>361</v>
      </c>
      <c r="E29" s="394" t="s">
        <v>471</v>
      </c>
      <c r="F29" s="6">
        <f t="shared" si="14"/>
        <v>24</v>
      </c>
      <c r="G29" s="104">
        <v>1</v>
      </c>
      <c r="H29" s="116" t="s">
        <v>381</v>
      </c>
      <c r="I29" s="116" t="s">
        <v>382</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447">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83"/>
      <c r="B30" s="74" t="s">
        <v>432</v>
      </c>
      <c r="C30" s="81" t="s">
        <v>119</v>
      </c>
      <c r="D30" s="76" t="s">
        <v>362</v>
      </c>
      <c r="E30" s="394" t="s">
        <v>471</v>
      </c>
      <c r="F30" s="6">
        <f t="shared" si="14"/>
        <v>25</v>
      </c>
      <c r="G30" s="104">
        <v>1</v>
      </c>
      <c r="H30" s="116" t="s">
        <v>381</v>
      </c>
      <c r="I30" s="116" t="s">
        <v>382</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447">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83"/>
      <c r="B31" s="82" t="s">
        <v>97</v>
      </c>
      <c r="C31" s="83" t="s">
        <v>119</v>
      </c>
      <c r="D31" s="84" t="s">
        <v>363</v>
      </c>
      <c r="E31" s="398" t="s">
        <v>469</v>
      </c>
      <c r="F31" s="6">
        <f t="shared" si="14"/>
        <v>26</v>
      </c>
      <c r="G31" s="105">
        <v>1</v>
      </c>
      <c r="H31" s="117" t="s">
        <v>383</v>
      </c>
      <c r="I31" s="117" t="s">
        <v>384</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448">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83"/>
      <c r="B32" s="82" t="s">
        <v>97</v>
      </c>
      <c r="C32" s="83" t="s">
        <v>119</v>
      </c>
      <c r="D32" s="84" t="s">
        <v>364</v>
      </c>
      <c r="E32" s="398" t="s">
        <v>469</v>
      </c>
      <c r="F32" s="6">
        <f t="shared" si="14"/>
        <v>27</v>
      </c>
      <c r="G32" s="105">
        <v>1</v>
      </c>
      <c r="H32" s="117" t="s">
        <v>383</v>
      </c>
      <c r="I32" s="117" t="s">
        <v>384</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448">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83"/>
      <c r="B33" s="90" t="s">
        <v>97</v>
      </c>
      <c r="C33" s="64" t="s">
        <v>119</v>
      </c>
      <c r="D33" s="91" t="s">
        <v>174</v>
      </c>
      <c r="E33" s="399" t="s">
        <v>86</v>
      </c>
      <c r="F33" s="6">
        <f t="shared" si="14"/>
        <v>28</v>
      </c>
      <c r="G33" s="106">
        <v>1</v>
      </c>
      <c r="H33" s="118" t="s">
        <v>385</v>
      </c>
      <c r="I33" s="118" t="s">
        <v>386</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449">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83"/>
      <c r="B34" s="172" t="s">
        <v>433</v>
      </c>
      <c r="C34" s="64" t="s">
        <v>184</v>
      </c>
      <c r="D34" s="173" t="s">
        <v>300</v>
      </c>
      <c r="E34" s="400" t="s">
        <v>86</v>
      </c>
      <c r="F34" s="6">
        <f t="shared" si="14"/>
        <v>29</v>
      </c>
      <c r="G34" s="174">
        <v>1</v>
      </c>
      <c r="H34" s="175" t="s">
        <v>385</v>
      </c>
      <c r="I34" s="175" t="s">
        <v>386</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450">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83"/>
      <c r="B35" s="216" t="s">
        <v>282</v>
      </c>
      <c r="C35" s="217" t="s">
        <v>13</v>
      </c>
      <c r="D35" s="218" t="s">
        <v>166</v>
      </c>
      <c r="E35" s="424" t="s">
        <v>472</v>
      </c>
      <c r="F35" s="6">
        <f t="shared" si="14"/>
        <v>30</v>
      </c>
      <c r="G35" s="219">
        <v>1</v>
      </c>
      <c r="H35" s="220" t="s">
        <v>385</v>
      </c>
      <c r="I35" s="220" t="s">
        <v>386</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45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83"/>
      <c r="B36" s="216" t="s">
        <v>282</v>
      </c>
      <c r="C36" s="217" t="s">
        <v>13</v>
      </c>
      <c r="D36" s="218" t="s">
        <v>365</v>
      </c>
      <c r="E36" s="429" t="s">
        <v>472</v>
      </c>
      <c r="F36" s="6">
        <f t="shared" si="14"/>
        <v>31</v>
      </c>
      <c r="G36" s="219">
        <v>1</v>
      </c>
      <c r="H36" s="220" t="s">
        <v>385</v>
      </c>
      <c r="I36" s="220" t="s">
        <v>386</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45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83"/>
      <c r="B37" s="216" t="s">
        <v>282</v>
      </c>
      <c r="C37" s="217" t="s">
        <v>13</v>
      </c>
      <c r="D37" s="218" t="s">
        <v>366</v>
      </c>
      <c r="E37" s="429" t="s">
        <v>472</v>
      </c>
      <c r="F37" s="6">
        <f t="shared" si="14"/>
        <v>32</v>
      </c>
      <c r="G37" s="219">
        <v>1</v>
      </c>
      <c r="H37" s="220" t="s">
        <v>385</v>
      </c>
      <c r="I37" s="220" t="s">
        <v>386</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45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83"/>
      <c r="B38" s="216" t="s">
        <v>282</v>
      </c>
      <c r="C38" s="217" t="s">
        <v>13</v>
      </c>
      <c r="D38" s="218" t="s">
        <v>367</v>
      </c>
      <c r="E38" s="424" t="s">
        <v>472</v>
      </c>
      <c r="F38" s="6">
        <f t="shared" ref="F38:F69" si="58">ROW(D37)-ROW($F$4)</f>
        <v>33</v>
      </c>
      <c r="G38" s="219">
        <v>1</v>
      </c>
      <c r="H38" s="220" t="s">
        <v>385</v>
      </c>
      <c r="I38" s="220" t="s">
        <v>386</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452">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83"/>
      <c r="B39" s="216" t="s">
        <v>282</v>
      </c>
      <c r="C39" s="217" t="s">
        <v>13</v>
      </c>
      <c r="D39" s="218" t="s">
        <v>368</v>
      </c>
      <c r="E39" s="424" t="s">
        <v>472</v>
      </c>
      <c r="F39" s="6">
        <f t="shared" si="58"/>
        <v>34</v>
      </c>
      <c r="G39" s="219">
        <v>1</v>
      </c>
      <c r="H39" s="220" t="s">
        <v>385</v>
      </c>
      <c r="I39" s="220" t="s">
        <v>386</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452">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83"/>
      <c r="B40" s="216" t="s">
        <v>97</v>
      </c>
      <c r="C40" s="217" t="s">
        <v>92</v>
      </c>
      <c r="D40" s="218" t="s">
        <v>28</v>
      </c>
      <c r="E40" s="401" t="s">
        <v>86</v>
      </c>
      <c r="F40" s="6">
        <f t="shared" si="58"/>
        <v>35</v>
      </c>
      <c r="G40" s="219">
        <v>1</v>
      </c>
      <c r="H40" s="220" t="s">
        <v>391</v>
      </c>
      <c r="I40" s="220" t="s">
        <v>392</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45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83"/>
      <c r="B41" s="193" t="s">
        <v>280</v>
      </c>
      <c r="C41" s="194" t="s">
        <v>184</v>
      </c>
      <c r="D41" s="195" t="s">
        <v>25</v>
      </c>
      <c r="E41" s="402" t="s">
        <v>473</v>
      </c>
      <c r="F41" s="6">
        <f t="shared" si="58"/>
        <v>36</v>
      </c>
      <c r="G41" s="196">
        <v>1</v>
      </c>
      <c r="H41" s="197" t="s">
        <v>387</v>
      </c>
      <c r="I41" s="197" t="s">
        <v>388</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453">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83"/>
      <c r="B42" s="193" t="str">
        <f>B41</f>
        <v>Reactant11</v>
      </c>
      <c r="C42" s="194" t="s">
        <v>184</v>
      </c>
      <c r="D42" s="195" t="s">
        <v>164</v>
      </c>
      <c r="E42" s="432" t="s">
        <v>86</v>
      </c>
      <c r="F42" s="6">
        <f t="shared" si="58"/>
        <v>37</v>
      </c>
      <c r="G42" s="196">
        <v>1</v>
      </c>
      <c r="H42" s="197" t="s">
        <v>387</v>
      </c>
      <c r="I42" s="197" t="s">
        <v>388</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453">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83"/>
      <c r="B43" s="193" t="str">
        <f>B41</f>
        <v>Reactant11</v>
      </c>
      <c r="C43" s="194" t="s">
        <v>184</v>
      </c>
      <c r="D43" s="195" t="s">
        <v>165</v>
      </c>
      <c r="E43" s="432" t="s">
        <v>86</v>
      </c>
      <c r="F43" s="6">
        <f t="shared" si="58"/>
        <v>38</v>
      </c>
      <c r="G43" s="196">
        <v>1</v>
      </c>
      <c r="H43" s="197" t="s">
        <v>387</v>
      </c>
      <c r="I43" s="197" t="s">
        <v>388</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453">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83"/>
      <c r="B44" s="74" t="s">
        <v>19</v>
      </c>
      <c r="C44" s="81" t="s">
        <v>21</v>
      </c>
      <c r="D44" s="76" t="s">
        <v>26</v>
      </c>
      <c r="E44" s="394" t="s">
        <v>86</v>
      </c>
      <c r="F44" s="6">
        <f t="shared" si="58"/>
        <v>39</v>
      </c>
      <c r="G44" s="104">
        <v>1</v>
      </c>
      <c r="H44" s="116" t="s">
        <v>389</v>
      </c>
      <c r="I44" s="116" t="s">
        <v>390</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454">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83"/>
      <c r="B45" s="74" t="s">
        <v>20</v>
      </c>
      <c r="C45" s="81" t="s">
        <v>22</v>
      </c>
      <c r="D45" s="76" t="s">
        <v>27</v>
      </c>
      <c r="E45" s="394" t="s">
        <v>86</v>
      </c>
      <c r="F45" s="6">
        <f t="shared" si="58"/>
        <v>40</v>
      </c>
      <c r="G45" s="104">
        <v>1</v>
      </c>
      <c r="H45" s="116" t="s">
        <v>389</v>
      </c>
      <c r="I45" s="116" t="s">
        <v>390</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454">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83"/>
      <c r="B46" s="77" t="s">
        <v>184</v>
      </c>
      <c r="C46" s="81" t="s">
        <v>286</v>
      </c>
      <c r="D46" s="76" t="s">
        <v>281</v>
      </c>
      <c r="E46" s="394" t="s">
        <v>86</v>
      </c>
      <c r="F46" s="6">
        <f t="shared" si="58"/>
        <v>41</v>
      </c>
      <c r="G46" s="104">
        <v>1</v>
      </c>
      <c r="H46" s="116" t="s">
        <v>389</v>
      </c>
      <c r="I46" s="116" t="s">
        <v>390</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454">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83"/>
      <c r="B47" s="82" t="s">
        <v>14</v>
      </c>
      <c r="C47" s="240" t="s">
        <v>184</v>
      </c>
      <c r="D47" s="84" t="s">
        <v>29</v>
      </c>
      <c r="E47" s="398" t="s">
        <v>86</v>
      </c>
      <c r="F47" s="6">
        <f t="shared" si="58"/>
        <v>42</v>
      </c>
      <c r="G47" s="105">
        <v>1</v>
      </c>
      <c r="H47" s="117" t="s">
        <v>385</v>
      </c>
      <c r="I47" s="117" t="s">
        <v>386</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448">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83"/>
      <c r="B48" s="82" t="s">
        <v>15</v>
      </c>
      <c r="C48" s="240" t="s">
        <v>184</v>
      </c>
      <c r="D48" s="84" t="s">
        <v>30</v>
      </c>
      <c r="E48" s="398" t="s">
        <v>86</v>
      </c>
      <c r="F48" s="6">
        <f t="shared" si="58"/>
        <v>43</v>
      </c>
      <c r="G48" s="105">
        <v>1</v>
      </c>
      <c r="H48" s="117" t="s">
        <v>385</v>
      </c>
      <c r="I48" s="117" t="s">
        <v>386</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448">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83"/>
      <c r="B49" s="82" t="s">
        <v>16</v>
      </c>
      <c r="C49" s="240" t="s">
        <v>184</v>
      </c>
      <c r="D49" s="244" t="s">
        <v>31</v>
      </c>
      <c r="E49" s="425" t="s">
        <v>461</v>
      </c>
      <c r="F49" s="6">
        <f t="shared" si="58"/>
        <v>44</v>
      </c>
      <c r="G49" s="105">
        <v>1</v>
      </c>
      <c r="H49" s="117" t="s">
        <v>386</v>
      </c>
      <c r="I49" s="117" t="s">
        <v>386</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448">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83"/>
      <c r="B50" s="42" t="s">
        <v>14</v>
      </c>
      <c r="C50" s="245" t="s">
        <v>184</v>
      </c>
      <c r="D50" s="246" t="s">
        <v>111</v>
      </c>
      <c r="E50" s="396" t="s">
        <v>86</v>
      </c>
      <c r="F50" s="6">
        <f t="shared" si="58"/>
        <v>45</v>
      </c>
      <c r="G50" s="102">
        <v>1</v>
      </c>
      <c r="H50" s="114" t="s">
        <v>385</v>
      </c>
      <c r="I50" s="114" t="s">
        <v>386</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455">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83"/>
      <c r="B51" s="42" t="s">
        <v>15</v>
      </c>
      <c r="C51" s="245" t="s">
        <v>184</v>
      </c>
      <c r="D51" s="246" t="s">
        <v>112</v>
      </c>
      <c r="E51" s="396" t="s">
        <v>86</v>
      </c>
      <c r="F51" s="6">
        <f t="shared" si="58"/>
        <v>46</v>
      </c>
      <c r="G51" s="102">
        <v>1</v>
      </c>
      <c r="H51" s="114" t="s">
        <v>385</v>
      </c>
      <c r="I51" s="114" t="s">
        <v>386</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455">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86"/>
      <c r="B52" s="42" t="s">
        <v>16</v>
      </c>
      <c r="C52" s="245" t="s">
        <v>184</v>
      </c>
      <c r="D52" s="246" t="s">
        <v>113</v>
      </c>
      <c r="E52" s="426" t="s">
        <v>461</v>
      </c>
      <c r="F52" s="6">
        <f t="shared" si="58"/>
        <v>47</v>
      </c>
      <c r="G52" s="102">
        <v>1</v>
      </c>
      <c r="H52" s="114" t="s">
        <v>386</v>
      </c>
      <c r="I52" s="114" t="s">
        <v>386</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455">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83" t="s">
        <v>17</v>
      </c>
      <c r="B53" s="334" t="s">
        <v>39</v>
      </c>
      <c r="C53" s="335" t="s">
        <v>184</v>
      </c>
      <c r="D53" s="336" t="s">
        <v>36</v>
      </c>
      <c r="E53" s="427" t="s">
        <v>465</v>
      </c>
      <c r="F53" s="6">
        <f t="shared" si="58"/>
        <v>48</v>
      </c>
      <c r="G53" s="337">
        <v>1</v>
      </c>
      <c r="H53" s="338" t="s">
        <v>393</v>
      </c>
      <c r="I53" s="338" t="s">
        <v>394</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456">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83"/>
      <c r="B54" s="247" t="s">
        <v>38</v>
      </c>
      <c r="C54" s="233" t="s">
        <v>184</v>
      </c>
      <c r="D54" s="248" t="s">
        <v>37</v>
      </c>
      <c r="E54" s="424" t="s">
        <v>465</v>
      </c>
      <c r="F54" s="6">
        <f t="shared" si="58"/>
        <v>49</v>
      </c>
      <c r="G54" s="219">
        <v>1</v>
      </c>
      <c r="H54" s="220" t="s">
        <v>393</v>
      </c>
      <c r="I54" s="220" t="s">
        <v>394</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45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83"/>
      <c r="B55" s="249" t="str">
        <f t="shared" ref="B55:B66" si="99">CONCATENATE("RPU_"&amp;D55)</f>
        <v>RPU_ON_SP198-HH100</v>
      </c>
      <c r="C55" s="64" t="s">
        <v>184</v>
      </c>
      <c r="D55" s="173" t="s">
        <v>114</v>
      </c>
      <c r="E55" s="399" t="s">
        <v>466</v>
      </c>
      <c r="F55" s="6">
        <f t="shared" si="58"/>
        <v>50</v>
      </c>
      <c r="G55" s="174">
        <v>1</v>
      </c>
      <c r="H55" s="175" t="s">
        <v>393</v>
      </c>
      <c r="I55" s="175" t="s">
        <v>394</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457">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83"/>
      <c r="B56" s="249" t="str">
        <f t="shared" si="99"/>
        <v>RPU_ON_SP198-HH150</v>
      </c>
      <c r="C56" s="64" t="s">
        <v>184</v>
      </c>
      <c r="D56" s="173" t="s">
        <v>40</v>
      </c>
      <c r="E56" s="399" t="s">
        <v>466</v>
      </c>
      <c r="F56" s="6">
        <f t="shared" si="58"/>
        <v>51</v>
      </c>
      <c r="G56" s="174">
        <v>1</v>
      </c>
      <c r="H56" s="175" t="s">
        <v>393</v>
      </c>
      <c r="I56" s="175" t="s">
        <v>394</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457">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83"/>
      <c r="B57" s="249" t="str">
        <f t="shared" si="99"/>
        <v>RPU_ON_SP237-HH100</v>
      </c>
      <c r="C57" s="64" t="s">
        <v>184</v>
      </c>
      <c r="D57" s="173" t="s">
        <v>41</v>
      </c>
      <c r="E57" s="399" t="s">
        <v>466</v>
      </c>
      <c r="F57" s="6">
        <f t="shared" si="58"/>
        <v>52</v>
      </c>
      <c r="G57" s="174">
        <v>1</v>
      </c>
      <c r="H57" s="175" t="s">
        <v>393</v>
      </c>
      <c r="I57" s="175" t="s">
        <v>394</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457">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83"/>
      <c r="B58" s="249" t="str">
        <f t="shared" si="99"/>
        <v>RPU_ON_SP237-HH150</v>
      </c>
      <c r="C58" s="64" t="s">
        <v>184</v>
      </c>
      <c r="D58" s="173" t="s">
        <v>42</v>
      </c>
      <c r="E58" s="399" t="s">
        <v>466</v>
      </c>
      <c r="F58" s="6">
        <f t="shared" si="58"/>
        <v>53</v>
      </c>
      <c r="G58" s="174">
        <v>1</v>
      </c>
      <c r="H58" s="175" t="s">
        <v>393</v>
      </c>
      <c r="I58" s="175" t="s">
        <v>394</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457">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83"/>
      <c r="B59" s="249" t="str">
        <f t="shared" si="99"/>
        <v>RPU_ON_SP277-HH100</v>
      </c>
      <c r="C59" s="64" t="s">
        <v>184</v>
      </c>
      <c r="D59" s="173" t="s">
        <v>43</v>
      </c>
      <c r="E59" s="399" t="s">
        <v>466</v>
      </c>
      <c r="F59" s="6">
        <f t="shared" si="58"/>
        <v>54</v>
      </c>
      <c r="G59" s="174">
        <v>1</v>
      </c>
      <c r="H59" s="175" t="s">
        <v>393</v>
      </c>
      <c r="I59" s="175" t="s">
        <v>394</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457">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83"/>
      <c r="B60" s="249" t="str">
        <f t="shared" si="99"/>
        <v>RPU_ON_SP277-HH150</v>
      </c>
      <c r="C60" s="64" t="s">
        <v>184</v>
      </c>
      <c r="D60" s="173" t="s">
        <v>44</v>
      </c>
      <c r="E60" s="399" t="s">
        <v>466</v>
      </c>
      <c r="F60" s="6">
        <f t="shared" si="58"/>
        <v>55</v>
      </c>
      <c r="G60" s="174">
        <v>1</v>
      </c>
      <c r="H60" s="175" t="s">
        <v>393</v>
      </c>
      <c r="I60" s="175" t="s">
        <v>394</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457">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83"/>
      <c r="B61" s="249" t="str">
        <f t="shared" si="99"/>
        <v>RPU_ON_SP321-HH100</v>
      </c>
      <c r="C61" s="64" t="s">
        <v>184</v>
      </c>
      <c r="D61" s="173" t="s">
        <v>45</v>
      </c>
      <c r="E61" s="399" t="s">
        <v>466</v>
      </c>
      <c r="F61" s="6">
        <f t="shared" si="58"/>
        <v>56</v>
      </c>
      <c r="G61" s="174">
        <v>1</v>
      </c>
      <c r="H61" s="175" t="s">
        <v>393</v>
      </c>
      <c r="I61" s="175" t="s">
        <v>394</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457">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83"/>
      <c r="B62" s="249" t="str">
        <f t="shared" si="99"/>
        <v>RPU_ON_SP321-HH150</v>
      </c>
      <c r="C62" s="64" t="s">
        <v>184</v>
      </c>
      <c r="D62" s="173" t="s">
        <v>46</v>
      </c>
      <c r="E62" s="399" t="s">
        <v>466</v>
      </c>
      <c r="F62" s="6">
        <f t="shared" si="58"/>
        <v>57</v>
      </c>
      <c r="G62" s="174">
        <v>1</v>
      </c>
      <c r="H62" s="175" t="s">
        <v>393</v>
      </c>
      <c r="I62" s="175" t="s">
        <v>394</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457">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83"/>
      <c r="B63" s="251" t="str">
        <f t="shared" si="99"/>
        <v>RPU_OFF_SP379-HH100</v>
      </c>
      <c r="C63" s="183" t="s">
        <v>184</v>
      </c>
      <c r="D63" s="184" t="s">
        <v>47</v>
      </c>
      <c r="E63" s="428" t="s">
        <v>467</v>
      </c>
      <c r="F63" s="6">
        <f t="shared" si="58"/>
        <v>58</v>
      </c>
      <c r="G63" s="185">
        <v>1</v>
      </c>
      <c r="H63" s="252" t="s">
        <v>393</v>
      </c>
      <c r="I63" s="252" t="s">
        <v>394</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458">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83"/>
      <c r="B64" s="251" t="str">
        <f t="shared" si="99"/>
        <v>RPU_OFF_SP379-HH150</v>
      </c>
      <c r="C64" s="183" t="s">
        <v>184</v>
      </c>
      <c r="D64" s="184" t="s">
        <v>48</v>
      </c>
      <c r="E64" s="428" t="s">
        <v>467</v>
      </c>
      <c r="F64" s="6">
        <f t="shared" si="58"/>
        <v>59</v>
      </c>
      <c r="G64" s="185">
        <v>1</v>
      </c>
      <c r="H64" s="252" t="s">
        <v>393</v>
      </c>
      <c r="I64" s="252" t="s">
        <v>394</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458">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83"/>
      <c r="B65" s="251" t="str">
        <f t="shared" si="99"/>
        <v>RPU_OFF_SP450-HH100</v>
      </c>
      <c r="C65" s="183" t="s">
        <v>184</v>
      </c>
      <c r="D65" s="184" t="s">
        <v>49</v>
      </c>
      <c r="E65" s="428" t="s">
        <v>467</v>
      </c>
      <c r="F65" s="6">
        <f t="shared" si="58"/>
        <v>60</v>
      </c>
      <c r="G65" s="185">
        <v>1</v>
      </c>
      <c r="H65" s="252" t="s">
        <v>393</v>
      </c>
      <c r="I65" s="252" t="s">
        <v>394</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458">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83"/>
      <c r="B66" s="251" t="str">
        <f t="shared" si="99"/>
        <v>RPU_OFF_SP450-HH150</v>
      </c>
      <c r="C66" s="183" t="s">
        <v>184</v>
      </c>
      <c r="D66" s="184" t="s">
        <v>115</v>
      </c>
      <c r="E66" s="428" t="s">
        <v>467</v>
      </c>
      <c r="F66" s="6">
        <f t="shared" si="58"/>
        <v>61</v>
      </c>
      <c r="G66" s="185">
        <v>1</v>
      </c>
      <c r="H66" s="252" t="s">
        <v>393</v>
      </c>
      <c r="I66" s="252" t="s">
        <v>394</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458">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83"/>
      <c r="B67" s="255" t="s">
        <v>327</v>
      </c>
      <c r="C67" s="75" t="s">
        <v>184</v>
      </c>
      <c r="D67" s="256" t="s">
        <v>328</v>
      </c>
      <c r="E67" s="430" t="s">
        <v>86</v>
      </c>
      <c r="F67" s="6">
        <f t="shared" si="58"/>
        <v>62</v>
      </c>
      <c r="G67" s="104">
        <v>1</v>
      </c>
      <c r="H67" s="116" t="s">
        <v>393</v>
      </c>
      <c r="I67" s="116" t="s">
        <v>394</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447">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83"/>
      <c r="B68" s="255" t="s">
        <v>329</v>
      </c>
      <c r="C68" s="75" t="s">
        <v>184</v>
      </c>
      <c r="D68" s="256" t="s">
        <v>330</v>
      </c>
      <c r="E68" s="430" t="s">
        <v>86</v>
      </c>
      <c r="F68" s="6">
        <f t="shared" si="58"/>
        <v>63</v>
      </c>
      <c r="G68" s="104">
        <v>1</v>
      </c>
      <c r="H68" s="116" t="s">
        <v>393</v>
      </c>
      <c r="I68" s="116" t="s">
        <v>394</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447">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83"/>
      <c r="B69" s="255" t="s">
        <v>331</v>
      </c>
      <c r="C69" s="75" t="s">
        <v>184</v>
      </c>
      <c r="D69" s="256" t="s">
        <v>332</v>
      </c>
      <c r="E69" s="430" t="s">
        <v>86</v>
      </c>
      <c r="F69" s="6">
        <f t="shared" si="58"/>
        <v>64</v>
      </c>
      <c r="G69" s="104">
        <v>1</v>
      </c>
      <c r="H69" s="116" t="s">
        <v>393</v>
      </c>
      <c r="I69" s="116" t="s">
        <v>394</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447">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83"/>
      <c r="B70" s="255" t="s">
        <v>333</v>
      </c>
      <c r="C70" s="75" t="s">
        <v>184</v>
      </c>
      <c r="D70" s="256" t="s">
        <v>334</v>
      </c>
      <c r="E70" s="430" t="s">
        <v>86</v>
      </c>
      <c r="F70" s="6">
        <f t="shared" ref="F70:F82" si="122">ROW(D69)-ROW($F$4)</f>
        <v>65</v>
      </c>
      <c r="G70" s="104">
        <v>1</v>
      </c>
      <c r="H70" s="116" t="s">
        <v>393</v>
      </c>
      <c r="I70" s="116" t="s">
        <v>394</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447">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83"/>
      <c r="B71" s="258" t="s">
        <v>14</v>
      </c>
      <c r="C71" s="259" t="s">
        <v>184</v>
      </c>
      <c r="D71" s="260" t="s">
        <v>182</v>
      </c>
      <c r="E71" s="403" t="s">
        <v>86</v>
      </c>
      <c r="F71" s="6">
        <f t="shared" si="122"/>
        <v>66</v>
      </c>
      <c r="G71" s="261">
        <v>1</v>
      </c>
      <c r="H71" s="262" t="s">
        <v>393</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459">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83"/>
      <c r="B72" s="258" t="s">
        <v>15</v>
      </c>
      <c r="C72" s="259" t="s">
        <v>184</v>
      </c>
      <c r="D72" s="260" t="s">
        <v>183</v>
      </c>
      <c r="E72" s="403" t="s">
        <v>86</v>
      </c>
      <c r="F72" s="6">
        <f t="shared" si="122"/>
        <v>67</v>
      </c>
      <c r="G72" s="261">
        <v>1</v>
      </c>
      <c r="H72" s="262" t="s">
        <v>393</v>
      </c>
      <c r="I72" s="262" t="s">
        <v>394</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459">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83"/>
      <c r="B73" s="269" t="s">
        <v>16</v>
      </c>
      <c r="C73" s="270" t="s">
        <v>184</v>
      </c>
      <c r="D73" s="271" t="s">
        <v>335</v>
      </c>
      <c r="E73" s="433" t="s">
        <v>86</v>
      </c>
      <c r="F73" s="6">
        <f t="shared" si="122"/>
        <v>68</v>
      </c>
      <c r="G73" s="272">
        <v>1</v>
      </c>
      <c r="H73" s="273" t="s">
        <v>394</v>
      </c>
      <c r="I73" s="273" t="s">
        <v>394</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460">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83"/>
      <c r="B74" s="269" t="s">
        <v>16</v>
      </c>
      <c r="C74" s="270" t="s">
        <v>184</v>
      </c>
      <c r="D74" s="271" t="s">
        <v>336</v>
      </c>
      <c r="E74" s="433" t="s">
        <v>86</v>
      </c>
      <c r="F74" s="6">
        <f t="shared" si="122"/>
        <v>69</v>
      </c>
      <c r="G74" s="272">
        <v>1</v>
      </c>
      <c r="H74" s="273" t="s">
        <v>394</v>
      </c>
      <c r="I74" s="273" t="s">
        <v>394</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460">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83"/>
      <c r="B75" s="269" t="s">
        <v>16</v>
      </c>
      <c r="C75" s="270" t="s">
        <v>184</v>
      </c>
      <c r="D75" s="271" t="s">
        <v>413</v>
      </c>
      <c r="E75" s="433" t="s">
        <v>86</v>
      </c>
      <c r="F75" s="6">
        <f t="shared" si="122"/>
        <v>70</v>
      </c>
      <c r="G75" s="272">
        <v>1</v>
      </c>
      <c r="H75" s="273" t="s">
        <v>394</v>
      </c>
      <c r="I75" s="273" t="s">
        <v>394</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460">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83"/>
      <c r="B76" s="269" t="s">
        <v>16</v>
      </c>
      <c r="C76" s="270" t="s">
        <v>184</v>
      </c>
      <c r="D76" s="271" t="s">
        <v>337</v>
      </c>
      <c r="E76" s="433" t="s">
        <v>86</v>
      </c>
      <c r="F76" s="6">
        <f t="shared" si="122"/>
        <v>71</v>
      </c>
      <c r="G76" s="272">
        <v>1</v>
      </c>
      <c r="H76" s="273" t="s">
        <v>394</v>
      </c>
      <c r="I76" s="273" t="s">
        <v>394</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460">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83"/>
      <c r="B77" s="170" t="s">
        <v>184</v>
      </c>
      <c r="C77" s="7" t="s">
        <v>184</v>
      </c>
      <c r="D77" s="168" t="s">
        <v>338</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s="461">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83"/>
      <c r="B78" s="280" t="s">
        <v>18</v>
      </c>
      <c r="C78" s="206" t="s">
        <v>23</v>
      </c>
      <c r="D78" s="281" t="s">
        <v>32</v>
      </c>
      <c r="E78" s="404" t="s">
        <v>86</v>
      </c>
      <c r="F78" s="6">
        <f t="shared" si="122"/>
        <v>73</v>
      </c>
      <c r="G78" s="207">
        <v>1</v>
      </c>
      <c r="H78" s="208" t="s">
        <v>393</v>
      </c>
      <c r="I78" s="208" t="s">
        <v>394</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462">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83"/>
      <c r="B79" s="280" t="s">
        <v>159</v>
      </c>
      <c r="C79" s="206" t="s">
        <v>24</v>
      </c>
      <c r="D79" s="281" t="s">
        <v>185</v>
      </c>
      <c r="E79" s="404" t="s">
        <v>86</v>
      </c>
      <c r="F79" s="6">
        <f t="shared" si="122"/>
        <v>74</v>
      </c>
      <c r="G79" s="207">
        <v>1</v>
      </c>
      <c r="H79" s="208" t="s">
        <v>393</v>
      </c>
      <c r="I79" s="208" t="s">
        <v>394</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462">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83"/>
      <c r="B80" s="247" t="s">
        <v>14</v>
      </c>
      <c r="C80" s="233" t="s">
        <v>184</v>
      </c>
      <c r="D80" s="248" t="s">
        <v>33</v>
      </c>
      <c r="E80" s="401" t="s">
        <v>86</v>
      </c>
      <c r="F80" s="6">
        <f t="shared" si="122"/>
        <v>75</v>
      </c>
      <c r="G80" s="219">
        <v>1</v>
      </c>
      <c r="H80" s="220" t="s">
        <v>393</v>
      </c>
      <c r="I80" s="220" t="s">
        <v>394</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451">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83"/>
      <c r="B81" s="247" t="s">
        <v>15</v>
      </c>
      <c r="C81" s="233" t="s">
        <v>184</v>
      </c>
      <c r="D81" s="248" t="s">
        <v>34</v>
      </c>
      <c r="E81" s="401" t="s">
        <v>86</v>
      </c>
      <c r="F81" s="6">
        <f t="shared" si="122"/>
        <v>76</v>
      </c>
      <c r="G81" s="219">
        <v>1</v>
      </c>
      <c r="H81" s="220" t="s">
        <v>393</v>
      </c>
      <c r="I81" s="220" t="s">
        <v>394</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451">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83"/>
      <c r="B82" s="247" t="s">
        <v>16</v>
      </c>
      <c r="C82" s="233" t="s">
        <v>184</v>
      </c>
      <c r="D82" s="218" t="s">
        <v>35</v>
      </c>
      <c r="E82" s="424" t="s">
        <v>464</v>
      </c>
      <c r="F82" s="6">
        <f t="shared" si="122"/>
        <v>77</v>
      </c>
      <c r="G82" s="219">
        <v>1</v>
      </c>
      <c r="H82" s="220" t="s">
        <v>394</v>
      </c>
      <c r="I82" s="220" t="s">
        <v>394</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45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E10" sqref="E10"/>
    </sheetView>
  </sheetViews>
  <sheetFormatPr defaultRowHeight="14.5" x14ac:dyDescent="0.35"/>
  <cols>
    <col min="1" max="1" width="33.453125" customWidth="1"/>
  </cols>
  <sheetData>
    <row r="1" spans="1:1" x14ac:dyDescent="0.35">
      <c r="A1" t="s">
        <v>414</v>
      </c>
    </row>
    <row r="2" spans="1:1" x14ac:dyDescent="0.35">
      <c r="A2" t="s">
        <v>416</v>
      </c>
    </row>
    <row r="3" spans="1:1" x14ac:dyDescent="0.35">
      <c r="A3" s="283" t="s">
        <v>456</v>
      </c>
    </row>
    <row r="5" spans="1:1" x14ac:dyDescent="0.35">
      <c r="A5" s="19" t="s">
        <v>415</v>
      </c>
    </row>
    <row r="6" spans="1:1" x14ac:dyDescent="0.35">
      <c r="A6" s="336" t="s">
        <v>37</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9"/>
  <sheetViews>
    <sheetView workbookViewId="0">
      <selection activeCell="D17" sqref="D17"/>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434</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09" t="s">
        <v>32</v>
      </c>
      <c r="D6" s="283" t="s">
        <v>93</v>
      </c>
      <c r="E6" s="410" t="s">
        <v>95</v>
      </c>
      <c r="F6" s="283">
        <v>0</v>
      </c>
      <c r="G6" s="411" t="s">
        <v>95</v>
      </c>
      <c r="H6" s="1">
        <f>INDEX(Data_base_case!$D$5:$BY$82,MATCH(Scenarios_definition!C6,Data_base_case!$D$5:$D$82,0),MATCH(Scenarios_definition!D6&amp;Scenarios_definition!G6,Data_base_case!$D$4:$BY$4,0))</f>
        <v>1</v>
      </c>
    </row>
    <row r="7" spans="1:127" x14ac:dyDescent="0.35">
      <c r="B7" s="405" t="s">
        <v>463</v>
      </c>
      <c r="C7" s="406" t="s">
        <v>37</v>
      </c>
      <c r="D7" s="405" t="s">
        <v>93</v>
      </c>
      <c r="E7" s="407" t="s">
        <v>95</v>
      </c>
      <c r="F7" s="405">
        <v>0</v>
      </c>
      <c r="G7" s="408" t="s">
        <v>95</v>
      </c>
      <c r="H7" s="1">
        <f>INDEX(Data_base_case!$D$5:$BY$82,MATCH(Scenarios_definition!C7,Data_base_case!$D$5:$D$82,0),MATCH(Scenarios_definition!D7&amp;Scenarios_definition!G7,Data_base_case!$D$4:$BY$4,0))</f>
        <v>1</v>
      </c>
    </row>
    <row r="8" spans="1:127" x14ac:dyDescent="0.35">
      <c r="B8" s="405" t="s">
        <v>463</v>
      </c>
      <c r="C8" s="406" t="s">
        <v>114</v>
      </c>
      <c r="D8" s="405" t="s">
        <v>93</v>
      </c>
      <c r="E8" s="407" t="s">
        <v>95</v>
      </c>
      <c r="F8" s="405">
        <v>0</v>
      </c>
      <c r="G8" s="408" t="s">
        <v>95</v>
      </c>
      <c r="H8" s="1">
        <f>INDEX(Data_base_case!$D$5:$BY$82,MATCH(Scenarios_definition!C8,Data_base_case!$D$5:$D$82,0),MATCH(Scenarios_definition!D8&amp;Scenarios_definition!G8,Data_base_case!$D$4:$BY$4,0))</f>
        <v>1</v>
      </c>
    </row>
    <row r="9" spans="1:127" x14ac:dyDescent="0.35">
      <c r="B9" s="405" t="s">
        <v>463</v>
      </c>
      <c r="C9" s="406" t="s">
        <v>40</v>
      </c>
      <c r="D9" s="405" t="s">
        <v>93</v>
      </c>
      <c r="E9" s="407" t="s">
        <v>95</v>
      </c>
      <c r="F9" s="405">
        <v>0</v>
      </c>
      <c r="G9" s="408" t="s">
        <v>95</v>
      </c>
      <c r="H9" s="1">
        <f>INDEX(Data_base_case!$D$5:$BY$82,MATCH(Scenarios_definition!C9,Data_base_case!$D$5:$D$82,0),MATCH(Scenarios_definition!D9&amp;Scenarios_definition!G9,Data_base_case!$D$4:$BY$4,0))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47"/>
  <sheetViews>
    <sheetView topLeftCell="A16" zoomScale="88" zoomScaleNormal="145" workbookViewId="0">
      <selection activeCell="I34" sqref="I34"/>
    </sheetView>
  </sheetViews>
  <sheetFormatPr defaultRowHeight="14.5" x14ac:dyDescent="0.35"/>
  <cols>
    <col min="1" max="1" width="15.08984375" bestFit="1" customWidth="1"/>
    <col min="2" max="2" width="31.54296875" customWidth="1"/>
    <col min="3" max="3" width="26.453125" style="10" customWidth="1"/>
    <col min="4" max="4" width="13.1796875" style="10" customWidth="1"/>
    <col min="5" max="5" width="11.7265625" style="10" customWidth="1"/>
    <col min="6" max="6" width="11.1796875" style="10" customWidth="1"/>
    <col min="7" max="7" width="17.26953125" style="10" customWidth="1"/>
    <col min="8" max="8" width="15.36328125" style="10" customWidth="1"/>
    <col min="9" max="9" width="19.90625" style="10" customWidth="1"/>
    <col min="10" max="10" width="10.90625" style="10" customWidth="1"/>
    <col min="11" max="11" width="13" style="10" customWidth="1"/>
    <col min="12" max="12" width="15.7265625" style="10" customWidth="1"/>
    <col min="13" max="13" width="31.90625" style="10" customWidth="1"/>
    <col min="14" max="14" width="34.7265625" style="10" customWidth="1"/>
    <col min="15" max="15" width="31.90625" style="10" customWidth="1"/>
    <col min="16" max="16" width="14.26953125" style="10" customWidth="1"/>
    <col min="17" max="17" width="13.453125" style="10" customWidth="1"/>
    <col min="18" max="18" width="15.7265625" style="10" customWidth="1"/>
    <col min="19" max="19" width="17.26953125" style="10" customWidth="1"/>
    <col min="20" max="20" width="18.453125" style="10" customWidth="1"/>
    <col min="21" max="21" width="16.36328125" style="10" customWidth="1"/>
    <col min="22" max="22" width="18.0898437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B1" s="10" t="s">
        <v>105</v>
      </c>
      <c r="X1" s="10"/>
      <c r="Y1" s="10"/>
      <c r="Z1" s="10"/>
    </row>
    <row r="2" spans="1:39" ht="16.5" customHeight="1" x14ac:dyDescent="0.35">
      <c r="B2" s="466" t="s">
        <v>110</v>
      </c>
      <c r="C2" s="473" t="s">
        <v>490</v>
      </c>
      <c r="D2" s="8" t="s">
        <v>173</v>
      </c>
      <c r="E2" s="8" t="s">
        <v>87</v>
      </c>
      <c r="F2" s="8" t="s">
        <v>316</v>
      </c>
      <c r="G2" s="8" t="s">
        <v>403</v>
      </c>
      <c r="H2" s="282" t="s">
        <v>408</v>
      </c>
      <c r="I2" s="8" t="s">
        <v>16</v>
      </c>
      <c r="J2" s="8">
        <v>2025</v>
      </c>
      <c r="K2" s="8" t="s">
        <v>179</v>
      </c>
      <c r="L2" s="466" t="s">
        <v>340</v>
      </c>
      <c r="M2" s="474" t="s">
        <v>342</v>
      </c>
      <c r="N2" s="465" t="s">
        <v>492</v>
      </c>
      <c r="O2" s="465" t="s">
        <v>493</v>
      </c>
      <c r="P2" s="466" t="s">
        <v>494</v>
      </c>
      <c r="Q2" s="466" t="s">
        <v>495</v>
      </c>
      <c r="R2" s="465" t="s">
        <v>496</v>
      </c>
      <c r="S2" s="467" t="s">
        <v>176</v>
      </c>
      <c r="T2" s="467" t="s">
        <v>497</v>
      </c>
      <c r="U2" s="466" t="s">
        <v>498</v>
      </c>
      <c r="V2" s="466" t="s">
        <v>417</v>
      </c>
      <c r="W2" s="466" t="s">
        <v>455</v>
      </c>
      <c r="X2" s="8" t="s">
        <v>152</v>
      </c>
      <c r="Y2" s="8" t="s">
        <v>152</v>
      </c>
      <c r="Z2" s="8" t="s">
        <v>106</v>
      </c>
    </row>
    <row r="3" spans="1:39" x14ac:dyDescent="0.35">
      <c r="B3" s="466"/>
      <c r="C3" s="473"/>
      <c r="D3" s="8" t="s">
        <v>435</v>
      </c>
      <c r="E3" s="8" t="s">
        <v>60</v>
      </c>
      <c r="F3" s="8" t="s">
        <v>317</v>
      </c>
      <c r="G3" s="8" t="s">
        <v>404</v>
      </c>
      <c r="H3" s="282" t="s">
        <v>412</v>
      </c>
      <c r="I3" s="8" t="s">
        <v>411</v>
      </c>
      <c r="J3" s="8">
        <v>2030</v>
      </c>
      <c r="K3" s="8" t="s">
        <v>180</v>
      </c>
      <c r="L3" s="466"/>
      <c r="M3" s="474"/>
      <c r="N3" s="465"/>
      <c r="O3" s="465"/>
      <c r="P3" s="466"/>
      <c r="Q3" s="466"/>
      <c r="R3" s="465"/>
      <c r="S3" s="467"/>
      <c r="T3" s="467"/>
      <c r="U3" s="466"/>
      <c r="V3" s="466"/>
      <c r="W3" s="466"/>
      <c r="X3" s="8"/>
      <c r="Y3" s="8"/>
      <c r="Z3" s="8"/>
    </row>
    <row r="4" spans="1:39" x14ac:dyDescent="0.35">
      <c r="B4" s="466"/>
      <c r="C4" s="473"/>
      <c r="D4" s="8" t="s">
        <v>436</v>
      </c>
      <c r="E4" s="8" t="s">
        <v>86</v>
      </c>
      <c r="F4" t="s">
        <v>454</v>
      </c>
      <c r="G4" s="8" t="s">
        <v>405</v>
      </c>
      <c r="H4" s="282" t="s">
        <v>409</v>
      </c>
      <c r="I4" s="8"/>
      <c r="J4" s="8">
        <v>2040</v>
      </c>
      <c r="K4" s="8" t="s">
        <v>172</v>
      </c>
      <c r="L4" s="466"/>
      <c r="M4" s="8"/>
      <c r="N4" s="8"/>
      <c r="O4" s="8"/>
      <c r="P4" s="466"/>
      <c r="Q4" s="466"/>
      <c r="R4" s="465"/>
      <c r="S4" s="467"/>
      <c r="T4" s="467"/>
      <c r="U4" s="466"/>
      <c r="V4" s="466"/>
      <c r="W4" s="466"/>
      <c r="X4" s="8"/>
      <c r="Y4" s="8"/>
      <c r="Z4" s="8"/>
    </row>
    <row r="5" spans="1:39" x14ac:dyDescent="0.35">
      <c r="B5" s="466"/>
      <c r="C5" s="473"/>
      <c r="D5" s="8" t="s">
        <v>437</v>
      </c>
      <c r="E5" s="8"/>
      <c r="F5" s="8" t="s">
        <v>318</v>
      </c>
      <c r="G5" s="8" t="s">
        <v>406</v>
      </c>
      <c r="H5" s="8"/>
      <c r="I5" s="8"/>
      <c r="J5" s="8">
        <v>2050</v>
      </c>
      <c r="K5" s="8" t="s">
        <v>476</v>
      </c>
      <c r="L5" s="25"/>
      <c r="M5" s="474" t="s">
        <v>341</v>
      </c>
      <c r="N5" s="95"/>
      <c r="O5" s="95"/>
      <c r="P5" s="466"/>
      <c r="Q5" s="466"/>
      <c r="R5" s="465"/>
      <c r="S5" s="467"/>
      <c r="T5" s="467"/>
      <c r="U5" s="466"/>
      <c r="V5" s="26"/>
      <c r="W5" s="466"/>
      <c r="X5" s="8"/>
      <c r="Y5" s="8"/>
      <c r="Z5" s="8"/>
    </row>
    <row r="6" spans="1:39" x14ac:dyDescent="0.35">
      <c r="B6" s="466"/>
      <c r="C6" s="473"/>
      <c r="D6" s="8" t="s">
        <v>438</v>
      </c>
      <c r="E6" s="8"/>
      <c r="F6" s="8" t="s">
        <v>86</v>
      </c>
      <c r="G6" s="8" t="s">
        <v>407</v>
      </c>
      <c r="H6" s="8"/>
      <c r="I6" s="8"/>
      <c r="J6" s="8"/>
      <c r="K6" s="8" t="s">
        <v>491</v>
      </c>
      <c r="L6" s="25"/>
      <c r="M6" s="474"/>
      <c r="N6" s="95"/>
      <c r="O6" s="95"/>
      <c r="P6" s="466"/>
      <c r="Q6" s="466"/>
      <c r="R6" s="465"/>
      <c r="S6" s="467"/>
      <c r="T6" s="467"/>
      <c r="U6" s="8"/>
      <c r="V6" s="26"/>
      <c r="W6" s="466"/>
      <c r="X6" s="8"/>
      <c r="Y6" s="8"/>
      <c r="Z6" s="8"/>
    </row>
    <row r="7" spans="1:39" x14ac:dyDescent="0.35">
      <c r="B7" s="466"/>
      <c r="C7" s="473"/>
      <c r="D7" s="8" t="s">
        <v>291</v>
      </c>
      <c r="E7" s="8"/>
      <c r="F7" s="8"/>
      <c r="G7" s="8"/>
      <c r="H7" s="8"/>
      <c r="I7" s="8"/>
      <c r="J7" s="8"/>
      <c r="L7" s="25"/>
      <c r="M7" s="474"/>
      <c r="N7" s="95"/>
      <c r="O7" s="95"/>
      <c r="P7" s="466"/>
      <c r="Q7" s="466"/>
      <c r="R7" s="465"/>
      <c r="S7" s="467"/>
      <c r="T7" s="467"/>
      <c r="U7" s="8"/>
      <c r="V7" s="8"/>
      <c r="W7" s="466"/>
      <c r="X7" s="12"/>
      <c r="Y7" s="12"/>
      <c r="Z7" s="12"/>
      <c r="AA7" s="94"/>
      <c r="AB7" s="12"/>
      <c r="AC7" s="12"/>
      <c r="AD7" s="12"/>
      <c r="AE7" s="12"/>
      <c r="AF7" s="12"/>
      <c r="AG7" s="12"/>
      <c r="AH7" s="12"/>
      <c r="AI7" s="12"/>
      <c r="AJ7" s="22"/>
      <c r="AK7" s="471"/>
      <c r="AL7" s="472"/>
      <c r="AM7" s="472"/>
    </row>
    <row r="8" spans="1:39" x14ac:dyDescent="0.35">
      <c r="B8" s="24"/>
      <c r="C8" s="25"/>
      <c r="D8" s="8" t="s">
        <v>275</v>
      </c>
      <c r="E8" s="8"/>
      <c r="F8" s="8"/>
      <c r="G8" s="8" t="s">
        <v>488</v>
      </c>
      <c r="H8" s="8"/>
      <c r="I8" s="8"/>
      <c r="J8" s="8"/>
      <c r="L8" s="25"/>
      <c r="M8" s="474"/>
      <c r="N8" s="95"/>
      <c r="O8" s="95"/>
      <c r="P8" s="466"/>
      <c r="Q8" s="466"/>
      <c r="R8" s="26"/>
      <c r="S8" s="40"/>
      <c r="T8" s="467"/>
      <c r="U8" s="8"/>
      <c r="V8" s="8"/>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t="s">
        <v>489</v>
      </c>
      <c r="H9" s="8"/>
      <c r="I9" s="8"/>
      <c r="J9" s="8"/>
      <c r="L9" s="25"/>
      <c r="M9" s="474"/>
      <c r="N9" s="95"/>
      <c r="O9" s="95"/>
      <c r="P9" s="8"/>
      <c r="Q9" s="8"/>
      <c r="R9" s="26" t="s">
        <v>512</v>
      </c>
      <c r="S9" s="40"/>
      <c r="T9" s="467"/>
      <c r="U9" s="8"/>
      <c r="V9" s="8"/>
      <c r="W9" s="26"/>
      <c r="X9" s="12"/>
      <c r="Y9" s="12"/>
      <c r="Z9" s="12"/>
      <c r="AA9" s="94"/>
      <c r="AB9" s="12"/>
      <c r="AC9" s="12"/>
      <c r="AD9" s="12"/>
      <c r="AE9" s="12"/>
      <c r="AF9" s="12"/>
      <c r="AG9" s="12"/>
      <c r="AH9" s="12"/>
      <c r="AI9" s="12"/>
      <c r="AJ9" s="22"/>
      <c r="AK9" s="12"/>
      <c r="AL9" s="12"/>
      <c r="AM9" s="12"/>
    </row>
    <row r="10" spans="1:39" x14ac:dyDescent="0.35">
      <c r="B10" s="24"/>
      <c r="C10" s="25"/>
      <c r="D10" s="8" t="s">
        <v>277</v>
      </c>
      <c r="E10" s="8"/>
      <c r="F10" s="8"/>
      <c r="G10" s="8"/>
      <c r="H10" s="8"/>
      <c r="I10" s="8"/>
      <c r="J10" s="8"/>
      <c r="L10" s="25"/>
      <c r="M10" s="95"/>
      <c r="N10" s="95"/>
      <c r="O10" s="95"/>
      <c r="P10" s="8"/>
      <c r="Q10" s="8"/>
      <c r="R10" s="26"/>
      <c r="S10" s="40"/>
      <c r="T10" s="467"/>
      <c r="U10" s="8"/>
      <c r="V10" s="8"/>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L11" s="25"/>
      <c r="M11" s="95"/>
      <c r="N11" s="95"/>
      <c r="O11" s="95"/>
      <c r="P11" s="8"/>
      <c r="Q11" s="8"/>
      <c r="R11" s="26"/>
      <c r="S11" s="40"/>
      <c r="T11" s="467"/>
      <c r="U11" s="8"/>
      <c r="V11" s="8"/>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L12" s="25"/>
      <c r="M12" s="95"/>
      <c r="N12" s="95"/>
      <c r="O12" s="95"/>
      <c r="P12" s="8"/>
      <c r="Q12" s="8"/>
      <c r="R12" s="26"/>
      <c r="S12" s="40"/>
      <c r="T12" s="467"/>
      <c r="U12" s="8"/>
      <c r="V12" s="8"/>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L13" s="25"/>
      <c r="M13" s="95"/>
      <c r="N13" s="95"/>
      <c r="O13" s="95"/>
      <c r="P13" s="8"/>
      <c r="Q13" s="8"/>
      <c r="R13" s="26"/>
      <c r="S13" s="40"/>
      <c r="T13" s="41"/>
      <c r="U13" s="8"/>
      <c r="V13" s="8"/>
      <c r="W13" s="26"/>
      <c r="X13" s="12"/>
      <c r="Y13" s="12"/>
      <c r="Z13" s="12"/>
      <c r="AA13" s="94"/>
      <c r="AB13" s="12"/>
      <c r="AC13" s="12"/>
      <c r="AD13" s="12"/>
      <c r="AE13" s="12"/>
      <c r="AF13" s="12"/>
      <c r="AG13" s="12"/>
      <c r="AH13" s="12"/>
      <c r="AI13" s="12"/>
      <c r="AJ13" s="22"/>
      <c r="AK13" s="12"/>
      <c r="AL13" s="12"/>
      <c r="AM13" s="12"/>
    </row>
    <row r="14" spans="1:39" x14ac:dyDescent="0.35">
      <c r="B14" s="24"/>
      <c r="C14" s="25"/>
      <c r="D14" s="8"/>
      <c r="E14" s="8"/>
      <c r="F14" s="8"/>
      <c r="G14" s="8"/>
      <c r="H14" s="8"/>
      <c r="I14" s="8"/>
      <c r="J14" s="8"/>
      <c r="L14" s="25"/>
      <c r="M14" s="95"/>
      <c r="N14" s="95"/>
      <c r="O14" s="95"/>
      <c r="P14" s="8"/>
      <c r="Q14" s="8"/>
      <c r="R14" s="26"/>
      <c r="S14" s="40"/>
      <c r="T14" s="41"/>
      <c r="U14" s="8"/>
      <c r="V14" s="8"/>
      <c r="W14" s="26"/>
      <c r="X14" s="12"/>
      <c r="Y14" s="12"/>
      <c r="Z14" s="12"/>
      <c r="AA14" s="94"/>
      <c r="AB14" s="12"/>
      <c r="AC14" s="12"/>
      <c r="AD14" s="12"/>
      <c r="AE14" s="12"/>
      <c r="AF14" s="12"/>
      <c r="AG14" s="12"/>
      <c r="AH14" s="12"/>
      <c r="AI14" s="12"/>
      <c r="AJ14" s="22"/>
      <c r="AK14" s="12"/>
      <c r="AL14" s="12"/>
      <c r="AM14" s="12"/>
    </row>
    <row r="15" spans="1:39" x14ac:dyDescent="0.35">
      <c r="A15" s="468" t="s">
        <v>482</v>
      </c>
      <c r="B15" s="468"/>
      <c r="C15" s="468"/>
      <c r="D15" s="469" t="s">
        <v>483</v>
      </c>
      <c r="E15" s="469"/>
      <c r="F15" s="469"/>
      <c r="G15" s="469"/>
      <c r="H15" s="469"/>
      <c r="I15" s="469"/>
      <c r="J15" s="469"/>
      <c r="K15" s="477" t="s">
        <v>484</v>
      </c>
      <c r="L15" s="477"/>
      <c r="M15" s="477"/>
      <c r="N15" s="477"/>
      <c r="O15" s="477"/>
      <c r="P15" s="470" t="s">
        <v>485</v>
      </c>
      <c r="Q15" s="470"/>
      <c r="R15" s="470"/>
      <c r="S15" s="470"/>
      <c r="T15" s="470"/>
      <c r="U15" s="475" t="s">
        <v>486</v>
      </c>
      <c r="V15" s="475"/>
      <c r="W15" s="475"/>
      <c r="X15" s="475"/>
      <c r="Y15" s="475"/>
      <c r="Z15" s="476"/>
      <c r="AA15" s="478" t="s">
        <v>487</v>
      </c>
      <c r="AB15" s="477"/>
      <c r="AC15" s="477"/>
      <c r="AD15" s="477"/>
      <c r="AE15" s="477"/>
      <c r="AF15" s="477"/>
      <c r="AG15" s="477"/>
      <c r="AH15" s="477"/>
      <c r="AI15" s="477"/>
      <c r="AJ15" s="479"/>
      <c r="AK15" s="463" t="s">
        <v>107</v>
      </c>
      <c r="AL15" s="464"/>
      <c r="AM15" s="464"/>
    </row>
    <row r="16" spans="1:39" s="19" customFormat="1" x14ac:dyDescent="0.35">
      <c r="A16" s="413" t="s">
        <v>69</v>
      </c>
      <c r="B16" s="413" t="s">
        <v>109</v>
      </c>
      <c r="C16" s="413" t="s">
        <v>108</v>
      </c>
      <c r="D16" s="412" t="s">
        <v>70</v>
      </c>
      <c r="E16" s="412" t="s">
        <v>85</v>
      </c>
      <c r="F16" s="412" t="s">
        <v>319</v>
      </c>
      <c r="G16" s="412" t="s">
        <v>71</v>
      </c>
      <c r="H16" s="412" t="s">
        <v>168</v>
      </c>
      <c r="I16" s="412" t="s">
        <v>169</v>
      </c>
      <c r="J16" s="412" t="s">
        <v>124</v>
      </c>
      <c r="K16" s="414" t="s">
        <v>160</v>
      </c>
      <c r="L16" s="414" t="s">
        <v>339</v>
      </c>
      <c r="M16" s="414" t="s">
        <v>305</v>
      </c>
      <c r="N16" s="414" t="s">
        <v>480</v>
      </c>
      <c r="O16" s="414" t="s">
        <v>478</v>
      </c>
      <c r="P16" s="415" t="s">
        <v>118</v>
      </c>
      <c r="Q16" s="415" t="s">
        <v>116</v>
      </c>
      <c r="R16" s="415" t="s">
        <v>163</v>
      </c>
      <c r="S16" s="415" t="s">
        <v>170</v>
      </c>
      <c r="T16" s="415" t="s">
        <v>177</v>
      </c>
      <c r="U16" s="416" t="s">
        <v>125</v>
      </c>
      <c r="V16" s="416" t="s">
        <v>73</v>
      </c>
      <c r="W16" s="416" t="s">
        <v>460</v>
      </c>
      <c r="X16" s="416" t="s">
        <v>72</v>
      </c>
      <c r="Y16" s="416" t="s">
        <v>151</v>
      </c>
      <c r="Z16" s="416" t="s">
        <v>74</v>
      </c>
      <c r="AA16" s="417" t="s">
        <v>77</v>
      </c>
      <c r="AB16" s="414" t="s">
        <v>78</v>
      </c>
      <c r="AC16" s="414" t="s">
        <v>79</v>
      </c>
      <c r="AD16" s="414" t="s">
        <v>88</v>
      </c>
      <c r="AE16" s="414" t="s">
        <v>89</v>
      </c>
      <c r="AF16" s="414" t="s">
        <v>90</v>
      </c>
      <c r="AG16" s="414" t="s">
        <v>91</v>
      </c>
      <c r="AH16" s="414" t="s">
        <v>283</v>
      </c>
      <c r="AI16" s="414" t="s">
        <v>284</v>
      </c>
      <c r="AJ16" s="418" t="s">
        <v>80</v>
      </c>
      <c r="AK16" s="419" t="s">
        <v>81</v>
      </c>
      <c r="AL16" s="419" t="s">
        <v>82</v>
      </c>
      <c r="AM16" s="419" t="s">
        <v>83</v>
      </c>
    </row>
    <row r="17" spans="1:39" s="8" customFormat="1" x14ac:dyDescent="0.35">
      <c r="A17" s="8">
        <f t="shared" ref="A17:A20" si="0">ROW(A17)-ROW($A$16)</f>
        <v>1</v>
      </c>
      <c r="B17" s="8" t="str">
        <f>"Test"&amp;A17</f>
        <v>Test1</v>
      </c>
      <c r="C17" s="12" t="s">
        <v>293</v>
      </c>
      <c r="D17" s="8" t="s">
        <v>84</v>
      </c>
      <c r="E17" s="12" t="s">
        <v>86</v>
      </c>
      <c r="F17" s="12" t="s">
        <v>86</v>
      </c>
      <c r="G17" s="12" t="s">
        <v>403</v>
      </c>
      <c r="H17" s="12" t="s">
        <v>410</v>
      </c>
      <c r="I17" s="12" t="s">
        <v>411</v>
      </c>
      <c r="J17" s="12">
        <v>2030</v>
      </c>
      <c r="K17" s="8" t="s">
        <v>172</v>
      </c>
      <c r="L17" s="12" t="s">
        <v>86</v>
      </c>
      <c r="M17" s="12" t="s">
        <v>517</v>
      </c>
      <c r="N17" s="168" t="s">
        <v>519</v>
      </c>
      <c r="O17" s="12" t="s">
        <v>479</v>
      </c>
      <c r="P17" s="12">
        <v>0</v>
      </c>
      <c r="Q17" s="12">
        <v>0</v>
      </c>
      <c r="R17" s="12">
        <v>-1</v>
      </c>
      <c r="S17" s="12" t="s">
        <v>86</v>
      </c>
      <c r="T17" s="12">
        <v>0</v>
      </c>
      <c r="U17" s="12" t="s">
        <v>171</v>
      </c>
      <c r="V17" s="12" t="s">
        <v>515</v>
      </c>
      <c r="W17" s="12" t="s">
        <v>518</v>
      </c>
      <c r="X17" s="8" t="s">
        <v>161</v>
      </c>
      <c r="Y17" s="8" t="s">
        <v>162</v>
      </c>
      <c r="Z17" s="8" t="s">
        <v>516</v>
      </c>
      <c r="AA17" s="420" t="b">
        <v>0</v>
      </c>
      <c r="AB17" s="8" t="b">
        <v>0</v>
      </c>
      <c r="AC17" s="8" t="b">
        <v>1</v>
      </c>
      <c r="AD17" s="8" t="b">
        <v>0</v>
      </c>
      <c r="AE17" s="8" t="b">
        <v>0</v>
      </c>
      <c r="AF17" s="8" t="b">
        <v>0</v>
      </c>
      <c r="AG17" s="8" t="b">
        <v>0</v>
      </c>
      <c r="AH17" s="8" t="b">
        <v>0</v>
      </c>
      <c r="AI17" s="8" t="b">
        <v>0</v>
      </c>
      <c r="AJ17" s="107" t="b">
        <v>0</v>
      </c>
      <c r="AK17" s="8" t="b">
        <v>0</v>
      </c>
      <c r="AL17" s="8" t="b">
        <v>0</v>
      </c>
      <c r="AM17" s="8" t="b">
        <v>1</v>
      </c>
    </row>
    <row r="18" spans="1:39" s="8" customFormat="1" x14ac:dyDescent="0.35">
      <c r="A18" s="8">
        <f t="shared" si="0"/>
        <v>2</v>
      </c>
      <c r="B18" s="8" t="str">
        <f t="shared" ref="B18:B20" si="1">"Test"&amp;A18</f>
        <v>Test2</v>
      </c>
      <c r="C18" s="12" t="s">
        <v>293</v>
      </c>
      <c r="D18" s="8" t="s">
        <v>84</v>
      </c>
      <c r="E18" s="12" t="s">
        <v>86</v>
      </c>
      <c r="F18" s="12" t="s">
        <v>86</v>
      </c>
      <c r="G18" s="12" t="s">
        <v>403</v>
      </c>
      <c r="H18" s="12" t="s">
        <v>410</v>
      </c>
      <c r="I18" s="12" t="s">
        <v>411</v>
      </c>
      <c r="J18" s="12">
        <v>2030</v>
      </c>
      <c r="K18" s="8" t="s">
        <v>179</v>
      </c>
      <c r="L18" s="12" t="s">
        <v>86</v>
      </c>
      <c r="M18" s="12" t="s">
        <v>517</v>
      </c>
      <c r="N18" s="168" t="s">
        <v>519</v>
      </c>
      <c r="O18" s="12" t="s">
        <v>479</v>
      </c>
      <c r="P18" s="12">
        <v>0</v>
      </c>
      <c r="Q18" s="12">
        <v>0</v>
      </c>
      <c r="R18" s="12">
        <v>-1</v>
      </c>
      <c r="S18" s="12" t="s">
        <v>86</v>
      </c>
      <c r="T18" s="12">
        <v>0</v>
      </c>
      <c r="U18" s="12" t="s">
        <v>171</v>
      </c>
      <c r="V18" s="12" t="s">
        <v>515</v>
      </c>
      <c r="W18" s="12" t="s">
        <v>518</v>
      </c>
      <c r="X18" s="8" t="s">
        <v>161</v>
      </c>
      <c r="Y18" s="8" t="s">
        <v>162</v>
      </c>
      <c r="Z18" s="8" t="s">
        <v>516</v>
      </c>
      <c r="AA18" s="420" t="b">
        <v>0</v>
      </c>
      <c r="AB18" s="8" t="b">
        <v>0</v>
      </c>
      <c r="AC18" s="8" t="b">
        <v>1</v>
      </c>
      <c r="AD18" s="8" t="b">
        <v>0</v>
      </c>
      <c r="AE18" s="8" t="b">
        <v>0</v>
      </c>
      <c r="AF18" s="8" t="b">
        <v>0</v>
      </c>
      <c r="AG18" s="8" t="b">
        <v>0</v>
      </c>
      <c r="AH18" s="8" t="b">
        <v>0</v>
      </c>
      <c r="AI18" s="8" t="b">
        <v>0</v>
      </c>
      <c r="AJ18" s="107" t="b">
        <v>0</v>
      </c>
      <c r="AK18" s="8" t="b">
        <v>0</v>
      </c>
      <c r="AL18" s="8" t="b">
        <v>0</v>
      </c>
      <c r="AM18" s="8" t="b">
        <v>1</v>
      </c>
    </row>
    <row r="19" spans="1:39" s="8" customFormat="1" x14ac:dyDescent="0.35">
      <c r="A19" s="8">
        <f>ROW(A19)-ROW($A$16)</f>
        <v>3</v>
      </c>
      <c r="B19" s="8" t="str">
        <f t="shared" si="1"/>
        <v>Test3</v>
      </c>
      <c r="C19" s="12" t="s">
        <v>293</v>
      </c>
      <c r="D19" s="8" t="s">
        <v>84</v>
      </c>
      <c r="E19" s="12" t="s">
        <v>86</v>
      </c>
      <c r="F19" s="12" t="s">
        <v>86</v>
      </c>
      <c r="G19" s="12" t="s">
        <v>403</v>
      </c>
      <c r="H19" s="12" t="s">
        <v>410</v>
      </c>
      <c r="I19" s="12" t="s">
        <v>411</v>
      </c>
      <c r="J19" s="12">
        <v>2030</v>
      </c>
      <c r="K19" s="8" t="s">
        <v>172</v>
      </c>
      <c r="L19" s="12" t="s">
        <v>86</v>
      </c>
      <c r="M19" s="12" t="s">
        <v>517</v>
      </c>
      <c r="N19" s="168" t="s">
        <v>519</v>
      </c>
      <c r="O19" s="12" t="s">
        <v>479</v>
      </c>
      <c r="P19" s="12">
        <v>0</v>
      </c>
      <c r="Q19" s="12">
        <v>0</v>
      </c>
      <c r="R19" s="12">
        <v>-1</v>
      </c>
      <c r="S19" s="12" t="s">
        <v>86</v>
      </c>
      <c r="T19" s="12">
        <v>0</v>
      </c>
      <c r="U19" s="12" t="s">
        <v>171</v>
      </c>
      <c r="V19" s="12" t="s">
        <v>515</v>
      </c>
      <c r="W19" s="12" t="s">
        <v>518</v>
      </c>
      <c r="X19" s="8" t="s">
        <v>161</v>
      </c>
      <c r="Y19" s="8" t="s">
        <v>162</v>
      </c>
      <c r="Z19" s="8" t="s">
        <v>516</v>
      </c>
      <c r="AA19" s="420" t="b">
        <v>0</v>
      </c>
      <c r="AB19" s="8" t="b">
        <v>0</v>
      </c>
      <c r="AC19" s="8" t="b">
        <v>1</v>
      </c>
      <c r="AD19" s="8" t="b">
        <v>0</v>
      </c>
      <c r="AE19" s="8" t="b">
        <v>0</v>
      </c>
      <c r="AF19" s="8" t="b">
        <v>0</v>
      </c>
      <c r="AG19" s="8" t="b">
        <v>0</v>
      </c>
      <c r="AH19" s="8" t="b">
        <v>0</v>
      </c>
      <c r="AI19" s="8" t="b">
        <v>0</v>
      </c>
      <c r="AJ19" s="107" t="b">
        <v>0</v>
      </c>
      <c r="AK19" s="8" t="b">
        <v>0</v>
      </c>
      <c r="AL19" s="8" t="b">
        <v>0</v>
      </c>
      <c r="AM19" s="8" t="b">
        <v>1</v>
      </c>
    </row>
    <row r="20" spans="1:39" s="8" customFormat="1" x14ac:dyDescent="0.35">
      <c r="A20" s="8">
        <f t="shared" si="0"/>
        <v>4</v>
      </c>
      <c r="B20" s="8" t="str">
        <f t="shared" si="1"/>
        <v>Test4</v>
      </c>
      <c r="C20" s="12" t="s">
        <v>293</v>
      </c>
      <c r="D20" s="8" t="s">
        <v>84</v>
      </c>
      <c r="E20" s="12" t="s">
        <v>86</v>
      </c>
      <c r="F20" s="12" t="s">
        <v>86</v>
      </c>
      <c r="G20" s="12" t="s">
        <v>403</v>
      </c>
      <c r="H20" s="12" t="s">
        <v>410</v>
      </c>
      <c r="I20" s="12" t="s">
        <v>411</v>
      </c>
      <c r="J20" s="12">
        <v>2030</v>
      </c>
      <c r="K20" s="8" t="s">
        <v>179</v>
      </c>
      <c r="L20" s="12" t="s">
        <v>86</v>
      </c>
      <c r="M20" s="12" t="s">
        <v>517</v>
      </c>
      <c r="N20" s="168" t="s">
        <v>519</v>
      </c>
      <c r="O20" s="12" t="s">
        <v>479</v>
      </c>
      <c r="P20" s="12">
        <v>0</v>
      </c>
      <c r="Q20" s="12">
        <v>0</v>
      </c>
      <c r="R20" s="12">
        <v>-1</v>
      </c>
      <c r="S20" s="12" t="s">
        <v>86</v>
      </c>
      <c r="T20" s="12">
        <v>0</v>
      </c>
      <c r="U20" s="12" t="s">
        <v>171</v>
      </c>
      <c r="V20" s="12" t="s">
        <v>515</v>
      </c>
      <c r="W20" s="12" t="s">
        <v>518</v>
      </c>
      <c r="X20" s="8" t="s">
        <v>161</v>
      </c>
      <c r="Y20" s="8" t="s">
        <v>162</v>
      </c>
      <c r="Z20" s="8" t="s">
        <v>516</v>
      </c>
      <c r="AA20" s="420" t="b">
        <v>0</v>
      </c>
      <c r="AB20" s="8" t="b">
        <v>0</v>
      </c>
      <c r="AC20" s="8" t="b">
        <v>1</v>
      </c>
      <c r="AD20" s="8" t="b">
        <v>0</v>
      </c>
      <c r="AE20" s="8" t="b">
        <v>0</v>
      </c>
      <c r="AF20" s="8" t="b">
        <v>0</v>
      </c>
      <c r="AG20" s="8" t="b">
        <v>0</v>
      </c>
      <c r="AH20" s="8" t="b">
        <v>0</v>
      </c>
      <c r="AI20" s="8" t="b">
        <v>0</v>
      </c>
      <c r="AJ20" s="107" t="b">
        <v>0</v>
      </c>
      <c r="AK20" s="8" t="b">
        <v>0</v>
      </c>
      <c r="AL20" s="8" t="b">
        <v>0</v>
      </c>
      <c r="AM20" s="8" t="b">
        <v>1</v>
      </c>
    </row>
    <row r="21" spans="1:39" s="8" customFormat="1" x14ac:dyDescent="0.35">
      <c r="A21" s="8">
        <f t="shared" ref="A21:A47" si="2">ROW(A21)-ROW($A$16)</f>
        <v>5</v>
      </c>
      <c r="B21" s="8" t="s">
        <v>520</v>
      </c>
      <c r="C21" s="12" t="s">
        <v>293</v>
      </c>
      <c r="D21" s="8" t="s">
        <v>436</v>
      </c>
      <c r="E21" s="12" t="s">
        <v>86</v>
      </c>
      <c r="F21" s="12" t="s">
        <v>86</v>
      </c>
      <c r="G21" s="12" t="s">
        <v>403</v>
      </c>
      <c r="H21" s="12" t="s">
        <v>410</v>
      </c>
      <c r="I21" s="12" t="s">
        <v>16</v>
      </c>
      <c r="J21" s="12">
        <v>2030</v>
      </c>
      <c r="K21" s="8" t="s">
        <v>476</v>
      </c>
      <c r="L21" s="12" t="s">
        <v>86</v>
      </c>
      <c r="M21" s="12" t="s">
        <v>477</v>
      </c>
      <c r="N21" s="168" t="s">
        <v>500</v>
      </c>
      <c r="O21" s="12" t="s">
        <v>479</v>
      </c>
      <c r="P21" s="12">
        <v>0</v>
      </c>
      <c r="Q21" s="12">
        <v>0</v>
      </c>
      <c r="R21" s="12">
        <v>-1</v>
      </c>
      <c r="S21" s="12" t="s">
        <v>86</v>
      </c>
      <c r="T21" s="12">
        <v>0</v>
      </c>
      <c r="U21" s="12" t="s">
        <v>171</v>
      </c>
      <c r="V21" s="12" t="s">
        <v>481</v>
      </c>
      <c r="W21" s="12" t="s">
        <v>518</v>
      </c>
      <c r="X21" s="8" t="s">
        <v>161</v>
      </c>
      <c r="Y21" s="8" t="s">
        <v>162</v>
      </c>
      <c r="Z21" s="8" t="s">
        <v>499</v>
      </c>
      <c r="AA21" s="420" t="b">
        <v>0</v>
      </c>
      <c r="AB21" s="8" t="b">
        <v>0</v>
      </c>
      <c r="AC21" s="8" t="b">
        <v>1</v>
      </c>
      <c r="AD21" s="8" t="b">
        <v>0</v>
      </c>
      <c r="AE21" s="8" t="b">
        <v>0</v>
      </c>
      <c r="AF21" s="8" t="b">
        <v>0</v>
      </c>
      <c r="AG21" s="8" t="b">
        <v>0</v>
      </c>
      <c r="AH21" s="8" t="b">
        <v>0</v>
      </c>
      <c r="AI21" s="8" t="b">
        <v>0</v>
      </c>
      <c r="AJ21" s="107" t="b">
        <v>0</v>
      </c>
      <c r="AK21" s="8" t="b">
        <v>0</v>
      </c>
      <c r="AL21" s="8" t="b">
        <v>0</v>
      </c>
      <c r="AM21" s="8" t="b">
        <v>1</v>
      </c>
    </row>
    <row r="22" spans="1:39" s="8" customFormat="1" x14ac:dyDescent="0.35">
      <c r="A22" s="8">
        <f t="shared" si="2"/>
        <v>6</v>
      </c>
      <c r="B22" s="8" t="str">
        <f>N22</f>
        <v>Prod_stationarycomb_IPCC2006</v>
      </c>
      <c r="C22" s="12" t="s">
        <v>293</v>
      </c>
      <c r="D22" s="8" t="s">
        <v>436</v>
      </c>
      <c r="E22" s="12" t="s">
        <v>86</v>
      </c>
      <c r="F22" s="12" t="s">
        <v>86</v>
      </c>
      <c r="G22" s="12" t="s">
        <v>403</v>
      </c>
      <c r="H22" s="12" t="s">
        <v>410</v>
      </c>
      <c r="I22" s="12" t="s">
        <v>16</v>
      </c>
      <c r="J22" s="12">
        <v>2030</v>
      </c>
      <c r="K22" s="8" t="s">
        <v>476</v>
      </c>
      <c r="L22" s="12" t="s">
        <v>86</v>
      </c>
      <c r="M22" s="12" t="s">
        <v>477</v>
      </c>
      <c r="N22" s="168" t="s">
        <v>500</v>
      </c>
      <c r="O22" s="12" t="s">
        <v>479</v>
      </c>
      <c r="P22" s="12">
        <v>0</v>
      </c>
      <c r="Q22" s="12">
        <v>0.08</v>
      </c>
      <c r="R22" s="12">
        <v>-1</v>
      </c>
      <c r="S22" s="12" t="s">
        <v>86</v>
      </c>
      <c r="T22" s="12">
        <v>0</v>
      </c>
      <c r="U22" s="12" t="s">
        <v>171</v>
      </c>
      <c r="V22" s="12" t="s">
        <v>481</v>
      </c>
      <c r="W22" s="12" t="s">
        <v>518</v>
      </c>
      <c r="X22" s="8" t="s">
        <v>161</v>
      </c>
      <c r="Y22" s="8" t="s">
        <v>162</v>
      </c>
      <c r="Z22" s="8" t="s">
        <v>499</v>
      </c>
      <c r="AA22" s="420" t="b">
        <v>0</v>
      </c>
      <c r="AB22" s="8" t="b">
        <v>0</v>
      </c>
      <c r="AC22" s="8" t="b">
        <v>1</v>
      </c>
      <c r="AD22" s="8" t="b">
        <v>0</v>
      </c>
      <c r="AE22" s="8" t="b">
        <v>0</v>
      </c>
      <c r="AF22" s="8" t="b">
        <v>0</v>
      </c>
      <c r="AG22" s="8" t="b">
        <v>0</v>
      </c>
      <c r="AH22" s="8" t="b">
        <v>0</v>
      </c>
      <c r="AI22" s="8" t="b">
        <v>0</v>
      </c>
      <c r="AJ22" s="107" t="b">
        <v>0</v>
      </c>
      <c r="AK22" s="8" t="b">
        <v>0</v>
      </c>
      <c r="AL22" s="8" t="b">
        <v>0</v>
      </c>
      <c r="AM22" s="8" t="b">
        <v>1</v>
      </c>
    </row>
    <row r="23" spans="1:39" s="8" customFormat="1" x14ac:dyDescent="0.35">
      <c r="A23" s="8">
        <f t="shared" si="2"/>
        <v>7</v>
      </c>
      <c r="B23" s="8" t="str">
        <f t="shared" ref="B23:B34" si="3">N23</f>
        <v>Prod_RFNBO</v>
      </c>
      <c r="C23" s="12" t="s">
        <v>293</v>
      </c>
      <c r="D23" s="8" t="s">
        <v>436</v>
      </c>
      <c r="E23" s="12" t="s">
        <v>86</v>
      </c>
      <c r="F23" s="12" t="s">
        <v>86</v>
      </c>
      <c r="G23" s="12" t="s">
        <v>403</v>
      </c>
      <c r="H23" s="12" t="s">
        <v>410</v>
      </c>
      <c r="I23" s="12" t="s">
        <v>16</v>
      </c>
      <c r="J23" s="12">
        <v>2030</v>
      </c>
      <c r="K23" s="8" t="s">
        <v>476</v>
      </c>
      <c r="L23" s="12" t="s">
        <v>86</v>
      </c>
      <c r="M23" s="12" t="s">
        <v>477</v>
      </c>
      <c r="N23" s="168" t="s">
        <v>513</v>
      </c>
      <c r="O23" s="12" t="s">
        <v>479</v>
      </c>
      <c r="P23" s="12">
        <v>0</v>
      </c>
      <c r="Q23" s="12">
        <v>0.08</v>
      </c>
      <c r="R23" s="12">
        <v>-1</v>
      </c>
      <c r="S23" s="12" t="s">
        <v>86</v>
      </c>
      <c r="T23" s="12">
        <v>0</v>
      </c>
      <c r="U23" s="12" t="s">
        <v>171</v>
      </c>
      <c r="V23" s="12" t="s">
        <v>481</v>
      </c>
      <c r="W23" s="12" t="s">
        <v>518</v>
      </c>
      <c r="X23" s="8" t="s">
        <v>161</v>
      </c>
      <c r="Y23" s="8" t="s">
        <v>162</v>
      </c>
      <c r="Z23" s="8" t="s">
        <v>499</v>
      </c>
      <c r="AA23" s="420" t="b">
        <v>0</v>
      </c>
      <c r="AB23" s="8" t="b">
        <v>0</v>
      </c>
      <c r="AC23" s="8" t="b">
        <v>1</v>
      </c>
      <c r="AD23" s="8" t="b">
        <v>0</v>
      </c>
      <c r="AE23" s="8" t="b">
        <v>0</v>
      </c>
      <c r="AF23" s="8" t="b">
        <v>0</v>
      </c>
      <c r="AG23" s="8" t="b">
        <v>0</v>
      </c>
      <c r="AH23" s="8" t="b">
        <v>0</v>
      </c>
      <c r="AI23" s="8" t="b">
        <v>0</v>
      </c>
      <c r="AJ23" s="107" t="b">
        <v>0</v>
      </c>
      <c r="AK23" s="8" t="b">
        <v>0</v>
      </c>
      <c r="AL23" s="8" t="b">
        <v>0</v>
      </c>
      <c r="AM23" s="8" t="b">
        <v>1</v>
      </c>
    </row>
    <row r="24" spans="1:39" s="8" customFormat="1" x14ac:dyDescent="0.35">
      <c r="A24" s="8">
        <f>ROW(A24)-ROW($A$16)</f>
        <v>8</v>
      </c>
      <c r="B24" s="8" t="str">
        <f t="shared" si="3"/>
        <v>Prod_scope2_Ispra</v>
      </c>
      <c r="C24" s="12" t="s">
        <v>293</v>
      </c>
      <c r="D24" s="8" t="s">
        <v>436</v>
      </c>
      <c r="E24" s="12" t="s">
        <v>86</v>
      </c>
      <c r="F24" s="12" t="s">
        <v>86</v>
      </c>
      <c r="G24" s="12" t="s">
        <v>403</v>
      </c>
      <c r="H24" s="12" t="s">
        <v>410</v>
      </c>
      <c r="I24" s="12" t="s">
        <v>16</v>
      </c>
      <c r="J24" s="12">
        <v>2030</v>
      </c>
      <c r="K24" s="8" t="s">
        <v>476</v>
      </c>
      <c r="L24" s="12" t="s">
        <v>86</v>
      </c>
      <c r="M24" s="12" t="s">
        <v>477</v>
      </c>
      <c r="N24" s="168" t="s">
        <v>501</v>
      </c>
      <c r="O24" s="12" t="s">
        <v>479</v>
      </c>
      <c r="P24" s="12">
        <v>0</v>
      </c>
      <c r="Q24" s="12">
        <v>0.08</v>
      </c>
      <c r="R24" s="12">
        <v>-1</v>
      </c>
      <c r="S24" s="12" t="s">
        <v>86</v>
      </c>
      <c r="T24" s="12">
        <v>0</v>
      </c>
      <c r="U24" s="12" t="s">
        <v>171</v>
      </c>
      <c r="V24" s="12" t="s">
        <v>481</v>
      </c>
      <c r="W24" s="12" t="s">
        <v>518</v>
      </c>
      <c r="X24" s="8" t="s">
        <v>161</v>
      </c>
      <c r="Y24" s="8" t="s">
        <v>162</v>
      </c>
      <c r="Z24" s="8" t="s">
        <v>499</v>
      </c>
      <c r="AA24" s="420" t="b">
        <v>0</v>
      </c>
      <c r="AB24" s="8" t="b">
        <v>0</v>
      </c>
      <c r="AC24" s="8" t="b">
        <v>1</v>
      </c>
      <c r="AD24" s="8" t="b">
        <v>0</v>
      </c>
      <c r="AE24" s="8" t="b">
        <v>0</v>
      </c>
      <c r="AF24" s="8" t="b">
        <v>0</v>
      </c>
      <c r="AG24" s="8" t="b">
        <v>0</v>
      </c>
      <c r="AH24" s="8" t="b">
        <v>0</v>
      </c>
      <c r="AI24" s="8" t="b">
        <v>0</v>
      </c>
      <c r="AJ24" s="107" t="b">
        <v>0</v>
      </c>
      <c r="AK24" s="8" t="b">
        <v>0</v>
      </c>
      <c r="AL24" s="8" t="b">
        <v>0</v>
      </c>
      <c r="AM24" s="8" t="b">
        <v>1</v>
      </c>
    </row>
    <row r="25" spans="1:39" s="8" customFormat="1" x14ac:dyDescent="0.35">
      <c r="A25" s="8">
        <f t="shared" si="2"/>
        <v>9</v>
      </c>
      <c r="B25" s="8" t="str">
        <f t="shared" si="3"/>
        <v>Prod_scope2_IPCC</v>
      </c>
      <c r="C25" s="12" t="s">
        <v>293</v>
      </c>
      <c r="D25" s="8" t="s">
        <v>436</v>
      </c>
      <c r="E25" s="12" t="s">
        <v>86</v>
      </c>
      <c r="F25" s="12" t="s">
        <v>86</v>
      </c>
      <c r="G25" s="12" t="s">
        <v>403</v>
      </c>
      <c r="H25" s="12" t="s">
        <v>410</v>
      </c>
      <c r="I25" s="12" t="s">
        <v>16</v>
      </c>
      <c r="J25" s="12">
        <v>2030</v>
      </c>
      <c r="K25" s="8" t="s">
        <v>476</v>
      </c>
      <c r="L25" s="12" t="s">
        <v>86</v>
      </c>
      <c r="M25" s="12" t="s">
        <v>477</v>
      </c>
      <c r="N25" s="421" t="s">
        <v>502</v>
      </c>
      <c r="O25" s="12" t="s">
        <v>479</v>
      </c>
      <c r="P25" s="12">
        <v>0</v>
      </c>
      <c r="Q25" s="12">
        <v>0.08</v>
      </c>
      <c r="R25" s="12">
        <v>-1</v>
      </c>
      <c r="S25" s="12" t="s">
        <v>86</v>
      </c>
      <c r="T25" s="12">
        <v>0</v>
      </c>
      <c r="U25" s="12" t="s">
        <v>171</v>
      </c>
      <c r="V25" s="12" t="s">
        <v>481</v>
      </c>
      <c r="W25" s="12" t="s">
        <v>518</v>
      </c>
      <c r="X25" s="8" t="s">
        <v>161</v>
      </c>
      <c r="Y25" s="8" t="s">
        <v>162</v>
      </c>
      <c r="Z25" s="8" t="s">
        <v>499</v>
      </c>
      <c r="AA25" s="420" t="b">
        <v>0</v>
      </c>
      <c r="AB25" s="8" t="b">
        <v>0</v>
      </c>
      <c r="AC25" s="8" t="b">
        <v>1</v>
      </c>
      <c r="AD25" s="8" t="b">
        <v>0</v>
      </c>
      <c r="AE25" s="8" t="b">
        <v>0</v>
      </c>
      <c r="AF25" s="8" t="b">
        <v>0</v>
      </c>
      <c r="AG25" s="8" t="b">
        <v>0</v>
      </c>
      <c r="AH25" s="8" t="b">
        <v>0</v>
      </c>
      <c r="AI25" s="8" t="b">
        <v>0</v>
      </c>
      <c r="AJ25" s="107" t="b">
        <v>0</v>
      </c>
      <c r="AK25" s="8" t="b">
        <v>0</v>
      </c>
      <c r="AL25" s="8" t="b">
        <v>0</v>
      </c>
      <c r="AM25" s="8" t="b">
        <v>1</v>
      </c>
    </row>
    <row r="26" spans="1:39" s="8" customFormat="1" x14ac:dyDescent="0.35">
      <c r="A26" s="8">
        <f t="shared" si="2"/>
        <v>10</v>
      </c>
      <c r="B26" s="8" t="str">
        <f t="shared" si="3"/>
        <v>Prod_scope3_IPCC</v>
      </c>
      <c r="C26" s="12" t="s">
        <v>293</v>
      </c>
      <c r="D26" s="8" t="s">
        <v>436</v>
      </c>
      <c r="E26" s="12" t="s">
        <v>86</v>
      </c>
      <c r="F26" s="12" t="s">
        <v>86</v>
      </c>
      <c r="G26" s="12" t="s">
        <v>403</v>
      </c>
      <c r="H26" s="12" t="s">
        <v>410</v>
      </c>
      <c r="I26" s="12" t="s">
        <v>16</v>
      </c>
      <c r="J26" s="12">
        <v>2030</v>
      </c>
      <c r="K26" s="8" t="s">
        <v>476</v>
      </c>
      <c r="L26" s="12" t="s">
        <v>86</v>
      </c>
      <c r="M26" s="12" t="s">
        <v>477</v>
      </c>
      <c r="N26" s="421" t="s">
        <v>503</v>
      </c>
      <c r="O26" s="12" t="s">
        <v>479</v>
      </c>
      <c r="P26" s="12">
        <v>0</v>
      </c>
      <c r="Q26" s="12">
        <v>0.08</v>
      </c>
      <c r="R26" s="12">
        <v>-1</v>
      </c>
      <c r="S26" s="12" t="s">
        <v>86</v>
      </c>
      <c r="T26" s="12">
        <v>0</v>
      </c>
      <c r="U26" s="12" t="s">
        <v>171</v>
      </c>
      <c r="V26" s="12" t="s">
        <v>481</v>
      </c>
      <c r="W26" s="12" t="s">
        <v>518</v>
      </c>
      <c r="X26" s="8" t="s">
        <v>161</v>
      </c>
      <c r="Y26" s="8" t="s">
        <v>162</v>
      </c>
      <c r="Z26" s="8" t="s">
        <v>499</v>
      </c>
      <c r="AA26" s="420" t="b">
        <v>0</v>
      </c>
      <c r="AB26" s="8" t="b">
        <v>0</v>
      </c>
      <c r="AC26" s="8" t="b">
        <v>1</v>
      </c>
      <c r="AD26" s="8" t="b">
        <v>0</v>
      </c>
      <c r="AE26" s="8" t="b">
        <v>0</v>
      </c>
      <c r="AF26" s="8" t="b">
        <v>0</v>
      </c>
      <c r="AG26" s="8" t="b">
        <v>0</v>
      </c>
      <c r="AH26" s="8" t="b">
        <v>0</v>
      </c>
      <c r="AI26" s="8" t="b">
        <v>0</v>
      </c>
      <c r="AJ26" s="107" t="b">
        <v>0</v>
      </c>
      <c r="AK26" s="8" t="b">
        <v>0</v>
      </c>
      <c r="AL26" s="8" t="b">
        <v>0</v>
      </c>
      <c r="AM26" s="8" t="b">
        <v>1</v>
      </c>
    </row>
    <row r="27" spans="1:39" x14ac:dyDescent="0.35">
      <c r="A27" s="8">
        <f t="shared" si="2"/>
        <v>11</v>
      </c>
      <c r="B27" s="8" t="str">
        <f t="shared" si="3"/>
        <v>Prod_scope2_Electricity_Maps</v>
      </c>
      <c r="C27" s="12" t="s">
        <v>293</v>
      </c>
      <c r="D27" s="8" t="s">
        <v>436</v>
      </c>
      <c r="E27" s="12" t="s">
        <v>86</v>
      </c>
      <c r="F27" s="12" t="s">
        <v>86</v>
      </c>
      <c r="G27" s="12" t="s">
        <v>403</v>
      </c>
      <c r="H27" s="12" t="s">
        <v>410</v>
      </c>
      <c r="I27" s="12" t="s">
        <v>16</v>
      </c>
      <c r="J27" s="12">
        <v>2030</v>
      </c>
      <c r="K27" s="8" t="s">
        <v>476</v>
      </c>
      <c r="L27" s="12" t="s">
        <v>86</v>
      </c>
      <c r="M27" s="12" t="s">
        <v>477</v>
      </c>
      <c r="N27" s="421" t="s">
        <v>504</v>
      </c>
      <c r="O27" s="12" t="s">
        <v>479</v>
      </c>
      <c r="P27" s="12">
        <v>0</v>
      </c>
      <c r="Q27" s="12">
        <v>0.08</v>
      </c>
      <c r="R27" s="12">
        <v>-1</v>
      </c>
      <c r="S27" s="12" t="s">
        <v>86</v>
      </c>
      <c r="T27" s="12">
        <v>0</v>
      </c>
      <c r="U27" s="12" t="s">
        <v>171</v>
      </c>
      <c r="V27" s="12" t="s">
        <v>481</v>
      </c>
      <c r="W27" s="12" t="s">
        <v>518</v>
      </c>
      <c r="X27" s="8" t="s">
        <v>161</v>
      </c>
      <c r="Y27" s="8" t="s">
        <v>162</v>
      </c>
      <c r="Z27" s="8" t="s">
        <v>499</v>
      </c>
      <c r="AA27" s="420" t="b">
        <v>0</v>
      </c>
      <c r="AB27" s="8" t="b">
        <v>0</v>
      </c>
      <c r="AC27" s="8" t="b">
        <v>1</v>
      </c>
      <c r="AD27" s="8" t="b">
        <v>0</v>
      </c>
      <c r="AE27" s="8" t="b">
        <v>0</v>
      </c>
      <c r="AF27" s="8" t="b">
        <v>0</v>
      </c>
      <c r="AG27" s="8" t="b">
        <v>0</v>
      </c>
      <c r="AH27" s="8" t="b">
        <v>0</v>
      </c>
      <c r="AI27" s="8" t="b">
        <v>0</v>
      </c>
      <c r="AJ27" s="107" t="b">
        <v>0</v>
      </c>
      <c r="AK27" s="8" t="b">
        <v>0</v>
      </c>
      <c r="AL27" s="8" t="b">
        <v>0</v>
      </c>
      <c r="AM27" s="8" t="b">
        <v>1</v>
      </c>
    </row>
    <row r="28" spans="1:39" x14ac:dyDescent="0.35">
      <c r="A28" s="8">
        <f t="shared" si="2"/>
        <v>12</v>
      </c>
      <c r="B28" s="8" t="str">
        <f t="shared" si="3"/>
        <v>Prod_scope3_Electricity_Maps</v>
      </c>
      <c r="C28" s="12" t="s">
        <v>293</v>
      </c>
      <c r="D28" s="8" t="s">
        <v>436</v>
      </c>
      <c r="E28" s="12" t="s">
        <v>86</v>
      </c>
      <c r="F28" s="12" t="s">
        <v>86</v>
      </c>
      <c r="G28" s="12" t="s">
        <v>403</v>
      </c>
      <c r="H28" s="12" t="s">
        <v>410</v>
      </c>
      <c r="I28" s="12" t="s">
        <v>16</v>
      </c>
      <c r="J28" s="12">
        <v>2030</v>
      </c>
      <c r="K28" s="8" t="s">
        <v>476</v>
      </c>
      <c r="L28" s="12" t="s">
        <v>86</v>
      </c>
      <c r="M28" s="12" t="s">
        <v>477</v>
      </c>
      <c r="N28" s="421" t="s">
        <v>505</v>
      </c>
      <c r="O28" s="12" t="s">
        <v>479</v>
      </c>
      <c r="P28" s="12">
        <v>0</v>
      </c>
      <c r="Q28" s="12">
        <v>0.08</v>
      </c>
      <c r="R28" s="12">
        <v>-1</v>
      </c>
      <c r="S28" s="12" t="s">
        <v>86</v>
      </c>
      <c r="T28" s="12">
        <v>0</v>
      </c>
      <c r="U28" s="12" t="s">
        <v>171</v>
      </c>
      <c r="V28" s="12" t="s">
        <v>481</v>
      </c>
      <c r="W28" s="12" t="s">
        <v>518</v>
      </c>
      <c r="X28" s="8" t="s">
        <v>161</v>
      </c>
      <c r="Y28" s="8" t="s">
        <v>162</v>
      </c>
      <c r="Z28" s="8" t="s">
        <v>499</v>
      </c>
      <c r="AA28" s="420" t="b">
        <v>0</v>
      </c>
      <c r="AB28" s="8" t="b">
        <v>0</v>
      </c>
      <c r="AC28" s="8" t="b">
        <v>1</v>
      </c>
      <c r="AD28" s="8" t="b">
        <v>0</v>
      </c>
      <c r="AE28" s="8" t="b">
        <v>0</v>
      </c>
      <c r="AF28" s="8" t="b">
        <v>0</v>
      </c>
      <c r="AG28" s="8" t="b">
        <v>0</v>
      </c>
      <c r="AH28" s="8" t="b">
        <v>0</v>
      </c>
      <c r="AI28" s="8" t="b">
        <v>0</v>
      </c>
      <c r="AJ28" s="107" t="b">
        <v>0</v>
      </c>
      <c r="AK28" s="8" t="b">
        <v>0</v>
      </c>
      <c r="AL28" s="8" t="b">
        <v>0</v>
      </c>
      <c r="AM28" s="8" t="b">
        <v>1</v>
      </c>
    </row>
    <row r="29" spans="1:39" x14ac:dyDescent="0.35">
      <c r="A29" s="8">
        <f t="shared" si="2"/>
        <v>13</v>
      </c>
      <c r="B29" s="8" t="str">
        <f t="shared" si="3"/>
        <v>Cons_stationarycomb_IPCC2006</v>
      </c>
      <c r="C29" s="12" t="s">
        <v>293</v>
      </c>
      <c r="D29" s="8" t="s">
        <v>436</v>
      </c>
      <c r="E29" s="12" t="s">
        <v>86</v>
      </c>
      <c r="F29" s="12" t="s">
        <v>86</v>
      </c>
      <c r="G29" s="12" t="s">
        <v>403</v>
      </c>
      <c r="H29" s="12" t="s">
        <v>410</v>
      </c>
      <c r="I29" s="12" t="s">
        <v>16</v>
      </c>
      <c r="J29" s="12">
        <v>2030</v>
      </c>
      <c r="K29" s="8" t="s">
        <v>476</v>
      </c>
      <c r="L29" s="12" t="s">
        <v>86</v>
      </c>
      <c r="M29" s="12" t="s">
        <v>477</v>
      </c>
      <c r="N29" s="421" t="s">
        <v>506</v>
      </c>
      <c r="O29" s="12" t="s">
        <v>514</v>
      </c>
      <c r="P29" s="12">
        <v>0</v>
      </c>
      <c r="Q29" s="12">
        <v>0.08</v>
      </c>
      <c r="R29" s="12">
        <v>-1</v>
      </c>
      <c r="S29" s="12" t="s">
        <v>86</v>
      </c>
      <c r="T29" s="12">
        <v>0</v>
      </c>
      <c r="U29" s="12" t="s">
        <v>171</v>
      </c>
      <c r="V29" s="12" t="s">
        <v>481</v>
      </c>
      <c r="W29" s="12" t="s">
        <v>518</v>
      </c>
      <c r="X29" s="8" t="s">
        <v>161</v>
      </c>
      <c r="Y29" s="8" t="s">
        <v>162</v>
      </c>
      <c r="Z29" s="8" t="s">
        <v>499</v>
      </c>
      <c r="AA29" s="420" t="b">
        <v>0</v>
      </c>
      <c r="AB29" s="8" t="b">
        <v>0</v>
      </c>
      <c r="AC29" s="8" t="b">
        <v>1</v>
      </c>
      <c r="AD29" s="8" t="b">
        <v>0</v>
      </c>
      <c r="AE29" s="8" t="b">
        <v>0</v>
      </c>
      <c r="AF29" s="8" t="b">
        <v>0</v>
      </c>
      <c r="AG29" s="8" t="b">
        <v>0</v>
      </c>
      <c r="AH29" s="8" t="b">
        <v>0</v>
      </c>
      <c r="AI29" s="8" t="b">
        <v>0</v>
      </c>
      <c r="AJ29" s="107" t="b">
        <v>0</v>
      </c>
      <c r="AK29" s="8" t="b">
        <v>0</v>
      </c>
      <c r="AL29" s="8" t="b">
        <v>0</v>
      </c>
      <c r="AM29" s="8" t="b">
        <v>1</v>
      </c>
    </row>
    <row r="30" spans="1:39" x14ac:dyDescent="0.35">
      <c r="A30" s="8">
        <f t="shared" si="2"/>
        <v>14</v>
      </c>
      <c r="B30" s="8" t="str">
        <f t="shared" si="3"/>
        <v>Cons_scope2_Ispra</v>
      </c>
      <c r="C30" s="12" t="s">
        <v>293</v>
      </c>
      <c r="D30" s="8" t="s">
        <v>436</v>
      </c>
      <c r="E30" s="12" t="s">
        <v>86</v>
      </c>
      <c r="F30" s="12" t="s">
        <v>86</v>
      </c>
      <c r="G30" s="12" t="s">
        <v>403</v>
      </c>
      <c r="H30" s="12" t="s">
        <v>410</v>
      </c>
      <c r="I30" s="12" t="s">
        <v>16</v>
      </c>
      <c r="J30" s="12">
        <v>2030</v>
      </c>
      <c r="K30" s="8" t="s">
        <v>476</v>
      </c>
      <c r="L30" s="12" t="s">
        <v>86</v>
      </c>
      <c r="M30" s="12" t="s">
        <v>477</v>
      </c>
      <c r="N30" s="168" t="s">
        <v>507</v>
      </c>
      <c r="O30" s="12" t="s">
        <v>514</v>
      </c>
      <c r="P30" s="12">
        <v>0</v>
      </c>
      <c r="Q30" s="12">
        <v>0.08</v>
      </c>
      <c r="R30" s="12">
        <v>-1</v>
      </c>
      <c r="S30" s="12" t="s">
        <v>86</v>
      </c>
      <c r="T30" s="12">
        <v>0</v>
      </c>
      <c r="U30" s="12" t="s">
        <v>171</v>
      </c>
      <c r="V30" s="12" t="s">
        <v>481</v>
      </c>
      <c r="W30" s="12" t="s">
        <v>518</v>
      </c>
      <c r="X30" s="8" t="s">
        <v>161</v>
      </c>
      <c r="Y30" s="8" t="s">
        <v>162</v>
      </c>
      <c r="Z30" s="8" t="s">
        <v>499</v>
      </c>
      <c r="AA30" s="420" t="b">
        <v>0</v>
      </c>
      <c r="AB30" s="8" t="b">
        <v>0</v>
      </c>
      <c r="AC30" s="8" t="b">
        <v>1</v>
      </c>
      <c r="AD30" s="8" t="b">
        <v>0</v>
      </c>
      <c r="AE30" s="8" t="b">
        <v>0</v>
      </c>
      <c r="AF30" s="8" t="b">
        <v>0</v>
      </c>
      <c r="AG30" s="8" t="b">
        <v>0</v>
      </c>
      <c r="AH30" s="8" t="b">
        <v>0</v>
      </c>
      <c r="AI30" s="8" t="b">
        <v>0</v>
      </c>
      <c r="AJ30" s="107" t="b">
        <v>0</v>
      </c>
      <c r="AK30" s="8" t="b">
        <v>0</v>
      </c>
      <c r="AL30" s="8" t="b">
        <v>0</v>
      </c>
      <c r="AM30" s="8" t="b">
        <v>1</v>
      </c>
    </row>
    <row r="31" spans="1:39" x14ac:dyDescent="0.35">
      <c r="A31" s="8">
        <f t="shared" si="2"/>
        <v>15</v>
      </c>
      <c r="B31" s="8" t="str">
        <f t="shared" si="3"/>
        <v>Cons_scope2_IPCC</v>
      </c>
      <c r="C31" s="12" t="s">
        <v>293</v>
      </c>
      <c r="D31" s="8" t="s">
        <v>436</v>
      </c>
      <c r="E31" s="12" t="s">
        <v>86</v>
      </c>
      <c r="F31" s="12" t="s">
        <v>86</v>
      </c>
      <c r="G31" s="12" t="s">
        <v>403</v>
      </c>
      <c r="H31" s="12" t="s">
        <v>410</v>
      </c>
      <c r="I31" s="12" t="s">
        <v>16</v>
      </c>
      <c r="J31" s="12">
        <v>2030</v>
      </c>
      <c r="K31" s="8" t="s">
        <v>476</v>
      </c>
      <c r="L31" s="12" t="s">
        <v>86</v>
      </c>
      <c r="M31" s="12" t="s">
        <v>477</v>
      </c>
      <c r="N31" s="421" t="s">
        <v>508</v>
      </c>
      <c r="O31" s="12" t="s">
        <v>514</v>
      </c>
      <c r="P31" s="12">
        <v>0</v>
      </c>
      <c r="Q31" s="12">
        <v>0.08</v>
      </c>
      <c r="R31" s="12">
        <v>-1</v>
      </c>
      <c r="S31" s="12" t="s">
        <v>86</v>
      </c>
      <c r="T31" s="12">
        <v>0</v>
      </c>
      <c r="U31" s="12" t="s">
        <v>171</v>
      </c>
      <c r="V31" s="12" t="s">
        <v>481</v>
      </c>
      <c r="W31" s="12" t="s">
        <v>518</v>
      </c>
      <c r="X31" s="8" t="s">
        <v>161</v>
      </c>
      <c r="Y31" s="8" t="s">
        <v>162</v>
      </c>
      <c r="Z31" s="8" t="s">
        <v>499</v>
      </c>
      <c r="AA31" s="420" t="b">
        <v>0</v>
      </c>
      <c r="AB31" s="8" t="b">
        <v>0</v>
      </c>
      <c r="AC31" s="8" t="b">
        <v>1</v>
      </c>
      <c r="AD31" s="8" t="b">
        <v>0</v>
      </c>
      <c r="AE31" s="8" t="b">
        <v>0</v>
      </c>
      <c r="AF31" s="8" t="b">
        <v>0</v>
      </c>
      <c r="AG31" s="8" t="b">
        <v>0</v>
      </c>
      <c r="AH31" s="8" t="b">
        <v>0</v>
      </c>
      <c r="AI31" s="8" t="b">
        <v>0</v>
      </c>
      <c r="AJ31" s="107" t="b">
        <v>0</v>
      </c>
      <c r="AK31" s="8" t="b">
        <v>0</v>
      </c>
      <c r="AL31" s="8" t="b">
        <v>0</v>
      </c>
      <c r="AM31" s="8" t="b">
        <v>1</v>
      </c>
    </row>
    <row r="32" spans="1:39" x14ac:dyDescent="0.35">
      <c r="A32" s="8">
        <f t="shared" si="2"/>
        <v>16</v>
      </c>
      <c r="B32" s="8" t="str">
        <f t="shared" si="3"/>
        <v>Cons_scope3_IPCC</v>
      </c>
      <c r="C32" s="12" t="s">
        <v>293</v>
      </c>
      <c r="D32" s="8" t="s">
        <v>436</v>
      </c>
      <c r="E32" s="12" t="s">
        <v>86</v>
      </c>
      <c r="F32" s="12" t="s">
        <v>86</v>
      </c>
      <c r="G32" s="12" t="s">
        <v>403</v>
      </c>
      <c r="H32" s="12" t="s">
        <v>410</v>
      </c>
      <c r="I32" s="12" t="s">
        <v>16</v>
      </c>
      <c r="J32" s="12">
        <v>2030</v>
      </c>
      <c r="K32" s="8" t="s">
        <v>476</v>
      </c>
      <c r="L32" s="12" t="s">
        <v>86</v>
      </c>
      <c r="M32" s="12" t="s">
        <v>477</v>
      </c>
      <c r="N32" s="421" t="s">
        <v>509</v>
      </c>
      <c r="O32" s="12" t="s">
        <v>514</v>
      </c>
      <c r="P32" s="12">
        <v>0</v>
      </c>
      <c r="Q32" s="12">
        <v>0.08</v>
      </c>
      <c r="R32" s="12">
        <v>-1</v>
      </c>
      <c r="S32" s="12" t="s">
        <v>86</v>
      </c>
      <c r="T32" s="12">
        <v>0</v>
      </c>
      <c r="U32" s="12" t="s">
        <v>171</v>
      </c>
      <c r="V32" s="12" t="s">
        <v>481</v>
      </c>
      <c r="W32" s="12" t="s">
        <v>518</v>
      </c>
      <c r="X32" s="8" t="s">
        <v>161</v>
      </c>
      <c r="Y32" s="8" t="s">
        <v>162</v>
      </c>
      <c r="Z32" s="8" t="s">
        <v>499</v>
      </c>
      <c r="AA32" s="420" t="b">
        <v>0</v>
      </c>
      <c r="AB32" s="8" t="b">
        <v>0</v>
      </c>
      <c r="AC32" s="8" t="b">
        <v>1</v>
      </c>
      <c r="AD32" s="8" t="b">
        <v>0</v>
      </c>
      <c r="AE32" s="8" t="b">
        <v>0</v>
      </c>
      <c r="AF32" s="8" t="b">
        <v>0</v>
      </c>
      <c r="AG32" s="8" t="b">
        <v>0</v>
      </c>
      <c r="AH32" s="8" t="b">
        <v>0</v>
      </c>
      <c r="AI32" s="8" t="b">
        <v>0</v>
      </c>
      <c r="AJ32" s="107" t="b">
        <v>0</v>
      </c>
      <c r="AK32" s="8" t="b">
        <v>0</v>
      </c>
      <c r="AL32" s="8" t="b">
        <v>0</v>
      </c>
      <c r="AM32" s="8" t="b">
        <v>1</v>
      </c>
    </row>
    <row r="33" spans="1:39" x14ac:dyDescent="0.35">
      <c r="A33" s="8">
        <f t="shared" si="2"/>
        <v>17</v>
      </c>
      <c r="B33" s="8" t="str">
        <f t="shared" si="3"/>
        <v>Cons_scope2_Electricity_Maps</v>
      </c>
      <c r="C33" s="12" t="s">
        <v>293</v>
      </c>
      <c r="D33" s="8" t="s">
        <v>436</v>
      </c>
      <c r="E33" s="12" t="s">
        <v>86</v>
      </c>
      <c r="F33" s="12" t="s">
        <v>86</v>
      </c>
      <c r="G33" s="12" t="s">
        <v>403</v>
      </c>
      <c r="H33" s="12" t="s">
        <v>410</v>
      </c>
      <c r="I33" s="12" t="s">
        <v>16</v>
      </c>
      <c r="J33" s="12">
        <v>2030</v>
      </c>
      <c r="K33" s="8" t="s">
        <v>476</v>
      </c>
      <c r="L33" s="12" t="s">
        <v>86</v>
      </c>
      <c r="M33" s="12" t="s">
        <v>477</v>
      </c>
      <c r="N33" s="421" t="s">
        <v>510</v>
      </c>
      <c r="O33" s="12" t="s">
        <v>514</v>
      </c>
      <c r="P33" s="12">
        <v>0</v>
      </c>
      <c r="Q33" s="12">
        <v>0.08</v>
      </c>
      <c r="R33" s="12">
        <v>-1</v>
      </c>
      <c r="S33" s="12" t="s">
        <v>86</v>
      </c>
      <c r="T33" s="12">
        <v>0</v>
      </c>
      <c r="U33" s="12" t="s">
        <v>171</v>
      </c>
      <c r="V33" s="12" t="s">
        <v>481</v>
      </c>
      <c r="W33" s="12" t="s">
        <v>518</v>
      </c>
      <c r="X33" s="8" t="s">
        <v>161</v>
      </c>
      <c r="Y33" s="8" t="s">
        <v>162</v>
      </c>
      <c r="Z33" s="8" t="s">
        <v>499</v>
      </c>
      <c r="AA33" s="420" t="b">
        <v>0</v>
      </c>
      <c r="AB33" s="8" t="b">
        <v>0</v>
      </c>
      <c r="AC33" s="8" t="b">
        <v>1</v>
      </c>
      <c r="AD33" s="8" t="b">
        <v>0</v>
      </c>
      <c r="AE33" s="8" t="b">
        <v>0</v>
      </c>
      <c r="AF33" s="8" t="b">
        <v>0</v>
      </c>
      <c r="AG33" s="8" t="b">
        <v>0</v>
      </c>
      <c r="AH33" s="8" t="b">
        <v>0</v>
      </c>
      <c r="AI33" s="8" t="b">
        <v>0</v>
      </c>
      <c r="AJ33" s="107" t="b">
        <v>0</v>
      </c>
      <c r="AK33" s="8" t="b">
        <v>0</v>
      </c>
      <c r="AL33" s="8" t="b">
        <v>0</v>
      </c>
      <c r="AM33" s="8" t="b">
        <v>1</v>
      </c>
    </row>
    <row r="34" spans="1:39" x14ac:dyDescent="0.35">
      <c r="A34" s="8">
        <f t="shared" si="2"/>
        <v>18</v>
      </c>
      <c r="B34" s="8" t="str">
        <f t="shared" si="3"/>
        <v>Cons_scope3_Electricity_Maps</v>
      </c>
      <c r="C34" s="12" t="s">
        <v>293</v>
      </c>
      <c r="D34" s="8" t="s">
        <v>436</v>
      </c>
      <c r="E34" s="12" t="s">
        <v>86</v>
      </c>
      <c r="F34" s="12" t="s">
        <v>86</v>
      </c>
      <c r="G34" s="12" t="s">
        <v>403</v>
      </c>
      <c r="H34" s="12" t="s">
        <v>410</v>
      </c>
      <c r="I34" s="12" t="s">
        <v>16</v>
      </c>
      <c r="J34" s="12">
        <v>2030</v>
      </c>
      <c r="K34" s="8" t="s">
        <v>476</v>
      </c>
      <c r="L34" s="12" t="s">
        <v>86</v>
      </c>
      <c r="M34" s="12" t="s">
        <v>477</v>
      </c>
      <c r="N34" s="421" t="s">
        <v>511</v>
      </c>
      <c r="O34" s="12" t="s">
        <v>514</v>
      </c>
      <c r="P34" s="12">
        <v>0</v>
      </c>
      <c r="Q34" s="12">
        <v>0.08</v>
      </c>
      <c r="R34" s="12">
        <v>-1</v>
      </c>
      <c r="S34" s="12" t="s">
        <v>86</v>
      </c>
      <c r="T34" s="12">
        <v>0</v>
      </c>
      <c r="U34" s="12" t="s">
        <v>171</v>
      </c>
      <c r="V34" s="12" t="s">
        <v>481</v>
      </c>
      <c r="W34" s="12" t="s">
        <v>518</v>
      </c>
      <c r="X34" s="8" t="s">
        <v>161</v>
      </c>
      <c r="Y34" s="8" t="s">
        <v>162</v>
      </c>
      <c r="Z34" s="8" t="s">
        <v>499</v>
      </c>
      <c r="AA34" s="420" t="b">
        <v>0</v>
      </c>
      <c r="AB34" s="8" t="b">
        <v>0</v>
      </c>
      <c r="AC34" s="8" t="b">
        <v>1</v>
      </c>
      <c r="AD34" s="8" t="b">
        <v>0</v>
      </c>
      <c r="AE34" s="8" t="b">
        <v>0</v>
      </c>
      <c r="AF34" s="8" t="b">
        <v>0</v>
      </c>
      <c r="AG34" s="8" t="b">
        <v>0</v>
      </c>
      <c r="AH34" s="8" t="b">
        <v>0</v>
      </c>
      <c r="AI34" s="8" t="b">
        <v>0</v>
      </c>
      <c r="AJ34" s="107" t="b">
        <v>0</v>
      </c>
      <c r="AK34" s="8" t="b">
        <v>0</v>
      </c>
      <c r="AL34" s="8" t="b">
        <v>0</v>
      </c>
      <c r="AM34" s="8" t="b">
        <v>1</v>
      </c>
    </row>
    <row r="35" spans="1:39" s="8" customFormat="1" x14ac:dyDescent="0.35">
      <c r="A35" s="8">
        <f t="shared" si="2"/>
        <v>19</v>
      </c>
      <c r="B35" s="8" t="str">
        <f>"HighTax_" &amp; N35</f>
        <v>HighTax_Prod_stationarycomb_IPCC2006</v>
      </c>
      <c r="C35" s="12" t="s">
        <v>293</v>
      </c>
      <c r="D35" s="8" t="s">
        <v>436</v>
      </c>
      <c r="E35" s="12" t="s">
        <v>86</v>
      </c>
      <c r="F35" s="12" t="s">
        <v>86</v>
      </c>
      <c r="G35" s="12" t="s">
        <v>403</v>
      </c>
      <c r="H35" s="12" t="s">
        <v>410</v>
      </c>
      <c r="I35" s="12" t="s">
        <v>16</v>
      </c>
      <c r="J35" s="12">
        <v>2030</v>
      </c>
      <c r="K35" s="8" t="s">
        <v>476</v>
      </c>
      <c r="L35" s="12" t="s">
        <v>86</v>
      </c>
      <c r="M35" s="12" t="s">
        <v>477</v>
      </c>
      <c r="N35" s="168" t="s">
        <v>500</v>
      </c>
      <c r="O35" s="12" t="s">
        <v>479</v>
      </c>
      <c r="P35" s="12">
        <v>0</v>
      </c>
      <c r="Q35" s="12">
        <v>0.15</v>
      </c>
      <c r="R35" s="12">
        <v>-1</v>
      </c>
      <c r="S35" s="12" t="s">
        <v>86</v>
      </c>
      <c r="T35" s="12">
        <v>0</v>
      </c>
      <c r="U35" s="12" t="s">
        <v>171</v>
      </c>
      <c r="V35" s="12" t="s">
        <v>481</v>
      </c>
      <c r="W35" s="12" t="s">
        <v>518</v>
      </c>
      <c r="X35" s="8" t="s">
        <v>161</v>
      </c>
      <c r="Y35" s="8" t="s">
        <v>162</v>
      </c>
      <c r="Z35" s="8" t="s">
        <v>499</v>
      </c>
      <c r="AA35" s="420" t="b">
        <v>0</v>
      </c>
      <c r="AB35" s="8" t="b">
        <v>0</v>
      </c>
      <c r="AC35" s="8" t="b">
        <v>1</v>
      </c>
      <c r="AD35" s="8" t="b">
        <v>0</v>
      </c>
      <c r="AE35" s="8" t="b">
        <v>0</v>
      </c>
      <c r="AF35" s="8" t="b">
        <v>0</v>
      </c>
      <c r="AG35" s="8" t="b">
        <v>0</v>
      </c>
      <c r="AH35" s="8" t="b">
        <v>0</v>
      </c>
      <c r="AI35" s="8" t="b">
        <v>0</v>
      </c>
      <c r="AJ35" s="107" t="b">
        <v>0</v>
      </c>
      <c r="AK35" s="8" t="b">
        <v>0</v>
      </c>
      <c r="AL35" s="8" t="b">
        <v>0</v>
      </c>
      <c r="AM35" s="8" t="b">
        <v>1</v>
      </c>
    </row>
    <row r="36" spans="1:39" s="8" customFormat="1" x14ac:dyDescent="0.35">
      <c r="A36" s="8">
        <f t="shared" si="2"/>
        <v>20</v>
      </c>
      <c r="B36" s="8" t="str">
        <f t="shared" ref="B36:B47" si="4">"HighTax_" &amp; N36</f>
        <v>HighTax_Prod_RFNBO</v>
      </c>
      <c r="C36" s="12" t="s">
        <v>293</v>
      </c>
      <c r="D36" s="8" t="s">
        <v>436</v>
      </c>
      <c r="E36" s="12" t="s">
        <v>86</v>
      </c>
      <c r="F36" s="12" t="s">
        <v>86</v>
      </c>
      <c r="G36" s="12" t="s">
        <v>403</v>
      </c>
      <c r="H36" s="12" t="s">
        <v>410</v>
      </c>
      <c r="I36" s="12" t="s">
        <v>16</v>
      </c>
      <c r="J36" s="12">
        <v>2030</v>
      </c>
      <c r="K36" s="8" t="s">
        <v>476</v>
      </c>
      <c r="L36" s="12" t="s">
        <v>86</v>
      </c>
      <c r="M36" s="12" t="s">
        <v>477</v>
      </c>
      <c r="N36" s="168" t="s">
        <v>513</v>
      </c>
      <c r="O36" s="12" t="s">
        <v>479</v>
      </c>
      <c r="P36" s="12">
        <v>0</v>
      </c>
      <c r="Q36" s="12">
        <v>0.15</v>
      </c>
      <c r="R36" s="12">
        <v>-1</v>
      </c>
      <c r="S36" s="12" t="s">
        <v>86</v>
      </c>
      <c r="T36" s="12">
        <v>0</v>
      </c>
      <c r="U36" s="12" t="s">
        <v>171</v>
      </c>
      <c r="V36" s="12" t="s">
        <v>481</v>
      </c>
      <c r="W36" s="12" t="s">
        <v>518</v>
      </c>
      <c r="X36" s="8" t="s">
        <v>161</v>
      </c>
      <c r="Y36" s="8" t="s">
        <v>162</v>
      </c>
      <c r="Z36" s="8" t="s">
        <v>499</v>
      </c>
      <c r="AA36" s="420" t="b">
        <v>0</v>
      </c>
      <c r="AB36" s="8" t="b">
        <v>0</v>
      </c>
      <c r="AC36" s="8" t="b">
        <v>1</v>
      </c>
      <c r="AD36" s="8" t="b">
        <v>0</v>
      </c>
      <c r="AE36" s="8" t="b">
        <v>0</v>
      </c>
      <c r="AF36" s="8" t="b">
        <v>0</v>
      </c>
      <c r="AG36" s="8" t="b">
        <v>0</v>
      </c>
      <c r="AH36" s="8" t="b">
        <v>0</v>
      </c>
      <c r="AI36" s="8" t="b">
        <v>0</v>
      </c>
      <c r="AJ36" s="107" t="b">
        <v>0</v>
      </c>
      <c r="AK36" s="8" t="b">
        <v>0</v>
      </c>
      <c r="AL36" s="8" t="b">
        <v>0</v>
      </c>
      <c r="AM36" s="8" t="b">
        <v>1</v>
      </c>
    </row>
    <row r="37" spans="1:39" s="8" customFormat="1" x14ac:dyDescent="0.35">
      <c r="A37" s="8">
        <f>ROW(A37)-ROW($A$16)</f>
        <v>21</v>
      </c>
      <c r="B37" s="8" t="str">
        <f t="shared" si="4"/>
        <v>HighTax_Prod_scope2_Ispra</v>
      </c>
      <c r="C37" s="12" t="s">
        <v>293</v>
      </c>
      <c r="D37" s="8" t="s">
        <v>436</v>
      </c>
      <c r="E37" s="12" t="s">
        <v>86</v>
      </c>
      <c r="F37" s="12" t="s">
        <v>86</v>
      </c>
      <c r="G37" s="12" t="s">
        <v>403</v>
      </c>
      <c r="H37" s="12" t="s">
        <v>410</v>
      </c>
      <c r="I37" s="12" t="s">
        <v>16</v>
      </c>
      <c r="J37" s="12">
        <v>2030</v>
      </c>
      <c r="K37" s="8" t="s">
        <v>476</v>
      </c>
      <c r="L37" s="12" t="s">
        <v>86</v>
      </c>
      <c r="M37" s="12" t="s">
        <v>477</v>
      </c>
      <c r="N37" s="168" t="s">
        <v>501</v>
      </c>
      <c r="O37" s="12" t="s">
        <v>479</v>
      </c>
      <c r="P37" s="12">
        <v>0</v>
      </c>
      <c r="Q37" s="12">
        <v>0.15</v>
      </c>
      <c r="R37" s="12">
        <v>-1</v>
      </c>
      <c r="S37" s="12" t="s">
        <v>86</v>
      </c>
      <c r="T37" s="12">
        <v>0</v>
      </c>
      <c r="U37" s="12" t="s">
        <v>171</v>
      </c>
      <c r="V37" s="12" t="s">
        <v>481</v>
      </c>
      <c r="W37" s="12" t="s">
        <v>518</v>
      </c>
      <c r="X37" s="8" t="s">
        <v>161</v>
      </c>
      <c r="Y37" s="8" t="s">
        <v>162</v>
      </c>
      <c r="Z37" s="8" t="s">
        <v>499</v>
      </c>
      <c r="AA37" s="420" t="b">
        <v>0</v>
      </c>
      <c r="AB37" s="8" t="b">
        <v>0</v>
      </c>
      <c r="AC37" s="8" t="b">
        <v>1</v>
      </c>
      <c r="AD37" s="8" t="b">
        <v>0</v>
      </c>
      <c r="AE37" s="8" t="b">
        <v>0</v>
      </c>
      <c r="AF37" s="8" t="b">
        <v>0</v>
      </c>
      <c r="AG37" s="8" t="b">
        <v>0</v>
      </c>
      <c r="AH37" s="8" t="b">
        <v>0</v>
      </c>
      <c r="AI37" s="8" t="b">
        <v>0</v>
      </c>
      <c r="AJ37" s="107" t="b">
        <v>0</v>
      </c>
      <c r="AK37" s="8" t="b">
        <v>0</v>
      </c>
      <c r="AL37" s="8" t="b">
        <v>0</v>
      </c>
      <c r="AM37" s="8" t="b">
        <v>1</v>
      </c>
    </row>
    <row r="38" spans="1:39" s="8" customFormat="1" x14ac:dyDescent="0.35">
      <c r="A38" s="8">
        <f t="shared" si="2"/>
        <v>22</v>
      </c>
      <c r="B38" s="8" t="str">
        <f t="shared" si="4"/>
        <v>HighTax_Prod_scope2_IPCC</v>
      </c>
      <c r="C38" s="12" t="s">
        <v>293</v>
      </c>
      <c r="D38" s="8" t="s">
        <v>436</v>
      </c>
      <c r="E38" s="12" t="s">
        <v>86</v>
      </c>
      <c r="F38" s="12" t="s">
        <v>86</v>
      </c>
      <c r="G38" s="12" t="s">
        <v>403</v>
      </c>
      <c r="H38" s="12" t="s">
        <v>410</v>
      </c>
      <c r="I38" s="12" t="s">
        <v>16</v>
      </c>
      <c r="J38" s="12">
        <v>2030</v>
      </c>
      <c r="K38" s="8" t="s">
        <v>476</v>
      </c>
      <c r="L38" s="12" t="s">
        <v>86</v>
      </c>
      <c r="M38" s="12" t="s">
        <v>477</v>
      </c>
      <c r="N38" s="421" t="s">
        <v>502</v>
      </c>
      <c r="O38" s="12" t="s">
        <v>479</v>
      </c>
      <c r="P38" s="12">
        <v>0</v>
      </c>
      <c r="Q38" s="12">
        <v>0.15</v>
      </c>
      <c r="R38" s="12">
        <v>-1</v>
      </c>
      <c r="S38" s="12" t="s">
        <v>86</v>
      </c>
      <c r="T38" s="12">
        <v>0</v>
      </c>
      <c r="U38" s="12" t="s">
        <v>171</v>
      </c>
      <c r="V38" s="12" t="s">
        <v>481</v>
      </c>
      <c r="W38" s="12" t="s">
        <v>518</v>
      </c>
      <c r="X38" s="8" t="s">
        <v>161</v>
      </c>
      <c r="Y38" s="8" t="s">
        <v>162</v>
      </c>
      <c r="Z38" s="8" t="s">
        <v>499</v>
      </c>
      <c r="AA38" s="420" t="b">
        <v>0</v>
      </c>
      <c r="AB38" s="8" t="b">
        <v>0</v>
      </c>
      <c r="AC38" s="8" t="b">
        <v>1</v>
      </c>
      <c r="AD38" s="8" t="b">
        <v>0</v>
      </c>
      <c r="AE38" s="8" t="b">
        <v>0</v>
      </c>
      <c r="AF38" s="8" t="b">
        <v>0</v>
      </c>
      <c r="AG38" s="8" t="b">
        <v>0</v>
      </c>
      <c r="AH38" s="8" t="b">
        <v>0</v>
      </c>
      <c r="AI38" s="8" t="b">
        <v>0</v>
      </c>
      <c r="AJ38" s="107" t="b">
        <v>0</v>
      </c>
      <c r="AK38" s="8" t="b">
        <v>0</v>
      </c>
      <c r="AL38" s="8" t="b">
        <v>0</v>
      </c>
      <c r="AM38" s="8" t="b">
        <v>1</v>
      </c>
    </row>
    <row r="39" spans="1:39" s="8" customFormat="1" x14ac:dyDescent="0.35">
      <c r="A39" s="8">
        <f t="shared" si="2"/>
        <v>23</v>
      </c>
      <c r="B39" s="8" t="str">
        <f t="shared" si="4"/>
        <v>HighTax_Prod_scope3_IPCC</v>
      </c>
      <c r="C39" s="12" t="s">
        <v>293</v>
      </c>
      <c r="D39" s="8" t="s">
        <v>436</v>
      </c>
      <c r="E39" s="12" t="s">
        <v>86</v>
      </c>
      <c r="F39" s="12" t="s">
        <v>86</v>
      </c>
      <c r="G39" s="12" t="s">
        <v>403</v>
      </c>
      <c r="H39" s="12" t="s">
        <v>410</v>
      </c>
      <c r="I39" s="12" t="s">
        <v>16</v>
      </c>
      <c r="J39" s="12">
        <v>2030</v>
      </c>
      <c r="K39" s="8" t="s">
        <v>476</v>
      </c>
      <c r="L39" s="12" t="s">
        <v>86</v>
      </c>
      <c r="M39" s="12" t="s">
        <v>477</v>
      </c>
      <c r="N39" s="421" t="s">
        <v>503</v>
      </c>
      <c r="O39" s="12" t="s">
        <v>479</v>
      </c>
      <c r="P39" s="12">
        <v>0</v>
      </c>
      <c r="Q39" s="12">
        <v>0.15</v>
      </c>
      <c r="R39" s="12">
        <v>-1</v>
      </c>
      <c r="S39" s="12" t="s">
        <v>86</v>
      </c>
      <c r="T39" s="12">
        <v>0</v>
      </c>
      <c r="U39" s="12" t="s">
        <v>171</v>
      </c>
      <c r="V39" s="12" t="s">
        <v>481</v>
      </c>
      <c r="W39" s="12" t="s">
        <v>518</v>
      </c>
      <c r="X39" s="8" t="s">
        <v>161</v>
      </c>
      <c r="Y39" s="8" t="s">
        <v>162</v>
      </c>
      <c r="Z39" s="8" t="s">
        <v>499</v>
      </c>
      <c r="AA39" s="420" t="b">
        <v>0</v>
      </c>
      <c r="AB39" s="8" t="b">
        <v>0</v>
      </c>
      <c r="AC39" s="8" t="b">
        <v>1</v>
      </c>
      <c r="AD39" s="8" t="b">
        <v>0</v>
      </c>
      <c r="AE39" s="8" t="b">
        <v>0</v>
      </c>
      <c r="AF39" s="8" t="b">
        <v>0</v>
      </c>
      <c r="AG39" s="8" t="b">
        <v>0</v>
      </c>
      <c r="AH39" s="8" t="b">
        <v>0</v>
      </c>
      <c r="AI39" s="8" t="b">
        <v>0</v>
      </c>
      <c r="AJ39" s="107" t="b">
        <v>0</v>
      </c>
      <c r="AK39" s="8" t="b">
        <v>0</v>
      </c>
      <c r="AL39" s="8" t="b">
        <v>0</v>
      </c>
      <c r="AM39" s="8" t="b">
        <v>1</v>
      </c>
    </row>
    <row r="40" spans="1:39" x14ac:dyDescent="0.35">
      <c r="A40" s="8">
        <f t="shared" si="2"/>
        <v>24</v>
      </c>
      <c r="B40" s="8" t="str">
        <f t="shared" si="4"/>
        <v>HighTax_Prod_scope2_Electricity_Maps</v>
      </c>
      <c r="C40" s="12" t="s">
        <v>293</v>
      </c>
      <c r="D40" s="8" t="s">
        <v>436</v>
      </c>
      <c r="E40" s="12" t="s">
        <v>86</v>
      </c>
      <c r="F40" s="12" t="s">
        <v>86</v>
      </c>
      <c r="G40" s="12" t="s">
        <v>403</v>
      </c>
      <c r="H40" s="12" t="s">
        <v>410</v>
      </c>
      <c r="I40" s="12" t="s">
        <v>16</v>
      </c>
      <c r="J40" s="12">
        <v>2030</v>
      </c>
      <c r="K40" s="8" t="s">
        <v>476</v>
      </c>
      <c r="L40" s="12" t="s">
        <v>86</v>
      </c>
      <c r="M40" s="12" t="s">
        <v>477</v>
      </c>
      <c r="N40" s="421" t="s">
        <v>504</v>
      </c>
      <c r="O40" s="12" t="s">
        <v>479</v>
      </c>
      <c r="P40" s="12">
        <v>0</v>
      </c>
      <c r="Q40" s="12">
        <v>0.15</v>
      </c>
      <c r="R40" s="12">
        <v>-1</v>
      </c>
      <c r="S40" s="12" t="s">
        <v>86</v>
      </c>
      <c r="T40" s="12">
        <v>0</v>
      </c>
      <c r="U40" s="12" t="s">
        <v>171</v>
      </c>
      <c r="V40" s="12" t="s">
        <v>481</v>
      </c>
      <c r="W40" s="12" t="s">
        <v>518</v>
      </c>
      <c r="X40" s="8" t="s">
        <v>161</v>
      </c>
      <c r="Y40" s="8" t="s">
        <v>162</v>
      </c>
      <c r="Z40" s="8" t="s">
        <v>499</v>
      </c>
      <c r="AA40" s="420" t="b">
        <v>0</v>
      </c>
      <c r="AB40" s="8" t="b">
        <v>0</v>
      </c>
      <c r="AC40" s="8" t="b">
        <v>1</v>
      </c>
      <c r="AD40" s="8" t="b">
        <v>0</v>
      </c>
      <c r="AE40" s="8" t="b">
        <v>0</v>
      </c>
      <c r="AF40" s="8" t="b">
        <v>0</v>
      </c>
      <c r="AG40" s="8" t="b">
        <v>0</v>
      </c>
      <c r="AH40" s="8" t="b">
        <v>0</v>
      </c>
      <c r="AI40" s="8" t="b">
        <v>0</v>
      </c>
      <c r="AJ40" s="107" t="b">
        <v>0</v>
      </c>
      <c r="AK40" s="8" t="b">
        <v>0</v>
      </c>
      <c r="AL40" s="8" t="b">
        <v>0</v>
      </c>
      <c r="AM40" s="8" t="b">
        <v>1</v>
      </c>
    </row>
    <row r="41" spans="1:39" x14ac:dyDescent="0.35">
      <c r="A41" s="8">
        <f t="shared" si="2"/>
        <v>25</v>
      </c>
      <c r="B41" s="8" t="str">
        <f t="shared" si="4"/>
        <v>HighTax_Prod_scope3_Electricity_Maps</v>
      </c>
      <c r="C41" s="12" t="s">
        <v>293</v>
      </c>
      <c r="D41" s="8" t="s">
        <v>436</v>
      </c>
      <c r="E41" s="12" t="s">
        <v>86</v>
      </c>
      <c r="F41" s="12" t="s">
        <v>86</v>
      </c>
      <c r="G41" s="12" t="s">
        <v>403</v>
      </c>
      <c r="H41" s="12" t="s">
        <v>410</v>
      </c>
      <c r="I41" s="12" t="s">
        <v>16</v>
      </c>
      <c r="J41" s="12">
        <v>2030</v>
      </c>
      <c r="K41" s="8" t="s">
        <v>476</v>
      </c>
      <c r="L41" s="12" t="s">
        <v>86</v>
      </c>
      <c r="M41" s="12" t="s">
        <v>477</v>
      </c>
      <c r="N41" s="421" t="s">
        <v>505</v>
      </c>
      <c r="O41" s="12" t="s">
        <v>479</v>
      </c>
      <c r="P41" s="12">
        <v>0</v>
      </c>
      <c r="Q41" s="12">
        <v>0.15</v>
      </c>
      <c r="R41" s="12">
        <v>-1</v>
      </c>
      <c r="S41" s="12" t="s">
        <v>86</v>
      </c>
      <c r="T41" s="12">
        <v>0</v>
      </c>
      <c r="U41" s="12" t="s">
        <v>171</v>
      </c>
      <c r="V41" s="12" t="s">
        <v>481</v>
      </c>
      <c r="W41" s="12" t="s">
        <v>518</v>
      </c>
      <c r="X41" s="8" t="s">
        <v>161</v>
      </c>
      <c r="Y41" s="8" t="s">
        <v>162</v>
      </c>
      <c r="Z41" s="8" t="s">
        <v>499</v>
      </c>
      <c r="AA41" s="420" t="b">
        <v>0</v>
      </c>
      <c r="AB41" s="8" t="b">
        <v>0</v>
      </c>
      <c r="AC41" s="8" t="b">
        <v>1</v>
      </c>
      <c r="AD41" s="8" t="b">
        <v>0</v>
      </c>
      <c r="AE41" s="8" t="b">
        <v>0</v>
      </c>
      <c r="AF41" s="8" t="b">
        <v>0</v>
      </c>
      <c r="AG41" s="8" t="b">
        <v>0</v>
      </c>
      <c r="AH41" s="8" t="b">
        <v>0</v>
      </c>
      <c r="AI41" s="8" t="b">
        <v>0</v>
      </c>
      <c r="AJ41" s="107" t="b">
        <v>0</v>
      </c>
      <c r="AK41" s="8" t="b">
        <v>0</v>
      </c>
      <c r="AL41" s="8" t="b">
        <v>0</v>
      </c>
      <c r="AM41" s="8" t="b">
        <v>1</v>
      </c>
    </row>
    <row r="42" spans="1:39" x14ac:dyDescent="0.35">
      <c r="A42" s="8">
        <f t="shared" si="2"/>
        <v>26</v>
      </c>
      <c r="B42" s="8" t="str">
        <f t="shared" si="4"/>
        <v>HighTax_Cons_stationarycomb_IPCC2006</v>
      </c>
      <c r="C42" s="12" t="s">
        <v>293</v>
      </c>
      <c r="D42" s="8" t="s">
        <v>436</v>
      </c>
      <c r="E42" s="12" t="s">
        <v>86</v>
      </c>
      <c r="F42" s="12" t="s">
        <v>86</v>
      </c>
      <c r="G42" s="12" t="s">
        <v>403</v>
      </c>
      <c r="H42" s="12" t="s">
        <v>410</v>
      </c>
      <c r="I42" s="12" t="s">
        <v>16</v>
      </c>
      <c r="J42" s="12">
        <v>2030</v>
      </c>
      <c r="K42" s="8" t="s">
        <v>476</v>
      </c>
      <c r="L42" s="12" t="s">
        <v>86</v>
      </c>
      <c r="M42" s="12" t="s">
        <v>477</v>
      </c>
      <c r="N42" s="421" t="s">
        <v>506</v>
      </c>
      <c r="O42" s="12" t="s">
        <v>514</v>
      </c>
      <c r="P42" s="12">
        <v>0</v>
      </c>
      <c r="Q42" s="12">
        <v>0.15</v>
      </c>
      <c r="R42" s="12">
        <v>-1</v>
      </c>
      <c r="S42" s="12" t="s">
        <v>86</v>
      </c>
      <c r="T42" s="12">
        <v>0</v>
      </c>
      <c r="U42" s="12" t="s">
        <v>171</v>
      </c>
      <c r="V42" s="12" t="s">
        <v>481</v>
      </c>
      <c r="W42" s="12" t="s">
        <v>518</v>
      </c>
      <c r="X42" s="8" t="s">
        <v>161</v>
      </c>
      <c r="Y42" s="8" t="s">
        <v>162</v>
      </c>
      <c r="Z42" s="8" t="s">
        <v>499</v>
      </c>
      <c r="AA42" s="420" t="b">
        <v>0</v>
      </c>
      <c r="AB42" s="8" t="b">
        <v>0</v>
      </c>
      <c r="AC42" s="8" t="b">
        <v>1</v>
      </c>
      <c r="AD42" s="8" t="b">
        <v>0</v>
      </c>
      <c r="AE42" s="8" t="b">
        <v>0</v>
      </c>
      <c r="AF42" s="8" t="b">
        <v>0</v>
      </c>
      <c r="AG42" s="8" t="b">
        <v>0</v>
      </c>
      <c r="AH42" s="8" t="b">
        <v>0</v>
      </c>
      <c r="AI42" s="8" t="b">
        <v>0</v>
      </c>
      <c r="AJ42" s="107" t="b">
        <v>0</v>
      </c>
      <c r="AK42" s="8" t="b">
        <v>0</v>
      </c>
      <c r="AL42" s="8" t="b">
        <v>0</v>
      </c>
      <c r="AM42" s="8" t="b">
        <v>1</v>
      </c>
    </row>
    <row r="43" spans="1:39" x14ac:dyDescent="0.35">
      <c r="A43" s="8">
        <f t="shared" si="2"/>
        <v>27</v>
      </c>
      <c r="B43" s="8" t="str">
        <f t="shared" si="4"/>
        <v>HighTax_Cons_scope2_Ispra</v>
      </c>
      <c r="C43" s="12" t="s">
        <v>293</v>
      </c>
      <c r="D43" s="8" t="s">
        <v>436</v>
      </c>
      <c r="E43" s="12" t="s">
        <v>86</v>
      </c>
      <c r="F43" s="12" t="s">
        <v>86</v>
      </c>
      <c r="G43" s="12" t="s">
        <v>403</v>
      </c>
      <c r="H43" s="12" t="s">
        <v>410</v>
      </c>
      <c r="I43" s="12" t="s">
        <v>16</v>
      </c>
      <c r="J43" s="12">
        <v>2030</v>
      </c>
      <c r="K43" s="8" t="s">
        <v>476</v>
      </c>
      <c r="L43" s="12" t="s">
        <v>86</v>
      </c>
      <c r="M43" s="12" t="s">
        <v>477</v>
      </c>
      <c r="N43" s="168" t="s">
        <v>507</v>
      </c>
      <c r="O43" s="12" t="s">
        <v>514</v>
      </c>
      <c r="P43" s="12">
        <v>0</v>
      </c>
      <c r="Q43" s="12">
        <v>0.15</v>
      </c>
      <c r="R43" s="12">
        <v>-1</v>
      </c>
      <c r="S43" s="12" t="s">
        <v>86</v>
      </c>
      <c r="T43" s="12">
        <v>0</v>
      </c>
      <c r="U43" s="12" t="s">
        <v>171</v>
      </c>
      <c r="V43" s="12" t="s">
        <v>481</v>
      </c>
      <c r="W43" s="12" t="s">
        <v>518</v>
      </c>
      <c r="X43" s="8" t="s">
        <v>161</v>
      </c>
      <c r="Y43" s="8" t="s">
        <v>162</v>
      </c>
      <c r="Z43" s="8" t="s">
        <v>499</v>
      </c>
      <c r="AA43" s="420" t="b">
        <v>0</v>
      </c>
      <c r="AB43" s="8" t="b">
        <v>0</v>
      </c>
      <c r="AC43" s="8" t="b">
        <v>1</v>
      </c>
      <c r="AD43" s="8" t="b">
        <v>0</v>
      </c>
      <c r="AE43" s="8" t="b">
        <v>0</v>
      </c>
      <c r="AF43" s="8" t="b">
        <v>0</v>
      </c>
      <c r="AG43" s="8" t="b">
        <v>0</v>
      </c>
      <c r="AH43" s="8" t="b">
        <v>0</v>
      </c>
      <c r="AI43" s="8" t="b">
        <v>0</v>
      </c>
      <c r="AJ43" s="107" t="b">
        <v>0</v>
      </c>
      <c r="AK43" s="8" t="b">
        <v>0</v>
      </c>
      <c r="AL43" s="8" t="b">
        <v>0</v>
      </c>
      <c r="AM43" s="8" t="b">
        <v>1</v>
      </c>
    </row>
    <row r="44" spans="1:39" x14ac:dyDescent="0.35">
      <c r="A44" s="8">
        <f t="shared" si="2"/>
        <v>28</v>
      </c>
      <c r="B44" s="8" t="str">
        <f t="shared" si="4"/>
        <v>HighTax_Cons_scope2_IPCC</v>
      </c>
      <c r="C44" s="12" t="s">
        <v>293</v>
      </c>
      <c r="D44" s="8" t="s">
        <v>436</v>
      </c>
      <c r="E44" s="12" t="s">
        <v>86</v>
      </c>
      <c r="F44" s="12" t="s">
        <v>86</v>
      </c>
      <c r="G44" s="12" t="s">
        <v>403</v>
      </c>
      <c r="H44" s="12" t="s">
        <v>410</v>
      </c>
      <c r="I44" s="12" t="s">
        <v>16</v>
      </c>
      <c r="J44" s="12">
        <v>2030</v>
      </c>
      <c r="K44" s="8" t="s">
        <v>476</v>
      </c>
      <c r="L44" s="12" t="s">
        <v>86</v>
      </c>
      <c r="M44" s="12" t="s">
        <v>477</v>
      </c>
      <c r="N44" s="421" t="s">
        <v>508</v>
      </c>
      <c r="O44" s="12" t="s">
        <v>514</v>
      </c>
      <c r="P44" s="12">
        <v>0</v>
      </c>
      <c r="Q44" s="12">
        <v>0.15</v>
      </c>
      <c r="R44" s="12">
        <v>-1</v>
      </c>
      <c r="S44" s="12" t="s">
        <v>86</v>
      </c>
      <c r="T44" s="12">
        <v>0</v>
      </c>
      <c r="U44" s="12" t="s">
        <v>171</v>
      </c>
      <c r="V44" s="12" t="s">
        <v>481</v>
      </c>
      <c r="W44" s="12" t="s">
        <v>518</v>
      </c>
      <c r="X44" s="8" t="s">
        <v>161</v>
      </c>
      <c r="Y44" s="8" t="s">
        <v>162</v>
      </c>
      <c r="Z44" s="8" t="s">
        <v>499</v>
      </c>
      <c r="AA44" s="420" t="b">
        <v>0</v>
      </c>
      <c r="AB44" s="8" t="b">
        <v>0</v>
      </c>
      <c r="AC44" s="8" t="b">
        <v>1</v>
      </c>
      <c r="AD44" s="8" t="b">
        <v>0</v>
      </c>
      <c r="AE44" s="8" t="b">
        <v>0</v>
      </c>
      <c r="AF44" s="8" t="b">
        <v>0</v>
      </c>
      <c r="AG44" s="8" t="b">
        <v>0</v>
      </c>
      <c r="AH44" s="8" t="b">
        <v>0</v>
      </c>
      <c r="AI44" s="8" t="b">
        <v>0</v>
      </c>
      <c r="AJ44" s="107" t="b">
        <v>0</v>
      </c>
      <c r="AK44" s="8" t="b">
        <v>0</v>
      </c>
      <c r="AL44" s="8" t="b">
        <v>0</v>
      </c>
      <c r="AM44" s="8" t="b">
        <v>1</v>
      </c>
    </row>
    <row r="45" spans="1:39" x14ac:dyDescent="0.35">
      <c r="A45" s="8">
        <f t="shared" si="2"/>
        <v>29</v>
      </c>
      <c r="B45" s="8" t="str">
        <f t="shared" si="4"/>
        <v>HighTax_Cons_scope3_IPCC</v>
      </c>
      <c r="C45" s="12" t="s">
        <v>293</v>
      </c>
      <c r="D45" s="8" t="s">
        <v>436</v>
      </c>
      <c r="E45" s="12" t="s">
        <v>86</v>
      </c>
      <c r="F45" s="12" t="s">
        <v>86</v>
      </c>
      <c r="G45" s="12" t="s">
        <v>403</v>
      </c>
      <c r="H45" s="12" t="s">
        <v>410</v>
      </c>
      <c r="I45" s="12" t="s">
        <v>16</v>
      </c>
      <c r="J45" s="12">
        <v>2030</v>
      </c>
      <c r="K45" s="8" t="s">
        <v>476</v>
      </c>
      <c r="L45" s="12" t="s">
        <v>86</v>
      </c>
      <c r="M45" s="12" t="s">
        <v>477</v>
      </c>
      <c r="N45" s="421" t="s">
        <v>509</v>
      </c>
      <c r="O45" s="12" t="s">
        <v>514</v>
      </c>
      <c r="P45" s="12">
        <v>0</v>
      </c>
      <c r="Q45" s="12">
        <v>0.15</v>
      </c>
      <c r="R45" s="12">
        <v>-1</v>
      </c>
      <c r="S45" s="12" t="s">
        <v>86</v>
      </c>
      <c r="T45" s="12">
        <v>0</v>
      </c>
      <c r="U45" s="12" t="s">
        <v>171</v>
      </c>
      <c r="V45" s="12" t="s">
        <v>481</v>
      </c>
      <c r="W45" s="12" t="s">
        <v>518</v>
      </c>
      <c r="X45" s="8" t="s">
        <v>161</v>
      </c>
      <c r="Y45" s="8" t="s">
        <v>162</v>
      </c>
      <c r="Z45" s="8" t="s">
        <v>499</v>
      </c>
      <c r="AA45" s="420" t="b">
        <v>0</v>
      </c>
      <c r="AB45" s="8" t="b">
        <v>0</v>
      </c>
      <c r="AC45" s="8" t="b">
        <v>1</v>
      </c>
      <c r="AD45" s="8" t="b">
        <v>0</v>
      </c>
      <c r="AE45" s="8" t="b">
        <v>0</v>
      </c>
      <c r="AF45" s="8" t="b">
        <v>0</v>
      </c>
      <c r="AG45" s="8" t="b">
        <v>0</v>
      </c>
      <c r="AH45" s="8" t="b">
        <v>0</v>
      </c>
      <c r="AI45" s="8" t="b">
        <v>0</v>
      </c>
      <c r="AJ45" s="107" t="b">
        <v>0</v>
      </c>
      <c r="AK45" s="8" t="b">
        <v>0</v>
      </c>
      <c r="AL45" s="8" t="b">
        <v>0</v>
      </c>
      <c r="AM45" s="8" t="b">
        <v>1</v>
      </c>
    </row>
    <row r="46" spans="1:39" x14ac:dyDescent="0.35">
      <c r="A46" s="8">
        <f t="shared" si="2"/>
        <v>30</v>
      </c>
      <c r="B46" s="8" t="str">
        <f t="shared" si="4"/>
        <v>HighTax_Cons_scope2_Electricity_Maps</v>
      </c>
      <c r="C46" s="12" t="s">
        <v>293</v>
      </c>
      <c r="D46" s="8" t="s">
        <v>436</v>
      </c>
      <c r="E46" s="12" t="s">
        <v>86</v>
      </c>
      <c r="F46" s="12" t="s">
        <v>86</v>
      </c>
      <c r="G46" s="12" t="s">
        <v>403</v>
      </c>
      <c r="H46" s="12" t="s">
        <v>410</v>
      </c>
      <c r="I46" s="12" t="s">
        <v>16</v>
      </c>
      <c r="J46" s="12">
        <v>2030</v>
      </c>
      <c r="K46" s="8" t="s">
        <v>476</v>
      </c>
      <c r="L46" s="12" t="s">
        <v>86</v>
      </c>
      <c r="M46" s="12" t="s">
        <v>477</v>
      </c>
      <c r="N46" s="421" t="s">
        <v>510</v>
      </c>
      <c r="O46" s="12" t="s">
        <v>514</v>
      </c>
      <c r="P46" s="12">
        <v>0</v>
      </c>
      <c r="Q46" s="12">
        <v>0.15</v>
      </c>
      <c r="R46" s="12">
        <v>-1</v>
      </c>
      <c r="S46" s="12" t="s">
        <v>86</v>
      </c>
      <c r="T46" s="12">
        <v>0</v>
      </c>
      <c r="U46" s="12" t="s">
        <v>171</v>
      </c>
      <c r="V46" s="12" t="s">
        <v>481</v>
      </c>
      <c r="W46" s="12" t="s">
        <v>518</v>
      </c>
      <c r="X46" s="8" t="s">
        <v>161</v>
      </c>
      <c r="Y46" s="8" t="s">
        <v>162</v>
      </c>
      <c r="Z46" s="8" t="s">
        <v>499</v>
      </c>
      <c r="AA46" s="420" t="b">
        <v>0</v>
      </c>
      <c r="AB46" s="8" t="b">
        <v>0</v>
      </c>
      <c r="AC46" s="8" t="b">
        <v>1</v>
      </c>
      <c r="AD46" s="8" t="b">
        <v>0</v>
      </c>
      <c r="AE46" s="8" t="b">
        <v>0</v>
      </c>
      <c r="AF46" s="8" t="b">
        <v>0</v>
      </c>
      <c r="AG46" s="8" t="b">
        <v>0</v>
      </c>
      <c r="AH46" s="8" t="b">
        <v>0</v>
      </c>
      <c r="AI46" s="8" t="b">
        <v>0</v>
      </c>
      <c r="AJ46" s="107" t="b">
        <v>0</v>
      </c>
      <c r="AK46" s="8" t="b">
        <v>0</v>
      </c>
      <c r="AL46" s="8" t="b">
        <v>0</v>
      </c>
      <c r="AM46" s="8" t="b">
        <v>1</v>
      </c>
    </row>
    <row r="47" spans="1:39" x14ac:dyDescent="0.35">
      <c r="A47" s="8">
        <f t="shared" si="2"/>
        <v>31</v>
      </c>
      <c r="B47" s="8" t="str">
        <f t="shared" si="4"/>
        <v>HighTax_Cons_scope3_Electricity_Maps</v>
      </c>
      <c r="C47" s="12" t="s">
        <v>293</v>
      </c>
      <c r="D47" s="8" t="s">
        <v>436</v>
      </c>
      <c r="E47" s="12" t="s">
        <v>86</v>
      </c>
      <c r="F47" s="12" t="s">
        <v>86</v>
      </c>
      <c r="G47" s="12" t="s">
        <v>403</v>
      </c>
      <c r="H47" s="12" t="s">
        <v>410</v>
      </c>
      <c r="I47" s="12" t="s">
        <v>16</v>
      </c>
      <c r="J47" s="12">
        <v>2030</v>
      </c>
      <c r="K47" s="8" t="s">
        <v>476</v>
      </c>
      <c r="L47" s="12" t="s">
        <v>86</v>
      </c>
      <c r="M47" s="12" t="s">
        <v>477</v>
      </c>
      <c r="N47" s="421" t="s">
        <v>511</v>
      </c>
      <c r="O47" s="12" t="s">
        <v>514</v>
      </c>
      <c r="P47" s="12">
        <v>0</v>
      </c>
      <c r="Q47" s="12">
        <v>0.15</v>
      </c>
      <c r="R47" s="12">
        <v>-1</v>
      </c>
      <c r="S47" s="12" t="s">
        <v>86</v>
      </c>
      <c r="T47" s="12">
        <v>0</v>
      </c>
      <c r="U47" s="12" t="s">
        <v>171</v>
      </c>
      <c r="V47" s="12" t="s">
        <v>481</v>
      </c>
      <c r="W47" s="12" t="s">
        <v>518</v>
      </c>
      <c r="X47" s="8" t="s">
        <v>161</v>
      </c>
      <c r="Y47" s="8" t="s">
        <v>162</v>
      </c>
      <c r="Z47" s="8" t="s">
        <v>499</v>
      </c>
      <c r="AA47" s="420" t="b">
        <v>0</v>
      </c>
      <c r="AB47" s="8" t="b">
        <v>0</v>
      </c>
      <c r="AC47" s="8" t="b">
        <v>1</v>
      </c>
      <c r="AD47" s="8" t="b">
        <v>0</v>
      </c>
      <c r="AE47" s="8" t="b">
        <v>0</v>
      </c>
      <c r="AF47" s="8" t="b">
        <v>0</v>
      </c>
      <c r="AG47" s="8" t="b">
        <v>0</v>
      </c>
      <c r="AH47" s="8" t="b">
        <v>0</v>
      </c>
      <c r="AI47" s="8" t="b">
        <v>0</v>
      </c>
      <c r="AJ47" s="107" t="b">
        <v>0</v>
      </c>
      <c r="AK47" s="8" t="b">
        <v>0</v>
      </c>
      <c r="AL47" s="8" t="b">
        <v>0</v>
      </c>
      <c r="AM47" s="8" t="b">
        <v>1</v>
      </c>
    </row>
  </sheetData>
  <mergeCells count="23">
    <mergeCell ref="A15:C15"/>
    <mergeCell ref="D15:J15"/>
    <mergeCell ref="P15:T15"/>
    <mergeCell ref="AK7:AM7"/>
    <mergeCell ref="B2:B7"/>
    <mergeCell ref="C2:C7"/>
    <mergeCell ref="W2:W7"/>
    <mergeCell ref="V2:V4"/>
    <mergeCell ref="S2:S7"/>
    <mergeCell ref="R2:R7"/>
    <mergeCell ref="M5:M9"/>
    <mergeCell ref="M2:M3"/>
    <mergeCell ref="L2:L4"/>
    <mergeCell ref="U15:Z15"/>
    <mergeCell ref="K15:O15"/>
    <mergeCell ref="AA15:AJ15"/>
    <mergeCell ref="AK15:AM15"/>
    <mergeCell ref="N2:N3"/>
    <mergeCell ref="O2:O3"/>
    <mergeCell ref="P2:P8"/>
    <mergeCell ref="Q2:Q8"/>
    <mergeCell ref="T2:T12"/>
    <mergeCell ref="U2:U5"/>
  </mergeCells>
  <phoneticPr fontId="16" type="noConversion"/>
  <conditionalFormatting sqref="AA17:AM47">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66" t="s">
        <v>110</v>
      </c>
      <c r="C2" s="473" t="s">
        <v>104</v>
      </c>
      <c r="D2" s="8" t="s">
        <v>179</v>
      </c>
      <c r="E2" s="8" t="s">
        <v>67</v>
      </c>
      <c r="F2" s="8" t="s">
        <v>87</v>
      </c>
      <c r="G2" s="8">
        <v>2020</v>
      </c>
      <c r="H2" s="465" t="s">
        <v>127</v>
      </c>
      <c r="I2" s="465" t="s">
        <v>126</v>
      </c>
      <c r="J2" s="8" t="s">
        <v>59</v>
      </c>
      <c r="K2" s="8" t="s">
        <v>117</v>
      </c>
      <c r="L2" s="8" t="s">
        <v>117</v>
      </c>
      <c r="M2" s="465" t="s">
        <v>175</v>
      </c>
      <c r="N2" s="467" t="s">
        <v>176</v>
      </c>
      <c r="O2" s="488" t="s">
        <v>178</v>
      </c>
      <c r="P2" s="465" t="s">
        <v>121</v>
      </c>
      <c r="Q2" s="465" t="s">
        <v>122</v>
      </c>
      <c r="R2" s="8" t="s">
        <v>152</v>
      </c>
      <c r="S2" s="8" t="s">
        <v>152</v>
      </c>
      <c r="T2" s="8" t="s">
        <v>106</v>
      </c>
    </row>
    <row r="3" spans="1:35" x14ac:dyDescent="0.35">
      <c r="B3" s="466"/>
      <c r="C3" s="473"/>
      <c r="D3" s="8" t="s">
        <v>180</v>
      </c>
      <c r="E3" s="8" t="s">
        <v>84</v>
      </c>
      <c r="F3" s="8" t="s">
        <v>60</v>
      </c>
      <c r="G3" s="8">
        <v>2030</v>
      </c>
      <c r="H3" s="465"/>
      <c r="I3" s="465"/>
      <c r="J3" s="8" t="s">
        <v>68</v>
      </c>
      <c r="M3" s="465"/>
      <c r="N3" s="467"/>
      <c r="O3" s="488"/>
      <c r="P3" s="465"/>
      <c r="Q3" s="465"/>
      <c r="R3" s="8"/>
      <c r="S3" s="8"/>
      <c r="T3" s="8"/>
    </row>
    <row r="4" spans="1:35" x14ac:dyDescent="0.35">
      <c r="B4" s="466"/>
      <c r="C4" s="473"/>
      <c r="D4" s="8" t="s">
        <v>172</v>
      </c>
      <c r="E4" s="8" t="s">
        <v>275</v>
      </c>
      <c r="F4" s="8" t="s">
        <v>86</v>
      </c>
      <c r="G4" s="8">
        <v>2050</v>
      </c>
      <c r="H4" s="8"/>
      <c r="I4" s="465"/>
      <c r="J4" s="8" t="s">
        <v>167</v>
      </c>
      <c r="K4" s="8"/>
      <c r="L4" s="8"/>
      <c r="M4" s="465"/>
      <c r="N4" s="467"/>
      <c r="O4" s="488"/>
      <c r="P4" s="465"/>
      <c r="Q4" s="465"/>
      <c r="R4" s="8"/>
      <c r="S4" s="8"/>
      <c r="T4" s="8"/>
    </row>
    <row r="5" spans="1:35" x14ac:dyDescent="0.35">
      <c r="B5" s="466"/>
      <c r="C5" s="473"/>
      <c r="D5" s="8"/>
      <c r="E5" s="8" t="s">
        <v>276</v>
      </c>
      <c r="F5" s="8"/>
      <c r="G5" s="8"/>
      <c r="H5" s="8"/>
      <c r="I5" s="26"/>
      <c r="J5" s="8"/>
      <c r="K5" s="8"/>
      <c r="L5" s="8"/>
      <c r="M5" s="465"/>
      <c r="N5" s="467"/>
      <c r="O5" s="488"/>
      <c r="P5" s="465"/>
      <c r="Q5" s="465"/>
      <c r="R5" s="8"/>
      <c r="S5" s="8"/>
      <c r="T5" s="8"/>
    </row>
    <row r="6" spans="1:35" x14ac:dyDescent="0.35">
      <c r="B6" s="466"/>
      <c r="C6" s="473"/>
      <c r="D6" s="8"/>
      <c r="E6" s="8" t="s">
        <v>277</v>
      </c>
      <c r="F6" s="8"/>
      <c r="G6" s="8"/>
      <c r="H6" s="8"/>
      <c r="I6" s="26"/>
      <c r="J6" s="8"/>
      <c r="K6" s="8"/>
      <c r="L6" s="8"/>
      <c r="M6" s="465"/>
      <c r="N6" s="467"/>
      <c r="O6" s="488"/>
      <c r="P6" s="465"/>
      <c r="Q6" s="465"/>
      <c r="R6" s="8"/>
      <c r="S6" s="8"/>
      <c r="T6" s="8"/>
    </row>
    <row r="7" spans="1:35" x14ac:dyDescent="0.35">
      <c r="B7" s="466"/>
      <c r="C7" s="473"/>
      <c r="E7" s="8" t="s">
        <v>278</v>
      </c>
      <c r="F7" s="8"/>
      <c r="G7" s="8"/>
      <c r="H7" s="8"/>
      <c r="I7" s="8"/>
      <c r="J7" s="8"/>
      <c r="K7" s="8"/>
      <c r="L7" s="8"/>
      <c r="M7" s="465"/>
      <c r="N7" s="467"/>
      <c r="O7" s="488"/>
      <c r="P7" s="465"/>
      <c r="Q7" s="465"/>
      <c r="R7" s="12"/>
      <c r="S7" s="12"/>
      <c r="T7" s="12"/>
      <c r="V7" s="94" t="s">
        <v>103</v>
      </c>
      <c r="W7" s="12"/>
      <c r="X7" s="12"/>
      <c r="Y7" s="12"/>
      <c r="Z7" s="12"/>
      <c r="AA7" s="12"/>
      <c r="AB7" s="12"/>
      <c r="AC7" s="12"/>
      <c r="AD7" s="12"/>
      <c r="AE7" s="12"/>
      <c r="AF7" s="22"/>
      <c r="AG7" s="471" t="s">
        <v>107</v>
      </c>
      <c r="AH7" s="472"/>
      <c r="AI7" s="472"/>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66" t="s">
        <v>110</v>
      </c>
      <c r="C2" s="473" t="s">
        <v>104</v>
      </c>
      <c r="D2" s="8" t="s">
        <v>179</v>
      </c>
      <c r="E2" s="8" t="s">
        <v>67</v>
      </c>
      <c r="F2" s="8" t="s">
        <v>87</v>
      </c>
      <c r="G2" s="8">
        <v>2020</v>
      </c>
      <c r="H2" s="465" t="s">
        <v>127</v>
      </c>
      <c r="I2" s="465" t="s">
        <v>126</v>
      </c>
      <c r="J2" s="8" t="s">
        <v>59</v>
      </c>
      <c r="K2" s="8" t="s">
        <v>117</v>
      </c>
      <c r="L2" s="8" t="s">
        <v>117</v>
      </c>
      <c r="M2" s="465" t="s">
        <v>175</v>
      </c>
      <c r="N2" s="467" t="s">
        <v>176</v>
      </c>
      <c r="O2" s="488" t="s">
        <v>178</v>
      </c>
      <c r="P2" s="465" t="s">
        <v>121</v>
      </c>
      <c r="Q2" s="465" t="s">
        <v>122</v>
      </c>
      <c r="R2" s="8" t="s">
        <v>152</v>
      </c>
      <c r="S2" s="8" t="s">
        <v>152</v>
      </c>
      <c r="T2" s="8" t="s">
        <v>106</v>
      </c>
    </row>
    <row r="3" spans="1:35" x14ac:dyDescent="0.35">
      <c r="B3" s="466"/>
      <c r="C3" s="473"/>
      <c r="D3" s="8" t="s">
        <v>180</v>
      </c>
      <c r="E3" s="8" t="s">
        <v>84</v>
      </c>
      <c r="F3" s="8" t="s">
        <v>60</v>
      </c>
      <c r="G3" s="8">
        <v>2030</v>
      </c>
      <c r="H3" s="465"/>
      <c r="I3" s="465"/>
      <c r="J3" s="8" t="s">
        <v>68</v>
      </c>
      <c r="M3" s="465"/>
      <c r="N3" s="467"/>
      <c r="O3" s="488"/>
      <c r="P3" s="465"/>
      <c r="Q3" s="465"/>
      <c r="R3" s="8"/>
      <c r="S3" s="8"/>
      <c r="T3" s="8"/>
    </row>
    <row r="4" spans="1:35" x14ac:dyDescent="0.35">
      <c r="B4" s="466"/>
      <c r="C4" s="473"/>
      <c r="D4" s="8" t="s">
        <v>172</v>
      </c>
      <c r="E4" s="8" t="s">
        <v>275</v>
      </c>
      <c r="F4" s="8" t="s">
        <v>86</v>
      </c>
      <c r="G4" s="8">
        <v>2050</v>
      </c>
      <c r="H4" s="8"/>
      <c r="I4" s="465"/>
      <c r="J4" s="8" t="s">
        <v>167</v>
      </c>
      <c r="K4" s="8"/>
      <c r="L4" s="8"/>
      <c r="M4" s="465"/>
      <c r="N4" s="467"/>
      <c r="O4" s="488"/>
      <c r="P4" s="465"/>
      <c r="Q4" s="465"/>
      <c r="R4" s="8"/>
      <c r="S4" s="8"/>
      <c r="T4" s="8"/>
    </row>
    <row r="5" spans="1:35" x14ac:dyDescent="0.35">
      <c r="B5" s="466"/>
      <c r="C5" s="473"/>
      <c r="D5" s="8"/>
      <c r="E5" s="8" t="s">
        <v>276</v>
      </c>
      <c r="F5" s="8"/>
      <c r="G5" s="8"/>
      <c r="H5" s="8"/>
      <c r="I5" s="26"/>
      <c r="J5" s="8"/>
      <c r="K5" s="8"/>
      <c r="L5" s="8"/>
      <c r="M5" s="465"/>
      <c r="N5" s="467"/>
      <c r="O5" s="488"/>
      <c r="P5" s="465"/>
      <c r="Q5" s="465"/>
      <c r="R5" s="8"/>
      <c r="S5" s="8"/>
      <c r="T5" s="8"/>
    </row>
    <row r="6" spans="1:35" x14ac:dyDescent="0.35">
      <c r="B6" s="466"/>
      <c r="C6" s="473"/>
      <c r="D6" s="8"/>
      <c r="E6" s="8" t="s">
        <v>277</v>
      </c>
      <c r="F6" s="8"/>
      <c r="G6" s="8"/>
      <c r="H6" s="8"/>
      <c r="I6" s="26"/>
      <c r="J6" s="8"/>
      <c r="K6" s="8"/>
      <c r="L6" s="8"/>
      <c r="M6" s="465"/>
      <c r="N6" s="467"/>
      <c r="O6" s="488"/>
      <c r="P6" s="465"/>
      <c r="Q6" s="465"/>
      <c r="R6" s="8"/>
      <c r="S6" s="8"/>
      <c r="T6" s="8"/>
    </row>
    <row r="7" spans="1:35" x14ac:dyDescent="0.35">
      <c r="B7" s="466"/>
      <c r="C7" s="473"/>
      <c r="E7" s="8" t="s">
        <v>278</v>
      </c>
      <c r="F7" s="8"/>
      <c r="G7" s="8"/>
      <c r="H7" s="8"/>
      <c r="I7" s="8"/>
      <c r="J7" s="8"/>
      <c r="K7" s="8"/>
      <c r="L7" s="8"/>
      <c r="M7" s="465"/>
      <c r="N7" s="467"/>
      <c r="O7" s="488"/>
      <c r="P7" s="465"/>
      <c r="Q7" s="465"/>
      <c r="R7" s="12"/>
      <c r="S7" s="12"/>
      <c r="T7" s="12"/>
      <c r="V7" s="94" t="s">
        <v>103</v>
      </c>
      <c r="W7" s="12"/>
      <c r="X7" s="12"/>
      <c r="Y7" s="12"/>
      <c r="Z7" s="12"/>
      <c r="AA7" s="12"/>
      <c r="AB7" s="12"/>
      <c r="AC7" s="12"/>
      <c r="AD7" s="12"/>
      <c r="AE7" s="12"/>
      <c r="AF7" s="22"/>
      <c r="AG7" s="471" t="s">
        <v>107</v>
      </c>
      <c r="AH7" s="472"/>
      <c r="AI7" s="472"/>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72"/>
      <c r="B1" s="472"/>
      <c r="C1" s="472"/>
      <c r="D1" s="4"/>
      <c r="E1" s="8"/>
      <c r="F1" s="97" t="s">
        <v>93</v>
      </c>
      <c r="G1" s="109" t="s">
        <v>369</v>
      </c>
      <c r="H1" s="109" t="s">
        <v>370</v>
      </c>
      <c r="I1" s="121" t="s">
        <v>402</v>
      </c>
      <c r="J1" s="126" t="s">
        <v>2</v>
      </c>
      <c r="K1" s="121" t="s">
        <v>4</v>
      </c>
      <c r="L1" s="121" t="s">
        <v>5</v>
      </c>
      <c r="M1" s="121" t="s">
        <v>274</v>
      </c>
      <c r="N1" s="126" t="s">
        <v>3</v>
      </c>
      <c r="O1" s="126" t="s">
        <v>181</v>
      </c>
      <c r="P1" s="171" t="s">
        <v>6</v>
      </c>
      <c r="Q1" s="480" t="s">
        <v>51</v>
      </c>
      <c r="R1" s="481"/>
      <c r="S1" s="481"/>
      <c r="T1" s="482"/>
      <c r="U1" s="480" t="s">
        <v>52</v>
      </c>
      <c r="V1" s="481"/>
      <c r="W1" s="481"/>
      <c r="X1" s="482"/>
      <c r="Y1" s="480" t="s">
        <v>273</v>
      </c>
      <c r="Z1" s="481"/>
      <c r="AA1" s="481"/>
      <c r="AB1" s="482"/>
      <c r="AC1" s="480" t="s">
        <v>53</v>
      </c>
      <c r="AD1" s="481"/>
      <c r="AE1" s="481"/>
      <c r="AF1" s="482"/>
      <c r="AG1" s="480" t="s">
        <v>54</v>
      </c>
      <c r="AH1" s="481"/>
      <c r="AI1" s="481"/>
      <c r="AJ1" s="482"/>
      <c r="AK1" s="480" t="s">
        <v>55</v>
      </c>
      <c r="AL1" s="481"/>
      <c r="AM1" s="481"/>
      <c r="AN1" s="482"/>
      <c r="AO1" s="480" t="s">
        <v>56</v>
      </c>
      <c r="AP1" s="481"/>
      <c r="AQ1" s="481"/>
      <c r="AR1" s="482"/>
      <c r="AS1" s="480" t="s">
        <v>128</v>
      </c>
      <c r="AT1" s="481"/>
      <c r="AU1" s="481"/>
      <c r="AV1" s="482"/>
      <c r="AW1" s="480" t="s">
        <v>129</v>
      </c>
      <c r="AX1" s="481"/>
      <c r="AY1" s="481"/>
      <c r="AZ1" s="482"/>
      <c r="BA1" s="480" t="s">
        <v>401</v>
      </c>
      <c r="BB1" s="481"/>
      <c r="BC1" s="481"/>
      <c r="BD1" s="482"/>
      <c r="BE1" s="480" t="s">
        <v>130</v>
      </c>
      <c r="BF1" s="481"/>
      <c r="BG1" s="481"/>
      <c r="BH1" s="482"/>
      <c r="BI1" s="480" t="s">
        <v>94</v>
      </c>
      <c r="BJ1" s="481"/>
      <c r="BK1" s="481"/>
      <c r="BL1" s="482"/>
      <c r="BM1" s="480" t="s">
        <v>57</v>
      </c>
      <c r="BN1" s="481"/>
      <c r="BO1" s="481"/>
      <c r="BP1" s="482"/>
      <c r="BQ1" s="480" t="s">
        <v>58</v>
      </c>
      <c r="BR1" s="481"/>
      <c r="BS1" s="481"/>
      <c r="BT1" s="482"/>
      <c r="BU1" s="480" t="s">
        <v>306</v>
      </c>
      <c r="BV1" s="481"/>
      <c r="BW1" s="481"/>
      <c r="BX1" s="482"/>
      <c r="BY1" s="487" t="s">
        <v>307</v>
      </c>
      <c r="BZ1" s="487"/>
      <c r="CA1" s="487"/>
      <c r="CB1" s="487"/>
    </row>
    <row r="2" spans="1:80" s="4" customFormat="1" ht="15" customHeight="1" x14ac:dyDescent="0.35">
      <c r="A2" s="23"/>
      <c r="B2" s="484" t="s">
        <v>7</v>
      </c>
      <c r="C2" s="485" t="s">
        <v>8</v>
      </c>
      <c r="D2" s="484"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401</v>
      </c>
      <c r="BB2" s="16" t="s">
        <v>401</v>
      </c>
      <c r="BC2" s="16" t="s">
        <v>401</v>
      </c>
      <c r="BD2" s="16" t="s">
        <v>401</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306</v>
      </c>
      <c r="BV2" s="159" t="s">
        <v>306</v>
      </c>
      <c r="BW2" s="159" t="s">
        <v>306</v>
      </c>
      <c r="BX2" s="160" t="s">
        <v>306</v>
      </c>
      <c r="BY2" s="16" t="s">
        <v>307</v>
      </c>
      <c r="BZ2" s="16" t="s">
        <v>307</v>
      </c>
      <c r="CA2" s="16" t="s">
        <v>307</v>
      </c>
      <c r="CB2" s="16" t="s">
        <v>307</v>
      </c>
    </row>
    <row r="3" spans="1:80" s="4" customFormat="1" ht="14" customHeight="1" x14ac:dyDescent="0.35">
      <c r="A3" s="31"/>
      <c r="B3" s="484"/>
      <c r="C3" s="485"/>
      <c r="D3" s="484"/>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84"/>
      <c r="C4" s="485"/>
      <c r="D4" s="484"/>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84"/>
      <c r="C5" s="485"/>
      <c r="D5" s="484"/>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83" t="s">
        <v>11</v>
      </c>
      <c r="B6" s="284" t="s">
        <v>97</v>
      </c>
      <c r="C6" s="285" t="s">
        <v>184</v>
      </c>
      <c r="D6" s="286" t="s">
        <v>418</v>
      </c>
      <c r="E6" s="6">
        <v>0</v>
      </c>
      <c r="F6" s="298">
        <v>0</v>
      </c>
      <c r="G6" s="300" t="s">
        <v>419</v>
      </c>
      <c r="H6" s="300" t="s">
        <v>420</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83"/>
      <c r="B7" s="284" t="s">
        <v>96</v>
      </c>
      <c r="C7" s="285" t="s">
        <v>184</v>
      </c>
      <c r="D7" s="286" t="s">
        <v>422</v>
      </c>
      <c r="E7" s="6">
        <v>0</v>
      </c>
      <c r="F7" s="298">
        <v>0</v>
      </c>
      <c r="G7" s="300" t="s">
        <v>371</v>
      </c>
      <c r="H7" s="300" t="s">
        <v>372</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83"/>
      <c r="B8" s="284" t="s">
        <v>421</v>
      </c>
      <c r="C8" s="292" t="s">
        <v>119</v>
      </c>
      <c r="D8" s="286" t="s">
        <v>440</v>
      </c>
      <c r="E8" s="6">
        <v>0</v>
      </c>
      <c r="F8" s="298">
        <v>0</v>
      </c>
      <c r="G8" s="300" t="s">
        <v>373</v>
      </c>
      <c r="H8" s="300" t="s">
        <v>374</v>
      </c>
      <c r="I8" s="303">
        <v>0</v>
      </c>
      <c r="J8" s="311" t="str">
        <f>B34</f>
        <v>Reactant10</v>
      </c>
      <c r="K8" s="320">
        <v>0</v>
      </c>
      <c r="L8" s="320">
        <v>0</v>
      </c>
      <c r="M8" s="320">
        <v>0</v>
      </c>
      <c r="N8" s="320">
        <v>0</v>
      </c>
      <c r="O8" s="320">
        <v>0</v>
      </c>
      <c r="P8" s="288">
        <v>0</v>
      </c>
      <c r="Q8" s="287">
        <v>0</v>
      </c>
      <c r="R8" s="287">
        <v>0</v>
      </c>
      <c r="S8" s="287">
        <v>0</v>
      </c>
      <c r="T8" s="288">
        <v>0</v>
      </c>
      <c r="U8" s="287">
        <v>0</v>
      </c>
      <c r="V8" s="287" t="s">
        <v>443</v>
      </c>
      <c r="W8" s="287">
        <v>0</v>
      </c>
      <c r="X8" s="288">
        <v>0</v>
      </c>
      <c r="Y8" s="287">
        <v>0</v>
      </c>
      <c r="Z8" s="287">
        <v>0</v>
      </c>
      <c r="AA8" s="287">
        <v>0</v>
      </c>
      <c r="AB8" s="287">
        <v>0</v>
      </c>
      <c r="AC8" s="290">
        <v>0</v>
      </c>
      <c r="AD8" s="326" t="s">
        <v>444</v>
      </c>
      <c r="AE8" s="326">
        <v>0</v>
      </c>
      <c r="AF8" s="326">
        <v>0</v>
      </c>
      <c r="AG8" s="290">
        <v>0</v>
      </c>
      <c r="AH8" s="326" t="s">
        <v>445</v>
      </c>
      <c r="AI8" s="326">
        <v>0</v>
      </c>
      <c r="AJ8" s="326">
        <v>0</v>
      </c>
      <c r="AK8" s="290">
        <v>0</v>
      </c>
      <c r="AL8" s="326" t="s">
        <v>445</v>
      </c>
      <c r="AM8" s="326">
        <v>0</v>
      </c>
      <c r="AN8" s="355">
        <v>0</v>
      </c>
      <c r="AO8" s="328">
        <v>0</v>
      </c>
      <c r="AP8" s="328" t="s">
        <v>445</v>
      </c>
      <c r="AQ8" s="328">
        <v>0</v>
      </c>
      <c r="AR8" s="362">
        <v>0</v>
      </c>
      <c r="AS8" s="331">
        <v>0</v>
      </c>
      <c r="AT8" s="331" t="s">
        <v>446</v>
      </c>
      <c r="AU8" s="331">
        <v>0</v>
      </c>
      <c r="AV8" s="331">
        <v>0</v>
      </c>
      <c r="AW8" s="289">
        <v>0</v>
      </c>
      <c r="AX8" s="287" t="s">
        <v>447</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448</v>
      </c>
      <c r="BS8" s="287">
        <v>0</v>
      </c>
      <c r="BT8" s="288">
        <v>0</v>
      </c>
      <c r="BU8" s="287">
        <v>0</v>
      </c>
      <c r="BV8" s="287">
        <v>0</v>
      </c>
      <c r="BW8" s="287">
        <v>0</v>
      </c>
      <c r="BX8" s="288">
        <v>0</v>
      </c>
      <c r="BY8" s="287">
        <v>0</v>
      </c>
      <c r="BZ8" s="287">
        <v>0</v>
      </c>
      <c r="CA8" s="287">
        <v>0</v>
      </c>
      <c r="CB8" s="287">
        <v>0</v>
      </c>
    </row>
    <row r="9" spans="1:80" s="375" customFormat="1" x14ac:dyDescent="0.35">
      <c r="A9" s="483"/>
      <c r="B9" s="365" t="s">
        <v>97</v>
      </c>
      <c r="C9" s="366" t="s">
        <v>184</v>
      </c>
      <c r="D9" s="367" t="s">
        <v>423</v>
      </c>
      <c r="E9" s="368">
        <v>0</v>
      </c>
      <c r="F9" s="369">
        <v>0</v>
      </c>
      <c r="G9" s="370" t="s">
        <v>419</v>
      </c>
      <c r="H9" s="370" t="s">
        <v>420</v>
      </c>
      <c r="I9" s="371">
        <v>0</v>
      </c>
      <c r="J9" s="372" t="str">
        <f>B10</f>
        <v>Product/Reactant3</v>
      </c>
      <c r="K9" s="373">
        <v>0</v>
      </c>
      <c r="L9" s="373">
        <v>0</v>
      </c>
      <c r="M9" s="373">
        <v>0</v>
      </c>
      <c r="N9" s="373">
        <v>0</v>
      </c>
      <c r="O9" s="373">
        <v>0</v>
      </c>
      <c r="P9" s="374">
        <v>0</v>
      </c>
      <c r="Q9" s="375">
        <v>0</v>
      </c>
      <c r="R9" s="375" t="s">
        <v>449</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83"/>
      <c r="B10" s="365" t="s">
        <v>98</v>
      </c>
      <c r="C10" s="385" t="s">
        <v>119</v>
      </c>
      <c r="D10" s="367" t="s">
        <v>441</v>
      </c>
      <c r="E10" s="368">
        <v>0</v>
      </c>
      <c r="F10" s="369">
        <v>0</v>
      </c>
      <c r="G10" s="370" t="s">
        <v>373</v>
      </c>
      <c r="H10" s="370" t="s">
        <v>374</v>
      </c>
      <c r="I10" s="371">
        <v>0</v>
      </c>
      <c r="J10" s="372" t="str">
        <f>B34</f>
        <v>Reactant10</v>
      </c>
      <c r="K10" s="373">
        <v>0</v>
      </c>
      <c r="L10" s="373">
        <v>0</v>
      </c>
      <c r="M10" s="373">
        <v>0</v>
      </c>
      <c r="N10" s="373">
        <v>0</v>
      </c>
      <c r="O10" s="373">
        <v>0</v>
      </c>
      <c r="P10" s="374">
        <v>0</v>
      </c>
      <c r="Q10" s="375">
        <v>0</v>
      </c>
      <c r="R10" s="375" t="s">
        <v>450</v>
      </c>
      <c r="S10" s="375">
        <v>0</v>
      </c>
      <c r="T10" s="374">
        <v>0</v>
      </c>
      <c r="U10" s="375">
        <v>0</v>
      </c>
      <c r="V10" s="375" t="s">
        <v>451</v>
      </c>
      <c r="W10" s="375">
        <v>0</v>
      </c>
      <c r="X10" s="374">
        <v>0</v>
      </c>
      <c r="Y10" s="375">
        <v>0</v>
      </c>
      <c r="Z10" s="375">
        <v>0</v>
      </c>
      <c r="AA10" s="375">
        <v>0</v>
      </c>
      <c r="AB10" s="375">
        <v>0</v>
      </c>
      <c r="AC10" s="376">
        <v>0</v>
      </c>
      <c r="AD10" s="377" t="s">
        <v>444</v>
      </c>
      <c r="AE10" s="377">
        <v>0</v>
      </c>
      <c r="AF10" s="377">
        <v>0</v>
      </c>
      <c r="AG10" s="376">
        <v>0</v>
      </c>
      <c r="AH10" s="377" t="s">
        <v>445</v>
      </c>
      <c r="AI10" s="377">
        <v>0</v>
      </c>
      <c r="AJ10" s="377">
        <v>0</v>
      </c>
      <c r="AK10" s="376">
        <v>0</v>
      </c>
      <c r="AL10" s="377" t="s">
        <v>445</v>
      </c>
      <c r="AM10" s="377">
        <v>0</v>
      </c>
      <c r="AN10" s="378">
        <v>0</v>
      </c>
      <c r="AO10" s="379">
        <v>0</v>
      </c>
      <c r="AP10" s="379">
        <v>0</v>
      </c>
      <c r="AQ10" s="379">
        <v>0</v>
      </c>
      <c r="AR10" s="380">
        <v>0</v>
      </c>
      <c r="AS10" s="381">
        <v>0</v>
      </c>
      <c r="AT10" s="381" t="s">
        <v>452</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453</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448</v>
      </c>
      <c r="BS10" s="375">
        <v>0</v>
      </c>
      <c r="BT10" s="374">
        <v>0</v>
      </c>
      <c r="BU10" s="375">
        <v>0</v>
      </c>
      <c r="BV10" s="375">
        <v>0</v>
      </c>
      <c r="BW10" s="375">
        <v>0</v>
      </c>
      <c r="BX10" s="374">
        <v>0</v>
      </c>
      <c r="BY10" s="375">
        <v>0</v>
      </c>
      <c r="BZ10" s="375">
        <v>0</v>
      </c>
      <c r="CA10" s="375">
        <v>0</v>
      </c>
      <c r="CB10" s="375">
        <v>0</v>
      </c>
    </row>
    <row r="11" spans="1:80" x14ac:dyDescent="0.35">
      <c r="A11" s="483"/>
      <c r="B11" s="74" t="s">
        <v>97</v>
      </c>
      <c r="C11" s="75" t="s">
        <v>184</v>
      </c>
      <c r="D11" s="76" t="s">
        <v>425</v>
      </c>
      <c r="E11" s="6">
        <v>0</v>
      </c>
      <c r="F11" s="299">
        <v>0</v>
      </c>
      <c r="G11" s="301" t="s">
        <v>419</v>
      </c>
      <c r="H11" s="301" t="s">
        <v>420</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83"/>
      <c r="B12" s="74" t="s">
        <v>424</v>
      </c>
      <c r="C12" s="81" t="s">
        <v>119</v>
      </c>
      <c r="D12" s="76" t="s">
        <v>439</v>
      </c>
      <c r="E12" s="6">
        <v>0</v>
      </c>
      <c r="F12" s="299">
        <v>0</v>
      </c>
      <c r="G12" s="301" t="s">
        <v>427</v>
      </c>
      <c r="H12" s="301" t="s">
        <v>428</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83"/>
      <c r="B13" s="65" t="s">
        <v>97</v>
      </c>
      <c r="C13" s="66" t="s">
        <v>184</v>
      </c>
      <c r="D13" s="67" t="s">
        <v>50</v>
      </c>
      <c r="E13" s="6">
        <v>0</v>
      </c>
      <c r="F13" s="101">
        <v>0</v>
      </c>
      <c r="G13" s="113" t="s">
        <v>371</v>
      </c>
      <c r="H13" s="113" t="s">
        <v>372</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83"/>
      <c r="B14" s="65" t="s">
        <v>97</v>
      </c>
      <c r="C14" s="66" t="s">
        <v>184</v>
      </c>
      <c r="D14" s="67" t="s">
        <v>61</v>
      </c>
      <c r="E14" s="6">
        <v>0</v>
      </c>
      <c r="F14" s="101">
        <v>0</v>
      </c>
      <c r="G14" s="113" t="s">
        <v>371</v>
      </c>
      <c r="H14" s="113" t="s">
        <v>372</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83"/>
      <c r="B15" s="65" t="s">
        <v>426</v>
      </c>
      <c r="C15" s="73" t="s">
        <v>119</v>
      </c>
      <c r="D15" s="67" t="s">
        <v>442</v>
      </c>
      <c r="E15" s="6">
        <v>0</v>
      </c>
      <c r="F15" s="101">
        <v>0</v>
      </c>
      <c r="G15" s="113" t="s">
        <v>373</v>
      </c>
      <c r="H15" s="113" t="s">
        <v>374</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347</v>
      </c>
      <c r="AT15" s="68" t="s">
        <v>347</v>
      </c>
      <c r="AU15" s="68" t="s">
        <v>347</v>
      </c>
      <c r="AV15" s="132" t="s">
        <v>347</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83"/>
      <c r="B16" s="42" t="s">
        <v>97</v>
      </c>
      <c r="C16" s="43" t="s">
        <v>184</v>
      </c>
      <c r="D16" s="44" t="s">
        <v>296</v>
      </c>
      <c r="E16" s="6">
        <v>0</v>
      </c>
      <c r="F16" s="102">
        <v>0</v>
      </c>
      <c r="G16" s="114" t="s">
        <v>395</v>
      </c>
      <c r="H16" s="114" t="s">
        <v>396</v>
      </c>
      <c r="I16" s="307">
        <v>0</v>
      </c>
      <c r="J16" s="315" t="str">
        <f>B17</f>
        <v>Product/Reactant6</v>
      </c>
      <c r="K16" s="127">
        <v>0</v>
      </c>
      <c r="L16" s="127">
        <v>0</v>
      </c>
      <c r="M16" s="127">
        <v>0</v>
      </c>
      <c r="N16" s="127">
        <v>0</v>
      </c>
      <c r="O16" s="127">
        <v>0</v>
      </c>
      <c r="P16" s="156">
        <v>0</v>
      </c>
      <c r="Q16" s="47" t="s">
        <v>348</v>
      </c>
      <c r="R16" s="47" t="s">
        <v>348</v>
      </c>
      <c r="S16" s="47" t="s">
        <v>348</v>
      </c>
      <c r="T16" s="133" t="s">
        <v>348</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83"/>
      <c r="B17" s="42" t="s">
        <v>429</v>
      </c>
      <c r="C17" s="43" t="s">
        <v>119</v>
      </c>
      <c r="D17" s="44" t="s">
        <v>295</v>
      </c>
      <c r="E17" s="6">
        <v>0</v>
      </c>
      <c r="F17" s="102">
        <v>0</v>
      </c>
      <c r="G17" s="114" t="s">
        <v>373</v>
      </c>
      <c r="H17" s="114" t="s">
        <v>374</v>
      </c>
      <c r="I17" s="307">
        <v>0</v>
      </c>
      <c r="J17" s="315" t="str">
        <f>B34</f>
        <v>Reactant10</v>
      </c>
      <c r="K17" s="127">
        <v>0</v>
      </c>
      <c r="L17" s="127">
        <v>0</v>
      </c>
      <c r="M17" s="127">
        <v>0</v>
      </c>
      <c r="N17" s="127">
        <v>0</v>
      </c>
      <c r="O17" s="127">
        <v>0</v>
      </c>
      <c r="P17" s="156">
        <v>0</v>
      </c>
      <c r="Q17" s="47" t="s">
        <v>348</v>
      </c>
      <c r="R17" s="47" t="s">
        <v>348</v>
      </c>
      <c r="S17" s="47" t="s">
        <v>348</v>
      </c>
      <c r="T17" s="133" t="s">
        <v>348</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348</v>
      </c>
      <c r="AP17" s="50" t="s">
        <v>348</v>
      </c>
      <c r="AQ17" s="50" t="s">
        <v>348</v>
      </c>
      <c r="AR17" s="150" t="s">
        <v>348</v>
      </c>
      <c r="AS17" s="51" t="s">
        <v>348</v>
      </c>
      <c r="AT17" s="51" t="s">
        <v>348</v>
      </c>
      <c r="AU17" s="51" t="s">
        <v>348</v>
      </c>
      <c r="AV17" s="154" t="s">
        <v>348</v>
      </c>
      <c r="AW17" s="52" t="s">
        <v>349</v>
      </c>
      <c r="AX17" s="52" t="s">
        <v>349</v>
      </c>
      <c r="AY17" s="52" t="s">
        <v>349</v>
      </c>
      <c r="AZ17" s="149" t="s">
        <v>349</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83"/>
      <c r="B18" s="54" t="s">
        <v>97</v>
      </c>
      <c r="C18" s="55" t="s">
        <v>285</v>
      </c>
      <c r="D18" s="56" t="s">
        <v>297</v>
      </c>
      <c r="E18" s="6">
        <v>0</v>
      </c>
      <c r="F18" s="103">
        <v>0</v>
      </c>
      <c r="G18" s="115" t="s">
        <v>379</v>
      </c>
      <c r="H18" s="115" t="s">
        <v>380</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350</v>
      </c>
      <c r="BN18" s="58" t="s">
        <v>350</v>
      </c>
      <c r="BO18" s="58" t="s">
        <v>350</v>
      </c>
      <c r="BP18" s="134" t="s">
        <v>350</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83"/>
      <c r="B19" s="54" t="s">
        <v>97</v>
      </c>
      <c r="C19" s="61" t="s">
        <v>184</v>
      </c>
      <c r="D19" s="56" t="s">
        <v>302</v>
      </c>
      <c r="E19" s="6">
        <v>0</v>
      </c>
      <c r="F19" s="103">
        <v>0</v>
      </c>
      <c r="G19" s="115" t="s">
        <v>397</v>
      </c>
      <c r="H19" s="115" t="s">
        <v>400</v>
      </c>
      <c r="I19" s="124">
        <v>0</v>
      </c>
      <c r="J19" s="316" t="str">
        <f>B20</f>
        <v>Product/Reactant7</v>
      </c>
      <c r="K19" s="124">
        <v>0</v>
      </c>
      <c r="L19" s="124">
        <v>0</v>
      </c>
      <c r="M19" s="124">
        <v>0</v>
      </c>
      <c r="N19" s="124">
        <v>0</v>
      </c>
      <c r="O19" s="124">
        <v>0</v>
      </c>
      <c r="P19" s="134">
        <v>0</v>
      </c>
      <c r="Q19" s="58" t="s">
        <v>351</v>
      </c>
      <c r="R19" s="58" t="s">
        <v>351</v>
      </c>
      <c r="S19" s="58" t="s">
        <v>351</v>
      </c>
      <c r="T19" s="134" t="s">
        <v>351</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83"/>
      <c r="B20" s="54" t="s">
        <v>430</v>
      </c>
      <c r="C20" s="61" t="s">
        <v>184</v>
      </c>
      <c r="D20" s="56" t="s">
        <v>298</v>
      </c>
      <c r="E20" s="6">
        <v>0</v>
      </c>
      <c r="F20" s="103">
        <v>0</v>
      </c>
      <c r="G20" s="115" t="s">
        <v>395</v>
      </c>
      <c r="H20" s="115" t="s">
        <v>396</v>
      </c>
      <c r="I20" s="308">
        <v>0</v>
      </c>
      <c r="J20" s="316" t="str">
        <f>B21</f>
        <v>Product/Reactant8</v>
      </c>
      <c r="K20" s="124">
        <v>0</v>
      </c>
      <c r="L20" s="124">
        <v>0</v>
      </c>
      <c r="M20" s="124">
        <v>0</v>
      </c>
      <c r="N20" s="124">
        <v>0</v>
      </c>
      <c r="O20" s="124">
        <v>0</v>
      </c>
      <c r="P20" s="134">
        <v>0</v>
      </c>
      <c r="Q20" s="58" t="s">
        <v>351</v>
      </c>
      <c r="R20" s="58" t="s">
        <v>351</v>
      </c>
      <c r="S20" s="58" t="s">
        <v>351</v>
      </c>
      <c r="T20" s="134" t="s">
        <v>351</v>
      </c>
      <c r="U20" s="62" t="s">
        <v>351</v>
      </c>
      <c r="V20" s="62" t="s">
        <v>351</v>
      </c>
      <c r="W20" s="62" t="s">
        <v>351</v>
      </c>
      <c r="X20" s="139" t="s">
        <v>351</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351</v>
      </c>
      <c r="AP20" s="63" t="s">
        <v>351</v>
      </c>
      <c r="AQ20" s="63" t="s">
        <v>351</v>
      </c>
      <c r="AR20" s="152" t="s">
        <v>351</v>
      </c>
      <c r="AS20" s="58" t="s">
        <v>351</v>
      </c>
      <c r="AT20" s="58" t="s">
        <v>351</v>
      </c>
      <c r="AU20" s="58" t="s">
        <v>351</v>
      </c>
      <c r="AV20" s="134" t="s">
        <v>351</v>
      </c>
      <c r="AW20" s="58" t="s">
        <v>351</v>
      </c>
      <c r="AX20" s="58" t="s">
        <v>351</v>
      </c>
      <c r="AY20" s="58" t="s">
        <v>351</v>
      </c>
      <c r="AZ20" s="134" t="s">
        <v>351</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352</v>
      </c>
      <c r="BV20" s="57" t="s">
        <v>352</v>
      </c>
      <c r="BW20" s="57" t="s">
        <v>352</v>
      </c>
      <c r="BX20" s="161" t="s">
        <v>352</v>
      </c>
      <c r="BY20" s="59">
        <v>0</v>
      </c>
      <c r="BZ20" s="59">
        <v>0</v>
      </c>
      <c r="CA20" s="59">
        <v>0</v>
      </c>
      <c r="CB20" s="59">
        <v>0</v>
      </c>
    </row>
    <row r="21" spans="1:80" s="58" customFormat="1" x14ac:dyDescent="0.35">
      <c r="A21" s="483"/>
      <c r="B21" s="54" t="s">
        <v>431</v>
      </c>
      <c r="C21" s="55" t="s">
        <v>119</v>
      </c>
      <c r="D21" s="56" t="s">
        <v>301</v>
      </c>
      <c r="E21" s="6">
        <v>0</v>
      </c>
      <c r="F21" s="103">
        <v>0</v>
      </c>
      <c r="G21" s="115" t="s">
        <v>398</v>
      </c>
      <c r="H21" s="115" t="s">
        <v>399</v>
      </c>
      <c r="I21" s="308">
        <v>0</v>
      </c>
      <c r="J21" s="316" t="str">
        <f>B34</f>
        <v>Reactant10</v>
      </c>
      <c r="K21" s="124">
        <v>0</v>
      </c>
      <c r="L21" s="124">
        <v>0</v>
      </c>
      <c r="M21" s="124">
        <v>0</v>
      </c>
      <c r="N21" s="124">
        <v>0</v>
      </c>
      <c r="O21" s="124">
        <v>0</v>
      </c>
      <c r="P21" s="134">
        <v>0</v>
      </c>
      <c r="Q21" s="58" t="s">
        <v>351</v>
      </c>
      <c r="R21" s="58" t="s">
        <v>351</v>
      </c>
      <c r="S21" s="58" t="s">
        <v>351</v>
      </c>
      <c r="T21" s="134" t="s">
        <v>351</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351</v>
      </c>
      <c r="AP21" s="60" t="s">
        <v>351</v>
      </c>
      <c r="AQ21" s="60" t="s">
        <v>351</v>
      </c>
      <c r="AR21" s="151" t="s">
        <v>351</v>
      </c>
      <c r="AS21" s="58" t="s">
        <v>351</v>
      </c>
      <c r="AT21" s="58" t="s">
        <v>351</v>
      </c>
      <c r="AU21" s="58" t="s">
        <v>351</v>
      </c>
      <c r="AV21" s="134" t="s">
        <v>351</v>
      </c>
      <c r="AW21" s="58" t="s">
        <v>351</v>
      </c>
      <c r="AX21" s="58" t="s">
        <v>351</v>
      </c>
      <c r="AY21" s="58" t="s">
        <v>351</v>
      </c>
      <c r="AZ21" s="134" t="s">
        <v>351</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352</v>
      </c>
      <c r="BV21" s="57" t="s">
        <v>352</v>
      </c>
      <c r="BW21" s="57" t="s">
        <v>352</v>
      </c>
      <c r="BX21" s="161" t="s">
        <v>352</v>
      </c>
      <c r="BY21" s="59">
        <v>0</v>
      </c>
      <c r="BZ21" s="59">
        <v>0</v>
      </c>
      <c r="CA21" s="59">
        <v>0</v>
      </c>
      <c r="CB21" s="59">
        <v>0</v>
      </c>
    </row>
    <row r="22" spans="1:80" s="77" customFormat="1" x14ac:dyDescent="0.35">
      <c r="A22" s="483"/>
      <c r="B22" s="74" t="s">
        <v>97</v>
      </c>
      <c r="C22" s="81" t="s">
        <v>285</v>
      </c>
      <c r="D22" s="76" t="s">
        <v>358</v>
      </c>
      <c r="E22" s="6">
        <v>0</v>
      </c>
      <c r="F22" s="104">
        <v>0</v>
      </c>
      <c r="G22" s="116" t="s">
        <v>379</v>
      </c>
      <c r="H22" s="116" t="s">
        <v>380</v>
      </c>
      <c r="I22" s="125">
        <v>0</v>
      </c>
      <c r="J22" s="317" t="str">
        <f>B28</f>
        <v>Product/Reactant9</v>
      </c>
      <c r="K22" s="125">
        <v>0</v>
      </c>
      <c r="L22" s="125">
        <v>0</v>
      </c>
      <c r="M22" s="125">
        <v>0</v>
      </c>
      <c r="N22" s="125">
        <v>0</v>
      </c>
      <c r="O22" s="125">
        <v>0</v>
      </c>
      <c r="P22" s="135">
        <v>0</v>
      </c>
      <c r="Q22" s="77" t="s">
        <v>353</v>
      </c>
      <c r="R22" s="77" t="s">
        <v>353</v>
      </c>
      <c r="S22" s="77" t="s">
        <v>353</v>
      </c>
      <c r="T22" s="135" t="s">
        <v>353</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350</v>
      </c>
      <c r="BN22" s="77" t="s">
        <v>350</v>
      </c>
      <c r="BO22" s="77" t="s">
        <v>350</v>
      </c>
      <c r="BP22" s="135" t="s">
        <v>350</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83"/>
      <c r="B23" s="74" t="s">
        <v>97</v>
      </c>
      <c r="C23" s="75" t="s">
        <v>184</v>
      </c>
      <c r="D23" s="76" t="s">
        <v>288</v>
      </c>
      <c r="E23" s="6">
        <v>0</v>
      </c>
      <c r="F23" s="104">
        <v>0</v>
      </c>
      <c r="G23" s="116" t="s">
        <v>375</v>
      </c>
      <c r="H23" s="116" t="s">
        <v>376</v>
      </c>
      <c r="I23" s="125">
        <v>0</v>
      </c>
      <c r="J23" s="317" t="str">
        <f>B27</f>
        <v>Product/Reactant9</v>
      </c>
      <c r="K23" s="125">
        <v>0</v>
      </c>
      <c r="L23" s="125">
        <v>0</v>
      </c>
      <c r="M23" s="125">
        <v>0</v>
      </c>
      <c r="N23" s="125">
        <v>0</v>
      </c>
      <c r="O23" s="125">
        <v>0</v>
      </c>
      <c r="P23" s="135">
        <v>0</v>
      </c>
      <c r="Q23" s="77" t="s">
        <v>353</v>
      </c>
      <c r="R23" s="77" t="s">
        <v>353</v>
      </c>
      <c r="S23" s="77" t="s">
        <v>353</v>
      </c>
      <c r="T23" s="135" t="s">
        <v>353</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354</v>
      </c>
      <c r="BB23" s="77" t="s">
        <v>354</v>
      </c>
      <c r="BC23" s="77" t="s">
        <v>354</v>
      </c>
      <c r="BD23" s="135" t="s">
        <v>354</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83"/>
      <c r="B24" s="74" t="s">
        <v>97</v>
      </c>
      <c r="C24" s="75" t="s">
        <v>184</v>
      </c>
      <c r="D24" s="76" t="s">
        <v>287</v>
      </c>
      <c r="E24" s="6">
        <v>0</v>
      </c>
      <c r="F24" s="104">
        <v>0</v>
      </c>
      <c r="G24" s="116" t="s">
        <v>375</v>
      </c>
      <c r="H24" s="116" t="s">
        <v>376</v>
      </c>
      <c r="I24" s="125">
        <v>0</v>
      </c>
      <c r="J24" s="317" t="str">
        <f>B28</f>
        <v>Product/Reactant9</v>
      </c>
      <c r="K24" s="125">
        <v>0</v>
      </c>
      <c r="L24" s="125">
        <v>0</v>
      </c>
      <c r="M24" s="125">
        <v>0</v>
      </c>
      <c r="N24" s="125">
        <v>0</v>
      </c>
      <c r="O24" s="125">
        <v>0</v>
      </c>
      <c r="P24" s="135">
        <v>0</v>
      </c>
      <c r="Q24" s="77" t="s">
        <v>353</v>
      </c>
      <c r="R24" s="77" t="s">
        <v>353</v>
      </c>
      <c r="S24" s="77" t="s">
        <v>353</v>
      </c>
      <c r="T24" s="135" t="s">
        <v>353</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354</v>
      </c>
      <c r="BB24" s="77" t="s">
        <v>354</v>
      </c>
      <c r="BC24" s="77" t="s">
        <v>354</v>
      </c>
      <c r="BD24" s="135" t="s">
        <v>354</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83"/>
      <c r="B25" s="74" t="s">
        <v>97</v>
      </c>
      <c r="C25" s="75" t="s">
        <v>184</v>
      </c>
      <c r="D25" s="76" t="s">
        <v>290</v>
      </c>
      <c r="E25" s="6">
        <v>0</v>
      </c>
      <c r="F25" s="104">
        <v>0</v>
      </c>
      <c r="G25" s="116" t="s">
        <v>377</v>
      </c>
      <c r="H25" s="116" t="s">
        <v>378</v>
      </c>
      <c r="I25" s="125">
        <v>0</v>
      </c>
      <c r="J25" s="317" t="str">
        <f>B29</f>
        <v>Product/Reactant9</v>
      </c>
      <c r="K25" s="125">
        <v>0</v>
      </c>
      <c r="L25" s="125">
        <v>0</v>
      </c>
      <c r="M25" s="125">
        <v>0</v>
      </c>
      <c r="N25" s="125">
        <v>0</v>
      </c>
      <c r="O25" s="125">
        <v>0</v>
      </c>
      <c r="P25" s="135">
        <v>0</v>
      </c>
      <c r="Q25" s="77" t="s">
        <v>353</v>
      </c>
      <c r="R25" s="77" t="s">
        <v>353</v>
      </c>
      <c r="S25" s="77" t="s">
        <v>353</v>
      </c>
      <c r="T25" s="135" t="s">
        <v>353</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354</v>
      </c>
      <c r="BB25" s="77" t="s">
        <v>354</v>
      </c>
      <c r="BC25" s="77" t="s">
        <v>354</v>
      </c>
      <c r="BD25" s="135" t="s">
        <v>354</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83"/>
      <c r="B26" s="74" t="s">
        <v>97</v>
      </c>
      <c r="C26" s="75" t="s">
        <v>184</v>
      </c>
      <c r="D26" s="76" t="s">
        <v>289</v>
      </c>
      <c r="E26" s="6">
        <v>0</v>
      </c>
      <c r="F26" s="104">
        <v>0</v>
      </c>
      <c r="G26" s="116" t="s">
        <v>377</v>
      </c>
      <c r="H26" s="116" t="s">
        <v>378</v>
      </c>
      <c r="I26" s="125">
        <v>0</v>
      </c>
      <c r="J26" s="317" t="str">
        <f t="shared" ref="J26" si="3">B30</f>
        <v>Product/Reactant9</v>
      </c>
      <c r="K26" s="125">
        <v>0</v>
      </c>
      <c r="L26" s="125">
        <v>0</v>
      </c>
      <c r="M26" s="125">
        <v>0</v>
      </c>
      <c r="N26" s="125">
        <v>0</v>
      </c>
      <c r="O26" s="125">
        <v>0</v>
      </c>
      <c r="P26" s="135">
        <v>0</v>
      </c>
      <c r="Q26" s="77" t="s">
        <v>353</v>
      </c>
      <c r="R26" s="77" t="s">
        <v>353</v>
      </c>
      <c r="S26" s="77" t="s">
        <v>353</v>
      </c>
      <c r="T26" s="135" t="s">
        <v>353</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354</v>
      </c>
      <c r="BB26" s="77" t="s">
        <v>354</v>
      </c>
      <c r="BC26" s="77" t="s">
        <v>354</v>
      </c>
      <c r="BD26" s="135" t="s">
        <v>354</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83"/>
      <c r="B27" s="74" t="s">
        <v>432</v>
      </c>
      <c r="C27" s="81" t="s">
        <v>119</v>
      </c>
      <c r="D27" s="76" t="s">
        <v>359</v>
      </c>
      <c r="E27" s="6">
        <v>0</v>
      </c>
      <c r="F27" s="104">
        <v>0</v>
      </c>
      <c r="G27" s="116" t="s">
        <v>381</v>
      </c>
      <c r="H27" s="116" t="s">
        <v>382</v>
      </c>
      <c r="I27" s="125">
        <v>0</v>
      </c>
      <c r="J27" s="317" t="str">
        <f>B34</f>
        <v>Reactant10</v>
      </c>
      <c r="K27" s="125">
        <v>0</v>
      </c>
      <c r="L27" s="125">
        <v>0</v>
      </c>
      <c r="M27" s="125">
        <v>0</v>
      </c>
      <c r="N27" s="125">
        <v>0</v>
      </c>
      <c r="O27" s="125">
        <v>0</v>
      </c>
      <c r="P27" s="135">
        <v>0</v>
      </c>
      <c r="Q27" s="77" t="s">
        <v>353</v>
      </c>
      <c r="R27" s="77" t="s">
        <v>353</v>
      </c>
      <c r="S27" s="77" t="s">
        <v>353</v>
      </c>
      <c r="T27" s="135" t="s">
        <v>353</v>
      </c>
      <c r="U27" s="77" t="s">
        <v>353</v>
      </c>
      <c r="V27" s="77" t="s">
        <v>353</v>
      </c>
      <c r="W27" s="77" t="s">
        <v>353</v>
      </c>
      <c r="X27" s="135" t="s">
        <v>353</v>
      </c>
      <c r="Y27" s="77" t="s">
        <v>353</v>
      </c>
      <c r="Z27" s="77" t="s">
        <v>353</v>
      </c>
      <c r="AA27" s="77" t="s">
        <v>353</v>
      </c>
      <c r="AB27" s="135" t="s">
        <v>353</v>
      </c>
      <c r="AC27" s="79" t="s">
        <v>353</v>
      </c>
      <c r="AD27" s="79" t="s">
        <v>353</v>
      </c>
      <c r="AE27" s="79" t="s">
        <v>353</v>
      </c>
      <c r="AF27" s="144" t="s">
        <v>353</v>
      </c>
      <c r="AG27" s="79" t="s">
        <v>353</v>
      </c>
      <c r="AH27" s="79" t="s">
        <v>353</v>
      </c>
      <c r="AI27" s="79" t="s">
        <v>353</v>
      </c>
      <c r="AJ27" s="144" t="s">
        <v>353</v>
      </c>
      <c r="AK27" s="79" t="s">
        <v>353</v>
      </c>
      <c r="AL27" s="79" t="s">
        <v>353</v>
      </c>
      <c r="AM27" s="79" t="s">
        <v>353</v>
      </c>
      <c r="AN27" s="144" t="s">
        <v>353</v>
      </c>
      <c r="AO27" s="80" t="s">
        <v>353</v>
      </c>
      <c r="AP27" s="80" t="s">
        <v>353</v>
      </c>
      <c r="AQ27" s="80" t="s">
        <v>353</v>
      </c>
      <c r="AR27" s="153" t="s">
        <v>353</v>
      </c>
      <c r="AS27" s="77" t="s">
        <v>353</v>
      </c>
      <c r="AT27" s="77" t="s">
        <v>353</v>
      </c>
      <c r="AU27" s="77" t="s">
        <v>353</v>
      </c>
      <c r="AV27" s="135" t="s">
        <v>353</v>
      </c>
      <c r="AW27" s="77" t="s">
        <v>353</v>
      </c>
      <c r="AX27" s="77" t="s">
        <v>353</v>
      </c>
      <c r="AY27" s="77" t="s">
        <v>353</v>
      </c>
      <c r="AZ27" s="135" t="s">
        <v>353</v>
      </c>
      <c r="BA27" s="77" t="s">
        <v>353</v>
      </c>
      <c r="BB27" s="77" t="s">
        <v>353</v>
      </c>
      <c r="BC27" s="77" t="s">
        <v>353</v>
      </c>
      <c r="BD27" s="135" t="s">
        <v>353</v>
      </c>
      <c r="BE27" s="77" t="s">
        <v>353</v>
      </c>
      <c r="BF27" s="77" t="s">
        <v>353</v>
      </c>
      <c r="BG27" s="77" t="s">
        <v>353</v>
      </c>
      <c r="BH27" s="135" t="s">
        <v>353</v>
      </c>
      <c r="BI27" s="77" t="s">
        <v>279</v>
      </c>
      <c r="BJ27" s="77" t="s">
        <v>279</v>
      </c>
      <c r="BK27" s="77" t="s">
        <v>279</v>
      </c>
      <c r="BL27" s="135" t="s">
        <v>279</v>
      </c>
      <c r="BM27" s="77" t="s">
        <v>279</v>
      </c>
      <c r="BN27" s="77" t="s">
        <v>279</v>
      </c>
      <c r="BO27" s="77" t="s">
        <v>279</v>
      </c>
      <c r="BP27" s="135" t="s">
        <v>279</v>
      </c>
      <c r="BQ27" s="77" t="s">
        <v>353</v>
      </c>
      <c r="BR27" s="77" t="s">
        <v>353</v>
      </c>
      <c r="BS27" s="77" t="s">
        <v>353</v>
      </c>
      <c r="BT27" s="135" t="s">
        <v>353</v>
      </c>
      <c r="BU27" s="78">
        <v>0</v>
      </c>
      <c r="BV27" s="78">
        <v>0</v>
      </c>
      <c r="BW27" s="78">
        <v>0</v>
      </c>
      <c r="BX27" s="162">
        <v>0</v>
      </c>
      <c r="BY27" s="79">
        <v>0</v>
      </c>
      <c r="BZ27" s="79">
        <v>0</v>
      </c>
      <c r="CA27" s="79">
        <v>0</v>
      </c>
      <c r="CB27" s="79">
        <v>0</v>
      </c>
    </row>
    <row r="28" spans="1:80" s="77" customFormat="1" x14ac:dyDescent="0.35">
      <c r="A28" s="483"/>
      <c r="B28" s="74" t="s">
        <v>432</v>
      </c>
      <c r="C28" s="81" t="s">
        <v>119</v>
      </c>
      <c r="D28" s="76" t="s">
        <v>360</v>
      </c>
      <c r="E28" s="6">
        <v>0</v>
      </c>
      <c r="F28" s="104">
        <v>0</v>
      </c>
      <c r="G28" s="116" t="s">
        <v>381</v>
      </c>
      <c r="H28" s="116" t="s">
        <v>382</v>
      </c>
      <c r="I28" s="125">
        <v>0</v>
      </c>
      <c r="J28" s="317" t="str">
        <f>B34</f>
        <v>Reactant10</v>
      </c>
      <c r="K28" s="125">
        <v>0</v>
      </c>
      <c r="L28" s="125">
        <v>0</v>
      </c>
      <c r="M28" s="125">
        <v>0</v>
      </c>
      <c r="N28" s="125">
        <v>0</v>
      </c>
      <c r="O28" s="125">
        <v>0</v>
      </c>
      <c r="P28" s="135">
        <v>0</v>
      </c>
      <c r="Q28" s="77" t="s">
        <v>353</v>
      </c>
      <c r="R28" s="77" t="s">
        <v>353</v>
      </c>
      <c r="S28" s="77" t="s">
        <v>353</v>
      </c>
      <c r="T28" s="135" t="s">
        <v>353</v>
      </c>
      <c r="U28" s="77" t="s">
        <v>353</v>
      </c>
      <c r="V28" s="77" t="s">
        <v>353</v>
      </c>
      <c r="W28" s="77" t="s">
        <v>353</v>
      </c>
      <c r="X28" s="135" t="s">
        <v>353</v>
      </c>
      <c r="Y28" s="77" t="s">
        <v>353</v>
      </c>
      <c r="Z28" s="77" t="s">
        <v>353</v>
      </c>
      <c r="AA28" s="77" t="s">
        <v>353</v>
      </c>
      <c r="AB28" s="135" t="s">
        <v>353</v>
      </c>
      <c r="AC28" s="79" t="s">
        <v>353</v>
      </c>
      <c r="AD28" s="79" t="s">
        <v>353</v>
      </c>
      <c r="AE28" s="79" t="s">
        <v>353</v>
      </c>
      <c r="AF28" s="144" t="s">
        <v>353</v>
      </c>
      <c r="AG28" s="79" t="s">
        <v>353</v>
      </c>
      <c r="AH28" s="79" t="s">
        <v>353</v>
      </c>
      <c r="AI28" s="79" t="s">
        <v>353</v>
      </c>
      <c r="AJ28" s="144" t="s">
        <v>353</v>
      </c>
      <c r="AK28" s="79" t="s">
        <v>353</v>
      </c>
      <c r="AL28" s="79" t="s">
        <v>353</v>
      </c>
      <c r="AM28" s="79" t="s">
        <v>353</v>
      </c>
      <c r="AN28" s="144" t="s">
        <v>353</v>
      </c>
      <c r="AO28" s="80" t="s">
        <v>353</v>
      </c>
      <c r="AP28" s="80" t="s">
        <v>353</v>
      </c>
      <c r="AQ28" s="80" t="s">
        <v>353</v>
      </c>
      <c r="AR28" s="153" t="s">
        <v>353</v>
      </c>
      <c r="AS28" s="77" t="s">
        <v>353</v>
      </c>
      <c r="AT28" s="77" t="s">
        <v>353</v>
      </c>
      <c r="AU28" s="77" t="s">
        <v>353</v>
      </c>
      <c r="AV28" s="135" t="s">
        <v>353</v>
      </c>
      <c r="AW28" s="77" t="s">
        <v>353</v>
      </c>
      <c r="AX28" s="77" t="s">
        <v>353</v>
      </c>
      <c r="AY28" s="77" t="s">
        <v>353</v>
      </c>
      <c r="AZ28" s="135" t="s">
        <v>353</v>
      </c>
      <c r="BA28" s="77" t="s">
        <v>353</v>
      </c>
      <c r="BB28" s="77" t="s">
        <v>353</v>
      </c>
      <c r="BC28" s="77" t="s">
        <v>353</v>
      </c>
      <c r="BD28" s="135" t="s">
        <v>353</v>
      </c>
      <c r="BE28" s="77" t="s">
        <v>353</v>
      </c>
      <c r="BF28" s="77" t="s">
        <v>353</v>
      </c>
      <c r="BG28" s="77" t="s">
        <v>353</v>
      </c>
      <c r="BH28" s="135" t="s">
        <v>353</v>
      </c>
      <c r="BI28" s="77" t="s">
        <v>279</v>
      </c>
      <c r="BJ28" s="77" t="s">
        <v>279</v>
      </c>
      <c r="BK28" s="77" t="s">
        <v>279</v>
      </c>
      <c r="BL28" s="135" t="s">
        <v>279</v>
      </c>
      <c r="BM28" s="77" t="s">
        <v>279</v>
      </c>
      <c r="BN28" s="77" t="s">
        <v>279</v>
      </c>
      <c r="BO28" s="77" t="s">
        <v>279</v>
      </c>
      <c r="BP28" s="135" t="s">
        <v>279</v>
      </c>
      <c r="BQ28" s="77" t="s">
        <v>353</v>
      </c>
      <c r="BR28" s="77" t="s">
        <v>353</v>
      </c>
      <c r="BS28" s="77" t="s">
        <v>353</v>
      </c>
      <c r="BT28" s="135" t="s">
        <v>353</v>
      </c>
      <c r="BU28" s="78">
        <v>0</v>
      </c>
      <c r="BV28" s="78">
        <v>0</v>
      </c>
      <c r="BW28" s="78">
        <v>0</v>
      </c>
      <c r="BX28" s="162">
        <v>0</v>
      </c>
      <c r="BY28" s="79">
        <v>0</v>
      </c>
      <c r="BZ28" s="79">
        <v>0</v>
      </c>
      <c r="CA28" s="79">
        <v>0</v>
      </c>
      <c r="CB28" s="79">
        <v>0</v>
      </c>
    </row>
    <row r="29" spans="1:80" s="77" customFormat="1" x14ac:dyDescent="0.35">
      <c r="A29" s="483"/>
      <c r="B29" s="74" t="s">
        <v>432</v>
      </c>
      <c r="C29" s="81" t="s">
        <v>119</v>
      </c>
      <c r="D29" s="76" t="s">
        <v>361</v>
      </c>
      <c r="E29" s="6">
        <v>0</v>
      </c>
      <c r="F29" s="104">
        <v>0</v>
      </c>
      <c r="G29" s="116" t="s">
        <v>381</v>
      </c>
      <c r="H29" s="116" t="s">
        <v>382</v>
      </c>
      <c r="I29" s="125">
        <v>0</v>
      </c>
      <c r="J29" s="317" t="str">
        <f>B34</f>
        <v>Reactant10</v>
      </c>
      <c r="K29" s="125">
        <v>0</v>
      </c>
      <c r="L29" s="125">
        <v>0</v>
      </c>
      <c r="M29" s="125">
        <v>0</v>
      </c>
      <c r="N29" s="125">
        <v>0</v>
      </c>
      <c r="O29" s="125">
        <v>0</v>
      </c>
      <c r="P29" s="135">
        <v>0</v>
      </c>
      <c r="Q29" s="77" t="s">
        <v>353</v>
      </c>
      <c r="R29" s="77" t="s">
        <v>353</v>
      </c>
      <c r="S29" s="77" t="s">
        <v>353</v>
      </c>
      <c r="T29" s="135" t="s">
        <v>353</v>
      </c>
      <c r="U29" s="77" t="s">
        <v>353</v>
      </c>
      <c r="V29" s="77" t="s">
        <v>353</v>
      </c>
      <c r="W29" s="77" t="s">
        <v>353</v>
      </c>
      <c r="X29" s="135" t="s">
        <v>353</v>
      </c>
      <c r="Y29" s="77" t="s">
        <v>353</v>
      </c>
      <c r="Z29" s="77" t="s">
        <v>353</v>
      </c>
      <c r="AA29" s="77" t="s">
        <v>353</v>
      </c>
      <c r="AB29" s="135" t="s">
        <v>353</v>
      </c>
      <c r="AC29" s="79" t="s">
        <v>353</v>
      </c>
      <c r="AD29" s="79" t="s">
        <v>353</v>
      </c>
      <c r="AE29" s="79" t="s">
        <v>353</v>
      </c>
      <c r="AF29" s="144" t="s">
        <v>353</v>
      </c>
      <c r="AG29" s="79" t="s">
        <v>353</v>
      </c>
      <c r="AH29" s="79" t="s">
        <v>353</v>
      </c>
      <c r="AI29" s="79" t="s">
        <v>353</v>
      </c>
      <c r="AJ29" s="144" t="s">
        <v>353</v>
      </c>
      <c r="AK29" s="79" t="s">
        <v>353</v>
      </c>
      <c r="AL29" s="79" t="s">
        <v>353</v>
      </c>
      <c r="AM29" s="79" t="s">
        <v>353</v>
      </c>
      <c r="AN29" s="144" t="s">
        <v>353</v>
      </c>
      <c r="AO29" s="80" t="s">
        <v>353</v>
      </c>
      <c r="AP29" s="80" t="s">
        <v>353</v>
      </c>
      <c r="AQ29" s="80" t="s">
        <v>353</v>
      </c>
      <c r="AR29" s="153" t="s">
        <v>353</v>
      </c>
      <c r="AS29" s="77" t="s">
        <v>353</v>
      </c>
      <c r="AT29" s="77" t="s">
        <v>353</v>
      </c>
      <c r="AU29" s="77" t="s">
        <v>353</v>
      </c>
      <c r="AV29" s="135" t="s">
        <v>353</v>
      </c>
      <c r="AW29" s="77" t="s">
        <v>353</v>
      </c>
      <c r="AX29" s="77" t="s">
        <v>353</v>
      </c>
      <c r="AY29" s="77" t="s">
        <v>353</v>
      </c>
      <c r="AZ29" s="135" t="s">
        <v>353</v>
      </c>
      <c r="BA29" s="77" t="s">
        <v>353</v>
      </c>
      <c r="BB29" s="77" t="s">
        <v>353</v>
      </c>
      <c r="BC29" s="77" t="s">
        <v>353</v>
      </c>
      <c r="BD29" s="135" t="s">
        <v>353</v>
      </c>
      <c r="BE29" s="77" t="s">
        <v>353</v>
      </c>
      <c r="BF29" s="77" t="s">
        <v>353</v>
      </c>
      <c r="BG29" s="77" t="s">
        <v>353</v>
      </c>
      <c r="BH29" s="135" t="s">
        <v>353</v>
      </c>
      <c r="BI29" s="77" t="s">
        <v>279</v>
      </c>
      <c r="BJ29" s="77" t="s">
        <v>279</v>
      </c>
      <c r="BK29" s="77" t="s">
        <v>279</v>
      </c>
      <c r="BL29" s="135" t="s">
        <v>279</v>
      </c>
      <c r="BM29" s="77" t="s">
        <v>279</v>
      </c>
      <c r="BN29" s="77" t="s">
        <v>279</v>
      </c>
      <c r="BO29" s="77" t="s">
        <v>279</v>
      </c>
      <c r="BP29" s="135" t="s">
        <v>279</v>
      </c>
      <c r="BQ29" s="77" t="s">
        <v>353</v>
      </c>
      <c r="BR29" s="77" t="s">
        <v>353</v>
      </c>
      <c r="BS29" s="77" t="s">
        <v>353</v>
      </c>
      <c r="BT29" s="135" t="s">
        <v>353</v>
      </c>
      <c r="BU29" s="78">
        <v>0</v>
      </c>
      <c r="BV29" s="78">
        <v>0</v>
      </c>
      <c r="BW29" s="78">
        <v>0</v>
      </c>
      <c r="BX29" s="162">
        <v>0</v>
      </c>
      <c r="BY29" s="79">
        <v>0</v>
      </c>
      <c r="BZ29" s="79">
        <v>0</v>
      </c>
      <c r="CA29" s="79">
        <v>0</v>
      </c>
      <c r="CB29" s="79">
        <v>0</v>
      </c>
    </row>
    <row r="30" spans="1:80" s="77" customFormat="1" x14ac:dyDescent="0.35">
      <c r="A30" s="483"/>
      <c r="B30" s="74" t="s">
        <v>432</v>
      </c>
      <c r="C30" s="81" t="s">
        <v>119</v>
      </c>
      <c r="D30" s="76" t="s">
        <v>362</v>
      </c>
      <c r="E30" s="6">
        <v>0</v>
      </c>
      <c r="F30" s="104">
        <v>0</v>
      </c>
      <c r="G30" s="116" t="s">
        <v>381</v>
      </c>
      <c r="H30" s="116" t="s">
        <v>382</v>
      </c>
      <c r="I30" s="125">
        <v>0</v>
      </c>
      <c r="J30" s="317" t="str">
        <f>B34</f>
        <v>Reactant10</v>
      </c>
      <c r="K30" s="125">
        <v>0</v>
      </c>
      <c r="L30" s="125">
        <v>0</v>
      </c>
      <c r="M30" s="125">
        <v>0</v>
      </c>
      <c r="N30" s="125">
        <v>0</v>
      </c>
      <c r="O30" s="125">
        <v>0</v>
      </c>
      <c r="P30" s="135">
        <v>0</v>
      </c>
      <c r="Q30" s="77" t="s">
        <v>353</v>
      </c>
      <c r="R30" s="77" t="s">
        <v>353</v>
      </c>
      <c r="S30" s="77" t="s">
        <v>353</v>
      </c>
      <c r="T30" s="135" t="s">
        <v>353</v>
      </c>
      <c r="U30" s="77" t="s">
        <v>353</v>
      </c>
      <c r="V30" s="77" t="s">
        <v>353</v>
      </c>
      <c r="W30" s="77" t="s">
        <v>353</v>
      </c>
      <c r="X30" s="135" t="s">
        <v>353</v>
      </c>
      <c r="Y30" s="77" t="s">
        <v>353</v>
      </c>
      <c r="Z30" s="77" t="s">
        <v>353</v>
      </c>
      <c r="AA30" s="77" t="s">
        <v>353</v>
      </c>
      <c r="AB30" s="135" t="s">
        <v>353</v>
      </c>
      <c r="AC30" s="79" t="s">
        <v>353</v>
      </c>
      <c r="AD30" s="79" t="s">
        <v>353</v>
      </c>
      <c r="AE30" s="79" t="s">
        <v>353</v>
      </c>
      <c r="AF30" s="144" t="s">
        <v>353</v>
      </c>
      <c r="AG30" s="79" t="s">
        <v>353</v>
      </c>
      <c r="AH30" s="79" t="s">
        <v>353</v>
      </c>
      <c r="AI30" s="79" t="s">
        <v>353</v>
      </c>
      <c r="AJ30" s="144" t="s">
        <v>353</v>
      </c>
      <c r="AK30" s="79" t="s">
        <v>353</v>
      </c>
      <c r="AL30" s="79" t="s">
        <v>353</v>
      </c>
      <c r="AM30" s="79" t="s">
        <v>353</v>
      </c>
      <c r="AN30" s="144" t="s">
        <v>353</v>
      </c>
      <c r="AO30" s="80" t="s">
        <v>353</v>
      </c>
      <c r="AP30" s="80" t="s">
        <v>353</v>
      </c>
      <c r="AQ30" s="80" t="s">
        <v>353</v>
      </c>
      <c r="AR30" s="153" t="s">
        <v>353</v>
      </c>
      <c r="AS30" s="77" t="s">
        <v>353</v>
      </c>
      <c r="AT30" s="77" t="s">
        <v>353</v>
      </c>
      <c r="AU30" s="77" t="s">
        <v>353</v>
      </c>
      <c r="AV30" s="135" t="s">
        <v>353</v>
      </c>
      <c r="AW30" s="77" t="s">
        <v>353</v>
      </c>
      <c r="AX30" s="77" t="s">
        <v>353</v>
      </c>
      <c r="AY30" s="77" t="s">
        <v>353</v>
      </c>
      <c r="AZ30" s="135" t="s">
        <v>353</v>
      </c>
      <c r="BA30" s="77" t="s">
        <v>353</v>
      </c>
      <c r="BB30" s="77" t="s">
        <v>353</v>
      </c>
      <c r="BC30" s="77" t="s">
        <v>353</v>
      </c>
      <c r="BD30" s="135" t="s">
        <v>353</v>
      </c>
      <c r="BE30" s="77" t="s">
        <v>353</v>
      </c>
      <c r="BF30" s="77" t="s">
        <v>353</v>
      </c>
      <c r="BG30" s="77" t="s">
        <v>353</v>
      </c>
      <c r="BH30" s="135" t="s">
        <v>353</v>
      </c>
      <c r="BI30" s="77" t="s">
        <v>279</v>
      </c>
      <c r="BJ30" s="77" t="s">
        <v>279</v>
      </c>
      <c r="BK30" s="77" t="s">
        <v>279</v>
      </c>
      <c r="BL30" s="135" t="s">
        <v>279</v>
      </c>
      <c r="BM30" s="77" t="s">
        <v>279</v>
      </c>
      <c r="BN30" s="77" t="s">
        <v>279</v>
      </c>
      <c r="BO30" s="77" t="s">
        <v>279</v>
      </c>
      <c r="BP30" s="135" t="s">
        <v>279</v>
      </c>
      <c r="BQ30" s="77" t="s">
        <v>353</v>
      </c>
      <c r="BR30" s="77" t="s">
        <v>353</v>
      </c>
      <c r="BS30" s="77" t="s">
        <v>353</v>
      </c>
      <c r="BT30" s="135" t="s">
        <v>353</v>
      </c>
      <c r="BU30" s="78">
        <v>0</v>
      </c>
      <c r="BV30" s="78">
        <v>0</v>
      </c>
      <c r="BW30" s="78">
        <v>0</v>
      </c>
      <c r="BX30" s="162">
        <v>0</v>
      </c>
      <c r="BY30" s="79">
        <v>0</v>
      </c>
      <c r="BZ30" s="79">
        <v>0</v>
      </c>
      <c r="CA30" s="79">
        <v>0</v>
      </c>
      <c r="CB30" s="79">
        <v>0</v>
      </c>
    </row>
    <row r="31" spans="1:80" s="86" customFormat="1" x14ac:dyDescent="0.35">
      <c r="A31" s="483"/>
      <c r="B31" s="82" t="s">
        <v>97</v>
      </c>
      <c r="C31" s="83" t="s">
        <v>119</v>
      </c>
      <c r="D31" s="84" t="s">
        <v>363</v>
      </c>
      <c r="E31" s="6">
        <v>0</v>
      </c>
      <c r="F31" s="105">
        <v>0</v>
      </c>
      <c r="G31" s="117" t="s">
        <v>383</v>
      </c>
      <c r="H31" s="117" t="s">
        <v>384</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347</v>
      </c>
      <c r="AT31" s="86" t="s">
        <v>347</v>
      </c>
      <c r="AU31" s="86" t="s">
        <v>347</v>
      </c>
      <c r="AV31" s="140" t="s">
        <v>347</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83"/>
      <c r="B32" s="82" t="s">
        <v>97</v>
      </c>
      <c r="C32" s="83" t="s">
        <v>119</v>
      </c>
      <c r="D32" s="84" t="s">
        <v>364</v>
      </c>
      <c r="E32" s="6">
        <v>0</v>
      </c>
      <c r="F32" s="105">
        <v>0</v>
      </c>
      <c r="G32" s="117" t="s">
        <v>383</v>
      </c>
      <c r="H32" s="117" t="s">
        <v>384</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347</v>
      </c>
      <c r="AT32" s="86" t="s">
        <v>347</v>
      </c>
      <c r="AU32" s="86" t="s">
        <v>347</v>
      </c>
      <c r="AV32" s="140" t="s">
        <v>347</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83"/>
      <c r="B33" s="90" t="s">
        <v>97</v>
      </c>
      <c r="C33" s="64" t="s">
        <v>119</v>
      </c>
      <c r="D33" s="91" t="s">
        <v>174</v>
      </c>
      <c r="E33" s="6">
        <v>0</v>
      </c>
      <c r="F33" s="106">
        <v>0</v>
      </c>
      <c r="G33" s="118" t="s">
        <v>385</v>
      </c>
      <c r="H33" s="118" t="s">
        <v>386</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83"/>
      <c r="B34" s="172" t="s">
        <v>433</v>
      </c>
      <c r="C34" s="64" t="s">
        <v>184</v>
      </c>
      <c r="D34" s="173" t="s">
        <v>300</v>
      </c>
      <c r="E34" s="6">
        <v>0</v>
      </c>
      <c r="F34" s="174">
        <v>0</v>
      </c>
      <c r="G34" s="175" t="s">
        <v>385</v>
      </c>
      <c r="H34" s="175" t="s">
        <v>386</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83"/>
      <c r="B35" s="193" t="s">
        <v>280</v>
      </c>
      <c r="C35" s="194" t="s">
        <v>184</v>
      </c>
      <c r="D35" s="195" t="s">
        <v>25</v>
      </c>
      <c r="E35" s="6">
        <v>0</v>
      </c>
      <c r="F35" s="196">
        <v>0</v>
      </c>
      <c r="G35" s="197" t="s">
        <v>387</v>
      </c>
      <c r="H35" s="197" t="s">
        <v>388</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355</v>
      </c>
      <c r="BR35" s="200" t="s">
        <v>355</v>
      </c>
      <c r="BS35" s="200" t="s">
        <v>355</v>
      </c>
      <c r="BT35" s="198" t="s">
        <v>355</v>
      </c>
      <c r="BU35" s="204">
        <v>0</v>
      </c>
      <c r="BV35" s="204">
        <v>0</v>
      </c>
      <c r="BW35" s="204">
        <v>0</v>
      </c>
      <c r="BX35" s="352">
        <v>0</v>
      </c>
      <c r="BY35" s="201">
        <v>0</v>
      </c>
      <c r="BZ35" s="201">
        <v>0</v>
      </c>
      <c r="CA35" s="201">
        <v>0</v>
      </c>
      <c r="CB35" s="201">
        <v>0</v>
      </c>
    </row>
    <row r="36" spans="1:80" s="200" customFormat="1" x14ac:dyDescent="0.35">
      <c r="A36" s="483"/>
      <c r="B36" s="193" t="str">
        <f>B35</f>
        <v>Reactant11</v>
      </c>
      <c r="C36" s="194" t="s">
        <v>184</v>
      </c>
      <c r="D36" s="195" t="s">
        <v>164</v>
      </c>
      <c r="E36" s="6">
        <v>0</v>
      </c>
      <c r="F36" s="196">
        <v>0</v>
      </c>
      <c r="G36" s="197" t="s">
        <v>387</v>
      </c>
      <c r="H36" s="197" t="s">
        <v>388</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355</v>
      </c>
      <c r="BR36" s="200" t="s">
        <v>355</v>
      </c>
      <c r="BS36" s="200" t="s">
        <v>355</v>
      </c>
      <c r="BT36" s="198" t="s">
        <v>355</v>
      </c>
      <c r="BU36" s="204">
        <v>0</v>
      </c>
      <c r="BV36" s="204">
        <v>0</v>
      </c>
      <c r="BW36" s="204">
        <v>0</v>
      </c>
      <c r="BX36" s="352">
        <v>0</v>
      </c>
      <c r="BY36" s="201">
        <v>0</v>
      </c>
      <c r="BZ36" s="201">
        <v>0</v>
      </c>
      <c r="CA36" s="201">
        <v>0</v>
      </c>
      <c r="CB36" s="201">
        <v>0</v>
      </c>
    </row>
    <row r="37" spans="1:80" s="200" customFormat="1" x14ac:dyDescent="0.35">
      <c r="A37" s="483"/>
      <c r="B37" s="193" t="str">
        <f>B35</f>
        <v>Reactant11</v>
      </c>
      <c r="C37" s="194" t="s">
        <v>184</v>
      </c>
      <c r="D37" s="195" t="s">
        <v>165</v>
      </c>
      <c r="E37" s="6">
        <v>0</v>
      </c>
      <c r="F37" s="196">
        <v>0</v>
      </c>
      <c r="G37" s="197" t="s">
        <v>387</v>
      </c>
      <c r="H37" s="197" t="s">
        <v>388</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355</v>
      </c>
      <c r="BR37" s="200" t="s">
        <v>355</v>
      </c>
      <c r="BS37" s="200" t="s">
        <v>355</v>
      </c>
      <c r="BT37" s="198" t="s">
        <v>355</v>
      </c>
      <c r="BU37" s="204">
        <v>0</v>
      </c>
      <c r="BV37" s="204">
        <v>0</v>
      </c>
      <c r="BW37" s="204">
        <v>0</v>
      </c>
      <c r="BX37" s="352">
        <v>0</v>
      </c>
      <c r="BY37" s="201">
        <v>0</v>
      </c>
      <c r="BZ37" s="201">
        <v>0</v>
      </c>
      <c r="CA37" s="201">
        <v>0</v>
      </c>
      <c r="CB37" s="201">
        <v>0</v>
      </c>
    </row>
    <row r="38" spans="1:80" s="37" customFormat="1" x14ac:dyDescent="0.35">
      <c r="A38" s="483"/>
      <c r="B38" s="216" t="s">
        <v>282</v>
      </c>
      <c r="C38" s="217" t="s">
        <v>13</v>
      </c>
      <c r="D38" s="218" t="s">
        <v>166</v>
      </c>
      <c r="E38" s="6">
        <v>0</v>
      </c>
      <c r="F38" s="219">
        <v>0</v>
      </c>
      <c r="G38" s="220" t="s">
        <v>385</v>
      </c>
      <c r="H38" s="220" t="s">
        <v>386</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83"/>
      <c r="B39" s="216" t="s">
        <v>282</v>
      </c>
      <c r="C39" s="217" t="s">
        <v>13</v>
      </c>
      <c r="D39" s="218" t="s">
        <v>365</v>
      </c>
      <c r="E39" s="6">
        <v>0</v>
      </c>
      <c r="F39" s="219">
        <v>0</v>
      </c>
      <c r="G39" s="220" t="s">
        <v>385</v>
      </c>
      <c r="H39" s="220" t="s">
        <v>386</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83"/>
      <c r="B40" s="216" t="s">
        <v>282</v>
      </c>
      <c r="C40" s="217" t="s">
        <v>13</v>
      </c>
      <c r="D40" s="218" t="s">
        <v>366</v>
      </c>
      <c r="E40" s="6">
        <v>0</v>
      </c>
      <c r="F40" s="219">
        <v>0</v>
      </c>
      <c r="G40" s="220" t="s">
        <v>385</v>
      </c>
      <c r="H40" s="220" t="s">
        <v>386</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83"/>
      <c r="B41" s="216" t="s">
        <v>282</v>
      </c>
      <c r="C41" s="217" t="s">
        <v>13</v>
      </c>
      <c r="D41" s="218" t="s">
        <v>367</v>
      </c>
      <c r="E41" s="6">
        <v>0</v>
      </c>
      <c r="F41" s="219">
        <v>0</v>
      </c>
      <c r="G41" s="220" t="s">
        <v>385</v>
      </c>
      <c r="H41" s="220" t="s">
        <v>386</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83"/>
      <c r="B42" s="216" t="s">
        <v>282</v>
      </c>
      <c r="C42" s="217" t="s">
        <v>13</v>
      </c>
      <c r="D42" s="218" t="s">
        <v>368</v>
      </c>
      <c r="E42" s="6">
        <v>0</v>
      </c>
      <c r="F42" s="219">
        <v>0</v>
      </c>
      <c r="G42" s="220" t="s">
        <v>385</v>
      </c>
      <c r="H42" s="220" t="s">
        <v>386</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83"/>
      <c r="B43" s="216" t="s">
        <v>97</v>
      </c>
      <c r="C43" s="217" t="s">
        <v>92</v>
      </c>
      <c r="D43" s="218" t="s">
        <v>28</v>
      </c>
      <c r="E43" s="6">
        <v>0</v>
      </c>
      <c r="F43" s="219">
        <v>0</v>
      </c>
      <c r="G43" s="220" t="s">
        <v>391</v>
      </c>
      <c r="H43" s="220" t="s">
        <v>392</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83"/>
      <c r="B44" s="74" t="s">
        <v>19</v>
      </c>
      <c r="C44" s="81" t="s">
        <v>21</v>
      </c>
      <c r="D44" s="76" t="s">
        <v>26</v>
      </c>
      <c r="E44" s="6">
        <v>0</v>
      </c>
      <c r="F44" s="104">
        <v>0</v>
      </c>
      <c r="G44" s="116" t="s">
        <v>389</v>
      </c>
      <c r="H44" s="116" t="s">
        <v>390</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83"/>
      <c r="B45" s="74" t="s">
        <v>20</v>
      </c>
      <c r="C45" s="81" t="s">
        <v>22</v>
      </c>
      <c r="D45" s="76" t="s">
        <v>27</v>
      </c>
      <c r="E45" s="6">
        <v>0</v>
      </c>
      <c r="F45" s="104">
        <v>0</v>
      </c>
      <c r="G45" s="116" t="s">
        <v>389</v>
      </c>
      <c r="H45" s="116" t="s">
        <v>390</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83"/>
      <c r="B46" s="77" t="s">
        <v>184</v>
      </c>
      <c r="C46" s="81" t="s">
        <v>286</v>
      </c>
      <c r="D46" s="76" t="s">
        <v>281</v>
      </c>
      <c r="E46" s="6">
        <v>0</v>
      </c>
      <c r="F46" s="104">
        <v>0</v>
      </c>
      <c r="G46" s="116" t="s">
        <v>389</v>
      </c>
      <c r="H46" s="116" t="s">
        <v>390</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83"/>
      <c r="B47" s="82" t="s">
        <v>14</v>
      </c>
      <c r="C47" s="240" t="s">
        <v>184</v>
      </c>
      <c r="D47" s="84" t="s">
        <v>29</v>
      </c>
      <c r="E47" s="6">
        <v>0</v>
      </c>
      <c r="F47" s="105">
        <v>0</v>
      </c>
      <c r="G47" s="117" t="s">
        <v>385</v>
      </c>
      <c r="H47" s="117" t="s">
        <v>386</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356</v>
      </c>
      <c r="AP47" s="86" t="s">
        <v>356</v>
      </c>
      <c r="AQ47" s="86" t="s">
        <v>356</v>
      </c>
      <c r="AR47" s="140" t="s">
        <v>356</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83"/>
      <c r="B48" s="82" t="s">
        <v>15</v>
      </c>
      <c r="C48" s="240" t="s">
        <v>184</v>
      </c>
      <c r="D48" s="84" t="s">
        <v>30</v>
      </c>
      <c r="E48" s="6">
        <v>0</v>
      </c>
      <c r="F48" s="105">
        <v>0</v>
      </c>
      <c r="G48" s="117" t="s">
        <v>385</v>
      </c>
      <c r="H48" s="117" t="s">
        <v>386</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83"/>
      <c r="B49" s="82" t="s">
        <v>16</v>
      </c>
      <c r="C49" s="240" t="s">
        <v>184</v>
      </c>
      <c r="D49" s="244" t="s">
        <v>31</v>
      </c>
      <c r="E49" s="6">
        <v>0</v>
      </c>
      <c r="F49" s="105">
        <v>0</v>
      </c>
      <c r="G49" s="117" t="s">
        <v>386</v>
      </c>
      <c r="H49" s="117" t="s">
        <v>386</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355</v>
      </c>
      <c r="BV49" s="85" t="s">
        <v>355</v>
      </c>
      <c r="BW49" s="85" t="s">
        <v>355</v>
      </c>
      <c r="BX49" s="163" t="s">
        <v>355</v>
      </c>
      <c r="BY49" s="88">
        <v>0</v>
      </c>
      <c r="BZ49" s="88">
        <v>0</v>
      </c>
      <c r="CA49" s="88">
        <v>0</v>
      </c>
      <c r="CB49" s="88">
        <v>0</v>
      </c>
    </row>
    <row r="50" spans="1:80" s="46" customFormat="1" x14ac:dyDescent="0.35">
      <c r="A50" s="483"/>
      <c r="B50" s="42" t="s">
        <v>14</v>
      </c>
      <c r="C50" s="245" t="s">
        <v>184</v>
      </c>
      <c r="D50" s="246" t="s">
        <v>111</v>
      </c>
      <c r="E50" s="6">
        <v>0</v>
      </c>
      <c r="F50" s="102">
        <v>0</v>
      </c>
      <c r="G50" s="114" t="s">
        <v>385</v>
      </c>
      <c r="H50" s="114" t="s">
        <v>386</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83"/>
      <c r="B51" s="42" t="s">
        <v>15</v>
      </c>
      <c r="C51" s="245" t="s">
        <v>184</v>
      </c>
      <c r="D51" s="246" t="s">
        <v>112</v>
      </c>
      <c r="E51" s="6">
        <v>0</v>
      </c>
      <c r="F51" s="102">
        <v>0</v>
      </c>
      <c r="G51" s="114" t="s">
        <v>385</v>
      </c>
      <c r="H51" s="114" t="s">
        <v>386</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83"/>
      <c r="B52" s="42" t="s">
        <v>16</v>
      </c>
      <c r="C52" s="245" t="s">
        <v>184</v>
      </c>
      <c r="D52" s="246" t="s">
        <v>113</v>
      </c>
      <c r="E52" s="6">
        <v>0</v>
      </c>
      <c r="F52" s="102">
        <v>0</v>
      </c>
      <c r="G52" s="114" t="s">
        <v>386</v>
      </c>
      <c r="H52" s="114" t="s">
        <v>386</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355</v>
      </c>
      <c r="BV52" s="45" t="s">
        <v>355</v>
      </c>
      <c r="BW52" s="45" t="s">
        <v>355</v>
      </c>
      <c r="BX52" s="167" t="s">
        <v>355</v>
      </c>
      <c r="BY52" s="49">
        <v>0</v>
      </c>
      <c r="BZ52" s="49">
        <v>0</v>
      </c>
      <c r="CA52" s="49">
        <v>0</v>
      </c>
      <c r="CB52" s="49">
        <v>0</v>
      </c>
    </row>
    <row r="53" spans="1:80" s="344" customFormat="1" ht="14.5" customHeight="1" x14ac:dyDescent="0.35">
      <c r="A53" s="483" t="s">
        <v>17</v>
      </c>
      <c r="B53" s="334" t="s">
        <v>39</v>
      </c>
      <c r="C53" s="335" t="s">
        <v>184</v>
      </c>
      <c r="D53" s="336" t="s">
        <v>36</v>
      </c>
      <c r="E53" s="6">
        <v>0</v>
      </c>
      <c r="F53" s="337">
        <v>0</v>
      </c>
      <c r="G53" s="338" t="s">
        <v>393</v>
      </c>
      <c r="H53" s="338" t="s">
        <v>394</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83"/>
      <c r="B54" s="247" t="s">
        <v>38</v>
      </c>
      <c r="C54" s="233" t="s">
        <v>184</v>
      </c>
      <c r="D54" s="248" t="s">
        <v>37</v>
      </c>
      <c r="E54" s="6">
        <v>0</v>
      </c>
      <c r="F54" s="219">
        <v>0</v>
      </c>
      <c r="G54" s="220" t="s">
        <v>393</v>
      </c>
      <c r="H54" s="220" t="s">
        <v>394</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83"/>
      <c r="B55" s="249" t="str">
        <f>CONCATENATE("RPU_"&amp;D55)</f>
        <v>RPU_ON_SP198-HH100</v>
      </c>
      <c r="C55" s="64" t="s">
        <v>184</v>
      </c>
      <c r="D55" s="173" t="s">
        <v>114</v>
      </c>
      <c r="E55" s="6">
        <v>0</v>
      </c>
      <c r="F55" s="174">
        <v>0</v>
      </c>
      <c r="G55" s="175" t="s">
        <v>393</v>
      </c>
      <c r="H55" s="175" t="s">
        <v>394</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83"/>
      <c r="B56" s="249" t="str">
        <f t="shared" ref="B56:B66" si="4">CONCATENATE("RPU_"&amp;D56)</f>
        <v>RPU_ON_SP198-HH150</v>
      </c>
      <c r="C56" s="64" t="s">
        <v>184</v>
      </c>
      <c r="D56" s="173" t="s">
        <v>40</v>
      </c>
      <c r="E56" s="6">
        <v>0</v>
      </c>
      <c r="F56" s="174">
        <v>0</v>
      </c>
      <c r="G56" s="175" t="s">
        <v>393</v>
      </c>
      <c r="H56" s="175" t="s">
        <v>394</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83"/>
      <c r="B57" s="249" t="str">
        <f t="shared" si="4"/>
        <v>RPU_ON_SP237-HH100</v>
      </c>
      <c r="C57" s="64" t="s">
        <v>184</v>
      </c>
      <c r="D57" s="173" t="s">
        <v>41</v>
      </c>
      <c r="E57" s="6">
        <v>0</v>
      </c>
      <c r="F57" s="174">
        <v>0</v>
      </c>
      <c r="G57" s="175" t="s">
        <v>393</v>
      </c>
      <c r="H57" s="175" t="s">
        <v>394</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83"/>
      <c r="B58" s="249" t="str">
        <f t="shared" si="4"/>
        <v>RPU_ON_SP237-HH150</v>
      </c>
      <c r="C58" s="64" t="s">
        <v>184</v>
      </c>
      <c r="D58" s="173" t="s">
        <v>42</v>
      </c>
      <c r="E58" s="6">
        <v>0</v>
      </c>
      <c r="F58" s="174">
        <v>0</v>
      </c>
      <c r="G58" s="175" t="s">
        <v>393</v>
      </c>
      <c r="H58" s="175" t="s">
        <v>394</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83"/>
      <c r="B59" s="249" t="str">
        <f t="shared" si="4"/>
        <v>RPU_ON_SP277-HH100</v>
      </c>
      <c r="C59" s="64" t="s">
        <v>184</v>
      </c>
      <c r="D59" s="173" t="s">
        <v>43</v>
      </c>
      <c r="E59" s="6">
        <v>0</v>
      </c>
      <c r="F59" s="174">
        <v>0</v>
      </c>
      <c r="G59" s="175" t="s">
        <v>393</v>
      </c>
      <c r="H59" s="175" t="s">
        <v>394</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83"/>
      <c r="B60" s="249" t="str">
        <f t="shared" si="4"/>
        <v>RPU_ON_SP277-HH150</v>
      </c>
      <c r="C60" s="64" t="s">
        <v>184</v>
      </c>
      <c r="D60" s="173" t="s">
        <v>44</v>
      </c>
      <c r="E60" s="6">
        <v>0</v>
      </c>
      <c r="F60" s="174">
        <v>0</v>
      </c>
      <c r="G60" s="175" t="s">
        <v>393</v>
      </c>
      <c r="H60" s="175" t="s">
        <v>394</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83"/>
      <c r="B61" s="249" t="str">
        <f t="shared" si="4"/>
        <v>RPU_ON_SP321-HH100</v>
      </c>
      <c r="C61" s="64" t="s">
        <v>184</v>
      </c>
      <c r="D61" s="173" t="s">
        <v>45</v>
      </c>
      <c r="E61" s="6">
        <v>0</v>
      </c>
      <c r="F61" s="174">
        <v>0</v>
      </c>
      <c r="G61" s="175" t="s">
        <v>393</v>
      </c>
      <c r="H61" s="175" t="s">
        <v>394</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83"/>
      <c r="B62" s="249" t="str">
        <f t="shared" si="4"/>
        <v>RPU_ON_SP321-HH150</v>
      </c>
      <c r="C62" s="64" t="s">
        <v>184</v>
      </c>
      <c r="D62" s="173" t="s">
        <v>46</v>
      </c>
      <c r="E62" s="6">
        <v>0</v>
      </c>
      <c r="F62" s="174">
        <v>0</v>
      </c>
      <c r="G62" s="175" t="s">
        <v>393</v>
      </c>
      <c r="H62" s="175" t="s">
        <v>394</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83"/>
      <c r="B63" s="251" t="str">
        <f t="shared" si="4"/>
        <v>RPU_OFF_SP379-HH100</v>
      </c>
      <c r="C63" s="183" t="s">
        <v>184</v>
      </c>
      <c r="D63" s="184" t="s">
        <v>47</v>
      </c>
      <c r="E63" s="6">
        <v>0</v>
      </c>
      <c r="F63" s="185">
        <v>0</v>
      </c>
      <c r="G63" s="252" t="s">
        <v>393</v>
      </c>
      <c r="H63" s="252" t="s">
        <v>394</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83"/>
      <c r="B64" s="251" t="str">
        <f t="shared" si="4"/>
        <v>RPU_OFF_SP379-HH150</v>
      </c>
      <c r="C64" s="183" t="s">
        <v>184</v>
      </c>
      <c r="D64" s="184" t="s">
        <v>48</v>
      </c>
      <c r="E64" s="6">
        <v>0</v>
      </c>
      <c r="F64" s="185">
        <v>0</v>
      </c>
      <c r="G64" s="252" t="s">
        <v>393</v>
      </c>
      <c r="H64" s="252" t="s">
        <v>394</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83"/>
      <c r="B65" s="251" t="str">
        <f t="shared" si="4"/>
        <v>RPU_OFF_SP450-HH100</v>
      </c>
      <c r="C65" s="183" t="s">
        <v>184</v>
      </c>
      <c r="D65" s="184" t="s">
        <v>49</v>
      </c>
      <c r="E65" s="6">
        <v>0</v>
      </c>
      <c r="F65" s="185">
        <v>0</v>
      </c>
      <c r="G65" s="252" t="s">
        <v>393</v>
      </c>
      <c r="H65" s="252" t="s">
        <v>394</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83"/>
      <c r="B66" s="251" t="str">
        <f t="shared" si="4"/>
        <v>RPU_OFF_SP450-HH150</v>
      </c>
      <c r="C66" s="183" t="s">
        <v>184</v>
      </c>
      <c r="D66" s="184" t="s">
        <v>115</v>
      </c>
      <c r="E66" s="6">
        <v>0</v>
      </c>
      <c r="F66" s="185">
        <v>0</v>
      </c>
      <c r="G66" s="252" t="s">
        <v>393</v>
      </c>
      <c r="H66" s="252" t="s">
        <v>394</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83"/>
      <c r="B67" s="255" t="s">
        <v>327</v>
      </c>
      <c r="C67" s="75" t="s">
        <v>184</v>
      </c>
      <c r="D67" s="256" t="s">
        <v>328</v>
      </c>
      <c r="E67" s="6">
        <v>0</v>
      </c>
      <c r="F67" s="104">
        <v>0</v>
      </c>
      <c r="G67" s="116" t="s">
        <v>393</v>
      </c>
      <c r="H67" s="116" t="s">
        <v>394</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357</v>
      </c>
      <c r="AD67" s="257" t="s">
        <v>357</v>
      </c>
      <c r="AE67" s="257" t="s">
        <v>357</v>
      </c>
      <c r="AF67" s="257" t="s">
        <v>357</v>
      </c>
      <c r="AG67" s="257" t="s">
        <v>357</v>
      </c>
      <c r="AH67" s="257" t="s">
        <v>357</v>
      </c>
      <c r="AI67" s="257" t="s">
        <v>357</v>
      </c>
      <c r="AJ67" s="257" t="s">
        <v>357</v>
      </c>
      <c r="AK67" s="257" t="s">
        <v>357</v>
      </c>
      <c r="AL67" s="257" t="s">
        <v>357</v>
      </c>
      <c r="AM67" s="257" t="s">
        <v>357</v>
      </c>
      <c r="AN67" s="357" t="s">
        <v>357</v>
      </c>
      <c r="AO67" s="77" t="s">
        <v>357</v>
      </c>
      <c r="AP67" s="77" t="s">
        <v>357</v>
      </c>
      <c r="AQ67" s="77" t="s">
        <v>357</v>
      </c>
      <c r="AR67" s="135" t="s">
        <v>357</v>
      </c>
      <c r="AS67" s="77" t="s">
        <v>357</v>
      </c>
      <c r="AT67" s="77" t="s">
        <v>357</v>
      </c>
      <c r="AU67" s="77" t="s">
        <v>357</v>
      </c>
      <c r="AV67" s="77" t="s">
        <v>357</v>
      </c>
      <c r="AW67" s="77" t="s">
        <v>357</v>
      </c>
      <c r="AX67" s="77" t="s">
        <v>357</v>
      </c>
      <c r="AY67" s="77" t="s">
        <v>357</v>
      </c>
      <c r="AZ67" s="77" t="s">
        <v>357</v>
      </c>
      <c r="BA67" s="77" t="s">
        <v>357</v>
      </c>
      <c r="BB67" s="77" t="s">
        <v>357</v>
      </c>
      <c r="BC67" s="77" t="s">
        <v>357</v>
      </c>
      <c r="BD67" s="77" t="s">
        <v>357</v>
      </c>
      <c r="BE67" s="77">
        <v>0</v>
      </c>
      <c r="BF67" s="77">
        <v>0</v>
      </c>
      <c r="BG67" s="77">
        <v>0</v>
      </c>
      <c r="BH67" s="135">
        <v>0</v>
      </c>
      <c r="BI67" s="77">
        <v>0</v>
      </c>
      <c r="BJ67" s="77">
        <v>0</v>
      </c>
      <c r="BK67" s="77">
        <v>0</v>
      </c>
      <c r="BL67" s="135">
        <v>0</v>
      </c>
      <c r="BM67" s="77">
        <v>0</v>
      </c>
      <c r="BN67" s="77">
        <v>0</v>
      </c>
      <c r="BO67" s="77">
        <v>0</v>
      </c>
      <c r="BP67" s="135">
        <v>0</v>
      </c>
      <c r="BQ67" s="77" t="s">
        <v>357</v>
      </c>
      <c r="BR67" s="77" t="s">
        <v>357</v>
      </c>
      <c r="BS67" s="77" t="s">
        <v>357</v>
      </c>
      <c r="BT67" s="135" t="s">
        <v>357</v>
      </c>
      <c r="BU67" s="78" t="s">
        <v>357</v>
      </c>
      <c r="BV67" s="78" t="s">
        <v>357</v>
      </c>
      <c r="BW67" s="78" t="s">
        <v>357</v>
      </c>
      <c r="BX67" s="162" t="s">
        <v>357</v>
      </c>
      <c r="BY67" s="79" t="s">
        <v>357</v>
      </c>
      <c r="BZ67" s="79" t="s">
        <v>357</v>
      </c>
      <c r="CA67" s="79" t="s">
        <v>357</v>
      </c>
      <c r="CB67" s="79" t="s">
        <v>357</v>
      </c>
    </row>
    <row r="68" spans="1:80" s="77" customFormat="1" ht="14.5" customHeight="1" x14ac:dyDescent="0.35">
      <c r="A68" s="483"/>
      <c r="B68" s="255" t="s">
        <v>329</v>
      </c>
      <c r="C68" s="75" t="s">
        <v>184</v>
      </c>
      <c r="D68" s="256" t="s">
        <v>330</v>
      </c>
      <c r="E68" s="6">
        <v>0</v>
      </c>
      <c r="F68" s="104">
        <v>0</v>
      </c>
      <c r="G68" s="116" t="s">
        <v>393</v>
      </c>
      <c r="H68" s="116" t="s">
        <v>394</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357</v>
      </c>
      <c r="AD68" s="257" t="s">
        <v>357</v>
      </c>
      <c r="AE68" s="257" t="s">
        <v>357</v>
      </c>
      <c r="AF68" s="257" t="s">
        <v>357</v>
      </c>
      <c r="AG68" s="257" t="s">
        <v>357</v>
      </c>
      <c r="AH68" s="257" t="s">
        <v>357</v>
      </c>
      <c r="AI68" s="257" t="s">
        <v>357</v>
      </c>
      <c r="AJ68" s="257" t="s">
        <v>357</v>
      </c>
      <c r="AK68" s="257" t="s">
        <v>357</v>
      </c>
      <c r="AL68" s="257" t="s">
        <v>357</v>
      </c>
      <c r="AM68" s="257" t="s">
        <v>357</v>
      </c>
      <c r="AN68" s="357" t="s">
        <v>357</v>
      </c>
      <c r="AO68" s="77" t="s">
        <v>357</v>
      </c>
      <c r="AP68" s="77" t="s">
        <v>357</v>
      </c>
      <c r="AQ68" s="77" t="s">
        <v>357</v>
      </c>
      <c r="AR68" s="135" t="s">
        <v>357</v>
      </c>
      <c r="AS68" s="77" t="s">
        <v>357</v>
      </c>
      <c r="AT68" s="77" t="s">
        <v>357</v>
      </c>
      <c r="AU68" s="77" t="s">
        <v>357</v>
      </c>
      <c r="AV68" s="77" t="s">
        <v>357</v>
      </c>
      <c r="AW68" s="77" t="s">
        <v>357</v>
      </c>
      <c r="AX68" s="77" t="s">
        <v>357</v>
      </c>
      <c r="AY68" s="77" t="s">
        <v>357</v>
      </c>
      <c r="AZ68" s="77" t="s">
        <v>357</v>
      </c>
      <c r="BA68" s="77" t="s">
        <v>357</v>
      </c>
      <c r="BB68" s="77" t="s">
        <v>357</v>
      </c>
      <c r="BC68" s="77" t="s">
        <v>357</v>
      </c>
      <c r="BD68" s="77" t="s">
        <v>357</v>
      </c>
      <c r="BE68" s="77">
        <v>0</v>
      </c>
      <c r="BF68" s="77">
        <v>0</v>
      </c>
      <c r="BG68" s="77">
        <v>0</v>
      </c>
      <c r="BH68" s="135">
        <v>0</v>
      </c>
      <c r="BI68" s="77">
        <v>0</v>
      </c>
      <c r="BJ68" s="77">
        <v>0</v>
      </c>
      <c r="BK68" s="77">
        <v>0</v>
      </c>
      <c r="BL68" s="135">
        <v>0</v>
      </c>
      <c r="BM68" s="77">
        <v>0</v>
      </c>
      <c r="BN68" s="77">
        <v>0</v>
      </c>
      <c r="BO68" s="77">
        <v>0</v>
      </c>
      <c r="BP68" s="135">
        <v>0</v>
      </c>
      <c r="BQ68" s="77" t="s">
        <v>357</v>
      </c>
      <c r="BR68" s="77" t="s">
        <v>357</v>
      </c>
      <c r="BS68" s="77" t="s">
        <v>357</v>
      </c>
      <c r="BT68" s="135" t="s">
        <v>357</v>
      </c>
      <c r="BU68" s="78" t="s">
        <v>357</v>
      </c>
      <c r="BV68" s="78" t="s">
        <v>357</v>
      </c>
      <c r="BW68" s="78" t="s">
        <v>357</v>
      </c>
      <c r="BX68" s="162" t="s">
        <v>357</v>
      </c>
      <c r="BY68" s="79" t="s">
        <v>357</v>
      </c>
      <c r="BZ68" s="79" t="s">
        <v>357</v>
      </c>
      <c r="CA68" s="79" t="s">
        <v>357</v>
      </c>
      <c r="CB68" s="79" t="s">
        <v>357</v>
      </c>
    </row>
    <row r="69" spans="1:80" s="77" customFormat="1" ht="14.5" customHeight="1" x14ac:dyDescent="0.35">
      <c r="A69" s="483"/>
      <c r="B69" s="255" t="s">
        <v>331</v>
      </c>
      <c r="C69" s="75" t="s">
        <v>184</v>
      </c>
      <c r="D69" s="256" t="s">
        <v>332</v>
      </c>
      <c r="E69" s="6">
        <v>0</v>
      </c>
      <c r="F69" s="104">
        <v>0</v>
      </c>
      <c r="G69" s="116" t="s">
        <v>393</v>
      </c>
      <c r="H69" s="116" t="s">
        <v>394</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357</v>
      </c>
      <c r="AD69" s="257" t="s">
        <v>357</v>
      </c>
      <c r="AE69" s="257" t="s">
        <v>357</v>
      </c>
      <c r="AF69" s="257" t="s">
        <v>357</v>
      </c>
      <c r="AG69" s="257" t="s">
        <v>357</v>
      </c>
      <c r="AH69" s="257" t="s">
        <v>357</v>
      </c>
      <c r="AI69" s="257" t="s">
        <v>357</v>
      </c>
      <c r="AJ69" s="257" t="s">
        <v>357</v>
      </c>
      <c r="AK69" s="257" t="s">
        <v>357</v>
      </c>
      <c r="AL69" s="257" t="s">
        <v>357</v>
      </c>
      <c r="AM69" s="257" t="s">
        <v>357</v>
      </c>
      <c r="AN69" s="357" t="s">
        <v>357</v>
      </c>
      <c r="AO69" s="77" t="s">
        <v>357</v>
      </c>
      <c r="AP69" s="77" t="s">
        <v>357</v>
      </c>
      <c r="AQ69" s="77" t="s">
        <v>357</v>
      </c>
      <c r="AR69" s="135" t="s">
        <v>357</v>
      </c>
      <c r="AS69" s="77" t="s">
        <v>357</v>
      </c>
      <c r="AT69" s="77" t="s">
        <v>357</v>
      </c>
      <c r="AU69" s="77" t="s">
        <v>357</v>
      </c>
      <c r="AV69" s="77" t="s">
        <v>357</v>
      </c>
      <c r="AW69" s="77" t="s">
        <v>357</v>
      </c>
      <c r="AX69" s="77" t="s">
        <v>357</v>
      </c>
      <c r="AY69" s="77" t="s">
        <v>357</v>
      </c>
      <c r="AZ69" s="77" t="s">
        <v>357</v>
      </c>
      <c r="BA69" s="77" t="s">
        <v>357</v>
      </c>
      <c r="BB69" s="77" t="s">
        <v>357</v>
      </c>
      <c r="BC69" s="77" t="s">
        <v>357</v>
      </c>
      <c r="BD69" s="77" t="s">
        <v>357</v>
      </c>
      <c r="BE69" s="77">
        <v>0</v>
      </c>
      <c r="BF69" s="77">
        <v>0</v>
      </c>
      <c r="BG69" s="77">
        <v>0</v>
      </c>
      <c r="BH69" s="135">
        <v>0</v>
      </c>
      <c r="BI69" s="77">
        <v>0</v>
      </c>
      <c r="BJ69" s="77">
        <v>0</v>
      </c>
      <c r="BK69" s="77">
        <v>0</v>
      </c>
      <c r="BL69" s="135">
        <v>0</v>
      </c>
      <c r="BM69" s="77">
        <v>0</v>
      </c>
      <c r="BN69" s="77">
        <v>0</v>
      </c>
      <c r="BO69" s="77">
        <v>0</v>
      </c>
      <c r="BP69" s="135">
        <v>0</v>
      </c>
      <c r="BQ69" s="77" t="s">
        <v>357</v>
      </c>
      <c r="BR69" s="77" t="s">
        <v>357</v>
      </c>
      <c r="BS69" s="77" t="s">
        <v>357</v>
      </c>
      <c r="BT69" s="135" t="s">
        <v>357</v>
      </c>
      <c r="BU69" s="78" t="s">
        <v>357</v>
      </c>
      <c r="BV69" s="78" t="s">
        <v>357</v>
      </c>
      <c r="BW69" s="78" t="s">
        <v>357</v>
      </c>
      <c r="BX69" s="162" t="s">
        <v>357</v>
      </c>
      <c r="BY69" s="79" t="s">
        <v>357</v>
      </c>
      <c r="BZ69" s="79" t="s">
        <v>357</v>
      </c>
      <c r="CA69" s="79" t="s">
        <v>357</v>
      </c>
      <c r="CB69" s="79" t="s">
        <v>357</v>
      </c>
    </row>
    <row r="70" spans="1:80" s="77" customFormat="1" ht="14.5" customHeight="1" x14ac:dyDescent="0.35">
      <c r="A70" s="483"/>
      <c r="B70" s="255" t="s">
        <v>333</v>
      </c>
      <c r="C70" s="75" t="s">
        <v>184</v>
      </c>
      <c r="D70" s="256" t="s">
        <v>334</v>
      </c>
      <c r="E70" s="6">
        <v>0</v>
      </c>
      <c r="F70" s="104">
        <v>0</v>
      </c>
      <c r="G70" s="116" t="s">
        <v>393</v>
      </c>
      <c r="H70" s="116" t="s">
        <v>394</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357</v>
      </c>
      <c r="AD70" s="257" t="s">
        <v>357</v>
      </c>
      <c r="AE70" s="257" t="s">
        <v>357</v>
      </c>
      <c r="AF70" s="257" t="s">
        <v>357</v>
      </c>
      <c r="AG70" s="257" t="s">
        <v>357</v>
      </c>
      <c r="AH70" s="257" t="s">
        <v>357</v>
      </c>
      <c r="AI70" s="257" t="s">
        <v>357</v>
      </c>
      <c r="AJ70" s="257" t="s">
        <v>357</v>
      </c>
      <c r="AK70" s="257" t="s">
        <v>357</v>
      </c>
      <c r="AL70" s="257" t="s">
        <v>357</v>
      </c>
      <c r="AM70" s="257" t="s">
        <v>357</v>
      </c>
      <c r="AN70" s="357" t="s">
        <v>357</v>
      </c>
      <c r="AO70" s="77" t="s">
        <v>357</v>
      </c>
      <c r="AP70" s="77" t="s">
        <v>357</v>
      </c>
      <c r="AQ70" s="77" t="s">
        <v>357</v>
      </c>
      <c r="AR70" s="135" t="s">
        <v>357</v>
      </c>
      <c r="AS70" s="77" t="s">
        <v>357</v>
      </c>
      <c r="AT70" s="77" t="s">
        <v>357</v>
      </c>
      <c r="AU70" s="77" t="s">
        <v>357</v>
      </c>
      <c r="AV70" s="77" t="s">
        <v>357</v>
      </c>
      <c r="AW70" s="77" t="s">
        <v>357</v>
      </c>
      <c r="AX70" s="77" t="s">
        <v>357</v>
      </c>
      <c r="AY70" s="77" t="s">
        <v>357</v>
      </c>
      <c r="AZ70" s="77" t="s">
        <v>357</v>
      </c>
      <c r="BA70" s="77" t="s">
        <v>357</v>
      </c>
      <c r="BB70" s="77" t="s">
        <v>357</v>
      </c>
      <c r="BC70" s="77" t="s">
        <v>357</v>
      </c>
      <c r="BD70" s="77" t="s">
        <v>357</v>
      </c>
      <c r="BE70" s="77">
        <v>0</v>
      </c>
      <c r="BF70" s="77">
        <v>0</v>
      </c>
      <c r="BG70" s="77">
        <v>0</v>
      </c>
      <c r="BH70" s="135">
        <v>0</v>
      </c>
      <c r="BI70" s="77">
        <v>0</v>
      </c>
      <c r="BJ70" s="77">
        <v>0</v>
      </c>
      <c r="BK70" s="77">
        <v>0</v>
      </c>
      <c r="BL70" s="135">
        <v>0</v>
      </c>
      <c r="BM70" s="77">
        <v>0</v>
      </c>
      <c r="BN70" s="77">
        <v>0</v>
      </c>
      <c r="BO70" s="77">
        <v>0</v>
      </c>
      <c r="BP70" s="135">
        <v>0</v>
      </c>
      <c r="BQ70" s="77" t="s">
        <v>357</v>
      </c>
      <c r="BR70" s="77" t="s">
        <v>357</v>
      </c>
      <c r="BS70" s="77" t="s">
        <v>357</v>
      </c>
      <c r="BT70" s="135" t="s">
        <v>357</v>
      </c>
      <c r="BU70" s="78" t="s">
        <v>357</v>
      </c>
      <c r="BV70" s="78" t="s">
        <v>357</v>
      </c>
      <c r="BW70" s="78" t="s">
        <v>357</v>
      </c>
      <c r="BX70" s="162" t="s">
        <v>357</v>
      </c>
      <c r="BY70" s="79" t="s">
        <v>357</v>
      </c>
      <c r="BZ70" s="79" t="s">
        <v>357</v>
      </c>
      <c r="CA70" s="79" t="s">
        <v>357</v>
      </c>
      <c r="CB70" s="79" t="s">
        <v>357</v>
      </c>
    </row>
    <row r="71" spans="1:80" s="265" customFormat="1" ht="14.5" customHeight="1" x14ac:dyDescent="0.35">
      <c r="A71" s="483"/>
      <c r="B71" s="258" t="s">
        <v>14</v>
      </c>
      <c r="C71" s="259" t="s">
        <v>184</v>
      </c>
      <c r="D71" s="260" t="s">
        <v>182</v>
      </c>
      <c r="E71" s="6">
        <v>0</v>
      </c>
      <c r="F71" s="261">
        <v>0</v>
      </c>
      <c r="G71" s="262" t="s">
        <v>393</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357</v>
      </c>
      <c r="AD71" s="266" t="s">
        <v>357</v>
      </c>
      <c r="AE71" s="266" t="s">
        <v>357</v>
      </c>
      <c r="AF71" s="266" t="s">
        <v>357</v>
      </c>
      <c r="AG71" s="266" t="s">
        <v>357</v>
      </c>
      <c r="AH71" s="266" t="s">
        <v>357</v>
      </c>
      <c r="AI71" s="266" t="s">
        <v>357</v>
      </c>
      <c r="AJ71" s="266" t="s">
        <v>357</v>
      </c>
      <c r="AK71" s="266" t="s">
        <v>357</v>
      </c>
      <c r="AL71" s="266" t="s">
        <v>357</v>
      </c>
      <c r="AM71" s="266" t="s">
        <v>357</v>
      </c>
      <c r="AN71" s="358" t="s">
        <v>357</v>
      </c>
      <c r="AO71" s="265" t="s">
        <v>357</v>
      </c>
      <c r="AP71" s="265" t="s">
        <v>357</v>
      </c>
      <c r="AQ71" s="265" t="s">
        <v>357</v>
      </c>
      <c r="AR71" s="263" t="s">
        <v>357</v>
      </c>
      <c r="AS71" s="265" t="s">
        <v>357</v>
      </c>
      <c r="AT71" s="265" t="s">
        <v>357</v>
      </c>
      <c r="AU71" s="265" t="s">
        <v>357</v>
      </c>
      <c r="AV71" s="265" t="s">
        <v>357</v>
      </c>
      <c r="AW71" s="265" t="s">
        <v>357</v>
      </c>
      <c r="AX71" s="265" t="s">
        <v>357</v>
      </c>
      <c r="AY71" s="265" t="s">
        <v>357</v>
      </c>
      <c r="AZ71" s="265" t="s">
        <v>357</v>
      </c>
      <c r="BA71" s="265" t="s">
        <v>357</v>
      </c>
      <c r="BB71" s="265" t="s">
        <v>357</v>
      </c>
      <c r="BC71" s="265" t="s">
        <v>357</v>
      </c>
      <c r="BD71" s="265" t="s">
        <v>357</v>
      </c>
      <c r="BE71" s="265">
        <v>0</v>
      </c>
      <c r="BF71" s="265">
        <v>0</v>
      </c>
      <c r="BG71" s="265">
        <v>0</v>
      </c>
      <c r="BH71" s="263">
        <v>0</v>
      </c>
      <c r="BI71" s="265">
        <v>0</v>
      </c>
      <c r="BJ71" s="265">
        <v>0</v>
      </c>
      <c r="BK71" s="265">
        <v>0</v>
      </c>
      <c r="BL71" s="263">
        <v>0</v>
      </c>
      <c r="BM71" s="265">
        <v>0</v>
      </c>
      <c r="BN71" s="265">
        <v>0</v>
      </c>
      <c r="BO71" s="265">
        <v>0</v>
      </c>
      <c r="BP71" s="263">
        <v>0</v>
      </c>
      <c r="BQ71" s="265" t="s">
        <v>357</v>
      </c>
      <c r="BR71" s="265" t="s">
        <v>357</v>
      </c>
      <c r="BS71" s="265" t="s">
        <v>357</v>
      </c>
      <c r="BT71" s="263" t="s">
        <v>357</v>
      </c>
      <c r="BU71" s="267" t="s">
        <v>357</v>
      </c>
      <c r="BV71" s="267" t="s">
        <v>357</v>
      </c>
      <c r="BW71" s="267" t="s">
        <v>357</v>
      </c>
      <c r="BX71" s="353" t="s">
        <v>357</v>
      </c>
      <c r="BY71" s="268" t="s">
        <v>357</v>
      </c>
      <c r="BZ71" s="268" t="s">
        <v>357</v>
      </c>
      <c r="CA71" s="268" t="s">
        <v>357</v>
      </c>
      <c r="CB71" s="268" t="s">
        <v>357</v>
      </c>
    </row>
    <row r="72" spans="1:80" s="265" customFormat="1" ht="14.5" customHeight="1" x14ac:dyDescent="0.35">
      <c r="A72" s="483"/>
      <c r="B72" s="258" t="s">
        <v>15</v>
      </c>
      <c r="C72" s="259" t="s">
        <v>184</v>
      </c>
      <c r="D72" s="260" t="s">
        <v>183</v>
      </c>
      <c r="E72" s="6">
        <v>0</v>
      </c>
      <c r="F72" s="261">
        <v>0</v>
      </c>
      <c r="G72" s="262" t="s">
        <v>393</v>
      </c>
      <c r="H72" s="262" t="s">
        <v>394</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357</v>
      </c>
      <c r="AD72" s="266" t="s">
        <v>357</v>
      </c>
      <c r="AE72" s="266" t="s">
        <v>357</v>
      </c>
      <c r="AF72" s="266" t="s">
        <v>357</v>
      </c>
      <c r="AG72" s="266" t="s">
        <v>357</v>
      </c>
      <c r="AH72" s="266" t="s">
        <v>357</v>
      </c>
      <c r="AI72" s="266" t="s">
        <v>357</v>
      </c>
      <c r="AJ72" s="266" t="s">
        <v>357</v>
      </c>
      <c r="AK72" s="266" t="s">
        <v>357</v>
      </c>
      <c r="AL72" s="266" t="s">
        <v>357</v>
      </c>
      <c r="AM72" s="266" t="s">
        <v>357</v>
      </c>
      <c r="AN72" s="358" t="s">
        <v>357</v>
      </c>
      <c r="AO72" s="265" t="s">
        <v>357</v>
      </c>
      <c r="AP72" s="265" t="s">
        <v>357</v>
      </c>
      <c r="AQ72" s="265" t="s">
        <v>357</v>
      </c>
      <c r="AR72" s="263" t="s">
        <v>357</v>
      </c>
      <c r="AS72" s="265" t="s">
        <v>357</v>
      </c>
      <c r="AT72" s="265" t="s">
        <v>357</v>
      </c>
      <c r="AU72" s="265" t="s">
        <v>357</v>
      </c>
      <c r="AV72" s="265" t="s">
        <v>357</v>
      </c>
      <c r="AW72" s="265" t="s">
        <v>357</v>
      </c>
      <c r="AX72" s="265" t="s">
        <v>357</v>
      </c>
      <c r="AY72" s="265" t="s">
        <v>357</v>
      </c>
      <c r="AZ72" s="265" t="s">
        <v>357</v>
      </c>
      <c r="BA72" s="265" t="s">
        <v>357</v>
      </c>
      <c r="BB72" s="265" t="s">
        <v>357</v>
      </c>
      <c r="BC72" s="265" t="s">
        <v>357</v>
      </c>
      <c r="BD72" s="265" t="s">
        <v>357</v>
      </c>
      <c r="BE72" s="265">
        <v>0</v>
      </c>
      <c r="BF72" s="265">
        <v>0</v>
      </c>
      <c r="BG72" s="265">
        <v>0</v>
      </c>
      <c r="BH72" s="263">
        <v>0</v>
      </c>
      <c r="BI72" s="265">
        <v>0</v>
      </c>
      <c r="BJ72" s="265">
        <v>0</v>
      </c>
      <c r="BK72" s="265">
        <v>0</v>
      </c>
      <c r="BL72" s="263">
        <v>0</v>
      </c>
      <c r="BM72" s="265">
        <v>0</v>
      </c>
      <c r="BN72" s="265">
        <v>0</v>
      </c>
      <c r="BO72" s="265">
        <v>0</v>
      </c>
      <c r="BP72" s="263">
        <v>0</v>
      </c>
      <c r="BQ72" s="265" t="s">
        <v>357</v>
      </c>
      <c r="BR72" s="265" t="s">
        <v>357</v>
      </c>
      <c r="BS72" s="265" t="s">
        <v>357</v>
      </c>
      <c r="BT72" s="263" t="s">
        <v>357</v>
      </c>
      <c r="BU72" s="267" t="s">
        <v>357</v>
      </c>
      <c r="BV72" s="267" t="s">
        <v>357</v>
      </c>
      <c r="BW72" s="267" t="s">
        <v>357</v>
      </c>
      <c r="BX72" s="353" t="s">
        <v>357</v>
      </c>
      <c r="BY72" s="268" t="s">
        <v>357</v>
      </c>
      <c r="BZ72" s="268" t="s">
        <v>357</v>
      </c>
      <c r="CA72" s="268" t="s">
        <v>357</v>
      </c>
      <c r="CB72" s="268" t="s">
        <v>357</v>
      </c>
    </row>
    <row r="73" spans="1:80" s="276" customFormat="1" ht="14.5" customHeight="1" x14ac:dyDescent="0.35">
      <c r="A73" s="483"/>
      <c r="B73" s="269" t="s">
        <v>16</v>
      </c>
      <c r="C73" s="270" t="s">
        <v>184</v>
      </c>
      <c r="D73" s="271" t="s">
        <v>335</v>
      </c>
      <c r="E73" s="6">
        <v>0</v>
      </c>
      <c r="F73" s="272">
        <v>0</v>
      </c>
      <c r="G73" s="273" t="s">
        <v>394</v>
      </c>
      <c r="H73" s="273" t="s">
        <v>394</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357</v>
      </c>
      <c r="AD73" s="277" t="s">
        <v>357</v>
      </c>
      <c r="AE73" s="277" t="s">
        <v>357</v>
      </c>
      <c r="AF73" s="277" t="s">
        <v>357</v>
      </c>
      <c r="AG73" s="277" t="s">
        <v>357</v>
      </c>
      <c r="AH73" s="277" t="s">
        <v>357</v>
      </c>
      <c r="AI73" s="277" t="s">
        <v>357</v>
      </c>
      <c r="AJ73" s="277" t="s">
        <v>357</v>
      </c>
      <c r="AK73" s="277" t="s">
        <v>357</v>
      </c>
      <c r="AL73" s="277" t="s">
        <v>357</v>
      </c>
      <c r="AM73" s="277" t="s">
        <v>357</v>
      </c>
      <c r="AN73" s="359" t="s">
        <v>357</v>
      </c>
      <c r="AO73" s="276" t="s">
        <v>357</v>
      </c>
      <c r="AP73" s="276" t="s">
        <v>357</v>
      </c>
      <c r="AQ73" s="276" t="s">
        <v>357</v>
      </c>
      <c r="AR73" s="274" t="s">
        <v>357</v>
      </c>
      <c r="AS73" s="276" t="s">
        <v>357</v>
      </c>
      <c r="AT73" s="276" t="s">
        <v>357</v>
      </c>
      <c r="AU73" s="276" t="s">
        <v>357</v>
      </c>
      <c r="AV73" s="276" t="s">
        <v>357</v>
      </c>
      <c r="AW73" s="276" t="s">
        <v>357</v>
      </c>
      <c r="AX73" s="276" t="s">
        <v>357</v>
      </c>
      <c r="AY73" s="276" t="s">
        <v>357</v>
      </c>
      <c r="AZ73" s="276" t="s">
        <v>357</v>
      </c>
      <c r="BA73" s="276" t="s">
        <v>357</v>
      </c>
      <c r="BB73" s="276" t="s">
        <v>357</v>
      </c>
      <c r="BC73" s="276" t="s">
        <v>357</v>
      </c>
      <c r="BD73" s="276" t="s">
        <v>357</v>
      </c>
      <c r="BE73" s="276">
        <v>0</v>
      </c>
      <c r="BF73" s="276">
        <v>0</v>
      </c>
      <c r="BG73" s="276">
        <v>0</v>
      </c>
      <c r="BH73" s="274">
        <v>0</v>
      </c>
      <c r="BI73" s="276">
        <v>0</v>
      </c>
      <c r="BJ73" s="276">
        <v>0</v>
      </c>
      <c r="BK73" s="276">
        <v>0</v>
      </c>
      <c r="BL73" s="274">
        <v>0</v>
      </c>
      <c r="BM73" s="276">
        <v>0</v>
      </c>
      <c r="BN73" s="276">
        <v>0</v>
      </c>
      <c r="BO73" s="276">
        <v>0</v>
      </c>
      <c r="BP73" s="274">
        <v>0</v>
      </c>
      <c r="BQ73" s="276" t="s">
        <v>357</v>
      </c>
      <c r="BR73" s="276" t="s">
        <v>357</v>
      </c>
      <c r="BS73" s="276" t="s">
        <v>357</v>
      </c>
      <c r="BT73" s="274" t="s">
        <v>357</v>
      </c>
      <c r="BU73" s="278" t="s">
        <v>357</v>
      </c>
      <c r="BV73" s="278" t="s">
        <v>357</v>
      </c>
      <c r="BW73" s="278" t="s">
        <v>357</v>
      </c>
      <c r="BX73" s="354" t="s">
        <v>357</v>
      </c>
      <c r="BY73" s="279" t="s">
        <v>357</v>
      </c>
      <c r="BZ73" s="279" t="s">
        <v>357</v>
      </c>
      <c r="CA73" s="279" t="s">
        <v>357</v>
      </c>
      <c r="CB73" s="279" t="s">
        <v>357</v>
      </c>
    </row>
    <row r="74" spans="1:80" s="276" customFormat="1" ht="14.5" customHeight="1" x14ac:dyDescent="0.35">
      <c r="A74" s="483"/>
      <c r="B74" s="269" t="s">
        <v>16</v>
      </c>
      <c r="C74" s="270" t="s">
        <v>184</v>
      </c>
      <c r="D74" s="271" t="s">
        <v>336</v>
      </c>
      <c r="E74" s="6">
        <v>0</v>
      </c>
      <c r="F74" s="272">
        <v>0</v>
      </c>
      <c r="G74" s="273" t="s">
        <v>394</v>
      </c>
      <c r="H74" s="273" t="s">
        <v>394</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357</v>
      </c>
      <c r="AD74" s="277" t="s">
        <v>357</v>
      </c>
      <c r="AE74" s="277" t="s">
        <v>357</v>
      </c>
      <c r="AF74" s="277" t="s">
        <v>357</v>
      </c>
      <c r="AG74" s="277" t="s">
        <v>357</v>
      </c>
      <c r="AH74" s="277" t="s">
        <v>357</v>
      </c>
      <c r="AI74" s="277" t="s">
        <v>357</v>
      </c>
      <c r="AJ74" s="277" t="s">
        <v>357</v>
      </c>
      <c r="AK74" s="277" t="s">
        <v>357</v>
      </c>
      <c r="AL74" s="277" t="s">
        <v>357</v>
      </c>
      <c r="AM74" s="277" t="s">
        <v>357</v>
      </c>
      <c r="AN74" s="359" t="s">
        <v>357</v>
      </c>
      <c r="AO74" s="276" t="s">
        <v>357</v>
      </c>
      <c r="AP74" s="276" t="s">
        <v>357</v>
      </c>
      <c r="AQ74" s="276" t="s">
        <v>357</v>
      </c>
      <c r="AR74" s="274" t="s">
        <v>357</v>
      </c>
      <c r="AS74" s="276" t="s">
        <v>357</v>
      </c>
      <c r="AT74" s="276" t="s">
        <v>357</v>
      </c>
      <c r="AU74" s="276" t="s">
        <v>357</v>
      </c>
      <c r="AV74" s="276" t="s">
        <v>357</v>
      </c>
      <c r="AW74" s="276" t="s">
        <v>357</v>
      </c>
      <c r="AX74" s="276" t="s">
        <v>357</v>
      </c>
      <c r="AY74" s="276" t="s">
        <v>357</v>
      </c>
      <c r="AZ74" s="276" t="s">
        <v>357</v>
      </c>
      <c r="BA74" s="276" t="s">
        <v>357</v>
      </c>
      <c r="BB74" s="276" t="s">
        <v>357</v>
      </c>
      <c r="BC74" s="276" t="s">
        <v>357</v>
      </c>
      <c r="BD74" s="276" t="s">
        <v>357</v>
      </c>
      <c r="BE74" s="276">
        <v>0</v>
      </c>
      <c r="BF74" s="276">
        <v>0</v>
      </c>
      <c r="BG74" s="276">
        <v>0</v>
      </c>
      <c r="BH74" s="274">
        <v>0</v>
      </c>
      <c r="BI74" s="276">
        <v>0</v>
      </c>
      <c r="BJ74" s="276">
        <v>0</v>
      </c>
      <c r="BK74" s="276">
        <v>0</v>
      </c>
      <c r="BL74" s="274">
        <v>0</v>
      </c>
      <c r="BM74" s="276">
        <v>0</v>
      </c>
      <c r="BN74" s="276">
        <v>0</v>
      </c>
      <c r="BO74" s="276">
        <v>0</v>
      </c>
      <c r="BP74" s="274">
        <v>0</v>
      </c>
      <c r="BQ74" s="276" t="s">
        <v>357</v>
      </c>
      <c r="BR74" s="276" t="s">
        <v>357</v>
      </c>
      <c r="BS74" s="276" t="s">
        <v>357</v>
      </c>
      <c r="BT74" s="274" t="s">
        <v>357</v>
      </c>
      <c r="BU74" s="278" t="s">
        <v>357</v>
      </c>
      <c r="BV74" s="278" t="s">
        <v>357</v>
      </c>
      <c r="BW74" s="278" t="s">
        <v>357</v>
      </c>
      <c r="BX74" s="354" t="s">
        <v>357</v>
      </c>
      <c r="BY74" s="279" t="s">
        <v>357</v>
      </c>
      <c r="BZ74" s="279" t="s">
        <v>357</v>
      </c>
      <c r="CA74" s="279" t="s">
        <v>357</v>
      </c>
      <c r="CB74" s="279" t="s">
        <v>357</v>
      </c>
    </row>
    <row r="75" spans="1:80" s="276" customFormat="1" ht="14.5" customHeight="1" x14ac:dyDescent="0.35">
      <c r="A75" s="483"/>
      <c r="B75" s="269" t="s">
        <v>16</v>
      </c>
      <c r="C75" s="270" t="s">
        <v>184</v>
      </c>
      <c r="D75" s="271" t="s">
        <v>413</v>
      </c>
      <c r="E75" s="6">
        <v>0</v>
      </c>
      <c r="F75" s="272">
        <v>0</v>
      </c>
      <c r="G75" s="273" t="s">
        <v>394</v>
      </c>
      <c r="H75" s="273" t="s">
        <v>394</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357</v>
      </c>
      <c r="AD75" s="277" t="s">
        <v>357</v>
      </c>
      <c r="AE75" s="277" t="s">
        <v>357</v>
      </c>
      <c r="AF75" s="277" t="s">
        <v>357</v>
      </c>
      <c r="AG75" s="277" t="s">
        <v>357</v>
      </c>
      <c r="AH75" s="277" t="s">
        <v>357</v>
      </c>
      <c r="AI75" s="277" t="s">
        <v>357</v>
      </c>
      <c r="AJ75" s="277" t="s">
        <v>357</v>
      </c>
      <c r="AK75" s="277" t="s">
        <v>357</v>
      </c>
      <c r="AL75" s="277" t="s">
        <v>357</v>
      </c>
      <c r="AM75" s="277" t="s">
        <v>357</v>
      </c>
      <c r="AN75" s="359" t="s">
        <v>357</v>
      </c>
      <c r="AO75" s="276" t="s">
        <v>357</v>
      </c>
      <c r="AP75" s="276" t="s">
        <v>357</v>
      </c>
      <c r="AQ75" s="276" t="s">
        <v>357</v>
      </c>
      <c r="AR75" s="274" t="s">
        <v>357</v>
      </c>
      <c r="AS75" s="276" t="s">
        <v>357</v>
      </c>
      <c r="AT75" s="276" t="s">
        <v>357</v>
      </c>
      <c r="AU75" s="276" t="s">
        <v>357</v>
      </c>
      <c r="AV75" s="276" t="s">
        <v>357</v>
      </c>
      <c r="AW75" s="276" t="s">
        <v>357</v>
      </c>
      <c r="AX75" s="276" t="s">
        <v>357</v>
      </c>
      <c r="AY75" s="276" t="s">
        <v>357</v>
      </c>
      <c r="AZ75" s="276" t="s">
        <v>357</v>
      </c>
      <c r="BA75" s="276" t="s">
        <v>357</v>
      </c>
      <c r="BB75" s="276" t="s">
        <v>357</v>
      </c>
      <c r="BC75" s="276" t="s">
        <v>357</v>
      </c>
      <c r="BD75" s="276" t="s">
        <v>357</v>
      </c>
      <c r="BE75" s="276">
        <v>0</v>
      </c>
      <c r="BF75" s="276">
        <v>0</v>
      </c>
      <c r="BG75" s="276">
        <v>0</v>
      </c>
      <c r="BH75" s="274">
        <v>0</v>
      </c>
      <c r="BI75" s="276">
        <v>0</v>
      </c>
      <c r="BJ75" s="276">
        <v>0</v>
      </c>
      <c r="BK75" s="276">
        <v>0</v>
      </c>
      <c r="BL75" s="274">
        <v>0</v>
      </c>
      <c r="BM75" s="276">
        <v>0</v>
      </c>
      <c r="BN75" s="276">
        <v>0</v>
      </c>
      <c r="BO75" s="276">
        <v>0</v>
      </c>
      <c r="BP75" s="274">
        <v>0</v>
      </c>
      <c r="BQ75" s="276" t="s">
        <v>357</v>
      </c>
      <c r="BR75" s="276" t="s">
        <v>357</v>
      </c>
      <c r="BS75" s="276" t="s">
        <v>357</v>
      </c>
      <c r="BT75" s="274" t="s">
        <v>357</v>
      </c>
      <c r="BU75" s="278" t="s">
        <v>357</v>
      </c>
      <c r="BV75" s="278" t="s">
        <v>357</v>
      </c>
      <c r="BW75" s="278" t="s">
        <v>357</v>
      </c>
      <c r="BX75" s="354" t="s">
        <v>357</v>
      </c>
      <c r="BY75" s="279" t="s">
        <v>357</v>
      </c>
      <c r="BZ75" s="279" t="s">
        <v>357</v>
      </c>
      <c r="CA75" s="279" t="s">
        <v>357</v>
      </c>
      <c r="CB75" s="279" t="s">
        <v>357</v>
      </c>
    </row>
    <row r="76" spans="1:80" s="276" customFormat="1" ht="14.5" customHeight="1" x14ac:dyDescent="0.35">
      <c r="A76" s="483"/>
      <c r="B76" s="269" t="s">
        <v>16</v>
      </c>
      <c r="C76" s="270" t="s">
        <v>184</v>
      </c>
      <c r="D76" s="271" t="s">
        <v>337</v>
      </c>
      <c r="E76" s="6">
        <v>0</v>
      </c>
      <c r="F76" s="272">
        <v>0</v>
      </c>
      <c r="G76" s="273" t="s">
        <v>394</v>
      </c>
      <c r="H76" s="273" t="s">
        <v>394</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357</v>
      </c>
      <c r="AD76" s="277" t="s">
        <v>357</v>
      </c>
      <c r="AE76" s="277" t="s">
        <v>357</v>
      </c>
      <c r="AF76" s="277" t="s">
        <v>357</v>
      </c>
      <c r="AG76" s="277" t="s">
        <v>357</v>
      </c>
      <c r="AH76" s="277" t="s">
        <v>357</v>
      </c>
      <c r="AI76" s="277" t="s">
        <v>357</v>
      </c>
      <c r="AJ76" s="277" t="s">
        <v>357</v>
      </c>
      <c r="AK76" s="277" t="s">
        <v>357</v>
      </c>
      <c r="AL76" s="277" t="s">
        <v>357</v>
      </c>
      <c r="AM76" s="277" t="s">
        <v>357</v>
      </c>
      <c r="AN76" s="359" t="s">
        <v>357</v>
      </c>
      <c r="AO76" s="276" t="s">
        <v>357</v>
      </c>
      <c r="AP76" s="276" t="s">
        <v>357</v>
      </c>
      <c r="AQ76" s="276" t="s">
        <v>357</v>
      </c>
      <c r="AR76" s="274" t="s">
        <v>357</v>
      </c>
      <c r="AS76" s="276" t="s">
        <v>357</v>
      </c>
      <c r="AT76" s="276" t="s">
        <v>357</v>
      </c>
      <c r="AU76" s="276" t="s">
        <v>357</v>
      </c>
      <c r="AV76" s="276" t="s">
        <v>357</v>
      </c>
      <c r="AW76" s="276" t="s">
        <v>357</v>
      </c>
      <c r="AX76" s="276" t="s">
        <v>357</v>
      </c>
      <c r="AY76" s="276" t="s">
        <v>357</v>
      </c>
      <c r="AZ76" s="276" t="s">
        <v>357</v>
      </c>
      <c r="BA76" s="276" t="s">
        <v>357</v>
      </c>
      <c r="BB76" s="276" t="s">
        <v>357</v>
      </c>
      <c r="BC76" s="276" t="s">
        <v>357</v>
      </c>
      <c r="BD76" s="276" t="s">
        <v>357</v>
      </c>
      <c r="BE76" s="276">
        <v>0</v>
      </c>
      <c r="BF76" s="276">
        <v>0</v>
      </c>
      <c r="BG76" s="276">
        <v>0</v>
      </c>
      <c r="BH76" s="274">
        <v>0</v>
      </c>
      <c r="BI76" s="276">
        <v>0</v>
      </c>
      <c r="BJ76" s="276">
        <v>0</v>
      </c>
      <c r="BK76" s="276">
        <v>0</v>
      </c>
      <c r="BL76" s="274">
        <v>0</v>
      </c>
      <c r="BM76" s="276">
        <v>0</v>
      </c>
      <c r="BN76" s="276">
        <v>0</v>
      </c>
      <c r="BO76" s="276">
        <v>0</v>
      </c>
      <c r="BP76" s="274">
        <v>0</v>
      </c>
      <c r="BQ76" s="276" t="s">
        <v>357</v>
      </c>
      <c r="BR76" s="276" t="s">
        <v>357</v>
      </c>
      <c r="BS76" s="276" t="s">
        <v>357</v>
      </c>
      <c r="BT76" s="274" t="s">
        <v>357</v>
      </c>
      <c r="BU76" s="278" t="s">
        <v>357</v>
      </c>
      <c r="BV76" s="278" t="s">
        <v>357</v>
      </c>
      <c r="BW76" s="278" t="s">
        <v>357</v>
      </c>
      <c r="BX76" s="354" t="s">
        <v>357</v>
      </c>
      <c r="BY76" s="279" t="s">
        <v>357</v>
      </c>
      <c r="BZ76" s="279" t="s">
        <v>357</v>
      </c>
      <c r="CA76" s="279" t="s">
        <v>357</v>
      </c>
      <c r="CB76" s="279" t="s">
        <v>357</v>
      </c>
    </row>
    <row r="77" spans="1:80" ht="14.5" customHeight="1" x14ac:dyDescent="0.35">
      <c r="A77" s="483"/>
      <c r="B77" s="170" t="s">
        <v>184</v>
      </c>
      <c r="C77" s="7" t="s">
        <v>184</v>
      </c>
      <c r="D77" s="168" t="s">
        <v>338</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357</v>
      </c>
      <c r="AD77" s="169" t="s">
        <v>357</v>
      </c>
      <c r="AE77" s="169" t="s">
        <v>357</v>
      </c>
      <c r="AF77" s="169" t="s">
        <v>357</v>
      </c>
      <c r="AG77" s="169" t="s">
        <v>357</v>
      </c>
      <c r="AH77" s="169" t="s">
        <v>357</v>
      </c>
      <c r="AI77" s="169" t="s">
        <v>357</v>
      </c>
      <c r="AJ77" s="169" t="s">
        <v>357</v>
      </c>
      <c r="AK77" s="169" t="s">
        <v>357</v>
      </c>
      <c r="AL77" s="169" t="s">
        <v>357</v>
      </c>
      <c r="AM77" s="169" t="s">
        <v>357</v>
      </c>
      <c r="AN77" s="360" t="s">
        <v>357</v>
      </c>
      <c r="AO77" t="s">
        <v>357</v>
      </c>
      <c r="AP77" t="s">
        <v>357</v>
      </c>
      <c r="AQ77" t="s">
        <v>357</v>
      </c>
      <c r="AR77" s="15" t="s">
        <v>357</v>
      </c>
      <c r="AS77" t="s">
        <v>357</v>
      </c>
      <c r="AT77" t="s">
        <v>357</v>
      </c>
      <c r="AU77" t="s">
        <v>357</v>
      </c>
      <c r="AV77" t="s">
        <v>357</v>
      </c>
      <c r="AW77" t="s">
        <v>357</v>
      </c>
      <c r="AX77" t="s">
        <v>357</v>
      </c>
      <c r="AY77" t="s">
        <v>357</v>
      </c>
      <c r="AZ77" t="s">
        <v>357</v>
      </c>
      <c r="BA77" t="s">
        <v>357</v>
      </c>
      <c r="BB77" t="s">
        <v>357</v>
      </c>
      <c r="BC77" t="s">
        <v>357</v>
      </c>
      <c r="BD77" t="s">
        <v>357</v>
      </c>
      <c r="BE77">
        <v>0</v>
      </c>
      <c r="BF77">
        <v>0</v>
      </c>
      <c r="BG77">
        <v>0</v>
      </c>
      <c r="BH77" s="15">
        <v>0</v>
      </c>
      <c r="BI77">
        <v>0</v>
      </c>
      <c r="BJ77">
        <v>0</v>
      </c>
      <c r="BK77">
        <v>0</v>
      </c>
      <c r="BL77" s="15">
        <v>0</v>
      </c>
      <c r="BM77">
        <v>0</v>
      </c>
      <c r="BN77">
        <v>0</v>
      </c>
      <c r="BO77">
        <v>0</v>
      </c>
      <c r="BP77" s="15">
        <v>0</v>
      </c>
      <c r="BQ77" t="s">
        <v>357</v>
      </c>
      <c r="BR77" t="s">
        <v>357</v>
      </c>
      <c r="BS77" t="s">
        <v>357</v>
      </c>
      <c r="BT77" s="15" t="s">
        <v>357</v>
      </c>
      <c r="BU77" s="17" t="s">
        <v>357</v>
      </c>
      <c r="BV77" s="17" t="s">
        <v>357</v>
      </c>
      <c r="BW77" s="17" t="s">
        <v>357</v>
      </c>
      <c r="BX77" s="165" t="s">
        <v>357</v>
      </c>
      <c r="BY77" s="9" t="s">
        <v>357</v>
      </c>
      <c r="BZ77" s="9" t="s">
        <v>357</v>
      </c>
      <c r="CA77" s="9" t="s">
        <v>357</v>
      </c>
      <c r="CB77" s="9" t="s">
        <v>357</v>
      </c>
    </row>
    <row r="78" spans="1:80" s="212" customFormat="1" x14ac:dyDescent="0.35">
      <c r="A78" s="483"/>
      <c r="B78" s="280" t="s">
        <v>18</v>
      </c>
      <c r="C78" s="206" t="s">
        <v>23</v>
      </c>
      <c r="D78" s="281" t="s">
        <v>32</v>
      </c>
      <c r="E78" s="6">
        <v>0</v>
      </c>
      <c r="F78" s="207">
        <v>0</v>
      </c>
      <c r="G78" s="208" t="s">
        <v>393</v>
      </c>
      <c r="H78" s="208" t="s">
        <v>394</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83"/>
      <c r="B79" s="280" t="s">
        <v>159</v>
      </c>
      <c r="C79" s="206" t="s">
        <v>24</v>
      </c>
      <c r="D79" s="281" t="s">
        <v>185</v>
      </c>
      <c r="E79" s="6">
        <v>0</v>
      </c>
      <c r="F79" s="207">
        <v>0</v>
      </c>
      <c r="G79" s="208" t="s">
        <v>393</v>
      </c>
      <c r="H79" s="208" t="s">
        <v>394</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83"/>
      <c r="B80" s="247" t="s">
        <v>14</v>
      </c>
      <c r="C80" s="233" t="s">
        <v>184</v>
      </c>
      <c r="D80" s="248" t="s">
        <v>33</v>
      </c>
      <c r="E80" s="6">
        <v>0</v>
      </c>
      <c r="F80" s="219">
        <v>0</v>
      </c>
      <c r="G80" s="220" t="s">
        <v>393</v>
      </c>
      <c r="H80" s="220" t="s">
        <v>394</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355</v>
      </c>
      <c r="AP80" s="37" t="s">
        <v>355</v>
      </c>
      <c r="AQ80" s="37" t="s">
        <v>355</v>
      </c>
      <c r="AR80" s="221" t="s">
        <v>355</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83"/>
      <c r="B81" s="247" t="s">
        <v>15</v>
      </c>
      <c r="C81" s="233" t="s">
        <v>184</v>
      </c>
      <c r="D81" s="248" t="s">
        <v>34</v>
      </c>
      <c r="E81" s="6">
        <v>0</v>
      </c>
      <c r="F81" s="219">
        <v>0</v>
      </c>
      <c r="G81" s="220" t="s">
        <v>393</v>
      </c>
      <c r="H81" s="220" t="s">
        <v>394</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355</v>
      </c>
      <c r="AP81" s="37" t="s">
        <v>355</v>
      </c>
      <c r="AQ81" s="37" t="s">
        <v>355</v>
      </c>
      <c r="AR81" s="221" t="s">
        <v>355</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83"/>
      <c r="B82" s="247" t="s">
        <v>16</v>
      </c>
      <c r="C82" s="233" t="s">
        <v>184</v>
      </c>
      <c r="D82" s="218" t="s">
        <v>35</v>
      </c>
      <c r="E82" s="6">
        <v>0</v>
      </c>
      <c r="F82" s="219">
        <v>0</v>
      </c>
      <c r="G82" s="220" t="s">
        <v>394</v>
      </c>
      <c r="H82" s="220" t="s">
        <v>394</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355</v>
      </c>
      <c r="AD82" s="224" t="s">
        <v>355</v>
      </c>
      <c r="AE82" s="224" t="s">
        <v>355</v>
      </c>
      <c r="AF82" s="225" t="s">
        <v>355</v>
      </c>
      <c r="AG82" s="224" t="s">
        <v>355</v>
      </c>
      <c r="AH82" s="224" t="s">
        <v>355</v>
      </c>
      <c r="AI82" s="224" t="s">
        <v>355</v>
      </c>
      <c r="AJ82" s="225" t="s">
        <v>355</v>
      </c>
      <c r="AK82" s="224" t="s">
        <v>355</v>
      </c>
      <c r="AL82" s="224" t="s">
        <v>355</v>
      </c>
      <c r="AM82" s="224" t="s">
        <v>355</v>
      </c>
      <c r="AN82" s="225" t="s">
        <v>355</v>
      </c>
      <c r="AO82" s="37" t="s">
        <v>355</v>
      </c>
      <c r="AP82" s="37" t="s">
        <v>355</v>
      </c>
      <c r="AQ82" s="37" t="s">
        <v>355</v>
      </c>
      <c r="AR82" s="221" t="s">
        <v>355</v>
      </c>
      <c r="AS82" s="37" t="s">
        <v>355</v>
      </c>
      <c r="AT82" s="37" t="s">
        <v>355</v>
      </c>
      <c r="AU82" s="37" t="s">
        <v>355</v>
      </c>
      <c r="AV82" s="221" t="s">
        <v>355</v>
      </c>
      <c r="AW82" s="37" t="s">
        <v>355</v>
      </c>
      <c r="AX82" s="37" t="s">
        <v>355</v>
      </c>
      <c r="AY82" s="37" t="s">
        <v>355</v>
      </c>
      <c r="AZ82" s="221" t="s">
        <v>355</v>
      </c>
      <c r="BA82" s="37" t="s">
        <v>355</v>
      </c>
      <c r="BB82" s="37" t="s">
        <v>355</v>
      </c>
      <c r="BC82" s="37" t="s">
        <v>355</v>
      </c>
      <c r="BD82" s="221" t="s">
        <v>355</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355</v>
      </c>
      <c r="BV82" s="228" t="s">
        <v>355</v>
      </c>
      <c r="BW82" s="228" t="s">
        <v>355</v>
      </c>
      <c r="BX82" s="222" t="s">
        <v>355</v>
      </c>
      <c r="BY82" s="224">
        <v>0</v>
      </c>
      <c r="BZ82" s="224">
        <v>0</v>
      </c>
      <c r="CA82" s="224">
        <v>0</v>
      </c>
      <c r="CB82" s="224">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308</v>
      </c>
      <c r="B14" s="24" t="s">
        <v>309</v>
      </c>
      <c r="C14" s="24" t="s">
        <v>310</v>
      </c>
      <c r="D14" s="24">
        <v>2024</v>
      </c>
      <c r="E14" s="24" t="s">
        <v>207</v>
      </c>
      <c r="G14" s="27" t="s">
        <v>311</v>
      </c>
    </row>
    <row r="15" spans="1:8" ht="29" x14ac:dyDescent="0.35">
      <c r="A15" s="25" t="s">
        <v>312</v>
      </c>
      <c r="B15" s="24" t="s">
        <v>313</v>
      </c>
      <c r="C15" s="24" t="s">
        <v>314</v>
      </c>
      <c r="D15" s="24">
        <v>2024</v>
      </c>
      <c r="E15" s="24" t="s">
        <v>207</v>
      </c>
      <c r="G15" s="34" t="s">
        <v>315</v>
      </c>
    </row>
    <row r="16" spans="1:8" ht="29" x14ac:dyDescent="0.35">
      <c r="A16" s="25" t="s">
        <v>321</v>
      </c>
      <c r="B16" s="24" t="s">
        <v>320</v>
      </c>
      <c r="C16" s="24" t="s">
        <v>322</v>
      </c>
      <c r="D16" s="24">
        <v>2023</v>
      </c>
      <c r="E16" s="24" t="s">
        <v>198</v>
      </c>
      <c r="G16" s="27" t="s">
        <v>323</v>
      </c>
    </row>
    <row r="17" spans="1:7" ht="29" x14ac:dyDescent="0.35">
      <c r="A17" s="25" t="s">
        <v>325</v>
      </c>
      <c r="B17" s="24" t="s">
        <v>324</v>
      </c>
      <c r="C17" s="24" t="s">
        <v>228</v>
      </c>
      <c r="D17" s="24">
        <v>2024</v>
      </c>
      <c r="E17" s="24" t="s">
        <v>207</v>
      </c>
      <c r="G17" s="34" t="s">
        <v>326</v>
      </c>
    </row>
    <row r="18" spans="1:7" ht="29" x14ac:dyDescent="0.35">
      <c r="A18" s="25" t="s">
        <v>344</v>
      </c>
      <c r="B18" s="24" t="s">
        <v>343</v>
      </c>
      <c r="C18" s="24" t="s">
        <v>345</v>
      </c>
      <c r="D18" s="24">
        <v>2022</v>
      </c>
      <c r="E18" s="24" t="s">
        <v>207</v>
      </c>
      <c r="G18" s="34" t="s">
        <v>346</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2026-03-10T22:29:38Z</dcterms:modified>
</cp:coreProperties>
</file>