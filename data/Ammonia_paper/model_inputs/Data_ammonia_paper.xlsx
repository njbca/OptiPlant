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DA624466-5CAF-4125-999B-B70E5CDA2366}" xr6:coauthVersionLast="47" xr6:coauthVersionMax="47" xr10:uidLastSave="{00000000-0000-0000-0000-000000000000}"/>
  <bookViews>
    <workbookView xWindow="22932" yWindow="-1620" windowWidth="23256" windowHeight="13896" activeTab="2" xr2:uid="{00000000-000D-0000-FFFF-FFFF00000000}"/>
  </bookViews>
  <sheets>
    <sheet name="Data_base_case" sheetId="79" r:id="rId1"/>
    <sheet name="Selected_units" sheetId="82" r:id="rId2"/>
    <sheet name="Scenarios_definition" sheetId="80" r:id="rId3"/>
    <sheet name="ScenariosToRun" sheetId="100" r:id="rId4"/>
  </sheets>
  <externalReferences>
    <externalReference r:id="rId5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9" l="1"/>
  <c r="H5" i="79" l="1"/>
  <c r="H2" i="79"/>
  <c r="H4" i="79" s="1"/>
  <c r="G2" i="79" l="1"/>
  <c r="I2" i="79"/>
  <c r="J2" i="79"/>
  <c r="K2" i="79"/>
  <c r="L2" i="79"/>
  <c r="M2" i="79"/>
  <c r="N2" i="79"/>
  <c r="O2" i="79"/>
  <c r="P2" i="79"/>
  <c r="Q2" i="79"/>
  <c r="R2" i="79"/>
  <c r="S2" i="79"/>
  <c r="T2" i="79"/>
  <c r="U2" i="79"/>
  <c r="V2" i="79"/>
  <c r="W2" i="79"/>
  <c r="X2" i="79"/>
  <c r="Y2" i="79"/>
  <c r="Z2" i="79"/>
  <c r="F2" i="79"/>
  <c r="I7" i="79" l="1"/>
  <c r="D5" i="80" l="1"/>
  <c r="E11" i="79" l="1"/>
  <c r="E13" i="79"/>
  <c r="E14" i="79"/>
  <c r="E12" i="79"/>
  <c r="E15" i="79"/>
  <c r="H25" i="100" l="1"/>
  <c r="H24" i="100"/>
  <c r="H23" i="100"/>
  <c r="A23" i="100"/>
  <c r="A24" i="100"/>
  <c r="A25" i="100"/>
  <c r="H22" i="100"/>
  <c r="H21" i="100"/>
  <c r="H20" i="100"/>
  <c r="A20" i="100"/>
  <c r="A21" i="100"/>
  <c r="A22" i="100"/>
  <c r="A17" i="100"/>
  <c r="A18" i="100"/>
  <c r="A19" i="100"/>
  <c r="H19" i="100"/>
  <c r="H18" i="100"/>
  <c r="H17" i="100"/>
  <c r="E8" i="79" l="1"/>
  <c r="Z5" i="79"/>
  <c r="Z4" i="79"/>
  <c r="Y5" i="79"/>
  <c r="Y4" i="79"/>
  <c r="X5" i="79"/>
  <c r="X4" i="79"/>
  <c r="W5" i="79"/>
  <c r="W4" i="79"/>
  <c r="V5" i="79"/>
  <c r="V4" i="79"/>
  <c r="T5" i="79"/>
  <c r="T4" i="79"/>
  <c r="S5" i="79"/>
  <c r="S4" i="79"/>
  <c r="R5" i="79"/>
  <c r="R4" i="79"/>
  <c r="Q5" i="79"/>
  <c r="Q4" i="79"/>
  <c r="P5" i="79"/>
  <c r="P4" i="79"/>
  <c r="O5" i="79"/>
  <c r="O4" i="79"/>
  <c r="D35" i="82" l="1"/>
  <c r="C35" i="82"/>
  <c r="D34" i="82"/>
  <c r="C34" i="82"/>
  <c r="D16" i="82"/>
  <c r="C16" i="82"/>
  <c r="D15" i="82"/>
  <c r="C15" i="82"/>
  <c r="D11" i="82"/>
  <c r="C11" i="82"/>
  <c r="D10" i="82"/>
  <c r="C10" i="82"/>
  <c r="D9" i="82"/>
  <c r="C9" i="82"/>
  <c r="D7" i="82"/>
  <c r="C7" i="82"/>
  <c r="D6" i="82"/>
  <c r="C6" i="82"/>
  <c r="K4" i="79"/>
  <c r="L4" i="79"/>
  <c r="M4" i="79"/>
  <c r="N4" i="79"/>
  <c r="H16" i="100"/>
  <c r="A16" i="100"/>
  <c r="H15" i="100"/>
  <c r="A15" i="100"/>
  <c r="H14" i="100"/>
  <c r="A14" i="100"/>
  <c r="H13" i="100"/>
  <c r="A13" i="100"/>
  <c r="H12" i="100"/>
  <c r="A12" i="100"/>
  <c r="H11" i="100"/>
  <c r="A11" i="100"/>
  <c r="E31" i="79"/>
  <c r="H10" i="100"/>
  <c r="A10" i="100"/>
  <c r="H9" i="100"/>
  <c r="A9" i="100"/>
  <c r="H8" i="100"/>
  <c r="A8" i="100"/>
  <c r="J7" i="79"/>
  <c r="J10" i="79"/>
  <c r="B32" i="82"/>
  <c r="B33" i="82"/>
  <c r="B34" i="82"/>
  <c r="B35" i="82"/>
  <c r="B36" i="82"/>
  <c r="A6" i="82"/>
  <c r="A7" i="82"/>
  <c r="A8" i="82"/>
  <c r="A9" i="82"/>
  <c r="A10" i="82"/>
  <c r="A11" i="82"/>
  <c r="A12" i="82"/>
  <c r="A13" i="82"/>
  <c r="A14" i="82"/>
  <c r="A15" i="82"/>
  <c r="A16" i="82"/>
  <c r="A17" i="82"/>
  <c r="A18" i="82"/>
  <c r="A19" i="82"/>
  <c r="A20" i="82"/>
  <c r="A21" i="82"/>
  <c r="A22" i="82"/>
  <c r="A23" i="82"/>
  <c r="A24" i="82"/>
  <c r="A25" i="82"/>
  <c r="A26" i="82"/>
  <c r="A27" i="82"/>
  <c r="A28" i="82"/>
  <c r="A29" i="82"/>
  <c r="A30" i="82"/>
  <c r="A31" i="82"/>
  <c r="A32" i="82"/>
  <c r="A33" i="82"/>
  <c r="A34" i="82"/>
  <c r="A35" i="82"/>
  <c r="A36" i="82"/>
  <c r="E7" i="79"/>
  <c r="B6" i="82"/>
  <c r="B7" i="82"/>
  <c r="B8" i="82"/>
  <c r="B9" i="82"/>
  <c r="B10" i="82"/>
  <c r="B11" i="82"/>
  <c r="B12" i="82"/>
  <c r="B13" i="82"/>
  <c r="B14" i="82"/>
  <c r="B15" i="82"/>
  <c r="B16" i="82"/>
  <c r="B17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D10" i="80"/>
  <c r="A6" i="80"/>
  <c r="D6" i="80"/>
  <c r="I4" i="79"/>
  <c r="J4" i="79"/>
  <c r="F4" i="79"/>
  <c r="N19" i="79"/>
  <c r="D8" i="80"/>
  <c r="E36" i="79"/>
  <c r="N35" i="79"/>
  <c r="E35" i="79"/>
  <c r="N34" i="79"/>
  <c r="E34" i="79"/>
  <c r="E33" i="79"/>
  <c r="N32" i="79"/>
  <c r="E32" i="79"/>
  <c r="N31" i="79"/>
  <c r="B31" i="79"/>
  <c r="N30" i="79"/>
  <c r="E30" i="79"/>
  <c r="B30" i="79"/>
  <c r="N29" i="79"/>
  <c r="E29" i="79"/>
  <c r="B29" i="79"/>
  <c r="N28" i="79"/>
  <c r="E28" i="79"/>
  <c r="B28" i="79"/>
  <c r="N27" i="79"/>
  <c r="E27" i="79"/>
  <c r="B27" i="79"/>
  <c r="N26" i="79"/>
  <c r="E26" i="79"/>
  <c r="B26" i="79"/>
  <c r="N25" i="79"/>
  <c r="E25" i="79"/>
  <c r="B25" i="79"/>
  <c r="N24" i="79"/>
  <c r="E24" i="79"/>
  <c r="B24" i="79"/>
  <c r="N23" i="79"/>
  <c r="E23" i="79"/>
  <c r="B23" i="79"/>
  <c r="N22" i="79"/>
  <c r="E22" i="79"/>
  <c r="B22" i="79"/>
  <c r="N21" i="79"/>
  <c r="E21" i="79"/>
  <c r="B21" i="79"/>
  <c r="N20" i="79"/>
  <c r="E20" i="79"/>
  <c r="B20" i="79"/>
  <c r="E19" i="79"/>
  <c r="E18" i="79"/>
  <c r="E17" i="79"/>
  <c r="E16" i="79"/>
  <c r="N12" i="79"/>
  <c r="J12" i="79"/>
  <c r="N14" i="79"/>
  <c r="N13" i="79"/>
  <c r="N11" i="79"/>
  <c r="N10" i="79"/>
  <c r="E10" i="79"/>
  <c r="J9" i="79"/>
  <c r="E9" i="79"/>
  <c r="N7" i="79"/>
  <c r="J6" i="79"/>
  <c r="E6" i="79"/>
  <c r="M5" i="79"/>
  <c r="N5" i="79"/>
  <c r="L5" i="79"/>
  <c r="K5" i="79"/>
  <c r="J5" i="79"/>
  <c r="I5" i="79"/>
  <c r="G5" i="79"/>
  <c r="F5" i="79"/>
  <c r="C7" i="80"/>
  <c r="D9" i="80"/>
  <c r="D7" i="80"/>
  <c r="C5" i="82"/>
  <c r="D5" i="82"/>
  <c r="H10" i="80" l="1"/>
  <c r="H7" i="80"/>
  <c r="H5" i="80"/>
  <c r="G4" i="79"/>
  <c r="H9" i="80" s="1"/>
  <c r="H6" i="80" l="1"/>
  <c r="H8" i="80"/>
</calcChain>
</file>

<file path=xl/sharedStrings.xml><?xml version="1.0" encoding="utf-8"?>
<sst xmlns="http://schemas.openxmlformats.org/spreadsheetml/2006/main" count="428" uniqueCount="155">
  <si>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</si>
  <si>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</si>
  <si>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</si>
  <si>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</si>
  <si>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</si>
  <si>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</si>
  <si>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</si>
  <si>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</si>
  <si>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</si>
  <si>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</si>
  <si>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</si>
  <si>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</si>
  <si>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</si>
  <si>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Stor_in</t>
  </si>
  <si>
    <t>Stor_out</t>
  </si>
  <si>
    <t>Tank</t>
  </si>
  <si>
    <t>Electrical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</si>
  <si>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</si>
  <si>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</si>
  <si>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</si>
  <si>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</si>
  <si>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</si>
  <si>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</si>
  <si>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</si>
  <si>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</si>
  <si>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</si>
  <si>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</si>
  <si>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</si>
  <si>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</si>
  <si>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fixed</t>
  </si>
  <si>
    <t>Solar tracking</t>
  </si>
  <si>
    <t>RPU_Solar_track</t>
  </si>
  <si>
    <t>RPU_Solar_fixed</t>
  </si>
  <si>
    <t>ON_SP198-HH150</t>
  </si>
  <si>
    <t>ON_SP237-HH100</t>
  </si>
  <si>
    <t>ON_SP237-HH150</t>
  </si>
  <si>
    <t>ON_SP277-HH100</t>
  </si>
  <si>
    <t>ON_SP277-HH150</t>
  </si>
  <si>
    <t>ON_SP321-HH100</t>
  </si>
  <si>
    <t>ON_SP321-HH150</t>
  </si>
  <si>
    <t>OFF_SP379-HH100</t>
  </si>
  <si>
    <t>OFF_SP379-HH150</t>
  </si>
  <si>
    <t>OFF_SP450-HH100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</si>
  <si>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</si>
  <si>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</si>
  <si>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</si>
  <si>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</si>
  <si>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</si>
  <si>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</si>
  <si>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</si>
  <si>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</si>
  <si>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Parameter changed</t>
  </si>
  <si>
    <t>New value</t>
  </si>
  <si>
    <t>Old value</t>
  </si>
  <si>
    <t>Year--&gt;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</si>
  <si>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</si>
  <si>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</si>
  <si>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</si>
  <si>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</si>
  <si>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</si>
  <si>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</si>
  <si>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</si>
  <si>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</si>
  <si>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</si>
  <si>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</si>
  <si>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</si>
  <si>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</si>
  <si>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</si>
  <si>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</si>
  <si>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</si>
  <si>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Configuration</t>
  </si>
  <si>
    <t>Fixed heat sale</t>
  </si>
  <si>
    <t>Fixed oxygen sale</t>
  </si>
  <si>
    <t>Used (1 or 0)</t>
  </si>
  <si>
    <t>All</t>
  </si>
  <si>
    <t>Product</t>
  </si>
  <si>
    <t>Year old value</t>
  </si>
  <si>
    <t>Year new value</t>
  </si>
  <si>
    <t>Type of units for change</t>
  </si>
  <si>
    <t>Scenario name definition</t>
  </si>
  <si>
    <t>See Scenarios_definition</t>
  </si>
  <si>
    <t>Options available</t>
  </si>
  <si>
    <t>Any name</t>
  </si>
  <si>
    <t>Results to write</t>
  </si>
  <si>
    <t>Islanded</t>
  </si>
  <si>
    <t>Fuel energy content LHV (MJ/kg fuel)</t>
  </si>
  <si>
    <t>SI_nonflex</t>
  </si>
  <si>
    <t>Scenario</t>
  </si>
  <si>
    <t>Scenario name</t>
  </si>
  <si>
    <t>Name of the scenario in the output csv file</t>
  </si>
  <si>
    <t>ON_SP198-HH100</t>
  </si>
  <si>
    <t>OFF_SP450-HH150</t>
  </si>
  <si>
    <t>Fuel produced</t>
  </si>
  <si>
    <t>Min_demand_MainFuel</t>
  </si>
  <si>
    <t>Is_nonflex</t>
  </si>
  <si>
    <t>Year data</t>
  </si>
  <si>
    <t>Name of the excel file profile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</si>
  <si>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</si>
  <si>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</si>
  <si>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</si>
  <si>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</si>
  <si>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</si>
  <si>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</si>
  <si>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Any data sheet name</t>
  </si>
  <si>
    <t>Semi-islanded</t>
  </si>
  <si>
    <t>Semi-islandedflex</t>
  </si>
  <si>
    <t>Is_flex</t>
  </si>
  <si>
    <t>Grid_out</t>
  </si>
  <si>
    <t>Location</t>
  </si>
  <si>
    <t>Data_base_case</t>
  </si>
  <si>
    <t>Electrolysers AEC</t>
  </si>
  <si>
    <t>Arica</t>
  </si>
  <si>
    <t>Electrolysers SOEC heat integrated</t>
  </si>
  <si>
    <t>Esbjerg</t>
  </si>
  <si>
    <t>Ceduna</t>
  </si>
  <si>
    <t>NoSubset</t>
  </si>
  <si>
    <t>Curtailment</t>
  </si>
  <si>
    <t>Investment (EUR/Capacity installed)2025 bench</t>
  </si>
  <si>
    <t>Water supply (desalination plant)</t>
  </si>
  <si>
    <t>H2 storage compressor</t>
  </si>
  <si>
    <t>H2 storage valve</t>
  </si>
  <si>
    <t>H2 storage (buried pipes)</t>
  </si>
  <si>
    <t>NH3 plant + ASU with AEC</t>
  </si>
  <si>
    <t>NH3 plant + ASU with SOEC</t>
  </si>
  <si>
    <t>Behind-the-meter</t>
  </si>
  <si>
    <t>Bhm-nonflexible</t>
  </si>
  <si>
    <t>Semi-islanded_nonflex</t>
  </si>
  <si>
    <t>Bhm-superflexible</t>
  </si>
  <si>
    <t>Base_case</t>
  </si>
  <si>
    <t>Results_base_case</t>
  </si>
  <si>
    <t>Results_sensitivities</t>
  </si>
  <si>
    <t>Change are made compared to the reference scenario. "Chains" of reference scenarios doesn't work.</t>
  </si>
  <si>
    <t>O2_sell</t>
  </si>
  <si>
    <t>Heat_sell</t>
  </si>
  <si>
    <t>Reactant1</t>
  </si>
  <si>
    <t>Product/Reactant2</t>
  </si>
  <si>
    <t>Reactant3</t>
  </si>
  <si>
    <t>Variable cost (EUR/output)</t>
  </si>
  <si>
    <t>Capacity units</t>
  </si>
  <si>
    <t>kgNH3/h</t>
  </si>
  <si>
    <t>kgH2O/h</t>
  </si>
  <si>
    <t>kgH2/h</t>
  </si>
  <si>
    <t>kgO2/h</t>
  </si>
  <si>
    <t>kWth</t>
  </si>
  <si>
    <t>kgH2</t>
  </si>
  <si>
    <t>kWe</t>
  </si>
  <si>
    <t>kWhe</t>
  </si>
  <si>
    <t>Output units</t>
  </si>
  <si>
    <t>kgNH3</t>
  </si>
  <si>
    <t>kgH2O</t>
  </si>
  <si>
    <t>kgO2</t>
  </si>
  <si>
    <t>kWhth</t>
  </si>
  <si>
    <t>Sold products</t>
  </si>
  <si>
    <t>Fuel cost</t>
  </si>
  <si>
    <t>Yearly demand 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</si>
</sst>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1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9" fontId="1" fillId="0" borderId="0" xfId="1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/>
    </xf>
    <xf numFmtId="0" fontId="2" fillId="0" borderId="1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0" fillId="4" borderId="0" xfId="0" applyFill="1"/>
    <xf numFmtId="0" fontId="1" fillId="0" borderId="0" xfId="1" applyNumberFormat="1" applyFont="1" applyFill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9" fontId="1" fillId="5" borderId="0" xfId="1" applyFont="1" applyFill="1"/>
    <xf numFmtId="0" fontId="1" fillId="5" borderId="0" xfId="1" applyNumberFormat="1" applyFont="1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9" fontId="1" fillId="6" borderId="0" xfId="1" applyFont="1" applyFill="1"/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9" fontId="1" fillId="4" borderId="0" xfId="1" applyFont="1" applyFill="1"/>
    <xf numFmtId="165" fontId="0" fillId="6" borderId="0" xfId="0" applyNumberFormat="1" applyFill="1"/>
    <xf numFmtId="0" fontId="3" fillId="7" borderId="0" xfId="0" applyFont="1" applyFill="1"/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9" fontId="1" fillId="7" borderId="0" xfId="1" applyFont="1" applyFill="1"/>
    <xf numFmtId="165" fontId="0" fillId="7" borderId="0" xfId="0" applyNumberFormat="1" applyFill="1"/>
    <xf numFmtId="0" fontId="3" fillId="8" borderId="0" xfId="0" applyFont="1" applyFill="1"/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  <xf numFmtId="9" fontId="1" fillId="8" borderId="0" xfId="1" applyFont="1" applyFill="1"/>
    <xf numFmtId="0" fontId="4" fillId="8" borderId="0" xfId="0" applyFont="1" applyFill="1"/>
    <xf numFmtId="165" fontId="0" fillId="8" borderId="0" xfId="0" applyNumberFormat="1" applyFill="1"/>
    <xf numFmtId="0" fontId="1" fillId="4" borderId="0" xfId="1" applyNumberFormat="1" applyFont="1" applyFill="1"/>
    <xf numFmtId="0" fontId="1" fillId="4" borderId="0" xfId="1" quotePrefix="1" applyNumberFormat="1" applyFont="1" applyFill="1"/>
    <xf numFmtId="0" fontId="0" fillId="2" borderId="4" xfId="0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4" xfId="0" applyFont="1" applyFill="1" applyBorder="1"/>
    <xf numFmtId="0" fontId="4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9" fontId="1" fillId="5" borderId="4" xfId="1" applyFont="1" applyFill="1" applyBorder="1"/>
    <xf numFmtId="2" fontId="0" fillId="6" borderId="0" xfId="0" applyNumberFormat="1" applyFill="1"/>
    <xf numFmtId="9" fontId="1" fillId="0" borderId="0" xfId="1" applyFont="1" applyFill="1"/>
    <xf numFmtId="0" fontId="5" fillId="0" borderId="2" xfId="0" applyFont="1" applyBorder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5" borderId="4" xfId="0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9" fontId="0" fillId="6" borderId="0" xfId="1" applyFont="1" applyFill="1"/>
    <xf numFmtId="9" fontId="0" fillId="0" borderId="0" xfId="1" applyFont="1"/>
    <xf numFmtId="9" fontId="0" fillId="7" borderId="0" xfId="1" applyFont="1" applyFill="1"/>
    <xf numFmtId="9" fontId="4" fillId="8" borderId="0" xfId="1" applyFont="1" applyFill="1"/>
    <xf numFmtId="9" fontId="0" fillId="4" borderId="0" xfId="1" applyFont="1" applyFill="1"/>
    <xf numFmtId="9" fontId="0" fillId="5" borderId="0" xfId="1" applyFont="1" applyFill="1"/>
    <xf numFmtId="9" fontId="0" fillId="5" borderId="4" xfId="1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2" fillId="0" borderId="0" xfId="0" applyFont="1" applyAlignment="1">
      <alignment horizontal="center" vertical="center" textRotation="9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6"/>
  <sheetViews>
    <sheetView zoomScaleNormal="100" workbookViewId="0">
      <pane xSplit="5" ySplit="5" topLeftCell="F6" activePane="bottomRight" state="frozen"/>
      <selection pane="topRight" activeCell="F1" sqref="F1"/>
      <selection pane="bottomLeft" activeCell="A12" sqref="A12"/>
      <selection pane="bottomRight" activeCell="J27" sqref="J27"/>
    </sheetView>
  </sheetViews>
  <sheetFormatPr defaultColWidth="8.7265625" defaultRowHeight="14.5" x14ac:dyDescent="0.35"/>
  <cols>
    <col min="1" max="1" width="3.36328125" bestFit="1" customWidth="1"/>
    <col min="2" max="2" width="20.6328125" style="4" bestFit="1" customWidth="1"/>
    <col min="3" max="3" width="20.90625" style="5" bestFit="1" customWidth="1"/>
    <col min="4" max="4" width="30.08984375" style="3" bestFit="1" customWidth="1"/>
    <col min="5" max="5" width="7.1796875" style="9" customWidth="1"/>
    <col min="6" max="6" width="11.453125" style="3" bestFit="1" customWidth="1"/>
    <col min="7" max="7" width="13.90625" style="3" customWidth="1"/>
    <col min="8" max="8" width="17.36328125" style="3" customWidth="1"/>
    <col min="9" max="9" width="24" customWidth="1"/>
    <col min="10" max="10" width="16.453125" style="103" bestFit="1" customWidth="1"/>
    <col min="11" max="11" width="9.36328125" bestFit="1" customWidth="1"/>
    <col min="12" max="12" width="11.7265625" bestFit="1" customWidth="1"/>
    <col min="13" max="13" width="10" bestFit="1" customWidth="1"/>
    <col min="14" max="14" width="12" bestFit="1" customWidth="1"/>
    <col min="15" max="15" width="36" bestFit="1" customWidth="1"/>
    <col min="16" max="16" width="26.453125" bestFit="1" customWidth="1"/>
    <col min="17" max="17" width="25.453125" bestFit="1" customWidth="1"/>
    <col min="18" max="18" width="23.54296875" bestFit="1" customWidth="1"/>
    <col min="19" max="19" width="26.1796875" bestFit="1" customWidth="1"/>
    <col min="20" max="20" width="32.453125" bestFit="1" customWidth="1"/>
    <col min="21" max="21" width="31.36328125" bestFit="1" customWidth="1"/>
    <col min="22" max="22" width="31.81640625" bestFit="1" customWidth="1"/>
    <col min="23" max="23" width="23.90625" bestFit="1" customWidth="1"/>
    <col min="24" max="24" width="26.54296875" bestFit="1" customWidth="1"/>
    <col min="25" max="25" width="26.90625" bestFit="1" customWidth="1"/>
    <col min="26" max="26" width="12.90625" bestFit="1" customWidth="1"/>
  </cols>
  <sheetData>
    <row r="1" spans="1:26" ht="16" customHeight="1" x14ac:dyDescent="0.35">
      <c r="A1" s="114" t="s">
        <v>0</v>
      </c>
      <c r="B1" s="114"/>
      <c r="C1" s="114"/>
      <c r="D1" s="114"/>
      <c r="E1" s="115"/>
      <c r="F1" s="44" t="s">
        <v>73</v>
      </c>
      <c r="G1" s="44" t="s">
        <v>138</v>
      </c>
      <c r="H1" s="44" t="s">
        <v>147</v>
      </c>
      <c r="I1" s="45" t="s">
        <v>154</v>
      </c>
      <c r="J1" s="100" t="s">
        <v>2</v>
      </c>
      <c r="K1" s="45" t="s">
        <v>4</v>
      </c>
      <c r="L1" s="45" t="s">
        <v>5</v>
      </c>
      <c r="M1" s="46" t="s">
        <v>3</v>
      </c>
      <c r="N1" s="45" t="s">
        <v>6</v>
      </c>
      <c r="O1" s="47" t="s">
        <v>43</v>
      </c>
      <c r="P1" s="47" t="s">
        <v>44</v>
      </c>
      <c r="Q1" s="47" t="s">
        <v>45</v>
      </c>
      <c r="R1" s="47" t="s">
        <v>46</v>
      </c>
      <c r="S1" s="47" t="s">
        <v>47</v>
      </c>
      <c r="T1" s="47" t="s">
        <v>48</v>
      </c>
      <c r="U1" s="47" t="s">
        <v>97</v>
      </c>
      <c r="V1" s="47" t="s">
        <v>98</v>
      </c>
      <c r="W1" s="47" t="s">
        <v>137</v>
      </c>
      <c r="X1" s="47" t="s">
        <v>99</v>
      </c>
      <c r="Y1" s="47" t="s">
        <v>100</v>
      </c>
      <c r="Z1" s="46" t="s">
        <v>49</v>
      </c>
    </row>
    <row r="2" spans="1:26" s="6" customFormat="1" ht="15" customHeight="1" x14ac:dyDescent="0.35">
      <c r="A2" s="32"/>
      <c r="B2" s="117" t="s">
        <v>7</v>
      </c>
      <c r="C2" s="118" t="s">
        <v>8</v>
      </c>
      <c r="D2" s="117" t="s">
        <v>9</v>
      </c>
      <c r="E2" s="34" t="s">
        <v>1</v>
      </c>
      <c r="F2" s="18" t="str">
        <f>F1</f>
        <v>Used (1 or 0)</v>
      </c>
      <c r="G2" s="18" t="str">
        <f t="shared" ref="G2:Z2" si="0">G1</f>
        <v>Capacity units</v>
      </c>
      <c r="H2" s="18" t="str">
        <f t="shared" si="0"/>
        <v>Output units</v>
      </c>
      <c r="I2" s="18" t="str">
        <f t="shared" si="0"/>
        <v>Yearly demand (output)</v>
      </c>
      <c r="J2" s="18" t="str">
        <f t="shared" si="0"/>
        <v>Produced from</v>
      </c>
      <c r="K2" s="18" t="str">
        <f t="shared" si="0"/>
        <v>El balance</v>
      </c>
      <c r="L2" s="18" t="str">
        <f t="shared" si="0"/>
        <v>Heat balance</v>
      </c>
      <c r="M2" s="18" t="str">
        <f t="shared" si="0"/>
        <v>H2 balance</v>
      </c>
      <c r="N2" s="18" t="str">
        <f t="shared" si="0"/>
        <v>Max Capacity</v>
      </c>
      <c r="O2" s="18" t="str">
        <f t="shared" si="0"/>
        <v>Fuel production rate (kg output/kg input)</v>
      </c>
      <c r="P2" s="18" t="str">
        <f t="shared" si="0"/>
        <v>Heat generated (kWh/output)</v>
      </c>
      <c r="Q2" s="18" t="str">
        <f t="shared" si="0"/>
        <v>Load min (% of max capacity)</v>
      </c>
      <c r="R2" s="18" t="str">
        <f t="shared" si="0"/>
        <v>Ramp up (% of capacity /h)</v>
      </c>
      <c r="S2" s="18" t="str">
        <f t="shared" si="0"/>
        <v>Ramp down (% of capacity /h)</v>
      </c>
      <c r="T2" s="18" t="str">
        <f t="shared" si="0"/>
        <v>Electrical consumption (kWh/output)</v>
      </c>
      <c r="U2" s="18" t="str">
        <f t="shared" si="0"/>
        <v>Investment (EUR/Capacity installed)</v>
      </c>
      <c r="V2" s="18" t="str">
        <f t="shared" si="0"/>
        <v>Fixed cost (EUR/Capacity installed/y)</v>
      </c>
      <c r="W2" s="18" t="str">
        <f t="shared" si="0"/>
        <v>Variable cost (EUR/output)</v>
      </c>
      <c r="X2" s="18" t="str">
        <f t="shared" si="0"/>
        <v>Fuel selling price (EUR/output)</v>
      </c>
      <c r="Y2" s="18" t="str">
        <f t="shared" si="0"/>
        <v>Fuel buying price (EUR/output)</v>
      </c>
      <c r="Z2" s="18" t="str">
        <f t="shared" si="0"/>
        <v>Annuity factor</v>
      </c>
    </row>
    <row r="3" spans="1:26" s="6" customFormat="1" ht="13.5" customHeight="1" x14ac:dyDescent="0.35">
      <c r="A3" s="33"/>
      <c r="B3" s="117"/>
      <c r="C3" s="118"/>
      <c r="D3" s="117"/>
      <c r="E3" s="34" t="s">
        <v>54</v>
      </c>
      <c r="F3" s="15" t="s">
        <v>74</v>
      </c>
      <c r="G3" s="15" t="s">
        <v>74</v>
      </c>
      <c r="H3" s="15" t="s">
        <v>74</v>
      </c>
      <c r="I3" s="15" t="s">
        <v>74</v>
      </c>
      <c r="J3" s="101" t="s">
        <v>74</v>
      </c>
      <c r="K3" s="15" t="s">
        <v>74</v>
      </c>
      <c r="L3" s="15" t="s">
        <v>74</v>
      </c>
      <c r="M3" s="14" t="s">
        <v>74</v>
      </c>
      <c r="N3" s="15" t="s">
        <v>74</v>
      </c>
      <c r="O3" s="3">
        <v>2020</v>
      </c>
      <c r="P3" s="3">
        <v>2020</v>
      </c>
      <c r="Q3" s="3">
        <v>2020</v>
      </c>
      <c r="R3" s="3">
        <v>2020</v>
      </c>
      <c r="S3" s="3">
        <v>2020</v>
      </c>
      <c r="T3" s="3">
        <v>2020</v>
      </c>
      <c r="U3" s="3">
        <v>2020</v>
      </c>
      <c r="V3" s="3">
        <v>2020</v>
      </c>
      <c r="W3" s="3">
        <v>2020</v>
      </c>
      <c r="X3" s="3">
        <v>2020</v>
      </c>
      <c r="Y3" s="3">
        <v>2020</v>
      </c>
      <c r="Z3" s="3">
        <v>2020</v>
      </c>
    </row>
    <row r="4" spans="1:26" s="6" customFormat="1" ht="4" customHeight="1" x14ac:dyDescent="0.35">
      <c r="A4" s="33"/>
      <c r="B4" s="117"/>
      <c r="C4" s="118"/>
      <c r="D4" s="117"/>
      <c r="E4" s="34"/>
      <c r="F4" s="15" t="str">
        <f>F2&amp;F3</f>
        <v>Used (1 or 0)All</v>
      </c>
      <c r="G4" s="15" t="str">
        <f>G2&amp;G3</f>
        <v>Capacity unitsAll</v>
      </c>
      <c r="H4" s="15" t="str">
        <f>H2&amp;H3</f>
        <v>Output unitsAll</v>
      </c>
      <c r="I4" s="15" t="str">
        <f t="shared" ref="I4:N4" si="1">I2&amp;I3</f>
        <v>Yearly demand (output)All</v>
      </c>
      <c r="J4" s="101" t="str">
        <f t="shared" si="1"/>
        <v>Produced fromAll</v>
      </c>
      <c r="K4" s="15" t="str">
        <f t="shared" si="1"/>
        <v>El balanceAll</v>
      </c>
      <c r="L4" s="15" t="str">
        <f t="shared" si="1"/>
        <v>Heat balanceAll</v>
      </c>
      <c r="M4" s="15" t="str">
        <f t="shared" si="1"/>
        <v>H2 balanceAll</v>
      </c>
      <c r="N4" s="15" t="str">
        <f t="shared" si="1"/>
        <v>Max CapacityAll</v>
      </c>
      <c r="O4" s="15" t="str">
        <f t="shared" ref="O4:T4" si="2">O2&amp;O3</f>
        <v>Fuel production rate (kg output/kg input)2020</v>
      </c>
      <c r="P4" s="15" t="str">
        <f t="shared" si="2"/>
        <v>Heat generated (kWh/output)2020</v>
      </c>
      <c r="Q4" s="15" t="str">
        <f t="shared" si="2"/>
        <v>Load min (% of max capacity)2020</v>
      </c>
      <c r="R4" s="15" t="str">
        <f t="shared" si="2"/>
        <v>Ramp up (% of capacity /h)2020</v>
      </c>
      <c r="S4" s="15" t="str">
        <f t="shared" si="2"/>
        <v>Ramp down (% of capacity /h)2020</v>
      </c>
      <c r="T4" s="15" t="str">
        <f t="shared" si="2"/>
        <v>Electrical consumption (kWh/output)2020</v>
      </c>
      <c r="U4" s="15" t="s">
        <v>117</v>
      </c>
      <c r="V4" s="15" t="str">
        <f t="shared" ref="V4:Z4" si="3">V2&amp;V3</f>
        <v>Fixed cost (EUR/Capacity installed/y)2020</v>
      </c>
      <c r="W4" s="15" t="str">
        <f t="shared" si="3"/>
        <v>Variable cost (EUR/output)2020</v>
      </c>
      <c r="X4" s="15" t="str">
        <f t="shared" si="3"/>
        <v>Fuel selling price (EUR/output)2020</v>
      </c>
      <c r="Y4" s="15" t="str">
        <f t="shared" si="3"/>
        <v>Fuel buying price (EUR/output)2020</v>
      </c>
      <c r="Z4" s="15" t="str">
        <f t="shared" si="3"/>
        <v>Annuity factor2020</v>
      </c>
    </row>
    <row r="5" spans="1:26" s="8" customFormat="1" ht="16" customHeight="1" x14ac:dyDescent="0.35">
      <c r="B5" s="117"/>
      <c r="C5" s="118"/>
      <c r="D5" s="117"/>
      <c r="E5" s="48" t="s">
        <v>10</v>
      </c>
      <c r="F5" s="8">
        <f t="shared" ref="F5:N5" si="4">COLUMN(F2)-COLUMN($E$5)</f>
        <v>1</v>
      </c>
      <c r="G5" s="8">
        <f t="shared" si="4"/>
        <v>2</v>
      </c>
      <c r="H5" s="8">
        <f t="shared" si="4"/>
        <v>3</v>
      </c>
      <c r="I5" s="8">
        <f t="shared" si="4"/>
        <v>4</v>
      </c>
      <c r="J5" s="102">
        <f t="shared" si="4"/>
        <v>5</v>
      </c>
      <c r="K5" s="8">
        <f t="shared" si="4"/>
        <v>6</v>
      </c>
      <c r="L5" s="8">
        <f t="shared" si="4"/>
        <v>7</v>
      </c>
      <c r="M5" s="8">
        <f>COLUMN(M2)-COLUMN($E$5)</f>
        <v>8</v>
      </c>
      <c r="N5" s="8">
        <f t="shared" si="4"/>
        <v>9</v>
      </c>
      <c r="O5" s="8">
        <f t="shared" ref="O5:T5" si="5">COLUMN(O2)-COLUMN($E$5)</f>
        <v>10</v>
      </c>
      <c r="P5" s="8">
        <f t="shared" si="5"/>
        <v>11</v>
      </c>
      <c r="Q5" s="8">
        <f t="shared" si="5"/>
        <v>12</v>
      </c>
      <c r="R5" s="8">
        <f t="shared" si="5"/>
        <v>13</v>
      </c>
      <c r="S5" s="8">
        <f t="shared" si="5"/>
        <v>14</v>
      </c>
      <c r="T5" s="8">
        <f t="shared" si="5"/>
        <v>15</v>
      </c>
      <c r="U5" s="8">
        <v>17</v>
      </c>
      <c r="V5" s="8">
        <f t="shared" ref="V5:Z5" si="6">COLUMN(V2)-COLUMN($E$5)</f>
        <v>17</v>
      </c>
      <c r="W5" s="8">
        <f t="shared" si="6"/>
        <v>18</v>
      </c>
      <c r="X5" s="8">
        <f t="shared" si="6"/>
        <v>19</v>
      </c>
      <c r="Y5" s="8">
        <f t="shared" si="6"/>
        <v>20</v>
      </c>
      <c r="Z5" s="8">
        <f t="shared" si="6"/>
        <v>21</v>
      </c>
    </row>
    <row r="6" spans="1:26" s="62" customFormat="1" ht="14.5" customHeight="1" x14ac:dyDescent="0.35">
      <c r="A6" s="116" t="s">
        <v>11</v>
      </c>
      <c r="B6" s="57" t="s">
        <v>75</v>
      </c>
      <c r="C6" s="58" t="s">
        <v>93</v>
      </c>
      <c r="D6" s="59" t="s">
        <v>122</v>
      </c>
      <c r="E6" s="9">
        <f t="shared" ref="E6:E36" si="7">ROW(D6)-ROW($E$5)</f>
        <v>1</v>
      </c>
      <c r="F6" s="60">
        <v>1</v>
      </c>
      <c r="G6" s="60" t="s">
        <v>139</v>
      </c>
      <c r="H6" s="60" t="s">
        <v>148</v>
      </c>
      <c r="I6" s="62">
        <f>430*10^6</f>
        <v>430000000</v>
      </c>
      <c r="J6" s="61" t="str">
        <f>B11</f>
        <v>Reactant3</v>
      </c>
      <c r="K6" s="62">
        <v>0</v>
      </c>
      <c r="L6" s="62">
        <v>1</v>
      </c>
      <c r="M6" s="62">
        <v>0</v>
      </c>
      <c r="N6" s="62">
        <v>20000</v>
      </c>
      <c r="O6" s="98">
        <v>5.2910052910052912</v>
      </c>
      <c r="P6" s="62">
        <v>0</v>
      </c>
      <c r="Q6" s="63">
        <v>0.4</v>
      </c>
      <c r="R6" s="63">
        <v>0.2</v>
      </c>
      <c r="S6" s="107">
        <v>0.2</v>
      </c>
      <c r="T6" s="62">
        <v>0.38</v>
      </c>
      <c r="U6" s="62">
        <v>4192</v>
      </c>
      <c r="V6" s="62">
        <v>436</v>
      </c>
      <c r="W6" s="62">
        <v>0</v>
      </c>
      <c r="X6" s="62">
        <v>0</v>
      </c>
      <c r="Y6" s="70">
        <v>0</v>
      </c>
      <c r="Z6" s="62">
        <v>9.3678779051968114E-2</v>
      </c>
    </row>
    <row r="7" spans="1:26" s="62" customFormat="1" x14ac:dyDescent="0.35">
      <c r="A7" s="116"/>
      <c r="B7" s="57" t="s">
        <v>75</v>
      </c>
      <c r="C7" s="58" t="s">
        <v>93</v>
      </c>
      <c r="D7" s="59" t="s">
        <v>123</v>
      </c>
      <c r="E7" s="9">
        <f>ROW(D7)-ROW($E$5)</f>
        <v>2</v>
      </c>
      <c r="F7" s="60">
        <v>1</v>
      </c>
      <c r="G7" s="60" t="s">
        <v>139</v>
      </c>
      <c r="H7" s="60" t="s">
        <v>148</v>
      </c>
      <c r="I7" s="62">
        <f>430*10^6</f>
        <v>430000000</v>
      </c>
      <c r="J7" s="61" t="str">
        <f>B11</f>
        <v>Reactant3</v>
      </c>
      <c r="K7" s="62">
        <v>0</v>
      </c>
      <c r="L7" s="62">
        <v>1</v>
      </c>
      <c r="M7" s="62">
        <v>0</v>
      </c>
      <c r="N7" s="62">
        <f>N6</f>
        <v>20000</v>
      </c>
      <c r="O7" s="98">
        <v>5.2910052910052912</v>
      </c>
      <c r="P7" s="62">
        <v>0</v>
      </c>
      <c r="Q7" s="63">
        <v>0.4</v>
      </c>
      <c r="R7" s="63">
        <v>0.2</v>
      </c>
      <c r="S7" s="107">
        <v>0.2</v>
      </c>
      <c r="T7" s="62">
        <v>0.83</v>
      </c>
      <c r="U7" s="62">
        <v>4192</v>
      </c>
      <c r="V7" s="62">
        <v>828</v>
      </c>
      <c r="W7" s="62">
        <v>0</v>
      </c>
      <c r="X7" s="62">
        <v>0</v>
      </c>
      <c r="Y7" s="70">
        <v>0</v>
      </c>
      <c r="Z7" s="62">
        <v>9.3678779051968114E-2</v>
      </c>
    </row>
    <row r="8" spans="1:26" x14ac:dyDescent="0.35">
      <c r="A8" s="116"/>
      <c r="B8" s="19" t="s">
        <v>134</v>
      </c>
      <c r="C8" s="11" t="s">
        <v>115</v>
      </c>
      <c r="D8" s="3" t="s">
        <v>118</v>
      </c>
      <c r="E8" s="9">
        <f t="shared" si="7"/>
        <v>3</v>
      </c>
      <c r="F8" s="2">
        <v>1</v>
      </c>
      <c r="G8" s="2" t="s">
        <v>140</v>
      </c>
      <c r="H8" s="2" t="s">
        <v>149</v>
      </c>
      <c r="I8">
        <v>0</v>
      </c>
      <c r="J8" s="103" t="s">
        <v>12</v>
      </c>
      <c r="K8">
        <v>0</v>
      </c>
      <c r="L8">
        <v>0</v>
      </c>
      <c r="M8">
        <v>0</v>
      </c>
      <c r="N8">
        <v>400000</v>
      </c>
      <c r="O8">
        <v>0</v>
      </c>
      <c r="P8">
        <v>0</v>
      </c>
      <c r="Q8" s="13">
        <v>0</v>
      </c>
      <c r="R8" s="13">
        <v>1</v>
      </c>
      <c r="S8" s="108">
        <v>1</v>
      </c>
      <c r="T8">
        <v>4.0000000000000001E-3</v>
      </c>
      <c r="U8">
        <v>26.145191534958482</v>
      </c>
      <c r="V8">
        <v>0</v>
      </c>
      <c r="W8">
        <v>2.5895169211536745E-4</v>
      </c>
      <c r="X8">
        <v>0</v>
      </c>
      <c r="Y8">
        <v>0</v>
      </c>
      <c r="Z8">
        <v>0.10185220882315059</v>
      </c>
    </row>
    <row r="9" spans="1:26" s="75" customFormat="1" x14ac:dyDescent="0.35">
      <c r="A9" s="116"/>
      <c r="B9" s="71" t="s">
        <v>135</v>
      </c>
      <c r="C9" s="72" t="s">
        <v>115</v>
      </c>
      <c r="D9" s="73" t="s">
        <v>110</v>
      </c>
      <c r="E9" s="9">
        <f t="shared" si="7"/>
        <v>4</v>
      </c>
      <c r="F9" s="74">
        <v>1</v>
      </c>
      <c r="G9" s="74" t="s">
        <v>141</v>
      </c>
      <c r="H9" s="74" t="s">
        <v>144</v>
      </c>
      <c r="I9" s="75">
        <v>0</v>
      </c>
      <c r="J9" s="76" t="str">
        <f>B8</f>
        <v>Reactant1</v>
      </c>
      <c r="K9" s="75">
        <v>0</v>
      </c>
      <c r="L9" s="75">
        <v>1</v>
      </c>
      <c r="M9" s="75">
        <v>1</v>
      </c>
      <c r="N9" s="75">
        <v>20000</v>
      </c>
      <c r="O9" s="75">
        <v>6.7000000000000004E-2</v>
      </c>
      <c r="P9" s="75">
        <v>7.07</v>
      </c>
      <c r="Q9" s="77">
        <v>0</v>
      </c>
      <c r="R9" s="77">
        <v>1</v>
      </c>
      <c r="S9" s="109">
        <v>1</v>
      </c>
      <c r="T9" s="75">
        <v>51.5</v>
      </c>
      <c r="U9" s="75">
        <v>56467</v>
      </c>
      <c r="V9" s="75">
        <v>1129</v>
      </c>
      <c r="W9" s="75">
        <v>0</v>
      </c>
      <c r="X9" s="75">
        <v>0</v>
      </c>
      <c r="Y9" s="78">
        <v>0</v>
      </c>
      <c r="Z9" s="75">
        <v>9.3678779051968114E-2</v>
      </c>
    </row>
    <row r="10" spans="1:26" s="83" customFormat="1" x14ac:dyDescent="0.35">
      <c r="A10" s="116"/>
      <c r="B10" s="79" t="s">
        <v>135</v>
      </c>
      <c r="C10" s="80" t="s">
        <v>115</v>
      </c>
      <c r="D10" s="81" t="s">
        <v>112</v>
      </c>
      <c r="E10" s="9">
        <f t="shared" si="7"/>
        <v>5</v>
      </c>
      <c r="F10" s="82">
        <v>1</v>
      </c>
      <c r="G10" s="82" t="s">
        <v>141</v>
      </c>
      <c r="H10" s="82" t="s">
        <v>144</v>
      </c>
      <c r="I10" s="83">
        <v>0</v>
      </c>
      <c r="J10" s="84" t="str">
        <f>B8</f>
        <v>Reactant1</v>
      </c>
      <c r="K10" s="83">
        <v>0</v>
      </c>
      <c r="L10" s="83">
        <v>1</v>
      </c>
      <c r="M10" s="83">
        <v>1</v>
      </c>
      <c r="N10" s="83">
        <f>N9</f>
        <v>20000</v>
      </c>
      <c r="O10" s="83">
        <v>6.7000000000000004E-2</v>
      </c>
      <c r="P10" s="83">
        <v>0</v>
      </c>
      <c r="Q10" s="85">
        <v>0</v>
      </c>
      <c r="R10" s="85">
        <v>1</v>
      </c>
      <c r="S10" s="110">
        <v>1</v>
      </c>
      <c r="T10" s="86">
        <v>37.9</v>
      </c>
      <c r="U10" s="86">
        <v>131493</v>
      </c>
      <c r="V10" s="83">
        <v>3945</v>
      </c>
      <c r="W10" s="83">
        <v>0</v>
      </c>
      <c r="X10" s="83">
        <v>0</v>
      </c>
      <c r="Y10" s="87">
        <v>0</v>
      </c>
      <c r="Z10" s="83">
        <v>9.3678779051968114E-2</v>
      </c>
    </row>
    <row r="11" spans="1:26" x14ac:dyDescent="0.35">
      <c r="A11" s="116"/>
      <c r="B11" s="19" t="s">
        <v>136</v>
      </c>
      <c r="C11" s="11" t="s">
        <v>115</v>
      </c>
      <c r="D11" s="3" t="s">
        <v>21</v>
      </c>
      <c r="E11" s="9">
        <f t="shared" si="7"/>
        <v>6</v>
      </c>
      <c r="F11" s="2">
        <v>1</v>
      </c>
      <c r="G11" s="2" t="s">
        <v>141</v>
      </c>
      <c r="H11" s="2" t="s">
        <v>144</v>
      </c>
      <c r="I11" s="43">
        <v>0</v>
      </c>
      <c r="J11" s="103" t="s">
        <v>12</v>
      </c>
      <c r="K11">
        <v>0</v>
      </c>
      <c r="L11">
        <v>0</v>
      </c>
      <c r="M11">
        <v>-1</v>
      </c>
      <c r="N11">
        <f>N9</f>
        <v>20000</v>
      </c>
      <c r="O11" s="43">
        <v>0</v>
      </c>
      <c r="P11">
        <v>0</v>
      </c>
      <c r="Q11" s="99">
        <v>0</v>
      </c>
      <c r="R11" s="99">
        <v>1</v>
      </c>
      <c r="S11" s="99">
        <v>1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>
        <v>0</v>
      </c>
    </row>
    <row r="12" spans="1:26" s="42" customFormat="1" x14ac:dyDescent="0.35">
      <c r="A12" s="116"/>
      <c r="B12" s="64" t="s">
        <v>75</v>
      </c>
      <c r="C12" s="106" t="s">
        <v>132</v>
      </c>
      <c r="D12" s="66" t="s">
        <v>24</v>
      </c>
      <c r="E12" s="9">
        <f>ROW(D12)-ROW($E$5)</f>
        <v>7</v>
      </c>
      <c r="F12" s="67">
        <v>1</v>
      </c>
      <c r="G12" s="67" t="s">
        <v>142</v>
      </c>
      <c r="H12" s="67" t="s">
        <v>150</v>
      </c>
      <c r="I12" s="42">
        <v>0</v>
      </c>
      <c r="J12" s="68" t="str">
        <f>B9</f>
        <v>Product/Reactant2</v>
      </c>
      <c r="K12" s="42">
        <v>0</v>
      </c>
      <c r="L12" s="42">
        <v>0</v>
      </c>
      <c r="M12" s="42">
        <v>0</v>
      </c>
      <c r="N12" s="42">
        <f>9*N9</f>
        <v>180000</v>
      </c>
      <c r="O12" s="42">
        <v>7.76</v>
      </c>
      <c r="P12" s="42">
        <v>0</v>
      </c>
      <c r="Q12" s="69">
        <v>0</v>
      </c>
      <c r="R12" s="69">
        <v>1</v>
      </c>
      <c r="S12" s="111">
        <v>1</v>
      </c>
      <c r="T12" s="42">
        <v>0</v>
      </c>
      <c r="U12" s="42">
        <v>0</v>
      </c>
      <c r="V12" s="42">
        <v>0</v>
      </c>
      <c r="W12" s="42">
        <v>0</v>
      </c>
      <c r="X12" s="42">
        <v>0.05</v>
      </c>
      <c r="Y12" s="42">
        <v>0</v>
      </c>
      <c r="Z12" s="42">
        <v>0</v>
      </c>
    </row>
    <row r="13" spans="1:26" s="42" customFormat="1" x14ac:dyDescent="0.35">
      <c r="A13" s="116"/>
      <c r="B13" s="64" t="s">
        <v>18</v>
      </c>
      <c r="C13" s="65" t="s">
        <v>115</v>
      </c>
      <c r="D13" s="66" t="s">
        <v>22</v>
      </c>
      <c r="E13" s="9">
        <f t="shared" si="7"/>
        <v>8</v>
      </c>
      <c r="F13" s="67">
        <v>1</v>
      </c>
      <c r="G13" s="67" t="s">
        <v>143</v>
      </c>
      <c r="H13" s="67" t="s">
        <v>151</v>
      </c>
      <c r="I13" s="88">
        <v>0</v>
      </c>
      <c r="J13" s="68" t="s">
        <v>12</v>
      </c>
      <c r="K13" s="42">
        <v>0</v>
      </c>
      <c r="L13" s="42">
        <v>1</v>
      </c>
      <c r="M13" s="42">
        <v>0</v>
      </c>
      <c r="N13" s="42">
        <f>N18</f>
        <v>2000000</v>
      </c>
      <c r="O13" s="88">
        <v>0</v>
      </c>
      <c r="P13" s="42">
        <v>0</v>
      </c>
      <c r="Q13" s="69">
        <v>0</v>
      </c>
      <c r="R13" s="69">
        <v>1</v>
      </c>
      <c r="S13" s="69">
        <v>1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42">
        <v>0</v>
      </c>
    </row>
    <row r="14" spans="1:26" s="42" customFormat="1" x14ac:dyDescent="0.35">
      <c r="A14" s="116"/>
      <c r="B14" s="64" t="s">
        <v>19</v>
      </c>
      <c r="C14" s="106" t="s">
        <v>133</v>
      </c>
      <c r="D14" s="66" t="s">
        <v>23</v>
      </c>
      <c r="E14" s="9">
        <f t="shared" si="7"/>
        <v>9</v>
      </c>
      <c r="F14" s="67">
        <v>1</v>
      </c>
      <c r="G14" s="67" t="s">
        <v>143</v>
      </c>
      <c r="H14" s="67" t="s">
        <v>151</v>
      </c>
      <c r="I14" s="88">
        <v>0</v>
      </c>
      <c r="J14" s="68" t="s">
        <v>12</v>
      </c>
      <c r="K14" s="88">
        <v>0</v>
      </c>
      <c r="L14" s="42">
        <v>-1</v>
      </c>
      <c r="M14" s="88">
        <v>0</v>
      </c>
      <c r="N14" s="42">
        <f>N18</f>
        <v>2000000</v>
      </c>
      <c r="O14" s="88">
        <v>0</v>
      </c>
      <c r="P14" s="42">
        <v>1</v>
      </c>
      <c r="Q14" s="69">
        <v>0</v>
      </c>
      <c r="R14" s="69">
        <v>1</v>
      </c>
      <c r="S14" s="69">
        <v>1</v>
      </c>
      <c r="T14" s="88">
        <v>0</v>
      </c>
      <c r="U14" s="88">
        <v>0</v>
      </c>
      <c r="V14" s="88">
        <v>0</v>
      </c>
      <c r="W14" s="89">
        <v>0</v>
      </c>
      <c r="X14" s="88">
        <v>2.3E-2</v>
      </c>
      <c r="Y14" s="88">
        <v>0</v>
      </c>
      <c r="Z14" s="42">
        <v>0</v>
      </c>
    </row>
    <row r="15" spans="1:26" s="54" customFormat="1" x14ac:dyDescent="0.35">
      <c r="A15" s="116"/>
      <c r="B15" s="51" t="s">
        <v>13</v>
      </c>
      <c r="C15" s="52" t="s">
        <v>115</v>
      </c>
      <c r="D15" s="91" t="s">
        <v>119</v>
      </c>
      <c r="E15" s="9">
        <f t="shared" si="7"/>
        <v>10</v>
      </c>
      <c r="F15" s="53">
        <v>1</v>
      </c>
      <c r="G15" s="53" t="s">
        <v>141</v>
      </c>
      <c r="H15" s="53" t="s">
        <v>144</v>
      </c>
      <c r="I15" s="54">
        <v>0</v>
      </c>
      <c r="J15" s="104" t="s">
        <v>12</v>
      </c>
      <c r="K15" s="54">
        <v>0</v>
      </c>
      <c r="L15" s="54">
        <v>0</v>
      </c>
      <c r="M15" s="54">
        <v>-1</v>
      </c>
      <c r="N15" s="54">
        <v>20000</v>
      </c>
      <c r="O15" s="56">
        <v>0</v>
      </c>
      <c r="P15" s="54">
        <v>0</v>
      </c>
      <c r="Q15" s="55">
        <v>0</v>
      </c>
      <c r="R15" s="55">
        <v>1</v>
      </c>
      <c r="S15" s="112">
        <v>1</v>
      </c>
      <c r="T15" s="54">
        <v>0.94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9.3678779051968114E-2</v>
      </c>
    </row>
    <row r="16" spans="1:26" s="54" customFormat="1" x14ac:dyDescent="0.35">
      <c r="A16" s="116"/>
      <c r="B16" s="51" t="s">
        <v>14</v>
      </c>
      <c r="C16" s="52" t="s">
        <v>115</v>
      </c>
      <c r="D16" s="91" t="s">
        <v>120</v>
      </c>
      <c r="E16" s="9">
        <f t="shared" si="7"/>
        <v>11</v>
      </c>
      <c r="F16" s="53">
        <v>1</v>
      </c>
      <c r="G16" s="53" t="s">
        <v>141</v>
      </c>
      <c r="H16" s="53" t="s">
        <v>144</v>
      </c>
      <c r="I16" s="54">
        <v>0</v>
      </c>
      <c r="J16" s="104" t="s">
        <v>12</v>
      </c>
      <c r="K16" s="54">
        <v>0</v>
      </c>
      <c r="L16" s="54">
        <v>0</v>
      </c>
      <c r="M16" s="54">
        <v>1</v>
      </c>
      <c r="N16" s="54">
        <v>20000</v>
      </c>
      <c r="O16" s="56">
        <v>0</v>
      </c>
      <c r="P16" s="54">
        <v>0</v>
      </c>
      <c r="Q16" s="55">
        <v>0</v>
      </c>
      <c r="R16" s="55">
        <v>1</v>
      </c>
      <c r="S16" s="112">
        <v>1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</row>
    <row r="17" spans="1:26" s="96" customFormat="1" x14ac:dyDescent="0.35">
      <c r="A17" s="116"/>
      <c r="B17" s="92" t="s">
        <v>15</v>
      </c>
      <c r="C17" s="93" t="s">
        <v>115</v>
      </c>
      <c r="D17" s="94" t="s">
        <v>121</v>
      </c>
      <c r="E17" s="90">
        <f t="shared" si="7"/>
        <v>12</v>
      </c>
      <c r="F17" s="95">
        <v>1</v>
      </c>
      <c r="G17" s="95" t="s">
        <v>144</v>
      </c>
      <c r="H17" s="95" t="s">
        <v>144</v>
      </c>
      <c r="I17" s="96">
        <v>0</v>
      </c>
      <c r="J17" s="105" t="s">
        <v>12</v>
      </c>
      <c r="K17" s="96">
        <v>0</v>
      </c>
      <c r="L17" s="96">
        <v>0</v>
      </c>
      <c r="M17" s="96">
        <v>0</v>
      </c>
      <c r="N17" s="96">
        <v>20000000</v>
      </c>
      <c r="O17" s="96">
        <v>0</v>
      </c>
      <c r="P17" s="96">
        <v>0</v>
      </c>
      <c r="Q17" s="97">
        <v>0.09</v>
      </c>
      <c r="R17" s="97">
        <v>1</v>
      </c>
      <c r="S17" s="113">
        <v>1</v>
      </c>
      <c r="T17" s="96">
        <v>0</v>
      </c>
      <c r="U17" s="96">
        <v>460.75542459148141</v>
      </c>
      <c r="V17" s="96">
        <v>0.99167600700525393</v>
      </c>
      <c r="W17" s="96">
        <v>0</v>
      </c>
      <c r="X17" s="96">
        <v>0</v>
      </c>
      <c r="Y17" s="96">
        <v>0</v>
      </c>
      <c r="Z17" s="96">
        <v>8.174285816161557E-2</v>
      </c>
    </row>
    <row r="18" spans="1:26" ht="14.5" customHeight="1" x14ac:dyDescent="0.35">
      <c r="A18" s="116" t="s">
        <v>16</v>
      </c>
      <c r="B18" s="12" t="s">
        <v>32</v>
      </c>
      <c r="C18" s="11" t="s">
        <v>115</v>
      </c>
      <c r="D18" s="7" t="s">
        <v>29</v>
      </c>
      <c r="E18" s="9">
        <f t="shared" si="7"/>
        <v>13</v>
      </c>
      <c r="F18" s="2">
        <v>1</v>
      </c>
      <c r="G18" s="2" t="s">
        <v>145</v>
      </c>
      <c r="H18" s="2" t="s">
        <v>146</v>
      </c>
      <c r="I18">
        <v>0</v>
      </c>
      <c r="J18" s="103" t="s">
        <v>12</v>
      </c>
      <c r="K18">
        <v>1</v>
      </c>
      <c r="L18">
        <v>0</v>
      </c>
      <c r="M18">
        <v>0</v>
      </c>
      <c r="N18">
        <v>2000000</v>
      </c>
      <c r="O18" s="10">
        <v>0</v>
      </c>
      <c r="P18">
        <v>0</v>
      </c>
      <c r="Q18" s="13">
        <v>0</v>
      </c>
      <c r="R18" s="13">
        <v>1</v>
      </c>
      <c r="S18" s="108">
        <v>1</v>
      </c>
      <c r="T18">
        <v>0</v>
      </c>
      <c r="U18">
        <v>552.67870000000005</v>
      </c>
      <c r="V18">
        <v>9.1244125000000018</v>
      </c>
      <c r="W18">
        <v>0</v>
      </c>
      <c r="X18">
        <v>0</v>
      </c>
      <c r="Y18">
        <v>0</v>
      </c>
      <c r="Z18">
        <v>8.5803264560679798E-2</v>
      </c>
    </row>
    <row r="19" spans="1:26" ht="14.5" customHeight="1" x14ac:dyDescent="0.35">
      <c r="A19" s="116"/>
      <c r="B19" s="12" t="s">
        <v>31</v>
      </c>
      <c r="C19" s="11" t="s">
        <v>115</v>
      </c>
      <c r="D19" s="7" t="s">
        <v>30</v>
      </c>
      <c r="E19" s="9">
        <f>ROW(D19)-ROW($E$5)</f>
        <v>14</v>
      </c>
      <c r="F19" s="2">
        <v>1</v>
      </c>
      <c r="G19" s="2" t="s">
        <v>145</v>
      </c>
      <c r="H19" s="2" t="s">
        <v>146</v>
      </c>
      <c r="I19">
        <v>0</v>
      </c>
      <c r="J19" s="103" t="s">
        <v>12</v>
      </c>
      <c r="K19">
        <v>1</v>
      </c>
      <c r="L19">
        <v>0</v>
      </c>
      <c r="M19">
        <v>0</v>
      </c>
      <c r="N19">
        <f t="shared" ref="N19:N32" si="8">$N$18</f>
        <v>2000000</v>
      </c>
      <c r="O19" s="10">
        <v>0</v>
      </c>
      <c r="P19">
        <v>0</v>
      </c>
      <c r="Q19" s="13">
        <v>0</v>
      </c>
      <c r="R19" s="13">
        <v>1</v>
      </c>
      <c r="S19" s="108">
        <v>1</v>
      </c>
      <c r="T19">
        <v>0</v>
      </c>
      <c r="U19">
        <v>646.52980000000002</v>
      </c>
      <c r="V19">
        <v>11.157853000000001</v>
      </c>
      <c r="W19">
        <v>0</v>
      </c>
      <c r="X19">
        <v>0</v>
      </c>
      <c r="Y19">
        <v>0</v>
      </c>
      <c r="Z19">
        <v>8.5803264560679798E-2</v>
      </c>
    </row>
    <row r="20" spans="1:26" x14ac:dyDescent="0.35">
      <c r="A20" s="116"/>
      <c r="B20" s="12" t="str">
        <f>CONCATENATE("RPU_"&amp;D20)</f>
        <v>RPU_ON_SP198-HH100</v>
      </c>
      <c r="C20" s="11" t="s">
        <v>115</v>
      </c>
      <c r="D20" s="3" t="s">
        <v>90</v>
      </c>
      <c r="E20" s="9">
        <f t="shared" si="7"/>
        <v>15</v>
      </c>
      <c r="F20" s="2">
        <v>1</v>
      </c>
      <c r="G20" s="2" t="s">
        <v>145</v>
      </c>
      <c r="H20" s="2" t="s">
        <v>146</v>
      </c>
      <c r="I20">
        <v>0</v>
      </c>
      <c r="J20" s="103" t="s">
        <v>12</v>
      </c>
      <c r="K20">
        <v>1</v>
      </c>
      <c r="L20">
        <v>0</v>
      </c>
      <c r="M20">
        <v>0</v>
      </c>
      <c r="N20">
        <f t="shared" si="8"/>
        <v>2000000</v>
      </c>
      <c r="O20" s="10">
        <v>0</v>
      </c>
      <c r="P20">
        <v>0</v>
      </c>
      <c r="Q20" s="13">
        <v>0</v>
      </c>
      <c r="R20" s="13">
        <v>1</v>
      </c>
      <c r="S20" s="108">
        <v>1</v>
      </c>
      <c r="T20">
        <v>0</v>
      </c>
      <c r="U20">
        <v>1758.6807528485745</v>
      </c>
      <c r="V20">
        <v>14.599060000000001</v>
      </c>
      <c r="W20">
        <v>1.5641850000000001E-3</v>
      </c>
      <c r="X20">
        <v>0</v>
      </c>
      <c r="Y20">
        <v>0</v>
      </c>
      <c r="Z20">
        <v>9.1448096207564403E-2</v>
      </c>
    </row>
    <row r="21" spans="1:26" x14ac:dyDescent="0.35">
      <c r="A21" s="116"/>
      <c r="B21" s="12" t="str">
        <f t="shared" ref="B21:B31" si="9">CONCATENATE("RPU_"&amp;D21)</f>
        <v>RPU_ON_SP198-HH150</v>
      </c>
      <c r="C21" s="11" t="s">
        <v>115</v>
      </c>
      <c r="D21" s="3" t="s">
        <v>33</v>
      </c>
      <c r="E21" s="9">
        <f t="shared" si="7"/>
        <v>16</v>
      </c>
      <c r="F21" s="2">
        <v>1</v>
      </c>
      <c r="G21" s="2" t="s">
        <v>145</v>
      </c>
      <c r="H21" s="2" t="s">
        <v>146</v>
      </c>
      <c r="I21">
        <v>0</v>
      </c>
      <c r="J21" s="103" t="s">
        <v>12</v>
      </c>
      <c r="K21">
        <v>1</v>
      </c>
      <c r="L21">
        <v>0</v>
      </c>
      <c r="M21">
        <v>0</v>
      </c>
      <c r="N21">
        <f t="shared" si="8"/>
        <v>2000000</v>
      </c>
      <c r="O21" s="10">
        <v>0</v>
      </c>
      <c r="P21">
        <v>0</v>
      </c>
      <c r="Q21" s="13">
        <v>0</v>
      </c>
      <c r="R21" s="13">
        <v>1</v>
      </c>
      <c r="S21" s="108">
        <v>1</v>
      </c>
      <c r="T21">
        <v>0</v>
      </c>
      <c r="U21">
        <v>2188.7934195531479</v>
      </c>
      <c r="V21">
        <v>14.599060000000001</v>
      </c>
      <c r="W21">
        <v>1.5641850000000001E-3</v>
      </c>
      <c r="X21">
        <v>0</v>
      </c>
      <c r="Y21">
        <v>0</v>
      </c>
      <c r="Z21">
        <v>9.1448096207564403E-2</v>
      </c>
    </row>
    <row r="22" spans="1:26" x14ac:dyDescent="0.35">
      <c r="A22" s="116"/>
      <c r="B22" s="12" t="str">
        <f t="shared" si="9"/>
        <v>RPU_ON_SP237-HH100</v>
      </c>
      <c r="C22" s="11" t="s">
        <v>115</v>
      </c>
      <c r="D22" s="3" t="s">
        <v>34</v>
      </c>
      <c r="E22" s="9">
        <f t="shared" si="7"/>
        <v>17</v>
      </c>
      <c r="F22" s="2">
        <v>1</v>
      </c>
      <c r="G22" s="2" t="s">
        <v>145</v>
      </c>
      <c r="H22" s="2" t="s">
        <v>146</v>
      </c>
      <c r="I22">
        <v>0</v>
      </c>
      <c r="J22" s="103" t="s">
        <v>12</v>
      </c>
      <c r="K22">
        <v>1</v>
      </c>
      <c r="L22">
        <v>0</v>
      </c>
      <c r="M22">
        <v>0</v>
      </c>
      <c r="N22">
        <f t="shared" si="8"/>
        <v>2000000</v>
      </c>
      <c r="O22" s="10">
        <v>0</v>
      </c>
      <c r="P22">
        <v>0</v>
      </c>
      <c r="Q22" s="13">
        <v>0</v>
      </c>
      <c r="R22" s="13">
        <v>1</v>
      </c>
      <c r="S22" s="108">
        <v>1</v>
      </c>
      <c r="T22">
        <v>0</v>
      </c>
      <c r="U22">
        <v>1554.7627916706663</v>
      </c>
      <c r="V22">
        <v>14.599060000000001</v>
      </c>
      <c r="W22">
        <v>1.5641850000000001E-3</v>
      </c>
      <c r="X22">
        <v>0</v>
      </c>
      <c r="Y22">
        <v>0</v>
      </c>
      <c r="Z22">
        <v>9.1448096207564403E-2</v>
      </c>
    </row>
    <row r="23" spans="1:26" x14ac:dyDescent="0.35">
      <c r="A23" s="116"/>
      <c r="B23" s="12" t="str">
        <f t="shared" si="9"/>
        <v>RPU_ON_SP237-HH150</v>
      </c>
      <c r="C23" s="11" t="s">
        <v>115</v>
      </c>
      <c r="D23" s="3" t="s">
        <v>35</v>
      </c>
      <c r="E23" s="9">
        <f t="shared" si="7"/>
        <v>18</v>
      </c>
      <c r="F23" s="2">
        <v>1</v>
      </c>
      <c r="G23" s="2" t="s">
        <v>145</v>
      </c>
      <c r="H23" s="2" t="s">
        <v>146</v>
      </c>
      <c r="I23">
        <v>0</v>
      </c>
      <c r="J23" s="103" t="s">
        <v>12</v>
      </c>
      <c r="K23">
        <v>1</v>
      </c>
      <c r="L23">
        <v>0</v>
      </c>
      <c r="M23">
        <v>0</v>
      </c>
      <c r="N23">
        <f t="shared" si="8"/>
        <v>2000000</v>
      </c>
      <c r="O23" s="10">
        <v>0</v>
      </c>
      <c r="P23">
        <v>0</v>
      </c>
      <c r="Q23" s="13">
        <v>0</v>
      </c>
      <c r="R23" s="13">
        <v>1</v>
      </c>
      <c r="S23" s="108">
        <v>1</v>
      </c>
      <c r="T23">
        <v>0</v>
      </c>
      <c r="U23">
        <v>1947.4738868244795</v>
      </c>
      <c r="V23">
        <v>14.599060000000001</v>
      </c>
      <c r="W23">
        <v>1.5641850000000001E-3</v>
      </c>
      <c r="X23">
        <v>0</v>
      </c>
      <c r="Y23">
        <v>0</v>
      </c>
      <c r="Z23">
        <v>9.1448096207564403E-2</v>
      </c>
    </row>
    <row r="24" spans="1:26" x14ac:dyDescent="0.35">
      <c r="A24" s="116"/>
      <c r="B24" s="12" t="str">
        <f t="shared" si="9"/>
        <v>RPU_ON_SP277-HH100</v>
      </c>
      <c r="C24" s="11" t="s">
        <v>115</v>
      </c>
      <c r="D24" s="3" t="s">
        <v>36</v>
      </c>
      <c r="E24" s="9">
        <f t="shared" si="7"/>
        <v>19</v>
      </c>
      <c r="F24" s="2">
        <v>1</v>
      </c>
      <c r="G24" s="2" t="s">
        <v>145</v>
      </c>
      <c r="H24" s="2" t="s">
        <v>146</v>
      </c>
      <c r="I24">
        <v>0</v>
      </c>
      <c r="J24" s="103" t="s">
        <v>12</v>
      </c>
      <c r="K24">
        <v>1</v>
      </c>
      <c r="L24">
        <v>0</v>
      </c>
      <c r="M24">
        <v>0</v>
      </c>
      <c r="N24">
        <f t="shared" si="8"/>
        <v>2000000</v>
      </c>
      <c r="O24" s="10">
        <v>0</v>
      </c>
      <c r="P24">
        <v>0</v>
      </c>
      <c r="Q24" s="13">
        <v>0</v>
      </c>
      <c r="R24" s="13">
        <v>1</v>
      </c>
      <c r="S24" s="108">
        <v>1</v>
      </c>
      <c r="T24">
        <v>0</v>
      </c>
      <c r="U24">
        <v>1414.9828559823698</v>
      </c>
      <c r="V24">
        <v>14.599060000000001</v>
      </c>
      <c r="W24">
        <v>1.5641850000000001E-3</v>
      </c>
      <c r="X24">
        <v>0</v>
      </c>
      <c r="Y24">
        <v>0</v>
      </c>
      <c r="Z24">
        <v>9.1448096207564403E-2</v>
      </c>
    </row>
    <row r="25" spans="1:26" x14ac:dyDescent="0.35">
      <c r="A25" s="116"/>
      <c r="B25" s="12" t="str">
        <f t="shared" si="9"/>
        <v>RPU_ON_SP277-HH150</v>
      </c>
      <c r="C25" s="11" t="s">
        <v>115</v>
      </c>
      <c r="D25" s="3" t="s">
        <v>37</v>
      </c>
      <c r="E25" s="9">
        <f t="shared" si="7"/>
        <v>20</v>
      </c>
      <c r="F25" s="2">
        <v>1</v>
      </c>
      <c r="G25" s="2" t="s">
        <v>145</v>
      </c>
      <c r="H25" s="2" t="s">
        <v>146</v>
      </c>
      <c r="I25">
        <v>0</v>
      </c>
      <c r="J25" s="103" t="s">
        <v>12</v>
      </c>
      <c r="K25">
        <v>1</v>
      </c>
      <c r="L25">
        <v>0</v>
      </c>
      <c r="M25">
        <v>0</v>
      </c>
      <c r="N25">
        <f t="shared" si="8"/>
        <v>2000000</v>
      </c>
      <c r="O25" s="10">
        <v>0</v>
      </c>
      <c r="P25">
        <v>0</v>
      </c>
      <c r="Q25" s="13">
        <v>0</v>
      </c>
      <c r="R25" s="13">
        <v>1</v>
      </c>
      <c r="S25" s="108">
        <v>1</v>
      </c>
      <c r="T25">
        <v>0</v>
      </c>
      <c r="U25">
        <v>1807.6939511361822</v>
      </c>
      <c r="V25">
        <v>14.599060000000001</v>
      </c>
      <c r="W25">
        <v>1.5641850000000001E-3</v>
      </c>
      <c r="X25">
        <v>0</v>
      </c>
      <c r="Y25">
        <v>0</v>
      </c>
      <c r="Z25">
        <v>9.1448096207564403E-2</v>
      </c>
    </row>
    <row r="26" spans="1:26" x14ac:dyDescent="0.35">
      <c r="A26" s="116"/>
      <c r="B26" s="12" t="str">
        <f t="shared" si="9"/>
        <v>RPU_ON_SP321-HH100</v>
      </c>
      <c r="C26" s="11" t="s">
        <v>115</v>
      </c>
      <c r="D26" s="3" t="s">
        <v>38</v>
      </c>
      <c r="E26" s="9">
        <f t="shared" si="7"/>
        <v>21</v>
      </c>
      <c r="F26" s="2">
        <v>1</v>
      </c>
      <c r="G26" s="2" t="s">
        <v>145</v>
      </c>
      <c r="H26" s="2" t="s">
        <v>146</v>
      </c>
      <c r="I26">
        <v>0</v>
      </c>
      <c r="J26" s="103" t="s">
        <v>12</v>
      </c>
      <c r="K26">
        <v>1</v>
      </c>
      <c r="L26">
        <v>0</v>
      </c>
      <c r="M26">
        <v>0</v>
      </c>
      <c r="N26">
        <f t="shared" si="8"/>
        <v>2000000</v>
      </c>
      <c r="O26" s="10">
        <v>0</v>
      </c>
      <c r="P26">
        <v>0</v>
      </c>
      <c r="Q26" s="13">
        <v>0</v>
      </c>
      <c r="R26" s="13">
        <v>1</v>
      </c>
      <c r="S26" s="108">
        <v>1</v>
      </c>
      <c r="T26">
        <v>0</v>
      </c>
      <c r="U26">
        <v>1301.2947800734096</v>
      </c>
      <c r="V26">
        <v>14.599060000000001</v>
      </c>
      <c r="W26">
        <v>1.5641850000000001E-3</v>
      </c>
      <c r="X26">
        <v>0</v>
      </c>
      <c r="Y26">
        <v>0</v>
      </c>
      <c r="Z26">
        <v>9.1448096207564403E-2</v>
      </c>
    </row>
    <row r="27" spans="1:26" x14ac:dyDescent="0.35">
      <c r="A27" s="116"/>
      <c r="B27" s="12" t="str">
        <f t="shared" si="9"/>
        <v>RPU_ON_SP321-HH150</v>
      </c>
      <c r="C27" s="11" t="s">
        <v>115</v>
      </c>
      <c r="D27" s="3" t="s">
        <v>39</v>
      </c>
      <c r="E27" s="9">
        <f t="shared" si="7"/>
        <v>22</v>
      </c>
      <c r="F27" s="2">
        <v>1</v>
      </c>
      <c r="G27" s="2" t="s">
        <v>145</v>
      </c>
      <c r="H27" s="2" t="s">
        <v>146</v>
      </c>
      <c r="I27">
        <v>0</v>
      </c>
      <c r="J27" s="103" t="s">
        <v>12</v>
      </c>
      <c r="K27">
        <v>1</v>
      </c>
      <c r="L27">
        <v>0</v>
      </c>
      <c r="M27">
        <v>0</v>
      </c>
      <c r="N27">
        <f t="shared" si="8"/>
        <v>2000000</v>
      </c>
      <c r="O27" s="10">
        <v>0</v>
      </c>
      <c r="P27">
        <v>0</v>
      </c>
      <c r="Q27" s="13">
        <v>0</v>
      </c>
      <c r="R27" s="13">
        <v>1</v>
      </c>
      <c r="S27" s="108">
        <v>1</v>
      </c>
      <c r="T27">
        <v>0</v>
      </c>
      <c r="U27">
        <v>1694.0063453254108</v>
      </c>
      <c r="V27">
        <v>14.599060000000001</v>
      </c>
      <c r="W27">
        <v>1.5641850000000001E-3</v>
      </c>
      <c r="X27">
        <v>0</v>
      </c>
      <c r="Y27">
        <v>0</v>
      </c>
      <c r="Z27">
        <v>9.1448096207564403E-2</v>
      </c>
    </row>
    <row r="28" spans="1:26" x14ac:dyDescent="0.35">
      <c r="A28" s="116"/>
      <c r="B28" s="12" t="str">
        <f t="shared" si="9"/>
        <v>RPU_OFF_SP379-HH100</v>
      </c>
      <c r="C28" s="11" t="s">
        <v>115</v>
      </c>
      <c r="D28" s="3" t="s">
        <v>40</v>
      </c>
      <c r="E28" s="9">
        <f t="shared" si="7"/>
        <v>23</v>
      </c>
      <c r="F28" s="2">
        <v>1</v>
      </c>
      <c r="G28" s="2" t="s">
        <v>145</v>
      </c>
      <c r="H28" s="2" t="s">
        <v>146</v>
      </c>
      <c r="I28">
        <v>0</v>
      </c>
      <c r="J28" s="103" t="s">
        <v>12</v>
      </c>
      <c r="K28">
        <v>1</v>
      </c>
      <c r="L28">
        <v>0</v>
      </c>
      <c r="M28">
        <v>0</v>
      </c>
      <c r="N28">
        <f t="shared" si="8"/>
        <v>2000000</v>
      </c>
      <c r="O28" s="10">
        <v>0</v>
      </c>
      <c r="P28">
        <v>0</v>
      </c>
      <c r="Q28" s="13">
        <v>0</v>
      </c>
      <c r="R28" s="13">
        <v>1</v>
      </c>
      <c r="S28" s="108">
        <v>1</v>
      </c>
      <c r="T28">
        <v>0</v>
      </c>
      <c r="U28">
        <v>2205.1904479084506</v>
      </c>
      <c r="V28">
        <v>41.773124610000004</v>
      </c>
      <c r="W28">
        <v>3.1283700000000001E-3</v>
      </c>
      <c r="X28">
        <v>0</v>
      </c>
      <c r="Y28">
        <v>0</v>
      </c>
      <c r="Z28">
        <v>9.1448096207564403E-2</v>
      </c>
    </row>
    <row r="29" spans="1:26" x14ac:dyDescent="0.35">
      <c r="A29" s="116"/>
      <c r="B29" s="12" t="str">
        <f t="shared" si="9"/>
        <v>RPU_OFF_SP379-HH150</v>
      </c>
      <c r="C29" s="11" t="s">
        <v>115</v>
      </c>
      <c r="D29" s="3" t="s">
        <v>41</v>
      </c>
      <c r="E29" s="9">
        <f t="shared" si="7"/>
        <v>24</v>
      </c>
      <c r="F29" s="2">
        <v>1</v>
      </c>
      <c r="G29" s="2" t="s">
        <v>145</v>
      </c>
      <c r="H29" s="2" t="s">
        <v>146</v>
      </c>
      <c r="I29">
        <v>0</v>
      </c>
      <c r="J29" s="103" t="s">
        <v>12</v>
      </c>
      <c r="K29">
        <v>1</v>
      </c>
      <c r="L29">
        <v>0</v>
      </c>
      <c r="M29">
        <v>0</v>
      </c>
      <c r="N29">
        <f t="shared" si="8"/>
        <v>2000000</v>
      </c>
      <c r="O29" s="10">
        <v>0</v>
      </c>
      <c r="P29">
        <v>0</v>
      </c>
      <c r="Q29" s="13">
        <v>0</v>
      </c>
      <c r="R29" s="13">
        <v>1</v>
      </c>
      <c r="S29" s="108">
        <v>1</v>
      </c>
      <c r="T29">
        <v>0</v>
      </c>
      <c r="U29">
        <v>2534.6071744804217</v>
      </c>
      <c r="V29">
        <v>41.773124610000004</v>
      </c>
      <c r="W29">
        <v>3.1283700000000001E-3</v>
      </c>
      <c r="X29">
        <v>0</v>
      </c>
      <c r="Y29">
        <v>0</v>
      </c>
      <c r="Z29">
        <v>9.1448096207564403E-2</v>
      </c>
    </row>
    <row r="30" spans="1:26" x14ac:dyDescent="0.35">
      <c r="A30" s="116"/>
      <c r="B30" s="12" t="str">
        <f t="shared" si="9"/>
        <v>RPU_OFF_SP450-HH100</v>
      </c>
      <c r="C30" s="11" t="s">
        <v>115</v>
      </c>
      <c r="D30" s="3" t="s">
        <v>42</v>
      </c>
      <c r="E30" s="9">
        <f t="shared" si="7"/>
        <v>25</v>
      </c>
      <c r="F30" s="2">
        <v>1</v>
      </c>
      <c r="G30" s="2" t="s">
        <v>145</v>
      </c>
      <c r="H30" s="2" t="s">
        <v>146</v>
      </c>
      <c r="I30">
        <v>0</v>
      </c>
      <c r="J30" s="103" t="s">
        <v>12</v>
      </c>
      <c r="K30">
        <v>1</v>
      </c>
      <c r="L30">
        <v>0</v>
      </c>
      <c r="M30">
        <v>0</v>
      </c>
      <c r="N30">
        <f t="shared" si="8"/>
        <v>2000000</v>
      </c>
      <c r="O30" s="10">
        <v>0</v>
      </c>
      <c r="P30">
        <v>0</v>
      </c>
      <c r="Q30" s="13">
        <v>0</v>
      </c>
      <c r="R30" s="13">
        <v>1</v>
      </c>
      <c r="S30" s="108">
        <v>1</v>
      </c>
      <c r="T30">
        <v>0</v>
      </c>
      <c r="U30">
        <v>1988.1234836201065</v>
      </c>
      <c r="V30">
        <v>41.773124610000004</v>
      </c>
      <c r="W30">
        <v>3.1283700000000001E-3</v>
      </c>
      <c r="X30">
        <v>0</v>
      </c>
      <c r="Y30">
        <v>0</v>
      </c>
      <c r="Z30">
        <v>9.1448096207564403E-2</v>
      </c>
    </row>
    <row r="31" spans="1:26" x14ac:dyDescent="0.35">
      <c r="A31" s="116"/>
      <c r="B31" s="12" t="str">
        <f t="shared" si="9"/>
        <v>RPU_OFF_SP450-HH150</v>
      </c>
      <c r="C31" s="11" t="s">
        <v>115</v>
      </c>
      <c r="D31" s="3" t="s">
        <v>91</v>
      </c>
      <c r="E31" s="9">
        <f t="shared" si="7"/>
        <v>26</v>
      </c>
      <c r="F31" s="2">
        <v>1</v>
      </c>
      <c r="G31" s="2" t="s">
        <v>145</v>
      </c>
      <c r="H31" s="2" t="s">
        <v>146</v>
      </c>
      <c r="I31">
        <v>0</v>
      </c>
      <c r="J31" s="103" t="s">
        <v>12</v>
      </c>
      <c r="K31">
        <v>1</v>
      </c>
      <c r="L31">
        <v>0</v>
      </c>
      <c r="M31">
        <v>0</v>
      </c>
      <c r="N31">
        <f t="shared" si="8"/>
        <v>2000000</v>
      </c>
      <c r="O31" s="10">
        <v>0</v>
      </c>
      <c r="P31">
        <v>0</v>
      </c>
      <c r="Q31" s="13">
        <v>0</v>
      </c>
      <c r="R31" s="13">
        <v>1</v>
      </c>
      <c r="S31" s="108">
        <v>1</v>
      </c>
      <c r="T31">
        <v>0</v>
      </c>
      <c r="U31">
        <v>2265.5270428386079</v>
      </c>
      <c r="V31">
        <v>41.773124610000004</v>
      </c>
      <c r="W31">
        <v>3.1283700000000001E-3</v>
      </c>
      <c r="X31">
        <v>0</v>
      </c>
      <c r="Y31">
        <v>0</v>
      </c>
      <c r="Z31">
        <v>9.1448096207564403E-2</v>
      </c>
    </row>
    <row r="32" spans="1:26" x14ac:dyDescent="0.35">
      <c r="A32" s="116"/>
      <c r="B32" s="12" t="s">
        <v>17</v>
      </c>
      <c r="C32" s="5" t="s">
        <v>20</v>
      </c>
      <c r="D32" s="7" t="s">
        <v>25</v>
      </c>
      <c r="E32" s="9">
        <f t="shared" si="7"/>
        <v>27</v>
      </c>
      <c r="F32" s="2">
        <v>1</v>
      </c>
      <c r="G32" s="2" t="s">
        <v>145</v>
      </c>
      <c r="H32" s="2" t="s">
        <v>146</v>
      </c>
      <c r="I32">
        <v>0</v>
      </c>
      <c r="J32" s="103" t="s">
        <v>12</v>
      </c>
      <c r="K32">
        <v>1</v>
      </c>
      <c r="L32">
        <v>0</v>
      </c>
      <c r="M32">
        <v>0</v>
      </c>
      <c r="N32">
        <f t="shared" si="8"/>
        <v>2000000</v>
      </c>
      <c r="O32" s="10">
        <v>0</v>
      </c>
      <c r="P32">
        <v>0</v>
      </c>
      <c r="Q32" s="13">
        <v>0</v>
      </c>
      <c r="R32" s="13">
        <v>1</v>
      </c>
      <c r="S32" s="108">
        <v>1</v>
      </c>
      <c r="T32">
        <v>0</v>
      </c>
      <c r="U32">
        <v>66</v>
      </c>
      <c r="V32">
        <v>0</v>
      </c>
      <c r="W32">
        <v>0</v>
      </c>
      <c r="X32">
        <v>0</v>
      </c>
      <c r="Y32" s="27">
        <v>1.6649999999999998E-2</v>
      </c>
      <c r="Z32">
        <v>8.5803264560679798E-2</v>
      </c>
    </row>
    <row r="33" spans="1:26" x14ac:dyDescent="0.35">
      <c r="A33" s="116"/>
      <c r="B33" s="12" t="s">
        <v>107</v>
      </c>
      <c r="C33" s="11" t="s">
        <v>115</v>
      </c>
      <c r="D33" s="7" t="s">
        <v>116</v>
      </c>
      <c r="E33" s="9">
        <f t="shared" si="7"/>
        <v>28</v>
      </c>
      <c r="F33" s="2">
        <v>1</v>
      </c>
      <c r="G33" s="2" t="s">
        <v>145</v>
      </c>
      <c r="H33" s="2" t="s">
        <v>146</v>
      </c>
      <c r="I33">
        <v>0</v>
      </c>
      <c r="J33" s="103" t="s">
        <v>12</v>
      </c>
      <c r="K33">
        <v>-1</v>
      </c>
      <c r="L33">
        <v>0</v>
      </c>
      <c r="M33">
        <v>0</v>
      </c>
      <c r="N33">
        <v>24000</v>
      </c>
      <c r="O33">
        <v>0</v>
      </c>
      <c r="P33">
        <v>0</v>
      </c>
      <c r="Q33" s="13">
        <v>0</v>
      </c>
      <c r="R33" s="13">
        <v>1</v>
      </c>
      <c r="S33" s="108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116"/>
      <c r="B34" s="12" t="s">
        <v>13</v>
      </c>
      <c r="C34" s="11" t="s">
        <v>115</v>
      </c>
      <c r="D34" s="7" t="s">
        <v>26</v>
      </c>
      <c r="E34" s="9">
        <f t="shared" si="7"/>
        <v>29</v>
      </c>
      <c r="F34" s="2">
        <v>1</v>
      </c>
      <c r="G34" s="2" t="s">
        <v>145</v>
      </c>
      <c r="H34" s="2" t="s">
        <v>146</v>
      </c>
      <c r="I34">
        <v>0</v>
      </c>
      <c r="J34" s="103" t="s">
        <v>12</v>
      </c>
      <c r="K34">
        <v>-1</v>
      </c>
      <c r="L34">
        <v>0</v>
      </c>
      <c r="M34">
        <v>0</v>
      </c>
      <c r="N34">
        <f>N36/2</f>
        <v>10000000</v>
      </c>
      <c r="O34" s="10">
        <v>0</v>
      </c>
      <c r="P34">
        <v>0</v>
      </c>
      <c r="Q34" s="13">
        <v>0</v>
      </c>
      <c r="R34" s="13">
        <v>1</v>
      </c>
      <c r="S34" s="108">
        <v>1</v>
      </c>
      <c r="T34">
        <v>0.04</v>
      </c>
      <c r="U34">
        <v>0</v>
      </c>
      <c r="V34">
        <v>0</v>
      </c>
      <c r="W34">
        <v>2.0855800000000001E-3</v>
      </c>
      <c r="X34">
        <v>0</v>
      </c>
      <c r="Y34">
        <v>0</v>
      </c>
      <c r="Z34">
        <v>0</v>
      </c>
    </row>
    <row r="35" spans="1:26" x14ac:dyDescent="0.35">
      <c r="A35" s="116"/>
      <c r="B35" s="12" t="s">
        <v>14</v>
      </c>
      <c r="C35" s="11" t="s">
        <v>115</v>
      </c>
      <c r="D35" s="7" t="s">
        <v>27</v>
      </c>
      <c r="E35" s="9">
        <f t="shared" si="7"/>
        <v>30</v>
      </c>
      <c r="F35" s="2">
        <v>1</v>
      </c>
      <c r="G35" s="2" t="s">
        <v>145</v>
      </c>
      <c r="H35" s="2" t="s">
        <v>146</v>
      </c>
      <c r="I35">
        <v>0</v>
      </c>
      <c r="J35" s="103" t="s">
        <v>12</v>
      </c>
      <c r="K35">
        <v>1</v>
      </c>
      <c r="L35">
        <v>0</v>
      </c>
      <c r="M35">
        <v>0</v>
      </c>
      <c r="N35">
        <f>3*N36</f>
        <v>60000000</v>
      </c>
      <c r="O35" s="10">
        <v>0</v>
      </c>
      <c r="P35">
        <v>0</v>
      </c>
      <c r="Q35" s="13">
        <v>0</v>
      </c>
      <c r="R35" s="13">
        <v>1</v>
      </c>
      <c r="S35" s="108">
        <v>1</v>
      </c>
      <c r="T35">
        <v>0.05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116"/>
      <c r="B36" s="12" t="s">
        <v>15</v>
      </c>
      <c r="C36" s="11" t="s">
        <v>115</v>
      </c>
      <c r="D36" s="3" t="s">
        <v>28</v>
      </c>
      <c r="E36" s="9">
        <f t="shared" si="7"/>
        <v>31</v>
      </c>
      <c r="F36" s="2">
        <v>1</v>
      </c>
      <c r="G36" s="2" t="s">
        <v>146</v>
      </c>
      <c r="H36" s="2" t="s">
        <v>146</v>
      </c>
      <c r="I36">
        <v>0</v>
      </c>
      <c r="J36" s="103" t="s">
        <v>12</v>
      </c>
      <c r="K36">
        <v>0</v>
      </c>
      <c r="L36">
        <v>0</v>
      </c>
      <c r="M36">
        <v>0</v>
      </c>
      <c r="N36">
        <v>20000000</v>
      </c>
      <c r="O36" s="10">
        <v>0</v>
      </c>
      <c r="P36">
        <v>0</v>
      </c>
      <c r="Q36" s="13">
        <v>0.2</v>
      </c>
      <c r="R36" s="13">
        <v>1</v>
      </c>
      <c r="S36" s="108">
        <v>1</v>
      </c>
      <c r="T36">
        <v>0</v>
      </c>
      <c r="U36">
        <v>361.82973436935299</v>
      </c>
      <c r="V36">
        <v>5.0761000000000003</v>
      </c>
      <c r="W36">
        <v>0</v>
      </c>
      <c r="X36">
        <v>0</v>
      </c>
      <c r="Y36">
        <v>0</v>
      </c>
      <c r="Z36">
        <v>0.10185220882315101</v>
      </c>
    </row>
  </sheetData>
  <mergeCells count="6">
    <mergeCell ref="A1:E1"/>
    <mergeCell ref="A18:A36"/>
    <mergeCell ref="D2:D5"/>
    <mergeCell ref="B2:B5"/>
    <mergeCell ref="C2:C5"/>
    <mergeCell ref="A6:A17"/>
  </mergeCells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6"/>
  <sheetViews>
    <sheetView workbookViewId="0">
      <pane xSplit="1" topLeftCell="B1" activePane="topRight" state="frozen"/>
      <selection pane="topRight" activeCell="H19" sqref="H19"/>
    </sheetView>
  </sheetViews>
  <sheetFormatPr defaultRowHeight="14.5" x14ac:dyDescent="0.35"/>
  <cols>
    <col min="1" max="1" width="2.81640625" bestFit="1" customWidth="1"/>
    <col min="2" max="2" width="32" bestFit="1" customWidth="1"/>
    <col min="3" max="3" width="14.1796875" bestFit="1" customWidth="1"/>
    <col min="4" max="4" width="15.26953125" bestFit="1" customWidth="1"/>
  </cols>
  <sheetData>
    <row r="1" spans="1:4" x14ac:dyDescent="0.35">
      <c r="A1" s="14"/>
      <c r="B1" s="6" t="s">
        <v>92</v>
      </c>
      <c r="C1" t="s">
        <v>66</v>
      </c>
      <c r="D1" t="s">
        <v>66</v>
      </c>
    </row>
    <row r="2" spans="1:4" x14ac:dyDescent="0.35">
      <c r="B2" s="6" t="s">
        <v>85</v>
      </c>
      <c r="C2" s="28">
        <v>18.600000000000001</v>
      </c>
      <c r="D2" s="28">
        <v>18.600000000000001</v>
      </c>
    </row>
    <row r="3" spans="1:4" x14ac:dyDescent="0.35">
      <c r="A3" s="14"/>
      <c r="B3" t="s">
        <v>58</v>
      </c>
      <c r="C3" t="s">
        <v>50</v>
      </c>
      <c r="D3" t="s">
        <v>55</v>
      </c>
    </row>
    <row r="4" spans="1:4" x14ac:dyDescent="0.35">
      <c r="B4" t="s">
        <v>69</v>
      </c>
      <c r="C4" t="s">
        <v>68</v>
      </c>
      <c r="D4" t="s">
        <v>68</v>
      </c>
    </row>
    <row r="5" spans="1:4" x14ac:dyDescent="0.35">
      <c r="A5" s="4"/>
      <c r="B5" s="6" t="s">
        <v>70</v>
      </c>
      <c r="C5" t="str">
        <f t="shared" ref="C5:D5" si="0">C1&amp;"_"&amp;C3&amp;"_"&amp;C4</f>
        <v>NH3_AEC_None</v>
      </c>
      <c r="D5" t="str">
        <f t="shared" si="0"/>
        <v>NH3_SOEC_None</v>
      </c>
    </row>
    <row r="6" spans="1:4" x14ac:dyDescent="0.35">
      <c r="A6" s="3">
        <f t="shared" ref="A6:A36" si="1">ROW(B6)-ROW($A$5)</f>
        <v>1</v>
      </c>
      <c r="B6" s="3" t="str">
        <f>Data_base_case!D6</f>
        <v>NH3 plant + ASU with AEC</v>
      </c>
      <c r="C6" s="3">
        <f>IF(AND(C1="NH3",C3="AEC"),1,0)</f>
        <v>1</v>
      </c>
      <c r="D6" s="3">
        <f>IF(AND(D1="NH3",D3="AEC"),1,0)</f>
        <v>0</v>
      </c>
    </row>
    <row r="7" spans="1:4" x14ac:dyDescent="0.35">
      <c r="A7" s="3">
        <f t="shared" si="1"/>
        <v>2</v>
      </c>
      <c r="B7" s="3" t="str">
        <f>Data_base_case!D7</f>
        <v>NH3 plant + ASU with SOEC</v>
      </c>
      <c r="C7" s="3">
        <f>IF(AND(C1="NH3",C3&lt;&gt;"AEC"),1,0)</f>
        <v>0</v>
      </c>
      <c r="D7" s="3">
        <f>IF(AND(D1="NH3",D3&lt;&gt;"AEC"),1,0)</f>
        <v>1</v>
      </c>
    </row>
    <row r="8" spans="1:4" x14ac:dyDescent="0.35">
      <c r="A8" s="3">
        <f t="shared" si="1"/>
        <v>3</v>
      </c>
      <c r="B8" s="3" t="str">
        <f>Data_base_case!D8</f>
        <v>Water supply (desalination plant)</v>
      </c>
      <c r="C8" s="3">
        <v>1</v>
      </c>
      <c r="D8" s="3">
        <v>1</v>
      </c>
    </row>
    <row r="9" spans="1:4" x14ac:dyDescent="0.35">
      <c r="A9" s="3">
        <f t="shared" si="1"/>
        <v>4</v>
      </c>
      <c r="B9" s="3" t="str">
        <f>Data_base_case!D9</f>
        <v>Electrolysers AEC</v>
      </c>
      <c r="C9" s="3">
        <f>IF(C3="AEC",1,0)</f>
        <v>1</v>
      </c>
      <c r="D9" s="3">
        <f>IF(D3="AEC",1,0)</f>
        <v>0</v>
      </c>
    </row>
    <row r="10" spans="1:4" x14ac:dyDescent="0.35">
      <c r="A10" s="3">
        <f t="shared" si="1"/>
        <v>5</v>
      </c>
      <c r="B10" s="3" t="str">
        <f>Data_base_case!D10</f>
        <v>Electrolysers SOEC heat integrated</v>
      </c>
      <c r="C10" s="3">
        <f>IF(AND(C3="SOEC",OR(C1="Bio-eMeOH",C1="NH3")),1,0)</f>
        <v>0</v>
      </c>
      <c r="D10" s="3">
        <f>IF(AND(D3="SOEC",OR(D1="Bio-eMeOH",D1="NH3")),1,0)</f>
        <v>1</v>
      </c>
    </row>
    <row r="11" spans="1:4" x14ac:dyDescent="0.35">
      <c r="A11" s="3">
        <f t="shared" si="1"/>
        <v>6</v>
      </c>
      <c r="B11" s="3" t="str">
        <f>Data_base_case!D11</f>
        <v>H2 pipeline to NH3 plant</v>
      </c>
      <c r="C11" s="3">
        <f>IF(C1 = "NH3",1,0)</f>
        <v>1</v>
      </c>
      <c r="D11" s="3">
        <f>IF(D1 = "NH3",1,0)</f>
        <v>1</v>
      </c>
    </row>
    <row r="12" spans="1:4" x14ac:dyDescent="0.35">
      <c r="A12" s="3">
        <f t="shared" si="1"/>
        <v>7</v>
      </c>
      <c r="B12" s="3" t="str">
        <f>Data_base_case!D13</f>
        <v>Heat from district heating</v>
      </c>
      <c r="C12" s="3">
        <v>1</v>
      </c>
      <c r="D12" s="3">
        <v>1</v>
      </c>
    </row>
    <row r="13" spans="1:4" x14ac:dyDescent="0.35">
      <c r="A13" s="3">
        <f t="shared" si="1"/>
        <v>8</v>
      </c>
      <c r="B13" s="3" t="str">
        <f>Data_base_case!D14</f>
        <v>Heat sent to district heating</v>
      </c>
      <c r="C13" s="3">
        <v>1</v>
      </c>
      <c r="D13" s="3">
        <v>1</v>
      </c>
    </row>
    <row r="14" spans="1:4" x14ac:dyDescent="0.35">
      <c r="A14" s="3">
        <f t="shared" si="1"/>
        <v>9</v>
      </c>
      <c r="B14" s="3" t="str">
        <f>Data_base_case!D12</f>
        <v>Sale of oxygen</v>
      </c>
      <c r="C14" s="3">
        <v>1</v>
      </c>
      <c r="D14" s="3">
        <v>1</v>
      </c>
    </row>
    <row r="15" spans="1:4" x14ac:dyDescent="0.35">
      <c r="A15" s="3">
        <f t="shared" si="1"/>
        <v>10</v>
      </c>
      <c r="B15" s="3" t="str">
        <f>Data_base_case!D15</f>
        <v>H2 storage compressor</v>
      </c>
      <c r="C15" s="3">
        <f t="shared" ref="C15:D15" si="2">C17</f>
        <v>1</v>
      </c>
      <c r="D15" s="3">
        <f t="shared" si="2"/>
        <v>1</v>
      </c>
    </row>
    <row r="16" spans="1:4" x14ac:dyDescent="0.35">
      <c r="A16" s="3">
        <f t="shared" si="1"/>
        <v>11</v>
      </c>
      <c r="B16" s="3" t="str">
        <f>Data_base_case!D16</f>
        <v>H2 storage valve</v>
      </c>
      <c r="C16" s="3">
        <f t="shared" ref="C16:D16" si="3">C17</f>
        <v>1</v>
      </c>
      <c r="D16" s="3">
        <f t="shared" si="3"/>
        <v>1</v>
      </c>
    </row>
    <row r="17" spans="1:4" x14ac:dyDescent="0.35">
      <c r="A17" s="3">
        <f t="shared" si="1"/>
        <v>12</v>
      </c>
      <c r="B17" s="3" t="str">
        <f>Data_base_case!D17</f>
        <v>H2 storage (buried pipes)</v>
      </c>
      <c r="C17" s="3">
        <v>1</v>
      </c>
      <c r="D17" s="3">
        <v>1</v>
      </c>
    </row>
    <row r="18" spans="1:4" x14ac:dyDescent="0.35">
      <c r="A18" s="3">
        <f t="shared" si="1"/>
        <v>13</v>
      </c>
      <c r="B18" s="3" t="str">
        <f>Data_base_case!D18</f>
        <v>Solar fixed</v>
      </c>
      <c r="C18" s="3">
        <v>1</v>
      </c>
      <c r="D18" s="3">
        <v>1</v>
      </c>
    </row>
    <row r="19" spans="1:4" x14ac:dyDescent="0.35">
      <c r="A19" s="3">
        <f>ROW(B19)-ROW($A$5)</f>
        <v>14</v>
      </c>
      <c r="B19" s="3" t="str">
        <f>Data_base_case!D19</f>
        <v>Solar tracking</v>
      </c>
      <c r="C19" s="3">
        <v>1</v>
      </c>
      <c r="D19" s="3">
        <v>1</v>
      </c>
    </row>
    <row r="20" spans="1:4" x14ac:dyDescent="0.35">
      <c r="A20" s="3">
        <f t="shared" si="1"/>
        <v>15</v>
      </c>
      <c r="B20" s="3" t="str">
        <f>Data_base_case!D20</f>
        <v>ON_SP198-HH100</v>
      </c>
      <c r="C20" s="3">
        <v>1</v>
      </c>
      <c r="D20" s="3">
        <v>1</v>
      </c>
    </row>
    <row r="21" spans="1:4" x14ac:dyDescent="0.35">
      <c r="A21" s="3">
        <f t="shared" si="1"/>
        <v>16</v>
      </c>
      <c r="B21" s="3" t="str">
        <f>Data_base_case!D21</f>
        <v>ON_SP198-HH150</v>
      </c>
      <c r="C21" s="3">
        <v>1</v>
      </c>
      <c r="D21" s="3">
        <v>1</v>
      </c>
    </row>
    <row r="22" spans="1:4" x14ac:dyDescent="0.35">
      <c r="A22" s="3">
        <f t="shared" si="1"/>
        <v>17</v>
      </c>
      <c r="B22" s="3" t="str">
        <f>Data_base_case!D22</f>
        <v>ON_SP237-HH100</v>
      </c>
      <c r="C22" s="3">
        <v>1</v>
      </c>
      <c r="D22" s="3">
        <v>1</v>
      </c>
    </row>
    <row r="23" spans="1:4" x14ac:dyDescent="0.35">
      <c r="A23" s="3">
        <f t="shared" si="1"/>
        <v>18</v>
      </c>
      <c r="B23" s="3" t="str">
        <f>Data_base_case!D23</f>
        <v>ON_SP237-HH150</v>
      </c>
      <c r="C23" s="3">
        <v>1</v>
      </c>
      <c r="D23" s="3">
        <v>1</v>
      </c>
    </row>
    <row r="24" spans="1:4" x14ac:dyDescent="0.35">
      <c r="A24" s="3">
        <f t="shared" si="1"/>
        <v>19</v>
      </c>
      <c r="B24" s="3" t="str">
        <f>Data_base_case!D24</f>
        <v>ON_SP277-HH100</v>
      </c>
      <c r="C24" s="3">
        <v>1</v>
      </c>
      <c r="D24" s="3">
        <v>1</v>
      </c>
    </row>
    <row r="25" spans="1:4" x14ac:dyDescent="0.35">
      <c r="A25" s="3">
        <f t="shared" si="1"/>
        <v>20</v>
      </c>
      <c r="B25" s="3" t="str">
        <f>Data_base_case!D25</f>
        <v>ON_SP277-HH150</v>
      </c>
      <c r="C25" s="3">
        <v>1</v>
      </c>
      <c r="D25" s="3">
        <v>1</v>
      </c>
    </row>
    <row r="26" spans="1:4" x14ac:dyDescent="0.35">
      <c r="A26" s="3">
        <f t="shared" si="1"/>
        <v>21</v>
      </c>
      <c r="B26" s="3" t="str">
        <f>Data_base_case!D26</f>
        <v>ON_SP321-HH100</v>
      </c>
      <c r="C26" s="3">
        <v>1</v>
      </c>
      <c r="D26" s="3">
        <v>1</v>
      </c>
    </row>
    <row r="27" spans="1:4" x14ac:dyDescent="0.35">
      <c r="A27" s="3">
        <f t="shared" si="1"/>
        <v>22</v>
      </c>
      <c r="B27" s="3" t="str">
        <f>Data_base_case!D27</f>
        <v>ON_SP321-HH150</v>
      </c>
      <c r="C27" s="3">
        <v>1</v>
      </c>
      <c r="D27" s="3">
        <v>1</v>
      </c>
    </row>
    <row r="28" spans="1:4" x14ac:dyDescent="0.35">
      <c r="A28" s="3">
        <f t="shared" si="1"/>
        <v>23</v>
      </c>
      <c r="B28" s="3" t="str">
        <f>Data_base_case!D28</f>
        <v>OFF_SP379-HH100</v>
      </c>
      <c r="C28" s="3">
        <v>1</v>
      </c>
      <c r="D28" s="3">
        <v>1</v>
      </c>
    </row>
    <row r="29" spans="1:4" x14ac:dyDescent="0.35">
      <c r="A29" s="3">
        <f t="shared" si="1"/>
        <v>24</v>
      </c>
      <c r="B29" s="3" t="str">
        <f>Data_base_case!D29</f>
        <v>OFF_SP379-HH150</v>
      </c>
      <c r="C29" s="3">
        <v>1</v>
      </c>
      <c r="D29" s="3">
        <v>1</v>
      </c>
    </row>
    <row r="30" spans="1:4" x14ac:dyDescent="0.35">
      <c r="A30" s="3">
        <f t="shared" si="1"/>
        <v>25</v>
      </c>
      <c r="B30" s="3" t="str">
        <f>Data_base_case!D30</f>
        <v>OFF_SP450-HH100</v>
      </c>
      <c r="C30" s="3">
        <v>1</v>
      </c>
      <c r="D30" s="3">
        <v>1</v>
      </c>
    </row>
    <row r="31" spans="1:4" x14ac:dyDescent="0.35">
      <c r="A31" s="3">
        <f t="shared" si="1"/>
        <v>26</v>
      </c>
      <c r="B31" s="3" t="str">
        <f>Data_base_case!D31</f>
        <v>OFF_SP450-HH150</v>
      </c>
      <c r="C31" s="3">
        <v>1</v>
      </c>
      <c r="D31" s="3">
        <v>1</v>
      </c>
    </row>
    <row r="32" spans="1:4" x14ac:dyDescent="0.35">
      <c r="A32" s="3">
        <f t="shared" si="1"/>
        <v>27</v>
      </c>
      <c r="B32" s="3" t="str">
        <f>Data_base_case!D32</f>
        <v>Electricity from the grid</v>
      </c>
      <c r="C32" s="3">
        <v>1</v>
      </c>
      <c r="D32" s="3">
        <v>1</v>
      </c>
    </row>
    <row r="33" spans="1:4" x14ac:dyDescent="0.35">
      <c r="A33" s="3">
        <f t="shared" si="1"/>
        <v>28</v>
      </c>
      <c r="B33" s="3" t="str">
        <f>Data_base_case!D33</f>
        <v>Curtailment</v>
      </c>
      <c r="C33" s="3">
        <v>1</v>
      </c>
      <c r="D33" s="3">
        <v>1</v>
      </c>
    </row>
    <row r="34" spans="1:4" x14ac:dyDescent="0.35">
      <c r="A34" s="3">
        <f t="shared" si="1"/>
        <v>29</v>
      </c>
      <c r="B34" s="3" t="str">
        <f>Data_base_case!D34</f>
        <v>Charge batteries</v>
      </c>
      <c r="C34" s="3">
        <f>C36</f>
        <v>1</v>
      </c>
      <c r="D34" s="3">
        <f>D36</f>
        <v>1</v>
      </c>
    </row>
    <row r="35" spans="1:4" x14ac:dyDescent="0.35">
      <c r="A35" s="3">
        <f t="shared" si="1"/>
        <v>30</v>
      </c>
      <c r="B35" s="3" t="str">
        <f>Data_base_case!D35</f>
        <v>Discharge batteries</v>
      </c>
      <c r="C35" s="3">
        <f t="shared" ref="C35:D35" si="4">C36</f>
        <v>1</v>
      </c>
      <c r="D35" s="3">
        <f t="shared" si="4"/>
        <v>1</v>
      </c>
    </row>
    <row r="36" spans="1:4" x14ac:dyDescent="0.35">
      <c r="A36" s="3">
        <f t="shared" si="1"/>
        <v>31</v>
      </c>
      <c r="B36" s="3" t="str">
        <f>Data_base_case!D36</f>
        <v>Batteries</v>
      </c>
      <c r="C36" s="3">
        <v>1</v>
      </c>
      <c r="D36" s="3">
        <v>1</v>
      </c>
    </row>
  </sheetData>
  <conditionalFormatting sqref="C6:D36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0"/>
  <sheetViews>
    <sheetView tabSelected="1" workbookViewId="0">
      <selection activeCell="B22" sqref="B22"/>
    </sheetView>
  </sheetViews>
  <sheetFormatPr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24.726562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12" width="9.54296875" style="1" customWidth="1"/>
    <col min="13" max="14" width="8.7265625" style="1"/>
    <col min="15" max="15" width="0" style="1" hidden="1" customWidth="1"/>
    <col min="16" max="16384" width="8.7265625" style="1"/>
  </cols>
  <sheetData>
    <row r="1" spans="1:8" x14ac:dyDescent="0.35">
      <c r="A1" s="1" t="s">
        <v>102</v>
      </c>
    </row>
    <row r="2" spans="1:8" x14ac:dyDescent="0.35">
      <c r="A2" s="1" t="s">
        <v>131</v>
      </c>
    </row>
    <row r="4" spans="1:8" s="16" customFormat="1" x14ac:dyDescent="0.35">
      <c r="A4" s="32" t="s">
        <v>101</v>
      </c>
      <c r="B4" s="6" t="s">
        <v>79</v>
      </c>
      <c r="C4" s="6" t="s">
        <v>78</v>
      </c>
      <c r="D4" s="6" t="s">
        <v>51</v>
      </c>
      <c r="E4" s="6" t="s">
        <v>77</v>
      </c>
      <c r="F4" s="6" t="s">
        <v>52</v>
      </c>
      <c r="G4" s="16" t="s">
        <v>76</v>
      </c>
      <c r="H4" s="16" t="s">
        <v>53</v>
      </c>
    </row>
    <row r="5" spans="1:8" s="16" customFormat="1" ht="14.5" customHeight="1" x14ac:dyDescent="0.35">
      <c r="A5" s="35"/>
      <c r="B5" s="16" t="s">
        <v>104</v>
      </c>
      <c r="C5" s="16" t="s">
        <v>25</v>
      </c>
      <c r="D5" s="16" t="str">
        <f>Data_base_case!$F$1</f>
        <v>Used (1 or 0)</v>
      </c>
      <c r="E5" s="16" t="s">
        <v>74</v>
      </c>
      <c r="F5" s="16">
        <v>1</v>
      </c>
      <c r="G5" s="36" t="s">
        <v>74</v>
      </c>
      <c r="H5" s="16">
        <f>INDEX(Data_base_case!$D$5:$Z$82,MATCH(Scenarios_definition!C5,Data_base_case!$D$5:$D$82,0),MATCH(Scenarios_definition!D5&amp;Scenarios_definition!G5,Data_base_case!$D$4:$Z$4,0))</f>
        <v>1</v>
      </c>
    </row>
    <row r="6" spans="1:8" s="16" customFormat="1" ht="14.5" customHeight="1" x14ac:dyDescent="0.35">
      <c r="A6" s="35" t="str">
        <f>B5</f>
        <v>Semi-islanded</v>
      </c>
      <c r="B6" s="38" t="s">
        <v>105</v>
      </c>
      <c r="C6" s="38" t="s">
        <v>122</v>
      </c>
      <c r="D6" s="38" t="str">
        <f>Data_base_case!$Q$1</f>
        <v>Load min (% of max capacity)</v>
      </c>
      <c r="E6" s="38" t="s">
        <v>74</v>
      </c>
      <c r="F6" s="38">
        <v>0</v>
      </c>
      <c r="G6" s="39">
        <v>2020</v>
      </c>
      <c r="H6" s="38">
        <f>INDEX(Data_base_case!$D$5:$Z$82,MATCH(Scenarios_definition!C6,Data_base_case!$D$5:$D$82,0),MATCH(Scenarios_definition!D6&amp;Scenarios_definition!G6,Data_base_case!$D$4:$Z$4,0))</f>
        <v>0.4</v>
      </c>
    </row>
    <row r="7" spans="1:8" ht="14.5" customHeight="1" x14ac:dyDescent="0.35">
      <c r="A7" s="21"/>
      <c r="B7" s="1" t="s">
        <v>84</v>
      </c>
      <c r="C7" s="1" t="str">
        <f>Data_base_case!D32</f>
        <v>Electricity from the grid</v>
      </c>
      <c r="D7" s="1" t="str">
        <f>Data_base_case!$F$1</f>
        <v>Used (1 or 0)</v>
      </c>
      <c r="E7" s="1" t="s">
        <v>74</v>
      </c>
      <c r="F7" s="1">
        <v>0</v>
      </c>
      <c r="G7" s="20" t="s">
        <v>74</v>
      </c>
      <c r="H7" s="1">
        <f>INDEX(Data_base_case!$D$5:$Z$82,MATCH(Scenarios_definition!C7,Data_base_case!$D$5:$D$82,0),MATCH(Scenarios_definition!D7&amp;Scenarios_definition!G7,Data_base_case!$D$4:$Z$4,0))</f>
        <v>1</v>
      </c>
    </row>
    <row r="8" spans="1:8" s="30" customFormat="1" ht="14.5" customHeight="1" x14ac:dyDescent="0.35">
      <c r="A8" s="21" t="s">
        <v>84</v>
      </c>
      <c r="B8" s="30" t="s">
        <v>94</v>
      </c>
      <c r="C8" s="30" t="s">
        <v>122</v>
      </c>
      <c r="D8" s="30" t="str">
        <f>Data_base_case!$Q$1</f>
        <v>Load min (% of max capacity)</v>
      </c>
      <c r="E8" s="30" t="s">
        <v>74</v>
      </c>
      <c r="F8" s="30">
        <v>1</v>
      </c>
      <c r="G8" s="31">
        <v>2020</v>
      </c>
      <c r="H8" s="1">
        <f>INDEX(Data_base_case!$D$5:$Z$82,MATCH(Scenarios_definition!C8,Data_base_case!$D$5:$D$82,0),MATCH(Scenarios_definition!D8&amp;Scenarios_definition!G8,Data_base_case!$D$4:$Z$4,0))</f>
        <v>0.4</v>
      </c>
    </row>
    <row r="9" spans="1:8" s="23" customFormat="1" x14ac:dyDescent="0.35">
      <c r="A9" s="22"/>
      <c r="B9" s="23" t="s">
        <v>86</v>
      </c>
      <c r="C9" s="23" t="s">
        <v>122</v>
      </c>
      <c r="D9" s="23" t="str">
        <f>Data_base_case!$Q$1</f>
        <v>Load min (% of max capacity)</v>
      </c>
      <c r="E9" s="23" t="s">
        <v>74</v>
      </c>
      <c r="F9" s="23">
        <v>1</v>
      </c>
      <c r="G9" s="24">
        <v>2020</v>
      </c>
      <c r="H9" s="1">
        <f>INDEX(Data_base_case!$D$5:$Z$82,MATCH(Scenarios_definition!C9,Data_base_case!$D$5:$D$82,0),MATCH(Scenarios_definition!D9&amp;Scenarios_definition!G9,Data_base_case!$D$4:$Z$4,0))</f>
        <v>0.4</v>
      </c>
    </row>
    <row r="10" spans="1:8" s="40" customFormat="1" x14ac:dyDescent="0.35">
      <c r="A10" s="1" t="s">
        <v>84</v>
      </c>
      <c r="B10" s="40" t="s">
        <v>106</v>
      </c>
      <c r="C10" s="40" t="s">
        <v>122</v>
      </c>
      <c r="D10" s="40" t="str">
        <f>Data_base_case!$Q$1</f>
        <v>Load min (% of max capacity)</v>
      </c>
      <c r="E10" s="40" t="s">
        <v>74</v>
      </c>
      <c r="F10" s="40">
        <v>0</v>
      </c>
      <c r="G10" s="41">
        <v>2020</v>
      </c>
      <c r="H10" s="40">
        <f>INDEX(Data_base_case!$D$5:$Z$82,MATCH(Scenarios_definition!C10,Data_base_case!$D$5:$D$82,0),MATCH(Scenarios_definition!D10&amp;Scenarios_definition!G10,Data_base_case!$D$4:$Z$4,0))</f>
        <v>0.4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25"/>
  <sheetViews>
    <sheetView workbookViewId="0">
      <selection activeCell="C28" sqref="C28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14" bestFit="1" customWidth="1"/>
    <col min="4" max="4" width="7.90625" style="14" bestFit="1" customWidth="1"/>
    <col min="5" max="5" width="6.1796875" style="14" bestFit="1" customWidth="1"/>
    <col min="6" max="6" width="11.1796875" style="14" bestFit="1" customWidth="1"/>
    <col min="7" max="7" width="8.81640625" style="14" bestFit="1" customWidth="1"/>
    <col min="8" max="8" width="11.6328125" style="14" customWidth="1"/>
    <col min="9" max="9" width="10.54296875" style="14" bestFit="1" customWidth="1"/>
    <col min="10" max="10" width="18.54296875" bestFit="1" customWidth="1"/>
    <col min="11" max="11" width="17.453125" style="17" bestFit="1" customWidth="1"/>
    <col min="12" max="12" width="11.7265625" bestFit="1" customWidth="1"/>
    <col min="13" max="13" width="8.08984375" bestFit="1" customWidth="1"/>
    <col min="14" max="14" width="19.1796875" bestFit="1" customWidth="1"/>
    <col min="15" max="15" width="13.26953125" bestFit="1" customWidth="1"/>
    <col min="16" max="16" width="15.36328125" style="17" bestFit="1" customWidth="1"/>
    <col min="17" max="17" width="14" bestFit="1" customWidth="1"/>
    <col min="18" max="18" width="12.26953125" customWidth="1"/>
  </cols>
  <sheetData>
    <row r="1" spans="1:19" x14ac:dyDescent="0.35">
      <c r="B1" s="119" t="s">
        <v>81</v>
      </c>
      <c r="C1" s="119"/>
      <c r="D1" s="119"/>
      <c r="E1" s="119"/>
      <c r="F1" s="119"/>
      <c r="G1" s="119"/>
      <c r="H1" s="119"/>
      <c r="I1" s="119"/>
      <c r="J1" s="119"/>
      <c r="K1" s="120"/>
    </row>
    <row r="2" spans="1:19" ht="16.5" customHeight="1" x14ac:dyDescent="0.35">
      <c r="B2" s="121" t="s">
        <v>89</v>
      </c>
      <c r="C2" s="122" t="s">
        <v>80</v>
      </c>
      <c r="D2" s="2" t="s">
        <v>113</v>
      </c>
      <c r="E2" s="2" t="s">
        <v>66</v>
      </c>
      <c r="F2" s="2" t="s">
        <v>68</v>
      </c>
      <c r="G2" s="2">
        <v>2020</v>
      </c>
      <c r="H2" s="121" t="s">
        <v>96</v>
      </c>
      <c r="I2" s="2" t="s">
        <v>50</v>
      </c>
      <c r="J2" s="2" t="s">
        <v>103</v>
      </c>
      <c r="K2" s="50" t="s">
        <v>82</v>
      </c>
    </row>
    <row r="3" spans="1:19" x14ac:dyDescent="0.35">
      <c r="B3" s="121"/>
      <c r="C3" s="122"/>
      <c r="D3" s="2" t="s">
        <v>114</v>
      </c>
      <c r="F3" s="2"/>
      <c r="G3" s="2"/>
      <c r="H3" s="121"/>
      <c r="I3" s="2" t="s">
        <v>55</v>
      </c>
      <c r="J3" s="2"/>
      <c r="K3" s="50"/>
    </row>
    <row r="4" spans="1:19" x14ac:dyDescent="0.35">
      <c r="B4" s="121"/>
      <c r="C4" s="122"/>
      <c r="D4" s="2" t="s">
        <v>111</v>
      </c>
      <c r="E4" s="2"/>
      <c r="G4" s="2"/>
      <c r="H4" s="121"/>
      <c r="I4" s="2"/>
      <c r="J4" s="2"/>
      <c r="K4" s="50"/>
    </row>
    <row r="5" spans="1:19" x14ac:dyDescent="0.35">
      <c r="B5" s="121"/>
      <c r="C5" s="122"/>
      <c r="E5" s="2"/>
      <c r="F5" s="2"/>
      <c r="G5" s="2"/>
      <c r="H5" s="2"/>
      <c r="I5" s="2"/>
      <c r="J5" s="3"/>
      <c r="K5" s="29"/>
      <c r="L5" s="3"/>
      <c r="M5" s="3"/>
      <c r="N5" s="3"/>
      <c r="O5" s="3"/>
      <c r="P5" s="29"/>
      <c r="Q5" s="14" t="s">
        <v>83</v>
      </c>
    </row>
    <row r="6" spans="1:19" x14ac:dyDescent="0.35">
      <c r="J6" s="14"/>
      <c r="K6" s="37"/>
      <c r="L6" s="3"/>
      <c r="M6" s="3"/>
      <c r="N6" s="3"/>
      <c r="O6" s="3"/>
      <c r="P6" s="29"/>
    </row>
    <row r="7" spans="1:19" s="25" customFormat="1" x14ac:dyDescent="0.35">
      <c r="A7" s="25" t="s">
        <v>56</v>
      </c>
      <c r="B7" s="25" t="s">
        <v>88</v>
      </c>
      <c r="C7" s="25" t="s">
        <v>87</v>
      </c>
      <c r="D7" s="25" t="s">
        <v>108</v>
      </c>
      <c r="E7" s="25" t="s">
        <v>57</v>
      </c>
      <c r="F7" s="25" t="s">
        <v>67</v>
      </c>
      <c r="G7" s="25" t="s">
        <v>95</v>
      </c>
      <c r="H7" s="25" t="s">
        <v>60</v>
      </c>
      <c r="I7" s="25" t="s">
        <v>58</v>
      </c>
      <c r="J7" s="25" t="s">
        <v>59</v>
      </c>
      <c r="K7" s="26" t="s">
        <v>61</v>
      </c>
      <c r="L7" s="25" t="s">
        <v>62</v>
      </c>
      <c r="M7" s="25" t="s">
        <v>63</v>
      </c>
      <c r="N7" s="25" t="s">
        <v>64</v>
      </c>
      <c r="O7" s="25" t="s">
        <v>71</v>
      </c>
      <c r="P7" s="26" t="s">
        <v>72</v>
      </c>
      <c r="Q7" s="25" t="s">
        <v>65</v>
      </c>
      <c r="R7" s="25" t="s">
        <v>152</v>
      </c>
      <c r="S7" s="25" t="s">
        <v>153</v>
      </c>
    </row>
    <row r="8" spans="1:19" x14ac:dyDescent="0.35">
      <c r="A8" s="2">
        <f>ROW(A8)-ROW($A$7)</f>
        <v>1</v>
      </c>
      <c r="B8" s="2" t="s">
        <v>124</v>
      </c>
      <c r="C8" s="14" t="s">
        <v>84</v>
      </c>
      <c r="D8" t="s">
        <v>113</v>
      </c>
      <c r="E8" s="14" t="s">
        <v>66</v>
      </c>
      <c r="F8" s="14" t="s">
        <v>68</v>
      </c>
      <c r="G8" s="49">
        <v>2020</v>
      </c>
      <c r="H8" s="14" t="str">
        <f t="shared" ref="H8:H25" si="0">"2019"</f>
        <v>2019</v>
      </c>
      <c r="I8" s="14" t="s">
        <v>50</v>
      </c>
      <c r="J8" t="s">
        <v>109</v>
      </c>
      <c r="K8" s="17" t="s">
        <v>129</v>
      </c>
      <c r="L8" t="b">
        <v>0</v>
      </c>
      <c r="M8" t="b">
        <v>0</v>
      </c>
      <c r="N8" t="b">
        <v>1</v>
      </c>
      <c r="O8" t="b">
        <v>0</v>
      </c>
      <c r="P8" s="17" t="b">
        <v>0</v>
      </c>
      <c r="Q8" t="b">
        <v>1</v>
      </c>
      <c r="R8" t="b">
        <v>1</v>
      </c>
      <c r="S8" t="b">
        <v>1</v>
      </c>
    </row>
    <row r="9" spans="1:19" x14ac:dyDescent="0.35">
      <c r="A9" s="2">
        <f>ROW(A9)-ROW($A$7)</f>
        <v>2</v>
      </c>
      <c r="B9" s="2" t="s">
        <v>124</v>
      </c>
      <c r="C9" s="14" t="s">
        <v>84</v>
      </c>
      <c r="D9" t="s">
        <v>114</v>
      </c>
      <c r="E9" s="14" t="s">
        <v>66</v>
      </c>
      <c r="F9" s="14" t="s">
        <v>68</v>
      </c>
      <c r="G9" s="49">
        <v>2020</v>
      </c>
      <c r="H9" s="14" t="str">
        <f t="shared" si="0"/>
        <v>2019</v>
      </c>
      <c r="I9" s="14" t="s">
        <v>50</v>
      </c>
      <c r="J9" t="s">
        <v>109</v>
      </c>
      <c r="K9" s="17" t="s">
        <v>129</v>
      </c>
      <c r="L9" t="b">
        <v>0</v>
      </c>
      <c r="M9" t="b">
        <v>0</v>
      </c>
      <c r="N9" t="b">
        <v>1</v>
      </c>
      <c r="O9" t="b">
        <v>0</v>
      </c>
      <c r="P9" s="17" t="b">
        <v>0</v>
      </c>
      <c r="Q9" t="b">
        <v>1</v>
      </c>
      <c r="R9" t="b">
        <v>1</v>
      </c>
      <c r="S9" t="b">
        <v>1</v>
      </c>
    </row>
    <row r="10" spans="1:19" x14ac:dyDescent="0.35">
      <c r="A10" s="2">
        <f>ROW(A10)-ROW($A$7)</f>
        <v>3</v>
      </c>
      <c r="B10" s="2" t="s">
        <v>124</v>
      </c>
      <c r="C10" s="14" t="s">
        <v>84</v>
      </c>
      <c r="D10" t="s">
        <v>111</v>
      </c>
      <c r="E10" s="14" t="s">
        <v>66</v>
      </c>
      <c r="F10" s="14" t="s">
        <v>68</v>
      </c>
      <c r="G10" s="49">
        <v>2020</v>
      </c>
      <c r="H10" s="14" t="str">
        <f t="shared" si="0"/>
        <v>2019</v>
      </c>
      <c r="I10" s="14" t="s">
        <v>50</v>
      </c>
      <c r="J10" t="s">
        <v>109</v>
      </c>
      <c r="K10" s="17" t="s">
        <v>129</v>
      </c>
      <c r="L10" t="b">
        <v>0</v>
      </c>
      <c r="M10" t="b">
        <v>0</v>
      </c>
      <c r="N10" t="b">
        <v>1</v>
      </c>
      <c r="O10" t="b">
        <v>0</v>
      </c>
      <c r="P10" s="17" t="b">
        <v>0</v>
      </c>
      <c r="Q10" t="b">
        <v>1</v>
      </c>
      <c r="R10" t="b">
        <v>1</v>
      </c>
      <c r="S10" t="b">
        <v>1</v>
      </c>
    </row>
    <row r="11" spans="1:19" x14ac:dyDescent="0.35">
      <c r="A11" s="2">
        <f t="shared" ref="A11:A16" si="1">ROW(A11)-ROW($A$7)</f>
        <v>4</v>
      </c>
      <c r="B11" s="2" t="s">
        <v>128</v>
      </c>
      <c r="C11" s="14" t="s">
        <v>104</v>
      </c>
      <c r="D11" t="s">
        <v>113</v>
      </c>
      <c r="E11" s="14" t="s">
        <v>66</v>
      </c>
      <c r="F11" s="14" t="s">
        <v>68</v>
      </c>
      <c r="G11" s="49">
        <v>2020</v>
      </c>
      <c r="H11" s="14" t="str">
        <f t="shared" si="0"/>
        <v>2019</v>
      </c>
      <c r="I11" s="14" t="s">
        <v>50</v>
      </c>
      <c r="J11" t="s">
        <v>109</v>
      </c>
      <c r="K11" s="17" t="s">
        <v>129</v>
      </c>
      <c r="L11" t="b">
        <v>0</v>
      </c>
      <c r="M11" t="b">
        <v>0</v>
      </c>
      <c r="N11" t="b">
        <v>1</v>
      </c>
      <c r="O11" t="b">
        <v>0</v>
      </c>
      <c r="P11" s="17" t="b">
        <v>0</v>
      </c>
      <c r="Q11" t="b">
        <v>1</v>
      </c>
      <c r="R11" t="b">
        <v>1</v>
      </c>
      <c r="S11" t="b">
        <v>1</v>
      </c>
    </row>
    <row r="12" spans="1:19" x14ac:dyDescent="0.35">
      <c r="A12" s="2">
        <f t="shared" si="1"/>
        <v>5</v>
      </c>
      <c r="B12" s="2" t="s">
        <v>128</v>
      </c>
      <c r="C12" s="14" t="s">
        <v>104</v>
      </c>
      <c r="D12" t="s">
        <v>114</v>
      </c>
      <c r="E12" s="14" t="s">
        <v>66</v>
      </c>
      <c r="F12" s="14" t="s">
        <v>68</v>
      </c>
      <c r="G12" s="49">
        <v>2020</v>
      </c>
      <c r="H12" s="14" t="str">
        <f t="shared" si="0"/>
        <v>2019</v>
      </c>
      <c r="I12" s="14" t="s">
        <v>50</v>
      </c>
      <c r="J12" t="s">
        <v>109</v>
      </c>
      <c r="K12" s="17" t="s">
        <v>129</v>
      </c>
      <c r="L12" t="b">
        <v>0</v>
      </c>
      <c r="M12" t="b">
        <v>0</v>
      </c>
      <c r="N12" t="b">
        <v>1</v>
      </c>
      <c r="O12" t="b">
        <v>0</v>
      </c>
      <c r="P12" s="17" t="b">
        <v>0</v>
      </c>
      <c r="Q12" t="b">
        <v>1</v>
      </c>
      <c r="R12" t="b">
        <v>1</v>
      </c>
      <c r="S12" t="b">
        <v>1</v>
      </c>
    </row>
    <row r="13" spans="1:19" x14ac:dyDescent="0.35">
      <c r="A13" s="2">
        <f t="shared" si="1"/>
        <v>6</v>
      </c>
      <c r="B13" s="2" t="s">
        <v>128</v>
      </c>
      <c r="C13" s="14" t="s">
        <v>104</v>
      </c>
      <c r="D13" t="s">
        <v>111</v>
      </c>
      <c r="E13" s="14" t="s">
        <v>66</v>
      </c>
      <c r="F13" s="14" t="s">
        <v>68</v>
      </c>
      <c r="G13" s="49">
        <v>2020</v>
      </c>
      <c r="H13" s="14" t="str">
        <f t="shared" si="0"/>
        <v>2019</v>
      </c>
      <c r="I13" s="14" t="s">
        <v>50</v>
      </c>
      <c r="J13" t="s">
        <v>109</v>
      </c>
      <c r="K13" s="17" t="s">
        <v>129</v>
      </c>
      <c r="L13" t="b">
        <v>0</v>
      </c>
      <c r="M13" t="b">
        <v>0</v>
      </c>
      <c r="N13" t="b">
        <v>1</v>
      </c>
      <c r="O13" t="b">
        <v>0</v>
      </c>
      <c r="P13" s="17" t="b">
        <v>0</v>
      </c>
      <c r="Q13" t="b">
        <v>1</v>
      </c>
      <c r="R13" t="b">
        <v>1</v>
      </c>
      <c r="S13" t="b">
        <v>1</v>
      </c>
    </row>
    <row r="14" spans="1:19" x14ac:dyDescent="0.35">
      <c r="A14" s="2">
        <f t="shared" si="1"/>
        <v>7</v>
      </c>
      <c r="B14" s="2" t="s">
        <v>128</v>
      </c>
      <c r="C14" s="14" t="s">
        <v>104</v>
      </c>
      <c r="D14" t="s">
        <v>113</v>
      </c>
      <c r="E14" s="14" t="s">
        <v>66</v>
      </c>
      <c r="F14" s="14" t="s">
        <v>68</v>
      </c>
      <c r="G14" s="49">
        <v>2020</v>
      </c>
      <c r="H14" s="14" t="str">
        <f t="shared" si="0"/>
        <v>2019</v>
      </c>
      <c r="I14" s="14" t="s">
        <v>55</v>
      </c>
      <c r="J14" t="s">
        <v>109</v>
      </c>
      <c r="K14" s="17" t="s">
        <v>129</v>
      </c>
      <c r="L14" t="b">
        <v>0</v>
      </c>
      <c r="M14" t="b">
        <v>0</v>
      </c>
      <c r="N14" t="b">
        <v>1</v>
      </c>
      <c r="O14" t="b">
        <v>0</v>
      </c>
      <c r="P14" s="17" t="b">
        <v>0</v>
      </c>
      <c r="Q14" t="b">
        <v>1</v>
      </c>
      <c r="R14" t="b">
        <v>1</v>
      </c>
      <c r="S14" t="b">
        <v>1</v>
      </c>
    </row>
    <row r="15" spans="1:19" x14ac:dyDescent="0.35">
      <c r="A15" s="2">
        <f t="shared" si="1"/>
        <v>8</v>
      </c>
      <c r="B15" s="2" t="s">
        <v>128</v>
      </c>
      <c r="C15" s="14" t="s">
        <v>104</v>
      </c>
      <c r="D15" t="s">
        <v>114</v>
      </c>
      <c r="E15" s="14" t="s">
        <v>66</v>
      </c>
      <c r="F15" s="14" t="s">
        <v>68</v>
      </c>
      <c r="G15" s="49">
        <v>2020</v>
      </c>
      <c r="H15" s="14" t="str">
        <f t="shared" si="0"/>
        <v>2019</v>
      </c>
      <c r="I15" s="14" t="s">
        <v>55</v>
      </c>
      <c r="J15" t="s">
        <v>109</v>
      </c>
      <c r="K15" s="17" t="s">
        <v>129</v>
      </c>
      <c r="L15" t="b">
        <v>0</v>
      </c>
      <c r="M15" t="b">
        <v>0</v>
      </c>
      <c r="N15" t="b">
        <v>1</v>
      </c>
      <c r="O15" t="b">
        <v>0</v>
      </c>
      <c r="P15" s="17" t="b">
        <v>0</v>
      </c>
      <c r="Q15" t="b">
        <v>1</v>
      </c>
      <c r="R15" t="b">
        <v>1</v>
      </c>
      <c r="S15" t="b">
        <v>1</v>
      </c>
    </row>
    <row r="16" spans="1:19" x14ac:dyDescent="0.35">
      <c r="A16" s="2">
        <f t="shared" si="1"/>
        <v>9</v>
      </c>
      <c r="B16" s="2" t="s">
        <v>128</v>
      </c>
      <c r="C16" s="14" t="s">
        <v>104</v>
      </c>
      <c r="D16" t="s">
        <v>111</v>
      </c>
      <c r="E16" s="14" t="s">
        <v>66</v>
      </c>
      <c r="F16" s="14" t="s">
        <v>68</v>
      </c>
      <c r="G16" s="49">
        <v>2020</v>
      </c>
      <c r="H16" s="14" t="str">
        <f t="shared" si="0"/>
        <v>2019</v>
      </c>
      <c r="I16" s="14" t="s">
        <v>55</v>
      </c>
      <c r="J16" t="s">
        <v>109</v>
      </c>
      <c r="K16" s="17" t="s">
        <v>129</v>
      </c>
      <c r="L16" t="b">
        <v>0</v>
      </c>
      <c r="M16" t="b">
        <v>0</v>
      </c>
      <c r="N16" t="b">
        <v>1</v>
      </c>
      <c r="O16" t="b">
        <v>0</v>
      </c>
      <c r="P16" s="17" t="b">
        <v>0</v>
      </c>
      <c r="Q16" t="b">
        <v>1</v>
      </c>
      <c r="R16" t="b">
        <v>1</v>
      </c>
      <c r="S16" t="b">
        <v>1</v>
      </c>
    </row>
    <row r="17" spans="1:19" x14ac:dyDescent="0.35">
      <c r="A17" s="2">
        <f t="shared" ref="A17:A25" si="2">ROW(A17)-ROW($A$7)</f>
        <v>10</v>
      </c>
      <c r="B17" s="2" t="s">
        <v>125</v>
      </c>
      <c r="C17" s="14" t="s">
        <v>94</v>
      </c>
      <c r="D17" t="s">
        <v>113</v>
      </c>
      <c r="E17" s="14" t="s">
        <v>66</v>
      </c>
      <c r="F17" s="14" t="s">
        <v>68</v>
      </c>
      <c r="G17" s="49">
        <v>2020</v>
      </c>
      <c r="H17" s="14" t="str">
        <f t="shared" si="0"/>
        <v>2019</v>
      </c>
      <c r="I17" s="14" t="s">
        <v>50</v>
      </c>
      <c r="J17" t="s">
        <v>109</v>
      </c>
      <c r="K17" s="17" t="s">
        <v>130</v>
      </c>
      <c r="L17" t="b">
        <v>0</v>
      </c>
      <c r="M17" t="b">
        <v>0</v>
      </c>
      <c r="N17" t="b">
        <v>1</v>
      </c>
      <c r="O17" t="b">
        <v>0</v>
      </c>
      <c r="P17" s="17" t="b">
        <v>0</v>
      </c>
      <c r="Q17" t="b">
        <v>1</v>
      </c>
      <c r="R17" t="b">
        <v>1</v>
      </c>
      <c r="S17" t="b">
        <v>1</v>
      </c>
    </row>
    <row r="18" spans="1:19" x14ac:dyDescent="0.35">
      <c r="A18" s="2">
        <f t="shared" si="2"/>
        <v>11</v>
      </c>
      <c r="B18" s="2" t="s">
        <v>125</v>
      </c>
      <c r="C18" s="14" t="s">
        <v>94</v>
      </c>
      <c r="D18" t="s">
        <v>114</v>
      </c>
      <c r="E18" s="14" t="s">
        <v>66</v>
      </c>
      <c r="F18" s="14" t="s">
        <v>68</v>
      </c>
      <c r="G18" s="49">
        <v>2020</v>
      </c>
      <c r="H18" s="14" t="str">
        <f t="shared" si="0"/>
        <v>2019</v>
      </c>
      <c r="I18" s="14" t="s">
        <v>50</v>
      </c>
      <c r="J18" t="s">
        <v>109</v>
      </c>
      <c r="K18" s="17" t="s">
        <v>130</v>
      </c>
      <c r="L18" t="b">
        <v>0</v>
      </c>
      <c r="M18" t="b">
        <v>0</v>
      </c>
      <c r="N18" t="b">
        <v>1</v>
      </c>
      <c r="O18" t="b">
        <v>0</v>
      </c>
      <c r="P18" s="17" t="b">
        <v>0</v>
      </c>
      <c r="Q18" t="b">
        <v>1</v>
      </c>
      <c r="R18" t="b">
        <v>1</v>
      </c>
      <c r="S18" t="b">
        <v>1</v>
      </c>
    </row>
    <row r="19" spans="1:19" x14ac:dyDescent="0.35">
      <c r="A19" s="2">
        <f t="shared" si="2"/>
        <v>12</v>
      </c>
      <c r="B19" s="2" t="s">
        <v>125</v>
      </c>
      <c r="C19" s="14" t="s">
        <v>94</v>
      </c>
      <c r="D19" t="s">
        <v>111</v>
      </c>
      <c r="E19" s="14" t="s">
        <v>66</v>
      </c>
      <c r="F19" s="14" t="s">
        <v>68</v>
      </c>
      <c r="G19" s="49">
        <v>2020</v>
      </c>
      <c r="H19" s="14" t="str">
        <f t="shared" si="0"/>
        <v>2019</v>
      </c>
      <c r="I19" s="14" t="s">
        <v>50</v>
      </c>
      <c r="J19" t="s">
        <v>109</v>
      </c>
      <c r="K19" s="17" t="s">
        <v>130</v>
      </c>
      <c r="L19" t="b">
        <v>0</v>
      </c>
      <c r="M19" t="b">
        <v>0</v>
      </c>
      <c r="N19" t="b">
        <v>1</v>
      </c>
      <c r="O19" t="b">
        <v>0</v>
      </c>
      <c r="P19" s="17" t="b">
        <v>0</v>
      </c>
      <c r="Q19" t="b">
        <v>1</v>
      </c>
      <c r="R19" t="b">
        <v>1</v>
      </c>
      <c r="S19" t="b">
        <v>1</v>
      </c>
    </row>
    <row r="20" spans="1:19" x14ac:dyDescent="0.35">
      <c r="A20" s="2">
        <f t="shared" si="2"/>
        <v>13</v>
      </c>
      <c r="B20" s="2" t="s">
        <v>126</v>
      </c>
      <c r="C20" s="14" t="s">
        <v>86</v>
      </c>
      <c r="D20" t="s">
        <v>113</v>
      </c>
      <c r="E20" s="14" t="s">
        <v>66</v>
      </c>
      <c r="F20" s="14" t="s">
        <v>68</v>
      </c>
      <c r="G20" s="49">
        <v>2020</v>
      </c>
      <c r="H20" s="14" t="str">
        <f t="shared" si="0"/>
        <v>2019</v>
      </c>
      <c r="I20" s="14" t="s">
        <v>50</v>
      </c>
      <c r="J20" t="s">
        <v>109</v>
      </c>
      <c r="K20" s="17" t="s">
        <v>130</v>
      </c>
      <c r="L20" t="b">
        <v>0</v>
      </c>
      <c r="M20" t="b">
        <v>0</v>
      </c>
      <c r="N20" t="b">
        <v>1</v>
      </c>
      <c r="O20" t="b">
        <v>0</v>
      </c>
      <c r="P20" s="17" t="b">
        <v>0</v>
      </c>
      <c r="Q20" t="b">
        <v>1</v>
      </c>
      <c r="R20" t="b">
        <v>1</v>
      </c>
      <c r="S20" t="b">
        <v>1</v>
      </c>
    </row>
    <row r="21" spans="1:19" x14ac:dyDescent="0.35">
      <c r="A21" s="2">
        <f t="shared" si="2"/>
        <v>14</v>
      </c>
      <c r="B21" s="2" t="s">
        <v>126</v>
      </c>
      <c r="C21" s="14" t="s">
        <v>86</v>
      </c>
      <c r="D21" t="s">
        <v>114</v>
      </c>
      <c r="E21" s="14" t="s">
        <v>66</v>
      </c>
      <c r="F21" s="14" t="s">
        <v>68</v>
      </c>
      <c r="G21" s="49">
        <v>2020</v>
      </c>
      <c r="H21" s="14" t="str">
        <f t="shared" si="0"/>
        <v>2019</v>
      </c>
      <c r="I21" s="14" t="s">
        <v>50</v>
      </c>
      <c r="J21" t="s">
        <v>109</v>
      </c>
      <c r="K21" s="17" t="s">
        <v>130</v>
      </c>
      <c r="L21" t="b">
        <v>0</v>
      </c>
      <c r="M21" t="b">
        <v>0</v>
      </c>
      <c r="N21" t="b">
        <v>1</v>
      </c>
      <c r="O21" t="b">
        <v>0</v>
      </c>
      <c r="P21" s="17" t="b">
        <v>0</v>
      </c>
      <c r="Q21" t="b">
        <v>1</v>
      </c>
      <c r="R21" t="b">
        <v>1</v>
      </c>
      <c r="S21" t="b">
        <v>1</v>
      </c>
    </row>
    <row r="22" spans="1:19" x14ac:dyDescent="0.35">
      <c r="A22" s="2">
        <f t="shared" si="2"/>
        <v>15</v>
      </c>
      <c r="B22" s="2" t="s">
        <v>126</v>
      </c>
      <c r="C22" s="14" t="s">
        <v>86</v>
      </c>
      <c r="D22" t="s">
        <v>111</v>
      </c>
      <c r="E22" s="14" t="s">
        <v>66</v>
      </c>
      <c r="F22" s="14" t="s">
        <v>68</v>
      </c>
      <c r="G22" s="49">
        <v>2020</v>
      </c>
      <c r="H22" s="14" t="str">
        <f t="shared" si="0"/>
        <v>2019</v>
      </c>
      <c r="I22" s="14" t="s">
        <v>50</v>
      </c>
      <c r="J22" t="s">
        <v>109</v>
      </c>
      <c r="K22" s="17" t="s">
        <v>130</v>
      </c>
      <c r="L22" t="b">
        <v>0</v>
      </c>
      <c r="M22" t="b">
        <v>0</v>
      </c>
      <c r="N22" t="b">
        <v>1</v>
      </c>
      <c r="O22" t="b">
        <v>0</v>
      </c>
      <c r="P22" s="17" t="b">
        <v>0</v>
      </c>
      <c r="Q22" t="b">
        <v>1</v>
      </c>
      <c r="R22" t="b">
        <v>1</v>
      </c>
      <c r="S22" t="b">
        <v>1</v>
      </c>
    </row>
    <row r="23" spans="1:19" x14ac:dyDescent="0.35">
      <c r="A23" s="2">
        <f t="shared" si="2"/>
        <v>16</v>
      </c>
      <c r="B23" s="2" t="s">
        <v>127</v>
      </c>
      <c r="C23" s="14" t="s">
        <v>106</v>
      </c>
      <c r="D23" t="s">
        <v>113</v>
      </c>
      <c r="E23" s="14" t="s">
        <v>66</v>
      </c>
      <c r="F23" s="14" t="s">
        <v>68</v>
      </c>
      <c r="G23" s="49">
        <v>2020</v>
      </c>
      <c r="H23" s="14" t="str">
        <f t="shared" si="0"/>
        <v>2019</v>
      </c>
      <c r="I23" s="14" t="s">
        <v>50</v>
      </c>
      <c r="J23" t="s">
        <v>109</v>
      </c>
      <c r="K23" s="17" t="s">
        <v>130</v>
      </c>
      <c r="L23" t="b">
        <v>0</v>
      </c>
      <c r="M23" t="b">
        <v>0</v>
      </c>
      <c r="N23" t="b">
        <v>1</v>
      </c>
      <c r="O23" t="b">
        <v>0</v>
      </c>
      <c r="P23" s="17" t="b">
        <v>0</v>
      </c>
      <c r="Q23" t="b">
        <v>1</v>
      </c>
      <c r="R23" t="b">
        <v>1</v>
      </c>
      <c r="S23" t="b">
        <v>1</v>
      </c>
    </row>
    <row r="24" spans="1:19" x14ac:dyDescent="0.35">
      <c r="A24" s="2">
        <f t="shared" si="2"/>
        <v>17</v>
      </c>
      <c r="B24" s="2" t="s">
        <v>127</v>
      </c>
      <c r="C24" s="14" t="s">
        <v>106</v>
      </c>
      <c r="D24" t="s">
        <v>114</v>
      </c>
      <c r="E24" s="14" t="s">
        <v>66</v>
      </c>
      <c r="F24" s="14" t="s">
        <v>68</v>
      </c>
      <c r="G24" s="49">
        <v>2020</v>
      </c>
      <c r="H24" s="14" t="str">
        <f t="shared" si="0"/>
        <v>2019</v>
      </c>
      <c r="I24" s="14" t="s">
        <v>50</v>
      </c>
      <c r="J24" t="s">
        <v>109</v>
      </c>
      <c r="K24" s="17" t="s">
        <v>130</v>
      </c>
      <c r="L24" t="b">
        <v>0</v>
      </c>
      <c r="M24" t="b">
        <v>0</v>
      </c>
      <c r="N24" t="b">
        <v>1</v>
      </c>
      <c r="O24" t="b">
        <v>0</v>
      </c>
      <c r="P24" s="17" t="b">
        <v>0</v>
      </c>
      <c r="Q24" t="b">
        <v>1</v>
      </c>
      <c r="R24" t="b">
        <v>1</v>
      </c>
      <c r="S24" t="b">
        <v>1</v>
      </c>
    </row>
    <row r="25" spans="1:19" x14ac:dyDescent="0.35">
      <c r="A25" s="2">
        <f t="shared" si="2"/>
        <v>18</v>
      </c>
      <c r="B25" s="2" t="s">
        <v>127</v>
      </c>
      <c r="C25" s="14" t="s">
        <v>106</v>
      </c>
      <c r="D25" t="s">
        <v>111</v>
      </c>
      <c r="E25" s="14" t="s">
        <v>66</v>
      </c>
      <c r="F25" s="14" t="s">
        <v>68</v>
      </c>
      <c r="G25" s="49">
        <v>2020</v>
      </c>
      <c r="H25" s="14" t="str">
        <f t="shared" si="0"/>
        <v>2019</v>
      </c>
      <c r="I25" s="14" t="s">
        <v>50</v>
      </c>
      <c r="J25" t="s">
        <v>109</v>
      </c>
      <c r="K25" s="17" t="s">
        <v>130</v>
      </c>
      <c r="L25" t="b">
        <v>0</v>
      </c>
      <c r="M25" t="b">
        <v>0</v>
      </c>
      <c r="N25" t="b">
        <v>1</v>
      </c>
      <c r="O25" t="b">
        <v>0</v>
      </c>
      <c r="P25" s="17" t="b">
        <v>0</v>
      </c>
      <c r="Q25" t="b">
        <v>1</v>
      </c>
      <c r="R25" t="b">
        <v>1</v>
      </c>
      <c r="S25" t="b">
        <v>1</v>
      </c>
    </row>
  </sheetData>
  <mergeCells count="4">
    <mergeCell ref="B1:K1"/>
    <mergeCell ref="B2:B5"/>
    <mergeCell ref="C2:C5"/>
    <mergeCell ref="H2:H4"/>
  </mergeCells>
  <conditionalFormatting sqref="L8:S25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Data_base_case</vt:lpstr>
      <vt:lpstr>Selected_units</vt:lpstr>
      <vt:lpstr>Scenarios_definition</vt:lpstr>
      <vt:lpstr>ScenariosToRun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2025-11-11T16:55:18Z</dcterms:modified>
</cp:coreProperties>
</file>