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mc:AlternateContent xmlns:mc="http://schemas.openxmlformats.org/markup-compatibility/2006">
    <mc:Choice Requires="x15">
      <x15ac:absPath xmlns:x15ac="http://schemas.microsoft.com/office/spreadsheetml/2010/11/ac" url="C:\Users\njbca\Documents\Models\OptiPlantPtX.jl\data\Bakkafuel\model_inputs\"/>
    </mc:Choice>
  </mc:AlternateContent>
  <bookViews>
    <workbookView xWindow="0" yWindow="0" windowWidth="19200" windowHeight="6180" firstSheet="1" activeTab="4"/>
  </bookViews>
  <sheets>
    <sheet name="Data_base_case" sheetId="79" state="hidden" r:id="rId1"/>
    <sheet name="Data_base_case_Faroe" sheetId="102" r:id="rId2"/>
    <sheet name="Selected_units" sheetId="82" r:id="rId3"/>
    <sheet name="Scenarios_definition" sheetId="80" r:id="rId4"/>
    <sheet name="ScenariosToRun" sheetId="100" r:id="rId5"/>
    <sheet name="Archive" sheetId="103" state="hidden" r:id="rId6"/>
  </sheets>
  <definedNames>
    <definedName name="CEPCI_ref">#REF!</definedName>
    <definedName name="CEPCI2014">#REF!</definedName>
    <definedName name="CEPCI2015">#REF!</definedName>
    <definedName name="DE2014_">#REF!</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02" l="1"/>
  <c r="G10" i="102"/>
  <c r="H10" i="102"/>
  <c r="I10" i="102"/>
  <c r="J10" i="102"/>
  <c r="K10" i="102"/>
  <c r="L10" i="102"/>
  <c r="M10" i="102"/>
  <c r="N10" i="102"/>
  <c r="O10" i="102"/>
  <c r="P10" i="102"/>
  <c r="Q10" i="102"/>
  <c r="R10" i="102"/>
  <c r="S10" i="102"/>
  <c r="T10" i="102"/>
  <c r="U10" i="102"/>
  <c r="V10" i="102"/>
  <c r="W10" i="102"/>
  <c r="X10" i="102"/>
  <c r="Y10" i="102"/>
  <c r="Z10" i="102"/>
  <c r="AA10" i="102"/>
  <c r="AB10" i="102"/>
  <c r="AC10" i="102"/>
  <c r="AD10" i="102"/>
  <c r="AE10" i="102"/>
  <c r="AF10" i="102"/>
  <c r="AG10" i="102"/>
  <c r="AH10" i="102"/>
  <c r="AI10" i="102"/>
  <c r="AJ10" i="102"/>
  <c r="AK10" i="102"/>
  <c r="G9" i="102" l="1"/>
  <c r="H9" i="102"/>
  <c r="G7" i="102"/>
  <c r="H7" i="102"/>
  <c r="I7" i="102"/>
  <c r="J7" i="102"/>
  <c r="K7" i="102"/>
  <c r="L7" i="102"/>
  <c r="M7" i="102"/>
  <c r="N7" i="102"/>
  <c r="O7" i="102"/>
  <c r="P7" i="102"/>
  <c r="Q7" i="102"/>
  <c r="R7" i="102"/>
  <c r="S7" i="102"/>
  <c r="T7" i="102"/>
  <c r="U7" i="102"/>
  <c r="V7" i="102"/>
  <c r="W7" i="102"/>
  <c r="X7" i="102"/>
  <c r="Y7" i="102"/>
  <c r="Z7" i="102"/>
  <c r="AA7" i="102"/>
  <c r="AB7" i="102"/>
  <c r="AC7" i="102"/>
  <c r="AD7" i="102"/>
  <c r="AE7" i="102"/>
  <c r="AF7" i="102"/>
  <c r="AG7" i="102"/>
  <c r="AH7" i="102"/>
  <c r="AI7" i="102"/>
  <c r="AJ7" i="102"/>
  <c r="AK7" i="102"/>
  <c r="F7" i="102"/>
  <c r="A154" i="100" l="1"/>
  <c r="A153" i="100"/>
  <c r="A152" i="100"/>
  <c r="A151" i="100"/>
  <c r="A150" i="100"/>
  <c r="A149" i="100"/>
  <c r="A148" i="100"/>
  <c r="A147" i="100"/>
  <c r="A146" i="100"/>
  <c r="A145" i="100"/>
  <c r="A144" i="100"/>
  <c r="A143" i="100"/>
  <c r="A142" i="100"/>
  <c r="A141" i="100"/>
  <c r="A140" i="100"/>
  <c r="A16" i="100"/>
  <c r="A13" i="100"/>
  <c r="A10" i="100"/>
  <c r="A71" i="100" l="1"/>
  <c r="A72" i="100"/>
  <c r="A73" i="100"/>
  <c r="A74" i="100"/>
  <c r="A75" i="100"/>
  <c r="A76" i="100"/>
  <c r="A77" i="100"/>
  <c r="A78" i="100"/>
  <c r="A79" i="100"/>
  <c r="A80" i="100"/>
  <c r="A81" i="100"/>
  <c r="A82" i="100"/>
  <c r="A83" i="100"/>
  <c r="A84" i="100"/>
  <c r="A85" i="100"/>
  <c r="A139" i="100"/>
  <c r="A138" i="100"/>
  <c r="A137" i="100"/>
  <c r="A136" i="100"/>
  <c r="A135" i="100"/>
  <c r="A134" i="100"/>
  <c r="A133" i="100"/>
  <c r="A132" i="100"/>
  <c r="A131" i="100"/>
  <c r="A130" i="100"/>
  <c r="A129" i="100"/>
  <c r="A128" i="100"/>
  <c r="A127" i="100"/>
  <c r="A126" i="100"/>
  <c r="A125" i="100"/>
  <c r="AA31" i="102" l="1"/>
  <c r="AA30" i="102"/>
  <c r="A124" i="100" l="1"/>
  <c r="A123" i="100"/>
  <c r="A122" i="100"/>
  <c r="A121" i="100"/>
  <c r="A120" i="100"/>
  <c r="A119" i="100"/>
  <c r="A118" i="100"/>
  <c r="A117" i="100"/>
  <c r="A116" i="100"/>
  <c r="A115" i="100"/>
  <c r="A114" i="100"/>
  <c r="A113" i="100"/>
  <c r="A112" i="100"/>
  <c r="A111" i="100"/>
  <c r="A110" i="100"/>
  <c r="A109" i="100"/>
  <c r="A108" i="100"/>
  <c r="A107" i="100"/>
  <c r="A106" i="100"/>
  <c r="A105" i="100"/>
  <c r="A104" i="100"/>
  <c r="A103" i="100"/>
  <c r="A102" i="100"/>
  <c r="A101" i="100"/>
  <c r="A100" i="100"/>
  <c r="A99" i="100"/>
  <c r="A98" i="100"/>
  <c r="A97" i="100"/>
  <c r="A96" i="100"/>
  <c r="A95" i="100"/>
  <c r="A94" i="100"/>
  <c r="A93" i="100"/>
  <c r="A92" i="100"/>
  <c r="A91" i="100"/>
  <c r="A90" i="100"/>
  <c r="A89" i="100"/>
  <c r="A88" i="100"/>
  <c r="A87" i="100"/>
  <c r="A86" i="100"/>
  <c r="C28" i="80" l="1"/>
  <c r="C27" i="80"/>
  <c r="A65" i="100" l="1"/>
  <c r="A66" i="100"/>
  <c r="A67" i="100"/>
  <c r="A68" i="100"/>
  <c r="A69" i="100"/>
  <c r="A70" i="100"/>
  <c r="A64" i="100"/>
  <c r="A63" i="100"/>
  <c r="A61" i="100"/>
  <c r="A62" i="100"/>
  <c r="A58" i="100" l="1"/>
  <c r="A57" i="100"/>
  <c r="A56" i="100"/>
  <c r="A55" i="100"/>
  <c r="A54" i="100"/>
  <c r="A53" i="100"/>
  <c r="A47" i="100"/>
  <c r="A48" i="100"/>
  <c r="A49" i="100"/>
  <c r="A50" i="100"/>
  <c r="A51" i="100"/>
  <c r="A52" i="100"/>
  <c r="A59" i="100"/>
  <c r="D38" i="80"/>
  <c r="C38" i="80"/>
  <c r="D37" i="80"/>
  <c r="C37" i="80"/>
  <c r="D36" i="80"/>
  <c r="C36" i="80"/>
  <c r="D35" i="80"/>
  <c r="C35" i="80"/>
  <c r="D34" i="80"/>
  <c r="C34" i="80"/>
  <c r="D33" i="80"/>
  <c r="C33" i="80"/>
  <c r="A60" i="100"/>
  <c r="A46" i="100"/>
  <c r="A45" i="100"/>
  <c r="A44" i="100"/>
  <c r="A43" i="100"/>
  <c r="A42" i="100"/>
  <c r="A41" i="100"/>
  <c r="A40" i="100"/>
  <c r="A39" i="100"/>
  <c r="A38" i="100"/>
  <c r="A37" i="100"/>
  <c r="C18" i="80"/>
  <c r="C19" i="80"/>
  <c r="C20" i="80"/>
  <c r="C21" i="80"/>
  <c r="C22" i="80"/>
  <c r="A32" i="100"/>
  <c r="A33" i="100"/>
  <c r="A34" i="100"/>
  <c r="A35" i="100"/>
  <c r="A36" i="100"/>
  <c r="A8" i="100"/>
  <c r="A11" i="100"/>
  <c r="A31" i="100"/>
  <c r="A30" i="100"/>
  <c r="A29" i="100"/>
  <c r="A28" i="100"/>
  <c r="A27" i="100"/>
  <c r="A26" i="100"/>
  <c r="A25" i="100"/>
  <c r="A24" i="100"/>
  <c r="A23" i="100"/>
  <c r="A22" i="100"/>
  <c r="A17" i="100"/>
  <c r="A18" i="100"/>
  <c r="A19" i="100"/>
  <c r="A20" i="100"/>
  <c r="A21" i="100"/>
  <c r="J26" i="102"/>
  <c r="AK17" i="102" l="1"/>
  <c r="AE18" i="102" l="1"/>
  <c r="AA35" i="102"/>
  <c r="AA29" i="102"/>
  <c r="AC29" i="102" s="1"/>
  <c r="AA19" i="102"/>
  <c r="AC19" i="102" s="1"/>
  <c r="AA18" i="102"/>
  <c r="AC18" i="102" s="1"/>
  <c r="AA17" i="102"/>
  <c r="AC17" i="102" s="1"/>
  <c r="AA15" i="102"/>
  <c r="AC15" i="102" s="1"/>
  <c r="AA13" i="102"/>
  <c r="AC13" i="102" s="1"/>
  <c r="AA12" i="102"/>
  <c r="O19" i="102"/>
  <c r="P13" i="102"/>
  <c r="P11" i="102"/>
  <c r="A12" i="100"/>
  <c r="A14" i="100"/>
  <c r="A15" i="100"/>
  <c r="A9" i="100"/>
  <c r="D24" i="80" l="1"/>
  <c r="D23" i="80"/>
  <c r="C13" i="80"/>
  <c r="C14" i="80"/>
  <c r="C15" i="80"/>
  <c r="C16" i="80"/>
  <c r="C17" i="80"/>
  <c r="C23" i="80"/>
  <c r="C24" i="80"/>
  <c r="C40" i="80"/>
  <c r="C41" i="80"/>
  <c r="C42" i="80"/>
  <c r="C43" i="80"/>
  <c r="C44" i="80"/>
  <c r="C39" i="80"/>
  <c r="D44" i="80"/>
  <c r="D43" i="80"/>
  <c r="D42" i="80"/>
  <c r="D41" i="80"/>
  <c r="D40" i="80"/>
  <c r="D39" i="80"/>
  <c r="D32" i="80"/>
  <c r="C32" i="80"/>
  <c r="D31" i="80"/>
  <c r="C31" i="80"/>
  <c r="D28" i="80"/>
  <c r="D27" i="80"/>
  <c r="A6" i="82"/>
  <c r="B6" i="82"/>
  <c r="AF12" i="102"/>
  <c r="AD12" i="102"/>
  <c r="AB12" i="102"/>
  <c r="J11" i="102"/>
  <c r="J12" i="102" l="1"/>
  <c r="AC9" i="102"/>
  <c r="AD9" i="102"/>
  <c r="AB9" i="102"/>
  <c r="AA9" i="102"/>
  <c r="X9" i="102"/>
  <c r="W9" i="102"/>
  <c r="C29" i="80"/>
  <c r="D29" i="80" l="1"/>
  <c r="D30" i="80"/>
  <c r="C30" i="80"/>
  <c r="J25" i="102"/>
  <c r="R17" i="102" l="1"/>
  <c r="AB15" i="102" l="1"/>
  <c r="AD13" i="102"/>
  <c r="AB13" i="102"/>
  <c r="AI32" i="102"/>
  <c r="D26" i="80"/>
  <c r="D25" i="80"/>
  <c r="C25" i="80"/>
  <c r="D15" i="80"/>
  <c r="D16" i="80"/>
  <c r="D17" i="80"/>
  <c r="P17" i="102"/>
  <c r="B8" i="82" l="1"/>
  <c r="B9" i="82"/>
  <c r="B10" i="82"/>
  <c r="B11" i="82"/>
  <c r="B12" i="82"/>
  <c r="B13" i="82"/>
  <c r="B14" i="82"/>
  <c r="B15" i="82"/>
  <c r="B16" i="82"/>
  <c r="B17" i="82"/>
  <c r="B18" i="82"/>
  <c r="B19" i="82"/>
  <c r="B20" i="82"/>
  <c r="B21" i="82"/>
  <c r="C26" i="80" s="1"/>
  <c r="B22" i="82"/>
  <c r="B23" i="82"/>
  <c r="B24" i="82"/>
  <c r="B25" i="82"/>
  <c r="B26" i="82"/>
  <c r="B27" i="82"/>
  <c r="B28" i="82"/>
  <c r="B29" i="82"/>
  <c r="B30" i="82"/>
  <c r="B7" i="82"/>
  <c r="A30" i="82"/>
  <c r="P26" i="102"/>
  <c r="J13" i="102"/>
  <c r="E26" i="102" l="1"/>
  <c r="AH24" i="79"/>
  <c r="E7" i="82" l="1"/>
  <c r="P16" i="102" l="1"/>
  <c r="D7" i="82" l="1"/>
  <c r="A8" i="82"/>
  <c r="A9" i="82"/>
  <c r="A10" i="82"/>
  <c r="A11" i="82"/>
  <c r="A12" i="82"/>
  <c r="A13" i="82"/>
  <c r="A14" i="82"/>
  <c r="A15" i="82"/>
  <c r="A16" i="82"/>
  <c r="A17" i="82"/>
  <c r="A18" i="82"/>
  <c r="A19" i="82"/>
  <c r="A20" i="82"/>
  <c r="A21" i="82"/>
  <c r="A22" i="82"/>
  <c r="A23" i="82"/>
  <c r="A24" i="82"/>
  <c r="A25" i="82"/>
  <c r="A26" i="82"/>
  <c r="A27" i="82"/>
  <c r="A28" i="82"/>
  <c r="A29" i="82"/>
  <c r="E14" i="102"/>
  <c r="E15" i="102"/>
  <c r="E16" i="102"/>
  <c r="E17" i="102"/>
  <c r="E18" i="102"/>
  <c r="E19" i="102"/>
  <c r="E20" i="102"/>
  <c r="E21" i="102"/>
  <c r="E22" i="102"/>
  <c r="E23" i="102"/>
  <c r="E24" i="102"/>
  <c r="E25" i="102"/>
  <c r="E27" i="102"/>
  <c r="E28" i="102"/>
  <c r="E29" i="102"/>
  <c r="E30" i="102"/>
  <c r="E31" i="102"/>
  <c r="E32" i="102"/>
  <c r="E33" i="102"/>
  <c r="E34" i="102"/>
  <c r="E35" i="102"/>
  <c r="O11" i="79"/>
  <c r="O10" i="79"/>
  <c r="J17" i="102"/>
  <c r="J16" i="102"/>
  <c r="AC11" i="79"/>
  <c r="AB11" i="79"/>
  <c r="Q10" i="79"/>
  <c r="P10" i="79"/>
  <c r="I11" i="79"/>
  <c r="E17" i="79"/>
  <c r="E11" i="79"/>
  <c r="I10" i="79"/>
  <c r="E10" i="79"/>
  <c r="E8" i="79" l="1"/>
  <c r="E9" i="79"/>
  <c r="N21" i="102" l="1"/>
  <c r="N22" i="102" s="1"/>
  <c r="N20" i="102"/>
  <c r="AB35" i="102" l="1"/>
  <c r="AB29" i="102"/>
  <c r="AB18" i="102"/>
  <c r="AB19" i="102"/>
  <c r="AL19" i="102"/>
  <c r="P19" i="102"/>
  <c r="J19" i="102"/>
  <c r="Z18" i="102"/>
  <c r="Y18" i="102"/>
  <c r="AL15" i="102"/>
  <c r="AL17" i="102" s="1"/>
  <c r="J15" i="102"/>
  <c r="J14" i="102"/>
  <c r="E13" i="102"/>
  <c r="E12" i="102"/>
  <c r="AL10" i="102"/>
  <c r="F10" i="102"/>
  <c r="AL9" i="102"/>
  <c r="AK9" i="102"/>
  <c r="AJ9" i="102"/>
  <c r="AI9" i="102"/>
  <c r="AH9" i="102"/>
  <c r="AG9" i="102"/>
  <c r="AF9" i="102"/>
  <c r="AE9" i="102"/>
  <c r="Z9" i="102"/>
  <c r="Y9" i="102"/>
  <c r="V9" i="102"/>
  <c r="U9" i="102"/>
  <c r="T9" i="102"/>
  <c r="S9" i="102"/>
  <c r="R9" i="102"/>
  <c r="Q9" i="102"/>
  <c r="P9" i="102"/>
  <c r="O9" i="102"/>
  <c r="N9" i="102"/>
  <c r="M9" i="102"/>
  <c r="L9" i="102"/>
  <c r="K9" i="102"/>
  <c r="J9" i="102"/>
  <c r="I9" i="102"/>
  <c r="F9" i="102"/>
  <c r="H8" i="79"/>
  <c r="H9" i="79" l="1"/>
  <c r="H10" i="79"/>
  <c r="H11" i="79" s="1"/>
  <c r="H22" i="80"/>
  <c r="H18" i="80"/>
  <c r="H21" i="80"/>
  <c r="H19" i="80"/>
  <c r="H36" i="80"/>
  <c r="H35" i="80"/>
  <c r="H38" i="80"/>
  <c r="H20" i="80"/>
  <c r="H34" i="80"/>
  <c r="H33" i="80"/>
  <c r="H37" i="80"/>
  <c r="H7" i="80"/>
  <c r="H13" i="80"/>
  <c r="H42" i="80"/>
  <c r="H23" i="80"/>
  <c r="F23" i="80" s="1"/>
  <c r="H40" i="80"/>
  <c r="H31" i="80"/>
  <c r="F31" i="80" s="1"/>
  <c r="H41" i="80"/>
  <c r="H32" i="80"/>
  <c r="F32" i="80" s="1"/>
  <c r="H24" i="80"/>
  <c r="F24" i="80" s="1"/>
  <c r="H27" i="80"/>
  <c r="F27" i="80" s="1"/>
  <c r="H39" i="80"/>
  <c r="H28" i="80"/>
  <c r="F28" i="80" s="1"/>
  <c r="H44" i="80"/>
  <c r="H43" i="80"/>
  <c r="H5" i="80"/>
  <c r="H14" i="80"/>
  <c r="H6" i="80"/>
  <c r="H10" i="80"/>
  <c r="H9" i="80"/>
  <c r="H11" i="80"/>
  <c r="H8" i="80"/>
  <c r="H12" i="80"/>
  <c r="H29" i="80"/>
  <c r="F29" i="80" s="1"/>
  <c r="H30" i="80"/>
  <c r="F30" i="80" s="1"/>
  <c r="H15" i="80"/>
  <c r="H25" i="80"/>
  <c r="H17" i="80"/>
  <c r="H16" i="80"/>
  <c r="H26" i="80"/>
  <c r="E25" i="79"/>
  <c r="H7" i="79" l="1"/>
  <c r="AK14" i="79" l="1"/>
  <c r="AK13" i="79"/>
  <c r="AK9" i="79"/>
  <c r="AK11" i="79" s="1"/>
  <c r="AK5" i="79"/>
  <c r="AK4" i="79"/>
  <c r="AI5" i="79"/>
  <c r="AI4" i="79"/>
  <c r="AG5" i="79"/>
  <c r="AG4" i="79"/>
  <c r="AE5" i="79"/>
  <c r="AE4" i="79"/>
  <c r="AC29" i="79"/>
  <c r="AC23" i="79"/>
  <c r="AC14" i="79"/>
  <c r="AC13" i="79"/>
  <c r="AC12" i="79"/>
  <c r="AC7" i="79"/>
  <c r="AC5" i="79"/>
  <c r="AC4" i="79"/>
  <c r="AA9" i="79"/>
  <c r="Y12" i="79"/>
  <c r="Y5" i="79"/>
  <c r="Y4" i="79"/>
  <c r="W5" i="79"/>
  <c r="W4" i="79"/>
  <c r="U5" i="79"/>
  <c r="U4" i="79"/>
  <c r="S5" i="79"/>
  <c r="S4" i="79"/>
  <c r="Q5" i="79"/>
  <c r="Q4" i="79"/>
  <c r="O14" i="79"/>
  <c r="O13" i="79"/>
  <c r="O5" i="79"/>
  <c r="O4" i="79"/>
  <c r="AB12" i="79"/>
  <c r="X12" i="79"/>
  <c r="E12" i="79"/>
  <c r="AC9" i="79" l="1"/>
  <c r="I8" i="79"/>
  <c r="I9" i="79"/>
  <c r="I7" i="79"/>
  <c r="I6" i="79" l="1"/>
  <c r="AJ9" i="79"/>
  <c r="AJ11" i="79" s="1"/>
  <c r="Z9" i="79"/>
  <c r="AB7" i="79"/>
  <c r="E7" i="79"/>
  <c r="E6" i="79"/>
  <c r="AB9" i="79" l="1"/>
  <c r="E16" i="79" l="1"/>
  <c r="E18" i="79"/>
  <c r="E19" i="79"/>
  <c r="E20" i="79"/>
  <c r="E21" i="79"/>
  <c r="AB29" i="79" l="1"/>
  <c r="AB23" i="79"/>
  <c r="AB14" i="79"/>
  <c r="AB13" i="79"/>
  <c r="AJ14" i="79"/>
  <c r="AJ13" i="79"/>
  <c r="AJ5" i="79"/>
  <c r="AJ4" i="79"/>
  <c r="AH5" i="79"/>
  <c r="AH4" i="79"/>
  <c r="AF5" i="79"/>
  <c r="AF4" i="79"/>
  <c r="AD5" i="79"/>
  <c r="AD4" i="79"/>
  <c r="AB5" i="79"/>
  <c r="AB4" i="79"/>
  <c r="X5" i="79"/>
  <c r="X4" i="79"/>
  <c r="V5" i="79"/>
  <c r="V4" i="79"/>
  <c r="T5" i="79"/>
  <c r="T4" i="79"/>
  <c r="R5" i="79"/>
  <c r="R4" i="79"/>
  <c r="P5" i="79"/>
  <c r="P4" i="79"/>
  <c r="N14" i="79"/>
  <c r="N13" i="79"/>
  <c r="N5" i="79"/>
  <c r="N4" i="79"/>
  <c r="C10" i="82" l="1"/>
  <c r="C9" i="82"/>
  <c r="C8" i="82"/>
  <c r="C7" i="82"/>
  <c r="J4" i="79"/>
  <c r="K4" i="79"/>
  <c r="L4" i="79"/>
  <c r="M4" i="79"/>
  <c r="I14" i="79"/>
  <c r="A7" i="82"/>
  <c r="H4" i="79"/>
  <c r="I4" i="79"/>
  <c r="F4" i="79"/>
  <c r="E29" i="79"/>
  <c r="E28" i="79"/>
  <c r="E27" i="79"/>
  <c r="E26" i="79"/>
  <c r="E24" i="79"/>
  <c r="E23" i="79"/>
  <c r="E22" i="79"/>
  <c r="I20" i="79"/>
  <c r="M16" i="79"/>
  <c r="M15" i="79"/>
  <c r="E15" i="79"/>
  <c r="M14" i="79"/>
  <c r="M17" i="79" s="1"/>
  <c r="E14" i="79"/>
  <c r="I13" i="79"/>
  <c r="E13" i="79"/>
  <c r="L5" i="79"/>
  <c r="M5" i="79"/>
  <c r="K5" i="79"/>
  <c r="J5" i="79"/>
  <c r="I5" i="79"/>
  <c r="H5" i="79"/>
  <c r="G5" i="79"/>
  <c r="F5" i="79"/>
  <c r="G2" i="79"/>
  <c r="C5" i="82"/>
  <c r="G4" i="79" l="1"/>
  <c r="AJ14" i="102" l="1"/>
  <c r="AJ16" i="102"/>
  <c r="AI16" i="102"/>
  <c r="AI14" i="102"/>
  <c r="AJ11" i="102"/>
  <c r="I14" i="102" l="1"/>
  <c r="I15" i="102" s="1"/>
  <c r="I13" i="102"/>
  <c r="O26" i="102" s="1"/>
  <c r="I16" i="102"/>
  <c r="I17" i="102" s="1"/>
</calcChain>
</file>

<file path=xl/comments1.xml><?xml version="1.0" encoding="utf-8"?>
<comments xmlns="http://schemas.openxmlformats.org/spreadsheetml/2006/main">
  <authors>
    <author>tc={14B61A46-F606-4C5A-B354-961E5172B10B}</author>
    <author>tc={E4A25B39-1777-481C-9F49-5180803C18B5}</author>
    <author>tc={3D53DB1B-C858-4F42-8C88-8BC052E04801}</author>
    <author>tc={56DE3886-D4ED-4817-AD46-64DC0DB685CB}</author>
    <author>tc={9D65FED0-3660-4ABB-B5B1-1C8F7AC45981}</author>
    <author>tc={85AC4599-5434-4FC8-BD81-C3A949995275}</author>
    <author>tc={2935E0CC-D4C2-496F-B2D9-6CBF52E0F4EB}</author>
    <author>tc={72AB55EE-379B-4727-8004-E33F2BB94FB5}</author>
    <author>tc={9C20FEC5-44D2-42EC-8508-D5F79E60564F}</author>
    <author>tc={2D6F7ABF-9FB1-4756-9315-B99A936A6E5C}</author>
    <author>tc={786FC323-C6EA-457C-887D-9552BC552ACF}</author>
    <author>tc={F6E63EF5-609B-4C47-B7C3-0DF5A48D090F}</author>
    <author>tc={8B0EC82A-93E3-4B1A-9027-044E47C4D33E}</author>
    <author>tc={20D56C4D-3FA8-400F-9B5B-5F26C8160D51}</author>
    <author>tc={E12C8E33-D855-4D4F-A40A-98E73957E7E9}</author>
    <author>tc={C5BC4EBF-DE3B-4E81-BD3D-43FF93EB820C}</author>
    <author>tc={FE9B6973-A273-4231-843D-E43FCA162B14}</author>
    <author>tc={1C73CBA8-A76D-4453-A975-B65AEAE540CB}</author>
    <author>tc={569ADB99-58A1-4874-B895-83E6129CF009}</author>
    <author>tc={107D474B-A1A2-488D-9412-8F2B7F40ACC6}</author>
    <author>tc={B0AC3E4E-D806-4115-B022-82F1322B2A8A}</author>
    <author>tc={1DCD20DD-50FC-4F63-B669-D925FF3E810A}</author>
    <author>tc={0B06894E-AF1A-44B4-9792-0BAA9668A189}</author>
    <author>tc={541DD2D1-4189-4EB5-B7B6-AA07FF323D9C}</author>
    <author>tc={5FDF220D-9157-4207-BB34-FA3FFA00D64C}</author>
    <author>tc={4510F407-8125-4C83-847E-FBBB62CB1D8E}</author>
    <author>tc={9D76AA60-C954-45E8-A70D-AEC754F32896}</author>
    <author>tc={886FE4ED-8E24-4582-9E65-D66B732485B9}</author>
    <author>tc={18F380C3-1DAD-4394-BCF2-9B370DF6E336}</author>
    <author>tc={4C430C42-B95D-4EF1-8F0F-D420DBC8FA8C}</author>
    <author>tc={3289F306-0B79-4275-84EA-24F25DB4EF59}</author>
    <author>tc={596F6124-2FA8-4F80-9CCD-3832CE06B7F5}</author>
    <author>tc={6A6D5B60-0109-4AFA-8CA0-907786D475BA}</author>
    <author>tc={A7C4F404-EAE4-473B-BC41-F4C2A95DE3E0}</author>
    <author>tc={B397956B-AAC9-4520-B798-EC977C442B0C}</author>
    <author>tc={3830C344-3506-4DC6-9C44-E48EFE42C7E4}</author>
    <author>tc={4AACD79F-873A-472B-81CE-4D5307EA5BA4}</author>
    <author>tc={C59E2C00-3B79-457A-A125-B8815CAA52B4}</author>
    <author>tc={BC9ADD02-6F3A-4ADF-B5CF-57E49D765935}</author>
    <author>tc={3485886E-9446-458E-9758-55951DF2E684}</author>
    <author>tc={B721181A-402E-4E85-A116-D7BA45071965}</author>
    <author>tc={51EE8B91-E79A-4786-88A9-66D2279D3D5A}</author>
    <author>tc={5AF278AF-7F3D-4600-8FB6-52033DB31797}</author>
    <author>tc={6806F2D1-3B16-4496-94EB-BC6FD6807828}</author>
    <author>tc={1C9BEA79-4DFD-4D08-9915-9A7F32C5219E}</author>
    <author>tc={C7AED259-C703-4B0E-8200-AB1796438909}</author>
    <author>tc={8DC6CB2B-CB77-459B-9439-B3A1A70B7DBA}</author>
    <author>tc={F9008E40-C2A0-4345-A899-AD5DFE0E9B4D}</author>
    <author>tc={F1F61704-EB23-44BE-8368-B1426BA78BBC}</author>
    <author>tc={5701D487-1A34-44D8-83F1-093CF798787F}</author>
    <author>tc={E9DE215C-F259-453F-BB0C-DAF5A3CE2FEA}</author>
    <author>tc={76FBE15D-FF61-468A-B2FC-8CF0F8C3B212}</author>
    <author>tc={4EE3358A-AB68-4086-B138-4F300B81EE25}</author>
    <author>tc={4CCC3222-C160-481E-96C0-324E47AF11D3}</author>
    <author>tc={D041966B-70DF-4AC6-BE38-80690D9E40FA}</author>
    <author>tc={575C6D73-5B58-470B-BA81-F5C55F4593AE}</author>
    <author>tc={F14956E6-28A3-4E66-81AD-6950F0BD4EF5}</author>
    <author>tc={722A8722-9B59-4CB1-B993-2A06B492E7A5}</author>
    <author>tc={87D82D9B-1716-4836-B38B-14088452BA29}</author>
    <author>tc={443D0C44-3992-4962-8B8D-2A8E1F9F9C2C}</author>
    <author>tc={52955559-054A-4F63-B80E-738D4833FFD9}</author>
    <author>tc={109CA558-CA45-44FD-9012-C746779899D6}</author>
    <author>tc={D98019C4-7FBE-4FB1-A82F-09C011550935}</author>
    <author>tc={2035F88F-E22A-4748-AF15-59B9B5DC2DF8}</author>
    <author>tc={0BA56FD4-0BCC-48C1-B621-61BCA6E3177C}</author>
    <author>tc={3FC4CB2A-6619-424C-94AB-6F2E79A8AE3F}</author>
    <author>tc={E505E69D-4FA3-4913-9E09-8F6FA80D7880}</author>
    <author>tc={78566968-782F-4B90-BE90-2910E6823E5F}</author>
    <author>tc={71FAA05C-5F87-4F2A-8013-DB402D95FDE4}</author>
    <author>tc={946456BE-EE82-4EFE-BF97-1B283801F9A4}</author>
    <author>tc={AC85DFE0-3925-4967-AC9D-4467D6A30F4A}</author>
    <author>tc={E7849A66-9704-485C-B90B-42D5F4CFC46B}</author>
    <author>tc={80BA9B1E-1108-45A9-970C-016E2014E3BF}</author>
    <author>tc={9A1BE2ED-BAE6-4753-904E-1CCC0F3BD31F}</author>
    <author>tc={0B50667F-EB30-4E4A-883D-C0A000E6621A}</author>
    <author>tc={4AB9474A-3EA7-4065-9EC3-C8FD9AAF73C0}</author>
    <author>tc={0B678A0D-B475-4A19-99AD-E3A69110B679}</author>
    <author>tc={EEB7A8EE-A35A-4C69-9EAB-E094DA426498}</author>
    <author>tc={4F3A7654-AE95-449C-B2BD-065A43680F19}</author>
    <author>tc={B2FD44F6-9FE0-4771-A5AF-32113C6BE064}</author>
    <author>tc={3B6D94B3-8D36-49E1-8D78-873C3481AD11}</author>
    <author>tc={3032D17E-5EBB-406F-AA4E-E78881549BDC}</author>
    <author>tc={61D9D00A-47C1-472D-A465-E9C4B3FEF10B}</author>
    <author>tc={B58644AE-DE44-48EA-BB45-4EC4018769D9}</author>
    <author>tc={D19A3515-E418-4E6B-A3D3-85CD0043CDB4}</author>
    <author>tc={3B540E48-598F-4BF9-90BE-16324DA75C3E}</author>
    <author>tc={E936B667-61B9-4B55-A45B-C057D7FE5512}</author>
    <author>tc={CABFD729-553D-4AE1-A394-DFD6A346B769}</author>
    <author>tc={A9F5922F-581B-4AA7-8DF4-2B3F9A9E2198}</author>
    <author>tc={C20DD12D-F9D9-40D0-934A-D0657495D64F}</author>
    <author>tc={4331FEB0-7462-4450-8FBF-EF8B2211ABDA}</author>
    <author>tc={1E8A1224-519C-4A6B-8508-E12B233765B7}</author>
    <author>tc={E0E767FC-BC3E-423D-BF74-F0EBBDAEFE3F}</author>
    <author>tc={8199FB36-B13E-4601-80F3-B976216B283C}</author>
    <author>tc={0322B576-EE8B-48E4-B937-7A77B349E2DE}</author>
    <author>tc={ABDBC9EE-7875-46F9-B997-38DCF3C45182}</author>
  </authors>
  <commentList>
    <comment ref="F1"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Does this column is connected to other cells? Or just manually to keep a better overview? </t>
        </r>
      </text>
    </comment>
    <comment ref="N6" authorId="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 Bornholm report
Reply:
    Stoichiometrically defined with 100% conversion of carbon and gases</t>
        </r>
      </text>
    </comment>
    <comment ref="O6" authorId="2"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 Bornholm report
Reply:
    Stoichiometrically defined with 100% conversion of carbon and gases</t>
        </r>
      </text>
    </comment>
    <comment ref="AH6" authorId="3"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Estimate from MMZCS2023, on the high bound for CO2 extracted from a biogas plant</t>
        </r>
      </text>
    </comment>
    <comment ref="AI6" authorId="4"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Estimate from MMZCS2023, on the high bound for CO2 extracted from a biogas plant</t>
        </r>
      </text>
    </comment>
    <comment ref="N7" authorId="5"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 Bornholm report
Reply:
    Stoichiometrically defined with 100% conversion of carbon and gases</t>
        </r>
      </text>
    </comment>
    <comment ref="O7" authorId="6"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 Bornholm report</t>
        </r>
      </text>
    </comment>
    <comment ref="P7" authorId="7"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Q7" authorId="8"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R7" authorId="9"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S7" authorId="1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T7" authorId="1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Assumed to be similar to an ammonia plant. Ramp rate for an ammonia plant is from Armijo2020</t>
        </r>
      </text>
    </comment>
    <comment ref="U7" authorId="12"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V7" authorId="13"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Assumed to be similar to an ammonia plant. Ramp rate for an ammonia plant is from Armijo2020</t>
        </r>
      </text>
    </comment>
    <comment ref="W7" authorId="14"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X7" authorId="15"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Y7" authorId="16"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Z7" authorId="17"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Adjust sources in the end!</t>
        </r>
      </text>
    </comment>
    <comment ref="AA7" authorId="18"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B7" authorId="19"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t>
        </r>
      </text>
    </comment>
    <comment ref="AC7" authorId="2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t>
        </r>
      </text>
    </comment>
    <comment ref="AK7" authorId="2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N8" authorId="22"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Inverse of 1.17</t>
        </r>
      </text>
    </comment>
    <comment ref="O8" authorId="23"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AH8" authorId="24"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Bakkafuel project: Set to 0 since fuel plant owner is the Biogas plant owner </t>
        </r>
      </text>
    </comment>
    <comment ref="AI8" authorId="25"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Bakkafuel project: Set to 0 since fuel plant owner is the Biogas plant owner </t>
        </r>
      </text>
    </comment>
    <comment ref="N9" authorId="26"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O9" authorId="27"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P9" authorId="28"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Q9" authorId="29"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R9" authorId="3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S9" authorId="31"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T9" authorId="32"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Assumed to be similar to an ammonia plant. Ramp rate for an ammonia plant is from Armijo2020</t>
        </r>
      </text>
    </comment>
    <comment ref="U9" authorId="33"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V9" authorId="34"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Assumed to be similar to an ammonia plant. Ramp rate for an ammonia plant is from Armijo2020</t>
        </r>
      </text>
    </comment>
    <comment ref="W9" authorId="35"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X9" authorId="36"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Z9" authorId="37"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A9" authorId="38"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B9" authorId="39"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of capital investment based on MMZCS2023/ Bornholm report</t>
        </r>
      </text>
    </comment>
    <comment ref="AC9" authorId="4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t>
        </r>
      </text>
    </comment>
    <comment ref="AK9" authorId="4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X12" authorId="42"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WP1 Bornholm study 
Reply:
    WWTP 
Reply:
    Minor impact</t>
        </r>
      </text>
    </comment>
    <comment ref="Y12" authorId="43"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WP1 Bornholm study 
Reply:
    Minor impact</t>
        </r>
      </text>
    </comment>
    <comment ref="Z12" authorId="44"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WP1 Bornholm study 
</t>
        </r>
      </text>
    </comment>
    <comment ref="AA12" authorId="45"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WP1 Bornholm study using the 2025 benchmark value 
</t>
        </r>
      </text>
    </comment>
    <comment ref="AB12" authorId="46"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3% Capex based on Bornholm WP1
</t>
        </r>
      </text>
    </comment>
    <comment ref="AC12" authorId="47"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3% Capex based on Bornholm WP1
</t>
        </r>
      </text>
    </comment>
    <comment ref="AH12" authorId="48"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Bakkafuel project: Set to 0 since on the Faroe Islands freshwater is free resource</t>
        </r>
      </text>
    </comment>
    <comment ref="AI12" authorId="49"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Bakkafuel project: Set to 0 since on the Faroe Islands freshwater is free resource</t>
        </r>
      </text>
    </comment>
    <comment ref="N13" authorId="5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Consumption of non-purified water assuming a purification efficieny of 80% based on BhmWP12023. Conversion of purified water to hydrogen is stoechiometric (9 kg of water consumed per kg of hydrogen).</t>
        </r>
      </text>
    </comment>
    <comment ref="O13" authorId="5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Consumption of non-purified water assuming a purification efficieny of 80% based on BhmWP12023. Conversion of purified water to hydrogen is stoechiometric (9 kg of water consumed per kg of hydrogen).</t>
        </r>
      </text>
    </comment>
    <comment ref="Q13" authorId="52"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 Bornholm report</t>
        </r>
      </text>
    </comment>
    <comment ref="X13" authorId="53"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From Campion2023</t>
        </r>
      </text>
    </comment>
    <comment ref="Y13" authorId="54"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 Bornholm report</t>
        </r>
      </text>
    </comment>
    <comment ref="Z13" authorId="55"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A13" authorId="56"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Using 10% of CAPEX based on MMZCS2023/ Bornholm report
</t>
        </r>
      </text>
    </comment>
    <comment ref="AB13" authorId="57"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Using 10% Capex based on MMZCS2023</t>
        </r>
      </text>
    </comment>
    <comment ref="AC13" authorId="58"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Using 10% Capex based on MMZCS2023</t>
        </r>
      </text>
    </comment>
    <comment ref="AK13" authorId="59"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25 years lifetime assumed based on Technology Data-Energy Plants for Electricity and District heating generation, Tech rep. (2020)/ Bornholm report
</t>
        </r>
      </text>
    </comment>
    <comment ref="N14" authorId="6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Consumption of non-purified water assuming a purification efficieny of 80% based on BhmWP12023. Conversion of purified water to hydrogen is stoechiometric (9 kg of water consumed per kg of hydrogen).</t>
        </r>
      </text>
    </comment>
    <comment ref="O14" authorId="6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Consumption of non-purified water assuming a purification efficieny of 80% based on BhmWP12023. Conversion of purified water to hydrogen is stoechiometric (9 kg of water consumed per kg of hydrogen).</t>
        </r>
      </text>
    </comment>
    <comment ref="X14" authorId="62"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From Campion2023</t>
        </r>
      </text>
    </comment>
    <comment ref="Y14" authorId="63"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From Campion2023</t>
        </r>
      </text>
    </comment>
    <comment ref="AB14" authorId="64"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8.55% Capex based on NREL2020</t>
        </r>
      </text>
    </comment>
    <comment ref="AC14" authorId="65"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8.55% Capex based on NREL2020</t>
        </r>
      </text>
    </comment>
    <comment ref="AF19" authorId="66"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Bakkafuel WP2: District heating demand satisfied; Post-analysis compare heat excess to heat demand from biogas plant -&gt; decreased oil demand of biogas plant -&gt;fuel selling price</t>
        </r>
      </text>
    </comment>
    <comment ref="AG19" authorId="67"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Bakkafuel WP2: District heating demand satisfied; Post-analysis compare heat excess to heat demand from biogas plant -&gt; decreased oil demand of biogas plant -&gt;fuel selling price</t>
        </r>
      </text>
    </comment>
    <comment ref="M20" authorId="68"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WP2 Bakkafuel project</t>
        </r>
      </text>
    </comment>
    <comment ref="N20" authorId="69"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Stoechiometric conversion</t>
        </r>
      </text>
    </comment>
    <comment ref="O20" authorId="7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Stoechiometric conversion</t>
        </r>
      </text>
    </comment>
    <comment ref="AF20" authorId="7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Cost excludes handling and transport cost to agriculture farms; real, 2024</t>
        </r>
      </text>
    </comment>
    <comment ref="AG20" authorId="72"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Cost excludes handling and transport cost to agriculture farms; real 2024</t>
        </r>
      </text>
    </comment>
    <comment ref="X21" authorId="73"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Compression work </t>
        </r>
      </text>
    </comment>
    <comment ref="Y21" authorId="74"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Compression work from 20 to 700 (?) bars</t>
        </r>
      </text>
    </comment>
    <comment ref="R23" authorId="75"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Adams2019/ Bornholm report
</t>
        </r>
      </text>
    </comment>
    <comment ref="S23" authorId="76"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Adams2019/ Bornholm report
</t>
        </r>
      </text>
    </comment>
    <comment ref="Z23" authorId="77"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Induspart2023 (includes compressors)
</t>
        </r>
      </text>
    </comment>
    <comment ref="AA23" authorId="78"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Induspart2023 (includes compressors)/ Bornholm report
</t>
        </r>
      </text>
    </comment>
    <comment ref="AB23" authorId="79"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3% Capex based on Induspart2023</t>
        </r>
      </text>
    </comment>
    <comment ref="AC23" authorId="8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3% Capex based on Induspart2023/ Bornholm report</t>
        </r>
      </text>
    </comment>
    <comment ref="AK23" authorId="8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high pressure tanks, life span is around 10 years, depending on the frequency of filling/emptying. Based on Fragiacomo 2021/ Bornholm report</t>
        </r>
      </text>
    </comment>
    <comment ref="AH24" authorId="82"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Bakkafuel WP2: For industry using more than 30.000 kWt a year, the price is 1,63 kr/kWt u/MVG (uden moms); real 2024</t>
        </r>
      </text>
    </comment>
    <comment ref="AI24" authorId="83"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Bakkafuel WP2: For industry using more than 30.000 kWt a year, the price is 1,63 kr/kWt u/MVG (uden moms); real 2024</t>
        </r>
      </text>
    </comment>
    <comment ref="M25" authorId="84"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Highest curtailed wind value in 2050 -&gt; used in flux for normalisation</t>
        </r>
      </text>
    </comment>
    <comment ref="X27" authorId="85"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Induspart2023</t>
        </r>
      </text>
    </comment>
    <comment ref="Y27" authorId="86"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Induspart2023</t>
        </r>
      </text>
    </comment>
    <comment ref="X28" authorId="87"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Induspart2023</t>
        </r>
      </text>
    </comment>
    <comment ref="Y28" authorId="88"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Induspart2023</t>
        </r>
      </text>
    </comment>
    <comment ref="R29" authorId="89"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communication with industrial partners</t>
        </r>
      </text>
    </comment>
    <comment ref="S29" authorId="9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communication with industrial partners/ Bornholm report</t>
        </r>
      </text>
    </comment>
    <comment ref="Z29" authorId="9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From Induspart2023 with high logistics and ground work costs</t>
        </r>
      </text>
    </comment>
    <comment ref="AA29" authorId="92"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From Induspart2023 assuming low lithium price/ Bornholm report</t>
        </r>
      </text>
    </comment>
    <comment ref="AB29" authorId="93"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1.5% Capex based on Induspart2023</t>
        </r>
      </text>
    </comment>
    <comment ref="AC29" authorId="94"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1.5% Capex based on Induspart2023/ Bornholm report</t>
        </r>
      </text>
    </comment>
    <comment ref="AK29" authorId="95"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25 years lifetime assumed</t>
        </r>
      </text>
    </comment>
  </commentList>
</comments>
</file>

<file path=xl/comments2.xml><?xml version="1.0" encoding="utf-8"?>
<comments xmlns="http://schemas.openxmlformats.org/spreadsheetml/2006/main">
  <authors>
    <author>tc={E79D137E-83AC-428D-9FAB-7F653C9DBAC2}</author>
    <author>tc={EE82A70C-74E9-439B-B023-9C05907196BE}</author>
    <author>tc={AFA549C2-C96B-4C52-9E71-13D6E0CD44CD}</author>
    <author>tc={D718DCB6-3378-4354-A7F8-9D67030ABF44}</author>
    <author>tc={3F209BB6-78E3-4F80-B7E6-0BB8D4D3F312}</author>
    <author>tc={C23CF91D-FC52-4752-99DC-AF4F2B31F778}</author>
    <author>tc={69C5AFBD-FE6E-458E-963E-E3E847C49454}</author>
    <author>tc={2E24F30D-CB1C-488F-A4E1-2943DA9F8CC1}</author>
    <author>tc={0976C4E3-6038-40C2-8041-D33E954E5DFA}</author>
    <author>tc={72BAA1D7-685C-4246-8D7C-E9951B44FB26}</author>
    <author>tc={F2E18CB7-DBA2-445F-8CBF-B3B575ECFAE1}</author>
    <author>tc={F4D221D6-5D67-4BBC-B37C-836157AEF56F}</author>
    <author>tc={AA40584C-BDA4-40DF-9137-19050415657B}</author>
    <author>tc={05A4A594-D344-4B91-B3E9-34B30FE391B2}</author>
    <author>tc={A34765A5-4CBC-4A69-B404-63FB1B4219F6}</author>
    <author>tc={557154B0-51DD-4311-B2B4-A5F81E53962A}</author>
    <author>tc={EC50A4AF-226B-47C3-BA1E-CBD9F2235285}</author>
    <author>tc={DB0E357D-1290-4579-80E4-F3B5A9317322}</author>
    <author>tc={66E66B97-9E2E-4EB7-AC15-BFE8FA46FE2E}</author>
    <author>tc={9DFE9A0C-A719-4471-8CB2-12A3A18DEB9B}</author>
    <author>tc={8FAC4B3E-A96D-49FE-A4EF-3B80330DC120}</author>
    <author>tc={BE7C3343-ECFB-405D-8325-8949ADEF422E}</author>
    <author>tc={7852D344-24E9-47CA-A1FE-6DC021030C05}</author>
    <author>tc={086BEA7E-EDA6-4FA5-BA2D-D3573C0F3ADF}</author>
    <author>tc={A19E64F2-824A-46EF-A3C2-5D30519960C4}</author>
    <author>tc={0F4B4E58-9FCE-4E37-B608-D6FA7F8E8A61}</author>
    <author>tc={2D38530B-10B1-4CB0-96D1-3D848FE96B0C}</author>
    <author>tc={7E695526-859B-4BA5-BBBD-3022033033B6}</author>
    <author>tc={B8030FED-4C19-4AFF-8894-16F28A98B13C}</author>
    <author>tc={4F03E4F2-1280-4A5C-A3C5-015B9193208A}</author>
    <author>tc={A1C62BCB-F9F2-41AA-B980-5CD3917B849E}</author>
    <author>tc={891CC673-9646-41A0-8DD1-AFAA4959F2C4}</author>
    <author>tc={522400DE-AB9F-47CD-BB26-DCD2F5D12220}</author>
    <author>tc={061037D0-E435-431E-BB69-141F3E6F9813}</author>
    <author>tc={795EBED6-D0F1-4E8F-960B-7D2A9E876E47}</author>
    <author>tc={69D38C57-C0C1-49AC-8736-E98B24078C43}</author>
    <author>tc={66D14FC3-C237-472E-B8F5-0F74052CA3B0}</author>
    <author>tc={A6C3D932-0E31-43A6-9C27-1C352D7E2637}</author>
    <author>tc={EB47AF61-69F0-46F1-9A70-EDE4A9B7A67E}</author>
    <author>tc={07098FCA-4B41-48B5-8743-4E00F86880A1}</author>
    <author>tc={3EDA8C55-0BF6-41A6-8E8D-63D598E92E79}</author>
    <author>tc={466F4974-CD0F-4513-9F63-537D32A7CFB2}</author>
    <author>tc={03B1FA02-4207-4BB6-9D66-B256F5CB570E}</author>
    <author>tc={781A0161-7152-4C15-8B82-206F38B598E8}</author>
    <author>tc={CF941A66-24C3-4B2B-8AFC-7657A3B2BC83}</author>
    <author>tc={508A9831-6037-40C9-999B-06A61774F9E1}</author>
    <author>tc={9FBF550E-A83F-42D1-AA47-A0CC19D33980}</author>
    <author>tc={D2FEC61C-1A4B-420E-B16B-725E40366059}</author>
    <author>tc={CBE0999A-BCE4-4EAF-B3BC-1FC99F3E991D}</author>
    <author>tc={EFEA0D4F-7E6A-42FB-B184-5B2C4EB95AF8}</author>
    <author>tc={4E657912-779F-455A-BC7A-BA0825552B50}</author>
    <author>tc={4085D900-7C7D-48B8-96D1-D6C68F23ADB0}</author>
    <author>tc={8D34EA10-6DEE-4946-BF13-89CA6E5A6FE9}</author>
  </authors>
  <commentList>
    <comment ref="F6"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Does this column is connected to other cells? Or just manually to keep a better overview? </t>
        </r>
      </text>
    </comment>
    <comment ref="AI12" authorId="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Estimate from MMZCS2023, on the high bound for CO2 extracted from a biogas plant</t>
        </r>
      </text>
    </comment>
    <comment ref="AJ12" authorId="2"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Estimate from MMZCS2023, on the high bound for CO2 extracted from a biogas plant</t>
        </r>
      </text>
    </comment>
    <comment ref="R13" authorId="3"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T13" authorId="4"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V13" authorId="5"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X13" authorId="6"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Z13" authorId="7"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B13" authorId="8"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D13" authorId="9"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AL13" authorId="1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P14" authorId="1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AI14" authorId="12"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Bakkafuel project: Set to 0 since fuel plant owner is the Biogas plant owner </t>
        </r>
      </text>
    </comment>
    <comment ref="AJ14" authorId="13"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Bakkafuel project: Set to 0 since fuel plant owner is the Biogas plant owner </t>
        </r>
      </text>
    </comment>
    <comment ref="P15" authorId="14"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R15" authorId="15"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T15" authorId="16"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V15" authorId="17"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X15" authorId="18"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B15" authorId="19"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D15" authorId="2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AL15" authorId="2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Z18" authorId="22"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WP1 Bornholm study 
Reply:
    Minor impact</t>
        </r>
      </text>
    </comment>
    <comment ref="AB18" authorId="23"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WP1 Bornholm study using the 2025 benchmark value 
</t>
        </r>
      </text>
    </comment>
    <comment ref="AD18" authorId="24"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3% Capex based on Bornholm WP1
Reply:
    Refers to CAPEX in the literature; not taking the +10% CAPEX for transport to Faroe islands into account.</t>
        </r>
      </text>
    </comment>
    <comment ref="AI18" authorId="25"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Bakkafuel project: Set to 0 since on the Faroe Islands freshwater is free resource</t>
        </r>
      </text>
    </comment>
    <comment ref="AJ18" authorId="26"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Bakkafuel project: Set to 0 since on the Faroe Islands freshwater is free resource</t>
        </r>
      </text>
    </comment>
    <comment ref="P19" authorId="27"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Consumption of non-purified water assuming a purification efficieny of 80% based on BhmWP12023. Conversion of purified water to hydrogen is stoechiometric (9 kg of water consumed per kg of hydrogen).</t>
        </r>
      </text>
    </comment>
    <comment ref="R19" authorId="28"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 Bornholm report</t>
        </r>
      </text>
    </comment>
    <comment ref="Z19" authorId="29"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 Bornholm report</t>
        </r>
      </text>
    </comment>
    <comment ref="AB19" authorId="3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Using 10% of CAPEX based on MMZCS2023/ Bornholm report
</t>
        </r>
      </text>
    </comment>
    <comment ref="AD19" authorId="3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Using 10% Capex based on MMZCS2023
Reply:
    Refers to CAPEX in the literature; not taking the +10% CAPEX for transport to Faroe islands into account.</t>
        </r>
      </text>
    </comment>
    <comment ref="AL19" authorId="32"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25 years lifetime assumed based on Technology Data-Energy Plants for Electricity and District heating generation, Tech rep. (2020)/ Bornholm report
</t>
        </r>
      </text>
    </comment>
    <comment ref="AG24" authorId="33"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Bakkafuel WP2: District heating demand satisfied; Post-analysis compare heat excess to heat demand from biogas plant -&gt; decreased oil demand of biogas plant -&gt;fuel selling price</t>
        </r>
      </text>
    </comment>
    <comment ref="AH24" authorId="34"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Bakkafuel WP2: District heating demand satisfied; Post-analysis compare heat excess to heat demand from biogas plant -&gt; decreased oil demand of biogas plant -&gt;fuel selling price</t>
        </r>
      </text>
    </comment>
    <comment ref="N25" authorId="35"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WP2 Bakkafuel project</t>
        </r>
      </text>
    </comment>
    <comment ref="O25" authorId="36"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Stoechiometric conversion</t>
        </r>
      </text>
    </comment>
    <comment ref="P25" authorId="37"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Stoechiometric conversion</t>
        </r>
      </text>
    </comment>
    <comment ref="AH25" authorId="38"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Cost excludes handling and transport cost to agriculture farms; real 2024</t>
        </r>
      </text>
    </comment>
    <comment ref="AH26" authorId="39"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Cost excludes handling and transport cost to agriculture farms; real 2024
Reply:
    1.3</t>
        </r>
      </text>
    </comment>
    <comment ref="Y27" authorId="4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Compression work </t>
        </r>
      </text>
    </comment>
    <comment ref="Z27" authorId="4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Compression work from 20 to 700 (?) bars</t>
        </r>
      </text>
    </comment>
    <comment ref="T29" authorId="42"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Adams2019/ Bornholm report
</t>
        </r>
      </text>
    </comment>
    <comment ref="AB29" authorId="43"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Induspart2023 (includes compressors)/ Bornholm report
</t>
        </r>
      </text>
    </comment>
    <comment ref="AD29" authorId="44"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3% Capex based on Induspart2023/ Bornholm report
Reply:
    Refers to CAPEX in the literature; not taking the +10% CAPEX for transport to Faroe islands into account.</t>
        </r>
      </text>
    </comment>
    <comment ref="AL29" authorId="45"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high pressure tanks, life span is around 10 years, depending on the frequency of filling/emptying. Based on Fragiacomo 2021/ Bornholm report</t>
        </r>
      </text>
    </comment>
    <comment ref="N31" authorId="46"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Highest curtailed wind value in 2050 -&gt; used in flux for normalisation</t>
        </r>
      </text>
    </comment>
    <comment ref="Z33" authorId="47"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Induspart2023</t>
        </r>
      </text>
    </comment>
    <comment ref="Z34" authorId="48"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Induspart2023</t>
        </r>
      </text>
    </comment>
    <comment ref="T35" authorId="49"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communication with industrial partners/ Bornholm report</t>
        </r>
      </text>
    </comment>
    <comment ref="AB35" authorId="5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From Induspart2023 assuming low lithium price/ Bornholm report</t>
        </r>
      </text>
    </comment>
    <comment ref="AD35" authorId="5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1.5% Capex based on Induspart2023/ Bornholm report
Reply:
    Refers to CAPEX in the literature; not taking the +10% CAPEX for transport to Faroe islands into account.</t>
        </r>
      </text>
    </comment>
    <comment ref="AL35" authorId="52"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25 years lifetime assumed</t>
        </r>
      </text>
    </comment>
  </commentList>
</comments>
</file>

<file path=xl/sharedStrings.xml><?xml version="1.0" encoding="utf-8"?>
<sst xmlns="http://schemas.openxmlformats.org/spreadsheetml/2006/main" count="2223" uniqueCount="403">
  <si>
    <t>Red: Don't change the name without changing the Julia code</t>
  </si>
  <si>
    <t>Parameters--&gt;</t>
  </si>
  <si>
    <t>Produced from</t>
  </si>
  <si>
    <t>H2 balance</t>
  </si>
  <si>
    <t>El balance</t>
  </si>
  <si>
    <t>Heat balance</t>
  </si>
  <si>
    <t>Max Capacity</t>
  </si>
  <si>
    <t>Subsets</t>
  </si>
  <si>
    <t>Subsets_2</t>
  </si>
  <si>
    <t>Type of units</t>
  </si>
  <si>
    <t>Line/Column index</t>
  </si>
  <si>
    <t>-</t>
  </si>
  <si>
    <t>O2</t>
  </si>
  <si>
    <t>Stor_in</t>
  </si>
  <si>
    <t>Stor_out</t>
  </si>
  <si>
    <t>Tank</t>
  </si>
  <si>
    <t>Heat_import</t>
  </si>
  <si>
    <t>Heat_export</t>
  </si>
  <si>
    <t>Power_from_the_grid</t>
  </si>
  <si>
    <t>Electricity_to_batteries</t>
  </si>
  <si>
    <t>Electricity_from_batteries</t>
  </si>
  <si>
    <t>Electricity_stored</t>
  </si>
  <si>
    <t>PU_Grid_in</t>
  </si>
  <si>
    <t>Heat_in</t>
  </si>
  <si>
    <t>Heat_out</t>
  </si>
  <si>
    <t>Grid_buy</t>
  </si>
  <si>
    <t>Heat from district heating</t>
  </si>
  <si>
    <t>Heat sent to district heating</t>
  </si>
  <si>
    <t>Sale of oxygen</t>
  </si>
  <si>
    <t>Electricity from the grid</t>
  </si>
  <si>
    <t>Charge batteries</t>
  </si>
  <si>
    <t>Discharge batteries</t>
  </si>
  <si>
    <t>Batteries</t>
  </si>
  <si>
    <t>H2 pipeline to MeOH CCU plant</t>
  </si>
  <si>
    <t>H2_pipeline_to_MeOHCCU_plant</t>
  </si>
  <si>
    <t>Yearly demand (kg fuel)</t>
  </si>
  <si>
    <t>Fuel production rate (kg output/kg input)</t>
  </si>
  <si>
    <t>Heat generated (kWh/output)</t>
  </si>
  <si>
    <t>Load min (% of max capacity)</t>
  </si>
  <si>
    <t>Ramp up (% of capacity /h)</t>
  </si>
  <si>
    <t>Ramp down (% of capacity /h)</t>
  </si>
  <si>
    <t>Electrical consumption (kWh/output)</t>
  </si>
  <si>
    <t>Annuity factor</t>
  </si>
  <si>
    <t>AEC</t>
  </si>
  <si>
    <t>CO2 PS</t>
  </si>
  <si>
    <t>H2_from_AEC</t>
  </si>
  <si>
    <t>CO2 capture PS</t>
  </si>
  <si>
    <t>Parameter changed</t>
  </si>
  <si>
    <t>New value</t>
  </si>
  <si>
    <t>Old value</t>
  </si>
  <si>
    <t>Year--&gt;</t>
  </si>
  <si>
    <t>MeOH</t>
  </si>
  <si>
    <t>SOEC</t>
  </si>
  <si>
    <t>Scenario number</t>
  </si>
  <si>
    <t>Fuel</t>
  </si>
  <si>
    <t>Electrolyser</t>
  </si>
  <si>
    <t>Input data sheet</t>
  </si>
  <si>
    <t>Profile name</t>
  </si>
  <si>
    <t>Result folder name</t>
  </si>
  <si>
    <t>Max capacity</t>
  </si>
  <si>
    <t>Ramping</t>
  </si>
  <si>
    <t>No negative elec price</t>
  </si>
  <si>
    <t>Flows</t>
  </si>
  <si>
    <t>NH3</t>
  </si>
  <si>
    <t>CO2 capture</t>
  </si>
  <si>
    <t>None</t>
  </si>
  <si>
    <t>Carbon capture</t>
  </si>
  <si>
    <t>PS</t>
  </si>
  <si>
    <t>Configuration</t>
  </si>
  <si>
    <t>Fixed heat sale</t>
  </si>
  <si>
    <t>Fixed oxygen sale</t>
  </si>
  <si>
    <t>Used (1 or 0)</t>
  </si>
  <si>
    <t>All</t>
  </si>
  <si>
    <t>Product/Reactant1</t>
  </si>
  <si>
    <t>Product</t>
  </si>
  <si>
    <t>Reactant2</t>
  </si>
  <si>
    <t>Reactant6</t>
  </si>
  <si>
    <t>Product/Reactant3</t>
  </si>
  <si>
    <t>Year old value</t>
  </si>
  <si>
    <t>Year new value</t>
  </si>
  <si>
    <t>Type of units for change</t>
  </si>
  <si>
    <t>Scenario name definition</t>
  </si>
  <si>
    <t>Unit tag</t>
  </si>
  <si>
    <t>Options available</t>
  </si>
  <si>
    <t>Any name</t>
  </si>
  <si>
    <t>Results to write</t>
  </si>
  <si>
    <t>Fuel energy content LHV (MJ/kg fuel)</t>
  </si>
  <si>
    <t>Scenario</t>
  </si>
  <si>
    <t>Scenario name</t>
  </si>
  <si>
    <t>Name of the scenario in the output csv file</t>
  </si>
  <si>
    <t>Fuel produced</t>
  </si>
  <si>
    <t>Min_demand_MainFuel</t>
  </si>
  <si>
    <t>Year data</t>
  </si>
  <si>
    <t>Profile folder name</t>
  </si>
  <si>
    <t>Name of the excel file profile</t>
  </si>
  <si>
    <t>Folder name where the excel profile is</t>
  </si>
  <si>
    <t>Investment (EUR/Capacity installed)</t>
  </si>
  <si>
    <t>Fixed cost (EUR/Capacity installed/y)</t>
  </si>
  <si>
    <t>Fuel selling price (EUR/output)</t>
  </si>
  <si>
    <t>Fuel buying price (EUR/output)</t>
  </si>
  <si>
    <t>Reference scenario</t>
  </si>
  <si>
    <t>Changes also include the changes made in the reference scenario. If nothing is specified in the reference scenario column, changes are made compared to the input data sheet (i.e Data_base_case)</t>
  </si>
  <si>
    <t>Any data sheet name</t>
  </si>
  <si>
    <t>Grid_out</t>
  </si>
  <si>
    <t>Location</t>
  </si>
  <si>
    <t>Electrolysers AEC</t>
  </si>
  <si>
    <t>All_locations</t>
  </si>
  <si>
    <t>Electrolysers SOEC heat integrated</t>
  </si>
  <si>
    <t>H2_from_SOEC_HI</t>
  </si>
  <si>
    <t>Reactant8</t>
  </si>
  <si>
    <t>NoSubset</t>
  </si>
  <si>
    <t>Curtailment</t>
  </si>
  <si>
    <t>Investment (EUR/Capacity installed)2025 bench</t>
  </si>
  <si>
    <t>Change are made compared to the reference scenario. "Chains" of reference scenarios doesn't work.</t>
  </si>
  <si>
    <t>O2_sell</t>
  </si>
  <si>
    <t>Heat_sell</t>
  </si>
  <si>
    <t>See Scenarios_definition sheet</t>
  </si>
  <si>
    <t>Variable cost (EUR/output)</t>
  </si>
  <si>
    <t>MeOH plant CCU</t>
  </si>
  <si>
    <t>MeOH CCU</t>
  </si>
  <si>
    <t>Results_v1</t>
  </si>
  <si>
    <t>H2_pipeline_to_MeOHbiogas_plant</t>
  </si>
  <si>
    <t>H2 pipeline to MeOH Biogas plant</t>
  </si>
  <si>
    <t>Biogas</t>
  </si>
  <si>
    <t>MeOH plant Biogas</t>
  </si>
  <si>
    <t>Product/Reactant4</t>
  </si>
  <si>
    <t>MeOH_AEC_Biogas</t>
  </si>
  <si>
    <t>2025_grid_AEC_MeOH_PS</t>
  </si>
  <si>
    <t>Freshwater</t>
  </si>
  <si>
    <t>H2O fresh</t>
  </si>
  <si>
    <t>H2 tank compressor</t>
  </si>
  <si>
    <t>H2_to_tank</t>
  </si>
  <si>
    <t>H2_from_tank</t>
  </si>
  <si>
    <t>H2 tank valve</t>
  </si>
  <si>
    <t>H2 tank</t>
  </si>
  <si>
    <t>H2_tank</t>
  </si>
  <si>
    <t>Faroe1</t>
  </si>
  <si>
    <t>Faroe2</t>
  </si>
  <si>
    <t>Sold products</t>
  </si>
  <si>
    <t>Fuel cost</t>
  </si>
  <si>
    <t>Max profit</t>
  </si>
  <si>
    <t>Demand</t>
  </si>
  <si>
    <t>Electricity from the grid curtailment</t>
  </si>
  <si>
    <t>Power_from_the_grid_curt</t>
  </si>
  <si>
    <t>RPU_grid_curt</t>
  </si>
  <si>
    <t>Faroe</t>
  </si>
  <si>
    <t>2025_grid+curt_AEC_MeOH_PS</t>
  </si>
  <si>
    <t>Base_grid</t>
  </si>
  <si>
    <t>Faroe CAPEX price index</t>
  </si>
  <si>
    <t>Base_grid+curt</t>
  </si>
  <si>
    <t>2025_grid+curt0.1_AEC_MeOH_PS</t>
  </si>
  <si>
    <t>Base_grid+curt0.1</t>
  </si>
  <si>
    <t>Data_base_case_Faroe</t>
  </si>
  <si>
    <t>2025_grid+curt0.08_AEC_MeOH_PS</t>
  </si>
  <si>
    <t>2025_grid+curt0.09_AEC_MeOH_PS</t>
  </si>
  <si>
    <t>2025_grid+curt0.07_AEC_MeOH_PS</t>
  </si>
  <si>
    <t>2025_grid+curt0.06_AEC_MeOH_PS</t>
  </si>
  <si>
    <t>2025_grid+curt0.05_AEC_MeOH_PS</t>
  </si>
  <si>
    <t>2025_grid+curt0.04_AEC_MeOH_PS</t>
  </si>
  <si>
    <t>Base_grid+curt0.09</t>
  </si>
  <si>
    <t>Base_grid+curt0.08</t>
  </si>
  <si>
    <t>Base_grid+curt0.07</t>
  </si>
  <si>
    <t>Base_grid+curt0.06</t>
  </si>
  <si>
    <t>Base_grid+curt0.05</t>
  </si>
  <si>
    <t>Base_grid+curt0.04</t>
  </si>
  <si>
    <t>accounts for transport costs</t>
  </si>
  <si>
    <t>2023_base</t>
  </si>
  <si>
    <t>2025_grid_AEC_MeOH_Biogas</t>
  </si>
  <si>
    <t>2025_grid+curt_AEC_MeOH_Biogas</t>
  </si>
  <si>
    <t>2025_grid_AEC_CH4_Biogas</t>
  </si>
  <si>
    <t>CH4</t>
  </si>
  <si>
    <t>2025_grid+curt_AEC_CH4_Biogas</t>
  </si>
  <si>
    <t>Product/Reactant5</t>
  </si>
  <si>
    <t>CH4 plant-direct methanation</t>
  </si>
  <si>
    <t>CH4 direct</t>
  </si>
  <si>
    <t>Reactant7</t>
  </si>
  <si>
    <t>H2 pipeline to CH4 plant</t>
  </si>
  <si>
    <t>H2_pipeline_to_CH4_direct</t>
  </si>
  <si>
    <t>Biogas2</t>
  </si>
  <si>
    <t>CH4_AEC_Biogas</t>
  </si>
  <si>
    <t>2030_grid+curt</t>
  </si>
  <si>
    <t>2030_grid_AEC_MeOH_PS</t>
  </si>
  <si>
    <t>2030_grid+curt_AEC_MeOH_PS</t>
  </si>
  <si>
    <t>CH4_sell</t>
  </si>
  <si>
    <t>Sale of methane</t>
  </si>
  <si>
    <t>Biogas3</t>
  </si>
  <si>
    <t>Biogas1</t>
  </si>
  <si>
    <t>Membrane upgrading</t>
  </si>
  <si>
    <t>Product/Reactant2</t>
  </si>
  <si>
    <t>Grid+curt0.1</t>
  </si>
  <si>
    <t>Grid+curt0.08</t>
  </si>
  <si>
    <t>Grid+curt0.06</t>
  </si>
  <si>
    <t>Grid+curt0.04</t>
  </si>
  <si>
    <t>Grid+curt_noCH4sale</t>
  </si>
  <si>
    <t>Grid_noCH4sale</t>
  </si>
  <si>
    <t>Grid+curt_AEC_minload0.1</t>
  </si>
  <si>
    <t>Grid+curt_AEC_minload0.2</t>
  </si>
  <si>
    <t>Grid+curt_AEC_minload0.3</t>
  </si>
  <si>
    <t>Grid+curt_AEC_minload0.4</t>
  </si>
  <si>
    <t>Grid+curt_P1load0.2</t>
  </si>
  <si>
    <t>Grid+curt_P1load0.3</t>
  </si>
  <si>
    <t>Grid+curt_P1load0.5</t>
  </si>
  <si>
    <t>Grid+curt_P1load0.6</t>
  </si>
  <si>
    <t>Grid+curt_P1load0.8</t>
  </si>
  <si>
    <t>Grid+curt_P1load1</t>
  </si>
  <si>
    <t>Grid+curt_P2load0.2</t>
  </si>
  <si>
    <t>Grid+curt_P2load0.3</t>
  </si>
  <si>
    <t>Grid+curt_P2load0.5</t>
  </si>
  <si>
    <t>Grid+curt_P2load0.6</t>
  </si>
  <si>
    <t>Grid+curt_P2load0.8</t>
  </si>
  <si>
    <t>Grid+curt_P2load1</t>
  </si>
  <si>
    <t>Base_curt</t>
  </si>
  <si>
    <t>Inputs from project partners</t>
  </si>
  <si>
    <t>Grid+curt0.02</t>
  </si>
  <si>
    <t>250204_Results</t>
  </si>
  <si>
    <t>Grid+curt_AEC_CAPEX-48%</t>
  </si>
  <si>
    <t>Grid+curt_AEC_CAPEX+72%</t>
  </si>
  <si>
    <t>Grid+curt_P1CAPEX-35%</t>
  </si>
  <si>
    <t>Grid+curt_P2CAPEX-35%</t>
  </si>
  <si>
    <t>Grid+curt_P3CAPEX-35%</t>
  </si>
  <si>
    <t>Grid+curt_P3CAPEX+35%</t>
  </si>
  <si>
    <t>Grid+curt_P1CAPEX+35%</t>
  </si>
  <si>
    <t>Grid+curt_P2CAPEX+35%</t>
  </si>
  <si>
    <t>P1_2026_grid</t>
  </si>
  <si>
    <t>P1_2026_grid+curt</t>
  </si>
  <si>
    <t>P2_2026_grid</t>
  </si>
  <si>
    <t>P2_2026_grid+curt</t>
  </si>
  <si>
    <t>P3_2026_grid</t>
  </si>
  <si>
    <t>P3_2026_grid+curt</t>
  </si>
  <si>
    <t>P1_2026_grid+curt0.1</t>
  </si>
  <si>
    <t>P1_2026_grid+curt0.08</t>
  </si>
  <si>
    <t>P1_2026_grid+curt0.06</t>
  </si>
  <si>
    <t>P1_2026_grid+curt0.04</t>
  </si>
  <si>
    <t>P1_2026_grid+curt0.02</t>
  </si>
  <si>
    <t>P2_2026_grid+curt0.1</t>
  </si>
  <si>
    <t>P2_2026_grid+curt0.08</t>
  </si>
  <si>
    <t>P2_2026_grid+curt0.06</t>
  </si>
  <si>
    <t>P2_2026_grid+curt0.04</t>
  </si>
  <si>
    <t>P2_2026_grid+curt0.02</t>
  </si>
  <si>
    <t>P3_2026_grid+curt0.1</t>
  </si>
  <si>
    <t>P3_2026_grid+curt0.08</t>
  </si>
  <si>
    <t>P3_2026_grid+curt0.06</t>
  </si>
  <si>
    <t>P3_2026_grid+curt0.04</t>
  </si>
  <si>
    <t>P3_2026_grid+curt0.02</t>
  </si>
  <si>
    <t>P1_2026_grid+curt_AEC_minload0.1</t>
  </si>
  <si>
    <t>P1_2026_grid+curt_AEC_minload0.2</t>
  </si>
  <si>
    <t>P1_2026_grid+curt_AEC_minload0.3</t>
  </si>
  <si>
    <t>P1_2026_grid+curt_AEC_minload0.4</t>
  </si>
  <si>
    <t>P2_2026_grid+curt_AEC_minload0.1</t>
  </si>
  <si>
    <t>P2_2026_grid+curt_AEC_minload0.2</t>
  </si>
  <si>
    <t>P2_2026_grid+curt_AEC_minload0.3</t>
  </si>
  <si>
    <t>P2_2026_grid+curt_AEC_minload0.4</t>
  </si>
  <si>
    <t>P3_2026_grid+curt_AEC_minload0.1</t>
  </si>
  <si>
    <t>P3_2026_grid+curt_AEC_minload0.2</t>
  </si>
  <si>
    <t>P3_2026_grid+curt_AEC_minload0.3</t>
  </si>
  <si>
    <t>P3_2026_grid+curt_AEC_minload0.4</t>
  </si>
  <si>
    <t>P1_2026_Grid+curt_P1load0.2</t>
  </si>
  <si>
    <t>P1_2026_Grid+curt_P1load0.3</t>
  </si>
  <si>
    <t>P1_2026_Grid+curt_P1load0.5</t>
  </si>
  <si>
    <t>P1_2026_Grid+curt_P1load0.6</t>
  </si>
  <si>
    <t>P1_2026_Grid+curt_P1load0.8</t>
  </si>
  <si>
    <t>P1_2026_Grid+curt_P1load1</t>
  </si>
  <si>
    <t>P2_2026_Grid+curt_P2load0.2</t>
  </si>
  <si>
    <t>P2_2026_Grid+curt_P2load0.3</t>
  </si>
  <si>
    <t>P2_2026_Grid+curt_P2load0.5</t>
  </si>
  <si>
    <t>P2_2026_Grid+curt_P2load0.6</t>
  </si>
  <si>
    <t>P2_2026_Grid+curt_P2load0.8</t>
  </si>
  <si>
    <t>P2_2026_Grid+curt_P2load1</t>
  </si>
  <si>
    <t>P1_2026_Grid+curt_AEC_CAPEX-48%</t>
  </si>
  <si>
    <t>P1_2026_Grid+curt_AEC_CAPEX+72%</t>
  </si>
  <si>
    <t>P2_2026_Grid+curt_AEC_CAPEX-48%</t>
  </si>
  <si>
    <t>P2_2026_Grid+curt_AEC_CAPEX+72%</t>
  </si>
  <si>
    <t>P3_2026_Grid+curt_AEC_CAPEX-48%</t>
  </si>
  <si>
    <t>P3_2026_Grid+curt_AEC_CAPEX+72%</t>
  </si>
  <si>
    <t>P1_2026_Grid+curt_P1CAPEX+35%</t>
  </si>
  <si>
    <t>P1_2026_Grid+curt_P1CAPEX-35%</t>
  </si>
  <si>
    <t>P2_2026_Grid+curt_P2CAPEX+35%</t>
  </si>
  <si>
    <t>P2_2026_Grid+curt_P2CAPEX-35%</t>
  </si>
  <si>
    <t>P3_2026_Grid+curt_P3CAPEX+35%</t>
  </si>
  <si>
    <t>P3_2026_Grid+curt_P3CAPEX-35%</t>
  </si>
  <si>
    <t>P1_2030_grid+curt0.1</t>
  </si>
  <si>
    <t>P1_2030_grid+curt0.08</t>
  </si>
  <si>
    <t>P1_2030_grid+curt0.06</t>
  </si>
  <si>
    <t>P1_2030_grid+curt0.04</t>
  </si>
  <si>
    <t>P1_2030_grid+curt0.02</t>
  </si>
  <si>
    <t>P2_2030_grid+curt0.1</t>
  </si>
  <si>
    <t>P2_2030_grid+curt0.08</t>
  </si>
  <si>
    <t>P2_2030_grid+curt0.06</t>
  </si>
  <si>
    <t>P2_2030_grid+curt0.04</t>
  </si>
  <si>
    <t>P2_2030_grid+curt0.02</t>
  </si>
  <si>
    <t>P3_2030_grid+curt0.1</t>
  </si>
  <si>
    <t>P3_2030_grid+curt0.08</t>
  </si>
  <si>
    <t>P3_2030_grid+curt0.06</t>
  </si>
  <si>
    <t>P3_2030_grid+curt0.04</t>
  </si>
  <si>
    <t>P3_2030_grid+curt0.02</t>
  </si>
  <si>
    <t>P1_2030_grid+curt_AEC_minload0.1</t>
  </si>
  <si>
    <t>P1_2030_grid+curt_AEC_minload0.2</t>
  </si>
  <si>
    <t>P1_2030_grid+curt_AEC_minload0.3</t>
  </si>
  <si>
    <t>P1_2030_grid+curt_AEC_minload0.4</t>
  </si>
  <si>
    <t>P2_2030_grid+curt_AEC_minload0.1</t>
  </si>
  <si>
    <t>P2_2030_grid+curt_AEC_minload0.2</t>
  </si>
  <si>
    <t>P2_2030_grid+curt_AEC_minload0.3</t>
  </si>
  <si>
    <t>P2_2030_grid+curt_AEC_minload0.4</t>
  </si>
  <si>
    <t>P3_2030_grid+curt_AEC_minload0.1</t>
  </si>
  <si>
    <t>P3_2030_grid+curt_AEC_minload0.2</t>
  </si>
  <si>
    <t>P3_2030_grid+curt_AEC_minload0.3</t>
  </si>
  <si>
    <t>P3_2030_grid+curt_AEC_minload0.4</t>
  </si>
  <si>
    <t>P1_2030_Grid+curt_P1load0.2</t>
  </si>
  <si>
    <t>P1_2030_Grid+curt_P1load0.3</t>
  </si>
  <si>
    <t>P1_2030_Grid+curt_P1load0.5</t>
  </si>
  <si>
    <t>P1_2030_Grid+curt_P1load0.6</t>
  </si>
  <si>
    <t>P1_2030_Grid+curt_P1load0.8</t>
  </si>
  <si>
    <t>P1_2030_Grid+curt_P1load1</t>
  </si>
  <si>
    <t>P2_2030_Grid+curt_P2load0.2</t>
  </si>
  <si>
    <t>P2_2030_Grid+curt_P2load0.3</t>
  </si>
  <si>
    <t>P2_2030_Grid+curt_P2load0.5</t>
  </si>
  <si>
    <t>P2_2030_Grid+curt_P2load0.6</t>
  </si>
  <si>
    <t>P2_2030_Grid+curt_P2load0.8</t>
  </si>
  <si>
    <t>P2_2030_Grid+curt_P2load1</t>
  </si>
  <si>
    <t>P1_2030_Grid+curt_AEC_CAPEX-48%</t>
  </si>
  <si>
    <t>P1_2030_Grid+curt_AEC_CAPEX+72%</t>
  </si>
  <si>
    <t>P2_2030_Grid+curt_AEC_CAPEX-48%</t>
  </si>
  <si>
    <t>P2_2030_Grid+curt_AEC_CAPEX+72%</t>
  </si>
  <si>
    <t>P3_2030_Grid+curt_AEC_CAPEX-48%</t>
  </si>
  <si>
    <t>P3_2030_Grid+curt_AEC_CAPEX+72%</t>
  </si>
  <si>
    <t>P1_2030_Grid+curt_P1CAPEX+35%</t>
  </si>
  <si>
    <t>P1_2030_Grid+curt_P1CAPEX-35%</t>
  </si>
  <si>
    <t>P2_2030_Grid+curt_P2CAPEX+35%</t>
  </si>
  <si>
    <t>P2_2030_Grid+curt_P2CAPEX-35%</t>
  </si>
  <si>
    <t>P3_2030_Grid+curt_P3CAPEX+35%</t>
  </si>
  <si>
    <t>P3_2030_Grid+curt_P3CAPEX-35%</t>
  </si>
  <si>
    <t>Grid+curt_AEC_minload0</t>
  </si>
  <si>
    <t>P1_2026_grid+curt_AEC_minload0</t>
  </si>
  <si>
    <t>P2_2026_grid+curt_AEC_minload0</t>
  </si>
  <si>
    <t>P3_2026_grid+curt_AEC_minload0</t>
  </si>
  <si>
    <t>P1_2030_grid+curt_AEC_minload0</t>
  </si>
  <si>
    <t>P2_2030_grid+curt_AEC_minload0</t>
  </si>
  <si>
    <t>P3_2030_grid+curt_AEC_minload0</t>
  </si>
  <si>
    <t>P1_2026_curt_AEC_minload0</t>
  </si>
  <si>
    <t>P1_2026_curt_AEC_minload0.1</t>
  </si>
  <si>
    <t>P1_2026_curt_AEC_minload0.2</t>
  </si>
  <si>
    <t>P1_2026_curt_AEC_minload0.3</t>
  </si>
  <si>
    <t>P1_2026_curt_AEC_minload0.4</t>
  </si>
  <si>
    <t>P2_2026_curt_AEC_minload0</t>
  </si>
  <si>
    <t>P2_2026_curt_AEC_minload0.1</t>
  </si>
  <si>
    <t>P2_2026_curt_AEC_minload0.2</t>
  </si>
  <si>
    <t>P2_2026_curt_AEC_minload0.3</t>
  </si>
  <si>
    <t>P2_2026_curt_AEC_minload0.4</t>
  </si>
  <si>
    <t>P3_2026_curt_AEC_minload0.1</t>
  </si>
  <si>
    <t>P3_2026_curt_AEC_minload0.2</t>
  </si>
  <si>
    <t>P3_2026_curt_AEC_minload0.3</t>
  </si>
  <si>
    <t>P3_2026_curt_AEC_minload0.4</t>
  </si>
  <si>
    <t>Curt_AEC_minload0</t>
  </si>
  <si>
    <t>Curt_AEC_minload0.1</t>
  </si>
  <si>
    <t>Curt_AEC_minload0.2</t>
  </si>
  <si>
    <t>Curt_AEC_minload0.3</t>
  </si>
  <si>
    <t>Curt_AEC_minload0.4</t>
  </si>
  <si>
    <t>P1_2026_curt</t>
  </si>
  <si>
    <t>P2_2026_curt</t>
  </si>
  <si>
    <t>P3_2026_curt</t>
  </si>
  <si>
    <t>P1_2030_curt_AEC_minload0</t>
  </si>
  <si>
    <t>P1_2030_curt_AEC_minload0.1</t>
  </si>
  <si>
    <t>P1_2030_curt_AEC_minload0.2</t>
  </si>
  <si>
    <t>P1_2030_curt_AEC_minload0.3</t>
  </si>
  <si>
    <t>P1_2030_curt_AEC_minload0.4</t>
  </si>
  <si>
    <t>P2_2030_curt_AEC_minload0</t>
  </si>
  <si>
    <t>P2_2030_curt_AEC_minload0.1</t>
  </si>
  <si>
    <t>P2_2030_curt_AEC_minload0.2</t>
  </si>
  <si>
    <t>P2_2030_curt_AEC_minload0.3</t>
  </si>
  <si>
    <t>P2_2030_curt_AEC_minload0.4</t>
  </si>
  <si>
    <t>P3_2030_curt_AEC_minload0.05</t>
  </si>
  <si>
    <t>P3_2030_curt_AEC_minload0.1</t>
  </si>
  <si>
    <t>P3_2030_curt_AEC_minload0.2</t>
  </si>
  <si>
    <t>P3_2030_curt_AEC_minload0.3</t>
  </si>
  <si>
    <t>P3_2030_curt_AEC_minload0.4</t>
  </si>
  <si>
    <t>P3_2026_curt_AEC_minload0</t>
  </si>
  <si>
    <t>Faroes</t>
  </si>
  <si>
    <t>Simulation hours</t>
  </si>
  <si>
    <t>With periodic demand targets write: Number of periods, Hours per period (i.e. for monthly demands write 12, 730)</t>
  </si>
  <si>
    <t>72,1,337,8760</t>
  </si>
  <si>
    <t>With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</si>
  <si>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Yearly demand (output)</t>
  </si>
  <si>
    <t>Capacity units</t>
  </si>
  <si>
    <t>Output units</t>
  </si>
  <si>
    <t>kWe</t>
  </si>
  <si>
    <t>kWhe</t>
  </si>
  <si>
    <t>kgH2/h</t>
  </si>
  <si>
    <t>kgH2</t>
  </si>
  <si>
    <t>kgO2/h</t>
  </si>
  <si>
    <t>kgO2</t>
  </si>
  <si>
    <t>kWth</t>
  </si>
  <si>
    <t>kWhth</t>
  </si>
  <si>
    <t>kgCH4/h</t>
  </si>
  <si>
    <t>kgCH4</t>
  </si>
  <si>
    <t>kgH2O/h</t>
  </si>
  <si>
    <t>kgH2O</t>
  </si>
  <si>
    <t>kgMeOH/h</t>
  </si>
  <si>
    <t>kgMeOH</t>
  </si>
  <si>
    <t>kgbiogas</t>
  </si>
  <si>
    <t>kgbiogas/h</t>
  </si>
  <si>
    <t>kgCO2/h</t>
  </si>
  <si>
    <t>kgCO2</t>
  </si>
  <si>
    <t>Fixed CH4 sale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</si>
</sst>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000"/>
    <numFmt numFmtId="165" formatCode="0.000"/>
    <numFmt numFmtId="166" formatCode="0.00000"/>
    <numFmt numFmtId="167" formatCode="0.0"/>
  </numFmts>
  <fonts count="11" x14ac:knownFonts="1">
    <font>
      <sz val="11"/>
      <color theme="1"/>
      <name val="Calibri"/>
      <family val="2"/>
      <scheme val="minor"/>
    </font>
    <font>
      <sz val="11"/>
      <color theme="1"/>
      <name val="Calibri"/>
      <family val="2"/>
      <scheme val="minor"/>
    </font>
    <font>
      <b/>
      <sz val="11"/>
      <color theme="1"/>
      <name val="Calibri"/>
      <family val="2"/>
      <scheme val="minor"/>
    </font>
    <font>
      <sz val="11"/>
      <color rgb="FFFF0000"/>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1" tint="0.499984740745262"/>
      <name val="Calibri"/>
      <family val="2"/>
      <scheme val="minor"/>
    </font>
    <font>
      <b/>
      <sz val="11"/>
      <color theme="5"/>
      <name val="Calibri"/>
      <family val="2"/>
      <scheme val="minor"/>
    </font>
    <font>
      <sz val="8"/>
      <name val="Calibri"/>
      <family val="2"/>
      <scheme val="minor"/>
    </font>
    <font>
      <sz val="6"/>
      <color theme="1"/>
      <name val="Calibri"/>
      <family val="2"/>
      <scheme val="minor"/>
    </font>
  </fonts>
  <fills count="16">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3"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rgb="FFFF0000"/>
        <bgColor indexed="64"/>
      </patternFill>
    </fill>
    <fill>
      <patternFill patternType="solid">
        <fgColor theme="0"/>
        <bgColor indexed="64"/>
      </patternFill>
    </fill>
    <fill>
      <patternFill patternType="solid">
        <fgColor rgb="FFFFCCFF"/>
        <bgColor indexed="64"/>
      </patternFill>
    </fill>
    <fill>
      <patternFill patternType="solid">
        <fgColor rgb="FFCC99FF"/>
        <bgColor indexed="64"/>
      </patternFill>
    </fill>
    <fill>
      <patternFill patternType="solid">
        <fgColor theme="5" tint="0.79998168889431442"/>
        <bgColor indexed="64"/>
      </patternFill>
    </fill>
    <fill>
      <patternFill patternType="solid">
        <fgColor theme="0" tint="-0.14999847407452621"/>
        <bgColor indexed="64"/>
      </patternFill>
    </fill>
  </fills>
  <borders count="10">
    <border>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s>
  <cellStyleXfs count="2">
    <xf numFmtId="0" fontId="0" fillId="0" borderId="0"/>
    <xf numFmtId="9" fontId="1" fillId="0" borderId="0" applyFont="0" applyFill="0" applyBorder="0" applyAlignment="0" applyProtection="0"/>
  </cellStyleXfs>
  <cellXfs count="306">
    <xf numFmtId="0" fontId="0" fillId="0" borderId="0" xfId="0"/>
    <xf numFmtId="0" fontId="4" fillId="0" borderId="0" xfId="0" applyFont="1"/>
    <xf numFmtId="0" fontId="0" fillId="0" borderId="0" xfId="0" applyAlignment="1">
      <alignment horizontal="center"/>
    </xf>
    <xf numFmtId="0" fontId="2" fillId="0" borderId="0" xfId="0" applyFont="1" applyAlignment="1">
      <alignment horizontal="center"/>
    </xf>
    <xf numFmtId="0" fontId="3" fillId="0" borderId="0" xfId="0" applyFont="1"/>
    <xf numFmtId="0" fontId="3" fillId="0" borderId="0" xfId="0" applyFont="1" applyAlignment="1">
      <alignment horizontal="center"/>
    </xf>
    <xf numFmtId="0" fontId="5" fillId="0" borderId="0" xfId="0" applyFont="1"/>
    <xf numFmtId="0" fontId="6" fillId="0" borderId="0" xfId="0" applyFont="1" applyAlignment="1">
      <alignment horizontal="center"/>
    </xf>
    <xf numFmtId="0" fontId="0" fillId="2" borderId="0" xfId="0" applyFill="1" applyAlignment="1">
      <alignment horizontal="center" vertical="center"/>
    </xf>
    <xf numFmtId="0" fontId="0" fillId="2" borderId="0" xfId="0" applyFill="1" applyAlignment="1">
      <alignment horizontal="center"/>
    </xf>
    <xf numFmtId="0" fontId="1" fillId="0" borderId="0" xfId="1" applyNumberFormat="1" applyFont="1"/>
    <xf numFmtId="0" fontId="4" fillId="0" borderId="0" xfId="0" applyFont="1" applyAlignment="1">
      <alignment horizontal="center"/>
    </xf>
    <xf numFmtId="0" fontId="3" fillId="0" borderId="0" xfId="0" applyFont="1" applyAlignment="1">
      <alignment vertical="center"/>
    </xf>
    <xf numFmtId="0" fontId="2" fillId="0" borderId="0" xfId="0" applyFont="1"/>
    <xf numFmtId="0" fontId="6" fillId="0" borderId="0" xfId="0" applyFont="1" applyAlignment="1">
      <alignment horizontal="center" vertical="center" wrapText="1"/>
    </xf>
    <xf numFmtId="0" fontId="6" fillId="0" borderId="0" xfId="0" applyFont="1"/>
    <xf numFmtId="0" fontId="0" fillId="0" borderId="1" xfId="0" applyBorder="1"/>
    <xf numFmtId="0" fontId="7" fillId="3" borderId="0" xfId="0" applyFont="1" applyFill="1" applyAlignment="1">
      <alignment horizontal="center" vertical="center" wrapText="1"/>
    </xf>
    <xf numFmtId="0" fontId="7" fillId="3" borderId="0" xfId="0" applyFont="1" applyFill="1"/>
    <xf numFmtId="0" fontId="3" fillId="0" borderId="0" xfId="0" applyFont="1" applyAlignment="1">
      <alignment horizontal="left"/>
    </xf>
    <xf numFmtId="0" fontId="5" fillId="0" borderId="0" xfId="0" applyFont="1" applyAlignment="1">
      <alignment horizontal="center"/>
    </xf>
    <xf numFmtId="0" fontId="5" fillId="0" borderId="1" xfId="0" applyFont="1" applyBorder="1" applyAlignment="1">
      <alignment horizontal="center"/>
    </xf>
    <xf numFmtId="0" fontId="0" fillId="0" borderId="0" xfId="0" applyAlignment="1">
      <alignment horizontal="left"/>
    </xf>
    <xf numFmtId="0" fontId="2" fillId="0" borderId="1" xfId="0" applyFont="1" applyBorder="1" applyAlignment="1">
      <alignment horizontal="center"/>
    </xf>
    <xf numFmtId="0" fontId="5" fillId="2" borderId="0" xfId="0" applyFont="1" applyFill="1"/>
    <xf numFmtId="0" fontId="5" fillId="2" borderId="0" xfId="0" applyFont="1" applyFill="1" applyAlignment="1">
      <alignment horizontal="center"/>
    </xf>
    <xf numFmtId="0" fontId="6" fillId="0" borderId="0" xfId="0" applyFont="1" applyAlignment="1">
      <alignment vertical="center" wrapText="1"/>
    </xf>
    <xf numFmtId="0" fontId="2" fillId="0" borderId="1" xfId="0" applyFont="1" applyBorder="1"/>
    <xf numFmtId="0" fontId="0" fillId="4" borderId="0" xfId="0" applyFill="1"/>
    <xf numFmtId="0" fontId="1" fillId="0" borderId="0" xfId="1" applyNumberFormat="1" applyFont="1" applyFill="1"/>
    <xf numFmtId="0" fontId="5" fillId="0" borderId="2" xfId="0" applyFont="1" applyBorder="1" applyAlignment="1">
      <alignment horizontal="center" vertical="center" wrapText="1"/>
    </xf>
    <xf numFmtId="0" fontId="5" fillId="0" borderId="2" xfId="0" applyFont="1" applyBorder="1"/>
    <xf numFmtId="0" fontId="5" fillId="0" borderId="2" xfId="0" applyFont="1" applyBorder="1" applyAlignment="1">
      <alignment horizontal="center"/>
    </xf>
    <xf numFmtId="0" fontId="5" fillId="0" borderId="3" xfId="0" applyFont="1" applyBorder="1" applyAlignment="1">
      <alignment horizontal="center"/>
    </xf>
    <xf numFmtId="0" fontId="5" fillId="2" borderId="0" xfId="0" applyFont="1" applyFill="1" applyAlignment="1">
      <alignment horizontal="center" vertical="center" wrapText="1"/>
    </xf>
    <xf numFmtId="0" fontId="0" fillId="0" borderId="0" xfId="0" applyAlignment="1">
      <alignment horizontal="center" vertical="center"/>
    </xf>
    <xf numFmtId="0" fontId="2" fillId="0" borderId="0" xfId="0" applyFont="1" applyAlignment="1">
      <alignment horizontal="left"/>
    </xf>
    <xf numFmtId="0" fontId="0" fillId="0" borderId="1" xfId="0" applyBorder="1" applyAlignment="1">
      <alignment horizontal="center"/>
    </xf>
    <xf numFmtId="0" fontId="3" fillId="5" borderId="0" xfId="0" applyFont="1" applyFill="1"/>
    <xf numFmtId="0" fontId="4" fillId="5" borderId="0" xfId="0" applyFont="1" applyFill="1" applyAlignment="1">
      <alignment horizontal="center"/>
    </xf>
    <xf numFmtId="0" fontId="0" fillId="5" borderId="0" xfId="0" applyFill="1" applyAlignment="1">
      <alignment horizontal="center"/>
    </xf>
    <xf numFmtId="0" fontId="0" fillId="5" borderId="0" xfId="0" applyFill="1"/>
    <xf numFmtId="0" fontId="1" fillId="5" borderId="0" xfId="1" applyNumberFormat="1" applyFont="1" applyFill="1"/>
    <xf numFmtId="0" fontId="3" fillId="6" borderId="0" xfId="0" applyFont="1" applyFill="1"/>
    <xf numFmtId="0" fontId="4" fillId="6" borderId="0" xfId="0" applyFont="1" applyFill="1" applyAlignment="1">
      <alignment horizontal="center"/>
    </xf>
    <xf numFmtId="0" fontId="2" fillId="6" borderId="0" xfId="0" applyFont="1" applyFill="1" applyAlignment="1">
      <alignment horizontal="center"/>
    </xf>
    <xf numFmtId="0" fontId="0" fillId="6" borderId="0" xfId="0" applyFill="1" applyAlignment="1">
      <alignment horizontal="center"/>
    </xf>
    <xf numFmtId="0" fontId="0" fillId="6" borderId="0" xfId="0" applyFill="1"/>
    <xf numFmtId="0" fontId="0" fillId="6" borderId="0" xfId="0" applyFill="1" applyAlignment="1">
      <alignment horizontal="right"/>
    </xf>
    <xf numFmtId="0" fontId="3" fillId="6" borderId="0" xfId="0" applyFont="1" applyFill="1" applyAlignment="1">
      <alignment horizontal="center"/>
    </xf>
    <xf numFmtId="0" fontId="3" fillId="7" borderId="0" xfId="0" applyFont="1" applyFill="1"/>
    <xf numFmtId="0" fontId="3" fillId="7" borderId="0" xfId="0" applyFont="1" applyFill="1" applyAlignment="1">
      <alignment horizontal="center"/>
    </xf>
    <xf numFmtId="0" fontId="2" fillId="7" borderId="0" xfId="0" applyFont="1" applyFill="1" applyAlignment="1">
      <alignment horizontal="center"/>
    </xf>
    <xf numFmtId="0" fontId="0" fillId="7" borderId="0" xfId="0" applyFill="1" applyAlignment="1">
      <alignment horizontal="center"/>
    </xf>
    <xf numFmtId="0" fontId="0" fillId="7" borderId="0" xfId="0" applyFill="1"/>
    <xf numFmtId="0" fontId="3" fillId="4" borderId="0" xfId="0" applyFont="1" applyFill="1"/>
    <xf numFmtId="0" fontId="4" fillId="4" borderId="0" xfId="0" applyFont="1" applyFill="1" applyAlignment="1">
      <alignment horizontal="center"/>
    </xf>
    <xf numFmtId="0" fontId="2" fillId="4" borderId="0" xfId="0" applyFont="1" applyFill="1" applyAlignment="1">
      <alignment horizontal="center"/>
    </xf>
    <xf numFmtId="0" fontId="0" fillId="4" borderId="0" xfId="0" applyFill="1" applyAlignment="1">
      <alignment horizontal="center"/>
    </xf>
    <xf numFmtId="0" fontId="0" fillId="4" borderId="0" xfId="0" applyFill="1" applyAlignment="1">
      <alignment horizontal="right"/>
    </xf>
    <xf numFmtId="0" fontId="3" fillId="8" borderId="0" xfId="0" applyFont="1" applyFill="1"/>
    <xf numFmtId="0" fontId="4" fillId="8" borderId="0" xfId="0" applyFont="1" applyFill="1" applyAlignment="1">
      <alignment horizontal="center"/>
    </xf>
    <xf numFmtId="0" fontId="2" fillId="8" borderId="0" xfId="0" applyFont="1" applyFill="1" applyAlignment="1">
      <alignment horizontal="center"/>
    </xf>
    <xf numFmtId="0" fontId="0" fillId="8" borderId="0" xfId="0" applyFill="1" applyAlignment="1">
      <alignment horizontal="center"/>
    </xf>
    <xf numFmtId="0" fontId="0" fillId="8" borderId="0" xfId="0" applyFill="1"/>
    <xf numFmtId="0" fontId="0" fillId="8" borderId="0" xfId="0" applyFill="1" applyAlignment="1">
      <alignment horizontal="right"/>
    </xf>
    <xf numFmtId="0" fontId="3" fillId="9" borderId="0" xfId="0" applyFont="1" applyFill="1"/>
    <xf numFmtId="0" fontId="4" fillId="9" borderId="0" xfId="0" applyFont="1" applyFill="1" applyAlignment="1">
      <alignment horizontal="center"/>
    </xf>
    <xf numFmtId="0" fontId="2" fillId="9" borderId="0" xfId="0" applyFont="1" applyFill="1" applyAlignment="1">
      <alignment horizontal="center"/>
    </xf>
    <xf numFmtId="0" fontId="0" fillId="9" borderId="0" xfId="0" applyFill="1" applyAlignment="1">
      <alignment horizontal="center"/>
    </xf>
    <xf numFmtId="0" fontId="0" fillId="9" borderId="0" xfId="0" applyFill="1"/>
    <xf numFmtId="0" fontId="0" fillId="9" borderId="0" xfId="0" applyFill="1" applyAlignment="1">
      <alignment horizontal="right"/>
    </xf>
    <xf numFmtId="0" fontId="1" fillId="4" borderId="0" xfId="1" applyNumberFormat="1" applyFont="1" applyFill="1"/>
    <xf numFmtId="0" fontId="0" fillId="2" borderId="4" xfId="0" applyFill="1" applyBorder="1" applyAlignment="1">
      <alignment horizontal="center"/>
    </xf>
    <xf numFmtId="0" fontId="6" fillId="5" borderId="0" xfId="0" applyFont="1" applyFill="1" applyAlignment="1">
      <alignment horizontal="center"/>
    </xf>
    <xf numFmtId="0" fontId="3" fillId="5" borderId="4" xfId="0" applyFont="1" applyFill="1" applyBorder="1"/>
    <xf numFmtId="0" fontId="4" fillId="5" borderId="4" xfId="0" applyFont="1" applyFill="1" applyBorder="1" applyAlignment="1">
      <alignment horizontal="center"/>
    </xf>
    <xf numFmtId="0" fontId="6" fillId="5" borderId="4" xfId="0" applyFont="1" applyFill="1" applyBorder="1" applyAlignment="1">
      <alignment horizontal="center"/>
    </xf>
    <xf numFmtId="0" fontId="0" fillId="5" borderId="4" xfId="0" applyFill="1" applyBorder="1" applyAlignment="1">
      <alignment horizontal="center"/>
    </xf>
    <xf numFmtId="0" fontId="0" fillId="5" borderId="4" xfId="0" applyFill="1" applyBorder="1"/>
    <xf numFmtId="0" fontId="5" fillId="0" borderId="2" xfId="0" applyFont="1" applyBorder="1" applyAlignment="1">
      <alignment horizontal="right"/>
    </xf>
    <xf numFmtId="0" fontId="7" fillId="3" borderId="0" xfId="0" applyFont="1" applyFill="1" applyAlignment="1">
      <alignment horizontal="right"/>
    </xf>
    <xf numFmtId="0" fontId="0" fillId="2" borderId="0" xfId="0" applyFill="1" applyAlignment="1">
      <alignment horizontal="right" vertical="center"/>
    </xf>
    <xf numFmtId="0" fontId="0" fillId="0" borderId="0" xfId="0" applyAlignment="1">
      <alignment horizontal="right"/>
    </xf>
    <xf numFmtId="0" fontId="0" fillId="5" borderId="0" xfId="0" applyFill="1" applyAlignment="1">
      <alignment horizontal="right"/>
    </xf>
    <xf numFmtId="0" fontId="0" fillId="5" borderId="4" xfId="0" applyFill="1" applyBorder="1" applyAlignment="1">
      <alignment horizontal="right"/>
    </xf>
    <xf numFmtId="0" fontId="3" fillId="4" borderId="0" xfId="0" applyFont="1" applyFill="1" applyAlignment="1">
      <alignment horizontal="center"/>
    </xf>
    <xf numFmtId="0" fontId="4" fillId="7" borderId="0" xfId="0" applyFont="1" applyFill="1" applyAlignment="1">
      <alignment horizontal="center"/>
    </xf>
    <xf numFmtId="0" fontId="0" fillId="7" borderId="0" xfId="0" applyFill="1" applyAlignment="1">
      <alignment horizontal="right"/>
    </xf>
    <xf numFmtId="0" fontId="0" fillId="10" borderId="1" xfId="0" applyFill="1" applyBorder="1"/>
    <xf numFmtId="0" fontId="5" fillId="2" borderId="0" xfId="0" applyFont="1" applyFill="1" applyAlignment="1">
      <alignment horizontal="center" vertical="center"/>
    </xf>
    <xf numFmtId="0" fontId="6" fillId="0" borderId="0" xfId="0" applyFont="1" applyAlignment="1">
      <alignment horizontal="center" wrapText="1"/>
    </xf>
    <xf numFmtId="0" fontId="6" fillId="2" borderId="0" xfId="0" applyFont="1" applyFill="1" applyAlignment="1">
      <alignment horizontal="center"/>
    </xf>
    <xf numFmtId="0" fontId="6" fillId="2" borderId="0" xfId="0" applyFont="1" applyFill="1" applyAlignment="1">
      <alignment horizontal="center" vertical="center"/>
    </xf>
    <xf numFmtId="0" fontId="5" fillId="0" borderId="5" xfId="0" applyFont="1" applyBorder="1" applyAlignment="1">
      <alignment horizontal="center"/>
    </xf>
    <xf numFmtId="0" fontId="7" fillId="3" borderId="1" xfId="0" applyFont="1" applyFill="1" applyBorder="1"/>
    <xf numFmtId="0" fontId="6" fillId="0" borderId="1" xfId="0" applyFont="1" applyBorder="1" applyAlignment="1">
      <alignment horizontal="center" vertical="center" wrapText="1"/>
    </xf>
    <xf numFmtId="0" fontId="0" fillId="2" borderId="1" xfId="0" applyFill="1" applyBorder="1" applyAlignment="1">
      <alignment horizontal="center" vertical="center"/>
    </xf>
    <xf numFmtId="0" fontId="0" fillId="6" borderId="1" xfId="0" applyFill="1" applyBorder="1"/>
    <xf numFmtId="0" fontId="0" fillId="7" borderId="1" xfId="0" applyFill="1" applyBorder="1"/>
    <xf numFmtId="0" fontId="0" fillId="8" borderId="1" xfId="0" applyFill="1" applyBorder="1"/>
    <xf numFmtId="0" fontId="1" fillId="0" borderId="1" xfId="1" applyNumberFormat="1" applyFont="1" applyBorder="1"/>
    <xf numFmtId="0" fontId="1" fillId="0" borderId="1" xfId="1" applyNumberFormat="1" applyFont="1" applyFill="1" applyBorder="1"/>
    <xf numFmtId="0" fontId="1" fillId="4" borderId="1" xfId="1" applyNumberFormat="1" applyFont="1" applyFill="1" applyBorder="1"/>
    <xf numFmtId="0" fontId="0" fillId="4" borderId="1" xfId="0" applyFill="1" applyBorder="1"/>
    <xf numFmtId="0" fontId="1" fillId="5" borderId="1" xfId="1" applyNumberFormat="1" applyFont="1" applyFill="1" applyBorder="1"/>
    <xf numFmtId="0" fontId="0" fillId="5" borderId="6" xfId="0" applyFill="1" applyBorder="1"/>
    <xf numFmtId="0" fontId="7" fillId="3" borderId="7" xfId="0" applyFont="1" applyFill="1" applyBorder="1"/>
    <xf numFmtId="0" fontId="2" fillId="0" borderId="7" xfId="0" applyFont="1" applyBorder="1" applyAlignment="1">
      <alignment horizontal="center"/>
    </xf>
    <xf numFmtId="0" fontId="6" fillId="0" borderId="7" xfId="0" applyFont="1" applyBorder="1" applyAlignment="1">
      <alignment horizontal="center" vertical="center" wrapText="1"/>
    </xf>
    <xf numFmtId="0" fontId="0" fillId="2" borderId="7" xfId="0" applyFill="1" applyBorder="1" applyAlignment="1">
      <alignment horizontal="center" vertical="center"/>
    </xf>
    <xf numFmtId="0" fontId="0" fillId="6" borderId="7" xfId="0" applyFill="1" applyBorder="1"/>
    <xf numFmtId="0" fontId="0" fillId="7" borderId="7" xfId="0" applyFill="1" applyBorder="1"/>
    <xf numFmtId="0" fontId="0" fillId="0" borderId="7" xfId="0" applyBorder="1"/>
    <xf numFmtId="0" fontId="0" fillId="9" borderId="7" xfId="0" applyFill="1" applyBorder="1"/>
    <xf numFmtId="0" fontId="0" fillId="9" borderId="1" xfId="0" applyFill="1" applyBorder="1"/>
    <xf numFmtId="0" fontId="0" fillId="4" borderId="7" xfId="0" applyFill="1" applyBorder="1"/>
    <xf numFmtId="0" fontId="0" fillId="5" borderId="7" xfId="0" applyFill="1" applyBorder="1"/>
    <xf numFmtId="0" fontId="0" fillId="5" borderId="1" xfId="0" applyFill="1" applyBorder="1"/>
    <xf numFmtId="0" fontId="0" fillId="5" borderId="8" xfId="0" applyFill="1" applyBorder="1"/>
    <xf numFmtId="9" fontId="1" fillId="6" borderId="7" xfId="1" applyFont="1" applyFill="1" applyBorder="1"/>
    <xf numFmtId="9" fontId="1" fillId="6" borderId="1" xfId="1" applyFont="1" applyFill="1" applyBorder="1"/>
    <xf numFmtId="9" fontId="1" fillId="7" borderId="7" xfId="1" applyFont="1" applyFill="1" applyBorder="1"/>
    <xf numFmtId="9" fontId="1" fillId="7" borderId="1" xfId="1" applyFont="1" applyFill="1" applyBorder="1"/>
    <xf numFmtId="9" fontId="1" fillId="11" borderId="7" xfId="1" applyFont="1" applyFill="1" applyBorder="1"/>
    <xf numFmtId="9" fontId="1" fillId="11" borderId="1" xfId="1" applyFont="1" applyFill="1" applyBorder="1"/>
    <xf numFmtId="9" fontId="1" fillId="8" borderId="7" xfId="1" applyFont="1" applyFill="1" applyBorder="1"/>
    <xf numFmtId="9" fontId="1" fillId="8" borderId="1" xfId="1" applyFont="1" applyFill="1" applyBorder="1"/>
    <xf numFmtId="9" fontId="1" fillId="9" borderId="7" xfId="1" applyFont="1" applyFill="1" applyBorder="1"/>
    <xf numFmtId="9" fontId="1" fillId="9" borderId="1" xfId="1" applyFont="1" applyFill="1" applyBorder="1"/>
    <xf numFmtId="9" fontId="1" fillId="0" borderId="7" xfId="1" applyFont="1" applyBorder="1"/>
    <xf numFmtId="9" fontId="1" fillId="0" borderId="1" xfId="1" applyFont="1" applyBorder="1"/>
    <xf numFmtId="9" fontId="1" fillId="0" borderId="7" xfId="1" applyFont="1" applyFill="1" applyBorder="1"/>
    <xf numFmtId="9" fontId="1" fillId="0" borderId="1" xfId="1" applyFont="1" applyFill="1" applyBorder="1"/>
    <xf numFmtId="9" fontId="1" fillId="4" borderId="7" xfId="1" applyFont="1" applyFill="1" applyBorder="1"/>
    <xf numFmtId="9" fontId="1" fillId="4" borderId="1" xfId="1" applyFont="1" applyFill="1" applyBorder="1"/>
    <xf numFmtId="9" fontId="1" fillId="5" borderId="7" xfId="1" applyFont="1" applyFill="1" applyBorder="1"/>
    <xf numFmtId="9" fontId="1" fillId="5" borderId="1" xfId="1" applyFont="1" applyFill="1" applyBorder="1"/>
    <xf numFmtId="9" fontId="1" fillId="5" borderId="8" xfId="1" applyFont="1" applyFill="1" applyBorder="1"/>
    <xf numFmtId="9" fontId="1" fillId="5" borderId="6" xfId="1" applyFont="1" applyFill="1" applyBorder="1"/>
    <xf numFmtId="0" fontId="1" fillId="6" borderId="7" xfId="1" applyNumberFormat="1" applyFont="1" applyFill="1" applyBorder="1"/>
    <xf numFmtId="0" fontId="1" fillId="6" borderId="1" xfId="1" applyNumberFormat="1" applyFont="1" applyFill="1" applyBorder="1"/>
    <xf numFmtId="0" fontId="4" fillId="6" borderId="7" xfId="1" applyNumberFormat="1" applyFont="1" applyFill="1" applyBorder="1"/>
    <xf numFmtId="0" fontId="4" fillId="6" borderId="1" xfId="1" applyNumberFormat="1" applyFont="1" applyFill="1" applyBorder="1"/>
    <xf numFmtId="0" fontId="1" fillId="7" borderId="7" xfId="1" applyNumberFormat="1" applyFont="1" applyFill="1" applyBorder="1"/>
    <xf numFmtId="0" fontId="1" fillId="7" borderId="1" xfId="1" applyNumberFormat="1" applyFont="1" applyFill="1" applyBorder="1"/>
    <xf numFmtId="0" fontId="0" fillId="8" borderId="7" xfId="0" applyFill="1" applyBorder="1"/>
    <xf numFmtId="0" fontId="1" fillId="0" borderId="7" xfId="1" applyNumberFormat="1" applyFont="1" applyBorder="1"/>
    <xf numFmtId="0" fontId="1" fillId="0" borderId="7" xfId="1" applyNumberFormat="1" applyFont="1" applyFill="1" applyBorder="1"/>
    <xf numFmtId="0" fontId="1" fillId="4" borderId="7" xfId="1" applyNumberFormat="1" applyFont="1" applyFill="1" applyBorder="1"/>
    <xf numFmtId="0" fontId="0" fillId="10" borderId="7" xfId="0" applyFill="1" applyBorder="1"/>
    <xf numFmtId="0" fontId="4" fillId="7" borderId="7" xfId="1" applyNumberFormat="1" applyFont="1" applyFill="1" applyBorder="1"/>
    <xf numFmtId="0" fontId="4" fillId="7" borderId="1" xfId="1" applyNumberFormat="1" applyFont="1" applyFill="1" applyBorder="1"/>
    <xf numFmtId="165" fontId="0" fillId="8" borderId="7" xfId="0" applyNumberFormat="1" applyFill="1" applyBorder="1"/>
    <xf numFmtId="165" fontId="0" fillId="8" borderId="1" xfId="0" applyNumberFormat="1" applyFill="1" applyBorder="1"/>
    <xf numFmtId="164" fontId="0" fillId="0" borderId="7" xfId="0" applyNumberFormat="1" applyBorder="1"/>
    <xf numFmtId="164" fontId="0" fillId="0" borderId="1" xfId="0" applyNumberFormat="1" applyBorder="1"/>
    <xf numFmtId="0" fontId="6" fillId="0" borderId="1" xfId="0" applyFont="1" applyBorder="1" applyAlignment="1">
      <alignment horizontal="center" wrapText="1"/>
    </xf>
    <xf numFmtId="0" fontId="4" fillId="9" borderId="7" xfId="0" applyFont="1" applyFill="1" applyBorder="1"/>
    <xf numFmtId="0" fontId="4" fillId="9" borderId="1" xfId="0" applyFont="1" applyFill="1" applyBorder="1"/>
    <xf numFmtId="165" fontId="0" fillId="9" borderId="7" xfId="0" applyNumberFormat="1" applyFill="1" applyBorder="1"/>
    <xf numFmtId="165" fontId="0" fillId="9" borderId="1" xfId="0" applyNumberFormat="1" applyFill="1" applyBorder="1"/>
    <xf numFmtId="0" fontId="0" fillId="12" borderId="7" xfId="0" applyFill="1" applyBorder="1"/>
    <xf numFmtId="0" fontId="0" fillId="12" borderId="1" xfId="0" applyFill="1" applyBorder="1"/>
    <xf numFmtId="0" fontId="0" fillId="12" borderId="0" xfId="0" applyFill="1"/>
    <xf numFmtId="1" fontId="0" fillId="12" borderId="0" xfId="0" applyNumberFormat="1" applyFill="1"/>
    <xf numFmtId="0" fontId="1" fillId="12" borderId="7" xfId="1" quotePrefix="1" applyNumberFormat="1" applyFont="1" applyFill="1" applyBorder="1"/>
    <xf numFmtId="0" fontId="1" fillId="12" borderId="1" xfId="1" quotePrefix="1" applyNumberFormat="1" applyFont="1" applyFill="1" applyBorder="1"/>
    <xf numFmtId="0" fontId="5" fillId="0" borderId="0" xfId="0" applyFont="1" applyAlignment="1">
      <alignment horizontal="center" vertical="center"/>
    </xf>
    <xf numFmtId="9" fontId="0" fillId="0" borderId="0" xfId="1" applyFont="1" applyFill="1" applyBorder="1"/>
    <xf numFmtId="1" fontId="0" fillId="0" borderId="0" xfId="0" applyNumberFormat="1"/>
    <xf numFmtId="0" fontId="0" fillId="0" borderId="4" xfId="0" applyBorder="1"/>
    <xf numFmtId="0" fontId="2" fillId="0" borderId="7" xfId="0" applyFont="1" applyBorder="1"/>
    <xf numFmtId="0" fontId="5" fillId="0" borderId="7" xfId="0" applyFont="1" applyBorder="1" applyAlignment="1">
      <alignment horizontal="center"/>
    </xf>
    <xf numFmtId="0" fontId="1" fillId="10" borderId="7" xfId="1" applyNumberFormat="1" applyFont="1" applyFill="1" applyBorder="1"/>
    <xf numFmtId="0" fontId="1" fillId="10" borderId="1" xfId="1" applyNumberFormat="1" applyFont="1" applyFill="1" applyBorder="1"/>
    <xf numFmtId="0" fontId="0" fillId="13" borderId="7" xfId="0" applyFill="1" applyBorder="1"/>
    <xf numFmtId="0" fontId="0" fillId="13" borderId="1" xfId="0" applyFill="1" applyBorder="1"/>
    <xf numFmtId="0" fontId="0" fillId="13" borderId="9" xfId="0" applyFill="1" applyBorder="1"/>
    <xf numFmtId="0" fontId="4" fillId="0" borderId="0" xfId="0" applyFont="1" applyAlignment="1">
      <alignment horizontal="right"/>
    </xf>
    <xf numFmtId="1" fontId="4" fillId="6" borderId="7" xfId="1" applyNumberFormat="1" applyFont="1" applyFill="1" applyBorder="1"/>
    <xf numFmtId="1" fontId="4" fillId="6" borderId="1" xfId="1" applyNumberFormat="1" applyFont="1" applyFill="1" applyBorder="1"/>
    <xf numFmtId="1" fontId="0" fillId="7" borderId="7" xfId="0" applyNumberFormat="1" applyFill="1" applyBorder="1"/>
    <xf numFmtId="1" fontId="0" fillId="7" borderId="1" xfId="0" applyNumberFormat="1" applyFill="1" applyBorder="1"/>
    <xf numFmtId="1" fontId="0" fillId="13" borderId="1" xfId="0" applyNumberFormat="1" applyFill="1" applyBorder="1"/>
    <xf numFmtId="1" fontId="0" fillId="8" borderId="7" xfId="0" applyNumberFormat="1" applyFill="1" applyBorder="1"/>
    <xf numFmtId="1" fontId="0" fillId="8" borderId="1" xfId="0" applyNumberFormat="1" applyFill="1" applyBorder="1"/>
    <xf numFmtId="1" fontId="1" fillId="0" borderId="7" xfId="1" applyNumberFormat="1" applyFont="1" applyBorder="1"/>
    <xf numFmtId="1" fontId="1" fillId="0" borderId="1" xfId="1" applyNumberFormat="1" applyFont="1" applyBorder="1"/>
    <xf numFmtId="1" fontId="1" fillId="0" borderId="7" xfId="1" applyNumberFormat="1" applyFont="1" applyFill="1" applyBorder="1"/>
    <xf numFmtId="1" fontId="1" fillId="0" borderId="1" xfId="1" applyNumberFormat="1" applyFont="1" applyFill="1" applyBorder="1"/>
    <xf numFmtId="1" fontId="1" fillId="4" borderId="7" xfId="1" applyNumberFormat="1" applyFont="1" applyFill="1" applyBorder="1"/>
    <xf numFmtId="1" fontId="1" fillId="4" borderId="1" xfId="1" applyNumberFormat="1" applyFont="1" applyFill="1" applyBorder="1"/>
    <xf numFmtId="1" fontId="0" fillId="4" borderId="7" xfId="0" applyNumberFormat="1" applyFill="1" applyBorder="1"/>
    <xf numFmtId="1" fontId="0" fillId="4" borderId="1" xfId="0" applyNumberFormat="1" applyFill="1" applyBorder="1"/>
    <xf numFmtId="1" fontId="0" fillId="5" borderId="7" xfId="0" applyNumberFormat="1" applyFill="1" applyBorder="1"/>
    <xf numFmtId="1" fontId="0" fillId="5" borderId="1" xfId="0" applyNumberFormat="1" applyFill="1" applyBorder="1"/>
    <xf numFmtId="1" fontId="0" fillId="5" borderId="8" xfId="0" applyNumberFormat="1" applyFill="1" applyBorder="1"/>
    <xf numFmtId="1" fontId="0" fillId="5" borderId="6" xfId="0" applyNumberFormat="1" applyFill="1" applyBorder="1"/>
    <xf numFmtId="1" fontId="0" fillId="0" borderId="7" xfId="0" applyNumberFormat="1" applyBorder="1"/>
    <xf numFmtId="1" fontId="0" fillId="0" borderId="1" xfId="0" applyNumberFormat="1" applyBorder="1"/>
    <xf numFmtId="0" fontId="3" fillId="12" borderId="0" xfId="0" applyFont="1" applyFill="1"/>
    <xf numFmtId="0" fontId="0" fillId="11" borderId="0" xfId="0" applyFill="1"/>
    <xf numFmtId="0" fontId="3" fillId="11" borderId="0" xfId="0" applyFont="1" applyFill="1"/>
    <xf numFmtId="0" fontId="3" fillId="11" borderId="0" xfId="0" applyFont="1" applyFill="1" applyAlignment="1">
      <alignment horizontal="center"/>
    </xf>
    <xf numFmtId="0" fontId="2" fillId="11" borderId="0" xfId="0" applyFont="1" applyFill="1" applyAlignment="1">
      <alignment horizontal="center"/>
    </xf>
    <xf numFmtId="0" fontId="0" fillId="11" borderId="0" xfId="0" applyFill="1" applyAlignment="1">
      <alignment horizontal="center"/>
    </xf>
    <xf numFmtId="0" fontId="0" fillId="11" borderId="0" xfId="0" applyFill="1" applyAlignment="1">
      <alignment horizontal="right"/>
    </xf>
    <xf numFmtId="0" fontId="4" fillId="11" borderId="0" xfId="0" applyFont="1" applyFill="1" applyAlignment="1">
      <alignment horizontal="left"/>
    </xf>
    <xf numFmtId="0" fontId="5" fillId="11" borderId="2" xfId="0" applyFont="1" applyFill="1" applyBorder="1" applyAlignment="1">
      <alignment horizontal="center" vertical="center" wrapText="1"/>
    </xf>
    <xf numFmtId="0" fontId="6" fillId="11" borderId="0" xfId="0" applyFont="1" applyFill="1"/>
    <xf numFmtId="0" fontId="6" fillId="11" borderId="0" xfId="0" applyFont="1" applyFill="1" applyAlignment="1">
      <alignment horizontal="right"/>
    </xf>
    <xf numFmtId="0" fontId="0" fillId="11" borderId="0" xfId="0" applyFill="1" applyAlignment="1">
      <alignment horizontal="left"/>
    </xf>
    <xf numFmtId="1" fontId="0" fillId="7" borderId="0" xfId="0" applyNumberFormat="1" applyFill="1"/>
    <xf numFmtId="0" fontId="5" fillId="11" borderId="2" xfId="0" applyFont="1" applyFill="1" applyBorder="1" applyAlignment="1">
      <alignment wrapText="1"/>
    </xf>
    <xf numFmtId="0" fontId="5" fillId="11" borderId="2" xfId="0" applyFont="1" applyFill="1" applyBorder="1" applyAlignment="1">
      <alignment horizontal="right" wrapText="1"/>
    </xf>
    <xf numFmtId="0" fontId="5" fillId="11" borderId="2" xfId="0" applyFont="1" applyFill="1" applyBorder="1" applyAlignment="1">
      <alignment horizontal="center" wrapText="1"/>
    </xf>
    <xf numFmtId="0" fontId="5" fillId="11" borderId="5" xfId="0" applyFont="1" applyFill="1" applyBorder="1" applyAlignment="1">
      <alignment horizontal="center" wrapText="1"/>
    </xf>
    <xf numFmtId="0" fontId="5" fillId="11" borderId="3" xfId="0" applyFont="1" applyFill="1" applyBorder="1" applyAlignment="1">
      <alignment horizontal="center" wrapText="1"/>
    </xf>
    <xf numFmtId="0" fontId="0" fillId="11" borderId="0" xfId="0" applyFill="1" applyAlignment="1">
      <alignment wrapText="1"/>
    </xf>
    <xf numFmtId="0" fontId="3" fillId="14" borderId="0" xfId="0" applyFont="1" applyFill="1"/>
    <xf numFmtId="0" fontId="4" fillId="14" borderId="0" xfId="0" applyFont="1" applyFill="1" applyAlignment="1">
      <alignment horizontal="center"/>
    </xf>
    <xf numFmtId="0" fontId="2" fillId="14" borderId="0" xfId="0" applyFont="1" applyFill="1" applyAlignment="1">
      <alignment horizontal="center"/>
    </xf>
    <xf numFmtId="0" fontId="3" fillId="14" borderId="0" xfId="0" applyFont="1" applyFill="1" applyAlignment="1">
      <alignment horizontal="center"/>
    </xf>
    <xf numFmtId="0" fontId="4" fillId="14" borderId="0" xfId="0" applyFont="1" applyFill="1"/>
    <xf numFmtId="0" fontId="4" fillId="14" borderId="1" xfId="0" applyFont="1" applyFill="1" applyBorder="1"/>
    <xf numFmtId="1" fontId="4" fillId="12" borderId="0" xfId="0" applyNumberFormat="1" applyFont="1" applyFill="1"/>
    <xf numFmtId="0" fontId="4" fillId="14" borderId="0" xfId="0" applyFont="1" applyFill="1" applyAlignment="1">
      <alignment horizontal="right"/>
    </xf>
    <xf numFmtId="0" fontId="4" fillId="14" borderId="7" xfId="0" applyFont="1" applyFill="1" applyBorder="1"/>
    <xf numFmtId="9" fontId="4" fillId="14" borderId="7" xfId="1" applyFont="1" applyFill="1" applyBorder="1"/>
    <xf numFmtId="9" fontId="4" fillId="14" borderId="1" xfId="1" applyFont="1" applyFill="1" applyBorder="1"/>
    <xf numFmtId="0" fontId="4" fillId="14" borderId="7" xfId="1" applyNumberFormat="1" applyFont="1" applyFill="1" applyBorder="1"/>
    <xf numFmtId="0" fontId="4" fillId="14" borderId="1" xfId="1" applyNumberFormat="1" applyFont="1" applyFill="1" applyBorder="1"/>
    <xf numFmtId="0" fontId="4" fillId="0" borderId="7" xfId="0" applyFont="1" applyBorder="1"/>
    <xf numFmtId="9" fontId="4" fillId="0" borderId="0" xfId="0" applyNumberFormat="1" applyFont="1"/>
    <xf numFmtId="0" fontId="4" fillId="0" borderId="0" xfId="0" applyFont="1" applyAlignment="1">
      <alignment horizontal="left" vertical="center" wrapText="1"/>
    </xf>
    <xf numFmtId="1" fontId="4" fillId="14" borderId="7" xfId="0" applyNumberFormat="1" applyFont="1" applyFill="1" applyBorder="1"/>
    <xf numFmtId="1" fontId="0" fillId="10" borderId="7" xfId="0" applyNumberFormat="1" applyFill="1" applyBorder="1"/>
    <xf numFmtId="1" fontId="0" fillId="10" borderId="1" xfId="0" applyNumberFormat="1" applyFill="1" applyBorder="1"/>
    <xf numFmtId="3" fontId="4" fillId="14" borderId="7" xfId="0" applyNumberFormat="1" applyFont="1" applyFill="1" applyBorder="1"/>
    <xf numFmtId="0" fontId="4" fillId="7" borderId="0" xfId="0" applyFont="1" applyFill="1"/>
    <xf numFmtId="0" fontId="0" fillId="7" borderId="0" xfId="0" applyFill="1" applyAlignment="1">
      <alignment horizontal="left"/>
    </xf>
    <xf numFmtId="0" fontId="4" fillId="7" borderId="0" xfId="0" applyFont="1" applyFill="1" applyAlignment="1">
      <alignment horizontal="left" vertical="center" wrapText="1"/>
    </xf>
    <xf numFmtId="0" fontId="4" fillId="7" borderId="0" xfId="0" applyFont="1" applyFill="1" applyAlignment="1">
      <alignment horizontal="right"/>
    </xf>
    <xf numFmtId="0" fontId="0" fillId="14" borderId="0" xfId="0" applyFill="1" applyAlignment="1">
      <alignment horizontal="left"/>
    </xf>
    <xf numFmtId="0" fontId="4" fillId="14" borderId="0" xfId="0" applyFont="1" applyFill="1" applyAlignment="1">
      <alignment horizontal="left" vertical="center" wrapText="1"/>
    </xf>
    <xf numFmtId="0" fontId="4" fillId="6" borderId="0" xfId="0" applyFont="1" applyFill="1"/>
    <xf numFmtId="1" fontId="0" fillId="6" borderId="0" xfId="0" applyNumberFormat="1" applyFill="1"/>
    <xf numFmtId="1" fontId="0" fillId="6" borderId="7" xfId="0" applyNumberFormat="1" applyFill="1" applyBorder="1"/>
    <xf numFmtId="1" fontId="0" fillId="6" borderId="1" xfId="0" applyNumberFormat="1" applyFill="1" applyBorder="1"/>
    <xf numFmtId="1" fontId="4" fillId="14" borderId="0" xfId="0" applyNumberFormat="1" applyFont="1" applyFill="1"/>
    <xf numFmtId="0" fontId="0" fillId="6" borderId="0" xfId="0" applyFill="1" applyAlignment="1">
      <alignment horizontal="left"/>
    </xf>
    <xf numFmtId="0" fontId="4" fillId="6" borderId="0" xfId="0" applyFont="1" applyFill="1" applyAlignment="1">
      <alignment horizontal="left" vertical="center" wrapText="1"/>
    </xf>
    <xf numFmtId="0" fontId="4" fillId="6" borderId="0" xfId="0" applyFont="1" applyFill="1" applyAlignment="1">
      <alignment horizontal="right"/>
    </xf>
    <xf numFmtId="0" fontId="2" fillId="6" borderId="0" xfId="0" applyFont="1" applyFill="1"/>
    <xf numFmtId="0" fontId="2" fillId="6" borderId="0" xfId="0" applyFont="1" applyFill="1" applyAlignment="1">
      <alignment horizontal="left"/>
    </xf>
    <xf numFmtId="0" fontId="2" fillId="7" borderId="0" xfId="0" applyFont="1" applyFill="1"/>
    <xf numFmtId="0" fontId="2" fillId="7" borderId="0" xfId="0" applyFont="1" applyFill="1" applyAlignment="1">
      <alignment horizontal="left"/>
    </xf>
    <xf numFmtId="0" fontId="0" fillId="14" borderId="0" xfId="0" applyFill="1" applyAlignment="1">
      <alignment horizontal="center"/>
    </xf>
    <xf numFmtId="0" fontId="2" fillId="14" borderId="0" xfId="0" applyFont="1" applyFill="1"/>
    <xf numFmtId="0" fontId="2" fillId="14" borderId="0" xfId="0" applyFont="1" applyFill="1" applyAlignment="1">
      <alignment horizontal="left"/>
    </xf>
    <xf numFmtId="0" fontId="0" fillId="14" borderId="0" xfId="0" applyFill="1"/>
    <xf numFmtId="0" fontId="0" fillId="14" borderId="7" xfId="0" applyFill="1" applyBorder="1"/>
    <xf numFmtId="165" fontId="0" fillId="12" borderId="7" xfId="0" applyNumberFormat="1" applyFill="1" applyBorder="1"/>
    <xf numFmtId="165" fontId="0" fillId="12" borderId="1" xfId="0" applyNumberFormat="1" applyFill="1" applyBorder="1"/>
    <xf numFmtId="165" fontId="4" fillId="12" borderId="7" xfId="0" applyNumberFormat="1" applyFont="1" applyFill="1" applyBorder="1"/>
    <xf numFmtId="165" fontId="4" fillId="12" borderId="1" xfId="0" applyNumberFormat="1" applyFont="1" applyFill="1" applyBorder="1"/>
    <xf numFmtId="3" fontId="0" fillId="12" borderId="1" xfId="0" applyNumberFormat="1" applyFill="1" applyBorder="1"/>
    <xf numFmtId="0" fontId="6" fillId="14" borderId="0" xfId="0" applyFont="1" applyFill="1"/>
    <xf numFmtId="0" fontId="6" fillId="7" borderId="0" xfId="0" applyFont="1" applyFill="1"/>
    <xf numFmtId="0" fontId="6" fillId="6" borderId="0" xfId="0" applyFont="1" applyFill="1"/>
    <xf numFmtId="1" fontId="0" fillId="12" borderId="7" xfId="0" applyNumberFormat="1" applyFill="1" applyBorder="1"/>
    <xf numFmtId="0" fontId="0" fillId="11" borderId="9" xfId="0" applyFill="1" applyBorder="1"/>
    <xf numFmtId="0" fontId="0" fillId="11" borderId="1" xfId="0" applyFill="1" applyBorder="1"/>
    <xf numFmtId="1" fontId="0" fillId="11" borderId="7" xfId="0" applyNumberFormat="1" applyFill="1" applyBorder="1"/>
    <xf numFmtId="0" fontId="0" fillId="11" borderId="7" xfId="0" applyFill="1" applyBorder="1"/>
    <xf numFmtId="167" fontId="0" fillId="7" borderId="7" xfId="0" applyNumberFormat="1" applyFill="1" applyBorder="1"/>
    <xf numFmtId="164" fontId="10" fillId="0" borderId="0" xfId="0" applyNumberFormat="1" applyFont="1"/>
    <xf numFmtId="0" fontId="0" fillId="15" borderId="8" xfId="0" applyFill="1" applyBorder="1"/>
    <xf numFmtId="166" fontId="4" fillId="0" borderId="7" xfId="0" applyNumberFormat="1" applyFont="1" applyBorder="1"/>
    <xf numFmtId="2" fontId="0" fillId="0" borderId="1" xfId="0" applyNumberFormat="1" applyBorder="1"/>
    <xf numFmtId="4" fontId="0" fillId="4" borderId="1" xfId="0" applyNumberFormat="1" applyFill="1" applyBorder="1"/>
    <xf numFmtId="0" fontId="2" fillId="0" borderId="0" xfId="0" applyFont="1" applyAlignment="1"/>
    <xf numFmtId="0" fontId="2" fillId="0" borderId="1" xfId="0" applyFont="1" applyBorder="1" applyAlignment="1"/>
    <xf numFmtId="0" fontId="2" fillId="0" borderId="0" xfId="0" applyFont="1" applyBorder="1" applyAlignment="1"/>
    <xf numFmtId="0" fontId="0" fillId="0" borderId="0" xfId="0" applyBorder="1" applyAlignment="1">
      <alignment horizontal="center"/>
    </xf>
    <xf numFmtId="0" fontId="2" fillId="0" borderId="0" xfId="0" applyFont="1" applyBorder="1" applyAlignment="1">
      <alignment horizontal="center"/>
    </xf>
    <xf numFmtId="0" fontId="2" fillId="0" borderId="0" xfId="0" applyFont="1" applyBorder="1"/>
    <xf numFmtId="0" fontId="5" fillId="0" borderId="0" xfId="0" applyFont="1" applyBorder="1" applyAlignment="1">
      <alignment horizontal="center"/>
    </xf>
    <xf numFmtId="0" fontId="0" fillId="6" borderId="0" xfId="0" applyFill="1" applyBorder="1"/>
    <xf numFmtId="0" fontId="0" fillId="7" borderId="0" xfId="0" applyFill="1" applyBorder="1"/>
    <xf numFmtId="0" fontId="0" fillId="14" borderId="0" xfId="0" applyFill="1" applyBorder="1"/>
    <xf numFmtId="0" fontId="0" fillId="0" borderId="0" xfId="0" applyBorder="1"/>
    <xf numFmtId="0" fontId="0" fillId="0" borderId="1" xfId="0" applyBorder="1" applyAlignment="1">
      <alignment horizontal="left"/>
    </xf>
    <xf numFmtId="0" fontId="2" fillId="6" borderId="1" xfId="0" applyFont="1" applyFill="1" applyBorder="1" applyAlignment="1">
      <alignment horizontal="center"/>
    </xf>
    <xf numFmtId="0" fontId="2" fillId="7" borderId="1" xfId="0" applyFont="1" applyFill="1" applyBorder="1" applyAlignment="1">
      <alignment horizontal="center"/>
    </xf>
    <xf numFmtId="0" fontId="2" fillId="14" borderId="1" xfId="0" applyFont="1" applyFill="1" applyBorder="1" applyAlignment="1">
      <alignment horizontal="center"/>
    </xf>
    <xf numFmtId="0" fontId="0" fillId="0" borderId="0" xfId="0" applyFill="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8" fillId="0" borderId="0" xfId="0" applyFont="1" applyAlignment="1">
      <alignment horizontal="center" vertical="center" textRotation="90"/>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2" fillId="11" borderId="0" xfId="0" applyFont="1" applyFill="1" applyAlignment="1">
      <alignment horizontal="left" wrapText="1"/>
    </xf>
    <xf numFmtId="0" fontId="2" fillId="11" borderId="1" xfId="0" applyFont="1" applyFill="1" applyBorder="1" applyAlignment="1">
      <alignment horizontal="left" wrapText="1"/>
    </xf>
    <xf numFmtId="0" fontId="0" fillId="0" borderId="0" xfId="0" applyAlignment="1">
      <alignment horizontal="center" vertical="center" wrapText="1"/>
    </xf>
  </cellXfs>
  <cellStyles count="2">
    <cellStyle name="Normal" xfId="0" builtinId="0"/>
    <cellStyle name="Percent" xfId="1" builtinId="5"/>
  </cellStyles>
  <dxfs count="9">
    <dxf>
      <font>
        <color theme="9"/>
      </font>
      <fill>
        <patternFill patternType="none">
          <bgColor indexed="65"/>
        </patternFill>
      </fill>
    </dxf>
    <dxf>
      <font>
        <color theme="9"/>
      </font>
      <fill>
        <patternFill patternType="none">
          <bgColor auto="1"/>
        </patternFill>
      </fill>
    </dxf>
    <dxf>
      <font>
        <color rgb="FF9C0006"/>
      </font>
    </dxf>
    <dxf>
      <font>
        <color theme="9"/>
      </font>
      <fill>
        <patternFill patternType="none">
          <bgColor indexed="65"/>
        </patternFill>
      </fill>
    </dxf>
    <dxf>
      <font>
        <color theme="9"/>
      </font>
      <fill>
        <patternFill patternType="none">
          <bgColor auto="1"/>
        </patternFill>
      </fill>
    </dxf>
    <dxf>
      <font>
        <color rgb="FF9C0006"/>
      </font>
    </dxf>
    <dxf>
      <font>
        <color theme="9"/>
      </font>
      <fill>
        <patternFill patternType="none">
          <bgColor indexed="65"/>
        </patternFill>
      </fill>
    </dxf>
    <dxf>
      <font>
        <color rgb="FF9C0006"/>
      </font>
    </dxf>
    <dxf>
      <font>
        <color theme="9"/>
      </font>
    </dxf>
  </dxfs>
  <tableStyles count="0" defaultTableStyle="TableStyleMedium2" defaultPivotStyle="PivotStyleLight16"/>
  <colors>
    <mruColors>
      <color rgb="FFFF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Lotta Marie Schlau" id="{3155FA37-447D-462C-91FF-2BD07388D68F}" userId="S::s230246@dtu.dk::083ffef8-4af3-42d5-8c90-e4ab93e3e02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1" dT="2024-10-31T11:13:42.81" personId="{00000000-0000-0000-0000-000000000000}" id="{14B61A46-F606-4C5A-B354-961E5172B10B}">
    <text xml:space="preserve">Does this column is connected to other cells? Or just manually to keep a better overview? </text>
  </threadedComment>
  <threadedComment ref="N6" personId="{00000000-0000-0000-0000-000000000000}" id="{E4A25B39-1777-481C-9F49-5180803C18B5}">
    <text>Based on MMZCS2023/ Bornholm report</text>
  </threadedComment>
  <threadedComment ref="N6" dT="2024-10-31T07:23:05.20" personId="{00000000-0000-0000-0000-000000000000}" id="{712E5166-B4A4-4317-9228-8D83F447E969}" parentId="{E4A25B39-1777-481C-9F49-5180803C18B5}">
    <text>Stoichiometrically defined with 100% conversion of carbon and gases</text>
  </threadedComment>
  <threadedComment ref="O6" personId="{00000000-0000-0000-0000-000000000000}" id="{3D53DB1B-C858-4F42-8C88-8BC052E04801}">
    <text>Based on MMZCS2023/ Bornholm report</text>
  </threadedComment>
  <threadedComment ref="O6" dT="2024-10-31T07:23:26.17" personId="{00000000-0000-0000-0000-000000000000}" id="{1778CA59-3264-4ECB-BE1A-CCED852182F2}" parentId="{3D53DB1B-C858-4F42-8C88-8BC052E04801}">
    <text>Stoichiometrically defined with 100% conversion of carbon and gases</text>
  </threadedComment>
  <threadedComment ref="AH6" personId="{00000000-0000-0000-0000-000000000000}" id="{56DE3886-D4ED-4817-AD46-64DC0DB685CB}">
    <text>Estimate from MMZCS2023, on the high bound for CO2 extracted from a biogas plant</text>
  </threadedComment>
  <threadedComment ref="AI6" personId="{00000000-0000-0000-0000-000000000000}" id="{9D65FED0-3660-4ABB-B5B1-1C8F7AC45981}">
    <text>Estimate from MMZCS2023, on the high bound for CO2 extracted from a biogas plant</text>
  </threadedComment>
  <threadedComment ref="N7" personId="{00000000-0000-0000-0000-000000000000}" id="{85AC4599-5434-4FC8-BD81-C3A949995275}">
    <text xml:space="preserve">Based on MMZCS2023/ Bornholm report
</text>
  </threadedComment>
  <threadedComment ref="N7" dT="2024-10-31T07:23:22.22" personId="{00000000-0000-0000-0000-000000000000}" id="{A947A0FB-1E18-4FC7-B193-67C080D57C8E}" parentId="{85AC4599-5434-4FC8-BD81-C3A949995275}">
    <text>Stoichiometrically defined with 100% conversion of carbon and gases</text>
  </threadedComment>
  <threadedComment ref="O7" personId="{00000000-0000-0000-0000-000000000000}" id="{2935E0CC-D4C2-496F-B2D9-6CBF52E0F4EB}">
    <text>Based on MMZCS2023/ Bornholm report</text>
  </threadedComment>
  <threadedComment ref="P7" dT="2024-10-31T07:31:14.43" personId="{00000000-0000-0000-0000-000000000000}" id="{72AB55EE-379B-4727-8004-E33F2BB94FB5}">
    <text>Mar Pérez-Fortes et al. 2016/ Bornholm report</text>
  </threadedComment>
  <threadedComment ref="Q7" dT="2024-10-31T07:31:18.84" personId="{00000000-0000-0000-0000-000000000000}" id="{9C20FEC5-44D2-42EC-8508-D5F79E60564F}">
    <text>Mar Pérez-Fortes et al. 2016/ Bornholm report</text>
  </threadedComment>
  <threadedComment ref="R7" personId="{00000000-0000-0000-0000-000000000000}" id="{2D6F7ABF-9FB1-4756-9315-B99A936A6E5C}">
    <text>Based on MMZCS2023</text>
  </threadedComment>
  <threadedComment ref="S7" personId="{00000000-0000-0000-0000-000000000000}" id="{786FC323-C6EA-457C-887D-9552BC552ACF}">
    <text>Hank et al. (2018)/ Bornholm report</text>
  </threadedComment>
  <threadedComment ref="T7" personId="{00000000-0000-0000-0000-000000000000}" id="{F6E63EF5-609B-4C47-B7C3-0DF5A48D090F}">
    <text>Assumed to be similar to an ammonia plant. Ramp rate for an ammonia plant is from Armijo2020</text>
  </threadedComment>
  <threadedComment ref="U7" personId="{00000000-0000-0000-0000-000000000000}" id="{8B0EC82A-93E3-4B1A-9027-044E47C4D33E}">
    <text>Based on MMZCS2023</text>
  </threadedComment>
  <threadedComment ref="V7" personId="{00000000-0000-0000-0000-000000000000}" id="{20D56C4D-3FA8-400F-9B5B-5F26C8160D51}">
    <text>Assumed to be similar to an ammonia plant. Ramp rate for an ammonia plant is from Armijo2020</text>
  </threadedComment>
  <threadedComment ref="W7" personId="{00000000-0000-0000-0000-000000000000}" id="{E12C8E33-D855-4D4F-A40A-98E73957E7E9}">
    <text xml:space="preserve">Based on MMZCS2023
</text>
  </threadedComment>
  <threadedComment ref="X7" personId="{00000000-0000-0000-0000-000000000000}" id="{C5BC4EBF-DE3B-4E81-BD3D-43FF93EB820C}">
    <text>Mar Pérez-Fortes et al. 2016/ Bornholm report</text>
  </threadedComment>
  <threadedComment ref="Y7" personId="{00000000-0000-0000-0000-000000000000}" id="{FE9B6973-A273-4231-843D-E43FCA162B14}">
    <text>Based on MMZCS2023</text>
  </threadedComment>
  <threadedComment ref="Z7" personId="{00000000-0000-0000-0000-000000000000}" id="{1C73CBA8-A76D-4453-A975-B65AEAE540CB}">
    <text>For a small-scale 6.7 t$_{MeOH}$/h plant capacity based on MMZCS2023</text>
  </threadedComment>
  <threadedComment ref="Z7" dT="2024-10-31T07:54:27.22" personId="{00000000-0000-0000-0000-000000000000}" id="{172FF3D9-82BA-4E92-83F2-9AB71700C262}" parentId="{1C73CBA8-A76D-4453-A975-B65AEAE540CB}">
    <text>Adjust sources in the end!</text>
  </threadedComment>
  <threadedComment ref="AA7" personId="{00000000-0000-0000-0000-000000000000}" id="{569ADB99-58A1-4874-B895-83E6129CF009}">
    <text>For a small-scale 6.7 t$_{MeOH}$/h plant capacity based on MMZCS2023</text>
  </threadedComment>
  <threadedComment ref="AA7" dT="2024-10-31T07:54:40.04" personId="{00000000-0000-0000-0000-000000000000}" id="{93085A93-DE2E-4372-A29B-C6857A11B271}" parentId="{569ADB99-58A1-4874-B895-83E6129CF009}">
    <text>To do adjust sources</text>
  </threadedComment>
  <threadedComment ref="AB7" personId="{00000000-0000-0000-0000-000000000000}" id="{107D474B-A1A2-488D-9412-8F2B7F40ACC6}">
    <text>4% Capex based on MMZCS2023/ Bornholm report</text>
  </threadedComment>
  <threadedComment ref="AC7" personId="{00000000-0000-0000-0000-000000000000}" id="{B0AC3E4E-D806-4115-B022-82F1322B2A8A}">
    <text>4% Capex based on MMZCS2023/ Bornholm report</text>
  </threadedComment>
  <threadedComment ref="AK7" dT="2024-10-31T07:58:54.05" personId="{00000000-0000-0000-0000-000000000000}" id="{1DCD20DD-50FC-4F63-B669-D925FF3E810A}">
    <text>20 years lifetime assumed based on Technology Data-Energy Plants for Electricity and District heating generation, Tech rep. (2020)/ Bornholm report</text>
  </threadedComment>
  <threadedComment ref="N8" dT="2024-10-30T16:17:44.26" personId="{00000000-0000-0000-0000-000000000000}" id="{0B06894E-AF1A-44B4-9792-0BAA9668A189}">
    <text>Based on Moioli2022</text>
  </threadedComment>
  <threadedComment ref="N8" dT="2024-11-06T14:58:53.37" personId="{00000000-0000-0000-0000-000000000000}" id="{17A625D3-A3ED-4532-B949-341B64A8FF6D}" parentId="{0B06894E-AF1A-44B4-9792-0BAA9668A189}">
    <text>Inverse of 1.17</text>
  </threadedComment>
  <threadedComment ref="O8" dT="2024-10-30T16:18:05.23" personId="{00000000-0000-0000-0000-000000000000}" id="{541DD2D1-4189-4EB5-B7B6-AA07FF323D9C}">
    <text xml:space="preserve">Based on Moioli2022
</text>
  </threadedComment>
  <threadedComment ref="O8" dT="2024-10-31T07:23:30.63" personId="{00000000-0000-0000-0000-000000000000}" id="{2D560222-EC00-42CD-96C9-46D36A940EE7}" parentId="{541DD2D1-4189-4EB5-B7B6-AA07FF323D9C}">
    <text>Stoichiometrically defined with 100% conversion of carbon and gases</text>
  </threadedComment>
  <threadedComment ref="AH8" dT="2024-10-30T16:59:28.43" personId="{00000000-0000-0000-0000-000000000000}" id="{5FDF220D-9157-4207-BB34-FA3FFA00D64C}">
    <text xml:space="preserve">Bakkafuel project: Set to 0 since fuel plant owner is the Biogas plant owner </text>
  </threadedComment>
  <threadedComment ref="AI8" dT="2024-10-30T16:59:39.94" personId="{00000000-0000-0000-0000-000000000000}" id="{4510F407-8125-4C83-847E-FBBB62CB1D8E}">
    <text xml:space="preserve">Bakkafuel project: Set to 0 since fuel plant owner is the Biogas plant owner </text>
  </threadedComment>
  <threadedComment ref="N9" dT="2024-10-30T16:18:14.39" personId="{00000000-0000-0000-0000-000000000000}" id="{9D76AA60-C954-45E8-A70D-AEC754F32896}">
    <text xml:space="preserve">Based on Moioli2022
</text>
  </threadedComment>
  <threadedComment ref="O9" dT="2024-10-30T16:18:22.74" personId="{00000000-0000-0000-0000-000000000000}" id="{886FE4ED-8E24-4582-9E65-D66B732485B9}">
    <text xml:space="preserve">Based on Moioli2022
</text>
  </threadedComment>
  <threadedComment ref="P9" dT="2024-10-30T16:19:04.71" personId="{00000000-0000-0000-0000-000000000000}" id="{18F380C3-1DAD-4394-BCF2-9B370DF6E336}">
    <text>Thanh Son Phan et al. 2022/ Bornholm report</text>
  </threadedComment>
  <threadedComment ref="Q9" dT="2024-10-30T16:19:15.04" personId="{00000000-0000-0000-0000-000000000000}" id="{4C430C42-B95D-4EF1-8F0F-D420DBC8FA8C}">
    <text>Thanh Son Phan et al. 2022/ Bornholm report</text>
  </threadedComment>
  <threadedComment ref="R9" dT="2024-10-30T16:20:28.75" personId="{00000000-0000-0000-0000-000000000000}" id="{3289F306-0B79-4275-84EA-24F25DB4EF59}">
    <text xml:space="preserve">Based on MMZCS2023
</text>
  </threadedComment>
  <threadedComment ref="S9" dT="2024-10-30T16:20:10.35" personId="{00000000-0000-0000-0000-000000000000}" id="{596F6124-2FA8-4F80-9CCD-3832CE06B7F5}">
    <text xml:space="preserve">Hank et al. (2018)/ Bornholm report
</text>
  </threadedComment>
  <threadedComment ref="T9" dT="2024-10-30T16:22:22.17" personId="{00000000-0000-0000-0000-000000000000}" id="{6A6D5B60-0109-4AFA-8CA0-907786D475BA}">
    <text>Assumed to be similar to an ammonia plant. Ramp rate for an ammonia plant is from Armijo2020</text>
  </threadedComment>
  <threadedComment ref="U9" dT="2024-10-30T16:21:43.32" personId="{00000000-0000-0000-0000-000000000000}" id="{A7C4F404-EAE4-473B-BC41-F4C2A95DE3E0}">
    <text>Based on MMZCS2023</text>
  </threadedComment>
  <threadedComment ref="V9" dT="2024-10-30T16:22:47.67" personId="{00000000-0000-0000-0000-000000000000}" id="{B397956B-AAC9-4520-B798-EC977C442B0C}">
    <text>Assumed to be similar to an ammonia plant. Ramp rate for an ammonia plant is from Armijo2020</text>
  </threadedComment>
  <threadedComment ref="W9" dT="2024-10-30T16:22:11.11" personId="{00000000-0000-0000-0000-000000000000}" id="{3830C344-3506-4DC6-9C44-E48EFE42C7E4}">
    <text xml:space="preserve">Based on MMZCS2023
</text>
  </threadedComment>
  <threadedComment ref="X9" dT="2024-10-31T07:29:36.80" personId="{00000000-0000-0000-0000-000000000000}" id="{4AACD79F-873A-472B-81CE-4D5307EA5BA4}">
    <text>Thanh Son Phan et al. 2022/ Bornholm report</text>
  </threadedComment>
  <threadedComment ref="Z9" dT="2024-10-31T07:51:25.62" personId="{00000000-0000-0000-0000-000000000000}" id="{C59E2C00-3B79-457A-A125-B8815CAA52B4}">
    <text xml:space="preserve">130% of capital investment compared to MeOH plant - CO2. Estimated additional cost of reformer Based on Oni et al. 2022 , and assuming similar costs for electrical vs conventional reformers. Both validated by stakeholders.  /Bornholm report </text>
  </threadedComment>
  <threadedComment ref="AA9" dT="2024-10-31T07:52:35.56" personId="{00000000-0000-0000-0000-000000000000}" id="{BC9ADD02-6F3A-4ADF-B5CF-57E49D765935}">
    <text xml:space="preserve">130% of capital investment compared to MeOH plant - CO2. Estimated additional cost of reformer Based on Oni et al. 2022 , and assuming similar costs for electrical vs conventional reformers. Both validated by stakeholders.  /Bornholm report </text>
  </threadedComment>
  <threadedComment ref="AB9" dT="2024-10-30T16:27:27.70" personId="{00000000-0000-0000-0000-000000000000}" id="{3485886E-9446-458E-9758-55951DF2E684}">
    <text>4% of capital investment based on MMZCS2023/ Bornholm report</text>
  </threadedComment>
  <threadedComment ref="AC9" dT="2024-10-30T16:26:27.47" personId="{00000000-0000-0000-0000-000000000000}" id="{B721181A-402E-4E85-A116-D7BA45071965}">
    <text>Based on Moioli2022 case 1a. 5 % of investment.</text>
  </threadedComment>
  <threadedComment ref="AC9" dT="2024-10-31T07:56:34.55" personId="{00000000-0000-0000-0000-000000000000}" id="{47B5512B-EABD-462E-9C2D-1B36EF97D933}" parentId="{B721181A-402E-4E85-A116-D7BA45071965}">
    <text xml:space="preserve">4% of capital investment based on MMZCS2023/ Bornholm report
</text>
  </threadedComment>
  <threadedComment ref="AK9" dT="2024-10-31T07:59:06.95" personId="{00000000-0000-0000-0000-000000000000}" id="{51EE8B91-E79A-4786-88A9-66D2279D3D5A}">
    <text>20 years lifetime assumed based on Technology Data-Energy Plants for Electricity and District heating generation, Tech rep. (2020)/ Bornholm report</text>
  </threadedComment>
  <threadedComment ref="X12" dT="2024-10-30T16:29:21.05" personId="{00000000-0000-0000-0000-000000000000}" id="{5AF278AF-7F3D-4600-8FB6-52033DB31797}">
    <text xml:space="preserve">Based on WP1 Bornholm study </text>
  </threadedComment>
  <threadedComment ref="X12" dT="2024-11-04T12:19:23.01" personId="{00000000-0000-0000-0000-000000000000}" id="{1DFDD9B0-347D-4090-9623-0E778278F543}" parentId="{5AF278AF-7F3D-4600-8FB6-52033DB31797}">
    <text xml:space="preserve">WWTP </text>
  </threadedComment>
  <threadedComment ref="X12" dT="2024-11-04T12:42:09.11" personId="{00000000-0000-0000-0000-000000000000}" id="{32B83993-B1E1-46B7-83D6-294E61AADFE5}" parentId="{5AF278AF-7F3D-4600-8FB6-52033DB31797}">
    <text>Minor impact</text>
  </threadedComment>
  <threadedComment ref="Y12" dT="2024-10-30T16:29:31.14" personId="{00000000-0000-0000-0000-000000000000}" id="{6806F2D1-3B16-4496-94EB-BC6FD6807828}">
    <text xml:space="preserve">Based on WP1 Bornholm study 
</text>
  </threadedComment>
  <threadedComment ref="Y12" dT="2024-11-04T12:42:14.63" personId="{00000000-0000-0000-0000-000000000000}" id="{0851EB9B-848E-4E09-88E1-6518E1D83E87}" parentId="{6806F2D1-3B16-4496-94EB-BC6FD6807828}">
    <text>Minor impact</text>
  </threadedComment>
  <threadedComment ref="Z12" dT="2024-10-30T16:30:01.73" personId="{00000000-0000-0000-0000-000000000000}" id="{1C9BEA79-4DFD-4D08-9915-9A7F32C5219E}">
    <text xml:space="preserve">Based on WP1 Bornholm study 
</text>
  </threadedComment>
  <threadedComment ref="AA12" dT="2024-10-30T16:30:07.58" personId="{00000000-0000-0000-0000-000000000000}" id="{C7AED259-C703-4B0E-8200-AB1796438909}">
    <text xml:space="preserve">Based on WP1 Bornholm study using the 2025 benchmark value 
</text>
  </threadedComment>
  <threadedComment ref="AB12" dT="2024-10-30T16:31:45.33" personId="{00000000-0000-0000-0000-000000000000}" id="{8DC6CB2B-CB77-459B-9439-B3A1A70B7DBA}">
    <text xml:space="preserve">3% Capex based on Bornholm WP1
</text>
  </threadedComment>
  <threadedComment ref="AC12" dT="2024-10-30T16:31:51.24" personId="{00000000-0000-0000-0000-000000000000}" id="{F9008E40-C2A0-4345-A899-AD5DFE0E9B4D}">
    <text xml:space="preserve">3% Capex based on Bornholm WP1
</text>
  </threadedComment>
  <threadedComment ref="AH12" dT="2024-10-30T17:00:32.34" personId="{00000000-0000-0000-0000-000000000000}" id="{F1F61704-EB23-44BE-8368-B1426BA78BBC}">
    <text>Bakkafuel project: Set to 0 since on the Faroe Islands freshwater is free resource</text>
  </threadedComment>
  <threadedComment ref="AI12" dT="2024-10-30T17:00:43.80" personId="{00000000-0000-0000-0000-000000000000}" id="{5701D487-1A34-44D8-83F1-093CF798787F}">
    <text>Bakkafuel project: Set to 0 since on the Faroe Islands freshwater is free resource</text>
  </threadedComment>
  <threadedComment ref="N13" personId="{00000000-0000-0000-0000-000000000000}" id="{E9DE215C-F259-453F-BB0C-DAF5A3CE2FEA}">
    <text>Consumption of non-purified water assuming a purification efficieny of 80% based on BhmWP12023. Conversion of purified water to hydrogen is stoechiometric (9 kg of water consumed per kg of hydrogen).</text>
  </threadedComment>
  <threadedComment ref="O13" personId="{00000000-0000-0000-0000-000000000000}" id="{76FBE15D-FF61-468A-B2FC-8CF0F8C3B212}">
    <text>Consumption of non-purified water assuming a purification efficieny of 80% based on BhmWP12023. Conversion of purified water to hydrogen is stoechiometric (9 kg of water consumed per kg of hydrogen).</text>
  </threadedComment>
  <threadedComment ref="Q13" dT="2024-10-30T16:34:50.06" personId="{00000000-0000-0000-0000-000000000000}" id="{4EE3358A-AB68-4086-B138-4F300B81EE25}">
    <text>Based on MMZCS2023/ Bornholm report</text>
  </threadedComment>
  <threadedComment ref="X13" personId="{00000000-0000-0000-0000-000000000000}" id="{4CCC3222-C160-481E-96C0-324E47AF11D3}">
    <text>From Campion2023</text>
  </threadedComment>
  <threadedComment ref="Y13" personId="{00000000-0000-0000-0000-000000000000}" id="{D041966B-70DF-4AC6-BE38-80690D9E40FA}">
    <text>Based on MMZCS2023/ Bornholm report</text>
  </threadedComment>
  <threadedComment ref="Z13" dT="2024-10-30T16:36:16.79" personId="{00000000-0000-0000-0000-000000000000}" id="{575C6D73-5B58-470B-BA81-F5C55F4593AE}">
    <text xml:space="preserve">Based on MMZCS2023
</text>
  </threadedComment>
  <threadedComment ref="AA13" dT="2024-10-30T16:36:26.36" personId="{00000000-0000-0000-0000-000000000000}" id="{F14956E6-28A3-4E66-81AD-6950F0BD4EF5}">
    <text xml:space="preserve">Using 10% of CAPEX based on MMZCS2023/ Bornholm report
</text>
  </threadedComment>
  <threadedComment ref="AB13" personId="{00000000-0000-0000-0000-000000000000}" id="{722A8722-9B59-4CB1-B993-2A06B492E7A5}">
    <text>Using 10% Capex based on MMZCS2023</text>
  </threadedComment>
  <threadedComment ref="AC13" personId="{00000000-0000-0000-0000-000000000000}" id="{87D82D9B-1716-4836-B38B-14088452BA29}">
    <text>Using 10% Capex based on MMZCS2023</text>
  </threadedComment>
  <threadedComment ref="AK13" dT="2024-10-31T08:01:34.62" personId="{00000000-0000-0000-0000-000000000000}" id="{443D0C44-3992-4962-8B8D-2A8E1F9F9C2C}">
    <text xml:space="preserve">25 years lifetime assumed based on Technology Data-Energy Plants for Electricity and District heating generation, Tech rep. (2020)/ Bornholm report
</text>
  </threadedComment>
  <threadedComment ref="N14" personId="{00000000-0000-0000-0000-000000000000}" id="{52955559-054A-4F63-B80E-738D4833FFD9}">
    <text>Consumption of non-purified water assuming a purification efficieny of 80% based on BhmWP12023. Conversion of purified water to hydrogen is stoechiometric (9 kg of water consumed per kg of hydrogen).</text>
  </threadedComment>
  <threadedComment ref="O14" personId="{00000000-0000-0000-0000-000000000000}" id="{109CA558-CA45-44FD-9012-C746779899D6}">
    <text>Consumption of non-purified water assuming a purification efficieny of 80% based on BhmWP12023. Conversion of purified water to hydrogen is stoechiometric (9 kg of water consumed per kg of hydrogen).</text>
  </threadedComment>
  <threadedComment ref="X14" personId="{00000000-0000-0000-0000-000000000000}" id="{D98019C4-7FBE-4FB1-A82F-09C011550935}">
    <text>From Campion2023</text>
  </threadedComment>
  <threadedComment ref="Y14" personId="{00000000-0000-0000-0000-000000000000}" id="{2035F88F-E22A-4748-AF15-59B9B5DC2DF8}">
    <text>From Campion2023</text>
  </threadedComment>
  <threadedComment ref="AB14" personId="{00000000-0000-0000-0000-000000000000}" id="{0BA56FD4-0BCC-48C1-B621-61BCA6E3177C}">
    <text>8.55% Capex based on NREL2020</text>
  </threadedComment>
  <threadedComment ref="AC14" personId="{00000000-0000-0000-0000-000000000000}" id="{3FC4CB2A-6619-424C-94AB-6F2E79A8AE3F}">
    <text>8.55% Capex based on NREL2020</text>
  </threadedComment>
  <threadedComment ref="AF19" dT="2024-10-31T08:23:07.78" personId="{00000000-0000-0000-0000-000000000000}" id="{E505E69D-4FA3-4913-9E09-8F6FA80D7880}">
    <text>Bakkafuel WP2: District heating demand satisfied; Post-analysis compare heat excess to heat demand from biogas plant -&gt; decreased oil demand of biogas plant -&gt;fuel selling price</text>
  </threadedComment>
  <threadedComment ref="AG19" dT="2024-10-31T08:23:45.35" personId="{00000000-0000-0000-0000-000000000000}" id="{78566968-782F-4B90-BE90-2910E6823E5F}">
    <text>Bakkafuel WP2: District heating demand satisfied; Post-analysis compare heat excess to heat demand from biogas plant -&gt; decreased oil demand of biogas plant -&gt;fuel selling price</text>
  </threadedComment>
  <threadedComment ref="M20" dT="2024-11-04T10:38:20.23" personId="{00000000-0000-0000-0000-000000000000}" id="{71FAA05C-5F87-4F2A-8013-DB402D95FDE4}">
    <text>Based on WP2 Bakkafuel project</text>
  </threadedComment>
  <threadedComment ref="N20" personId="{00000000-0000-0000-0000-000000000000}" id="{946456BE-EE82-4EFE-BF97-1B283801F9A4}">
    <text>Stoechiometric conversion</text>
  </threadedComment>
  <threadedComment ref="O20" personId="{00000000-0000-0000-0000-000000000000}" id="{AC85DFE0-3925-4967-AC9D-4467D6A30F4A}">
    <text>Stoechiometric conversion</text>
  </threadedComment>
  <threadedComment ref="AF20" dT="2024-10-31T08:54:57.72" personId="{00000000-0000-0000-0000-000000000000}" id="{E7849A66-9704-485C-B90B-42D5F4CFC46B}">
    <text>Cost excludes handling and transport cost to agriculture farms; real, 2024</text>
  </threadedComment>
  <threadedComment ref="AG20" dT="2024-10-31T08:55:03.81" personId="{00000000-0000-0000-0000-000000000000}" id="{80BA9B1E-1108-45A9-970C-016E2014E3BF}">
    <text>Cost excludes handling and transport cost to agriculture farms; real 2024</text>
  </threadedComment>
  <threadedComment ref="X21" personId="{00000000-0000-0000-0000-000000000000}" id="{9A1BE2ED-BAE6-4753-904E-1CCC0F3BD31F}">
    <text xml:space="preserve">Compression work </text>
  </threadedComment>
  <threadedComment ref="Y21" personId="{00000000-0000-0000-0000-000000000000}" id="{0B50667F-EB30-4E4A-883D-C0A000E6621A}">
    <text>Compression work from 20 to 700 (?) bars</text>
  </threadedComment>
  <threadedComment ref="R23" personId="{00000000-0000-0000-0000-000000000000}" id="{4AB9474A-3EA7-4065-9EC3-C8FD9AAF73C0}">
    <text xml:space="preserve">Based on Adams2019/ Bornholm report
</text>
  </threadedComment>
  <threadedComment ref="S23" personId="{00000000-0000-0000-0000-000000000000}" id="{0B678A0D-B475-4A19-99AD-E3A69110B679}">
    <text xml:space="preserve">Based on Adams2019/ Bornholm report
</text>
  </threadedComment>
  <threadedComment ref="Z23" personId="{00000000-0000-0000-0000-000000000000}" id="{EEB7A8EE-A35A-4C69-9EAB-E094DA426498}">
    <text xml:space="preserve">Based on Induspart2023 (includes compressors)
</text>
  </threadedComment>
  <threadedComment ref="AA23" personId="{00000000-0000-0000-0000-000000000000}" id="{4F3A7654-AE95-449C-B2BD-065A43680F19}">
    <text xml:space="preserve">Based on Induspart2023 (includes compressors)/ Bornholm report
</text>
  </threadedComment>
  <threadedComment ref="AB23" personId="{00000000-0000-0000-0000-000000000000}" id="{B2FD44F6-9FE0-4771-A5AF-32113C6BE064}">
    <text>3% Capex based on Induspart2023</text>
  </threadedComment>
  <threadedComment ref="AC23" personId="{00000000-0000-0000-0000-000000000000}" id="{3B6D94B3-8D36-49E1-8D78-873C3481AD11}">
    <text>3% Capex based on Induspart2023/ Bornholm report</text>
  </threadedComment>
  <threadedComment ref="AK23" dT="2024-10-31T07:44:13.66" personId="{00000000-0000-0000-0000-000000000000}" id="{3032D17E-5EBB-406F-AA4E-E78881549BDC}">
    <text>For high pressure tanks, life span is around 10 years, depending on the frequency of filling/emptying. Based on Fragiacomo 2021/ Bornholm report</text>
  </threadedComment>
  <threadedComment ref="AH24" dT="2024-10-31T08:19:30.59" personId="{00000000-0000-0000-0000-000000000000}" id="{61D9D00A-47C1-472D-A465-E9C4B3FEF10B}">
    <text>Bakkafuel WP2: For industry using more than 30.000 kWt a year, the price is 1,63 kr/kWt u/MVG (uden moms); real 2024</text>
  </threadedComment>
  <threadedComment ref="AI24" dT="2024-10-31T08:19:41.53" personId="{00000000-0000-0000-0000-000000000000}" id="{B58644AE-DE44-48EA-BB45-4EC4018769D9}">
    <text>Bakkafuel WP2: For industry using more than 30.000 kWt a year, the price is 1,63 kr/kWt u/MVG (uden moms); real 2024</text>
  </threadedComment>
  <threadedComment ref="M25" dT="2024-11-18T14:02:01.65" personId="{3155FA37-447D-462C-91FF-2BD07388D68F}" id="{D19A3515-E418-4E6B-A3D3-85CD0043CDB4}">
    <text>Highest curtailed wind value in 2050 -&gt; used in flux for normalisation</text>
  </threadedComment>
  <threadedComment ref="X27" personId="{00000000-0000-0000-0000-000000000000}" id="{3B540E48-598F-4BF9-90BE-16324DA75C3E}">
    <text>Based on Induspart2023</text>
  </threadedComment>
  <threadedComment ref="Y27" personId="{00000000-0000-0000-0000-000000000000}" id="{E936B667-61B9-4B55-A45B-C057D7FE5512}">
    <text>Based on Induspart2023</text>
  </threadedComment>
  <threadedComment ref="X28" personId="{00000000-0000-0000-0000-000000000000}" id="{CABFD729-553D-4AE1-A394-DFD6A346B769}">
    <text>Based on Induspart2023</text>
  </threadedComment>
  <threadedComment ref="Y28" personId="{00000000-0000-0000-0000-000000000000}" id="{A9F5922F-581B-4AA7-8DF4-2B3F9A9E2198}">
    <text>Based on Induspart2023</text>
  </threadedComment>
  <threadedComment ref="R29" personId="{00000000-0000-0000-0000-000000000000}" id="{C20DD12D-F9D9-40D0-934A-D0657495D64F}">
    <text>Based on communication with industrial partners</text>
  </threadedComment>
  <threadedComment ref="S29" personId="{00000000-0000-0000-0000-000000000000}" id="{4331FEB0-7462-4450-8FBF-EF8B2211ABDA}">
    <text>Based on communication with industrial partners/ Bornholm report</text>
  </threadedComment>
  <threadedComment ref="Z29" personId="{00000000-0000-0000-0000-000000000000}" id="{1E8A1224-519C-4A6B-8508-E12B233765B7}">
    <text>From Induspart2023 with high logistics and ground work costs</text>
  </threadedComment>
  <threadedComment ref="AA29" personId="{00000000-0000-0000-0000-000000000000}" id="{E0E767FC-BC3E-423D-BF74-F0EBBDAEFE3F}">
    <text>From Induspart2023 assuming low lithium price/ Bornholm report</text>
  </threadedComment>
  <threadedComment ref="AB29" personId="{00000000-0000-0000-0000-000000000000}" id="{8199FB36-B13E-4601-80F3-B976216B283C}">
    <text>1.5% Capex based on Induspart2023</text>
  </threadedComment>
  <threadedComment ref="AC29" personId="{00000000-0000-0000-0000-000000000000}" id="{0322B576-EE8B-48E4-B937-7A77B349E2DE}">
    <text>1.5% Capex based on Induspart2023/ Bornholm report</text>
  </threadedComment>
  <threadedComment ref="AK29" dT="2024-10-31T07:47:54.84" personId="{00000000-0000-0000-0000-000000000000}" id="{ABDBC9EE-7875-46F9-B997-38DCF3C45182}">
    <text>25 years lifetime assumed</text>
  </threadedComment>
</ThreadedComments>
</file>

<file path=xl/threadedComments/threadedComment2.xml><?xml version="1.0" encoding="utf-8"?>
<ThreadedComments xmlns="http://schemas.microsoft.com/office/spreadsheetml/2018/threadedcomments" xmlns:x="http://schemas.openxmlformats.org/spreadsheetml/2006/main">
  <threadedComment ref="F6" dT="2024-10-31T11:13:42.81" personId="{00000000-0000-0000-0000-000000000000}" id="{E79D137E-83AC-428D-9FAB-7F653C9DBAC2}">
    <text xml:space="preserve">Does this column is connected to other cells? Or just manually to keep a better overview? </text>
  </threadedComment>
  <threadedComment ref="AH12" personId="{00000000-0000-0000-0000-000000000000}" id="{EE82A70C-74E9-439B-B023-9C05907196BE}">
    <text>Estimate from MMZCS2023, on the high bound for CO2 extracted from a biogas plant</text>
  </threadedComment>
  <threadedComment ref="AI12" personId="{00000000-0000-0000-0000-000000000000}" id="{AFA549C2-C96B-4C52-9E71-13D6E0CD44CD}">
    <text>Estimate from MMZCS2023, on the high bound for CO2 extracted from a biogas plant</text>
  </threadedComment>
  <threadedComment ref="Q13" dT="2024-10-31T07:31:18.84" personId="{00000000-0000-0000-0000-000000000000}" id="{D718DCB6-3378-4354-A7F8-9D67030ABF44}">
    <text>Mar Pérez-Fortes et al. 2016/ Bornholm report</text>
  </threadedComment>
  <threadedComment ref="S13" personId="{00000000-0000-0000-0000-000000000000}" id="{3F209BB6-78E3-4F80-B7E6-0BB8D4D3F312}">
    <text>Hank et al. (2018)/ Bornholm report</text>
  </threadedComment>
  <threadedComment ref="U13" personId="{00000000-0000-0000-0000-000000000000}" id="{C23CF91D-FC52-4752-99DC-AF4F2B31F778}">
    <text>Based on MMZCS2023</text>
  </threadedComment>
  <threadedComment ref="W13" personId="{00000000-0000-0000-0000-000000000000}" id="{69C5AFBD-FE6E-458E-963E-E3E847C49454}">
    <text xml:space="preserve">Based on MMZCS2023
</text>
  </threadedComment>
  <threadedComment ref="Y13" personId="{00000000-0000-0000-0000-000000000000}" id="{2E24F30D-CB1C-488F-A4E1-2943DA9F8CC1}">
    <text>Based on MMZCS2023</text>
  </threadedComment>
  <threadedComment ref="AA13" personId="{00000000-0000-0000-0000-000000000000}" id="{0976C4E3-6038-40C2-8041-D33E954E5DFA}">
    <text>For a small-scale 6.7 t$_{MeOH}$/h plant capacity based on MMZCS2023</text>
  </threadedComment>
  <threadedComment ref="AA13" dT="2024-10-31T07:54:40.04" personId="{00000000-0000-0000-0000-000000000000}" id="{74092C7A-C413-42D1-9681-573926767AA6}" parentId="{0976C4E3-6038-40C2-8041-D33E954E5DFA}">
    <text>To do adjust sources</text>
  </threadedComment>
  <threadedComment ref="AC13" personId="{00000000-0000-0000-0000-000000000000}" id="{72BAA1D7-685C-4246-8D7C-E9951B44FB26}">
    <text>4% Capex based on MMZCS2023/ Bornholm report</text>
  </threadedComment>
  <threadedComment ref="AC13" dT="2024-11-06T14:08:27.36" personId="{00000000-0000-0000-0000-000000000000}" id="{06D09B96-7CE1-44C5-A4D6-FE5E4D988EA2}" parentId="{72BAA1D7-685C-4246-8D7C-E9951B44FB26}">
    <text>Refers to CAPEX in the literature; not taking the +10% CAPEX for transport to Faroe islands into account.</text>
  </threadedComment>
  <threadedComment ref="AK13" dT="2024-10-31T07:58:54.05" personId="{00000000-0000-0000-0000-000000000000}" id="{F2E18CB7-DBA2-445F-8CBF-B3B575ECFAE1}">
    <text>20 years lifetime assumed based on Technology Data-Energy Plants for Electricity and District heating generation, Tech rep. (2020)/ Bornholm report</text>
  </threadedComment>
  <threadedComment ref="O14" dT="2024-10-30T16:18:05.23" personId="{00000000-0000-0000-0000-000000000000}" id="{F4D221D6-5D67-4BBC-B37C-836157AEF56F}">
    <text xml:space="preserve">Based on Moioli2022
</text>
  </threadedComment>
  <threadedComment ref="O14" dT="2024-10-31T07:23:30.63" personId="{00000000-0000-0000-0000-000000000000}" id="{12D4D3E6-C2FC-4ED8-A032-E4141BE7CE40}" parentId="{F4D221D6-5D67-4BBC-B37C-836157AEF56F}">
    <text>Stoichiometrically defined with 100% conversion of carbon and gases</text>
  </threadedComment>
  <threadedComment ref="AH14" dT="2024-10-30T16:59:28.43" personId="{00000000-0000-0000-0000-000000000000}" id="{AA40584C-BDA4-40DF-9137-19050415657B}">
    <text xml:space="preserve">Bakkafuel project: Set to 0 since fuel plant owner is the Biogas plant owner </text>
  </threadedComment>
  <threadedComment ref="AI14" dT="2024-10-30T16:59:39.94" personId="{00000000-0000-0000-0000-000000000000}" id="{05A4A594-D344-4B91-B3E9-34B30FE391B2}">
    <text xml:space="preserve">Bakkafuel project: Set to 0 since fuel plant owner is the Biogas plant owner </text>
  </threadedComment>
  <threadedComment ref="O15" dT="2024-10-30T16:18:22.74" personId="{00000000-0000-0000-0000-000000000000}" id="{A34765A5-4CBC-4A69-B404-63FB1B4219F6}">
    <text xml:space="preserve">Based on Moioli2022
</text>
  </threadedComment>
  <threadedComment ref="Q15" dT="2024-10-30T16:19:15.04" personId="{00000000-0000-0000-0000-000000000000}" id="{557154B0-51DD-4311-B2B4-A5F81E53962A}">
    <text>Thanh Son Phan et al. 2022/ Bornholm report</text>
  </threadedComment>
  <threadedComment ref="S15" dT="2024-10-30T16:20:10.35" personId="{00000000-0000-0000-0000-000000000000}" id="{EC50A4AF-226B-47C3-BA1E-CBD9F2235285}">
    <text xml:space="preserve">Hank et al. (2018)/ Bornholm report
</text>
  </threadedComment>
  <threadedComment ref="U15" dT="2024-10-30T16:21:43.32" personId="{00000000-0000-0000-0000-000000000000}" id="{DB0E357D-1290-4579-80E4-F3B5A9317322}">
    <text>Based on MMZCS2023</text>
  </threadedComment>
  <threadedComment ref="W15" dT="2024-10-30T16:22:11.11" personId="{00000000-0000-0000-0000-000000000000}" id="{66E66B97-9E2E-4EB7-AC15-BFE8FA46FE2E}">
    <text xml:space="preserve">Based on MMZCS2023
</text>
  </threadedComment>
  <threadedComment ref="AA15" dT="2024-10-31T07:52:35.56" personId="{00000000-0000-0000-0000-000000000000}" id="{9DFE9A0C-A719-4471-8CB2-12A3A18DEB9B}">
    <text xml:space="preserve">130% of capital investment compared to MeOH plant - CO2. Estimated additional cost of reformer Based on Oni et al. 2022 , and assuming similar costs for electrical vs conventional reformers. Both validated by stakeholders.  /Bornholm report </text>
  </threadedComment>
  <threadedComment ref="AC15" dT="2024-10-30T16:26:27.47" personId="{00000000-0000-0000-0000-000000000000}" id="{8FAC4B3E-A96D-49FE-A4EF-3B80330DC120}">
    <text>Based on Moioli2022 case 1a. 5 % of investment.</text>
  </threadedComment>
  <threadedComment ref="AC15" dT="2024-10-31T07:56:34.55" personId="{00000000-0000-0000-0000-000000000000}" id="{36C95C54-D877-44AD-AC21-C745B8A8699C}" parentId="{8FAC4B3E-A96D-49FE-A4EF-3B80330DC120}">
    <text xml:space="preserve">4% of capital investment based on MMZCS2023/ Bornholm report
</text>
  </threadedComment>
  <threadedComment ref="AC15" dT="2024-11-06T14:09:36.81" personId="{00000000-0000-0000-0000-000000000000}" id="{A0E3514D-5938-4778-A0C6-7B2E1A28D405}" parentId="{8FAC4B3E-A96D-49FE-A4EF-3B80330DC120}">
    <text>Refers to CAPEX in the literature; not taking the +10% CAPEX for transport to Faroe islands into account.</text>
  </threadedComment>
  <threadedComment ref="AK15" dT="2024-10-31T07:59:06.95" personId="{00000000-0000-0000-0000-000000000000}" id="{BE7C3343-ECFB-405D-8325-8949ADEF422E}">
    <text>20 years lifetime assumed based on Technology Data-Energy Plants for Electricity and District heating generation, Tech rep. (2020)/ Bornholm report</text>
  </threadedComment>
  <threadedComment ref="Y18" dT="2024-10-30T16:29:31.14" personId="{00000000-0000-0000-0000-000000000000}" id="{7852D344-24E9-47CA-A1FE-6DC021030C05}">
    <text xml:space="preserve">Based on WP1 Bornholm study 
</text>
  </threadedComment>
  <threadedComment ref="Y18" dT="2024-11-04T12:42:14.63" personId="{00000000-0000-0000-0000-000000000000}" id="{D96B459F-372D-461B-8BEB-5281E69D2306}" parentId="{7852D344-24E9-47CA-A1FE-6DC021030C05}">
    <text>Minor impact</text>
  </threadedComment>
  <threadedComment ref="AA18" dT="2024-10-30T16:30:07.58" personId="{00000000-0000-0000-0000-000000000000}" id="{086BEA7E-EDA6-4FA5-BA2D-D3573C0F3ADF}">
    <text xml:space="preserve">Based on WP1 Bornholm study using the 2025 benchmark value 
</text>
  </threadedComment>
  <threadedComment ref="AC18" dT="2024-10-30T16:31:51.24" personId="{00000000-0000-0000-0000-000000000000}" id="{A19E64F2-824A-46EF-A3C2-5D30519960C4}">
    <text xml:space="preserve">3% Capex based on Bornholm WP1
</text>
  </threadedComment>
  <threadedComment ref="AC18" dT="2024-11-06T14:09:31.66" personId="{00000000-0000-0000-0000-000000000000}" id="{9C677F42-10B3-4C3C-A5D4-20E42DEB0C83}" parentId="{A19E64F2-824A-46EF-A3C2-5D30519960C4}">
    <text>Refers to CAPEX in the literature; not taking the +10% CAPEX for transport to Faroe islands into account.</text>
  </threadedComment>
  <threadedComment ref="AH18" dT="2024-10-30T17:00:32.34" personId="{00000000-0000-0000-0000-000000000000}" id="{0F4B4E58-9FCE-4E37-B608-D6FA7F8E8A61}">
    <text>Bakkafuel project: Set to 0 since on the Faroe Islands freshwater is free resource</text>
  </threadedComment>
  <threadedComment ref="AI18" dT="2024-10-30T17:00:43.80" personId="{00000000-0000-0000-0000-000000000000}" id="{2D38530B-10B1-4CB0-96D1-3D848FE96B0C}">
    <text>Bakkafuel project: Set to 0 since on the Faroe Islands freshwater is free resource</text>
  </threadedComment>
  <threadedComment ref="O19" personId="{00000000-0000-0000-0000-000000000000}" id="{7E695526-859B-4BA5-BBBD-3022033033B6}">
    <text>Consumption of non-purified water assuming a purification efficieny of 80% based on BhmWP12023. Conversion of purified water to hydrogen is stoechiometric (9 kg of water consumed per kg of hydrogen).</text>
  </threadedComment>
  <threadedComment ref="Q19" dT="2024-10-30T16:34:50.06" personId="{00000000-0000-0000-0000-000000000000}" id="{B8030FED-4C19-4AFF-8894-16F28A98B13C}">
    <text>Based on MMZCS2023/ Bornholm report</text>
  </threadedComment>
  <threadedComment ref="Y19" personId="{00000000-0000-0000-0000-000000000000}" id="{4F03E4F2-1280-4A5C-A3C5-015B9193208A}">
    <text>Based on MMZCS2023/ Bornholm report</text>
  </threadedComment>
  <threadedComment ref="AA19" dT="2024-10-30T16:36:26.36" personId="{00000000-0000-0000-0000-000000000000}" id="{A1C62BCB-F9F2-41AA-B980-5CD3917B849E}">
    <text xml:space="preserve">Using 10% of CAPEX based on MMZCS2023/ Bornholm report
</text>
  </threadedComment>
  <threadedComment ref="AC19" personId="{00000000-0000-0000-0000-000000000000}" id="{891CC673-9646-41A0-8DD1-AFAA4959F2C4}">
    <text>Using 10% Capex based on MMZCS2023</text>
  </threadedComment>
  <threadedComment ref="AC19" dT="2024-11-06T14:08:34.70" personId="{00000000-0000-0000-0000-000000000000}" id="{A14694CC-BD9D-4079-936B-81C2696D8237}" parentId="{891CC673-9646-41A0-8DD1-AFAA4959F2C4}">
    <text>Refers to CAPEX in the literature; not taking the +10% CAPEX for transport to Faroe islands into account.</text>
  </threadedComment>
  <threadedComment ref="AK19" dT="2024-10-31T08:01:34.62" personId="{00000000-0000-0000-0000-000000000000}" id="{522400DE-AB9F-47CD-BB26-DCD2F5D12220}">
    <text xml:space="preserve">25 years lifetime assumed based on Technology Data-Energy Plants for Electricity and District heating generation, Tech rep. (2020)/ Bornholm report
</text>
  </threadedComment>
  <threadedComment ref="AF24" dT="2024-10-31T08:23:07.78" personId="{00000000-0000-0000-0000-000000000000}" id="{061037D0-E435-431E-BB69-141F3E6F9813}">
    <text>Bakkafuel WP2: District heating demand satisfied; Post-analysis compare heat excess to heat demand from biogas plant -&gt; decreased oil demand of biogas plant -&gt;fuel selling price</text>
  </threadedComment>
  <threadedComment ref="AG24" dT="2024-10-31T08:23:45.35" personId="{00000000-0000-0000-0000-000000000000}" id="{795EBED6-D0F1-4E8F-960B-7D2A9E876E47}">
    <text>Bakkafuel WP2: District heating demand satisfied; Post-analysis compare heat excess to heat demand from biogas plant -&gt; decreased oil demand of biogas plant -&gt;fuel selling price</text>
  </threadedComment>
  <threadedComment ref="M25" dT="2024-11-04T10:38:20.23" personId="{00000000-0000-0000-0000-000000000000}" id="{69D38C57-C0C1-49AC-8736-E98B24078C43}">
    <text>Based on WP2 Bakkafuel project</text>
  </threadedComment>
  <threadedComment ref="N25" personId="{00000000-0000-0000-0000-000000000000}" id="{66D14FC3-C237-472E-B8F5-0F74052CA3B0}">
    <text>Stoechiometric conversion</text>
  </threadedComment>
  <threadedComment ref="O25" personId="{00000000-0000-0000-0000-000000000000}" id="{A6C3D932-0E31-43A6-9C27-1C352D7E2637}">
    <text>Stoechiometric conversion</text>
  </threadedComment>
  <threadedComment ref="AG25" dT="2024-10-31T08:55:03.81" personId="{00000000-0000-0000-0000-000000000000}" id="{EB47AF61-69F0-46F1-9A70-EDE4A9B7A67E}">
    <text>Cost excludes handling and transport cost to agriculture farms; real 2024</text>
  </threadedComment>
  <threadedComment ref="AG26" dT="2024-10-31T08:55:03.81" personId="{00000000-0000-0000-0000-000000000000}" id="{07098FCA-4B41-48B5-8743-4E00F86880A1}">
    <text>Cost excludes handling and transport cost to agriculture farms; real 2024</text>
  </threadedComment>
  <threadedComment ref="AG26" dT="2025-01-27T14:24:20.97" personId="{3155FA37-447D-462C-91FF-2BD07388D68F}" id="{A44A4D00-7683-4AF9-97B6-D0A88918B32A}" parentId="{07098FCA-4B41-48B5-8743-4E00F86880A1}">
    <text>1.3</text>
  </threadedComment>
  <threadedComment ref="X27" personId="{00000000-0000-0000-0000-000000000000}" id="{3EDA8C55-0BF6-41A6-8E8D-63D598E92E79}">
    <text xml:space="preserve">Compression work </text>
  </threadedComment>
  <threadedComment ref="Y27" personId="{00000000-0000-0000-0000-000000000000}" id="{466F4974-CD0F-4513-9F63-537D32A7CFB2}">
    <text>Compression work from 20 to 700 (?) bars</text>
  </threadedComment>
  <threadedComment ref="S29" personId="{00000000-0000-0000-0000-000000000000}" id="{03B1FA02-4207-4BB6-9D66-B256F5CB570E}">
    <text xml:space="preserve">Based on Adams2019/ Bornholm report
</text>
  </threadedComment>
  <threadedComment ref="AA29" personId="{00000000-0000-0000-0000-000000000000}" id="{781A0161-7152-4C15-8B82-206F38B598E8}">
    <text xml:space="preserve">Based on Induspart2023 (includes compressors)/ Bornholm report
</text>
  </threadedComment>
  <threadedComment ref="AC29" personId="{00000000-0000-0000-0000-000000000000}" id="{CF941A66-24C3-4B2B-8AFC-7657A3B2BC83}">
    <text>3% Capex based on Induspart2023/ Bornholm report</text>
  </threadedComment>
  <threadedComment ref="AC29" dT="2024-11-06T14:09:21.63" personId="{00000000-0000-0000-0000-000000000000}" id="{5A10F9F8-624C-4EEE-91D6-6E7614E35E3D}" parentId="{CF941A66-24C3-4B2B-8AFC-7657A3B2BC83}">
    <text>Refers to CAPEX in the literature; not taking the +10% CAPEX for transport to Faroe islands into account.</text>
  </threadedComment>
  <threadedComment ref="AK29" dT="2024-10-31T07:44:13.66" personId="{00000000-0000-0000-0000-000000000000}" id="{508A9831-6037-40C9-999B-06A61774F9E1}">
    <text>For high pressure tanks, life span is around 10 years, depending on the frequency of filling/emptying. Based on Fragiacomo 2021/ Bornholm report</text>
  </threadedComment>
  <threadedComment ref="M31" dT="2024-11-18T14:02:01.65" personId="{3155FA37-447D-462C-91FF-2BD07388D68F}" id="{9FBF550E-A83F-42D1-AA47-A0CC19D33980}">
    <text>Highest curtailed wind value in 2050 -&gt; used in flux for normalisation</text>
  </threadedComment>
  <threadedComment ref="Y33" personId="{00000000-0000-0000-0000-000000000000}" id="{D2FEC61C-1A4B-420E-B16B-725E40366059}">
    <text>Based on Induspart2023</text>
  </threadedComment>
  <threadedComment ref="Y34" personId="{00000000-0000-0000-0000-000000000000}" id="{CBE0999A-BCE4-4EAF-B3BC-1FC99F3E991D}">
    <text>Based on Induspart2023</text>
  </threadedComment>
  <threadedComment ref="S35" personId="{00000000-0000-0000-0000-000000000000}" id="{EFEA0D4F-7E6A-42FB-B184-5B2C4EB95AF8}">
    <text>Based on communication with industrial partners/ Bornholm report</text>
  </threadedComment>
  <threadedComment ref="AA35" personId="{00000000-0000-0000-0000-000000000000}" id="{4E657912-779F-455A-BC7A-BA0825552B50}">
    <text>From Induspart2023 assuming low lithium price/ Bornholm report</text>
  </threadedComment>
  <threadedComment ref="AC35" personId="{00000000-0000-0000-0000-000000000000}" id="{4085D900-7C7D-48B8-96D1-D6C68F23ADB0}">
    <text>1.5% Capex based on Induspart2023/ Bornholm report</text>
  </threadedComment>
  <threadedComment ref="AC35" dT="2024-11-06T14:09:17.40" personId="{00000000-0000-0000-0000-000000000000}" id="{C268234B-1A28-4CE0-8E56-400B5C630C95}" parentId="{4085D900-7C7D-48B8-96D1-D6C68F23ADB0}">
    <text>Refers to CAPEX in the literature; not taking the +10% CAPEX for transport to Faroe islands into account.</text>
  </threadedComment>
  <threadedComment ref="AK35" dT="2024-10-31T07:47:54.84" personId="{00000000-0000-0000-0000-000000000000}" id="{8D34EA10-6DEE-4946-BF13-89CA6E5A6FE9}">
    <text>25 years lifetime assumed</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1:BL34"/>
  <sheetViews>
    <sheetView zoomScale="81" zoomScaleNormal="70" workbookViewId="0">
      <pane xSplit="5" ySplit="5" topLeftCell="F6" activePane="bottomRight" state="frozen"/>
      <selection pane="topRight" activeCell="F1" sqref="F1"/>
      <selection pane="bottomLeft" activeCell="A12" sqref="A12"/>
      <selection pane="bottomRight" activeCell="AF35" sqref="AF35"/>
    </sheetView>
  </sheetViews>
  <sheetFormatPr defaultColWidth="8.7265625" defaultRowHeight="14.5" x14ac:dyDescent="0.35"/>
  <cols>
    <col min="1" max="1" width="3.453125" bestFit="1" customWidth="1"/>
    <col min="2" max="2" width="20.54296875" style="4" bestFit="1" customWidth="1"/>
    <col min="3" max="3" width="20.81640625" style="5" bestFit="1" customWidth="1"/>
    <col min="4" max="4" width="43.453125" style="3" bestFit="1" customWidth="1"/>
    <col min="5" max="5" width="16.54296875" style="9" bestFit="1" customWidth="1"/>
    <col min="6" max="6" width="11.453125" style="3" bestFit="1" customWidth="1"/>
    <col min="7" max="7" width="28.81640625" style="3" bestFit="1" customWidth="1"/>
    <col min="8" max="8" width="20.7265625" bestFit="1" customWidth="1"/>
    <col min="9" max="9" width="16.453125" style="83" bestFit="1" customWidth="1"/>
    <col min="10" max="10" width="9.81640625" customWidth="1"/>
    <col min="11" max="11" width="11.7265625" bestFit="1" customWidth="1"/>
    <col min="12" max="12" width="10" bestFit="1" customWidth="1"/>
    <col min="13" max="13" width="12" bestFit="1" customWidth="1"/>
    <col min="14" max="37" width="20.54296875" customWidth="1"/>
  </cols>
  <sheetData>
    <row r="1" spans="1:64" ht="16" customHeight="1" x14ac:dyDescent="0.35">
      <c r="A1" s="298" t="s">
        <v>0</v>
      </c>
      <c r="B1" s="298"/>
      <c r="C1" s="298"/>
      <c r="D1" s="298"/>
      <c r="E1" s="299"/>
      <c r="F1" s="30" t="s">
        <v>71</v>
      </c>
      <c r="G1" s="30" t="s">
        <v>82</v>
      </c>
      <c r="H1" s="31" t="s">
        <v>35</v>
      </c>
      <c r="I1" s="80" t="s">
        <v>2</v>
      </c>
      <c r="J1" s="31" t="s">
        <v>4</v>
      </c>
      <c r="K1" s="31" t="s">
        <v>5</v>
      </c>
      <c r="L1" s="32" t="s">
        <v>3</v>
      </c>
      <c r="M1" s="31" t="s">
        <v>6</v>
      </c>
      <c r="N1" s="94" t="s">
        <v>36</v>
      </c>
      <c r="O1" s="32" t="s">
        <v>36</v>
      </c>
      <c r="P1" s="33" t="s">
        <v>37</v>
      </c>
      <c r="Q1" s="32" t="s">
        <v>37</v>
      </c>
      <c r="R1" s="33" t="s">
        <v>38</v>
      </c>
      <c r="S1" s="32" t="s">
        <v>38</v>
      </c>
      <c r="T1" s="33" t="s">
        <v>39</v>
      </c>
      <c r="U1" s="32" t="s">
        <v>39</v>
      </c>
      <c r="V1" s="33" t="s">
        <v>40</v>
      </c>
      <c r="W1" s="32" t="s">
        <v>40</v>
      </c>
      <c r="X1" s="33" t="s">
        <v>41</v>
      </c>
      <c r="Y1" s="32" t="s">
        <v>41</v>
      </c>
      <c r="Z1" s="33" t="s">
        <v>96</v>
      </c>
      <c r="AA1" s="32" t="s">
        <v>96</v>
      </c>
      <c r="AB1" s="33" t="s">
        <v>97</v>
      </c>
      <c r="AC1" s="32" t="s">
        <v>97</v>
      </c>
      <c r="AD1" s="33" t="s">
        <v>117</v>
      </c>
      <c r="AE1" s="32" t="s">
        <v>117</v>
      </c>
      <c r="AF1" s="33" t="s">
        <v>98</v>
      </c>
      <c r="AG1" s="32" t="s">
        <v>98</v>
      </c>
      <c r="AH1" s="33" t="s">
        <v>99</v>
      </c>
      <c r="AI1" s="32" t="s">
        <v>99</v>
      </c>
      <c r="AJ1" s="32" t="s">
        <v>42</v>
      </c>
      <c r="AK1" s="32" t="s">
        <v>42</v>
      </c>
    </row>
    <row r="2" spans="1:64" s="6" customFormat="1" ht="15" customHeight="1" x14ac:dyDescent="0.35">
      <c r="A2" s="24"/>
      <c r="B2" s="301" t="s">
        <v>7</v>
      </c>
      <c r="C2" s="302" t="s">
        <v>8</v>
      </c>
      <c r="D2" s="301" t="s">
        <v>9</v>
      </c>
      <c r="E2" s="25" t="s">
        <v>1</v>
      </c>
      <c r="F2" s="17" t="s">
        <v>71</v>
      </c>
      <c r="G2" s="17" t="str">
        <f>G1</f>
        <v>Unit tag</v>
      </c>
      <c r="H2" s="18" t="s">
        <v>35</v>
      </c>
      <c r="I2" s="81" t="s">
        <v>2</v>
      </c>
      <c r="J2" s="18" t="s">
        <v>4</v>
      </c>
      <c r="K2" s="18" t="s">
        <v>5</v>
      </c>
      <c r="L2" s="18" t="s">
        <v>3</v>
      </c>
      <c r="M2" s="95" t="s">
        <v>6</v>
      </c>
      <c r="N2" s="18" t="s">
        <v>36</v>
      </c>
      <c r="O2" s="95" t="s">
        <v>36</v>
      </c>
      <c r="P2" s="107" t="s">
        <v>37</v>
      </c>
      <c r="Q2" s="95" t="s">
        <v>37</v>
      </c>
      <c r="R2" s="107" t="s">
        <v>38</v>
      </c>
      <c r="S2" s="95" t="s">
        <v>38</v>
      </c>
      <c r="T2" s="107" t="s">
        <v>39</v>
      </c>
      <c r="U2" s="95" t="s">
        <v>39</v>
      </c>
      <c r="V2" s="107" t="s">
        <v>40</v>
      </c>
      <c r="W2" s="95" t="s">
        <v>40</v>
      </c>
      <c r="X2" s="107" t="s">
        <v>41</v>
      </c>
      <c r="Y2" s="95" t="s">
        <v>41</v>
      </c>
      <c r="Z2" s="107" t="s">
        <v>96</v>
      </c>
      <c r="AA2" s="95" t="s">
        <v>96</v>
      </c>
      <c r="AB2" s="107" t="s">
        <v>97</v>
      </c>
      <c r="AC2" s="95" t="s">
        <v>97</v>
      </c>
      <c r="AD2" s="107" t="s">
        <v>117</v>
      </c>
      <c r="AE2" s="95" t="s">
        <v>117</v>
      </c>
      <c r="AF2" s="107" t="s">
        <v>98</v>
      </c>
      <c r="AG2" s="95" t="s">
        <v>98</v>
      </c>
      <c r="AH2" s="107" t="s">
        <v>99</v>
      </c>
      <c r="AI2" s="95" t="s">
        <v>99</v>
      </c>
      <c r="AJ2" s="107" t="s">
        <v>42</v>
      </c>
      <c r="AK2" s="95" t="s">
        <v>42</v>
      </c>
    </row>
    <row r="3" spans="1:64" s="20" customFormat="1" x14ac:dyDescent="0.35">
      <c r="A3" s="92"/>
      <c r="B3" s="301"/>
      <c r="C3" s="302"/>
      <c r="D3" s="301"/>
      <c r="E3" s="25" t="s">
        <v>50</v>
      </c>
      <c r="F3" s="91" t="s">
        <v>72</v>
      </c>
      <c r="G3" s="91" t="s">
        <v>72</v>
      </c>
      <c r="H3" s="91" t="s">
        <v>72</v>
      </c>
      <c r="I3" s="91" t="s">
        <v>72</v>
      </c>
      <c r="J3" s="91" t="s">
        <v>72</v>
      </c>
      <c r="K3" s="91" t="s">
        <v>72</v>
      </c>
      <c r="L3" s="3" t="s">
        <v>72</v>
      </c>
      <c r="M3" s="157" t="s">
        <v>72</v>
      </c>
      <c r="N3" s="3">
        <v>2025</v>
      </c>
      <c r="O3" s="23">
        <v>2030</v>
      </c>
      <c r="P3" s="108">
        <v>2025</v>
      </c>
      <c r="Q3" s="23">
        <v>2030</v>
      </c>
      <c r="R3" s="108">
        <v>2025</v>
      </c>
      <c r="S3" s="23">
        <v>2030</v>
      </c>
      <c r="T3" s="108">
        <v>2025</v>
      </c>
      <c r="U3" s="23">
        <v>2030</v>
      </c>
      <c r="V3" s="108">
        <v>2025</v>
      </c>
      <c r="W3" s="23">
        <v>2030</v>
      </c>
      <c r="X3" s="108">
        <v>2025</v>
      </c>
      <c r="Y3" s="23">
        <v>2030</v>
      </c>
      <c r="Z3" s="108">
        <v>2025</v>
      </c>
      <c r="AA3" s="23">
        <v>2030</v>
      </c>
      <c r="AB3" s="108">
        <v>2025</v>
      </c>
      <c r="AC3" s="23">
        <v>2030</v>
      </c>
      <c r="AD3" s="108">
        <v>2025</v>
      </c>
      <c r="AE3" s="23">
        <v>2030</v>
      </c>
      <c r="AF3" s="108">
        <v>2025</v>
      </c>
      <c r="AG3" s="23">
        <v>2030</v>
      </c>
      <c r="AH3" s="108">
        <v>2025</v>
      </c>
      <c r="AI3" s="23">
        <v>2030</v>
      </c>
      <c r="AJ3" s="108">
        <v>2025</v>
      </c>
      <c r="AK3" s="23">
        <v>2030</v>
      </c>
    </row>
    <row r="4" spans="1:64" s="168" customFormat="1" ht="43.5" x14ac:dyDescent="0.35">
      <c r="A4" s="93"/>
      <c r="B4" s="301"/>
      <c r="C4" s="302"/>
      <c r="D4" s="301"/>
      <c r="E4" s="90"/>
      <c r="F4" s="14" t="str">
        <f>F2&amp;F3</f>
        <v>Used (1 or 0)All</v>
      </c>
      <c r="G4" s="14" t="str">
        <f>G2&amp;G3</f>
        <v>Unit tagAll</v>
      </c>
      <c r="H4" s="14" t="str">
        <f t="shared" ref="H4:M4" si="0">H2&amp;H3</f>
        <v>Yearly demand (kg fuel)All</v>
      </c>
      <c r="I4" s="14" t="str">
        <f t="shared" si="0"/>
        <v>Produced fromAll</v>
      </c>
      <c r="J4" s="14" t="str">
        <f t="shared" si="0"/>
        <v>El balanceAll</v>
      </c>
      <c r="K4" s="14" t="str">
        <f t="shared" si="0"/>
        <v>Heat balanceAll</v>
      </c>
      <c r="L4" s="14" t="str">
        <f t="shared" si="0"/>
        <v>H2 balanceAll</v>
      </c>
      <c r="M4" s="96" t="str">
        <f t="shared" si="0"/>
        <v>Max CapacityAll</v>
      </c>
      <c r="N4" s="14" t="str">
        <f t="shared" ref="N4:X4" si="1">N2&amp;N3</f>
        <v>Fuel production rate (kg output/kg input)2025</v>
      </c>
      <c r="O4" s="96" t="str">
        <f t="shared" ref="O4" si="2">O2&amp;O3</f>
        <v>Fuel production rate (kg output/kg input)2030</v>
      </c>
      <c r="P4" s="109" t="str">
        <f t="shared" si="1"/>
        <v>Heat generated (kWh/output)2025</v>
      </c>
      <c r="Q4" s="96" t="str">
        <f t="shared" ref="Q4" si="3">Q2&amp;Q3</f>
        <v>Heat generated (kWh/output)2030</v>
      </c>
      <c r="R4" s="109" t="str">
        <f t="shared" si="1"/>
        <v>Load min (% of max capacity)2025</v>
      </c>
      <c r="S4" s="96" t="str">
        <f t="shared" ref="S4" si="4">S2&amp;S3</f>
        <v>Load min (% of max capacity)2030</v>
      </c>
      <c r="T4" s="109" t="str">
        <f t="shared" si="1"/>
        <v>Ramp up (% of capacity /h)2025</v>
      </c>
      <c r="U4" s="96" t="str">
        <f t="shared" ref="U4" si="5">U2&amp;U3</f>
        <v>Ramp up (% of capacity /h)2030</v>
      </c>
      <c r="V4" s="109" t="str">
        <f t="shared" si="1"/>
        <v>Ramp down (% of capacity /h)2025</v>
      </c>
      <c r="W4" s="96" t="str">
        <f t="shared" ref="W4" si="6">W2&amp;W3</f>
        <v>Ramp down (% of capacity /h)2030</v>
      </c>
      <c r="X4" s="109" t="str">
        <f t="shared" si="1"/>
        <v>Electrical consumption (kWh/output)2025</v>
      </c>
      <c r="Y4" s="96" t="str">
        <f t="shared" ref="Y4" si="7">Y2&amp;Y3</f>
        <v>Electrical consumption (kWh/output)2030</v>
      </c>
      <c r="Z4" s="109" t="s">
        <v>112</v>
      </c>
      <c r="AA4" s="96" t="s">
        <v>112</v>
      </c>
      <c r="AB4" s="109" t="str">
        <f t="shared" ref="AB4:AJ4" si="8">AB2&amp;AB3</f>
        <v>Fixed cost (EUR/Capacity installed/y)2025</v>
      </c>
      <c r="AC4" s="96" t="str">
        <f t="shared" ref="AC4" si="9">AC2&amp;AC3</f>
        <v>Fixed cost (EUR/Capacity installed/y)2030</v>
      </c>
      <c r="AD4" s="109" t="str">
        <f t="shared" si="8"/>
        <v>Variable cost (EUR/output)2025</v>
      </c>
      <c r="AE4" s="96" t="str">
        <f t="shared" ref="AE4" si="10">AE2&amp;AE3</f>
        <v>Variable cost (EUR/output)2030</v>
      </c>
      <c r="AF4" s="109" t="str">
        <f t="shared" si="8"/>
        <v>Fuel selling price (EUR/output)2025</v>
      </c>
      <c r="AG4" s="96" t="str">
        <f t="shared" ref="AG4" si="11">AG2&amp;AG3</f>
        <v>Fuel selling price (EUR/output)2030</v>
      </c>
      <c r="AH4" s="109" t="str">
        <f t="shared" si="8"/>
        <v>Fuel buying price (EUR/output)2025</v>
      </c>
      <c r="AI4" s="96" t="str">
        <f t="shared" ref="AI4" si="12">AI2&amp;AI3</f>
        <v>Fuel buying price (EUR/output)2030</v>
      </c>
      <c r="AJ4" s="109" t="str">
        <f t="shared" si="8"/>
        <v>Annuity factor2025</v>
      </c>
      <c r="AK4" s="96" t="str">
        <f t="shared" ref="AK4" si="13">AK2&amp;AK3</f>
        <v>Annuity factor2030</v>
      </c>
    </row>
    <row r="5" spans="1:64" s="35" customFormat="1" ht="24.65" customHeight="1" x14ac:dyDescent="0.35">
      <c r="A5" s="8"/>
      <c r="B5" s="301"/>
      <c r="C5" s="302"/>
      <c r="D5" s="301"/>
      <c r="E5" s="34" t="s">
        <v>10</v>
      </c>
      <c r="F5" s="8">
        <f t="shared" ref="F5:M5" si="14">COLUMN(F2)-COLUMN($E$5)</f>
        <v>1</v>
      </c>
      <c r="G5" s="8">
        <f t="shared" si="14"/>
        <v>2</v>
      </c>
      <c r="H5" s="8">
        <f t="shared" si="14"/>
        <v>3</v>
      </c>
      <c r="I5" s="82">
        <f t="shared" si="14"/>
        <v>4</v>
      </c>
      <c r="J5" s="8">
        <f t="shared" si="14"/>
        <v>5</v>
      </c>
      <c r="K5" s="8">
        <f t="shared" si="14"/>
        <v>6</v>
      </c>
      <c r="L5" s="8">
        <f>COLUMN(L2)-COLUMN($E$5)</f>
        <v>7</v>
      </c>
      <c r="M5" s="97">
        <f t="shared" si="14"/>
        <v>8</v>
      </c>
      <c r="N5" s="8">
        <f t="shared" ref="N5:X5" si="15">COLUMN(N2)-COLUMN($E$5)</f>
        <v>9</v>
      </c>
      <c r="O5" s="97">
        <f t="shared" ref="O5" si="16">COLUMN(O2)-COLUMN($E$5)</f>
        <v>10</v>
      </c>
      <c r="P5" s="110">
        <f t="shared" si="15"/>
        <v>11</v>
      </c>
      <c r="Q5" s="97">
        <f t="shared" ref="Q5" si="17">COLUMN(Q2)-COLUMN($E$5)</f>
        <v>12</v>
      </c>
      <c r="R5" s="110">
        <f t="shared" si="15"/>
        <v>13</v>
      </c>
      <c r="S5" s="97">
        <f t="shared" ref="S5" si="18">COLUMN(S2)-COLUMN($E$5)</f>
        <v>14</v>
      </c>
      <c r="T5" s="110">
        <f t="shared" si="15"/>
        <v>15</v>
      </c>
      <c r="U5" s="97">
        <f t="shared" ref="U5" si="19">COLUMN(U2)-COLUMN($E$5)</f>
        <v>16</v>
      </c>
      <c r="V5" s="110">
        <f t="shared" si="15"/>
        <v>17</v>
      </c>
      <c r="W5" s="97">
        <f t="shared" ref="W5" si="20">COLUMN(W2)-COLUMN($E$5)</f>
        <v>18</v>
      </c>
      <c r="X5" s="110">
        <f t="shared" si="15"/>
        <v>19</v>
      </c>
      <c r="Y5" s="97">
        <f t="shared" ref="Y5" si="21">COLUMN(Y2)-COLUMN($E$5)</f>
        <v>20</v>
      </c>
      <c r="Z5" s="110">
        <v>17</v>
      </c>
      <c r="AA5" s="97">
        <v>17</v>
      </c>
      <c r="AB5" s="110">
        <f t="shared" ref="AB5:AJ5" si="22">COLUMN(AB2)-COLUMN($E$5)</f>
        <v>23</v>
      </c>
      <c r="AC5" s="97">
        <f t="shared" ref="AC5" si="23">COLUMN(AC2)-COLUMN($E$5)</f>
        <v>24</v>
      </c>
      <c r="AD5" s="110">
        <f t="shared" si="22"/>
        <v>25</v>
      </c>
      <c r="AE5" s="97">
        <f t="shared" ref="AE5" si="24">COLUMN(AE2)-COLUMN($E$5)</f>
        <v>26</v>
      </c>
      <c r="AF5" s="110">
        <f t="shared" si="22"/>
        <v>27</v>
      </c>
      <c r="AG5" s="97">
        <f t="shared" ref="AG5" si="25">COLUMN(AG2)-COLUMN($E$5)</f>
        <v>28</v>
      </c>
      <c r="AH5" s="110">
        <f t="shared" si="22"/>
        <v>29</v>
      </c>
      <c r="AI5" s="97">
        <f t="shared" ref="AI5" si="26">COLUMN(AI2)-COLUMN($E$5)</f>
        <v>30</v>
      </c>
      <c r="AJ5" s="110">
        <f t="shared" si="22"/>
        <v>31</v>
      </c>
      <c r="AK5" s="97">
        <f t="shared" ref="AK5" si="27">COLUMN(AK2)-COLUMN($E$5)</f>
        <v>32</v>
      </c>
    </row>
    <row r="6" spans="1:64" x14ac:dyDescent="0.35">
      <c r="A6" s="300"/>
      <c r="B6" s="43" t="s">
        <v>74</v>
      </c>
      <c r="C6" s="44" t="s">
        <v>110</v>
      </c>
      <c r="D6" s="45" t="s">
        <v>46</v>
      </c>
      <c r="E6" s="9">
        <f t="shared" ref="E6:E29" si="28">ROW(D6)-ROW($E$5)</f>
        <v>1</v>
      </c>
      <c r="F6" s="46">
        <v>1</v>
      </c>
      <c r="G6" s="46" t="s">
        <v>44</v>
      </c>
      <c r="H6" s="164">
        <v>1808493</v>
      </c>
      <c r="I6" s="48" t="str">
        <f>B7</f>
        <v>Product/Reactant1</v>
      </c>
      <c r="J6" s="47">
        <v>0</v>
      </c>
      <c r="K6" s="47">
        <v>0</v>
      </c>
      <c r="L6" s="47">
        <v>0</v>
      </c>
      <c r="M6" s="98">
        <v>2000000</v>
      </c>
      <c r="N6" s="47">
        <v>1.3740000000000001</v>
      </c>
      <c r="O6" s="98">
        <v>1.3740000000000001</v>
      </c>
      <c r="P6" s="111">
        <v>0</v>
      </c>
      <c r="Q6" s="98">
        <v>0</v>
      </c>
      <c r="R6" s="120">
        <v>0</v>
      </c>
      <c r="S6" s="121">
        <v>0</v>
      </c>
      <c r="T6" s="120">
        <v>1</v>
      </c>
      <c r="U6" s="121">
        <v>1</v>
      </c>
      <c r="V6" s="120">
        <v>1</v>
      </c>
      <c r="W6" s="121">
        <v>1</v>
      </c>
      <c r="X6" s="142">
        <v>0</v>
      </c>
      <c r="Y6" s="143">
        <v>0</v>
      </c>
      <c r="Z6" s="142">
        <v>0</v>
      </c>
      <c r="AA6" s="143">
        <v>0</v>
      </c>
      <c r="AB6" s="142">
        <v>0</v>
      </c>
      <c r="AC6" s="143">
        <v>0</v>
      </c>
      <c r="AD6" s="142">
        <v>0</v>
      </c>
      <c r="AE6" s="143">
        <v>0</v>
      </c>
      <c r="AF6" s="111">
        <v>0</v>
      </c>
      <c r="AG6" s="98">
        <v>0</v>
      </c>
      <c r="AH6" s="111">
        <v>0.154</v>
      </c>
      <c r="AI6" s="98">
        <v>0.154</v>
      </c>
      <c r="AJ6" s="111">
        <v>0</v>
      </c>
      <c r="AK6" s="98">
        <v>0</v>
      </c>
    </row>
    <row r="7" spans="1:64" x14ac:dyDescent="0.35">
      <c r="A7" s="300"/>
      <c r="B7" s="43" t="s">
        <v>73</v>
      </c>
      <c r="C7" s="49" t="s">
        <v>91</v>
      </c>
      <c r="D7" s="45" t="s">
        <v>118</v>
      </c>
      <c r="E7" s="9">
        <f t="shared" si="28"/>
        <v>2</v>
      </c>
      <c r="F7" s="46">
        <v>1</v>
      </c>
      <c r="G7" s="46" t="s">
        <v>119</v>
      </c>
      <c r="H7" s="164">
        <f>H6/N6</f>
        <v>1316224.8908296942</v>
      </c>
      <c r="I7" s="48" t="str">
        <f>B15</f>
        <v>Reactant2</v>
      </c>
      <c r="J7" s="47">
        <v>0</v>
      </c>
      <c r="K7" s="47">
        <v>1</v>
      </c>
      <c r="L7" s="47">
        <v>0</v>
      </c>
      <c r="M7" s="98">
        <v>2000000</v>
      </c>
      <c r="N7" s="47">
        <v>5.26</v>
      </c>
      <c r="O7" s="98">
        <v>5.26</v>
      </c>
      <c r="P7" s="111">
        <v>0.68</v>
      </c>
      <c r="Q7" s="98">
        <v>0.68</v>
      </c>
      <c r="R7" s="120">
        <v>0.4</v>
      </c>
      <c r="S7" s="121">
        <v>0.2</v>
      </c>
      <c r="T7" s="120">
        <v>0.2</v>
      </c>
      <c r="U7" s="121">
        <v>1</v>
      </c>
      <c r="V7" s="120">
        <v>0.2</v>
      </c>
      <c r="W7" s="121">
        <v>1</v>
      </c>
      <c r="X7" s="140">
        <v>0.316</v>
      </c>
      <c r="Y7" s="141">
        <v>0.316</v>
      </c>
      <c r="Z7" s="150">
        <v>23668.2</v>
      </c>
      <c r="AA7" s="89">
        <v>23668.2</v>
      </c>
      <c r="AB7" s="111">
        <f>Z7*4%</f>
        <v>946.72800000000007</v>
      </c>
      <c r="AC7" s="98">
        <f>AA7*4%</f>
        <v>946.72800000000007</v>
      </c>
      <c r="AD7" s="142">
        <v>0</v>
      </c>
      <c r="AE7" s="143">
        <v>0</v>
      </c>
      <c r="AF7" s="111">
        <v>0</v>
      </c>
      <c r="AG7" s="98">
        <v>0</v>
      </c>
      <c r="AH7" s="111">
        <v>0</v>
      </c>
      <c r="AI7" s="98">
        <v>0</v>
      </c>
      <c r="AJ7" s="111">
        <v>8.8495575221238937E-2</v>
      </c>
      <c r="AK7" s="98">
        <v>8.8495575221238937E-2</v>
      </c>
    </row>
    <row r="8" spans="1:64" x14ac:dyDescent="0.35">
      <c r="A8" s="300"/>
      <c r="B8" s="50" t="s">
        <v>74</v>
      </c>
      <c r="C8" s="87" t="s">
        <v>110</v>
      </c>
      <c r="D8" s="52" t="s">
        <v>123</v>
      </c>
      <c r="E8" s="9">
        <f t="shared" si="28"/>
        <v>3</v>
      </c>
      <c r="F8" s="53">
        <v>1</v>
      </c>
      <c r="G8" s="53" t="s">
        <v>123</v>
      </c>
      <c r="H8" s="165">
        <f>1808493+1245491</f>
        <v>3053984</v>
      </c>
      <c r="I8" s="88" t="str">
        <f>B9</f>
        <v>Product/Reactant4</v>
      </c>
      <c r="J8" s="54">
        <v>0</v>
      </c>
      <c r="K8" s="54">
        <v>0</v>
      </c>
      <c r="L8" s="54">
        <v>0</v>
      </c>
      <c r="M8" s="99">
        <v>2000000</v>
      </c>
      <c r="N8" s="54">
        <v>0.85399999999999998</v>
      </c>
      <c r="O8" s="99">
        <v>0.85399999999999998</v>
      </c>
      <c r="P8" s="112">
        <v>0</v>
      </c>
      <c r="Q8" s="99">
        <v>0</v>
      </c>
      <c r="R8" s="122">
        <v>0</v>
      </c>
      <c r="S8" s="123">
        <v>0</v>
      </c>
      <c r="T8" s="122">
        <v>1</v>
      </c>
      <c r="U8" s="123">
        <v>1</v>
      </c>
      <c r="V8" s="122">
        <v>1</v>
      </c>
      <c r="W8" s="123">
        <v>1</v>
      </c>
      <c r="X8" s="144">
        <v>0</v>
      </c>
      <c r="Y8" s="145">
        <v>0</v>
      </c>
      <c r="Z8" s="112">
        <v>0</v>
      </c>
      <c r="AA8" s="99">
        <v>0</v>
      </c>
      <c r="AB8" s="112">
        <v>0</v>
      </c>
      <c r="AC8" s="99">
        <v>0</v>
      </c>
      <c r="AD8" s="151">
        <v>0</v>
      </c>
      <c r="AE8" s="152">
        <v>0</v>
      </c>
      <c r="AF8" s="112">
        <v>0</v>
      </c>
      <c r="AG8" s="99">
        <v>0</v>
      </c>
      <c r="AH8" s="162">
        <v>0</v>
      </c>
      <c r="AI8" s="163">
        <v>0</v>
      </c>
      <c r="AJ8" s="112">
        <v>0</v>
      </c>
      <c r="AK8" s="99">
        <v>0</v>
      </c>
    </row>
    <row r="9" spans="1:64" x14ac:dyDescent="0.35">
      <c r="A9" s="300"/>
      <c r="B9" s="50" t="s">
        <v>125</v>
      </c>
      <c r="C9" s="51" t="s">
        <v>91</v>
      </c>
      <c r="D9" s="52" t="s">
        <v>124</v>
      </c>
      <c r="E9" s="9">
        <f t="shared" si="28"/>
        <v>4</v>
      </c>
      <c r="F9" s="53">
        <v>1</v>
      </c>
      <c r="G9" s="53" t="s">
        <v>124</v>
      </c>
      <c r="H9" s="165">
        <f>H8/N8</f>
        <v>3576093.6768149883</v>
      </c>
      <c r="I9" s="88" t="str">
        <f>B16</f>
        <v>Reactant6</v>
      </c>
      <c r="J9" s="54">
        <v>0</v>
      </c>
      <c r="K9" s="54">
        <v>1</v>
      </c>
      <c r="L9" s="54">
        <v>0</v>
      </c>
      <c r="M9" s="99">
        <v>2000000</v>
      </c>
      <c r="N9" s="54">
        <v>22.02</v>
      </c>
      <c r="O9" s="99">
        <v>22.02</v>
      </c>
      <c r="P9" s="112">
        <v>1.232</v>
      </c>
      <c r="Q9" s="99">
        <v>1.232</v>
      </c>
      <c r="R9" s="122">
        <v>0.4</v>
      </c>
      <c r="S9" s="123">
        <v>0.2</v>
      </c>
      <c r="T9" s="122">
        <v>0.2</v>
      </c>
      <c r="U9" s="123">
        <v>1</v>
      </c>
      <c r="V9" s="122">
        <v>0.2</v>
      </c>
      <c r="W9" s="123">
        <v>1</v>
      </c>
      <c r="X9" s="144">
        <v>1.31</v>
      </c>
      <c r="Y9" s="145">
        <v>1.31</v>
      </c>
      <c r="Z9" s="150">
        <f>Z7*1.3</f>
        <v>30768.660000000003</v>
      </c>
      <c r="AA9" s="89">
        <f>AA7*1.3</f>
        <v>30768.660000000003</v>
      </c>
      <c r="AB9" s="112">
        <f>0.04*Z9</f>
        <v>1230.7464000000002</v>
      </c>
      <c r="AC9" s="99">
        <f>0.04*AA9</f>
        <v>1230.7464000000002</v>
      </c>
      <c r="AD9" s="151">
        <v>0</v>
      </c>
      <c r="AE9" s="152">
        <v>0</v>
      </c>
      <c r="AF9" s="112">
        <v>0</v>
      </c>
      <c r="AG9" s="99">
        <v>0</v>
      </c>
      <c r="AH9" s="112">
        <v>0</v>
      </c>
      <c r="AI9" s="99">
        <v>0</v>
      </c>
      <c r="AJ9" s="112">
        <f>AJ7</f>
        <v>8.8495575221238937E-2</v>
      </c>
      <c r="AK9" s="99">
        <f>AK7</f>
        <v>8.8495575221238937E-2</v>
      </c>
    </row>
    <row r="10" spans="1:64" x14ac:dyDescent="0.35">
      <c r="A10" s="300"/>
      <c r="B10" s="220" t="s">
        <v>74</v>
      </c>
      <c r="C10" s="221" t="s">
        <v>110</v>
      </c>
      <c r="D10" s="222" t="s">
        <v>178</v>
      </c>
      <c r="E10" s="9">
        <f t="shared" si="28"/>
        <v>5</v>
      </c>
      <c r="F10" s="221">
        <v>1</v>
      </c>
      <c r="G10" s="221" t="s">
        <v>178</v>
      </c>
      <c r="H10" s="226">
        <f>H8</f>
        <v>3053984</v>
      </c>
      <c r="I10" s="227" t="str">
        <f>B11</f>
        <v>Product/Reactant5</v>
      </c>
      <c r="J10" s="224">
        <v>0</v>
      </c>
      <c r="K10" s="224">
        <v>0</v>
      </c>
      <c r="L10" s="224">
        <v>0</v>
      </c>
      <c r="M10" s="225">
        <v>2000000</v>
      </c>
      <c r="N10" s="224">
        <v>1.6009199999999999</v>
      </c>
      <c r="O10" s="225">
        <f>N10</f>
        <v>1.6009199999999999</v>
      </c>
      <c r="P10" s="228">
        <f>1.42872</f>
        <v>1.42872</v>
      </c>
      <c r="Q10" s="228">
        <f>1.42872</f>
        <v>1.42872</v>
      </c>
      <c r="R10" s="229">
        <v>0</v>
      </c>
      <c r="S10" s="230">
        <v>0</v>
      </c>
      <c r="T10" s="229">
        <v>1</v>
      </c>
      <c r="U10" s="230">
        <v>1</v>
      </c>
      <c r="V10" s="229">
        <v>1</v>
      </c>
      <c r="W10" s="230">
        <v>1</v>
      </c>
      <c r="X10" s="231">
        <v>0</v>
      </c>
      <c r="Y10" s="232">
        <v>0</v>
      </c>
      <c r="Z10" s="228">
        <v>0</v>
      </c>
      <c r="AA10" s="225">
        <v>0</v>
      </c>
      <c r="AB10" s="228">
        <v>0</v>
      </c>
      <c r="AC10" s="225">
        <v>0</v>
      </c>
      <c r="AD10" s="231">
        <v>0</v>
      </c>
      <c r="AE10" s="232">
        <v>0</v>
      </c>
      <c r="AF10" s="228">
        <v>0</v>
      </c>
      <c r="AG10" s="225">
        <v>0</v>
      </c>
      <c r="AH10" s="228">
        <v>0</v>
      </c>
      <c r="AI10" s="225">
        <v>0</v>
      </c>
      <c r="AJ10" s="228">
        <v>0</v>
      </c>
      <c r="AK10" s="225">
        <v>0</v>
      </c>
    </row>
    <row r="11" spans="1:64" x14ac:dyDescent="0.35">
      <c r="A11" s="300"/>
      <c r="B11" s="220" t="s">
        <v>172</v>
      </c>
      <c r="C11" s="223" t="s">
        <v>91</v>
      </c>
      <c r="D11" s="222" t="s">
        <v>173</v>
      </c>
      <c r="E11" s="9">
        <f t="shared" si="28"/>
        <v>6</v>
      </c>
      <c r="F11" s="221">
        <v>1</v>
      </c>
      <c r="G11" s="221" t="s">
        <v>174</v>
      </c>
      <c r="H11" s="226">
        <f>H10/N10</f>
        <v>1907643.1052145017</v>
      </c>
      <c r="I11" s="227" t="str">
        <f>B17</f>
        <v>Reactant7</v>
      </c>
      <c r="J11" s="224">
        <v>0</v>
      </c>
      <c r="K11" s="224">
        <v>1</v>
      </c>
      <c r="L11" s="224">
        <v>0</v>
      </c>
      <c r="M11" s="225">
        <v>2000000</v>
      </c>
      <c r="N11" s="224">
        <v>1.9894000000000001</v>
      </c>
      <c r="O11" s="225">
        <f>N11</f>
        <v>1.9894000000000001</v>
      </c>
      <c r="P11" s="228">
        <v>1.232</v>
      </c>
      <c r="Q11" s="225">
        <v>1.232</v>
      </c>
      <c r="R11" s="229">
        <v>0.2</v>
      </c>
      <c r="S11" s="230">
        <v>0.1</v>
      </c>
      <c r="T11" s="229">
        <v>0.2</v>
      </c>
      <c r="U11" s="230">
        <v>1</v>
      </c>
      <c r="V11" s="229">
        <v>0.2</v>
      </c>
      <c r="W11" s="230">
        <v>1</v>
      </c>
      <c r="X11" s="231">
        <v>0.37657000000000002</v>
      </c>
      <c r="Y11" s="231">
        <v>0.37657000000000002</v>
      </c>
      <c r="Z11" s="228">
        <v>30295</v>
      </c>
      <c r="AA11" s="228">
        <v>30295</v>
      </c>
      <c r="AB11" s="228">
        <f>0.2*Z11</f>
        <v>6059</v>
      </c>
      <c r="AC11" s="228">
        <f>0.2*AA11</f>
        <v>6059</v>
      </c>
      <c r="AD11" s="231">
        <v>0</v>
      </c>
      <c r="AE11" s="232">
        <v>0</v>
      </c>
      <c r="AF11" s="228">
        <v>0</v>
      </c>
      <c r="AG11" s="225">
        <v>0</v>
      </c>
      <c r="AH11" s="228">
        <v>0</v>
      </c>
      <c r="AI11" s="225">
        <v>0</v>
      </c>
      <c r="AJ11" s="228">
        <f>AJ9</f>
        <v>8.8495575221238937E-2</v>
      </c>
      <c r="AK11" s="225">
        <f>AK9</f>
        <v>8.8495575221238937E-2</v>
      </c>
    </row>
    <row r="12" spans="1:64" x14ac:dyDescent="0.35">
      <c r="A12" s="300"/>
      <c r="B12" s="19" t="s">
        <v>109</v>
      </c>
      <c r="C12" s="11" t="s">
        <v>110</v>
      </c>
      <c r="D12" s="3" t="s">
        <v>128</v>
      </c>
      <c r="E12" s="9">
        <f>ROW(D12)-ROW($E$5)</f>
        <v>7</v>
      </c>
      <c r="F12" s="2">
        <v>1</v>
      </c>
      <c r="G12" s="2" t="s">
        <v>129</v>
      </c>
      <c r="H12">
        <v>0</v>
      </c>
      <c r="I12" s="2" t="s">
        <v>11</v>
      </c>
      <c r="J12">
        <v>0</v>
      </c>
      <c r="K12">
        <v>0</v>
      </c>
      <c r="L12">
        <v>0</v>
      </c>
      <c r="M12" s="16">
        <v>2000000</v>
      </c>
      <c r="N12">
        <v>0</v>
      </c>
      <c r="O12" s="16">
        <v>0</v>
      </c>
      <c r="P12" s="113">
        <v>0</v>
      </c>
      <c r="Q12" s="16">
        <v>0</v>
      </c>
      <c r="R12" s="124">
        <v>0</v>
      </c>
      <c r="S12" s="125">
        <v>0</v>
      </c>
      <c r="T12" s="124">
        <v>1</v>
      </c>
      <c r="U12" s="125">
        <v>1</v>
      </c>
      <c r="V12" s="124">
        <v>1</v>
      </c>
      <c r="W12" s="125">
        <v>1</v>
      </c>
      <c r="X12" s="178">
        <f>(0.0045+0.001)/2</f>
        <v>2.7499999999999998E-3</v>
      </c>
      <c r="Y12" s="177">
        <f>(0.0045+0.001)/2</f>
        <v>2.7499999999999998E-3</v>
      </c>
      <c r="Z12" s="176">
        <v>72.597819999999999</v>
      </c>
      <c r="AA12" s="177">
        <v>64.531400000000005</v>
      </c>
      <c r="AB12" s="113">
        <f>0.03*Z12</f>
        <v>2.1779345999999999</v>
      </c>
      <c r="AC12" s="16">
        <f>0.03*AA12</f>
        <v>1.9359420000000001</v>
      </c>
      <c r="AD12" s="113">
        <v>0</v>
      </c>
      <c r="AE12" s="16">
        <v>0</v>
      </c>
      <c r="AF12" s="113">
        <v>0</v>
      </c>
      <c r="AG12" s="16">
        <v>0</v>
      </c>
      <c r="AH12" s="162">
        <v>0</v>
      </c>
      <c r="AI12" s="163">
        <v>0</v>
      </c>
      <c r="AJ12" s="113">
        <v>0.11682954493602001</v>
      </c>
      <c r="AK12" s="16">
        <v>0.11682954493602001</v>
      </c>
      <c r="AM12" s="169"/>
      <c r="AN12" s="169"/>
      <c r="AO12" s="169"/>
      <c r="AP12" s="169"/>
      <c r="AQ12" s="169"/>
      <c r="AR12" s="169"/>
      <c r="AS12" s="169"/>
      <c r="AT12" s="169"/>
      <c r="AU12" s="169"/>
      <c r="AV12" s="169"/>
      <c r="AW12" s="169"/>
      <c r="AX12" s="169"/>
      <c r="BH12" s="170"/>
      <c r="BL12" s="170"/>
    </row>
    <row r="13" spans="1:64" x14ac:dyDescent="0.35">
      <c r="A13" s="300"/>
      <c r="B13" s="60" t="s">
        <v>77</v>
      </c>
      <c r="C13" s="61" t="s">
        <v>110</v>
      </c>
      <c r="D13" s="62" t="s">
        <v>105</v>
      </c>
      <c r="E13" s="9">
        <f t="shared" si="28"/>
        <v>8</v>
      </c>
      <c r="F13" s="63">
        <v>1</v>
      </c>
      <c r="G13" s="63" t="s">
        <v>45</v>
      </c>
      <c r="H13" s="64">
        <v>0</v>
      </c>
      <c r="I13" s="65" t="str">
        <f>B12</f>
        <v>Reactant8</v>
      </c>
      <c r="J13" s="64">
        <v>0</v>
      </c>
      <c r="K13" s="64">
        <v>1</v>
      </c>
      <c r="L13" s="64">
        <v>1</v>
      </c>
      <c r="M13" s="100">
        <v>2000000</v>
      </c>
      <c r="N13" s="64">
        <f t="shared" ref="N13:O14" si="29">(1/9)*0.8</f>
        <v>8.8888888888888892E-2</v>
      </c>
      <c r="O13" s="100">
        <f t="shared" si="29"/>
        <v>8.8888888888888892E-2</v>
      </c>
      <c r="P13" s="146">
        <v>7.07</v>
      </c>
      <c r="Q13" s="100">
        <v>5.6760000000000002</v>
      </c>
      <c r="R13" s="126">
        <v>0</v>
      </c>
      <c r="S13" s="127">
        <v>0</v>
      </c>
      <c r="T13" s="126">
        <v>1</v>
      </c>
      <c r="U13" s="127">
        <v>1</v>
      </c>
      <c r="V13" s="126">
        <v>1</v>
      </c>
      <c r="W13" s="127">
        <v>1</v>
      </c>
      <c r="X13" s="146">
        <v>51.5</v>
      </c>
      <c r="Y13" s="100">
        <v>49.8</v>
      </c>
      <c r="Z13" s="146">
        <v>55000</v>
      </c>
      <c r="AA13" s="100">
        <v>39840</v>
      </c>
      <c r="AB13" s="146">
        <f>10%*Z13</f>
        <v>5500</v>
      </c>
      <c r="AC13" s="100">
        <f>10%*AA13</f>
        <v>3984</v>
      </c>
      <c r="AD13" s="146">
        <v>0</v>
      </c>
      <c r="AE13" s="100">
        <v>0</v>
      </c>
      <c r="AF13" s="146">
        <v>0</v>
      </c>
      <c r="AG13" s="100">
        <v>0</v>
      </c>
      <c r="AH13" s="146">
        <v>0</v>
      </c>
      <c r="AI13" s="100">
        <v>0</v>
      </c>
      <c r="AJ13" s="153">
        <f t="shared" ref="AJ13:AK14" si="30">1/11.3</f>
        <v>8.8495575221238937E-2</v>
      </c>
      <c r="AK13" s="154">
        <f t="shared" si="30"/>
        <v>8.8495575221238937E-2</v>
      </c>
    </row>
    <row r="14" spans="1:64" x14ac:dyDescent="0.35">
      <c r="A14" s="300"/>
      <c r="B14" s="66" t="s">
        <v>77</v>
      </c>
      <c r="C14" s="67" t="s">
        <v>110</v>
      </c>
      <c r="D14" s="68" t="s">
        <v>107</v>
      </c>
      <c r="E14" s="9">
        <f t="shared" si="28"/>
        <v>9</v>
      </c>
      <c r="F14" s="69">
        <v>1</v>
      </c>
      <c r="G14" s="69" t="s">
        <v>108</v>
      </c>
      <c r="H14" s="70">
        <v>0</v>
      </c>
      <c r="I14" s="71" t="str">
        <f>B12</f>
        <v>Reactant8</v>
      </c>
      <c r="J14" s="70">
        <v>0</v>
      </c>
      <c r="K14" s="70">
        <v>1</v>
      </c>
      <c r="L14" s="70">
        <v>1</v>
      </c>
      <c r="M14" s="115">
        <f>M13</f>
        <v>2000000</v>
      </c>
      <c r="N14" s="70">
        <f t="shared" si="29"/>
        <v>8.8888888888888892E-2</v>
      </c>
      <c r="O14" s="115">
        <f t="shared" si="29"/>
        <v>8.8888888888888892E-2</v>
      </c>
      <c r="P14" s="114">
        <v>0</v>
      </c>
      <c r="Q14" s="115">
        <v>0</v>
      </c>
      <c r="R14" s="128">
        <v>0</v>
      </c>
      <c r="S14" s="129">
        <v>0</v>
      </c>
      <c r="T14" s="128">
        <v>1</v>
      </c>
      <c r="U14" s="129">
        <v>1</v>
      </c>
      <c r="V14" s="128">
        <v>1</v>
      </c>
      <c r="W14" s="129">
        <v>1</v>
      </c>
      <c r="X14" s="158">
        <v>37.9</v>
      </c>
      <c r="Y14" s="159">
        <v>37.9</v>
      </c>
      <c r="Z14" s="158">
        <v>105260</v>
      </c>
      <c r="AA14" s="159">
        <v>105260</v>
      </c>
      <c r="AB14" s="158">
        <f>8.55%*Z14</f>
        <v>8999.7300000000014</v>
      </c>
      <c r="AC14" s="159">
        <f>8.55%*AA14</f>
        <v>8999.7300000000014</v>
      </c>
      <c r="AD14" s="114">
        <v>0</v>
      </c>
      <c r="AE14" s="115">
        <v>0</v>
      </c>
      <c r="AF14" s="114">
        <v>0</v>
      </c>
      <c r="AG14" s="115">
        <v>0</v>
      </c>
      <c r="AH14" s="114">
        <v>0</v>
      </c>
      <c r="AI14" s="115">
        <v>0</v>
      </c>
      <c r="AJ14" s="160">
        <f t="shared" si="30"/>
        <v>8.8495575221238937E-2</v>
      </c>
      <c r="AK14" s="161">
        <f t="shared" si="30"/>
        <v>8.8495575221238937E-2</v>
      </c>
    </row>
    <row r="15" spans="1:64" x14ac:dyDescent="0.35">
      <c r="A15" s="300"/>
      <c r="B15" s="19" t="s">
        <v>75</v>
      </c>
      <c r="C15" s="11" t="s">
        <v>110</v>
      </c>
      <c r="D15" s="3" t="s">
        <v>33</v>
      </c>
      <c r="E15" s="9">
        <f t="shared" si="28"/>
        <v>10</v>
      </c>
      <c r="F15" s="2">
        <v>1</v>
      </c>
      <c r="G15" s="2" t="s">
        <v>34</v>
      </c>
      <c r="H15" s="10">
        <v>0</v>
      </c>
      <c r="I15" s="83" t="s">
        <v>11</v>
      </c>
      <c r="J15">
        <v>0</v>
      </c>
      <c r="K15">
        <v>0</v>
      </c>
      <c r="L15">
        <v>-1</v>
      </c>
      <c r="M15" s="16">
        <f>M13</f>
        <v>2000000</v>
      </c>
      <c r="N15" s="10">
        <v>0</v>
      </c>
      <c r="O15" s="101">
        <v>0</v>
      </c>
      <c r="P15" s="113">
        <v>0</v>
      </c>
      <c r="Q15" s="16">
        <v>0</v>
      </c>
      <c r="R15" s="130">
        <v>0</v>
      </c>
      <c r="S15" s="131">
        <v>0</v>
      </c>
      <c r="T15" s="130">
        <v>1</v>
      </c>
      <c r="U15" s="131">
        <v>1</v>
      </c>
      <c r="V15" s="130">
        <v>1</v>
      </c>
      <c r="W15" s="131">
        <v>1</v>
      </c>
      <c r="X15" s="147">
        <v>0</v>
      </c>
      <c r="Y15" s="101">
        <v>0</v>
      </c>
      <c r="Z15" s="147">
        <v>0</v>
      </c>
      <c r="AA15" s="101">
        <v>0</v>
      </c>
      <c r="AB15" s="147">
        <v>0</v>
      </c>
      <c r="AC15" s="101">
        <v>0</v>
      </c>
      <c r="AD15" s="147">
        <v>0</v>
      </c>
      <c r="AE15" s="101">
        <v>0</v>
      </c>
      <c r="AF15" s="147">
        <v>0</v>
      </c>
      <c r="AG15" s="101">
        <v>0</v>
      </c>
      <c r="AH15" s="147">
        <v>0</v>
      </c>
      <c r="AI15" s="101">
        <v>0</v>
      </c>
      <c r="AJ15" s="147">
        <v>0</v>
      </c>
      <c r="AK15" s="101">
        <v>0</v>
      </c>
    </row>
    <row r="16" spans="1:64" x14ac:dyDescent="0.35">
      <c r="A16" s="300"/>
      <c r="B16" s="19" t="s">
        <v>76</v>
      </c>
      <c r="C16" s="11" t="s">
        <v>110</v>
      </c>
      <c r="D16" s="3" t="s">
        <v>122</v>
      </c>
      <c r="E16" s="9">
        <f t="shared" si="28"/>
        <v>11</v>
      </c>
      <c r="F16" s="2">
        <v>1</v>
      </c>
      <c r="G16" s="2" t="s">
        <v>121</v>
      </c>
      <c r="H16" s="29">
        <v>0</v>
      </c>
      <c r="I16" s="83" t="s">
        <v>11</v>
      </c>
      <c r="J16">
        <v>0</v>
      </c>
      <c r="K16">
        <v>0</v>
      </c>
      <c r="L16">
        <v>-1</v>
      </c>
      <c r="M16" s="16">
        <f>M13</f>
        <v>2000000</v>
      </c>
      <c r="N16" s="29">
        <v>0</v>
      </c>
      <c r="O16" s="102">
        <v>0</v>
      </c>
      <c r="P16" s="113">
        <v>0</v>
      </c>
      <c r="Q16" s="16">
        <v>0</v>
      </c>
      <c r="R16" s="132">
        <v>0</v>
      </c>
      <c r="S16" s="133">
        <v>0</v>
      </c>
      <c r="T16" s="132">
        <v>1</v>
      </c>
      <c r="U16" s="133">
        <v>1</v>
      </c>
      <c r="V16" s="132">
        <v>1</v>
      </c>
      <c r="W16" s="133">
        <v>1</v>
      </c>
      <c r="X16" s="148">
        <v>0</v>
      </c>
      <c r="Y16" s="102">
        <v>0</v>
      </c>
      <c r="Z16" s="148">
        <v>0</v>
      </c>
      <c r="AA16" s="102">
        <v>0</v>
      </c>
      <c r="AB16" s="148">
        <v>0</v>
      </c>
      <c r="AC16" s="102">
        <v>0</v>
      </c>
      <c r="AD16" s="148">
        <v>0</v>
      </c>
      <c r="AE16" s="102">
        <v>0</v>
      </c>
      <c r="AF16" s="148">
        <v>0</v>
      </c>
      <c r="AG16" s="102">
        <v>0</v>
      </c>
      <c r="AH16" s="148">
        <v>0</v>
      </c>
      <c r="AI16" s="102">
        <v>0</v>
      </c>
      <c r="AJ16" s="148">
        <v>0</v>
      </c>
      <c r="AK16" s="102">
        <v>0</v>
      </c>
    </row>
    <row r="17" spans="1:37" x14ac:dyDescent="0.35">
      <c r="A17" s="300"/>
      <c r="B17" s="19" t="s">
        <v>175</v>
      </c>
      <c r="C17" s="11" t="s">
        <v>110</v>
      </c>
      <c r="D17" s="3" t="s">
        <v>176</v>
      </c>
      <c r="E17" s="9">
        <f t="shared" si="28"/>
        <v>12</v>
      </c>
      <c r="F17" s="2">
        <v>1</v>
      </c>
      <c r="G17" s="2" t="s">
        <v>177</v>
      </c>
      <c r="H17" s="29">
        <v>0</v>
      </c>
      <c r="I17" s="83" t="s">
        <v>11</v>
      </c>
      <c r="J17">
        <v>0</v>
      </c>
      <c r="K17">
        <v>0</v>
      </c>
      <c r="L17">
        <v>-1</v>
      </c>
      <c r="M17" s="16">
        <f>M14</f>
        <v>2000000</v>
      </c>
      <c r="N17" s="29">
        <v>0</v>
      </c>
      <c r="O17" s="102">
        <v>0</v>
      </c>
      <c r="P17" s="113">
        <v>0</v>
      </c>
      <c r="Q17" s="16">
        <v>0</v>
      </c>
      <c r="R17" s="132">
        <v>0</v>
      </c>
      <c r="S17" s="133">
        <v>0</v>
      </c>
      <c r="T17" s="132">
        <v>1</v>
      </c>
      <c r="U17" s="133">
        <v>1</v>
      </c>
      <c r="V17" s="132">
        <v>1</v>
      </c>
      <c r="W17" s="133">
        <v>1</v>
      </c>
      <c r="X17" s="148">
        <v>0</v>
      </c>
      <c r="Y17" s="102">
        <v>0</v>
      </c>
      <c r="Z17" s="148">
        <v>0</v>
      </c>
      <c r="AA17" s="102">
        <v>0</v>
      </c>
      <c r="AB17" s="148">
        <v>0</v>
      </c>
      <c r="AC17" s="102">
        <v>0</v>
      </c>
      <c r="AD17" s="148">
        <v>0</v>
      </c>
      <c r="AE17" s="102">
        <v>0</v>
      </c>
      <c r="AF17" s="148">
        <v>0</v>
      </c>
      <c r="AG17" s="102">
        <v>0</v>
      </c>
      <c r="AH17" s="148">
        <v>0</v>
      </c>
      <c r="AI17" s="102">
        <v>0</v>
      </c>
      <c r="AJ17" s="148">
        <v>0</v>
      </c>
      <c r="AK17" s="102">
        <v>0</v>
      </c>
    </row>
    <row r="18" spans="1:37" x14ac:dyDescent="0.35">
      <c r="A18" s="300"/>
      <c r="B18" s="55" t="s">
        <v>23</v>
      </c>
      <c r="C18" s="56" t="s">
        <v>110</v>
      </c>
      <c r="D18" s="57" t="s">
        <v>26</v>
      </c>
      <c r="E18" s="9">
        <f t="shared" si="28"/>
        <v>13</v>
      </c>
      <c r="F18" s="58">
        <v>1</v>
      </c>
      <c r="G18" s="58" t="s">
        <v>16</v>
      </c>
      <c r="H18" s="72">
        <v>0</v>
      </c>
      <c r="I18" s="59" t="s">
        <v>11</v>
      </c>
      <c r="J18" s="28">
        <v>0</v>
      </c>
      <c r="K18" s="28">
        <v>1</v>
      </c>
      <c r="L18" s="28">
        <v>0</v>
      </c>
      <c r="M18" s="104">
        <v>2000000</v>
      </c>
      <c r="N18" s="72">
        <v>0</v>
      </c>
      <c r="O18" s="103">
        <v>0</v>
      </c>
      <c r="P18" s="116">
        <v>0</v>
      </c>
      <c r="Q18" s="104">
        <v>0</v>
      </c>
      <c r="R18" s="134">
        <v>0</v>
      </c>
      <c r="S18" s="135">
        <v>0</v>
      </c>
      <c r="T18" s="134">
        <v>1</v>
      </c>
      <c r="U18" s="135">
        <v>1</v>
      </c>
      <c r="V18" s="134">
        <v>1</v>
      </c>
      <c r="W18" s="135">
        <v>1</v>
      </c>
      <c r="X18" s="149">
        <v>0</v>
      </c>
      <c r="Y18" s="103">
        <v>0</v>
      </c>
      <c r="Z18" s="149">
        <v>0</v>
      </c>
      <c r="AA18" s="103">
        <v>0</v>
      </c>
      <c r="AB18" s="149">
        <v>0</v>
      </c>
      <c r="AC18" s="103">
        <v>0</v>
      </c>
      <c r="AD18" s="149">
        <v>0</v>
      </c>
      <c r="AE18" s="103">
        <v>0</v>
      </c>
      <c r="AF18" s="149">
        <v>0</v>
      </c>
      <c r="AG18" s="103">
        <v>0</v>
      </c>
      <c r="AH18" s="174">
        <v>0</v>
      </c>
      <c r="AI18" s="175">
        <v>0</v>
      </c>
      <c r="AJ18" s="149">
        <v>0</v>
      </c>
      <c r="AK18" s="103">
        <v>0</v>
      </c>
    </row>
    <row r="19" spans="1:37" x14ac:dyDescent="0.35">
      <c r="A19" s="300"/>
      <c r="B19" s="55" t="s">
        <v>24</v>
      </c>
      <c r="C19" s="86" t="s">
        <v>115</v>
      </c>
      <c r="D19" s="57" t="s">
        <v>27</v>
      </c>
      <c r="E19" s="9">
        <f t="shared" si="28"/>
        <v>14</v>
      </c>
      <c r="F19" s="58">
        <v>1</v>
      </c>
      <c r="G19" s="58" t="s">
        <v>17</v>
      </c>
      <c r="H19" s="72">
        <v>0</v>
      </c>
      <c r="I19" s="59" t="s">
        <v>11</v>
      </c>
      <c r="J19" s="72">
        <v>0</v>
      </c>
      <c r="K19" s="28">
        <v>-1</v>
      </c>
      <c r="L19" s="72">
        <v>0</v>
      </c>
      <c r="M19" s="104">
        <v>2000000</v>
      </c>
      <c r="N19" s="72">
        <v>0</v>
      </c>
      <c r="O19" s="103">
        <v>0</v>
      </c>
      <c r="P19" s="116">
        <v>1</v>
      </c>
      <c r="Q19" s="104">
        <v>1</v>
      </c>
      <c r="R19" s="134">
        <v>0</v>
      </c>
      <c r="S19" s="135">
        <v>0</v>
      </c>
      <c r="T19" s="134">
        <v>1</v>
      </c>
      <c r="U19" s="135">
        <v>1</v>
      </c>
      <c r="V19" s="134">
        <v>1</v>
      </c>
      <c r="W19" s="135">
        <v>1</v>
      </c>
      <c r="X19" s="149">
        <v>0</v>
      </c>
      <c r="Y19" s="103">
        <v>0</v>
      </c>
      <c r="Z19" s="149">
        <v>0</v>
      </c>
      <c r="AA19" s="103">
        <v>0</v>
      </c>
      <c r="AB19" s="149">
        <v>0</v>
      </c>
      <c r="AC19" s="103">
        <v>0</v>
      </c>
      <c r="AD19" s="149">
        <v>0</v>
      </c>
      <c r="AE19" s="103">
        <v>0</v>
      </c>
      <c r="AF19" s="166">
        <v>0</v>
      </c>
      <c r="AG19" s="167">
        <v>0</v>
      </c>
      <c r="AH19" s="149">
        <v>0</v>
      </c>
      <c r="AI19" s="103">
        <v>0</v>
      </c>
      <c r="AJ19" s="149">
        <v>0</v>
      </c>
      <c r="AK19" s="103">
        <v>0</v>
      </c>
    </row>
    <row r="20" spans="1:37" x14ac:dyDescent="0.35">
      <c r="A20" s="300"/>
      <c r="B20" s="55" t="s">
        <v>74</v>
      </c>
      <c r="C20" s="86" t="s">
        <v>114</v>
      </c>
      <c r="D20" s="57" t="s">
        <v>28</v>
      </c>
      <c r="E20" s="9">
        <f t="shared" si="28"/>
        <v>15</v>
      </c>
      <c r="F20" s="58">
        <v>1</v>
      </c>
      <c r="G20" s="58" t="s">
        <v>12</v>
      </c>
      <c r="H20" s="28">
        <v>0</v>
      </c>
      <c r="I20" s="59" t="str">
        <f>B13</f>
        <v>Product/Reactant3</v>
      </c>
      <c r="J20" s="28">
        <v>0</v>
      </c>
      <c r="K20" s="28">
        <v>0</v>
      </c>
      <c r="L20" s="28">
        <v>0</v>
      </c>
      <c r="M20" s="163">
        <v>12250000</v>
      </c>
      <c r="N20" s="28">
        <v>8</v>
      </c>
      <c r="O20" s="104">
        <v>8</v>
      </c>
      <c r="P20" s="116">
        <v>0</v>
      </c>
      <c r="Q20" s="104">
        <v>0</v>
      </c>
      <c r="R20" s="134">
        <v>0</v>
      </c>
      <c r="S20" s="135">
        <v>0</v>
      </c>
      <c r="T20" s="134">
        <v>1</v>
      </c>
      <c r="U20" s="135">
        <v>1</v>
      </c>
      <c r="V20" s="134">
        <v>1</v>
      </c>
      <c r="W20" s="135">
        <v>1</v>
      </c>
      <c r="X20" s="116">
        <v>0</v>
      </c>
      <c r="Y20" s="104">
        <v>0</v>
      </c>
      <c r="Z20" s="116">
        <v>0</v>
      </c>
      <c r="AA20" s="104">
        <v>0</v>
      </c>
      <c r="AB20" s="116">
        <v>0</v>
      </c>
      <c r="AC20" s="104">
        <v>0</v>
      </c>
      <c r="AD20" s="116">
        <v>0</v>
      </c>
      <c r="AE20" s="104">
        <v>0</v>
      </c>
      <c r="AF20" s="162">
        <v>0.21190000000000001</v>
      </c>
      <c r="AG20" s="163">
        <v>0.21190000000000001</v>
      </c>
      <c r="AH20" s="116">
        <v>0</v>
      </c>
      <c r="AI20" s="104">
        <v>0</v>
      </c>
      <c r="AJ20" s="116">
        <v>0</v>
      </c>
      <c r="AK20" s="104">
        <v>0</v>
      </c>
    </row>
    <row r="21" spans="1:37" x14ac:dyDescent="0.35">
      <c r="A21" s="300"/>
      <c r="B21" s="38" t="s">
        <v>13</v>
      </c>
      <c r="C21" s="39" t="s">
        <v>110</v>
      </c>
      <c r="D21" s="74" t="s">
        <v>130</v>
      </c>
      <c r="E21" s="9">
        <f t="shared" si="28"/>
        <v>16</v>
      </c>
      <c r="F21" s="40">
        <v>1</v>
      </c>
      <c r="G21" s="40" t="s">
        <v>131</v>
      </c>
      <c r="H21" s="41">
        <v>0</v>
      </c>
      <c r="I21" s="84" t="s">
        <v>11</v>
      </c>
      <c r="J21" s="41">
        <v>0</v>
      </c>
      <c r="K21" s="41">
        <v>0</v>
      </c>
      <c r="L21" s="41">
        <v>-1</v>
      </c>
      <c r="M21" s="118">
        <v>2000000</v>
      </c>
      <c r="N21" s="42">
        <v>0</v>
      </c>
      <c r="O21" s="105">
        <v>0</v>
      </c>
      <c r="P21" s="117">
        <v>0</v>
      </c>
      <c r="Q21" s="118">
        <v>0</v>
      </c>
      <c r="R21" s="136">
        <v>0</v>
      </c>
      <c r="S21" s="137">
        <v>0</v>
      </c>
      <c r="T21" s="136">
        <v>1</v>
      </c>
      <c r="U21" s="137">
        <v>1</v>
      </c>
      <c r="V21" s="136">
        <v>1</v>
      </c>
      <c r="W21" s="137">
        <v>1</v>
      </c>
      <c r="X21" s="117">
        <v>3.5</v>
      </c>
      <c r="Y21" s="118">
        <v>3.5</v>
      </c>
      <c r="Z21" s="117">
        <v>0</v>
      </c>
      <c r="AA21" s="118">
        <v>0</v>
      </c>
      <c r="AB21" s="117">
        <v>0</v>
      </c>
      <c r="AC21" s="118">
        <v>0</v>
      </c>
      <c r="AD21" s="117">
        <v>0</v>
      </c>
      <c r="AE21" s="118">
        <v>0</v>
      </c>
      <c r="AF21" s="117">
        <v>0</v>
      </c>
      <c r="AG21" s="118">
        <v>0</v>
      </c>
      <c r="AH21" s="117">
        <v>0</v>
      </c>
      <c r="AI21" s="118">
        <v>0</v>
      </c>
      <c r="AJ21" s="117">
        <v>0</v>
      </c>
      <c r="AK21" s="118">
        <v>0</v>
      </c>
    </row>
    <row r="22" spans="1:37" x14ac:dyDescent="0.35">
      <c r="A22" s="300"/>
      <c r="B22" s="38" t="s">
        <v>14</v>
      </c>
      <c r="C22" s="39" t="s">
        <v>110</v>
      </c>
      <c r="D22" s="74" t="s">
        <v>133</v>
      </c>
      <c r="E22" s="9">
        <f t="shared" si="28"/>
        <v>17</v>
      </c>
      <c r="F22" s="40">
        <v>1</v>
      </c>
      <c r="G22" s="40" t="s">
        <v>132</v>
      </c>
      <c r="H22" s="41">
        <v>0</v>
      </c>
      <c r="I22" s="84" t="s">
        <v>11</v>
      </c>
      <c r="J22" s="41">
        <v>0</v>
      </c>
      <c r="K22" s="41">
        <v>0</v>
      </c>
      <c r="L22" s="41">
        <v>1</v>
      </c>
      <c r="M22" s="118">
        <v>2000000</v>
      </c>
      <c r="N22" s="42">
        <v>0</v>
      </c>
      <c r="O22" s="105">
        <v>0</v>
      </c>
      <c r="P22" s="117">
        <v>0</v>
      </c>
      <c r="Q22" s="118">
        <v>0</v>
      </c>
      <c r="R22" s="136">
        <v>0</v>
      </c>
      <c r="S22" s="137">
        <v>0</v>
      </c>
      <c r="T22" s="136">
        <v>1</v>
      </c>
      <c r="U22" s="137">
        <v>1</v>
      </c>
      <c r="V22" s="136">
        <v>1</v>
      </c>
      <c r="W22" s="137">
        <v>1</v>
      </c>
      <c r="X22" s="117">
        <v>0</v>
      </c>
      <c r="Y22" s="118">
        <v>0</v>
      </c>
      <c r="Z22" s="117">
        <v>0</v>
      </c>
      <c r="AA22" s="118">
        <v>0</v>
      </c>
      <c r="AB22" s="117">
        <v>0</v>
      </c>
      <c r="AC22" s="118">
        <v>0</v>
      </c>
      <c r="AD22" s="117">
        <v>0</v>
      </c>
      <c r="AE22" s="118">
        <v>0</v>
      </c>
      <c r="AF22" s="117">
        <v>0</v>
      </c>
      <c r="AG22" s="118">
        <v>0</v>
      </c>
      <c r="AH22" s="117">
        <v>0</v>
      </c>
      <c r="AI22" s="118">
        <v>0</v>
      </c>
      <c r="AJ22" s="117">
        <v>0</v>
      </c>
      <c r="AK22" s="118">
        <v>0</v>
      </c>
    </row>
    <row r="23" spans="1:37" s="171" customFormat="1" x14ac:dyDescent="0.35">
      <c r="A23" s="300"/>
      <c r="B23" s="75" t="s">
        <v>15</v>
      </c>
      <c r="C23" s="76" t="s">
        <v>110</v>
      </c>
      <c r="D23" s="77" t="s">
        <v>134</v>
      </c>
      <c r="E23" s="73">
        <f t="shared" si="28"/>
        <v>18</v>
      </c>
      <c r="F23" s="78">
        <v>1</v>
      </c>
      <c r="G23" s="78" t="s">
        <v>135</v>
      </c>
      <c r="H23" s="79">
        <v>0</v>
      </c>
      <c r="I23" s="85" t="s">
        <v>11</v>
      </c>
      <c r="J23" s="79">
        <v>0</v>
      </c>
      <c r="K23" s="79">
        <v>0</v>
      </c>
      <c r="L23" s="79">
        <v>0</v>
      </c>
      <c r="M23" s="106">
        <v>2000000</v>
      </c>
      <c r="N23" s="79">
        <v>0</v>
      </c>
      <c r="O23" s="106">
        <v>0</v>
      </c>
      <c r="P23" s="119">
        <v>0</v>
      </c>
      <c r="Q23" s="106">
        <v>0</v>
      </c>
      <c r="R23" s="138">
        <v>0.03</v>
      </c>
      <c r="S23" s="139">
        <v>0.03</v>
      </c>
      <c r="T23" s="138">
        <v>1</v>
      </c>
      <c r="U23" s="139">
        <v>1</v>
      </c>
      <c r="V23" s="138">
        <v>1</v>
      </c>
      <c r="W23" s="139">
        <v>1</v>
      </c>
      <c r="X23" s="119">
        <v>0</v>
      </c>
      <c r="Y23" s="106">
        <v>0</v>
      </c>
      <c r="Z23" s="119">
        <v>900</v>
      </c>
      <c r="AA23" s="106">
        <v>800</v>
      </c>
      <c r="AB23" s="119">
        <f>0.03*Z23</f>
        <v>27</v>
      </c>
      <c r="AC23" s="106">
        <f>0.03*AA23</f>
        <v>24</v>
      </c>
      <c r="AD23" s="119">
        <v>0</v>
      </c>
      <c r="AE23" s="106">
        <v>0</v>
      </c>
      <c r="AF23" s="119">
        <v>0</v>
      </c>
      <c r="AG23" s="106">
        <v>0</v>
      </c>
      <c r="AH23" s="119">
        <v>0</v>
      </c>
      <c r="AI23" s="106">
        <v>0</v>
      </c>
      <c r="AJ23" s="119">
        <v>0.149029488697075</v>
      </c>
      <c r="AK23" s="106">
        <v>0.149029488697075</v>
      </c>
    </row>
    <row r="24" spans="1:37" x14ac:dyDescent="0.35">
      <c r="A24" s="300"/>
      <c r="B24" s="12" t="s">
        <v>22</v>
      </c>
      <c r="C24" s="5" t="s">
        <v>25</v>
      </c>
      <c r="D24" s="7" t="s">
        <v>29</v>
      </c>
      <c r="E24" s="9">
        <f t="shared" si="28"/>
        <v>19</v>
      </c>
      <c r="F24" s="2">
        <v>1</v>
      </c>
      <c r="G24" s="2" t="s">
        <v>18</v>
      </c>
      <c r="H24">
        <v>0</v>
      </c>
      <c r="I24" s="83" t="s">
        <v>11</v>
      </c>
      <c r="J24">
        <v>1</v>
      </c>
      <c r="K24">
        <v>0</v>
      </c>
      <c r="L24">
        <v>0</v>
      </c>
      <c r="M24" s="16">
        <v>2000000</v>
      </c>
      <c r="N24" s="10">
        <v>0</v>
      </c>
      <c r="O24" s="101">
        <v>0</v>
      </c>
      <c r="P24" s="113">
        <v>0</v>
      </c>
      <c r="Q24" s="16">
        <v>0</v>
      </c>
      <c r="R24" s="130">
        <v>0</v>
      </c>
      <c r="S24" s="131">
        <v>0</v>
      </c>
      <c r="T24" s="130">
        <v>1</v>
      </c>
      <c r="U24" s="131">
        <v>1</v>
      </c>
      <c r="V24" s="130">
        <v>1</v>
      </c>
      <c r="W24" s="131">
        <v>1</v>
      </c>
      <c r="X24" s="113">
        <v>0</v>
      </c>
      <c r="Y24" s="16">
        <v>0</v>
      </c>
      <c r="Z24" s="176">
        <v>180</v>
      </c>
      <c r="AA24" s="176">
        <v>180</v>
      </c>
      <c r="AB24" s="113">
        <v>0</v>
      </c>
      <c r="AC24" s="16">
        <v>0</v>
      </c>
      <c r="AD24" s="113">
        <v>0</v>
      </c>
      <c r="AE24" s="16">
        <v>0</v>
      </c>
      <c r="AF24" s="113">
        <v>0</v>
      </c>
      <c r="AG24" s="16">
        <v>0</v>
      </c>
      <c r="AH24" s="162">
        <f>0.2735</f>
        <v>0.27350000000000002</v>
      </c>
      <c r="AI24" s="163">
        <v>0.27350000000000002</v>
      </c>
      <c r="AJ24" s="155">
        <v>8.8827433387272267E-2</v>
      </c>
      <c r="AK24" s="156">
        <v>8.8827433387272267E-2</v>
      </c>
    </row>
    <row r="25" spans="1:37" x14ac:dyDescent="0.35">
      <c r="A25" s="300"/>
      <c r="B25" s="12" t="s">
        <v>144</v>
      </c>
      <c r="C25" s="11" t="s">
        <v>110</v>
      </c>
      <c r="D25" s="7" t="s">
        <v>142</v>
      </c>
      <c r="E25" s="9">
        <f t="shared" si="28"/>
        <v>20</v>
      </c>
      <c r="F25" s="2">
        <v>1</v>
      </c>
      <c r="G25" s="2" t="s">
        <v>143</v>
      </c>
      <c r="H25">
        <v>0</v>
      </c>
      <c r="I25" s="83" t="s">
        <v>11</v>
      </c>
      <c r="J25">
        <v>1</v>
      </c>
      <c r="K25">
        <v>0</v>
      </c>
      <c r="L25">
        <v>0</v>
      </c>
      <c r="M25" s="163">
        <v>41199</v>
      </c>
      <c r="N25" s="10">
        <v>0</v>
      </c>
      <c r="O25" s="101">
        <v>0</v>
      </c>
      <c r="P25" s="113">
        <v>0</v>
      </c>
      <c r="Q25" s="16">
        <v>0</v>
      </c>
      <c r="R25" s="130">
        <v>0</v>
      </c>
      <c r="S25" s="131">
        <v>0</v>
      </c>
      <c r="T25" s="130">
        <v>1</v>
      </c>
      <c r="U25" s="131">
        <v>1</v>
      </c>
      <c r="V25" s="130">
        <v>1</v>
      </c>
      <c r="W25" s="131">
        <v>1</v>
      </c>
      <c r="X25" s="113">
        <v>0</v>
      </c>
      <c r="Y25" s="16">
        <v>0</v>
      </c>
      <c r="Z25" s="176">
        <v>0</v>
      </c>
      <c r="AA25" s="176">
        <v>0</v>
      </c>
      <c r="AB25" s="113">
        <v>0</v>
      </c>
      <c r="AC25" s="16">
        <v>0</v>
      </c>
      <c r="AD25" s="113">
        <v>0</v>
      </c>
      <c r="AE25" s="16">
        <v>0</v>
      </c>
      <c r="AF25" s="113">
        <v>0</v>
      </c>
      <c r="AG25" s="16">
        <v>0</v>
      </c>
      <c r="AH25" s="162">
        <v>0</v>
      </c>
      <c r="AI25" s="163">
        <v>0</v>
      </c>
      <c r="AJ25" s="155">
        <v>8.8827433387272267E-2</v>
      </c>
      <c r="AK25" s="156">
        <v>8.8827433387272267E-2</v>
      </c>
    </row>
    <row r="26" spans="1:37" x14ac:dyDescent="0.35">
      <c r="A26" s="300"/>
      <c r="B26" s="12" t="s">
        <v>103</v>
      </c>
      <c r="C26" s="11" t="s">
        <v>110</v>
      </c>
      <c r="D26" s="7" t="s">
        <v>111</v>
      </c>
      <c r="E26" s="9">
        <f t="shared" si="28"/>
        <v>21</v>
      </c>
      <c r="F26" s="2">
        <v>1</v>
      </c>
      <c r="G26" s="2" t="s">
        <v>111</v>
      </c>
      <c r="H26">
        <v>0</v>
      </c>
      <c r="I26" s="83" t="s">
        <v>11</v>
      </c>
      <c r="J26">
        <v>-1</v>
      </c>
      <c r="K26">
        <v>0</v>
      </c>
      <c r="L26">
        <v>0</v>
      </c>
      <c r="M26" s="16">
        <v>2000000</v>
      </c>
      <c r="N26">
        <v>0</v>
      </c>
      <c r="O26" s="16">
        <v>0</v>
      </c>
      <c r="P26" s="113">
        <v>0</v>
      </c>
      <c r="Q26" s="16">
        <v>0</v>
      </c>
      <c r="R26" s="130">
        <v>0</v>
      </c>
      <c r="S26" s="131">
        <v>0</v>
      </c>
      <c r="T26" s="130">
        <v>1</v>
      </c>
      <c r="U26" s="131">
        <v>1</v>
      </c>
      <c r="V26" s="130">
        <v>1</v>
      </c>
      <c r="W26" s="131">
        <v>1</v>
      </c>
      <c r="X26" s="113">
        <v>0</v>
      </c>
      <c r="Y26" s="16">
        <v>0</v>
      </c>
      <c r="Z26" s="113">
        <v>0</v>
      </c>
      <c r="AA26" s="16">
        <v>0</v>
      </c>
      <c r="AB26" s="113">
        <v>0</v>
      </c>
      <c r="AC26" s="16">
        <v>0</v>
      </c>
      <c r="AD26" s="113">
        <v>0</v>
      </c>
      <c r="AE26" s="16">
        <v>0</v>
      </c>
      <c r="AF26" s="113">
        <v>0</v>
      </c>
      <c r="AG26" s="16">
        <v>0</v>
      </c>
      <c r="AH26" s="162">
        <v>0.1</v>
      </c>
      <c r="AI26" s="163">
        <v>0.1</v>
      </c>
      <c r="AJ26" s="113">
        <v>0</v>
      </c>
      <c r="AK26" s="16">
        <v>0</v>
      </c>
    </row>
    <row r="27" spans="1:37" x14ac:dyDescent="0.35">
      <c r="A27" s="300"/>
      <c r="B27" s="12" t="s">
        <v>13</v>
      </c>
      <c r="C27" s="11" t="s">
        <v>110</v>
      </c>
      <c r="D27" s="7" t="s">
        <v>30</v>
      </c>
      <c r="E27" s="9">
        <f t="shared" si="28"/>
        <v>22</v>
      </c>
      <c r="F27" s="2">
        <v>1</v>
      </c>
      <c r="G27" s="2" t="s">
        <v>19</v>
      </c>
      <c r="H27">
        <v>0</v>
      </c>
      <c r="I27" s="83" t="s">
        <v>11</v>
      </c>
      <c r="J27">
        <v>-1</v>
      </c>
      <c r="K27">
        <v>0</v>
      </c>
      <c r="L27">
        <v>0</v>
      </c>
      <c r="M27" s="16">
        <v>2000000</v>
      </c>
      <c r="N27" s="10">
        <v>0</v>
      </c>
      <c r="O27" s="101">
        <v>0</v>
      </c>
      <c r="P27" s="113">
        <v>0</v>
      </c>
      <c r="Q27" s="16">
        <v>0</v>
      </c>
      <c r="R27" s="130">
        <v>0</v>
      </c>
      <c r="S27" s="131">
        <v>0</v>
      </c>
      <c r="T27" s="130">
        <v>1</v>
      </c>
      <c r="U27" s="131">
        <v>1</v>
      </c>
      <c r="V27" s="130">
        <v>1</v>
      </c>
      <c r="W27" s="131">
        <v>1</v>
      </c>
      <c r="X27" s="113">
        <v>0.06</v>
      </c>
      <c r="Y27" s="16">
        <v>0.05</v>
      </c>
      <c r="Z27" s="113">
        <v>0</v>
      </c>
      <c r="AA27" s="16">
        <v>0</v>
      </c>
      <c r="AB27" s="113">
        <v>0</v>
      </c>
      <c r="AC27" s="16">
        <v>0</v>
      </c>
      <c r="AD27" s="113">
        <v>0</v>
      </c>
      <c r="AE27" s="16">
        <v>0</v>
      </c>
      <c r="AF27" s="113">
        <v>0</v>
      </c>
      <c r="AG27" s="16">
        <v>0</v>
      </c>
      <c r="AH27" s="113">
        <v>0</v>
      </c>
      <c r="AI27" s="16">
        <v>0</v>
      </c>
      <c r="AJ27" s="113">
        <v>0</v>
      </c>
      <c r="AK27" s="16">
        <v>0</v>
      </c>
    </row>
    <row r="28" spans="1:37" x14ac:dyDescent="0.35">
      <c r="A28" s="300"/>
      <c r="B28" s="12" t="s">
        <v>14</v>
      </c>
      <c r="C28" s="11" t="s">
        <v>110</v>
      </c>
      <c r="D28" s="7" t="s">
        <v>31</v>
      </c>
      <c r="E28" s="9">
        <f t="shared" si="28"/>
        <v>23</v>
      </c>
      <c r="F28" s="2">
        <v>1</v>
      </c>
      <c r="G28" s="2" t="s">
        <v>20</v>
      </c>
      <c r="H28">
        <v>0</v>
      </c>
      <c r="I28" s="83" t="s">
        <v>11</v>
      </c>
      <c r="J28">
        <v>1</v>
      </c>
      <c r="K28">
        <v>0</v>
      </c>
      <c r="L28">
        <v>0</v>
      </c>
      <c r="M28" s="16">
        <v>2000000</v>
      </c>
      <c r="N28" s="10">
        <v>0</v>
      </c>
      <c r="O28" s="101">
        <v>0</v>
      </c>
      <c r="P28" s="113">
        <v>0</v>
      </c>
      <c r="Q28" s="16">
        <v>0</v>
      </c>
      <c r="R28" s="130">
        <v>0</v>
      </c>
      <c r="S28" s="131">
        <v>0</v>
      </c>
      <c r="T28" s="130">
        <v>1</v>
      </c>
      <c r="U28" s="131">
        <v>1</v>
      </c>
      <c r="V28" s="130">
        <v>1</v>
      </c>
      <c r="W28" s="131">
        <v>1</v>
      </c>
      <c r="X28" s="113">
        <v>0.06</v>
      </c>
      <c r="Y28" s="16">
        <v>0.05</v>
      </c>
      <c r="Z28" s="113">
        <v>0</v>
      </c>
      <c r="AA28" s="16">
        <v>0</v>
      </c>
      <c r="AB28" s="113">
        <v>0</v>
      </c>
      <c r="AC28" s="16">
        <v>0</v>
      </c>
      <c r="AD28" s="113">
        <v>0</v>
      </c>
      <c r="AE28" s="16">
        <v>0</v>
      </c>
      <c r="AF28" s="113">
        <v>0</v>
      </c>
      <c r="AG28" s="16">
        <v>0</v>
      </c>
      <c r="AH28" s="113">
        <v>0</v>
      </c>
      <c r="AI28" s="16">
        <v>0</v>
      </c>
      <c r="AJ28" s="113">
        <v>0</v>
      </c>
      <c r="AK28" s="16">
        <v>0</v>
      </c>
    </row>
    <row r="29" spans="1:37" x14ac:dyDescent="0.35">
      <c r="A29" s="300"/>
      <c r="B29" s="12" t="s">
        <v>15</v>
      </c>
      <c r="C29" s="11" t="s">
        <v>110</v>
      </c>
      <c r="D29" s="3" t="s">
        <v>32</v>
      </c>
      <c r="E29" s="9">
        <f t="shared" si="28"/>
        <v>24</v>
      </c>
      <c r="F29" s="2">
        <v>1</v>
      </c>
      <c r="G29" s="2" t="s">
        <v>21</v>
      </c>
      <c r="H29">
        <v>0</v>
      </c>
      <c r="I29" s="83" t="s">
        <v>11</v>
      </c>
      <c r="J29">
        <v>0</v>
      </c>
      <c r="K29">
        <v>0</v>
      </c>
      <c r="L29">
        <v>0</v>
      </c>
      <c r="M29" s="16">
        <v>2000000</v>
      </c>
      <c r="N29" s="10">
        <v>0</v>
      </c>
      <c r="O29" s="101">
        <v>0</v>
      </c>
      <c r="P29" s="113">
        <v>0</v>
      </c>
      <c r="Q29" s="16">
        <v>0</v>
      </c>
      <c r="R29" s="130">
        <v>0.1</v>
      </c>
      <c r="S29" s="131">
        <v>0</v>
      </c>
      <c r="T29" s="130">
        <v>1</v>
      </c>
      <c r="U29" s="131">
        <v>1</v>
      </c>
      <c r="V29" s="130">
        <v>1</v>
      </c>
      <c r="W29" s="131">
        <v>1</v>
      </c>
      <c r="X29" s="113">
        <v>0</v>
      </c>
      <c r="Y29" s="16">
        <v>0</v>
      </c>
      <c r="Z29" s="113">
        <v>550</v>
      </c>
      <c r="AA29" s="16">
        <v>180</v>
      </c>
      <c r="AB29" s="113">
        <f>Z29*0.015</f>
        <v>8.25</v>
      </c>
      <c r="AC29" s="16">
        <f>AA29*0.015</f>
        <v>2.6999999999999997</v>
      </c>
      <c r="AD29" s="113">
        <v>0</v>
      </c>
      <c r="AE29" s="16">
        <v>0</v>
      </c>
      <c r="AF29" s="113">
        <v>0</v>
      </c>
      <c r="AG29" s="16">
        <v>0</v>
      </c>
      <c r="AH29" s="113">
        <v>0</v>
      </c>
      <c r="AI29" s="16">
        <v>0</v>
      </c>
      <c r="AJ29" s="113">
        <v>0.11682954493601999</v>
      </c>
      <c r="AK29" s="16">
        <v>0.10185220882315101</v>
      </c>
    </row>
    <row r="34" spans="4:4" x14ac:dyDescent="0.35">
      <c r="D34" s="7"/>
    </row>
  </sheetData>
  <mergeCells count="6">
    <mergeCell ref="A1:E1"/>
    <mergeCell ref="A24:A29"/>
    <mergeCell ref="A6:A23"/>
    <mergeCell ref="D2:D5"/>
    <mergeCell ref="B2:B5"/>
    <mergeCell ref="C2:C5"/>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4"/>
  <dimension ref="A1:BM40"/>
  <sheetViews>
    <sheetView zoomScale="66" zoomScaleNormal="66" workbookViewId="0">
      <pane xSplit="5" ySplit="10" topLeftCell="I11" activePane="bottomRight" state="frozen"/>
      <selection pane="topRight" activeCell="F1" sqref="F1"/>
      <selection pane="bottomLeft" activeCell="A12" sqref="A12"/>
      <selection pane="bottomRight" activeCell="AI6" sqref="AI6"/>
    </sheetView>
  </sheetViews>
  <sheetFormatPr defaultColWidth="8.7265625" defaultRowHeight="14.5" x14ac:dyDescent="0.35"/>
  <cols>
    <col min="1" max="1" width="3.453125" bestFit="1" customWidth="1"/>
    <col min="2" max="2" width="21.90625" style="4" bestFit="1" customWidth="1"/>
    <col min="3" max="3" width="24.81640625" style="5" customWidth="1"/>
    <col min="4" max="4" width="34.54296875" style="3" customWidth="1"/>
    <col min="5" max="5" width="16.54296875" style="9" bestFit="1" customWidth="1"/>
    <col min="6" max="6" width="11.453125" style="3" bestFit="1" customWidth="1"/>
    <col min="7" max="8" width="11.453125" style="3" customWidth="1"/>
    <col min="9" max="9" width="20.7265625" bestFit="1" customWidth="1"/>
    <col min="10" max="10" width="21.08984375" style="83" customWidth="1"/>
    <col min="11" max="11" width="9.81640625" customWidth="1"/>
    <col min="12" max="12" width="11.7265625" bestFit="1" customWidth="1"/>
    <col min="13" max="13" width="10" bestFit="1" customWidth="1"/>
    <col min="14" max="14" width="12" bestFit="1" customWidth="1"/>
    <col min="15" max="15" width="20.54296875" customWidth="1"/>
    <col min="16" max="16" width="3.1796875" hidden="1" customWidth="1"/>
    <col min="17" max="17" width="20.54296875" customWidth="1"/>
    <col min="18" max="18" width="20.54296875" hidden="1" customWidth="1"/>
    <col min="19" max="19" width="20.54296875" customWidth="1"/>
    <col min="20" max="24" width="20.54296875" hidden="1" customWidth="1"/>
    <col min="25" max="25" width="20.54296875" customWidth="1"/>
    <col min="26" max="26" width="20.54296875" hidden="1" customWidth="1"/>
    <col min="27" max="27" width="20.54296875" customWidth="1"/>
    <col min="28" max="28" width="20.54296875" hidden="1" customWidth="1"/>
    <col min="29" max="29" width="20.54296875" customWidth="1"/>
    <col min="30" max="30" width="20.54296875" hidden="1" customWidth="1"/>
    <col min="31" max="31" width="20.54296875" customWidth="1"/>
    <col min="32" max="32" width="20.54296875" hidden="1" customWidth="1"/>
    <col min="33" max="33" width="20.54296875" customWidth="1"/>
    <col min="34" max="34" width="20.54296875" hidden="1" customWidth="1"/>
    <col min="35" max="35" width="20.54296875" customWidth="1"/>
    <col min="36" max="36" width="20.54296875" hidden="1" customWidth="1"/>
    <col min="37" max="37" width="20.54296875" customWidth="1"/>
    <col min="38" max="38" width="20.54296875" hidden="1" customWidth="1"/>
  </cols>
  <sheetData>
    <row r="1" spans="1:38" s="202" customFormat="1" x14ac:dyDescent="0.35">
      <c r="B1" s="203"/>
      <c r="C1" s="204"/>
      <c r="D1" s="205"/>
      <c r="E1" s="206"/>
      <c r="F1" s="205"/>
      <c r="G1" s="205"/>
      <c r="H1" s="205"/>
      <c r="J1" s="207"/>
    </row>
    <row r="2" spans="1:38" s="202" customFormat="1" x14ac:dyDescent="0.35">
      <c r="B2" s="210" t="s">
        <v>148</v>
      </c>
      <c r="C2" s="211">
        <v>1.1000000000000001</v>
      </c>
      <c r="D2" s="212" t="s">
        <v>165</v>
      </c>
      <c r="E2" s="206"/>
      <c r="F2" s="205"/>
      <c r="G2" s="205"/>
      <c r="H2" s="205"/>
      <c r="J2" s="207"/>
    </row>
    <row r="3" spans="1:38" s="202" customFormat="1" x14ac:dyDescent="0.35">
      <c r="B3" s="203"/>
      <c r="C3" s="204"/>
      <c r="D3" s="205"/>
      <c r="E3" s="206"/>
      <c r="F3" s="205"/>
      <c r="G3" s="205"/>
      <c r="H3" s="205"/>
      <c r="J3" s="207"/>
    </row>
    <row r="4" spans="1:38" s="202" customFormat="1" x14ac:dyDescent="0.35">
      <c r="B4" s="203"/>
      <c r="C4" s="208"/>
      <c r="D4" s="205"/>
      <c r="E4" s="206"/>
      <c r="F4" s="205"/>
      <c r="G4" s="205"/>
      <c r="H4" s="205"/>
      <c r="J4" s="207"/>
    </row>
    <row r="5" spans="1:38" s="202" customFormat="1" x14ac:dyDescent="0.35">
      <c r="B5" s="201"/>
      <c r="C5" s="208" t="s">
        <v>212</v>
      </c>
      <c r="D5" s="205"/>
      <c r="E5" s="206"/>
      <c r="F5" s="205"/>
      <c r="G5" s="205"/>
      <c r="H5" s="205"/>
      <c r="J5" s="207"/>
    </row>
    <row r="6" spans="1:38" s="219" customFormat="1" ht="43.5" x14ac:dyDescent="0.35">
      <c r="A6" s="303" t="s">
        <v>0</v>
      </c>
      <c r="B6" s="303"/>
      <c r="C6" s="303"/>
      <c r="D6" s="303"/>
      <c r="E6" s="304"/>
      <c r="F6" s="209" t="s">
        <v>71</v>
      </c>
      <c r="G6" s="30" t="s">
        <v>382</v>
      </c>
      <c r="H6" s="30" t="s">
        <v>383</v>
      </c>
      <c r="I6" s="214" t="s">
        <v>381</v>
      </c>
      <c r="J6" s="215" t="s">
        <v>2</v>
      </c>
      <c r="K6" s="214" t="s">
        <v>4</v>
      </c>
      <c r="L6" s="214" t="s">
        <v>5</v>
      </c>
      <c r="M6" s="216" t="s">
        <v>3</v>
      </c>
      <c r="N6" s="214" t="s">
        <v>6</v>
      </c>
      <c r="O6" s="217" t="s">
        <v>36</v>
      </c>
      <c r="P6" s="216" t="s">
        <v>36</v>
      </c>
      <c r="Q6" s="218" t="s">
        <v>37</v>
      </c>
      <c r="R6" s="216" t="s">
        <v>37</v>
      </c>
      <c r="S6" s="218" t="s">
        <v>38</v>
      </c>
      <c r="T6" s="216" t="s">
        <v>38</v>
      </c>
      <c r="U6" s="218" t="s">
        <v>39</v>
      </c>
      <c r="V6" s="216" t="s">
        <v>39</v>
      </c>
      <c r="W6" s="218" t="s">
        <v>40</v>
      </c>
      <c r="X6" s="216" t="s">
        <v>40</v>
      </c>
      <c r="Y6" s="218" t="s">
        <v>41</v>
      </c>
      <c r="Z6" s="216" t="s">
        <v>41</v>
      </c>
      <c r="AA6" s="218" t="s">
        <v>96</v>
      </c>
      <c r="AB6" s="216" t="s">
        <v>96</v>
      </c>
      <c r="AC6" s="218" t="s">
        <v>97</v>
      </c>
      <c r="AD6" s="216" t="s">
        <v>97</v>
      </c>
      <c r="AE6" s="218" t="s">
        <v>117</v>
      </c>
      <c r="AF6" s="216" t="s">
        <v>117</v>
      </c>
      <c r="AG6" s="218" t="s">
        <v>98</v>
      </c>
      <c r="AH6" s="216" t="s">
        <v>98</v>
      </c>
      <c r="AI6" s="218" t="s">
        <v>99</v>
      </c>
      <c r="AJ6" s="216" t="s">
        <v>99</v>
      </c>
      <c r="AK6" s="216" t="s">
        <v>42</v>
      </c>
      <c r="AL6" s="216" t="s">
        <v>42</v>
      </c>
    </row>
    <row r="7" spans="1:38" s="6" customFormat="1" ht="15" customHeight="1" x14ac:dyDescent="0.35">
      <c r="A7" s="24"/>
      <c r="B7" s="301" t="s">
        <v>7</v>
      </c>
      <c r="C7" s="302" t="s">
        <v>8</v>
      </c>
      <c r="D7" s="301" t="s">
        <v>9</v>
      </c>
      <c r="E7" s="25" t="s">
        <v>1</v>
      </c>
      <c r="F7" s="17" t="str">
        <f>F6</f>
        <v>Used (1 or 0)</v>
      </c>
      <c r="G7" s="17" t="str">
        <f t="shared" ref="G7:AK7" si="0">G6</f>
        <v>Capacity units</v>
      </c>
      <c r="H7" s="17" t="str">
        <f t="shared" si="0"/>
        <v>Output units</v>
      </c>
      <c r="I7" s="17" t="str">
        <f t="shared" si="0"/>
        <v>Yearly demand (output)</v>
      </c>
      <c r="J7" s="17" t="str">
        <f t="shared" si="0"/>
        <v>Produced from</v>
      </c>
      <c r="K7" s="17" t="str">
        <f t="shared" si="0"/>
        <v>El balance</v>
      </c>
      <c r="L7" s="17" t="str">
        <f t="shared" si="0"/>
        <v>Heat balance</v>
      </c>
      <c r="M7" s="17" t="str">
        <f t="shared" si="0"/>
        <v>H2 balance</v>
      </c>
      <c r="N7" s="17" t="str">
        <f t="shared" si="0"/>
        <v>Max Capacity</v>
      </c>
      <c r="O7" s="17" t="str">
        <f t="shared" si="0"/>
        <v>Fuel production rate (kg output/kg input)</v>
      </c>
      <c r="P7" s="17" t="str">
        <f t="shared" si="0"/>
        <v>Fuel production rate (kg output/kg input)</v>
      </c>
      <c r="Q7" s="17" t="str">
        <f t="shared" si="0"/>
        <v>Heat generated (kWh/output)</v>
      </c>
      <c r="R7" s="17" t="str">
        <f t="shared" si="0"/>
        <v>Heat generated (kWh/output)</v>
      </c>
      <c r="S7" s="17" t="str">
        <f t="shared" si="0"/>
        <v>Load min (% of max capacity)</v>
      </c>
      <c r="T7" s="17" t="str">
        <f t="shared" si="0"/>
        <v>Load min (% of max capacity)</v>
      </c>
      <c r="U7" s="17" t="str">
        <f t="shared" si="0"/>
        <v>Ramp up (% of capacity /h)</v>
      </c>
      <c r="V7" s="17" t="str">
        <f t="shared" si="0"/>
        <v>Ramp up (% of capacity /h)</v>
      </c>
      <c r="W7" s="17" t="str">
        <f t="shared" si="0"/>
        <v>Ramp down (% of capacity /h)</v>
      </c>
      <c r="X7" s="17" t="str">
        <f t="shared" si="0"/>
        <v>Ramp down (% of capacity /h)</v>
      </c>
      <c r="Y7" s="17" t="str">
        <f t="shared" si="0"/>
        <v>Electrical consumption (kWh/output)</v>
      </c>
      <c r="Z7" s="17" t="str">
        <f t="shared" si="0"/>
        <v>Electrical consumption (kWh/output)</v>
      </c>
      <c r="AA7" s="17" t="str">
        <f t="shared" si="0"/>
        <v>Investment (EUR/Capacity installed)</v>
      </c>
      <c r="AB7" s="17" t="str">
        <f t="shared" si="0"/>
        <v>Investment (EUR/Capacity installed)</v>
      </c>
      <c r="AC7" s="17" t="str">
        <f t="shared" si="0"/>
        <v>Fixed cost (EUR/Capacity installed/y)</v>
      </c>
      <c r="AD7" s="17" t="str">
        <f t="shared" si="0"/>
        <v>Fixed cost (EUR/Capacity installed/y)</v>
      </c>
      <c r="AE7" s="17" t="str">
        <f t="shared" si="0"/>
        <v>Variable cost (EUR/output)</v>
      </c>
      <c r="AF7" s="17" t="str">
        <f t="shared" si="0"/>
        <v>Variable cost (EUR/output)</v>
      </c>
      <c r="AG7" s="17" t="str">
        <f t="shared" si="0"/>
        <v>Fuel selling price (EUR/output)</v>
      </c>
      <c r="AH7" s="17" t="str">
        <f t="shared" si="0"/>
        <v>Fuel selling price (EUR/output)</v>
      </c>
      <c r="AI7" s="17" t="str">
        <f t="shared" si="0"/>
        <v>Fuel buying price (EUR/output)</v>
      </c>
      <c r="AJ7" s="17" t="str">
        <f t="shared" si="0"/>
        <v>Fuel buying price (EUR/output)</v>
      </c>
      <c r="AK7" s="17" t="str">
        <f t="shared" si="0"/>
        <v>Annuity factor</v>
      </c>
      <c r="AL7" s="95" t="s">
        <v>42</v>
      </c>
    </row>
    <row r="8" spans="1:38" s="20" customFormat="1" x14ac:dyDescent="0.35">
      <c r="A8" s="92"/>
      <c r="B8" s="301"/>
      <c r="C8" s="302"/>
      <c r="D8" s="301"/>
      <c r="E8" s="25" t="s">
        <v>50</v>
      </c>
      <c r="F8" s="91" t="s">
        <v>72</v>
      </c>
      <c r="G8" s="91" t="s">
        <v>72</v>
      </c>
      <c r="H8" s="91" t="s">
        <v>72</v>
      </c>
      <c r="I8" s="91" t="s">
        <v>72</v>
      </c>
      <c r="J8" s="91" t="s">
        <v>72</v>
      </c>
      <c r="K8" s="91" t="s">
        <v>72</v>
      </c>
      <c r="L8" s="91" t="s">
        <v>72</v>
      </c>
      <c r="M8" s="3" t="s">
        <v>72</v>
      </c>
      <c r="N8" s="157" t="s">
        <v>72</v>
      </c>
      <c r="O8" s="3">
        <v>2025</v>
      </c>
      <c r="P8" s="23">
        <v>2030</v>
      </c>
      <c r="Q8" s="108">
        <v>2025</v>
      </c>
      <c r="R8" s="23">
        <v>2030</v>
      </c>
      <c r="S8" s="108">
        <v>2025</v>
      </c>
      <c r="T8" s="23">
        <v>2030</v>
      </c>
      <c r="U8" s="108">
        <v>2025</v>
      </c>
      <c r="V8" s="23">
        <v>2030</v>
      </c>
      <c r="W8" s="108">
        <v>2025</v>
      </c>
      <c r="X8" s="23">
        <v>2030</v>
      </c>
      <c r="Y8" s="108">
        <v>2025</v>
      </c>
      <c r="Z8" s="23">
        <v>2030</v>
      </c>
      <c r="AA8" s="108">
        <v>2025</v>
      </c>
      <c r="AB8" s="23">
        <v>2030</v>
      </c>
      <c r="AC8" s="108">
        <v>2025</v>
      </c>
      <c r="AD8" s="23">
        <v>2030</v>
      </c>
      <c r="AE8" s="108">
        <v>2025</v>
      </c>
      <c r="AF8" s="23">
        <v>2030</v>
      </c>
      <c r="AG8" s="108">
        <v>2025</v>
      </c>
      <c r="AH8" s="23">
        <v>2030</v>
      </c>
      <c r="AI8" s="108">
        <v>2025</v>
      </c>
      <c r="AJ8" s="23">
        <v>2030</v>
      </c>
      <c r="AK8" s="108">
        <v>2025</v>
      </c>
      <c r="AL8" s="23">
        <v>2030</v>
      </c>
    </row>
    <row r="9" spans="1:38" s="168" customFormat="1" ht="17.5" customHeight="1" x14ac:dyDescent="0.35">
      <c r="A9" s="93"/>
      <c r="B9" s="301"/>
      <c r="C9" s="302"/>
      <c r="D9" s="301"/>
      <c r="E9" s="90"/>
      <c r="F9" s="14" t="str">
        <f>F7&amp;F8</f>
        <v>Used (1 or 0)All</v>
      </c>
      <c r="G9" s="14" t="str">
        <f t="shared" ref="G9:H9" si="1">G7&amp;G8</f>
        <v>Capacity unitsAll</v>
      </c>
      <c r="H9" s="14" t="str">
        <f t="shared" si="1"/>
        <v>Output unitsAll</v>
      </c>
      <c r="I9" s="14" t="str">
        <f t="shared" ref="I9:AD9" si="2">I7&amp;I8</f>
        <v>Yearly demand (output)All</v>
      </c>
      <c r="J9" s="14" t="str">
        <f t="shared" si="2"/>
        <v>Produced fromAll</v>
      </c>
      <c r="K9" s="14" t="str">
        <f t="shared" si="2"/>
        <v>El balanceAll</v>
      </c>
      <c r="L9" s="14" t="str">
        <f t="shared" si="2"/>
        <v>Heat balanceAll</v>
      </c>
      <c r="M9" s="14" t="str">
        <f t="shared" si="2"/>
        <v>H2 balanceAll</v>
      </c>
      <c r="N9" s="96" t="str">
        <f t="shared" si="2"/>
        <v>Max CapacityAll</v>
      </c>
      <c r="O9" s="14" t="str">
        <f t="shared" si="2"/>
        <v>Fuel production rate (kg output/kg input)2025</v>
      </c>
      <c r="P9" s="96" t="str">
        <f t="shared" si="2"/>
        <v>Fuel production rate (kg output/kg input)2030</v>
      </c>
      <c r="Q9" s="109" t="str">
        <f t="shared" si="2"/>
        <v>Heat generated (kWh/output)2025</v>
      </c>
      <c r="R9" s="96" t="str">
        <f t="shared" si="2"/>
        <v>Heat generated (kWh/output)2030</v>
      </c>
      <c r="S9" s="109" t="str">
        <f t="shared" si="2"/>
        <v>Load min (% of max capacity)2025</v>
      </c>
      <c r="T9" s="96" t="str">
        <f t="shared" si="2"/>
        <v>Load min (% of max capacity)2030</v>
      </c>
      <c r="U9" s="109" t="str">
        <f t="shared" si="2"/>
        <v>Ramp up (% of capacity /h)2025</v>
      </c>
      <c r="V9" s="96" t="str">
        <f t="shared" si="2"/>
        <v>Ramp up (% of capacity /h)2030</v>
      </c>
      <c r="W9" s="109" t="str">
        <f>W7&amp;W8</f>
        <v>Ramp down (% of capacity /h)2025</v>
      </c>
      <c r="X9" s="96" t="str">
        <f>X7&amp;X8</f>
        <v>Ramp down (% of capacity /h)2030</v>
      </c>
      <c r="Y9" s="109" t="str">
        <f t="shared" si="2"/>
        <v>Electrical consumption (kWh/output)2025</v>
      </c>
      <c r="Z9" s="96" t="str">
        <f t="shared" si="2"/>
        <v>Electrical consumption (kWh/output)2030</v>
      </c>
      <c r="AA9" s="96" t="str">
        <f t="shared" si="2"/>
        <v>Investment (EUR/Capacity installed)2025</v>
      </c>
      <c r="AB9" s="96" t="str">
        <f t="shared" si="2"/>
        <v>Investment (EUR/Capacity installed)2030</v>
      </c>
      <c r="AC9" s="96" t="str">
        <f t="shared" si="2"/>
        <v>Fixed cost (EUR/Capacity installed/y)2025</v>
      </c>
      <c r="AD9" s="96" t="str">
        <f t="shared" si="2"/>
        <v>Fixed cost (EUR/Capacity installed/y)2030</v>
      </c>
      <c r="AE9" s="109" t="str">
        <f t="shared" ref="AE9:AL9" si="3">AE7&amp;AE8</f>
        <v>Variable cost (EUR/output)2025</v>
      </c>
      <c r="AF9" s="96" t="str">
        <f t="shared" si="3"/>
        <v>Variable cost (EUR/output)2030</v>
      </c>
      <c r="AG9" s="109" t="str">
        <f t="shared" si="3"/>
        <v>Fuel selling price (EUR/output)2025</v>
      </c>
      <c r="AH9" s="96" t="str">
        <f t="shared" si="3"/>
        <v>Fuel selling price (EUR/output)2030</v>
      </c>
      <c r="AI9" s="109" t="str">
        <f t="shared" si="3"/>
        <v>Fuel buying price (EUR/output)2025</v>
      </c>
      <c r="AJ9" s="96" t="str">
        <f t="shared" si="3"/>
        <v>Fuel buying price (EUR/output)2030</v>
      </c>
      <c r="AK9" s="109" t="str">
        <f t="shared" si="3"/>
        <v>Annuity factor2025</v>
      </c>
      <c r="AL9" s="96" t="str">
        <f t="shared" si="3"/>
        <v>Annuity factor2030</v>
      </c>
    </row>
    <row r="10" spans="1:38" s="35" customFormat="1" ht="24.65" customHeight="1" x14ac:dyDescent="0.35">
      <c r="A10" s="8"/>
      <c r="B10" s="301"/>
      <c r="C10" s="302"/>
      <c r="D10" s="301"/>
      <c r="E10" s="34" t="s">
        <v>10</v>
      </c>
      <c r="F10" s="8">
        <f t="shared" ref="F10:AK10" si="4">COLUMN(F7)-COLUMN($E$10)</f>
        <v>1</v>
      </c>
      <c r="G10" s="8">
        <f t="shared" si="4"/>
        <v>2</v>
      </c>
      <c r="H10" s="8">
        <f t="shared" si="4"/>
        <v>3</v>
      </c>
      <c r="I10" s="8">
        <f t="shared" si="4"/>
        <v>4</v>
      </c>
      <c r="J10" s="8">
        <f t="shared" si="4"/>
        <v>5</v>
      </c>
      <c r="K10" s="8">
        <f t="shared" si="4"/>
        <v>6</v>
      </c>
      <c r="L10" s="8">
        <f t="shared" si="4"/>
        <v>7</v>
      </c>
      <c r="M10" s="8">
        <f t="shared" si="4"/>
        <v>8</v>
      </c>
      <c r="N10" s="8">
        <f t="shared" si="4"/>
        <v>9</v>
      </c>
      <c r="O10" s="8">
        <f t="shared" si="4"/>
        <v>10</v>
      </c>
      <c r="P10" s="8">
        <f t="shared" si="4"/>
        <v>11</v>
      </c>
      <c r="Q10" s="8">
        <f t="shared" si="4"/>
        <v>12</v>
      </c>
      <c r="R10" s="8">
        <f t="shared" si="4"/>
        <v>13</v>
      </c>
      <c r="S10" s="8">
        <f t="shared" si="4"/>
        <v>14</v>
      </c>
      <c r="T10" s="8">
        <f t="shared" si="4"/>
        <v>15</v>
      </c>
      <c r="U10" s="8">
        <f t="shared" si="4"/>
        <v>16</v>
      </c>
      <c r="V10" s="8">
        <f t="shared" si="4"/>
        <v>17</v>
      </c>
      <c r="W10" s="8">
        <f t="shared" si="4"/>
        <v>18</v>
      </c>
      <c r="X10" s="8">
        <f t="shared" si="4"/>
        <v>19</v>
      </c>
      <c r="Y10" s="8">
        <f t="shared" si="4"/>
        <v>20</v>
      </c>
      <c r="Z10" s="8">
        <f t="shared" si="4"/>
        <v>21</v>
      </c>
      <c r="AA10" s="8">
        <f t="shared" si="4"/>
        <v>22</v>
      </c>
      <c r="AB10" s="8">
        <f t="shared" si="4"/>
        <v>23</v>
      </c>
      <c r="AC10" s="8">
        <f t="shared" si="4"/>
        <v>24</v>
      </c>
      <c r="AD10" s="8">
        <f t="shared" si="4"/>
        <v>25</v>
      </c>
      <c r="AE10" s="8">
        <f t="shared" si="4"/>
        <v>26</v>
      </c>
      <c r="AF10" s="8">
        <f t="shared" si="4"/>
        <v>27</v>
      </c>
      <c r="AG10" s="8">
        <f t="shared" si="4"/>
        <v>28</v>
      </c>
      <c r="AH10" s="8">
        <f t="shared" si="4"/>
        <v>29</v>
      </c>
      <c r="AI10" s="8">
        <f t="shared" si="4"/>
        <v>30</v>
      </c>
      <c r="AJ10" s="8">
        <f t="shared" si="4"/>
        <v>31</v>
      </c>
      <c r="AK10" s="8">
        <f t="shared" si="4"/>
        <v>32</v>
      </c>
      <c r="AL10" s="97">
        <f t="shared" ref="AL10" si="5">COLUMN(AL7)-COLUMN($E$10)</f>
        <v>33</v>
      </c>
    </row>
    <row r="11" spans="1:38" s="35" customFormat="1" ht="18" customHeight="1" x14ac:dyDescent="0.35">
      <c r="A11" s="300"/>
      <c r="B11" s="43" t="s">
        <v>74</v>
      </c>
      <c r="C11" s="44" t="s">
        <v>110</v>
      </c>
      <c r="D11" s="45" t="s">
        <v>186</v>
      </c>
      <c r="E11" s="9">
        <v>1</v>
      </c>
      <c r="F11" s="46">
        <v>1</v>
      </c>
      <c r="G11" s="46" t="s">
        <v>399</v>
      </c>
      <c r="H11" s="46" t="s">
        <v>398</v>
      </c>
      <c r="I11" s="165">
        <v>3443530.9496236341</v>
      </c>
      <c r="J11" s="48" t="str">
        <f>B12</f>
        <v>Product/Reactant2</v>
      </c>
      <c r="K11" s="47">
        <v>0</v>
      </c>
      <c r="L11" s="47">
        <v>0</v>
      </c>
      <c r="M11" s="47">
        <v>0</v>
      </c>
      <c r="N11" s="98">
        <v>2000000</v>
      </c>
      <c r="O11" s="47">
        <v>1.7649999999999999</v>
      </c>
      <c r="P11" s="98">
        <f>O11</f>
        <v>1.7649999999999999</v>
      </c>
      <c r="Q11" s="111">
        <v>0</v>
      </c>
      <c r="R11" s="98">
        <v>0</v>
      </c>
      <c r="S11" s="120">
        <v>0</v>
      </c>
      <c r="T11" s="121">
        <v>0</v>
      </c>
      <c r="U11" s="120">
        <v>1</v>
      </c>
      <c r="V11" s="121">
        <v>1</v>
      </c>
      <c r="W11" s="120">
        <v>1</v>
      </c>
      <c r="X11" s="121">
        <v>1</v>
      </c>
      <c r="Y11" s="140">
        <v>0</v>
      </c>
      <c r="Z11" s="141">
        <v>0</v>
      </c>
      <c r="AA11" s="248">
        <v>0</v>
      </c>
      <c r="AB11" s="249">
        <v>0</v>
      </c>
      <c r="AC11" s="111">
        <v>0</v>
      </c>
      <c r="AD11" s="98">
        <v>0</v>
      </c>
      <c r="AE11" s="142">
        <v>0</v>
      </c>
      <c r="AF11" s="143">
        <v>0</v>
      </c>
      <c r="AG11" s="111">
        <v>0</v>
      </c>
      <c r="AH11" s="98">
        <v>0</v>
      </c>
      <c r="AI11" s="263">
        <v>2.1279194466572664E-2</v>
      </c>
      <c r="AJ11" s="264">
        <f>AI11</f>
        <v>2.1279194466572664E-2</v>
      </c>
      <c r="AK11" s="111">
        <v>0</v>
      </c>
      <c r="AL11" s="98">
        <v>0</v>
      </c>
    </row>
    <row r="12" spans="1:38" x14ac:dyDescent="0.35">
      <c r="A12" s="300"/>
      <c r="B12" s="43" t="s">
        <v>188</v>
      </c>
      <c r="C12" s="44" t="s">
        <v>110</v>
      </c>
      <c r="D12" s="45" t="s">
        <v>187</v>
      </c>
      <c r="E12" s="9">
        <f t="shared" ref="E12:E35" si="6">ROW(D12)-ROW($E$10)</f>
        <v>2</v>
      </c>
      <c r="F12" s="46">
        <v>1</v>
      </c>
      <c r="G12" s="46" t="s">
        <v>400</v>
      </c>
      <c r="H12" s="46" t="s">
        <v>401</v>
      </c>
      <c r="I12" s="247">
        <f>I11/O11</f>
        <v>1951009.036613957</v>
      </c>
      <c r="J12" s="48" t="str">
        <f>B13</f>
        <v>Product/Reactant1</v>
      </c>
      <c r="K12" s="47">
        <v>0</v>
      </c>
      <c r="L12" s="47">
        <v>0</v>
      </c>
      <c r="M12" s="47">
        <v>0</v>
      </c>
      <c r="N12" s="98">
        <v>2000000</v>
      </c>
      <c r="O12" s="47">
        <v>1.3740000000000001</v>
      </c>
      <c r="P12" s="98">
        <v>1.3740000000000001</v>
      </c>
      <c r="Q12" s="111">
        <v>0</v>
      </c>
      <c r="R12" s="98">
        <v>0</v>
      </c>
      <c r="S12" s="120">
        <v>0</v>
      </c>
      <c r="T12" s="121">
        <v>0</v>
      </c>
      <c r="U12" s="120">
        <v>1</v>
      </c>
      <c r="V12" s="121">
        <v>1</v>
      </c>
      <c r="W12" s="120">
        <v>1</v>
      </c>
      <c r="X12" s="121">
        <v>1</v>
      </c>
      <c r="Y12" s="142">
        <v>0.46</v>
      </c>
      <c r="Z12" s="143">
        <v>0.31</v>
      </c>
      <c r="AA12" s="180">
        <f>8232*C2</f>
        <v>9055.2000000000007</v>
      </c>
      <c r="AB12" s="181">
        <f>7608*C2</f>
        <v>8368.8000000000011</v>
      </c>
      <c r="AC12" s="142">
        <v>14.97</v>
      </c>
      <c r="AD12" s="143">
        <f>AC12</f>
        <v>14.97</v>
      </c>
      <c r="AE12" s="142">
        <v>0.64</v>
      </c>
      <c r="AF12" s="143">
        <f>AE12</f>
        <v>0.64</v>
      </c>
      <c r="AG12" s="111">
        <v>0</v>
      </c>
      <c r="AH12" s="98">
        <v>0</v>
      </c>
      <c r="AI12" s="111">
        <v>0</v>
      </c>
      <c r="AJ12" s="98">
        <v>0</v>
      </c>
      <c r="AK12" s="111">
        <v>0.10004163570237409</v>
      </c>
      <c r="AL12" s="98">
        <v>0</v>
      </c>
    </row>
    <row r="13" spans="1:38" x14ac:dyDescent="0.35">
      <c r="A13" s="300"/>
      <c r="B13" s="43" t="s">
        <v>73</v>
      </c>
      <c r="C13" s="49" t="s">
        <v>91</v>
      </c>
      <c r="D13" s="45" t="s">
        <v>118</v>
      </c>
      <c r="E13" s="9">
        <f t="shared" si="6"/>
        <v>3</v>
      </c>
      <c r="F13" s="46">
        <v>1</v>
      </c>
      <c r="G13" s="46" t="s">
        <v>396</v>
      </c>
      <c r="H13" s="46" t="s">
        <v>397</v>
      </c>
      <c r="I13" s="247">
        <f>I12/O12</f>
        <v>1419948.3527030253</v>
      </c>
      <c r="J13" s="48" t="str">
        <f>B20</f>
        <v>Reactant2</v>
      </c>
      <c r="K13" s="47">
        <v>0</v>
      </c>
      <c r="L13" s="47">
        <v>1</v>
      </c>
      <c r="M13" s="47">
        <v>0</v>
      </c>
      <c r="N13" s="98">
        <v>2000000</v>
      </c>
      <c r="O13" s="47">
        <v>5.29</v>
      </c>
      <c r="P13" s="98">
        <f>O13</f>
        <v>5.29</v>
      </c>
      <c r="Q13" s="111">
        <v>0.68</v>
      </c>
      <c r="R13" s="98">
        <v>0.68</v>
      </c>
      <c r="S13" s="120">
        <v>0.4</v>
      </c>
      <c r="T13" s="121">
        <v>0.2</v>
      </c>
      <c r="U13" s="120">
        <v>0.2</v>
      </c>
      <c r="V13" s="121">
        <v>1</v>
      </c>
      <c r="W13" s="120">
        <v>0.2</v>
      </c>
      <c r="X13" s="121">
        <v>1</v>
      </c>
      <c r="Y13" s="140">
        <v>0.316</v>
      </c>
      <c r="Z13" s="141">
        <v>0.316</v>
      </c>
      <c r="AA13" s="248">
        <f>13924*C2</f>
        <v>15316.400000000001</v>
      </c>
      <c r="AB13" s="237">
        <f>84539*$C$2</f>
        <v>92992.900000000009</v>
      </c>
      <c r="AC13" s="111">
        <f>(AA13/C2)*0.05</f>
        <v>696.2</v>
      </c>
      <c r="AD13" s="98">
        <f>AC13</f>
        <v>696.2</v>
      </c>
      <c r="AE13" s="142">
        <v>0</v>
      </c>
      <c r="AF13" s="143">
        <v>0</v>
      </c>
      <c r="AG13" s="111">
        <v>0</v>
      </c>
      <c r="AH13" s="98">
        <v>0</v>
      </c>
      <c r="AI13" s="111">
        <v>0</v>
      </c>
      <c r="AJ13" s="98">
        <v>0</v>
      </c>
      <c r="AK13" s="111">
        <v>8.4125058621280738E-2</v>
      </c>
      <c r="AL13" s="98">
        <v>8.8495575221238937E-2</v>
      </c>
    </row>
    <row r="14" spans="1:38" x14ac:dyDescent="0.35">
      <c r="A14" s="300"/>
      <c r="B14" s="50" t="s">
        <v>74</v>
      </c>
      <c r="C14" s="87" t="s">
        <v>110</v>
      </c>
      <c r="D14" s="52" t="s">
        <v>178</v>
      </c>
      <c r="E14" s="9">
        <f t="shared" si="6"/>
        <v>4</v>
      </c>
      <c r="F14" s="53">
        <v>1</v>
      </c>
      <c r="G14" s="53" t="s">
        <v>399</v>
      </c>
      <c r="H14" s="53" t="s">
        <v>398</v>
      </c>
      <c r="I14" s="165">
        <f>I11</f>
        <v>3443530.9496236341</v>
      </c>
      <c r="J14" s="88" t="str">
        <f>B15</f>
        <v>Product/Reactant4</v>
      </c>
      <c r="K14" s="54">
        <v>0</v>
      </c>
      <c r="L14" s="54">
        <v>0</v>
      </c>
      <c r="M14" s="54">
        <v>0</v>
      </c>
      <c r="N14" s="99">
        <v>2000000</v>
      </c>
      <c r="O14" s="54">
        <v>0.77400000000000002</v>
      </c>
      <c r="P14" s="99">
        <v>0.85399999999999998</v>
      </c>
      <c r="Q14" s="112">
        <v>0</v>
      </c>
      <c r="R14" s="99">
        <v>0</v>
      </c>
      <c r="S14" s="122">
        <v>0</v>
      </c>
      <c r="T14" s="123">
        <v>0</v>
      </c>
      <c r="U14" s="122">
        <v>1</v>
      </c>
      <c r="V14" s="123">
        <v>1</v>
      </c>
      <c r="W14" s="122">
        <v>1</v>
      </c>
      <c r="X14" s="123">
        <v>1</v>
      </c>
      <c r="Y14" s="144">
        <v>0</v>
      </c>
      <c r="Z14" s="145">
        <v>0</v>
      </c>
      <c r="AA14" s="182">
        <v>0</v>
      </c>
      <c r="AB14" s="183">
        <v>0</v>
      </c>
      <c r="AC14" s="112">
        <v>0</v>
      </c>
      <c r="AD14" s="99">
        <v>0</v>
      </c>
      <c r="AE14" s="151">
        <v>0</v>
      </c>
      <c r="AF14" s="152">
        <v>0</v>
      </c>
      <c r="AG14" s="112">
        <v>0</v>
      </c>
      <c r="AH14" s="99">
        <v>0</v>
      </c>
      <c r="AI14" s="263">
        <f>AI11</f>
        <v>2.1279194466572664E-2</v>
      </c>
      <c r="AJ14" s="264">
        <f>AI11</f>
        <v>2.1279194466572664E-2</v>
      </c>
      <c r="AK14" s="112">
        <v>0</v>
      </c>
      <c r="AL14" s="99">
        <v>0</v>
      </c>
    </row>
    <row r="15" spans="1:38" x14ac:dyDescent="0.35">
      <c r="A15" s="300"/>
      <c r="B15" s="50" t="s">
        <v>125</v>
      </c>
      <c r="C15" s="51" t="s">
        <v>91</v>
      </c>
      <c r="D15" s="52" t="s">
        <v>124</v>
      </c>
      <c r="E15" s="9">
        <f t="shared" si="6"/>
        <v>5</v>
      </c>
      <c r="F15" s="53">
        <v>1</v>
      </c>
      <c r="G15" s="53" t="s">
        <v>396</v>
      </c>
      <c r="H15" s="53" t="s">
        <v>397</v>
      </c>
      <c r="I15" s="213">
        <f>I14/O14</f>
        <v>4449006.3948625764</v>
      </c>
      <c r="J15" s="88" t="str">
        <f>B21</f>
        <v>Reactant6</v>
      </c>
      <c r="K15" s="54">
        <v>0</v>
      </c>
      <c r="L15" s="54">
        <v>1</v>
      </c>
      <c r="M15" s="54">
        <v>0</v>
      </c>
      <c r="N15" s="99">
        <v>2000000</v>
      </c>
      <c r="O15" s="54">
        <v>22</v>
      </c>
      <c r="P15" s="99">
        <v>22.02</v>
      </c>
      <c r="Q15" s="112">
        <v>1.23</v>
      </c>
      <c r="R15" s="99">
        <v>1.232</v>
      </c>
      <c r="S15" s="122">
        <v>0.4</v>
      </c>
      <c r="T15" s="123">
        <v>0.2</v>
      </c>
      <c r="U15" s="122">
        <v>0.2</v>
      </c>
      <c r="V15" s="123">
        <v>1</v>
      </c>
      <c r="W15" s="122">
        <v>0.2</v>
      </c>
      <c r="X15" s="123">
        <v>1</v>
      </c>
      <c r="Y15" s="144">
        <v>1.31</v>
      </c>
      <c r="Z15" s="145">
        <v>1.31</v>
      </c>
      <c r="AA15" s="182">
        <f>11190*C2</f>
        <v>12309.000000000002</v>
      </c>
      <c r="AB15" s="238">
        <f>AA15</f>
        <v>12309.000000000002</v>
      </c>
      <c r="AC15" s="276">
        <f>(AA15/C2)*0.05</f>
        <v>559.5</v>
      </c>
      <c r="AD15" s="99">
        <v>3450</v>
      </c>
      <c r="AE15" s="151">
        <v>0</v>
      </c>
      <c r="AF15" s="152">
        <v>0</v>
      </c>
      <c r="AG15" s="112">
        <v>0</v>
      </c>
      <c r="AH15" s="99">
        <v>0</v>
      </c>
      <c r="AI15" s="112">
        <v>0</v>
      </c>
      <c r="AJ15" s="99">
        <v>0</v>
      </c>
      <c r="AK15" s="112">
        <v>8.4125058621280738E-2</v>
      </c>
      <c r="AL15" s="99">
        <f>AL13</f>
        <v>8.8495575221238937E-2</v>
      </c>
    </row>
    <row r="16" spans="1:38" x14ac:dyDescent="0.35">
      <c r="A16" s="300"/>
      <c r="B16" s="220" t="s">
        <v>74</v>
      </c>
      <c r="C16" s="221" t="s">
        <v>110</v>
      </c>
      <c r="D16" s="222" t="s">
        <v>185</v>
      </c>
      <c r="E16" s="9">
        <f t="shared" si="6"/>
        <v>6</v>
      </c>
      <c r="F16" s="221">
        <v>1</v>
      </c>
      <c r="G16" s="221" t="s">
        <v>399</v>
      </c>
      <c r="H16" s="221" t="s">
        <v>398</v>
      </c>
      <c r="I16" s="165">
        <f>I11</f>
        <v>3443530.9496236341</v>
      </c>
      <c r="J16" s="227" t="str">
        <f>B17</f>
        <v>Product/Reactant5</v>
      </c>
      <c r="K16" s="224">
        <v>0</v>
      </c>
      <c r="L16" s="224">
        <v>0</v>
      </c>
      <c r="M16" s="224">
        <v>0</v>
      </c>
      <c r="N16" s="225">
        <v>2000000</v>
      </c>
      <c r="O16" s="224">
        <v>1.546</v>
      </c>
      <c r="P16" s="225">
        <f>O16</f>
        <v>1.546</v>
      </c>
      <c r="Q16" s="228">
        <v>0</v>
      </c>
      <c r="R16" s="228">
        <v>0</v>
      </c>
      <c r="S16" s="229">
        <v>0</v>
      </c>
      <c r="T16" s="230">
        <v>0</v>
      </c>
      <c r="U16" s="229">
        <v>1</v>
      </c>
      <c r="V16" s="230">
        <v>1</v>
      </c>
      <c r="W16" s="229">
        <v>1</v>
      </c>
      <c r="X16" s="230">
        <v>1</v>
      </c>
      <c r="Y16" s="231">
        <v>0</v>
      </c>
      <c r="Z16" s="232">
        <v>0</v>
      </c>
      <c r="AA16" s="236">
        <v>0</v>
      </c>
      <c r="AB16" s="225">
        <v>0</v>
      </c>
      <c r="AC16" s="228">
        <v>0</v>
      </c>
      <c r="AD16" s="225">
        <v>0</v>
      </c>
      <c r="AE16" s="231">
        <v>0</v>
      </c>
      <c r="AF16" s="232">
        <v>0</v>
      </c>
      <c r="AG16" s="228">
        <v>0</v>
      </c>
      <c r="AH16" s="225">
        <v>0</v>
      </c>
      <c r="AI16" s="265">
        <f>AI11</f>
        <v>2.1279194466572664E-2</v>
      </c>
      <c r="AJ16" s="266">
        <f>AI11</f>
        <v>2.1279194466572664E-2</v>
      </c>
      <c r="AK16" s="228">
        <v>0</v>
      </c>
      <c r="AL16" s="225">
        <v>0</v>
      </c>
    </row>
    <row r="17" spans="1:65" x14ac:dyDescent="0.35">
      <c r="A17" s="300"/>
      <c r="B17" s="220" t="s">
        <v>172</v>
      </c>
      <c r="C17" s="223" t="s">
        <v>91</v>
      </c>
      <c r="D17" s="222" t="s">
        <v>173</v>
      </c>
      <c r="E17" s="9">
        <f t="shared" si="6"/>
        <v>7</v>
      </c>
      <c r="F17" s="221">
        <v>1</v>
      </c>
      <c r="G17" s="221" t="s">
        <v>392</v>
      </c>
      <c r="H17" s="221" t="s">
        <v>393</v>
      </c>
      <c r="I17" s="250">
        <f>I16/O16</f>
        <v>2227380.9505974348</v>
      </c>
      <c r="J17" s="227" t="str">
        <f>B22</f>
        <v>Reactant7</v>
      </c>
      <c r="K17" s="224">
        <v>0</v>
      </c>
      <c r="L17" s="224">
        <v>1</v>
      </c>
      <c r="M17" s="224">
        <v>0</v>
      </c>
      <c r="N17" s="225">
        <v>2000000</v>
      </c>
      <c r="O17" s="228">
        <v>6.2839999999999998</v>
      </c>
      <c r="P17" s="228">
        <f>O17</f>
        <v>6.2839999999999998</v>
      </c>
      <c r="Q17" s="228">
        <v>0</v>
      </c>
      <c r="R17" s="228">
        <f>1.42872</f>
        <v>1.42872</v>
      </c>
      <c r="S17" s="229">
        <v>0</v>
      </c>
      <c r="T17" s="230">
        <v>0</v>
      </c>
      <c r="U17" s="229">
        <v>0.2</v>
      </c>
      <c r="V17" s="230">
        <v>1</v>
      </c>
      <c r="W17" s="229">
        <v>0.2</v>
      </c>
      <c r="X17" s="230">
        <v>1</v>
      </c>
      <c r="Y17" s="231">
        <v>0.36109999999999998</v>
      </c>
      <c r="Z17" s="231">
        <v>0.37657000000000002</v>
      </c>
      <c r="AA17" s="239">
        <f>10515*C2</f>
        <v>11566.500000000002</v>
      </c>
      <c r="AB17" s="239">
        <v>6592</v>
      </c>
      <c r="AC17" s="228">
        <f>(AA17/C2)*0.02</f>
        <v>210.3</v>
      </c>
      <c r="AD17" s="228">
        <v>120</v>
      </c>
      <c r="AE17" s="231">
        <v>0.64</v>
      </c>
      <c r="AF17" s="232">
        <v>0.64</v>
      </c>
      <c r="AG17" s="228">
        <v>0</v>
      </c>
      <c r="AH17" s="225">
        <v>0</v>
      </c>
      <c r="AI17" s="228">
        <v>0</v>
      </c>
      <c r="AJ17" s="225">
        <v>0</v>
      </c>
      <c r="AK17" s="228">
        <f>AK15</f>
        <v>8.4125058621280738E-2</v>
      </c>
      <c r="AL17" s="225">
        <f>AL15</f>
        <v>8.8495575221238937E-2</v>
      </c>
    </row>
    <row r="18" spans="1:65" x14ac:dyDescent="0.35">
      <c r="A18" s="300"/>
      <c r="B18" s="19" t="s">
        <v>109</v>
      </c>
      <c r="C18" s="11" t="s">
        <v>110</v>
      </c>
      <c r="D18" s="3" t="s">
        <v>128</v>
      </c>
      <c r="E18" s="9">
        <f t="shared" si="6"/>
        <v>8</v>
      </c>
      <c r="F18" s="2">
        <v>1</v>
      </c>
      <c r="G18" s="2" t="s">
        <v>394</v>
      </c>
      <c r="H18" s="2" t="s">
        <v>395</v>
      </c>
      <c r="I18">
        <v>0</v>
      </c>
      <c r="J18" s="2" t="s">
        <v>11</v>
      </c>
      <c r="K18">
        <v>0</v>
      </c>
      <c r="L18">
        <v>0</v>
      </c>
      <c r="M18">
        <v>0</v>
      </c>
      <c r="N18" s="16">
        <v>2000000</v>
      </c>
      <c r="O18">
        <v>0</v>
      </c>
      <c r="P18" s="16">
        <v>0</v>
      </c>
      <c r="Q18" s="113">
        <v>0</v>
      </c>
      <c r="R18" s="16">
        <v>0</v>
      </c>
      <c r="S18" s="124">
        <v>0</v>
      </c>
      <c r="T18" s="125">
        <v>0</v>
      </c>
      <c r="U18" s="124">
        <v>1</v>
      </c>
      <c r="V18" s="125">
        <v>1</v>
      </c>
      <c r="W18" s="124">
        <v>1</v>
      </c>
      <c r="X18" s="125">
        <v>1</v>
      </c>
      <c r="Y18" s="272">
        <f>(0.0045+0.001)/2</f>
        <v>2.7499999999999998E-3</v>
      </c>
      <c r="Z18" s="273">
        <f>(0.0045+0.001)/2</f>
        <v>2.7499999999999998E-3</v>
      </c>
      <c r="AA18" s="274">
        <f>73*C2</f>
        <v>80.300000000000011</v>
      </c>
      <c r="AB18" s="184">
        <f>64.5314*C2</f>
        <v>70.98454000000001</v>
      </c>
      <c r="AC18" s="113">
        <f>(AA18/C2)*0.03</f>
        <v>2.19</v>
      </c>
      <c r="AD18" s="16">
        <v>1.9359420000000001</v>
      </c>
      <c r="AE18" s="113">
        <f>0.0002</f>
        <v>2.0000000000000001E-4</v>
      </c>
      <c r="AF18" s="16">
        <v>0</v>
      </c>
      <c r="AG18" s="275">
        <v>0</v>
      </c>
      <c r="AH18" s="273">
        <v>0</v>
      </c>
      <c r="AI18" s="275">
        <v>0</v>
      </c>
      <c r="AJ18" s="163">
        <v>0</v>
      </c>
      <c r="AK18" s="275">
        <v>0.10004163570237409</v>
      </c>
      <c r="AL18" s="16">
        <v>0.11682954493602001</v>
      </c>
      <c r="AN18" s="169"/>
      <c r="AO18" s="277"/>
      <c r="AP18" s="169"/>
      <c r="AQ18" s="169"/>
      <c r="AR18" s="169"/>
      <c r="AS18" s="169"/>
      <c r="AT18" s="169"/>
      <c r="AU18" s="169"/>
      <c r="AV18" s="169"/>
      <c r="AW18" s="169"/>
      <c r="AX18" s="169"/>
      <c r="AY18" s="169"/>
      <c r="BI18" s="170"/>
      <c r="BM18" s="170"/>
    </row>
    <row r="19" spans="1:65" x14ac:dyDescent="0.35">
      <c r="A19" s="300"/>
      <c r="B19" s="60" t="s">
        <v>77</v>
      </c>
      <c r="C19" s="61" t="s">
        <v>110</v>
      </c>
      <c r="D19" s="62" t="s">
        <v>105</v>
      </c>
      <c r="E19" s="9">
        <f t="shared" si="6"/>
        <v>9</v>
      </c>
      <c r="F19" s="63">
        <v>1</v>
      </c>
      <c r="G19" s="63" t="s">
        <v>386</v>
      </c>
      <c r="H19" s="63" t="s">
        <v>387</v>
      </c>
      <c r="I19" s="64">
        <v>0</v>
      </c>
      <c r="J19" s="65" t="str">
        <f>B18</f>
        <v>Reactant8</v>
      </c>
      <c r="K19" s="64">
        <v>0</v>
      </c>
      <c r="L19" s="64">
        <v>1</v>
      </c>
      <c r="M19" s="64">
        <v>1</v>
      </c>
      <c r="N19" s="100">
        <v>2000000</v>
      </c>
      <c r="O19" s="64">
        <f>0.087</f>
        <v>8.6999999999999994E-2</v>
      </c>
      <c r="P19" s="100">
        <f t="shared" ref="P19" si="7">(1/9)*0.8</f>
        <v>8.8888888888888892E-2</v>
      </c>
      <c r="Q19" s="146">
        <v>9.1</v>
      </c>
      <c r="R19" s="100">
        <v>5.6760000000000002</v>
      </c>
      <c r="S19" s="126">
        <v>0.2</v>
      </c>
      <c r="T19" s="127">
        <v>0.2</v>
      </c>
      <c r="U19" s="126">
        <v>1</v>
      </c>
      <c r="V19" s="127">
        <v>1</v>
      </c>
      <c r="W19" s="126">
        <v>1</v>
      </c>
      <c r="X19" s="127">
        <v>1</v>
      </c>
      <c r="Y19" s="146">
        <v>50</v>
      </c>
      <c r="Z19" s="100">
        <v>49.8</v>
      </c>
      <c r="AA19" s="185">
        <f>58200*C2</f>
        <v>64020.000000000007</v>
      </c>
      <c r="AB19" s="186">
        <f>39840*C2</f>
        <v>43824</v>
      </c>
      <c r="AC19" s="146">
        <f>(AA19/C2)*0.02</f>
        <v>1164</v>
      </c>
      <c r="AD19" s="100">
        <v>3984</v>
      </c>
      <c r="AE19" s="146">
        <v>0</v>
      </c>
      <c r="AF19" s="100">
        <v>0</v>
      </c>
      <c r="AG19" s="146">
        <v>0</v>
      </c>
      <c r="AH19" s="100">
        <v>0</v>
      </c>
      <c r="AI19" s="146">
        <v>0</v>
      </c>
      <c r="AJ19" s="100">
        <v>0</v>
      </c>
      <c r="AK19" s="146">
        <v>7.4963898316707397E-2</v>
      </c>
      <c r="AL19" s="154">
        <f t="shared" ref="AL19" si="8">1/11.3</f>
        <v>8.8495575221238937E-2</v>
      </c>
    </row>
    <row r="20" spans="1:65" x14ac:dyDescent="0.35">
      <c r="A20" s="300"/>
      <c r="B20" s="19" t="s">
        <v>75</v>
      </c>
      <c r="C20" s="11" t="s">
        <v>110</v>
      </c>
      <c r="D20" s="3" t="s">
        <v>33</v>
      </c>
      <c r="E20" s="9">
        <f t="shared" si="6"/>
        <v>10</v>
      </c>
      <c r="F20" s="2">
        <v>1</v>
      </c>
      <c r="G20" s="297" t="s">
        <v>386</v>
      </c>
      <c r="H20" s="297" t="s">
        <v>387</v>
      </c>
      <c r="I20" s="10">
        <v>0</v>
      </c>
      <c r="J20" s="83" t="s">
        <v>11</v>
      </c>
      <c r="K20">
        <v>0</v>
      </c>
      <c r="L20">
        <v>0</v>
      </c>
      <c r="M20">
        <v>-1</v>
      </c>
      <c r="N20" s="16">
        <f>N19</f>
        <v>2000000</v>
      </c>
      <c r="O20" s="10">
        <v>0</v>
      </c>
      <c r="P20" s="101">
        <v>0</v>
      </c>
      <c r="Q20" s="113">
        <v>0</v>
      </c>
      <c r="R20" s="16">
        <v>0</v>
      </c>
      <c r="S20" s="130">
        <v>0</v>
      </c>
      <c r="T20" s="131">
        <v>0</v>
      </c>
      <c r="U20" s="130">
        <v>1</v>
      </c>
      <c r="V20" s="131">
        <v>1</v>
      </c>
      <c r="W20" s="130">
        <v>1</v>
      </c>
      <c r="X20" s="131">
        <v>1</v>
      </c>
      <c r="Y20" s="147">
        <v>0</v>
      </c>
      <c r="Z20" s="101">
        <v>0</v>
      </c>
      <c r="AA20" s="187">
        <v>0</v>
      </c>
      <c r="AB20" s="188">
        <v>0</v>
      </c>
      <c r="AC20" s="147">
        <v>0</v>
      </c>
      <c r="AD20" s="101">
        <v>0</v>
      </c>
      <c r="AE20" s="147">
        <v>0</v>
      </c>
      <c r="AF20" s="101">
        <v>0</v>
      </c>
      <c r="AG20" s="147">
        <v>0</v>
      </c>
      <c r="AH20" s="101">
        <v>0</v>
      </c>
      <c r="AI20" s="147">
        <v>0</v>
      </c>
      <c r="AJ20" s="101">
        <v>0</v>
      </c>
      <c r="AK20" s="147">
        <v>0</v>
      </c>
      <c r="AL20" s="101">
        <v>0</v>
      </c>
    </row>
    <row r="21" spans="1:65" x14ac:dyDescent="0.35">
      <c r="A21" s="300"/>
      <c r="B21" s="19" t="s">
        <v>76</v>
      </c>
      <c r="C21" s="11" t="s">
        <v>110</v>
      </c>
      <c r="D21" s="3" t="s">
        <v>122</v>
      </c>
      <c r="E21" s="9">
        <f t="shared" si="6"/>
        <v>11</v>
      </c>
      <c r="F21" s="2">
        <v>1</v>
      </c>
      <c r="G21" s="297" t="s">
        <v>386</v>
      </c>
      <c r="H21" s="297" t="s">
        <v>387</v>
      </c>
      <c r="I21" s="29">
        <v>0</v>
      </c>
      <c r="J21" s="83" t="s">
        <v>11</v>
      </c>
      <c r="K21">
        <v>0</v>
      </c>
      <c r="L21">
        <v>0</v>
      </c>
      <c r="M21">
        <v>-1</v>
      </c>
      <c r="N21" s="16">
        <f>N19</f>
        <v>2000000</v>
      </c>
      <c r="O21" s="29">
        <v>0</v>
      </c>
      <c r="P21" s="102">
        <v>0</v>
      </c>
      <c r="Q21" s="113">
        <v>0</v>
      </c>
      <c r="R21" s="16">
        <v>0</v>
      </c>
      <c r="S21" s="132">
        <v>0</v>
      </c>
      <c r="T21" s="133">
        <v>0</v>
      </c>
      <c r="U21" s="132">
        <v>1</v>
      </c>
      <c r="V21" s="133">
        <v>1</v>
      </c>
      <c r="W21" s="132">
        <v>1</v>
      </c>
      <c r="X21" s="133">
        <v>1</v>
      </c>
      <c r="Y21" s="148">
        <v>0</v>
      </c>
      <c r="Z21" s="102">
        <v>0</v>
      </c>
      <c r="AA21" s="189">
        <v>0</v>
      </c>
      <c r="AB21" s="190">
        <v>0</v>
      </c>
      <c r="AC21" s="148">
        <v>0</v>
      </c>
      <c r="AD21" s="102">
        <v>0</v>
      </c>
      <c r="AE21" s="148">
        <v>0</v>
      </c>
      <c r="AF21" s="102">
        <v>0</v>
      </c>
      <c r="AG21" s="148">
        <v>0</v>
      </c>
      <c r="AH21" s="102">
        <v>0</v>
      </c>
      <c r="AI21" s="148">
        <v>0</v>
      </c>
      <c r="AJ21" s="102">
        <v>0</v>
      </c>
      <c r="AK21" s="148">
        <v>0</v>
      </c>
      <c r="AL21" s="102">
        <v>0</v>
      </c>
    </row>
    <row r="22" spans="1:65" x14ac:dyDescent="0.35">
      <c r="A22" s="300"/>
      <c r="B22" s="19" t="s">
        <v>175</v>
      </c>
      <c r="C22" s="11" t="s">
        <v>110</v>
      </c>
      <c r="D22" s="3" t="s">
        <v>176</v>
      </c>
      <c r="E22" s="9">
        <f t="shared" si="6"/>
        <v>12</v>
      </c>
      <c r="F22" s="2">
        <v>1</v>
      </c>
      <c r="G22" s="297" t="s">
        <v>386</v>
      </c>
      <c r="H22" s="297" t="s">
        <v>387</v>
      </c>
      <c r="I22" s="29">
        <v>0</v>
      </c>
      <c r="J22" s="83" t="s">
        <v>11</v>
      </c>
      <c r="K22">
        <v>0</v>
      </c>
      <c r="L22">
        <v>0</v>
      </c>
      <c r="M22">
        <v>-1</v>
      </c>
      <c r="N22" s="16">
        <f>N21</f>
        <v>2000000</v>
      </c>
      <c r="O22" s="29">
        <v>0</v>
      </c>
      <c r="P22" s="102">
        <v>0</v>
      </c>
      <c r="Q22" s="113">
        <v>0</v>
      </c>
      <c r="R22" s="16">
        <v>0</v>
      </c>
      <c r="S22" s="132">
        <v>0</v>
      </c>
      <c r="T22" s="133">
        <v>0</v>
      </c>
      <c r="U22" s="132">
        <v>1</v>
      </c>
      <c r="V22" s="133">
        <v>1</v>
      </c>
      <c r="W22" s="132">
        <v>1</v>
      </c>
      <c r="X22" s="133">
        <v>1</v>
      </c>
      <c r="Y22" s="148">
        <v>0</v>
      </c>
      <c r="Z22" s="102">
        <v>0</v>
      </c>
      <c r="AA22" s="189">
        <v>0</v>
      </c>
      <c r="AB22" s="102">
        <v>0</v>
      </c>
      <c r="AC22" s="148">
        <v>0</v>
      </c>
      <c r="AD22" s="102">
        <v>0</v>
      </c>
      <c r="AE22" s="148">
        <v>0</v>
      </c>
      <c r="AF22" s="102">
        <v>0</v>
      </c>
      <c r="AG22" s="148">
        <v>0</v>
      </c>
      <c r="AH22" s="102">
        <v>0</v>
      </c>
      <c r="AI22" s="148">
        <v>0</v>
      </c>
      <c r="AJ22" s="102">
        <v>0</v>
      </c>
      <c r="AK22" s="148">
        <v>0</v>
      </c>
      <c r="AL22" s="102">
        <v>0</v>
      </c>
    </row>
    <row r="23" spans="1:65" x14ac:dyDescent="0.35">
      <c r="A23" s="300"/>
      <c r="B23" s="55" t="s">
        <v>23</v>
      </c>
      <c r="C23" s="56" t="s">
        <v>110</v>
      </c>
      <c r="D23" s="57" t="s">
        <v>26</v>
      </c>
      <c r="E23" s="9">
        <f t="shared" si="6"/>
        <v>13</v>
      </c>
      <c r="F23" s="58">
        <v>1</v>
      </c>
      <c r="G23" s="58" t="s">
        <v>390</v>
      </c>
      <c r="H23" s="58" t="s">
        <v>391</v>
      </c>
      <c r="I23" s="72">
        <v>0</v>
      </c>
      <c r="J23" s="59" t="s">
        <v>11</v>
      </c>
      <c r="K23" s="28">
        <v>0</v>
      </c>
      <c r="L23" s="28">
        <v>1</v>
      </c>
      <c r="M23" s="28">
        <v>0</v>
      </c>
      <c r="N23" s="104">
        <v>2000000</v>
      </c>
      <c r="O23" s="72">
        <v>0</v>
      </c>
      <c r="P23" s="103">
        <v>0</v>
      </c>
      <c r="Q23" s="116">
        <v>0</v>
      </c>
      <c r="R23" s="104">
        <v>0</v>
      </c>
      <c r="S23" s="134">
        <v>0</v>
      </c>
      <c r="T23" s="135">
        <v>0</v>
      </c>
      <c r="U23" s="134">
        <v>1</v>
      </c>
      <c r="V23" s="135">
        <v>1</v>
      </c>
      <c r="W23" s="134">
        <v>1</v>
      </c>
      <c r="X23" s="135">
        <v>1</v>
      </c>
      <c r="Y23" s="149">
        <v>0</v>
      </c>
      <c r="Z23" s="103">
        <v>0</v>
      </c>
      <c r="AA23" s="191">
        <v>0</v>
      </c>
      <c r="AB23" s="192">
        <v>0</v>
      </c>
      <c r="AC23" s="149">
        <v>0</v>
      </c>
      <c r="AD23" s="103">
        <v>0</v>
      </c>
      <c r="AE23" s="149">
        <v>0</v>
      </c>
      <c r="AF23" s="103">
        <v>0</v>
      </c>
      <c r="AG23" s="149">
        <v>0</v>
      </c>
      <c r="AH23" s="103">
        <v>0</v>
      </c>
      <c r="AI23" s="149">
        <v>0</v>
      </c>
      <c r="AJ23" s="103">
        <v>0</v>
      </c>
      <c r="AK23" s="149">
        <v>0</v>
      </c>
      <c r="AL23" s="103">
        <v>0</v>
      </c>
    </row>
    <row r="24" spans="1:65" x14ac:dyDescent="0.35">
      <c r="A24" s="300"/>
      <c r="B24" s="55" t="s">
        <v>24</v>
      </c>
      <c r="C24" s="86" t="s">
        <v>115</v>
      </c>
      <c r="D24" s="57" t="s">
        <v>27</v>
      </c>
      <c r="E24" s="9">
        <f t="shared" si="6"/>
        <v>14</v>
      </c>
      <c r="F24" s="58">
        <v>1</v>
      </c>
      <c r="G24" s="58" t="s">
        <v>390</v>
      </c>
      <c r="H24" s="58" t="s">
        <v>391</v>
      </c>
      <c r="I24" s="72">
        <v>0</v>
      </c>
      <c r="J24" s="59" t="s">
        <v>11</v>
      </c>
      <c r="K24" s="72">
        <v>0</v>
      </c>
      <c r="L24" s="28">
        <v>-1</v>
      </c>
      <c r="M24" s="72">
        <v>0</v>
      </c>
      <c r="N24" s="104">
        <v>2000000</v>
      </c>
      <c r="O24" s="72">
        <v>0</v>
      </c>
      <c r="P24" s="103">
        <v>0</v>
      </c>
      <c r="Q24" s="116">
        <v>1</v>
      </c>
      <c r="R24" s="104">
        <v>1</v>
      </c>
      <c r="S24" s="134">
        <v>0</v>
      </c>
      <c r="T24" s="135">
        <v>0</v>
      </c>
      <c r="U24" s="134">
        <v>1</v>
      </c>
      <c r="V24" s="135">
        <v>1</v>
      </c>
      <c r="W24" s="134">
        <v>1</v>
      </c>
      <c r="X24" s="135">
        <v>1</v>
      </c>
      <c r="Y24" s="149">
        <v>0</v>
      </c>
      <c r="Z24" s="103">
        <v>0</v>
      </c>
      <c r="AA24" s="191">
        <v>0</v>
      </c>
      <c r="AB24" s="192">
        <v>0</v>
      </c>
      <c r="AC24" s="149">
        <v>0</v>
      </c>
      <c r="AD24" s="103">
        <v>0</v>
      </c>
      <c r="AE24" s="149">
        <v>0</v>
      </c>
      <c r="AF24" s="103">
        <v>0</v>
      </c>
      <c r="AG24" s="166">
        <v>0</v>
      </c>
      <c r="AH24" s="167">
        <v>0</v>
      </c>
      <c r="AI24" s="149">
        <v>0</v>
      </c>
      <c r="AJ24" s="103">
        <v>0</v>
      </c>
      <c r="AK24" s="149">
        <v>0</v>
      </c>
      <c r="AL24" s="103">
        <v>0</v>
      </c>
    </row>
    <row r="25" spans="1:65" x14ac:dyDescent="0.35">
      <c r="A25" s="300"/>
      <c r="B25" s="55" t="s">
        <v>74</v>
      </c>
      <c r="C25" s="86" t="s">
        <v>114</v>
      </c>
      <c r="D25" s="57" t="s">
        <v>28</v>
      </c>
      <c r="E25" s="9">
        <f t="shared" si="6"/>
        <v>15</v>
      </c>
      <c r="F25" s="58">
        <v>1</v>
      </c>
      <c r="G25" s="58" t="s">
        <v>388</v>
      </c>
      <c r="H25" s="58" t="s">
        <v>389</v>
      </c>
      <c r="I25" s="28">
        <v>0</v>
      </c>
      <c r="J25" s="59" t="str">
        <f>B19</f>
        <v>Product/Reactant3</v>
      </c>
      <c r="K25" s="28">
        <v>0</v>
      </c>
      <c r="L25" s="28">
        <v>0</v>
      </c>
      <c r="M25" s="28">
        <v>0</v>
      </c>
      <c r="N25" s="267">
        <v>12250000</v>
      </c>
      <c r="O25" s="28">
        <v>8</v>
      </c>
      <c r="P25" s="104">
        <v>8</v>
      </c>
      <c r="Q25" s="116">
        <v>0</v>
      </c>
      <c r="R25" s="104">
        <v>0</v>
      </c>
      <c r="S25" s="134">
        <v>0</v>
      </c>
      <c r="T25" s="135">
        <v>0</v>
      </c>
      <c r="U25" s="134">
        <v>1</v>
      </c>
      <c r="V25" s="135">
        <v>1</v>
      </c>
      <c r="W25" s="134">
        <v>1</v>
      </c>
      <c r="X25" s="135">
        <v>1</v>
      </c>
      <c r="Y25" s="116">
        <v>0</v>
      </c>
      <c r="Z25" s="104">
        <v>0</v>
      </c>
      <c r="AA25" s="193">
        <v>0</v>
      </c>
      <c r="AB25" s="194">
        <v>0</v>
      </c>
      <c r="AC25" s="116">
        <v>0</v>
      </c>
      <c r="AD25" s="104">
        <v>0</v>
      </c>
      <c r="AE25" s="116">
        <v>0</v>
      </c>
      <c r="AF25" s="104">
        <v>0</v>
      </c>
      <c r="AG25" s="162">
        <v>0.21061235447199012</v>
      </c>
      <c r="AH25" s="162">
        <v>0.21061235447199012</v>
      </c>
      <c r="AI25" s="116">
        <v>0</v>
      </c>
      <c r="AJ25" s="104">
        <v>0</v>
      </c>
      <c r="AK25" s="116">
        <v>0</v>
      </c>
      <c r="AL25" s="104">
        <v>0</v>
      </c>
    </row>
    <row r="26" spans="1:65" x14ac:dyDescent="0.35">
      <c r="A26" s="300"/>
      <c r="B26" s="55" t="s">
        <v>74</v>
      </c>
      <c r="C26" s="86" t="s">
        <v>183</v>
      </c>
      <c r="D26" s="57" t="s">
        <v>184</v>
      </c>
      <c r="E26" s="9">
        <f t="shared" si="6"/>
        <v>16</v>
      </c>
      <c r="F26" s="58">
        <v>1</v>
      </c>
      <c r="G26" s="58" t="s">
        <v>392</v>
      </c>
      <c r="H26" s="58" t="s">
        <v>393</v>
      </c>
      <c r="I26" s="28">
        <v>0</v>
      </c>
      <c r="J26" s="59" t="str">
        <f>B13</f>
        <v>Product/Reactant1</v>
      </c>
      <c r="K26" s="28">
        <v>0</v>
      </c>
      <c r="L26" s="28">
        <v>0</v>
      </c>
      <c r="M26" s="28">
        <v>0</v>
      </c>
      <c r="N26" s="281">
        <v>1513761.0453914532</v>
      </c>
      <c r="O26" s="28">
        <f>N26/I13</f>
        <v>1.0660676795109099</v>
      </c>
      <c r="P26" s="28">
        <f>0.9462597</f>
        <v>0.94625970000000004</v>
      </c>
      <c r="Q26" s="116">
        <v>0</v>
      </c>
      <c r="R26" s="104">
        <v>0</v>
      </c>
      <c r="S26" s="134">
        <v>0</v>
      </c>
      <c r="T26" s="135">
        <v>0</v>
      </c>
      <c r="U26" s="134">
        <v>1</v>
      </c>
      <c r="V26" s="135">
        <v>1</v>
      </c>
      <c r="W26" s="134">
        <v>1</v>
      </c>
      <c r="X26" s="135">
        <v>1</v>
      </c>
      <c r="Y26" s="116">
        <v>0</v>
      </c>
      <c r="Z26" s="104">
        <v>0</v>
      </c>
      <c r="AA26" s="193">
        <v>0</v>
      </c>
      <c r="AB26" s="194">
        <v>0</v>
      </c>
      <c r="AC26" s="116">
        <v>0</v>
      </c>
      <c r="AD26" s="104">
        <v>0</v>
      </c>
      <c r="AE26" s="116">
        <v>0</v>
      </c>
      <c r="AF26" s="104">
        <v>0</v>
      </c>
      <c r="AG26" s="176">
        <v>1.39</v>
      </c>
      <c r="AH26" s="177">
        <v>0</v>
      </c>
      <c r="AI26" s="116">
        <v>0</v>
      </c>
      <c r="AJ26" s="104">
        <v>0</v>
      </c>
      <c r="AK26" s="116">
        <v>0</v>
      </c>
      <c r="AL26" s="104">
        <v>0</v>
      </c>
    </row>
    <row r="27" spans="1:65" x14ac:dyDescent="0.35">
      <c r="A27" s="300"/>
      <c r="B27" s="38" t="s">
        <v>13</v>
      </c>
      <c r="C27" s="39" t="s">
        <v>110</v>
      </c>
      <c r="D27" s="74" t="s">
        <v>130</v>
      </c>
      <c r="E27" s="9">
        <f t="shared" si="6"/>
        <v>17</v>
      </c>
      <c r="F27" s="40">
        <v>1</v>
      </c>
      <c r="G27" s="40" t="s">
        <v>386</v>
      </c>
      <c r="H27" s="40" t="s">
        <v>387</v>
      </c>
      <c r="I27" s="41">
        <v>0</v>
      </c>
      <c r="J27" s="84" t="s">
        <v>11</v>
      </c>
      <c r="K27" s="41">
        <v>0</v>
      </c>
      <c r="L27" s="41">
        <v>0</v>
      </c>
      <c r="M27" s="41">
        <v>-1</v>
      </c>
      <c r="N27" s="118">
        <v>2000000</v>
      </c>
      <c r="O27" s="42">
        <v>0</v>
      </c>
      <c r="P27" s="105">
        <v>0</v>
      </c>
      <c r="Q27" s="117">
        <v>0</v>
      </c>
      <c r="R27" s="118">
        <v>0</v>
      </c>
      <c r="S27" s="136">
        <v>0</v>
      </c>
      <c r="T27" s="137">
        <v>0</v>
      </c>
      <c r="U27" s="136">
        <v>1</v>
      </c>
      <c r="V27" s="137">
        <v>1</v>
      </c>
      <c r="W27" s="136">
        <v>1</v>
      </c>
      <c r="X27" s="137">
        <v>1</v>
      </c>
      <c r="Y27" s="117">
        <v>3.5</v>
      </c>
      <c r="Z27" s="118">
        <v>3.5</v>
      </c>
      <c r="AA27" s="195">
        <v>0</v>
      </c>
      <c r="AB27" s="196">
        <v>0</v>
      </c>
      <c r="AC27" s="117">
        <v>0</v>
      </c>
      <c r="AD27" s="118">
        <v>0</v>
      </c>
      <c r="AE27" s="117">
        <v>0</v>
      </c>
      <c r="AF27" s="118">
        <v>0</v>
      </c>
      <c r="AG27" s="117">
        <v>0</v>
      </c>
      <c r="AH27" s="118">
        <v>0</v>
      </c>
      <c r="AI27" s="117">
        <v>0</v>
      </c>
      <c r="AJ27" s="118">
        <v>0</v>
      </c>
      <c r="AK27" s="117">
        <v>0</v>
      </c>
      <c r="AL27" s="118">
        <v>0</v>
      </c>
    </row>
    <row r="28" spans="1:65" x14ac:dyDescent="0.35">
      <c r="A28" s="300"/>
      <c r="B28" s="38" t="s">
        <v>14</v>
      </c>
      <c r="C28" s="39" t="s">
        <v>110</v>
      </c>
      <c r="D28" s="74" t="s">
        <v>133</v>
      </c>
      <c r="E28" s="9">
        <f t="shared" si="6"/>
        <v>18</v>
      </c>
      <c r="F28" s="40">
        <v>1</v>
      </c>
      <c r="G28" s="40" t="s">
        <v>386</v>
      </c>
      <c r="H28" s="40" t="s">
        <v>387</v>
      </c>
      <c r="I28" s="41">
        <v>0</v>
      </c>
      <c r="J28" s="84" t="s">
        <v>11</v>
      </c>
      <c r="K28" s="41">
        <v>0</v>
      </c>
      <c r="L28" s="41">
        <v>0</v>
      </c>
      <c r="M28" s="41">
        <v>1</v>
      </c>
      <c r="N28" s="118">
        <v>2000000</v>
      </c>
      <c r="O28" s="42">
        <v>0</v>
      </c>
      <c r="P28" s="105">
        <v>0</v>
      </c>
      <c r="Q28" s="117">
        <v>0</v>
      </c>
      <c r="R28" s="118">
        <v>0</v>
      </c>
      <c r="S28" s="136">
        <v>0</v>
      </c>
      <c r="T28" s="137">
        <v>0</v>
      </c>
      <c r="U28" s="136">
        <v>1</v>
      </c>
      <c r="V28" s="137">
        <v>1</v>
      </c>
      <c r="W28" s="136">
        <v>1</v>
      </c>
      <c r="X28" s="137">
        <v>1</v>
      </c>
      <c r="Y28" s="117">
        <v>0</v>
      </c>
      <c r="Z28" s="118">
        <v>0</v>
      </c>
      <c r="AA28" s="195">
        <v>0</v>
      </c>
      <c r="AB28" s="196">
        <v>0</v>
      </c>
      <c r="AC28" s="117">
        <v>0</v>
      </c>
      <c r="AD28" s="118">
        <v>0</v>
      </c>
      <c r="AE28" s="117">
        <v>0</v>
      </c>
      <c r="AF28" s="118">
        <v>0</v>
      </c>
      <c r="AG28" s="117">
        <v>0</v>
      </c>
      <c r="AH28" s="118">
        <v>0</v>
      </c>
      <c r="AI28" s="117">
        <v>0</v>
      </c>
      <c r="AJ28" s="118">
        <v>0</v>
      </c>
      <c r="AK28" s="117">
        <v>0</v>
      </c>
      <c r="AL28" s="118">
        <v>0</v>
      </c>
    </row>
    <row r="29" spans="1:65" s="171" customFormat="1" x14ac:dyDescent="0.35">
      <c r="A29" s="300"/>
      <c r="B29" s="75" t="s">
        <v>15</v>
      </c>
      <c r="C29" s="76" t="s">
        <v>110</v>
      </c>
      <c r="D29" s="77" t="s">
        <v>134</v>
      </c>
      <c r="E29" s="9">
        <f t="shared" si="6"/>
        <v>19</v>
      </c>
      <c r="F29" s="78">
        <v>1</v>
      </c>
      <c r="G29" s="78" t="s">
        <v>387</v>
      </c>
      <c r="H29" s="78" t="s">
        <v>387</v>
      </c>
      <c r="I29" s="79">
        <v>0</v>
      </c>
      <c r="J29" s="85" t="s">
        <v>11</v>
      </c>
      <c r="K29" s="79">
        <v>0</v>
      </c>
      <c r="L29" s="79">
        <v>0</v>
      </c>
      <c r="M29" s="79">
        <v>0</v>
      </c>
      <c r="N29" s="106">
        <v>2000000</v>
      </c>
      <c r="O29" s="79">
        <v>0</v>
      </c>
      <c r="P29" s="106">
        <v>0</v>
      </c>
      <c r="Q29" s="119">
        <v>0</v>
      </c>
      <c r="R29" s="106">
        <v>0</v>
      </c>
      <c r="S29" s="138">
        <v>0.03</v>
      </c>
      <c r="T29" s="139">
        <v>0.03</v>
      </c>
      <c r="U29" s="138">
        <v>1</v>
      </c>
      <c r="V29" s="139">
        <v>1</v>
      </c>
      <c r="W29" s="138">
        <v>1</v>
      </c>
      <c r="X29" s="139">
        <v>1</v>
      </c>
      <c r="Y29" s="119">
        <v>0</v>
      </c>
      <c r="Z29" s="106">
        <v>0</v>
      </c>
      <c r="AA29" s="197">
        <f>900*C2</f>
        <v>990.00000000000011</v>
      </c>
      <c r="AB29" s="198">
        <f>800*C2</f>
        <v>880.00000000000011</v>
      </c>
      <c r="AC29" s="119">
        <f>(AA29/C2)*0.03</f>
        <v>27</v>
      </c>
      <c r="AD29" s="106">
        <v>24</v>
      </c>
      <c r="AE29" s="119">
        <v>0</v>
      </c>
      <c r="AF29" s="106">
        <v>0</v>
      </c>
      <c r="AG29" s="119">
        <v>0</v>
      </c>
      <c r="AH29" s="106">
        <v>0</v>
      </c>
      <c r="AI29" s="119">
        <v>0</v>
      </c>
      <c r="AJ29" s="106">
        <v>0</v>
      </c>
      <c r="AK29" s="278">
        <v>0.13296951421362119</v>
      </c>
      <c r="AL29" s="106">
        <v>0.149029488697075</v>
      </c>
    </row>
    <row r="30" spans="1:65" x14ac:dyDescent="0.35">
      <c r="A30" s="300"/>
      <c r="B30" s="12" t="s">
        <v>22</v>
      </c>
      <c r="C30" s="5" t="s">
        <v>25</v>
      </c>
      <c r="D30" s="7" t="s">
        <v>29</v>
      </c>
      <c r="E30" s="9">
        <f t="shared" si="6"/>
        <v>20</v>
      </c>
      <c r="F30" s="2">
        <v>1</v>
      </c>
      <c r="G30" s="2" t="s">
        <v>384</v>
      </c>
      <c r="H30" s="2" t="s">
        <v>385</v>
      </c>
      <c r="I30">
        <v>0</v>
      </c>
      <c r="J30" s="83" t="s">
        <v>11</v>
      </c>
      <c r="K30">
        <v>1</v>
      </c>
      <c r="L30">
        <v>0</v>
      </c>
      <c r="M30">
        <v>0</v>
      </c>
      <c r="N30" s="16">
        <v>2000000</v>
      </c>
      <c r="O30" s="10">
        <v>0</v>
      </c>
      <c r="P30" s="101">
        <v>0</v>
      </c>
      <c r="Q30" s="113">
        <v>0</v>
      </c>
      <c r="R30" s="16">
        <v>0</v>
      </c>
      <c r="S30" s="130">
        <v>0</v>
      </c>
      <c r="T30" s="131">
        <v>0</v>
      </c>
      <c r="U30" s="130">
        <v>1</v>
      </c>
      <c r="V30" s="131">
        <v>1</v>
      </c>
      <c r="W30" s="130">
        <v>1</v>
      </c>
      <c r="X30" s="131">
        <v>1</v>
      </c>
      <c r="Y30" s="113">
        <v>0</v>
      </c>
      <c r="Z30" s="16">
        <v>0</v>
      </c>
      <c r="AA30" s="271">
        <f>230</f>
        <v>230</v>
      </c>
      <c r="AB30" s="271">
        <v>230</v>
      </c>
      <c r="AC30" s="113">
        <v>0</v>
      </c>
      <c r="AD30" s="16">
        <v>0</v>
      </c>
      <c r="AE30" s="113">
        <v>0</v>
      </c>
      <c r="AF30" s="16">
        <v>0</v>
      </c>
      <c r="AG30" s="113">
        <v>0</v>
      </c>
      <c r="AH30" s="16">
        <v>0</v>
      </c>
      <c r="AI30" s="162">
        <v>0.22953020134228186</v>
      </c>
      <c r="AJ30" s="162">
        <v>0.22953020134228186</v>
      </c>
      <c r="AK30" s="113">
        <v>8.4125058621280738E-2</v>
      </c>
      <c r="AL30" s="156">
        <v>8.8827433387272267E-2</v>
      </c>
    </row>
    <row r="31" spans="1:65" x14ac:dyDescent="0.35">
      <c r="A31" s="300"/>
      <c r="B31" s="12" t="s">
        <v>144</v>
      </c>
      <c r="C31" s="11" t="s">
        <v>110</v>
      </c>
      <c r="D31" s="7" t="s">
        <v>142</v>
      </c>
      <c r="E31" s="9">
        <f t="shared" si="6"/>
        <v>21</v>
      </c>
      <c r="F31" s="2">
        <v>1</v>
      </c>
      <c r="G31" s="2" t="s">
        <v>384</v>
      </c>
      <c r="H31" s="2" t="s">
        <v>385</v>
      </c>
      <c r="I31">
        <v>0</v>
      </c>
      <c r="J31" s="83" t="s">
        <v>11</v>
      </c>
      <c r="K31">
        <v>1</v>
      </c>
      <c r="L31">
        <v>0</v>
      </c>
      <c r="M31">
        <v>0</v>
      </c>
      <c r="N31" s="163">
        <v>41199.331999999995</v>
      </c>
      <c r="O31" s="10">
        <v>0</v>
      </c>
      <c r="P31" s="101">
        <v>0</v>
      </c>
      <c r="Q31" s="113">
        <v>0</v>
      </c>
      <c r="R31" s="16">
        <v>0</v>
      </c>
      <c r="S31" s="130">
        <v>0</v>
      </c>
      <c r="T31" s="131">
        <v>0</v>
      </c>
      <c r="U31" s="130">
        <v>1</v>
      </c>
      <c r="V31" s="131">
        <v>1</v>
      </c>
      <c r="W31" s="130">
        <v>1</v>
      </c>
      <c r="X31" s="131">
        <v>1</v>
      </c>
      <c r="Y31" s="113">
        <v>0</v>
      </c>
      <c r="Z31" s="16">
        <v>0</v>
      </c>
      <c r="AA31" s="271">
        <f>230</f>
        <v>230</v>
      </c>
      <c r="AB31" s="271">
        <v>230</v>
      </c>
      <c r="AC31" s="113">
        <v>0</v>
      </c>
      <c r="AD31" s="16">
        <v>0</v>
      </c>
      <c r="AE31" s="113">
        <v>0</v>
      </c>
      <c r="AF31" s="16">
        <v>0</v>
      </c>
      <c r="AG31" s="113">
        <v>0</v>
      </c>
      <c r="AH31" s="16">
        <v>0</v>
      </c>
      <c r="AI31" s="162">
        <v>4.6979865771812075E-2</v>
      </c>
      <c r="AJ31" s="162">
        <v>4.6979865771812075E-2</v>
      </c>
      <c r="AK31" s="113">
        <v>8.4125058621280738E-2</v>
      </c>
      <c r="AL31" s="156">
        <v>8.8827433387272267E-2</v>
      </c>
    </row>
    <row r="32" spans="1:65" x14ac:dyDescent="0.35">
      <c r="A32" s="300"/>
      <c r="B32" s="12" t="s">
        <v>103</v>
      </c>
      <c r="C32" s="11" t="s">
        <v>110</v>
      </c>
      <c r="D32" s="7" t="s">
        <v>111</v>
      </c>
      <c r="E32" s="9">
        <f t="shared" si="6"/>
        <v>22</v>
      </c>
      <c r="F32" s="2">
        <v>1</v>
      </c>
      <c r="G32" s="2" t="s">
        <v>384</v>
      </c>
      <c r="H32" s="2" t="s">
        <v>385</v>
      </c>
      <c r="I32">
        <v>0</v>
      </c>
      <c r="J32" s="83" t="s">
        <v>11</v>
      </c>
      <c r="K32">
        <v>-1</v>
      </c>
      <c r="L32">
        <v>0</v>
      </c>
      <c r="M32">
        <v>0</v>
      </c>
      <c r="N32" s="16">
        <v>2000000</v>
      </c>
      <c r="O32">
        <v>0</v>
      </c>
      <c r="P32" s="16">
        <v>0</v>
      </c>
      <c r="Q32" s="113">
        <v>0</v>
      </c>
      <c r="R32" s="16">
        <v>0</v>
      </c>
      <c r="S32" s="130">
        <v>0</v>
      </c>
      <c r="T32" s="131">
        <v>0</v>
      </c>
      <c r="U32" s="130">
        <v>1</v>
      </c>
      <c r="V32" s="131">
        <v>1</v>
      </c>
      <c r="W32" s="130">
        <v>1</v>
      </c>
      <c r="X32" s="131">
        <v>1</v>
      </c>
      <c r="Y32" s="113">
        <v>0</v>
      </c>
      <c r="Z32" s="16">
        <v>0</v>
      </c>
      <c r="AA32" s="199">
        <v>0</v>
      </c>
      <c r="AB32" s="200">
        <v>0</v>
      </c>
      <c r="AC32" s="113">
        <v>0</v>
      </c>
      <c r="AD32" s="16">
        <v>0</v>
      </c>
      <c r="AE32" s="113">
        <v>0</v>
      </c>
      <c r="AF32" s="16">
        <v>0</v>
      </c>
      <c r="AG32" s="113">
        <v>0</v>
      </c>
      <c r="AH32" s="16">
        <v>0</v>
      </c>
      <c r="AI32" s="199">
        <f>0.001</f>
        <v>1E-3</v>
      </c>
      <c r="AJ32" s="200">
        <v>0.1</v>
      </c>
      <c r="AK32" s="113">
        <v>0</v>
      </c>
      <c r="AL32" s="16">
        <v>0</v>
      </c>
    </row>
    <row r="33" spans="1:38" x14ac:dyDescent="0.35">
      <c r="A33" s="300"/>
      <c r="B33" s="12" t="s">
        <v>13</v>
      </c>
      <c r="C33" s="11" t="s">
        <v>110</v>
      </c>
      <c r="D33" s="7" t="s">
        <v>30</v>
      </c>
      <c r="E33" s="9">
        <f t="shared" si="6"/>
        <v>23</v>
      </c>
      <c r="F33" s="2">
        <v>1</v>
      </c>
      <c r="G33" s="2" t="s">
        <v>384</v>
      </c>
      <c r="H33" s="2" t="s">
        <v>385</v>
      </c>
      <c r="I33">
        <v>0</v>
      </c>
      <c r="J33" s="83" t="s">
        <v>11</v>
      </c>
      <c r="K33">
        <v>-1</v>
      </c>
      <c r="L33">
        <v>0</v>
      </c>
      <c r="M33">
        <v>0</v>
      </c>
      <c r="N33" s="16">
        <v>2000000</v>
      </c>
      <c r="O33" s="10">
        <v>0</v>
      </c>
      <c r="P33" s="101">
        <v>0</v>
      </c>
      <c r="Q33" s="113">
        <v>0</v>
      </c>
      <c r="R33" s="16">
        <v>0</v>
      </c>
      <c r="S33" s="130">
        <v>0</v>
      </c>
      <c r="T33" s="131">
        <v>0</v>
      </c>
      <c r="U33" s="130">
        <v>1</v>
      </c>
      <c r="V33" s="131">
        <v>1</v>
      </c>
      <c r="W33" s="130">
        <v>1</v>
      </c>
      <c r="X33" s="131">
        <v>1</v>
      </c>
      <c r="Y33" s="113">
        <v>0.05</v>
      </c>
      <c r="Z33" s="16">
        <v>0.05</v>
      </c>
      <c r="AA33" s="199">
        <v>0</v>
      </c>
      <c r="AB33" s="200">
        <v>0</v>
      </c>
      <c r="AC33" s="113">
        <v>0</v>
      </c>
      <c r="AD33" s="16">
        <v>0</v>
      </c>
      <c r="AE33" s="113">
        <v>0</v>
      </c>
      <c r="AF33" s="16">
        <v>0</v>
      </c>
      <c r="AG33" s="113">
        <v>0</v>
      </c>
      <c r="AH33" s="16">
        <v>0</v>
      </c>
      <c r="AI33" s="113">
        <v>0</v>
      </c>
      <c r="AJ33" s="16">
        <v>0</v>
      </c>
      <c r="AK33" s="113">
        <v>0</v>
      </c>
      <c r="AL33" s="16">
        <v>0</v>
      </c>
    </row>
    <row r="34" spans="1:38" x14ac:dyDescent="0.35">
      <c r="A34" s="300"/>
      <c r="B34" s="12" t="s">
        <v>14</v>
      </c>
      <c r="C34" s="11" t="s">
        <v>110</v>
      </c>
      <c r="D34" s="7" t="s">
        <v>31</v>
      </c>
      <c r="E34" s="9">
        <f t="shared" si="6"/>
        <v>24</v>
      </c>
      <c r="F34" s="2">
        <v>1</v>
      </c>
      <c r="G34" s="2" t="s">
        <v>384</v>
      </c>
      <c r="H34" s="2" t="s">
        <v>385</v>
      </c>
      <c r="I34">
        <v>0</v>
      </c>
      <c r="J34" s="83" t="s">
        <v>11</v>
      </c>
      <c r="K34">
        <v>1</v>
      </c>
      <c r="L34">
        <v>0</v>
      </c>
      <c r="M34">
        <v>0</v>
      </c>
      <c r="N34" s="16">
        <v>2000000</v>
      </c>
      <c r="O34" s="10">
        <v>0</v>
      </c>
      <c r="P34" s="101">
        <v>0</v>
      </c>
      <c r="Q34" s="113">
        <v>0</v>
      </c>
      <c r="R34" s="16">
        <v>0</v>
      </c>
      <c r="S34" s="130">
        <v>0</v>
      </c>
      <c r="T34" s="131">
        <v>0</v>
      </c>
      <c r="U34" s="130">
        <v>1</v>
      </c>
      <c r="V34" s="131">
        <v>1</v>
      </c>
      <c r="W34" s="130">
        <v>1</v>
      </c>
      <c r="X34" s="131">
        <v>1</v>
      </c>
      <c r="Y34" s="113">
        <v>0.05</v>
      </c>
      <c r="Z34" s="16">
        <v>0.05</v>
      </c>
      <c r="AA34" s="199">
        <v>0</v>
      </c>
      <c r="AB34" s="200">
        <v>0</v>
      </c>
      <c r="AC34" s="113">
        <v>0</v>
      </c>
      <c r="AD34" s="16">
        <v>0</v>
      </c>
      <c r="AE34" s="113">
        <v>0</v>
      </c>
      <c r="AF34" s="16">
        <v>0</v>
      </c>
      <c r="AG34" s="113">
        <v>0</v>
      </c>
      <c r="AH34" s="16">
        <v>0</v>
      </c>
      <c r="AI34" s="113">
        <v>0</v>
      </c>
      <c r="AJ34" s="16">
        <v>0</v>
      </c>
      <c r="AK34" s="113">
        <v>0</v>
      </c>
      <c r="AL34" s="16">
        <v>0</v>
      </c>
    </row>
    <row r="35" spans="1:38" x14ac:dyDescent="0.35">
      <c r="A35" s="300"/>
      <c r="B35" s="12" t="s">
        <v>15</v>
      </c>
      <c r="C35" s="11" t="s">
        <v>110</v>
      </c>
      <c r="D35" s="3" t="s">
        <v>32</v>
      </c>
      <c r="E35" s="9">
        <f t="shared" si="6"/>
        <v>25</v>
      </c>
      <c r="F35" s="2">
        <v>1</v>
      </c>
      <c r="G35" s="2" t="s">
        <v>385</v>
      </c>
      <c r="H35" s="2" t="s">
        <v>385</v>
      </c>
      <c r="I35">
        <v>0</v>
      </c>
      <c r="J35" s="83" t="s">
        <v>11</v>
      </c>
      <c r="K35">
        <v>0</v>
      </c>
      <c r="L35">
        <v>0</v>
      </c>
      <c r="M35">
        <v>0</v>
      </c>
      <c r="N35" s="16">
        <v>2000000</v>
      </c>
      <c r="O35" s="10">
        <v>0</v>
      </c>
      <c r="P35" s="101">
        <v>0</v>
      </c>
      <c r="Q35" s="113">
        <v>0</v>
      </c>
      <c r="R35" s="16">
        <v>0</v>
      </c>
      <c r="S35" s="130">
        <v>0.2</v>
      </c>
      <c r="T35" s="131">
        <v>0</v>
      </c>
      <c r="U35" s="130">
        <v>1</v>
      </c>
      <c r="V35" s="131">
        <v>1</v>
      </c>
      <c r="W35" s="130">
        <v>1</v>
      </c>
      <c r="X35" s="131">
        <v>1</v>
      </c>
      <c r="Y35" s="113">
        <v>0</v>
      </c>
      <c r="Z35" s="16">
        <v>0</v>
      </c>
      <c r="AA35" s="199">
        <f>486*C2</f>
        <v>534.6</v>
      </c>
      <c r="AB35" s="200">
        <f>180*C2</f>
        <v>198.00000000000003</v>
      </c>
      <c r="AC35" s="113">
        <v>6.84</v>
      </c>
      <c r="AD35" s="16">
        <v>2.6999999999999997</v>
      </c>
      <c r="AE35" s="113">
        <v>0</v>
      </c>
      <c r="AF35" s="16">
        <v>0</v>
      </c>
      <c r="AG35" s="113">
        <v>0</v>
      </c>
      <c r="AH35" s="16">
        <v>0</v>
      </c>
      <c r="AI35" s="113">
        <v>0</v>
      </c>
      <c r="AJ35" s="16">
        <v>0</v>
      </c>
      <c r="AK35" s="279">
        <v>8.4125058621280738E-2</v>
      </c>
      <c r="AL35" s="16">
        <v>0.10185220882315101</v>
      </c>
    </row>
    <row r="39" spans="1:38" x14ac:dyDescent="0.35">
      <c r="N39" s="280"/>
    </row>
    <row r="40" spans="1:38" x14ac:dyDescent="0.35">
      <c r="D40" s="7"/>
    </row>
  </sheetData>
  <mergeCells count="6">
    <mergeCell ref="A30:A35"/>
    <mergeCell ref="A6:E6"/>
    <mergeCell ref="B7:B10"/>
    <mergeCell ref="C7:C10"/>
    <mergeCell ref="D7:D10"/>
    <mergeCell ref="A11:A29"/>
  </mergeCells>
  <pageMargins left="0.7" right="0.7" top="0.75" bottom="0.75" header="0.3" footer="0.3"/>
  <pageSetup paperSize="9" orientation="portrait" horizontalDpi="429496729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F31"/>
  <sheetViews>
    <sheetView zoomScale="83" workbookViewId="0">
      <pane xSplit="1" topLeftCell="B1" activePane="topRight" state="frozen"/>
      <selection pane="topRight" activeCell="C5" sqref="C5"/>
    </sheetView>
  </sheetViews>
  <sheetFormatPr defaultRowHeight="14.5" x14ac:dyDescent="0.35"/>
  <cols>
    <col min="1" max="1" width="2.81640625" bestFit="1" customWidth="1"/>
    <col min="2" max="2" width="32" bestFit="1" customWidth="1"/>
    <col min="3" max="3" width="13.453125" bestFit="1" customWidth="1"/>
    <col min="4" max="4" width="17.26953125" customWidth="1"/>
    <col min="5" max="5" width="16.90625" customWidth="1"/>
  </cols>
  <sheetData>
    <row r="1" spans="1:6" x14ac:dyDescent="0.35">
      <c r="A1" s="13"/>
      <c r="B1" s="6" t="s">
        <v>90</v>
      </c>
      <c r="C1" t="s">
        <v>51</v>
      </c>
      <c r="D1" t="s">
        <v>51</v>
      </c>
      <c r="E1" t="s">
        <v>170</v>
      </c>
    </row>
    <row r="2" spans="1:6" x14ac:dyDescent="0.35">
      <c r="B2" s="6" t="s">
        <v>86</v>
      </c>
      <c r="C2" s="22">
        <v>19.899999999999999</v>
      </c>
      <c r="D2">
        <v>19.899999999999999</v>
      </c>
      <c r="E2" s="233">
        <v>50</v>
      </c>
      <c r="F2" s="233"/>
    </row>
    <row r="3" spans="1:6" x14ac:dyDescent="0.35">
      <c r="A3" s="13"/>
      <c r="B3" t="s">
        <v>55</v>
      </c>
      <c r="C3" t="s">
        <v>43</v>
      </c>
      <c r="D3" t="s">
        <v>43</v>
      </c>
      <c r="E3" t="s">
        <v>43</v>
      </c>
    </row>
    <row r="4" spans="1:6" x14ac:dyDescent="0.35">
      <c r="B4" t="s">
        <v>66</v>
      </c>
      <c r="C4" t="s">
        <v>67</v>
      </c>
      <c r="D4" t="s">
        <v>123</v>
      </c>
      <c r="E4" t="s">
        <v>123</v>
      </c>
    </row>
    <row r="5" spans="1:6" x14ac:dyDescent="0.35">
      <c r="A5" s="4"/>
      <c r="B5" s="6" t="s">
        <v>68</v>
      </c>
      <c r="C5" t="str">
        <f t="shared" ref="C5" si="0">C1&amp;"_"&amp;C3&amp;"_"&amp;C4</f>
        <v>MeOH_AEC_PS</v>
      </c>
      <c r="D5" t="s">
        <v>126</v>
      </c>
      <c r="E5" t="s">
        <v>179</v>
      </c>
    </row>
    <row r="6" spans="1:6" x14ac:dyDescent="0.35">
      <c r="A6" s="3">
        <f t="shared" ref="A6:A7" si="1">ROW(B6)-ROW($A$5)</f>
        <v>1</v>
      </c>
      <c r="B6" s="3" t="str">
        <f>Data_base_case_Faroe!D11</f>
        <v>Biogas1</v>
      </c>
      <c r="C6" s="3">
        <v>1</v>
      </c>
      <c r="D6" s="3">
        <v>0</v>
      </c>
      <c r="E6" s="3">
        <v>0</v>
      </c>
    </row>
    <row r="7" spans="1:6" x14ac:dyDescent="0.35">
      <c r="A7" s="3">
        <f t="shared" si="1"/>
        <v>2</v>
      </c>
      <c r="B7" s="3" t="str">
        <f>Data_base_case_Faroe!D12</f>
        <v>Membrane upgrading</v>
      </c>
      <c r="C7" s="3">
        <f>IF(AND(C1="MeOH",C4="PS"),1,0)</f>
        <v>1</v>
      </c>
      <c r="D7" s="3">
        <f>IF(AND(D1="MeOH",D4="PS"),1,0)</f>
        <v>0</v>
      </c>
      <c r="E7" s="3">
        <f>IF(AND(E1="MeOH",E4="PS"),1,0)</f>
        <v>0</v>
      </c>
    </row>
    <row r="8" spans="1:6" x14ac:dyDescent="0.35">
      <c r="A8" s="3">
        <f t="shared" ref="A8:A30" si="2">ROW(B8)-ROW($A$5)</f>
        <v>3</v>
      </c>
      <c r="B8" s="3" t="str">
        <f>Data_base_case_Faroe!D13</f>
        <v>MeOH plant CCU</v>
      </c>
      <c r="C8" s="3">
        <f>IF(AND(C1="MeOH"),1,0)</f>
        <v>1</v>
      </c>
      <c r="D8" s="3">
        <v>0</v>
      </c>
      <c r="E8" s="3">
        <v>0</v>
      </c>
    </row>
    <row r="9" spans="1:6" x14ac:dyDescent="0.35">
      <c r="A9" s="3">
        <f t="shared" si="2"/>
        <v>4</v>
      </c>
      <c r="B9" s="3" t="str">
        <f>Data_base_case_Faroe!D14</f>
        <v>Biogas2</v>
      </c>
      <c r="C9" s="3">
        <f>IF(AND(C1="NH3",C3="AEC"),1,0)</f>
        <v>0</v>
      </c>
      <c r="D9" s="3">
        <v>1</v>
      </c>
      <c r="E9" s="3">
        <v>0</v>
      </c>
    </row>
    <row r="10" spans="1:6" x14ac:dyDescent="0.35">
      <c r="A10" s="3">
        <f t="shared" si="2"/>
        <v>5</v>
      </c>
      <c r="B10" s="3" t="str">
        <f>Data_base_case_Faroe!D15</f>
        <v>MeOH plant Biogas</v>
      </c>
      <c r="C10" s="3">
        <f>IF(AND(C1="NH3",C3&lt;&gt;"AEC"),1,0)</f>
        <v>0</v>
      </c>
      <c r="D10" s="3">
        <v>1</v>
      </c>
      <c r="E10" s="3">
        <v>0</v>
      </c>
    </row>
    <row r="11" spans="1:6" x14ac:dyDescent="0.35">
      <c r="A11" s="3">
        <f t="shared" si="2"/>
        <v>6</v>
      </c>
      <c r="B11" s="3" t="str">
        <f>Data_base_case_Faroe!D16</f>
        <v>Biogas3</v>
      </c>
      <c r="C11" s="3">
        <v>0</v>
      </c>
      <c r="D11" s="3">
        <v>0</v>
      </c>
      <c r="E11" s="3">
        <v>1</v>
      </c>
    </row>
    <row r="12" spans="1:6" x14ac:dyDescent="0.35">
      <c r="A12" s="3">
        <f t="shared" si="2"/>
        <v>7</v>
      </c>
      <c r="B12" s="3" t="str">
        <f>Data_base_case_Faroe!D17</f>
        <v>CH4 plant-direct methanation</v>
      </c>
      <c r="C12" s="3">
        <v>0</v>
      </c>
      <c r="D12" s="3">
        <v>0</v>
      </c>
      <c r="E12" s="3">
        <v>1</v>
      </c>
    </row>
    <row r="13" spans="1:6" x14ac:dyDescent="0.35">
      <c r="A13" s="3">
        <f t="shared" si="2"/>
        <v>8</v>
      </c>
      <c r="B13" s="3" t="str">
        <f>Data_base_case_Faroe!D18</f>
        <v>Freshwater</v>
      </c>
      <c r="C13" s="3">
        <v>1</v>
      </c>
      <c r="D13" s="3">
        <v>1</v>
      </c>
      <c r="E13" s="3">
        <v>1</v>
      </c>
    </row>
    <row r="14" spans="1:6" x14ac:dyDescent="0.35">
      <c r="A14" s="3">
        <f t="shared" si="2"/>
        <v>9</v>
      </c>
      <c r="B14" s="3" t="str">
        <f>Data_base_case_Faroe!D19</f>
        <v>Electrolysers AEC</v>
      </c>
      <c r="C14" s="3">
        <v>1</v>
      </c>
      <c r="D14" s="3">
        <v>1</v>
      </c>
      <c r="E14" s="3">
        <v>1</v>
      </c>
    </row>
    <row r="15" spans="1:6" x14ac:dyDescent="0.35">
      <c r="A15" s="3">
        <f t="shared" si="2"/>
        <v>10</v>
      </c>
      <c r="B15" s="3" t="str">
        <f>Data_base_case_Faroe!D20</f>
        <v>H2 pipeline to MeOH CCU plant</v>
      </c>
      <c r="C15" s="3">
        <v>1</v>
      </c>
      <c r="D15" s="3">
        <v>0</v>
      </c>
      <c r="E15" s="3">
        <v>0</v>
      </c>
    </row>
    <row r="16" spans="1:6" x14ac:dyDescent="0.35">
      <c r="A16" s="3">
        <f t="shared" si="2"/>
        <v>11</v>
      </c>
      <c r="B16" s="3" t="str">
        <f>Data_base_case_Faroe!D21</f>
        <v>H2 pipeline to MeOH Biogas plant</v>
      </c>
      <c r="C16" s="3">
        <v>0</v>
      </c>
      <c r="D16" s="3">
        <v>1</v>
      </c>
      <c r="E16" s="3">
        <v>0</v>
      </c>
    </row>
    <row r="17" spans="1:5" x14ac:dyDescent="0.35">
      <c r="A17" s="3">
        <f t="shared" si="2"/>
        <v>12</v>
      </c>
      <c r="B17" s="3" t="str">
        <f>Data_base_case_Faroe!D22</f>
        <v>H2 pipeline to CH4 plant</v>
      </c>
      <c r="C17" s="3">
        <v>0</v>
      </c>
      <c r="D17" s="3">
        <v>0</v>
      </c>
      <c r="E17" s="3">
        <v>1</v>
      </c>
    </row>
    <row r="18" spans="1:5" x14ac:dyDescent="0.35">
      <c r="A18" s="3">
        <f t="shared" si="2"/>
        <v>13</v>
      </c>
      <c r="B18" s="3" t="str">
        <f>Data_base_case_Faroe!D23</f>
        <v>Heat from district heating</v>
      </c>
      <c r="C18" s="3">
        <v>1</v>
      </c>
      <c r="D18" s="3">
        <v>1</v>
      </c>
      <c r="E18" s="3">
        <v>1</v>
      </c>
    </row>
    <row r="19" spans="1:5" x14ac:dyDescent="0.35">
      <c r="A19" s="3">
        <f t="shared" si="2"/>
        <v>14</v>
      </c>
      <c r="B19" s="3" t="str">
        <f>Data_base_case_Faroe!D24</f>
        <v>Heat sent to district heating</v>
      </c>
      <c r="C19" s="3">
        <v>1</v>
      </c>
      <c r="D19" s="3">
        <v>1</v>
      </c>
      <c r="E19" s="3">
        <v>1</v>
      </c>
    </row>
    <row r="20" spans="1:5" x14ac:dyDescent="0.35">
      <c r="A20" s="3">
        <f t="shared" si="2"/>
        <v>15</v>
      </c>
      <c r="B20" s="3" t="str">
        <f>Data_base_case_Faroe!D25</f>
        <v>Sale of oxygen</v>
      </c>
      <c r="C20" s="3">
        <v>1</v>
      </c>
      <c r="D20" s="3">
        <v>1</v>
      </c>
      <c r="E20" s="3">
        <v>1</v>
      </c>
    </row>
    <row r="21" spans="1:5" x14ac:dyDescent="0.35">
      <c r="A21" s="3">
        <f t="shared" si="2"/>
        <v>16</v>
      </c>
      <c r="B21" s="3" t="str">
        <f>Data_base_case_Faroe!D26</f>
        <v>Sale of methane</v>
      </c>
      <c r="C21" s="3">
        <v>1</v>
      </c>
      <c r="D21" s="3">
        <v>0</v>
      </c>
      <c r="E21" s="3">
        <v>0</v>
      </c>
    </row>
    <row r="22" spans="1:5" x14ac:dyDescent="0.35">
      <c r="A22" s="3">
        <f t="shared" si="2"/>
        <v>17</v>
      </c>
      <c r="B22" s="3" t="str">
        <f>Data_base_case_Faroe!D27</f>
        <v>H2 tank compressor</v>
      </c>
      <c r="C22" s="3">
        <v>1</v>
      </c>
      <c r="D22" s="3">
        <v>1</v>
      </c>
      <c r="E22" s="3">
        <v>1</v>
      </c>
    </row>
    <row r="23" spans="1:5" x14ac:dyDescent="0.35">
      <c r="A23" s="3">
        <f t="shared" si="2"/>
        <v>18</v>
      </c>
      <c r="B23" s="3" t="str">
        <f>Data_base_case_Faroe!D28</f>
        <v>H2 tank valve</v>
      </c>
      <c r="C23" s="3">
        <v>1</v>
      </c>
      <c r="D23" s="3">
        <v>1</v>
      </c>
      <c r="E23" s="3">
        <v>1</v>
      </c>
    </row>
    <row r="24" spans="1:5" x14ac:dyDescent="0.35">
      <c r="A24" s="3">
        <f t="shared" si="2"/>
        <v>19</v>
      </c>
      <c r="B24" s="3" t="str">
        <f>Data_base_case_Faroe!D29</f>
        <v>H2 tank</v>
      </c>
      <c r="C24" s="3">
        <v>1</v>
      </c>
      <c r="D24" s="3">
        <v>1</v>
      </c>
      <c r="E24" s="3">
        <v>1</v>
      </c>
    </row>
    <row r="25" spans="1:5" x14ac:dyDescent="0.35">
      <c r="A25" s="3">
        <f t="shared" si="2"/>
        <v>20</v>
      </c>
      <c r="B25" s="3" t="str">
        <f>Data_base_case_Faroe!D30</f>
        <v>Electricity from the grid</v>
      </c>
      <c r="C25" s="3">
        <v>1</v>
      </c>
      <c r="D25" s="3">
        <v>1</v>
      </c>
      <c r="E25" s="3">
        <v>1</v>
      </c>
    </row>
    <row r="26" spans="1:5" x14ac:dyDescent="0.35">
      <c r="A26" s="3">
        <f t="shared" si="2"/>
        <v>21</v>
      </c>
      <c r="B26" s="3" t="str">
        <f>Data_base_case_Faroe!D31</f>
        <v>Electricity from the grid curtailment</v>
      </c>
      <c r="C26" s="3">
        <v>1</v>
      </c>
      <c r="D26" s="3">
        <v>1</v>
      </c>
      <c r="E26" s="3">
        <v>1</v>
      </c>
    </row>
    <row r="27" spans="1:5" x14ac:dyDescent="0.35">
      <c r="A27" s="3">
        <f t="shared" si="2"/>
        <v>22</v>
      </c>
      <c r="B27" s="3" t="str">
        <f>Data_base_case_Faroe!D32</f>
        <v>Curtailment</v>
      </c>
      <c r="C27" s="3">
        <v>1</v>
      </c>
      <c r="D27" s="3">
        <v>1</v>
      </c>
      <c r="E27" s="3">
        <v>1</v>
      </c>
    </row>
    <row r="28" spans="1:5" x14ac:dyDescent="0.35">
      <c r="A28" s="3">
        <f t="shared" si="2"/>
        <v>23</v>
      </c>
      <c r="B28" s="3" t="str">
        <f>Data_base_case_Faroe!D33</f>
        <v>Charge batteries</v>
      </c>
      <c r="C28" s="3">
        <v>1</v>
      </c>
      <c r="D28" s="3">
        <v>1</v>
      </c>
      <c r="E28" s="3">
        <v>1</v>
      </c>
    </row>
    <row r="29" spans="1:5" x14ac:dyDescent="0.35">
      <c r="A29" s="3">
        <f t="shared" si="2"/>
        <v>24</v>
      </c>
      <c r="B29" s="3" t="str">
        <f>Data_base_case_Faroe!D34</f>
        <v>Discharge batteries</v>
      </c>
      <c r="C29" s="3">
        <v>1</v>
      </c>
      <c r="D29" s="3">
        <v>1</v>
      </c>
      <c r="E29" s="3">
        <v>1</v>
      </c>
    </row>
    <row r="30" spans="1:5" x14ac:dyDescent="0.35">
      <c r="A30" s="3">
        <f t="shared" si="2"/>
        <v>25</v>
      </c>
      <c r="B30" s="3" t="str">
        <f>Data_base_case_Faroe!D35</f>
        <v>Batteries</v>
      </c>
      <c r="C30" s="3">
        <v>1</v>
      </c>
      <c r="D30" s="3">
        <v>1</v>
      </c>
      <c r="E30" s="3">
        <v>1</v>
      </c>
    </row>
    <row r="31" spans="1:5" x14ac:dyDescent="0.35">
      <c r="B31" s="3"/>
    </row>
  </sheetData>
  <conditionalFormatting sqref="C6:E30">
    <cfRule type="cellIs" dxfId="8" priority="1" operator="equal">
      <formula>1</formula>
    </cfRule>
    <cfRule type="cellIs" dxfId="7" priority="2" operator="equal">
      <formula>0</formula>
    </cfRule>
  </conditionalFormatting>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H44"/>
  <sheetViews>
    <sheetView zoomScale="83" workbookViewId="0">
      <selection activeCell="F6" sqref="F6"/>
    </sheetView>
  </sheetViews>
  <sheetFormatPr defaultColWidth="8.7265625" defaultRowHeight="14.5" x14ac:dyDescent="0.35"/>
  <cols>
    <col min="1" max="1" width="20.453125" style="1" customWidth="1"/>
    <col min="2" max="2" width="29.7265625" style="1" bestFit="1" customWidth="1"/>
    <col min="3" max="3" width="32.81640625" style="1" customWidth="1"/>
    <col min="4" max="4" width="32" style="1" customWidth="1"/>
    <col min="5" max="5" width="13.54296875" style="1" customWidth="1"/>
    <col min="6" max="6" width="9.81640625" style="1" customWidth="1"/>
    <col min="7" max="7" width="13.453125" style="1" customWidth="1"/>
    <col min="8" max="8" width="12.7265625" style="1" customWidth="1"/>
    <col min="9" max="12" width="9.54296875" style="1" customWidth="1"/>
    <col min="13" max="14" width="8.7265625" style="1"/>
    <col min="15" max="15" width="0" style="1" hidden="1" customWidth="1"/>
    <col min="16" max="16384" width="8.7265625" style="1"/>
  </cols>
  <sheetData>
    <row r="1" spans="1:8" x14ac:dyDescent="0.35">
      <c r="A1" s="1" t="s">
        <v>101</v>
      </c>
    </row>
    <row r="2" spans="1:8" x14ac:dyDescent="0.35">
      <c r="A2" s="1" t="s">
        <v>113</v>
      </c>
    </row>
    <row r="4" spans="1:8" s="15" customFormat="1" x14ac:dyDescent="0.35">
      <c r="A4" s="24" t="s">
        <v>100</v>
      </c>
      <c r="B4" s="6" t="s">
        <v>81</v>
      </c>
      <c r="C4" s="6" t="s">
        <v>80</v>
      </c>
      <c r="D4" s="6" t="s">
        <v>47</v>
      </c>
      <c r="E4" s="6" t="s">
        <v>79</v>
      </c>
      <c r="F4" s="6" t="s">
        <v>48</v>
      </c>
      <c r="G4" s="15" t="s">
        <v>78</v>
      </c>
      <c r="H4" s="15" t="s">
        <v>49</v>
      </c>
    </row>
    <row r="5" spans="1:8" s="15" customFormat="1" ht="14.5" customHeight="1" x14ac:dyDescent="0.35">
      <c r="A5" s="26"/>
      <c r="B5" s="1" t="s">
        <v>149</v>
      </c>
      <c r="C5" s="1" t="s">
        <v>29</v>
      </c>
      <c r="D5" s="1" t="s">
        <v>71</v>
      </c>
      <c r="E5" s="1" t="s">
        <v>72</v>
      </c>
      <c r="F5" s="1">
        <v>1</v>
      </c>
      <c r="G5" s="179" t="s">
        <v>72</v>
      </c>
      <c r="H5" s="1">
        <f>INDEX(Data_base_case_Faroe!$D$10:$AL$101,MATCH(Scenarios_definition!C5,Data_base_case_Faroe!$D$10:$D$101,0),MATCH(Scenarios_definition!D5&amp;Scenarios_definition!G5,Data_base_case_Faroe!$D$9:$AL$9,0))</f>
        <v>1</v>
      </c>
    </row>
    <row r="6" spans="1:8" s="15" customFormat="1" ht="14.5" customHeight="1" x14ac:dyDescent="0.35">
      <c r="A6" s="26"/>
      <c r="B6" s="1" t="s">
        <v>147</v>
      </c>
      <c r="C6" s="1" t="s">
        <v>142</v>
      </c>
      <c r="D6" s="1" t="s">
        <v>71</v>
      </c>
      <c r="E6" s="1" t="s">
        <v>72</v>
      </c>
      <c r="F6" s="1">
        <v>0</v>
      </c>
      <c r="G6" s="179" t="s">
        <v>72</v>
      </c>
      <c r="H6" s="1">
        <f>INDEX(Data_base_case_Faroe!$D$10:$AL$101,MATCH(Scenarios_definition!C6,Data_base_case_Faroe!$D$10:$D$101,0),MATCH(Scenarios_definition!D6&amp;Scenarios_definition!G6,Data_base_case_Faroe!$D$9:$AL$9,0))</f>
        <v>1</v>
      </c>
    </row>
    <row r="7" spans="1:8" s="15" customFormat="1" ht="14.5" customHeight="1" x14ac:dyDescent="0.35">
      <c r="A7" s="1" t="s">
        <v>149</v>
      </c>
      <c r="B7" s="1" t="s">
        <v>211</v>
      </c>
      <c r="C7" s="1" t="s">
        <v>29</v>
      </c>
      <c r="D7" s="1" t="s">
        <v>71</v>
      </c>
      <c r="E7" s="1" t="s">
        <v>72</v>
      </c>
      <c r="F7" s="1">
        <v>0</v>
      </c>
      <c r="G7" s="179" t="s">
        <v>72</v>
      </c>
      <c r="H7" s="1">
        <f>INDEX(Data_base_case_Faroe!$D$10:$AL$101,MATCH(Scenarios_definition!C7,Data_base_case_Faroe!$D$10:$D$101,0),MATCH(Scenarios_definition!D7&amp;Scenarios_definition!G7,Data_base_case_Faroe!$D$9:$AL$9,0))</f>
        <v>1</v>
      </c>
    </row>
    <row r="8" spans="1:8" x14ac:dyDescent="0.35">
      <c r="B8" s="1" t="s">
        <v>189</v>
      </c>
      <c r="C8" s="1" t="s">
        <v>142</v>
      </c>
      <c r="D8" s="1" t="s">
        <v>99</v>
      </c>
      <c r="E8" s="1" t="s">
        <v>72</v>
      </c>
      <c r="F8" s="1">
        <v>0.1</v>
      </c>
      <c r="G8" s="179">
        <v>2025</v>
      </c>
      <c r="H8" s="1">
        <f>INDEX(Data_base_case_Faroe!$D$10:$AL$101,MATCH(Scenarios_definition!C8,Data_base_case_Faroe!$D$10:$D$101,0),MATCH(Scenarios_definition!D8&amp;Scenarios_definition!G8,Data_base_case_Faroe!$D$9:$AL$9,0))</f>
        <v>4.6979865771812075E-2</v>
      </c>
    </row>
    <row r="9" spans="1:8" x14ac:dyDescent="0.35">
      <c r="B9" s="1" t="s">
        <v>190</v>
      </c>
      <c r="C9" s="1" t="s">
        <v>142</v>
      </c>
      <c r="D9" s="1" t="s">
        <v>99</v>
      </c>
      <c r="E9" s="1" t="s">
        <v>72</v>
      </c>
      <c r="F9" s="1">
        <v>0.08</v>
      </c>
      <c r="G9" s="179">
        <v>2025</v>
      </c>
      <c r="H9" s="1">
        <f>INDEX(Data_base_case_Faroe!$D$10:$AL$101,MATCH(Scenarios_definition!C9,Data_base_case_Faroe!$D$10:$D$101,0),MATCH(Scenarios_definition!D9&amp;Scenarios_definition!G9,Data_base_case_Faroe!$D$9:$AL$9,0))</f>
        <v>4.6979865771812075E-2</v>
      </c>
    </row>
    <row r="10" spans="1:8" x14ac:dyDescent="0.35">
      <c r="B10" s="1" t="s">
        <v>191</v>
      </c>
      <c r="C10" s="1" t="s">
        <v>142</v>
      </c>
      <c r="D10" s="1" t="s">
        <v>99</v>
      </c>
      <c r="E10" s="1" t="s">
        <v>72</v>
      </c>
      <c r="F10" s="1">
        <v>0.06</v>
      </c>
      <c r="G10" s="179">
        <v>2025</v>
      </c>
      <c r="H10" s="1">
        <f>INDEX(Data_base_case_Faroe!$D$10:$AL$101,MATCH(Scenarios_definition!C10,Data_base_case_Faroe!$D$10:$D$101,0),MATCH(Scenarios_definition!D10&amp;Scenarios_definition!G10,Data_base_case_Faroe!$D$9:$AL$9,0))</f>
        <v>4.6979865771812075E-2</v>
      </c>
    </row>
    <row r="11" spans="1:8" x14ac:dyDescent="0.35">
      <c r="B11" s="1" t="s">
        <v>192</v>
      </c>
      <c r="C11" s="1" t="s">
        <v>142</v>
      </c>
      <c r="D11" s="1" t="s">
        <v>99</v>
      </c>
      <c r="E11" s="1" t="s">
        <v>72</v>
      </c>
      <c r="F11" s="1">
        <v>0.04</v>
      </c>
      <c r="G11" s="179">
        <v>2025</v>
      </c>
      <c r="H11" s="1">
        <f>INDEX(Data_base_case_Faroe!$D$10:$AL$101,MATCH(Scenarios_definition!C11,Data_base_case_Faroe!$D$10:$D$101,0),MATCH(Scenarios_definition!D11&amp;Scenarios_definition!G11,Data_base_case_Faroe!$D$9:$AL$9,0))</f>
        <v>4.6979865771812075E-2</v>
      </c>
    </row>
    <row r="12" spans="1:8" x14ac:dyDescent="0.35">
      <c r="B12" s="1" t="s">
        <v>213</v>
      </c>
      <c r="C12" s="1" t="s">
        <v>142</v>
      </c>
      <c r="D12" s="1" t="s">
        <v>99</v>
      </c>
      <c r="E12" s="1" t="s">
        <v>72</v>
      </c>
      <c r="F12" s="1">
        <v>0.02</v>
      </c>
      <c r="G12" s="179">
        <v>2025</v>
      </c>
      <c r="H12" s="1">
        <f>INDEX(Data_base_case_Faroe!$D$10:$AL$101,MATCH(Scenarios_definition!C12,Data_base_case_Faroe!$D$10:$D$101,0),MATCH(Scenarios_definition!D12&amp;Scenarios_definition!G12,Data_base_case_Faroe!$D$9:$AL$9,0))</f>
        <v>4.6979865771812075E-2</v>
      </c>
    </row>
    <row r="13" spans="1:8" x14ac:dyDescent="0.35">
      <c r="B13" s="1" t="s">
        <v>331</v>
      </c>
      <c r="C13" s="1" t="str">
        <f>Data_base_case_Faroe!$D$19</f>
        <v>Electrolysers AEC</v>
      </c>
      <c r="D13" s="235" t="s">
        <v>38</v>
      </c>
      <c r="E13" s="1" t="s">
        <v>72</v>
      </c>
      <c r="F13" s="1">
        <v>0</v>
      </c>
      <c r="G13" s="179">
        <v>2025</v>
      </c>
      <c r="H13" s="1">
        <f>INDEX(Data_base_case_Faroe!$D$10:$AL$101,MATCH(Scenarios_definition!C13,Data_base_case_Faroe!$D$10:$D$101,0),MATCH(Scenarios_definition!D13&amp;Scenarios_definition!G13,Data_base_case_Faroe!$D$9:$AL$9,0))</f>
        <v>0.2</v>
      </c>
    </row>
    <row r="14" spans="1:8" x14ac:dyDescent="0.35">
      <c r="B14" s="1" t="s">
        <v>195</v>
      </c>
      <c r="C14" s="1" t="str">
        <f>Data_base_case_Faroe!$D$19</f>
        <v>Electrolysers AEC</v>
      </c>
      <c r="D14" s="235" t="s">
        <v>38</v>
      </c>
      <c r="E14" s="1" t="s">
        <v>72</v>
      </c>
      <c r="F14" s="1">
        <v>0.1</v>
      </c>
      <c r="G14" s="179">
        <v>2025</v>
      </c>
      <c r="H14" s="1">
        <f>INDEX(Data_base_case_Faroe!$D$10:$AL$101,MATCH(Scenarios_definition!C14,Data_base_case_Faroe!$D$10:$D$101,0),MATCH(Scenarios_definition!D14&amp;Scenarios_definition!G14,Data_base_case_Faroe!$D$9:$AL$9,0))</f>
        <v>0.2</v>
      </c>
    </row>
    <row r="15" spans="1:8" x14ac:dyDescent="0.35">
      <c r="B15" s="1" t="s">
        <v>196</v>
      </c>
      <c r="C15" s="1" t="str">
        <f>Data_base_case_Faroe!$D$19</f>
        <v>Electrolysers AEC</v>
      </c>
      <c r="D15" s="234" t="str">
        <f>Data_base_case_Faroe!S6</f>
        <v>Load min (% of max capacity)</v>
      </c>
      <c r="E15" s="1" t="s">
        <v>72</v>
      </c>
      <c r="F15" s="1">
        <v>0.2</v>
      </c>
      <c r="G15" s="179">
        <v>2025</v>
      </c>
      <c r="H15" s="1">
        <f>INDEX(Data_base_case_Faroe!$D$10:$AL$101,MATCH(Scenarios_definition!C15,Data_base_case_Faroe!$D$10:$D$101,0),MATCH(Scenarios_definition!D15&amp;Scenarios_definition!G15,Data_base_case_Faroe!$D$9:$AL$9,0))</f>
        <v>0.2</v>
      </c>
    </row>
    <row r="16" spans="1:8" x14ac:dyDescent="0.35">
      <c r="B16" s="1" t="s">
        <v>197</v>
      </c>
      <c r="C16" s="1" t="str">
        <f>Data_base_case_Faroe!$D$19</f>
        <v>Electrolysers AEC</v>
      </c>
      <c r="D16" s="1" t="str">
        <f>Data_base_case_Faroe!S6</f>
        <v>Load min (% of max capacity)</v>
      </c>
      <c r="E16" s="1" t="s">
        <v>72</v>
      </c>
      <c r="F16" s="1">
        <v>0.3</v>
      </c>
      <c r="G16" s="179">
        <v>2025</v>
      </c>
      <c r="H16" s="1">
        <f>INDEX(Data_base_case_Faroe!$D$10:$AL$101,MATCH(Scenarios_definition!C16,Data_base_case_Faroe!$D$10:$D$101,0),MATCH(Scenarios_definition!D16&amp;Scenarios_definition!G16,Data_base_case_Faroe!$D$9:$AL$9,0))</f>
        <v>0.2</v>
      </c>
    </row>
    <row r="17" spans="1:8" x14ac:dyDescent="0.35">
      <c r="B17" s="1" t="s">
        <v>198</v>
      </c>
      <c r="C17" s="1" t="str">
        <f>Data_base_case_Faroe!$D$19</f>
        <v>Electrolysers AEC</v>
      </c>
      <c r="D17" s="1" t="str">
        <f>Data_base_case_Faroe!S6</f>
        <v>Load min (% of max capacity)</v>
      </c>
      <c r="E17" s="1" t="s">
        <v>72</v>
      </c>
      <c r="F17" s="1">
        <v>0.4</v>
      </c>
      <c r="G17" s="179">
        <v>2025</v>
      </c>
      <c r="H17" s="1">
        <f>INDEX(Data_base_case_Faroe!$D$10:$AL$101,MATCH(Scenarios_definition!C17,Data_base_case_Faroe!$D$10:$D$101,0),MATCH(Scenarios_definition!D17&amp;Scenarios_definition!G17,Data_base_case_Faroe!$D$9:$AL$9,0))</f>
        <v>0.2</v>
      </c>
    </row>
    <row r="18" spans="1:8" x14ac:dyDescent="0.35">
      <c r="A18" s="1" t="s">
        <v>211</v>
      </c>
      <c r="B18" s="1" t="s">
        <v>352</v>
      </c>
      <c r="C18" s="1" t="str">
        <f>Data_base_case_Faroe!$D$19</f>
        <v>Electrolysers AEC</v>
      </c>
      <c r="D18" s="235" t="s">
        <v>38</v>
      </c>
      <c r="E18" s="1" t="s">
        <v>72</v>
      </c>
      <c r="F18" s="1">
        <v>0</v>
      </c>
      <c r="G18" s="179">
        <v>2025</v>
      </c>
      <c r="H18" s="1">
        <f>INDEX(Data_base_case_Faroe!$D$10:$AL$101,MATCH(Scenarios_definition!C18,Data_base_case_Faroe!$D$10:$D$101,0),MATCH(Scenarios_definition!D18&amp;Scenarios_definition!G18,Data_base_case_Faroe!$D$9:$AL$9,0))</f>
        <v>0.2</v>
      </c>
    </row>
    <row r="19" spans="1:8" x14ac:dyDescent="0.35">
      <c r="A19" s="1" t="s">
        <v>211</v>
      </c>
      <c r="B19" s="1" t="s">
        <v>353</v>
      </c>
      <c r="C19" s="1" t="str">
        <f>Data_base_case_Faroe!$D$19</f>
        <v>Electrolysers AEC</v>
      </c>
      <c r="D19" s="235" t="s">
        <v>38</v>
      </c>
      <c r="E19" s="1" t="s">
        <v>72</v>
      </c>
      <c r="F19" s="1">
        <v>0.1</v>
      </c>
      <c r="G19" s="179">
        <v>2025</v>
      </c>
      <c r="H19" s="1">
        <f>INDEX(Data_base_case_Faroe!$D$10:$AL$101,MATCH(Scenarios_definition!C19,Data_base_case_Faroe!$D$10:$D$101,0),MATCH(Scenarios_definition!D19&amp;Scenarios_definition!G19,Data_base_case_Faroe!$D$9:$AL$9,0))</f>
        <v>0.2</v>
      </c>
    </row>
    <row r="20" spans="1:8" x14ac:dyDescent="0.35">
      <c r="A20" s="1" t="s">
        <v>211</v>
      </c>
      <c r="B20" s="1" t="s">
        <v>354</v>
      </c>
      <c r="C20" s="1" t="str">
        <f>Data_base_case_Faroe!$D$19</f>
        <v>Electrolysers AEC</v>
      </c>
      <c r="D20" s="235" t="s">
        <v>38</v>
      </c>
      <c r="E20" s="1" t="s">
        <v>72</v>
      </c>
      <c r="F20" s="1">
        <v>0.2</v>
      </c>
      <c r="G20" s="179">
        <v>2025</v>
      </c>
      <c r="H20" s="1">
        <f>INDEX(Data_base_case_Faroe!$D$10:$AL$101,MATCH(Scenarios_definition!C20,Data_base_case_Faroe!$D$10:$D$101,0),MATCH(Scenarios_definition!D20&amp;Scenarios_definition!G20,Data_base_case_Faroe!$D$9:$AL$9,0))</f>
        <v>0.2</v>
      </c>
    </row>
    <row r="21" spans="1:8" x14ac:dyDescent="0.35">
      <c r="A21" s="1" t="s">
        <v>211</v>
      </c>
      <c r="B21" s="1" t="s">
        <v>355</v>
      </c>
      <c r="C21" s="1" t="str">
        <f>Data_base_case_Faroe!$D$19</f>
        <v>Electrolysers AEC</v>
      </c>
      <c r="D21" s="235" t="s">
        <v>38</v>
      </c>
      <c r="E21" s="1" t="s">
        <v>72</v>
      </c>
      <c r="F21" s="1">
        <v>0.3</v>
      </c>
      <c r="G21" s="179">
        <v>2025</v>
      </c>
      <c r="H21" s="1">
        <f>INDEX(Data_base_case_Faroe!$D$10:$AL$101,MATCH(Scenarios_definition!C21,Data_base_case_Faroe!$D$10:$D$101,0),MATCH(Scenarios_definition!D21&amp;Scenarios_definition!G21,Data_base_case_Faroe!$D$9:$AL$9,0))</f>
        <v>0.2</v>
      </c>
    </row>
    <row r="22" spans="1:8" x14ac:dyDescent="0.35">
      <c r="A22" s="1" t="s">
        <v>211</v>
      </c>
      <c r="B22" s="1" t="s">
        <v>356</v>
      </c>
      <c r="C22" s="1" t="str">
        <f>Data_base_case_Faroe!$D$19</f>
        <v>Electrolysers AEC</v>
      </c>
      <c r="D22" s="235" t="s">
        <v>38</v>
      </c>
      <c r="E22" s="1" t="s">
        <v>72</v>
      </c>
      <c r="F22" s="1">
        <v>0.4</v>
      </c>
      <c r="G22" s="179">
        <v>2025</v>
      </c>
      <c r="H22" s="1">
        <f>INDEX(Data_base_case_Faroe!$D$10:$AL$101,MATCH(Scenarios_definition!C22,Data_base_case_Faroe!$D$10:$D$101,0),MATCH(Scenarios_definition!D22&amp;Scenarios_definition!G22,Data_base_case_Faroe!$D$9:$AL$9,0))</f>
        <v>0.2</v>
      </c>
    </row>
    <row r="23" spans="1:8" x14ac:dyDescent="0.35">
      <c r="B23" s="1" t="s">
        <v>215</v>
      </c>
      <c r="C23" s="1" t="str">
        <f>Data_base_case_Faroe!$D$19</f>
        <v>Electrolysers AEC</v>
      </c>
      <c r="D23" s="235" t="str">
        <f>Data_base_case_Faroe!$AA$6</f>
        <v>Investment (EUR/Capacity installed)</v>
      </c>
      <c r="E23" s="1" t="s">
        <v>72</v>
      </c>
      <c r="F23" s="1">
        <f>H23*0.52</f>
        <v>33290.400000000001</v>
      </c>
      <c r="G23" s="179">
        <v>2025</v>
      </c>
      <c r="H23" s="1">
        <f>INDEX(Data_base_case_Faroe!$D$10:$AL$101,MATCH(Scenarios_definition!C23,Data_base_case_Faroe!$D$10:$D$101,0),MATCH(Scenarios_definition!D23&amp;Scenarios_definition!G23,Data_base_case_Faroe!$D$9:$AL$9,0))</f>
        <v>64020.000000000007</v>
      </c>
    </row>
    <row r="24" spans="1:8" x14ac:dyDescent="0.35">
      <c r="B24" s="1" t="s">
        <v>216</v>
      </c>
      <c r="C24" s="1" t="str">
        <f>Data_base_case_Faroe!$D$19</f>
        <v>Electrolysers AEC</v>
      </c>
      <c r="D24" s="235" t="str">
        <f>Data_base_case_Faroe!$AA$6</f>
        <v>Investment (EUR/Capacity installed)</v>
      </c>
      <c r="E24" s="1" t="s">
        <v>72</v>
      </c>
      <c r="F24" s="1">
        <f>H24*1.72</f>
        <v>110114.40000000001</v>
      </c>
      <c r="G24" s="179">
        <v>2025</v>
      </c>
      <c r="H24" s="1">
        <f>INDEX(Data_base_case_Faroe!$D$10:$AL$101,MATCH(Scenarios_definition!C24,Data_base_case_Faroe!$D$10:$D$101,0),MATCH(Scenarios_definition!D24&amp;Scenarios_definition!G24,Data_base_case_Faroe!$D$9:$AL$9,0))</f>
        <v>64020.000000000007</v>
      </c>
    </row>
    <row r="25" spans="1:8" x14ac:dyDescent="0.35">
      <c r="A25" s="246"/>
      <c r="B25" s="246" t="s">
        <v>193</v>
      </c>
      <c r="C25" s="246" t="str">
        <f>Data_base_case_Faroe!D26</f>
        <v>Sale of methane</v>
      </c>
      <c r="D25" s="246" t="str">
        <f>Data_base_case_Faroe!F6</f>
        <v>Used (1 or 0)</v>
      </c>
      <c r="E25" s="246" t="s">
        <v>72</v>
      </c>
      <c r="F25" s="246">
        <v>0</v>
      </c>
      <c r="G25" s="253" t="s">
        <v>72</v>
      </c>
      <c r="H25" s="246">
        <f>INDEX(Data_base_case_Faroe!$D$10:$AL$101,MATCH(Scenarios_definition!C25,Data_base_case_Faroe!$D$10:$D$101,0),MATCH(Scenarios_definition!D25&amp;Scenarios_definition!G25,Data_base_case_Faroe!$D$9:$AL$9,0))</f>
        <v>1</v>
      </c>
    </row>
    <row r="26" spans="1:8" x14ac:dyDescent="0.35">
      <c r="A26" s="246" t="s">
        <v>147</v>
      </c>
      <c r="B26" s="246" t="s">
        <v>194</v>
      </c>
      <c r="C26" s="246" t="str">
        <f>Selected_units!B21</f>
        <v>Sale of methane</v>
      </c>
      <c r="D26" s="246" t="str">
        <f>Data_base_case_Faroe!F6</f>
        <v>Used (1 or 0)</v>
      </c>
      <c r="E26" s="246" t="s">
        <v>72</v>
      </c>
      <c r="F26" s="246">
        <v>0</v>
      </c>
      <c r="G26" s="253" t="s">
        <v>72</v>
      </c>
      <c r="H26" s="246">
        <f>INDEX(Data_base_case_Faroe!$D$10:$AL$101,MATCH(Scenarios_definition!C26,Data_base_case_Faroe!$D$10:$D$101,0),MATCH(Scenarios_definition!D26&amp;Scenarios_definition!G26,Data_base_case_Faroe!$D$9:$AL$9,0))</f>
        <v>1</v>
      </c>
    </row>
    <row r="27" spans="1:8" x14ac:dyDescent="0.35">
      <c r="A27" s="246"/>
      <c r="B27" s="246" t="s">
        <v>221</v>
      </c>
      <c r="C27" s="251" t="str">
        <f>Data_base_case_Faroe!D13</f>
        <v>MeOH plant CCU</v>
      </c>
      <c r="D27" s="252" t="str">
        <f>Data_base_case_Faroe!$AA$6</f>
        <v>Investment (EUR/Capacity installed)</v>
      </c>
      <c r="E27" s="246" t="s">
        <v>72</v>
      </c>
      <c r="F27" s="246">
        <f>1.35*H27</f>
        <v>20677.140000000003</v>
      </c>
      <c r="G27" s="253">
        <v>2025</v>
      </c>
      <c r="H27" s="246">
        <f>INDEX(Data_base_case_Faroe!$D$10:$AL$101,MATCH(Scenarios_definition!C27,Data_base_case_Faroe!$D$10:$D$101,0),MATCH(Scenarios_definition!D27&amp;Scenarios_definition!G27,Data_base_case_Faroe!$D$9:$AL$9,0))</f>
        <v>15316.400000000001</v>
      </c>
    </row>
    <row r="28" spans="1:8" x14ac:dyDescent="0.35">
      <c r="A28" s="246"/>
      <c r="B28" s="246" t="s">
        <v>217</v>
      </c>
      <c r="C28" s="251" t="str">
        <f>Data_base_case_Faroe!D13</f>
        <v>MeOH plant CCU</v>
      </c>
      <c r="D28" s="252" t="str">
        <f>Data_base_case_Faroe!$AA$6</f>
        <v>Investment (EUR/Capacity installed)</v>
      </c>
      <c r="E28" s="246" t="s">
        <v>72</v>
      </c>
      <c r="F28" s="246">
        <f>0.65*H28</f>
        <v>9955.6600000000017</v>
      </c>
      <c r="G28" s="253">
        <v>2025</v>
      </c>
      <c r="H28" s="246">
        <f>INDEX(Data_base_case_Faroe!$D$10:$AL$101,MATCH(Scenarios_definition!C28,Data_base_case_Faroe!$D$10:$D$101,0),MATCH(Scenarios_definition!D28&amp;Scenarios_definition!G28,Data_base_case_Faroe!$D$9:$AL$9,0))</f>
        <v>15316.400000000001</v>
      </c>
    </row>
    <row r="29" spans="1:8" x14ac:dyDescent="0.35">
      <c r="A29" s="240"/>
      <c r="B29" s="240" t="s">
        <v>222</v>
      </c>
      <c r="C29" s="241" t="str">
        <f>Data_base_case_Faroe!$D$15</f>
        <v>MeOH plant Biogas</v>
      </c>
      <c r="D29" s="242" t="str">
        <f>Data_base_case_Faroe!$AA$6</f>
        <v>Investment (EUR/Capacity installed)</v>
      </c>
      <c r="E29" s="240" t="s">
        <v>72</v>
      </c>
      <c r="F29" s="240">
        <f>1.35*H29</f>
        <v>16617.150000000005</v>
      </c>
      <c r="G29" s="243">
        <v>2025</v>
      </c>
      <c r="H29" s="240">
        <f>INDEX(Data_base_case_Faroe!$D$10:$AL$101,MATCH(Scenarios_definition!C29,Data_base_case_Faroe!$D$10:$D$101,0),MATCH(Scenarios_definition!D29&amp;Scenarios_definition!G29,Data_base_case_Faroe!$D$9:$AL$9,0))</f>
        <v>12309.000000000002</v>
      </c>
    </row>
    <row r="30" spans="1:8" x14ac:dyDescent="0.35">
      <c r="A30" s="240"/>
      <c r="B30" s="240" t="s">
        <v>218</v>
      </c>
      <c r="C30" s="241" t="str">
        <f>Data_base_case_Faroe!$D$15</f>
        <v>MeOH plant Biogas</v>
      </c>
      <c r="D30" s="242" t="str">
        <f>Data_base_case_Faroe!$AA$6</f>
        <v>Investment (EUR/Capacity installed)</v>
      </c>
      <c r="E30" s="240" t="s">
        <v>72</v>
      </c>
      <c r="F30" s="240">
        <f>0.65*H30</f>
        <v>8000.8500000000013</v>
      </c>
      <c r="G30" s="243">
        <v>2025</v>
      </c>
      <c r="H30" s="240">
        <f>INDEX(Data_base_case_Faroe!$D$10:$AL$101,MATCH(Scenarios_definition!C30,Data_base_case_Faroe!$D$10:$D$101,0),MATCH(Scenarios_definition!D30&amp;Scenarios_definition!G30,Data_base_case_Faroe!$D$9:$AL$9,0))</f>
        <v>12309.000000000002</v>
      </c>
    </row>
    <row r="31" spans="1:8" x14ac:dyDescent="0.35">
      <c r="A31" s="224"/>
      <c r="B31" s="224" t="s">
        <v>220</v>
      </c>
      <c r="C31" s="244" t="str">
        <f>Data_base_case_Faroe!$D$17</f>
        <v>CH4 plant-direct methanation</v>
      </c>
      <c r="D31" s="245" t="str">
        <f>Data_base_case_Faroe!$AA$6</f>
        <v>Investment (EUR/Capacity installed)</v>
      </c>
      <c r="E31" s="224" t="s">
        <v>72</v>
      </c>
      <c r="F31" s="224">
        <f>1.35*H31</f>
        <v>15614.775000000003</v>
      </c>
      <c r="G31" s="227">
        <v>2025</v>
      </c>
      <c r="H31" s="224">
        <f>INDEX(Data_base_case_Faroe!$D$10:$AL$101,MATCH(Scenarios_definition!C31,Data_base_case_Faroe!$D$10:$D$101,0),MATCH(Scenarios_definition!D31&amp;Scenarios_definition!G31,Data_base_case_Faroe!$D$9:$AL$9,0))</f>
        <v>11566.500000000002</v>
      </c>
    </row>
    <row r="32" spans="1:8" x14ac:dyDescent="0.35">
      <c r="A32" s="224"/>
      <c r="B32" s="224" t="s">
        <v>219</v>
      </c>
      <c r="C32" s="244" t="str">
        <f>Data_base_case_Faroe!$D$17</f>
        <v>CH4 plant-direct methanation</v>
      </c>
      <c r="D32" s="245" t="str">
        <f>Data_base_case_Faroe!$AA$6</f>
        <v>Investment (EUR/Capacity installed)</v>
      </c>
      <c r="E32" s="224" t="s">
        <v>72</v>
      </c>
      <c r="F32" s="224">
        <f>0.65*H32</f>
        <v>7518.2250000000013</v>
      </c>
      <c r="G32" s="227">
        <v>2025</v>
      </c>
      <c r="H32" s="224">
        <f>INDEX(Data_base_case_Faroe!$D$10:$AL$101,MATCH(Scenarios_definition!C32,Data_base_case_Faroe!$D$10:$D$101,0),MATCH(Scenarios_definition!D32&amp;Scenarios_definition!G32,Data_base_case_Faroe!$D$9:$AL$9,0))</f>
        <v>11566.500000000002</v>
      </c>
    </row>
    <row r="33" spans="1:8" x14ac:dyDescent="0.35">
      <c r="A33" s="246"/>
      <c r="B33" s="246" t="s">
        <v>199</v>
      </c>
      <c r="C33" s="246" t="str">
        <f>Data_base_case_Faroe!$D$13</f>
        <v>MeOH plant CCU</v>
      </c>
      <c r="D33" s="246" t="str">
        <f>Data_base_case_Faroe!$S$6</f>
        <v>Load min (% of max capacity)</v>
      </c>
      <c r="E33" s="246" t="s">
        <v>72</v>
      </c>
      <c r="F33" s="246">
        <v>0.2</v>
      </c>
      <c r="G33" s="246">
        <v>2025</v>
      </c>
      <c r="H33" s="246">
        <f>INDEX(Data_base_case_Faroe!$D$10:$AL$101,MATCH(Scenarios_definition!C33,Data_base_case_Faroe!$D$10:$D$101,0),MATCH(Scenarios_definition!D33&amp;Scenarios_definition!G33,Data_base_case_Faroe!$D$9:$AL$9,0))</f>
        <v>0.4</v>
      </c>
    </row>
    <row r="34" spans="1:8" x14ac:dyDescent="0.35">
      <c r="A34" s="246"/>
      <c r="B34" s="246" t="s">
        <v>200</v>
      </c>
      <c r="C34" s="246" t="str">
        <f>Data_base_case_Faroe!$D$13</f>
        <v>MeOH plant CCU</v>
      </c>
      <c r="D34" s="246" t="str">
        <f>Data_base_case_Faroe!$S$6</f>
        <v>Load min (% of max capacity)</v>
      </c>
      <c r="E34" s="246" t="s">
        <v>72</v>
      </c>
      <c r="F34" s="246">
        <v>0.3</v>
      </c>
      <c r="G34" s="246">
        <v>2025</v>
      </c>
      <c r="H34" s="246">
        <f>INDEX(Data_base_case_Faroe!$D$10:$AL$101,MATCH(Scenarios_definition!C34,Data_base_case_Faroe!$D$10:$D$101,0),MATCH(Scenarios_definition!D34&amp;Scenarios_definition!G34,Data_base_case_Faroe!$D$9:$AL$9,0))</f>
        <v>0.4</v>
      </c>
    </row>
    <row r="35" spans="1:8" x14ac:dyDescent="0.35">
      <c r="A35" s="246"/>
      <c r="B35" s="246" t="s">
        <v>201</v>
      </c>
      <c r="C35" s="246" t="str">
        <f>Data_base_case_Faroe!$D$13</f>
        <v>MeOH plant CCU</v>
      </c>
      <c r="D35" s="246" t="str">
        <f>Data_base_case_Faroe!$S$6</f>
        <v>Load min (% of max capacity)</v>
      </c>
      <c r="E35" s="246" t="s">
        <v>72</v>
      </c>
      <c r="F35" s="246">
        <v>0.5</v>
      </c>
      <c r="G35" s="246">
        <v>2025</v>
      </c>
      <c r="H35" s="246">
        <f>INDEX(Data_base_case_Faroe!$D$10:$AL$101,MATCH(Scenarios_definition!C35,Data_base_case_Faroe!$D$10:$D$101,0),MATCH(Scenarios_definition!D35&amp;Scenarios_definition!G35,Data_base_case_Faroe!$D$9:$AL$9,0))</f>
        <v>0.4</v>
      </c>
    </row>
    <row r="36" spans="1:8" x14ac:dyDescent="0.35">
      <c r="A36" s="246"/>
      <c r="B36" s="246" t="s">
        <v>202</v>
      </c>
      <c r="C36" s="246" t="str">
        <f>Data_base_case_Faroe!$D$13</f>
        <v>MeOH plant CCU</v>
      </c>
      <c r="D36" s="246" t="str">
        <f>Data_base_case_Faroe!$S$6</f>
        <v>Load min (% of max capacity)</v>
      </c>
      <c r="E36" s="246" t="s">
        <v>72</v>
      </c>
      <c r="F36" s="246">
        <v>0.6</v>
      </c>
      <c r="G36" s="246">
        <v>2025</v>
      </c>
      <c r="H36" s="246">
        <f>INDEX(Data_base_case_Faroe!$D$10:$AL$101,MATCH(Scenarios_definition!C36,Data_base_case_Faroe!$D$10:$D$101,0),MATCH(Scenarios_definition!D36&amp;Scenarios_definition!G36,Data_base_case_Faroe!$D$9:$AL$9,0))</f>
        <v>0.4</v>
      </c>
    </row>
    <row r="37" spans="1:8" x14ac:dyDescent="0.35">
      <c r="A37" s="246"/>
      <c r="B37" s="246" t="s">
        <v>203</v>
      </c>
      <c r="C37" s="246" t="str">
        <f>Data_base_case_Faroe!$D$13</f>
        <v>MeOH plant CCU</v>
      </c>
      <c r="D37" s="246" t="str">
        <f>Data_base_case_Faroe!$S$6</f>
        <v>Load min (% of max capacity)</v>
      </c>
      <c r="E37" s="246" t="s">
        <v>72</v>
      </c>
      <c r="F37" s="246">
        <v>0.8</v>
      </c>
      <c r="G37" s="246">
        <v>2025</v>
      </c>
      <c r="H37" s="246">
        <f>INDEX(Data_base_case_Faroe!$D$10:$AL$101,MATCH(Scenarios_definition!C37,Data_base_case_Faroe!$D$10:$D$101,0),MATCH(Scenarios_definition!D37&amp;Scenarios_definition!G37,Data_base_case_Faroe!$D$9:$AL$9,0))</f>
        <v>0.4</v>
      </c>
    </row>
    <row r="38" spans="1:8" x14ac:dyDescent="0.35">
      <c r="A38" s="246"/>
      <c r="B38" s="246" t="s">
        <v>204</v>
      </c>
      <c r="C38" s="246" t="str">
        <f>Data_base_case_Faroe!$D$13</f>
        <v>MeOH plant CCU</v>
      </c>
      <c r="D38" s="246" t="str">
        <f>Data_base_case_Faroe!$S$6</f>
        <v>Load min (% of max capacity)</v>
      </c>
      <c r="E38" s="246" t="s">
        <v>72</v>
      </c>
      <c r="F38" s="246">
        <v>1</v>
      </c>
      <c r="G38" s="246">
        <v>2025</v>
      </c>
      <c r="H38" s="246">
        <f>INDEX(Data_base_case_Faroe!$D$10:$AL$101,MATCH(Scenarios_definition!C38,Data_base_case_Faroe!$D$10:$D$101,0),MATCH(Scenarios_definition!D38&amp;Scenarios_definition!G38,Data_base_case_Faroe!$D$9:$AL$9,0))</f>
        <v>0.4</v>
      </c>
    </row>
    <row r="39" spans="1:8" x14ac:dyDescent="0.35">
      <c r="A39" s="240"/>
      <c r="B39" s="240" t="s">
        <v>205</v>
      </c>
      <c r="C39" s="240" t="str">
        <f>Data_base_case_Faroe!$D$15</f>
        <v>MeOH plant Biogas</v>
      </c>
      <c r="D39" s="240" t="str">
        <f>Data_base_case_Faroe!$S$6</f>
        <v>Load min (% of max capacity)</v>
      </c>
      <c r="E39" s="240" t="s">
        <v>72</v>
      </c>
      <c r="F39" s="240">
        <v>0.2</v>
      </c>
      <c r="G39" s="240">
        <v>2025</v>
      </c>
      <c r="H39" s="240">
        <f>INDEX(Data_base_case_Faroe!$D$10:$AL$101,MATCH(Scenarios_definition!C39,Data_base_case_Faroe!$D$10:$D$101,0),MATCH(Scenarios_definition!D39&amp;Scenarios_definition!G39,Data_base_case_Faroe!$D$9:$AL$9,0))</f>
        <v>0.4</v>
      </c>
    </row>
    <row r="40" spans="1:8" x14ac:dyDescent="0.35">
      <c r="A40" s="240"/>
      <c r="B40" s="240" t="s">
        <v>206</v>
      </c>
      <c r="C40" s="240" t="str">
        <f>Data_base_case_Faroe!$D$15</f>
        <v>MeOH plant Biogas</v>
      </c>
      <c r="D40" s="240" t="str">
        <f>Data_base_case_Faroe!$S$6</f>
        <v>Load min (% of max capacity)</v>
      </c>
      <c r="E40" s="240" t="s">
        <v>72</v>
      </c>
      <c r="F40" s="240">
        <v>0.3</v>
      </c>
      <c r="G40" s="240">
        <v>2025</v>
      </c>
      <c r="H40" s="240">
        <f>INDEX(Data_base_case_Faroe!$D$10:$AL$101,MATCH(Scenarios_definition!C40,Data_base_case_Faroe!$D$10:$D$101,0),MATCH(Scenarios_definition!D40&amp;Scenarios_definition!G40,Data_base_case_Faroe!$D$9:$AL$9,0))</f>
        <v>0.4</v>
      </c>
    </row>
    <row r="41" spans="1:8" x14ac:dyDescent="0.35">
      <c r="A41" s="240"/>
      <c r="B41" s="240" t="s">
        <v>207</v>
      </c>
      <c r="C41" s="240" t="str">
        <f>Data_base_case_Faroe!$D$15</f>
        <v>MeOH plant Biogas</v>
      </c>
      <c r="D41" s="240" t="str">
        <f>Data_base_case_Faroe!$S$6</f>
        <v>Load min (% of max capacity)</v>
      </c>
      <c r="E41" s="240" t="s">
        <v>72</v>
      </c>
      <c r="F41" s="240">
        <v>0.5</v>
      </c>
      <c r="G41" s="240">
        <v>2025</v>
      </c>
      <c r="H41" s="240">
        <f>INDEX(Data_base_case_Faroe!$D$10:$AL$101,MATCH(Scenarios_definition!C41,Data_base_case_Faroe!$D$10:$D$101,0),MATCH(Scenarios_definition!D41&amp;Scenarios_definition!G41,Data_base_case_Faroe!$D$9:$AL$9,0))</f>
        <v>0.4</v>
      </c>
    </row>
    <row r="42" spans="1:8" x14ac:dyDescent="0.35">
      <c r="A42" s="240"/>
      <c r="B42" s="240" t="s">
        <v>208</v>
      </c>
      <c r="C42" s="240" t="str">
        <f>Data_base_case_Faroe!$D$15</f>
        <v>MeOH plant Biogas</v>
      </c>
      <c r="D42" s="240" t="str">
        <f>Data_base_case_Faroe!$S$6</f>
        <v>Load min (% of max capacity)</v>
      </c>
      <c r="E42" s="240" t="s">
        <v>72</v>
      </c>
      <c r="F42" s="240">
        <v>0.6</v>
      </c>
      <c r="G42" s="240">
        <v>2025</v>
      </c>
      <c r="H42" s="240">
        <f>INDEX(Data_base_case_Faroe!$D$10:$AL$101,MATCH(Scenarios_definition!C42,Data_base_case_Faroe!$D$10:$D$101,0),MATCH(Scenarios_definition!D42&amp;Scenarios_definition!G42,Data_base_case_Faroe!$D$9:$AL$9,0))</f>
        <v>0.4</v>
      </c>
    </row>
    <row r="43" spans="1:8" x14ac:dyDescent="0.35">
      <c r="A43" s="240"/>
      <c r="B43" s="240" t="s">
        <v>209</v>
      </c>
      <c r="C43" s="240" t="str">
        <f>Data_base_case_Faroe!$D$15</f>
        <v>MeOH plant Biogas</v>
      </c>
      <c r="D43" s="240" t="str">
        <f>Data_base_case_Faroe!$S$6</f>
        <v>Load min (% of max capacity)</v>
      </c>
      <c r="E43" s="240" t="s">
        <v>72</v>
      </c>
      <c r="F43" s="240">
        <v>0.8</v>
      </c>
      <c r="G43" s="240">
        <v>2025</v>
      </c>
      <c r="H43" s="240">
        <f>INDEX(Data_base_case_Faroe!$D$10:$AL$101,MATCH(Scenarios_definition!C43,Data_base_case_Faroe!$D$10:$D$101,0),MATCH(Scenarios_definition!D43&amp;Scenarios_definition!G43,Data_base_case_Faroe!$D$9:$AL$9,0))</f>
        <v>0.4</v>
      </c>
    </row>
    <row r="44" spans="1:8" x14ac:dyDescent="0.35">
      <c r="A44" s="240"/>
      <c r="B44" s="240" t="s">
        <v>210</v>
      </c>
      <c r="C44" s="240" t="str">
        <f>Data_base_case_Faroe!$D$15</f>
        <v>MeOH plant Biogas</v>
      </c>
      <c r="D44" s="240" t="str">
        <f>Data_base_case_Faroe!$S$6</f>
        <v>Load min (% of max capacity)</v>
      </c>
      <c r="E44" s="240" t="s">
        <v>72</v>
      </c>
      <c r="F44" s="240">
        <v>1</v>
      </c>
      <c r="G44" s="240">
        <v>2025</v>
      </c>
      <c r="H44" s="240">
        <f>INDEX(Data_base_case_Faroe!$D$10:$AL$101,MATCH(Scenarios_definition!C44,Data_base_case_Faroe!$D$10:$D$101,0),MATCH(Scenarios_definition!D44&amp;Scenarios_definition!G44,Data_base_case_Faroe!$D$9:$AL$9,0))</f>
        <v>0.4</v>
      </c>
    </row>
  </sheetData>
  <pageMargins left="0.7" right="0.7" top="0.75" bottom="0.75" header="0.3" footer="0.3"/>
  <pageSetup paperSize="9" orientation="portrait" horizontalDpi="429496729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V154"/>
  <sheetViews>
    <sheetView tabSelected="1" topLeftCell="F1" zoomScale="79" workbookViewId="0">
      <selection activeCell="P6" sqref="P6"/>
    </sheetView>
  </sheetViews>
  <sheetFormatPr defaultRowHeight="14.5" x14ac:dyDescent="0.35"/>
  <cols>
    <col min="1" max="1" width="15.1796875" bestFit="1" customWidth="1"/>
    <col min="2" max="2" width="36.453125" bestFit="1" customWidth="1"/>
    <col min="3" max="3" width="24.54296875" style="13" customWidth="1"/>
    <col min="4" max="4" width="19.453125" style="13" customWidth="1"/>
    <col min="5" max="5" width="6.1796875" style="13" bestFit="1" customWidth="1"/>
    <col min="6" max="6" width="11.1796875" style="13" bestFit="1" customWidth="1"/>
    <col min="7" max="7" width="8.81640625" style="13" bestFit="1" customWidth="1"/>
    <col min="8" max="8" width="16.26953125" style="13" customWidth="1"/>
    <col min="9" max="9" width="17.54296875" style="13" customWidth="1"/>
    <col min="10" max="10" width="10.54296875" style="13" bestFit="1" customWidth="1"/>
    <col min="11" max="11" width="18.54296875" bestFit="1" customWidth="1"/>
    <col min="12" max="12" width="17.453125" style="292" bestFit="1" customWidth="1"/>
    <col min="13" max="13" width="17.453125" style="27" customWidth="1"/>
    <col min="14" max="14" width="19.1796875" bestFit="1" customWidth="1"/>
    <col min="15" max="15" width="13.26953125" bestFit="1" customWidth="1"/>
    <col min="16" max="16" width="15.453125" bestFit="1" customWidth="1"/>
    <col min="17" max="17" width="14" bestFit="1" customWidth="1"/>
    <col min="18" max="18" width="14" customWidth="1"/>
    <col min="19" max="19" width="16.1796875" customWidth="1"/>
    <col min="20" max="20" width="8.7265625" style="113"/>
  </cols>
  <sheetData>
    <row r="1" spans="1:22" x14ac:dyDescent="0.35">
      <c r="B1" s="282" t="s">
        <v>83</v>
      </c>
      <c r="C1" s="282"/>
      <c r="D1" s="282"/>
      <c r="E1" s="282"/>
      <c r="F1" s="282"/>
      <c r="G1" s="282"/>
      <c r="H1" s="282"/>
      <c r="I1" s="282"/>
      <c r="J1" s="282"/>
      <c r="K1" s="282"/>
      <c r="L1" s="284"/>
      <c r="M1" s="283"/>
    </row>
    <row r="2" spans="1:22" ht="16.5" customHeight="1" x14ac:dyDescent="0.35">
      <c r="B2" s="305" t="s">
        <v>89</v>
      </c>
      <c r="C2" s="305" t="s">
        <v>116</v>
      </c>
      <c r="D2" s="2" t="s">
        <v>145</v>
      </c>
      <c r="E2" s="2" t="s">
        <v>51</v>
      </c>
      <c r="F2" s="2" t="s">
        <v>67</v>
      </c>
      <c r="G2" s="2">
        <v>2025</v>
      </c>
      <c r="H2" s="305" t="s">
        <v>95</v>
      </c>
      <c r="I2" s="305" t="s">
        <v>94</v>
      </c>
      <c r="J2" s="2" t="s">
        <v>43</v>
      </c>
      <c r="K2" s="2" t="s">
        <v>102</v>
      </c>
      <c r="L2" s="285" t="s">
        <v>84</v>
      </c>
      <c r="M2" s="293" t="s">
        <v>378</v>
      </c>
    </row>
    <row r="3" spans="1:22" x14ac:dyDescent="0.35">
      <c r="B3" s="305"/>
      <c r="C3" s="305"/>
      <c r="D3" s="2"/>
      <c r="E3" s="2" t="s">
        <v>170</v>
      </c>
      <c r="F3" s="2" t="s">
        <v>123</v>
      </c>
      <c r="G3" s="2">
        <v>2030</v>
      </c>
      <c r="H3" s="305"/>
      <c r="I3" s="305"/>
      <c r="J3" s="2" t="s">
        <v>52</v>
      </c>
      <c r="K3" s="2"/>
      <c r="L3" s="285"/>
      <c r="M3" s="293" t="s">
        <v>380</v>
      </c>
    </row>
    <row r="4" spans="1:22" x14ac:dyDescent="0.35">
      <c r="B4" s="305"/>
      <c r="C4" s="305"/>
      <c r="D4" s="2"/>
      <c r="E4" s="2"/>
      <c r="F4" s="2" t="s">
        <v>65</v>
      </c>
      <c r="G4" s="2"/>
      <c r="H4" s="305"/>
      <c r="I4" s="305"/>
      <c r="J4" s="2"/>
      <c r="K4" s="2"/>
      <c r="L4" s="285"/>
      <c r="M4" s="37"/>
    </row>
    <row r="5" spans="1:22" x14ac:dyDescent="0.35">
      <c r="B5" s="305"/>
      <c r="C5" s="305"/>
      <c r="E5" s="2"/>
      <c r="F5" s="2"/>
      <c r="G5" s="2"/>
      <c r="H5" s="2"/>
      <c r="I5" s="2"/>
      <c r="J5" s="2"/>
      <c r="K5" s="3"/>
      <c r="L5" s="286"/>
      <c r="M5" s="37"/>
      <c r="N5" s="3"/>
      <c r="O5" s="3"/>
      <c r="P5" s="3"/>
      <c r="Q5" s="13"/>
      <c r="R5" s="13"/>
      <c r="T5" s="172" t="s">
        <v>85</v>
      </c>
    </row>
    <row r="6" spans="1:22" x14ac:dyDescent="0.35">
      <c r="K6" s="13"/>
      <c r="L6" s="287"/>
      <c r="N6" s="3"/>
      <c r="O6" s="3"/>
      <c r="P6" s="3"/>
    </row>
    <row r="7" spans="1:22" s="20" customFormat="1" x14ac:dyDescent="0.35">
      <c r="A7" s="20" t="s">
        <v>53</v>
      </c>
      <c r="B7" s="20" t="s">
        <v>88</v>
      </c>
      <c r="C7" s="20" t="s">
        <v>87</v>
      </c>
      <c r="D7" s="20" t="s">
        <v>104</v>
      </c>
      <c r="E7" s="20" t="s">
        <v>54</v>
      </c>
      <c r="F7" s="20" t="s">
        <v>64</v>
      </c>
      <c r="G7" s="20" t="s">
        <v>92</v>
      </c>
      <c r="H7" s="20" t="s">
        <v>93</v>
      </c>
      <c r="I7" s="20" t="s">
        <v>57</v>
      </c>
      <c r="J7" s="20" t="s">
        <v>55</v>
      </c>
      <c r="K7" s="20" t="s">
        <v>56</v>
      </c>
      <c r="L7" s="288" t="s">
        <v>58</v>
      </c>
      <c r="M7" s="21" t="s">
        <v>377</v>
      </c>
      <c r="N7" s="20" t="s">
        <v>59</v>
      </c>
      <c r="O7" s="20" t="s">
        <v>60</v>
      </c>
      <c r="P7" s="20" t="s">
        <v>61</v>
      </c>
      <c r="Q7" s="20" t="s">
        <v>69</v>
      </c>
      <c r="R7" s="20" t="s">
        <v>402</v>
      </c>
      <c r="S7" s="20" t="s">
        <v>70</v>
      </c>
      <c r="T7" s="173" t="s">
        <v>138</v>
      </c>
      <c r="U7" s="20" t="s">
        <v>139</v>
      </c>
      <c r="V7" s="20" t="s">
        <v>62</v>
      </c>
    </row>
    <row r="8" spans="1:22" s="20" customFormat="1" x14ac:dyDescent="0.35">
      <c r="A8" s="46">
        <f>ROW(A8)-ROW($A$7)</f>
        <v>1</v>
      </c>
      <c r="B8" s="251" t="s">
        <v>223</v>
      </c>
      <c r="C8" s="254" t="s">
        <v>147</v>
      </c>
      <c r="D8" s="46" t="s">
        <v>145</v>
      </c>
      <c r="E8" s="254" t="s">
        <v>51</v>
      </c>
      <c r="F8" s="254" t="s">
        <v>67</v>
      </c>
      <c r="G8" s="255">
        <v>2025</v>
      </c>
      <c r="H8" s="254" t="s">
        <v>376</v>
      </c>
      <c r="I8" s="254">
        <v>2023</v>
      </c>
      <c r="J8" s="254" t="s">
        <v>43</v>
      </c>
      <c r="K8" s="47" t="s">
        <v>152</v>
      </c>
      <c r="L8" s="289" t="s">
        <v>214</v>
      </c>
      <c r="M8" s="294" t="s">
        <v>379</v>
      </c>
      <c r="N8" s="47" t="b">
        <v>1</v>
      </c>
      <c r="O8" s="47" t="b">
        <v>0</v>
      </c>
      <c r="P8" s="47" t="b">
        <v>1</v>
      </c>
      <c r="Q8" s="47" t="b">
        <v>0</v>
      </c>
      <c r="R8" s="47" t="b">
        <v>1</v>
      </c>
      <c r="S8" s="47" t="b">
        <v>1</v>
      </c>
      <c r="T8" s="111" t="b">
        <v>0</v>
      </c>
      <c r="U8" s="47" t="b">
        <v>0</v>
      </c>
      <c r="V8" s="47" t="b">
        <v>0</v>
      </c>
    </row>
    <row r="9" spans="1:22" s="20" customFormat="1" x14ac:dyDescent="0.35">
      <c r="A9" s="46">
        <f>ROW(A9)-ROW($A$7)</f>
        <v>2</v>
      </c>
      <c r="B9" s="251" t="s">
        <v>224</v>
      </c>
      <c r="C9" s="270" t="s">
        <v>149</v>
      </c>
      <c r="D9" s="46" t="s">
        <v>145</v>
      </c>
      <c r="E9" s="254" t="s">
        <v>51</v>
      </c>
      <c r="F9" s="254" t="s">
        <v>67</v>
      </c>
      <c r="G9" s="255">
        <v>2025</v>
      </c>
      <c r="H9" s="254" t="s">
        <v>376</v>
      </c>
      <c r="I9" s="254">
        <v>2023</v>
      </c>
      <c r="J9" s="254" t="s">
        <v>43</v>
      </c>
      <c r="K9" s="47" t="s">
        <v>152</v>
      </c>
      <c r="L9" s="289" t="s">
        <v>214</v>
      </c>
      <c r="M9" s="294" t="s">
        <v>379</v>
      </c>
      <c r="N9" s="47" t="b">
        <v>1</v>
      </c>
      <c r="O9" s="47" t="b">
        <v>0</v>
      </c>
      <c r="P9" s="47" t="b">
        <v>1</v>
      </c>
      <c r="Q9" s="47" t="b">
        <v>0</v>
      </c>
      <c r="R9" s="47" t="b">
        <v>1</v>
      </c>
      <c r="S9" s="47" t="b">
        <v>1</v>
      </c>
      <c r="T9" s="111" t="b">
        <v>0</v>
      </c>
      <c r="U9" s="47" t="b">
        <v>0</v>
      </c>
      <c r="V9" s="47" t="b">
        <v>0</v>
      </c>
    </row>
    <row r="10" spans="1:22" s="20" customFormat="1" x14ac:dyDescent="0.35">
      <c r="A10" s="46">
        <f>ROW(A10)-ROW($A$7)</f>
        <v>3</v>
      </c>
      <c r="B10" s="251" t="s">
        <v>357</v>
      </c>
      <c r="C10" s="270" t="s">
        <v>211</v>
      </c>
      <c r="D10" s="46" t="s">
        <v>145</v>
      </c>
      <c r="E10" s="254" t="s">
        <v>51</v>
      </c>
      <c r="F10" s="254" t="s">
        <v>67</v>
      </c>
      <c r="G10" s="255">
        <v>2025</v>
      </c>
      <c r="H10" s="254" t="s">
        <v>376</v>
      </c>
      <c r="I10" s="254">
        <v>2023</v>
      </c>
      <c r="J10" s="254" t="s">
        <v>43</v>
      </c>
      <c r="K10" s="47" t="s">
        <v>152</v>
      </c>
      <c r="L10" s="289" t="s">
        <v>214</v>
      </c>
      <c r="M10" s="294" t="s">
        <v>379</v>
      </c>
      <c r="N10" s="47" t="b">
        <v>1</v>
      </c>
      <c r="O10" s="47" t="b">
        <v>0</v>
      </c>
      <c r="P10" s="47" t="b">
        <v>1</v>
      </c>
      <c r="Q10" s="47" t="b">
        <v>0</v>
      </c>
      <c r="R10" s="47" t="b">
        <v>1</v>
      </c>
      <c r="S10" s="47" t="b">
        <v>1</v>
      </c>
      <c r="T10" s="111" t="b">
        <v>0</v>
      </c>
      <c r="U10" s="47" t="b">
        <v>0</v>
      </c>
      <c r="V10" s="47" t="b">
        <v>0</v>
      </c>
    </row>
    <row r="11" spans="1:22" x14ac:dyDescent="0.35">
      <c r="A11" s="53">
        <f t="shared" ref="A11:A61" si="0">ROW(A11)-ROW($A$7)</f>
        <v>4</v>
      </c>
      <c r="B11" s="241" t="s">
        <v>225</v>
      </c>
      <c r="C11" s="256" t="s">
        <v>147</v>
      </c>
      <c r="D11" s="53" t="s">
        <v>145</v>
      </c>
      <c r="E11" s="256" t="s">
        <v>51</v>
      </c>
      <c r="F11" s="256" t="s">
        <v>123</v>
      </c>
      <c r="G11" s="257">
        <v>2025</v>
      </c>
      <c r="H11" s="256" t="s">
        <v>376</v>
      </c>
      <c r="I11" s="256">
        <v>2023</v>
      </c>
      <c r="J11" s="256" t="s">
        <v>43</v>
      </c>
      <c r="K11" s="54" t="s">
        <v>152</v>
      </c>
      <c r="L11" s="290" t="s">
        <v>214</v>
      </c>
      <c r="M11" s="295" t="s">
        <v>379</v>
      </c>
      <c r="N11" s="54" t="b">
        <v>1</v>
      </c>
      <c r="O11" s="54" t="b">
        <v>0</v>
      </c>
      <c r="P11" s="54" t="b">
        <v>1</v>
      </c>
      <c r="Q11" s="54" t="b">
        <v>0</v>
      </c>
      <c r="R11" s="47" t="b">
        <v>1</v>
      </c>
      <c r="S11" s="54" t="b">
        <v>1</v>
      </c>
      <c r="T11" s="112" t="b">
        <v>0</v>
      </c>
      <c r="U11" s="54" t="b">
        <v>0</v>
      </c>
      <c r="V11" s="47" t="b">
        <v>0</v>
      </c>
    </row>
    <row r="12" spans="1:22" x14ac:dyDescent="0.35">
      <c r="A12" s="53">
        <f t="shared" si="0"/>
        <v>5</v>
      </c>
      <c r="B12" s="241" t="s">
        <v>226</v>
      </c>
      <c r="C12" s="269" t="s">
        <v>149</v>
      </c>
      <c r="D12" s="53" t="s">
        <v>145</v>
      </c>
      <c r="E12" s="256" t="s">
        <v>51</v>
      </c>
      <c r="F12" s="256" t="s">
        <v>123</v>
      </c>
      <c r="G12" s="257">
        <v>2025</v>
      </c>
      <c r="H12" s="256" t="s">
        <v>376</v>
      </c>
      <c r="I12" s="256">
        <v>2023</v>
      </c>
      <c r="J12" s="256" t="s">
        <v>43</v>
      </c>
      <c r="K12" s="54" t="s">
        <v>152</v>
      </c>
      <c r="L12" s="290" t="s">
        <v>214</v>
      </c>
      <c r="M12" s="295" t="s">
        <v>379</v>
      </c>
      <c r="N12" s="54" t="b">
        <v>1</v>
      </c>
      <c r="O12" s="54" t="b">
        <v>0</v>
      </c>
      <c r="P12" s="54" t="b">
        <v>1</v>
      </c>
      <c r="Q12" s="54" t="b">
        <v>0</v>
      </c>
      <c r="R12" s="47" t="b">
        <v>1</v>
      </c>
      <c r="S12" s="54" t="b">
        <v>1</v>
      </c>
      <c r="T12" s="112" t="b">
        <v>0</v>
      </c>
      <c r="U12" s="54" t="b">
        <v>0</v>
      </c>
      <c r="V12" s="47" t="b">
        <v>0</v>
      </c>
    </row>
    <row r="13" spans="1:22" x14ac:dyDescent="0.35">
      <c r="A13" s="53">
        <f t="shared" si="0"/>
        <v>6</v>
      </c>
      <c r="B13" s="241" t="s">
        <v>358</v>
      </c>
      <c r="C13" s="269" t="s">
        <v>211</v>
      </c>
      <c r="D13" s="53" t="s">
        <v>145</v>
      </c>
      <c r="E13" s="256" t="s">
        <v>51</v>
      </c>
      <c r="F13" s="256" t="s">
        <v>123</v>
      </c>
      <c r="G13" s="257">
        <v>2025</v>
      </c>
      <c r="H13" s="256" t="s">
        <v>376</v>
      </c>
      <c r="I13" s="256">
        <v>2023</v>
      </c>
      <c r="J13" s="256" t="s">
        <v>43</v>
      </c>
      <c r="K13" s="54" t="s">
        <v>152</v>
      </c>
      <c r="L13" s="290" t="s">
        <v>214</v>
      </c>
      <c r="M13" s="295" t="s">
        <v>379</v>
      </c>
      <c r="N13" s="54" t="b">
        <v>1</v>
      </c>
      <c r="O13" s="54" t="b">
        <v>0</v>
      </c>
      <c r="P13" s="54" t="b">
        <v>1</v>
      </c>
      <c r="Q13" s="54" t="b">
        <v>0</v>
      </c>
      <c r="R13" s="47" t="b">
        <v>1</v>
      </c>
      <c r="S13" s="54" t="b">
        <v>1</v>
      </c>
      <c r="T13" s="112" t="b">
        <v>0</v>
      </c>
      <c r="U13" s="54" t="b">
        <v>0</v>
      </c>
      <c r="V13" s="47" t="b">
        <v>0</v>
      </c>
    </row>
    <row r="14" spans="1:22" x14ac:dyDescent="0.35">
      <c r="A14" s="258">
        <f t="shared" si="0"/>
        <v>7</v>
      </c>
      <c r="B14" s="244" t="s">
        <v>227</v>
      </c>
      <c r="C14" s="259" t="s">
        <v>147</v>
      </c>
      <c r="D14" s="258" t="s">
        <v>145</v>
      </c>
      <c r="E14" s="259" t="s">
        <v>170</v>
      </c>
      <c r="F14" s="259" t="s">
        <v>123</v>
      </c>
      <c r="G14" s="260">
        <v>2025</v>
      </c>
      <c r="H14" s="259" t="s">
        <v>376</v>
      </c>
      <c r="I14" s="259">
        <v>2023</v>
      </c>
      <c r="J14" s="259" t="s">
        <v>43</v>
      </c>
      <c r="K14" s="261" t="s">
        <v>152</v>
      </c>
      <c r="L14" s="291" t="s">
        <v>214</v>
      </c>
      <c r="M14" s="296" t="s">
        <v>379</v>
      </c>
      <c r="N14" s="261" t="b">
        <v>1</v>
      </c>
      <c r="O14" s="261" t="b">
        <v>0</v>
      </c>
      <c r="P14" s="261" t="b">
        <v>1</v>
      </c>
      <c r="Q14" s="261" t="b">
        <v>0</v>
      </c>
      <c r="R14" s="47" t="b">
        <v>1</v>
      </c>
      <c r="S14" s="261" t="b">
        <v>1</v>
      </c>
      <c r="T14" s="262" t="b">
        <v>0</v>
      </c>
      <c r="U14" s="261" t="b">
        <v>0</v>
      </c>
      <c r="V14" s="47" t="b">
        <v>0</v>
      </c>
    </row>
    <row r="15" spans="1:22" x14ac:dyDescent="0.35">
      <c r="A15" s="258">
        <f t="shared" si="0"/>
        <v>8</v>
      </c>
      <c r="B15" s="244" t="s">
        <v>228</v>
      </c>
      <c r="C15" s="268" t="s">
        <v>149</v>
      </c>
      <c r="D15" s="258" t="s">
        <v>145</v>
      </c>
      <c r="E15" s="259" t="s">
        <v>170</v>
      </c>
      <c r="F15" s="259" t="s">
        <v>123</v>
      </c>
      <c r="G15" s="260">
        <v>2025</v>
      </c>
      <c r="H15" s="259" t="s">
        <v>376</v>
      </c>
      <c r="I15" s="259">
        <v>2023</v>
      </c>
      <c r="J15" s="259" t="s">
        <v>43</v>
      </c>
      <c r="K15" s="261" t="s">
        <v>152</v>
      </c>
      <c r="L15" s="291" t="s">
        <v>214</v>
      </c>
      <c r="M15" s="296" t="s">
        <v>379</v>
      </c>
      <c r="N15" s="261" t="b">
        <v>1</v>
      </c>
      <c r="O15" s="261" t="b">
        <v>0</v>
      </c>
      <c r="P15" s="261" t="b">
        <v>1</v>
      </c>
      <c r="Q15" s="261" t="b">
        <v>0</v>
      </c>
      <c r="R15" s="47" t="b">
        <v>1</v>
      </c>
      <c r="S15" s="261" t="b">
        <v>1</v>
      </c>
      <c r="T15" s="262" t="b">
        <v>0</v>
      </c>
      <c r="U15" s="261" t="b">
        <v>0</v>
      </c>
      <c r="V15" s="47" t="b">
        <v>0</v>
      </c>
    </row>
    <row r="16" spans="1:22" x14ac:dyDescent="0.35">
      <c r="A16" s="258">
        <f t="shared" si="0"/>
        <v>9</v>
      </c>
      <c r="B16" s="244" t="s">
        <v>359</v>
      </c>
      <c r="C16" s="268" t="s">
        <v>211</v>
      </c>
      <c r="D16" s="258" t="s">
        <v>145</v>
      </c>
      <c r="E16" s="259" t="s">
        <v>170</v>
      </c>
      <c r="F16" s="259" t="s">
        <v>123</v>
      </c>
      <c r="G16" s="260">
        <v>2025</v>
      </c>
      <c r="H16" s="259" t="s">
        <v>376</v>
      </c>
      <c r="I16" s="259">
        <v>2023</v>
      </c>
      <c r="J16" s="259" t="s">
        <v>43</v>
      </c>
      <c r="K16" s="261" t="s">
        <v>152</v>
      </c>
      <c r="L16" s="291" t="s">
        <v>214</v>
      </c>
      <c r="M16" s="296" t="s">
        <v>379</v>
      </c>
      <c r="N16" s="261" t="b">
        <v>1</v>
      </c>
      <c r="O16" s="261" t="b">
        <v>0</v>
      </c>
      <c r="P16" s="261" t="b">
        <v>1</v>
      </c>
      <c r="Q16" s="261" t="b">
        <v>0</v>
      </c>
      <c r="R16" s="47" t="b">
        <v>1</v>
      </c>
      <c r="S16" s="261" t="b">
        <v>1</v>
      </c>
      <c r="T16" s="262" t="b">
        <v>0</v>
      </c>
      <c r="U16" s="261" t="b">
        <v>0</v>
      </c>
      <c r="V16" s="47" t="b">
        <v>0</v>
      </c>
    </row>
    <row r="17" spans="1:22" x14ac:dyDescent="0.35">
      <c r="A17" s="46">
        <f t="shared" si="0"/>
        <v>10</v>
      </c>
      <c r="B17" s="251" t="s">
        <v>229</v>
      </c>
      <c r="C17" s="246" t="s">
        <v>189</v>
      </c>
      <c r="D17" s="46" t="s">
        <v>145</v>
      </c>
      <c r="E17" s="254" t="s">
        <v>51</v>
      </c>
      <c r="F17" s="254" t="s">
        <v>67</v>
      </c>
      <c r="G17" s="255">
        <v>2025</v>
      </c>
      <c r="H17" s="254" t="s">
        <v>376</v>
      </c>
      <c r="I17" s="254">
        <v>2023</v>
      </c>
      <c r="J17" s="254" t="s">
        <v>43</v>
      </c>
      <c r="K17" s="47" t="s">
        <v>152</v>
      </c>
      <c r="L17" s="289" t="s">
        <v>214</v>
      </c>
      <c r="M17" s="294" t="s">
        <v>379</v>
      </c>
      <c r="N17" s="47" t="b">
        <v>1</v>
      </c>
      <c r="O17" s="47" t="b">
        <v>0</v>
      </c>
      <c r="P17" s="47" t="b">
        <v>1</v>
      </c>
      <c r="Q17" s="47" t="b">
        <v>0</v>
      </c>
      <c r="R17" s="47" t="b">
        <v>1</v>
      </c>
      <c r="S17" s="47" t="b">
        <v>1</v>
      </c>
      <c r="T17" s="111" t="b">
        <v>0</v>
      </c>
      <c r="U17" s="47" t="b">
        <v>0</v>
      </c>
      <c r="V17" s="47" t="b">
        <v>0</v>
      </c>
    </row>
    <row r="18" spans="1:22" x14ac:dyDescent="0.35">
      <c r="A18" s="46">
        <f t="shared" si="0"/>
        <v>11</v>
      </c>
      <c r="B18" s="251" t="s">
        <v>230</v>
      </c>
      <c r="C18" s="246" t="s">
        <v>190</v>
      </c>
      <c r="D18" s="46" t="s">
        <v>145</v>
      </c>
      <c r="E18" s="254" t="s">
        <v>51</v>
      </c>
      <c r="F18" s="254" t="s">
        <v>67</v>
      </c>
      <c r="G18" s="255">
        <v>2025</v>
      </c>
      <c r="H18" s="254" t="s">
        <v>376</v>
      </c>
      <c r="I18" s="254">
        <v>2023</v>
      </c>
      <c r="J18" s="254" t="s">
        <v>43</v>
      </c>
      <c r="K18" s="47" t="s">
        <v>152</v>
      </c>
      <c r="L18" s="289" t="s">
        <v>214</v>
      </c>
      <c r="M18" s="294" t="s">
        <v>379</v>
      </c>
      <c r="N18" s="47" t="b">
        <v>1</v>
      </c>
      <c r="O18" s="47" t="b">
        <v>0</v>
      </c>
      <c r="P18" s="47" t="b">
        <v>1</v>
      </c>
      <c r="Q18" s="47" t="b">
        <v>0</v>
      </c>
      <c r="R18" s="47" t="b">
        <v>1</v>
      </c>
      <c r="S18" s="47" t="b">
        <v>1</v>
      </c>
      <c r="T18" s="111" t="b">
        <v>0</v>
      </c>
      <c r="U18" s="47" t="b">
        <v>0</v>
      </c>
      <c r="V18" s="47" t="b">
        <v>0</v>
      </c>
    </row>
    <row r="19" spans="1:22" x14ac:dyDescent="0.35">
      <c r="A19" s="46">
        <f t="shared" si="0"/>
        <v>12</v>
      </c>
      <c r="B19" s="251" t="s">
        <v>231</v>
      </c>
      <c r="C19" s="246" t="s">
        <v>191</v>
      </c>
      <c r="D19" s="46" t="s">
        <v>145</v>
      </c>
      <c r="E19" s="254" t="s">
        <v>51</v>
      </c>
      <c r="F19" s="254" t="s">
        <v>67</v>
      </c>
      <c r="G19" s="255">
        <v>2025</v>
      </c>
      <c r="H19" s="254" t="s">
        <v>376</v>
      </c>
      <c r="I19" s="254">
        <v>2023</v>
      </c>
      <c r="J19" s="254" t="s">
        <v>43</v>
      </c>
      <c r="K19" s="47" t="s">
        <v>152</v>
      </c>
      <c r="L19" s="289" t="s">
        <v>214</v>
      </c>
      <c r="M19" s="294" t="s">
        <v>379</v>
      </c>
      <c r="N19" s="47" t="b">
        <v>1</v>
      </c>
      <c r="O19" s="47" t="b">
        <v>0</v>
      </c>
      <c r="P19" s="47" t="b">
        <v>1</v>
      </c>
      <c r="Q19" s="47" t="b">
        <v>0</v>
      </c>
      <c r="R19" s="47" t="b">
        <v>1</v>
      </c>
      <c r="S19" s="47" t="b">
        <v>1</v>
      </c>
      <c r="T19" s="111" t="b">
        <v>0</v>
      </c>
      <c r="U19" s="47" t="b">
        <v>0</v>
      </c>
      <c r="V19" s="47" t="b">
        <v>0</v>
      </c>
    </row>
    <row r="20" spans="1:22" x14ac:dyDescent="0.35">
      <c r="A20" s="46">
        <f t="shared" si="0"/>
        <v>13</v>
      </c>
      <c r="B20" s="251" t="s">
        <v>232</v>
      </c>
      <c r="C20" s="246" t="s">
        <v>192</v>
      </c>
      <c r="D20" s="46" t="s">
        <v>145</v>
      </c>
      <c r="E20" s="254" t="s">
        <v>51</v>
      </c>
      <c r="F20" s="254" t="s">
        <v>67</v>
      </c>
      <c r="G20" s="255">
        <v>2025</v>
      </c>
      <c r="H20" s="254" t="s">
        <v>376</v>
      </c>
      <c r="I20" s="254">
        <v>2023</v>
      </c>
      <c r="J20" s="254" t="s">
        <v>43</v>
      </c>
      <c r="K20" s="47" t="s">
        <v>152</v>
      </c>
      <c r="L20" s="289" t="s">
        <v>214</v>
      </c>
      <c r="M20" s="294" t="s">
        <v>379</v>
      </c>
      <c r="N20" s="47" t="b">
        <v>1</v>
      </c>
      <c r="O20" s="47" t="b">
        <v>0</v>
      </c>
      <c r="P20" s="47" t="b">
        <v>1</v>
      </c>
      <c r="Q20" s="47" t="b">
        <v>0</v>
      </c>
      <c r="R20" s="47" t="b">
        <v>1</v>
      </c>
      <c r="S20" s="47" t="b">
        <v>1</v>
      </c>
      <c r="T20" s="111" t="b">
        <v>0</v>
      </c>
      <c r="U20" s="47" t="b">
        <v>0</v>
      </c>
      <c r="V20" s="47" t="b">
        <v>0</v>
      </c>
    </row>
    <row r="21" spans="1:22" x14ac:dyDescent="0.35">
      <c r="A21" s="46">
        <f t="shared" si="0"/>
        <v>14</v>
      </c>
      <c r="B21" s="251" t="s">
        <v>233</v>
      </c>
      <c r="C21" s="246" t="s">
        <v>213</v>
      </c>
      <c r="D21" s="46" t="s">
        <v>145</v>
      </c>
      <c r="E21" s="254" t="s">
        <v>51</v>
      </c>
      <c r="F21" s="254" t="s">
        <v>67</v>
      </c>
      <c r="G21" s="255">
        <v>2025</v>
      </c>
      <c r="H21" s="254" t="s">
        <v>376</v>
      </c>
      <c r="I21" s="254">
        <v>2023</v>
      </c>
      <c r="J21" s="254" t="s">
        <v>43</v>
      </c>
      <c r="K21" s="47" t="s">
        <v>152</v>
      </c>
      <c r="L21" s="289" t="s">
        <v>214</v>
      </c>
      <c r="M21" s="294" t="s">
        <v>379</v>
      </c>
      <c r="N21" s="47" t="b">
        <v>1</v>
      </c>
      <c r="O21" s="47" t="b">
        <v>0</v>
      </c>
      <c r="P21" s="47" t="b">
        <v>1</v>
      </c>
      <c r="Q21" s="47" t="b">
        <v>0</v>
      </c>
      <c r="R21" s="47" t="b">
        <v>1</v>
      </c>
      <c r="S21" s="47" t="b">
        <v>1</v>
      </c>
      <c r="T21" s="111" t="b">
        <v>0</v>
      </c>
      <c r="U21" s="47" t="b">
        <v>0</v>
      </c>
      <c r="V21" s="47" t="b">
        <v>0</v>
      </c>
    </row>
    <row r="22" spans="1:22" x14ac:dyDescent="0.35">
      <c r="A22" s="53">
        <f t="shared" si="0"/>
        <v>15</v>
      </c>
      <c r="B22" s="241" t="s">
        <v>234</v>
      </c>
      <c r="C22" s="240" t="s">
        <v>189</v>
      </c>
      <c r="D22" s="53" t="s">
        <v>145</v>
      </c>
      <c r="E22" s="256" t="s">
        <v>51</v>
      </c>
      <c r="F22" s="256" t="s">
        <v>123</v>
      </c>
      <c r="G22" s="257">
        <v>2025</v>
      </c>
      <c r="H22" s="256" t="s">
        <v>376</v>
      </c>
      <c r="I22" s="256">
        <v>2023</v>
      </c>
      <c r="J22" s="256" t="s">
        <v>43</v>
      </c>
      <c r="K22" s="54" t="s">
        <v>152</v>
      </c>
      <c r="L22" s="290" t="s">
        <v>214</v>
      </c>
      <c r="M22" s="295" t="s">
        <v>379</v>
      </c>
      <c r="N22" s="54" t="b">
        <v>1</v>
      </c>
      <c r="O22" s="54" t="b">
        <v>0</v>
      </c>
      <c r="P22" s="54" t="b">
        <v>1</v>
      </c>
      <c r="Q22" s="54" t="b">
        <v>0</v>
      </c>
      <c r="R22" s="47" t="b">
        <v>1</v>
      </c>
      <c r="S22" s="54" t="b">
        <v>1</v>
      </c>
      <c r="T22" s="112" t="b">
        <v>0</v>
      </c>
      <c r="U22" s="54" t="b">
        <v>0</v>
      </c>
      <c r="V22" s="47" t="b">
        <v>0</v>
      </c>
    </row>
    <row r="23" spans="1:22" x14ac:dyDescent="0.35">
      <c r="A23" s="53">
        <f t="shared" si="0"/>
        <v>16</v>
      </c>
      <c r="B23" s="241" t="s">
        <v>235</v>
      </c>
      <c r="C23" s="240" t="s">
        <v>190</v>
      </c>
      <c r="D23" s="53" t="s">
        <v>145</v>
      </c>
      <c r="E23" s="256" t="s">
        <v>51</v>
      </c>
      <c r="F23" s="256" t="s">
        <v>123</v>
      </c>
      <c r="G23" s="257">
        <v>2025</v>
      </c>
      <c r="H23" s="256" t="s">
        <v>376</v>
      </c>
      <c r="I23" s="256">
        <v>2023</v>
      </c>
      <c r="J23" s="256" t="s">
        <v>43</v>
      </c>
      <c r="K23" s="54" t="s">
        <v>152</v>
      </c>
      <c r="L23" s="290" t="s">
        <v>214</v>
      </c>
      <c r="M23" s="295" t="s">
        <v>379</v>
      </c>
      <c r="N23" s="54" t="b">
        <v>1</v>
      </c>
      <c r="O23" s="54" t="b">
        <v>0</v>
      </c>
      <c r="P23" s="54" t="b">
        <v>1</v>
      </c>
      <c r="Q23" s="54" t="b">
        <v>0</v>
      </c>
      <c r="R23" s="47" t="b">
        <v>1</v>
      </c>
      <c r="S23" s="54" t="b">
        <v>1</v>
      </c>
      <c r="T23" s="112" t="b">
        <v>0</v>
      </c>
      <c r="U23" s="54" t="b">
        <v>0</v>
      </c>
      <c r="V23" s="47" t="b">
        <v>0</v>
      </c>
    </row>
    <row r="24" spans="1:22" x14ac:dyDescent="0.35">
      <c r="A24" s="53">
        <f t="shared" si="0"/>
        <v>17</v>
      </c>
      <c r="B24" s="241" t="s">
        <v>236</v>
      </c>
      <c r="C24" s="240" t="s">
        <v>191</v>
      </c>
      <c r="D24" s="53" t="s">
        <v>145</v>
      </c>
      <c r="E24" s="256" t="s">
        <v>51</v>
      </c>
      <c r="F24" s="256" t="s">
        <v>123</v>
      </c>
      <c r="G24" s="257">
        <v>2025</v>
      </c>
      <c r="H24" s="256" t="s">
        <v>376</v>
      </c>
      <c r="I24" s="256">
        <v>2023</v>
      </c>
      <c r="J24" s="256" t="s">
        <v>43</v>
      </c>
      <c r="K24" s="54" t="s">
        <v>152</v>
      </c>
      <c r="L24" s="290" t="s">
        <v>214</v>
      </c>
      <c r="M24" s="295" t="s">
        <v>379</v>
      </c>
      <c r="N24" s="54" t="b">
        <v>1</v>
      </c>
      <c r="O24" s="54" t="b">
        <v>0</v>
      </c>
      <c r="P24" s="54" t="b">
        <v>1</v>
      </c>
      <c r="Q24" s="54" t="b">
        <v>0</v>
      </c>
      <c r="R24" s="47" t="b">
        <v>1</v>
      </c>
      <c r="S24" s="54" t="b">
        <v>1</v>
      </c>
      <c r="T24" s="112" t="b">
        <v>0</v>
      </c>
      <c r="U24" s="54" t="b">
        <v>0</v>
      </c>
      <c r="V24" s="47" t="b">
        <v>0</v>
      </c>
    </row>
    <row r="25" spans="1:22" x14ac:dyDescent="0.35">
      <c r="A25" s="53">
        <f t="shared" si="0"/>
        <v>18</v>
      </c>
      <c r="B25" s="241" t="s">
        <v>237</v>
      </c>
      <c r="C25" s="240" t="s">
        <v>192</v>
      </c>
      <c r="D25" s="53" t="s">
        <v>145</v>
      </c>
      <c r="E25" s="256" t="s">
        <v>51</v>
      </c>
      <c r="F25" s="256" t="s">
        <v>123</v>
      </c>
      <c r="G25" s="257">
        <v>2025</v>
      </c>
      <c r="H25" s="256" t="s">
        <v>376</v>
      </c>
      <c r="I25" s="256">
        <v>2023</v>
      </c>
      <c r="J25" s="256" t="s">
        <v>43</v>
      </c>
      <c r="K25" s="54" t="s">
        <v>152</v>
      </c>
      <c r="L25" s="290" t="s">
        <v>214</v>
      </c>
      <c r="M25" s="295" t="s">
        <v>379</v>
      </c>
      <c r="N25" s="54" t="b">
        <v>1</v>
      </c>
      <c r="O25" s="54" t="b">
        <v>0</v>
      </c>
      <c r="P25" s="54" t="b">
        <v>1</v>
      </c>
      <c r="Q25" s="54" t="b">
        <v>0</v>
      </c>
      <c r="R25" s="47" t="b">
        <v>1</v>
      </c>
      <c r="S25" s="54" t="b">
        <v>1</v>
      </c>
      <c r="T25" s="112" t="b">
        <v>0</v>
      </c>
      <c r="U25" s="54" t="b">
        <v>0</v>
      </c>
      <c r="V25" s="47" t="b">
        <v>0</v>
      </c>
    </row>
    <row r="26" spans="1:22" x14ac:dyDescent="0.35">
      <c r="A26" s="53">
        <f t="shared" si="0"/>
        <v>19</v>
      </c>
      <c r="B26" s="241" t="s">
        <v>238</v>
      </c>
      <c r="C26" s="240" t="s">
        <v>213</v>
      </c>
      <c r="D26" s="53" t="s">
        <v>145</v>
      </c>
      <c r="E26" s="256" t="s">
        <v>51</v>
      </c>
      <c r="F26" s="256" t="s">
        <v>123</v>
      </c>
      <c r="G26" s="257">
        <v>2025</v>
      </c>
      <c r="H26" s="256" t="s">
        <v>376</v>
      </c>
      <c r="I26" s="256">
        <v>2023</v>
      </c>
      <c r="J26" s="256" t="s">
        <v>43</v>
      </c>
      <c r="K26" s="54" t="s">
        <v>152</v>
      </c>
      <c r="L26" s="290" t="s">
        <v>214</v>
      </c>
      <c r="M26" s="295" t="s">
        <v>379</v>
      </c>
      <c r="N26" s="54" t="b">
        <v>1</v>
      </c>
      <c r="O26" s="54" t="b">
        <v>0</v>
      </c>
      <c r="P26" s="54" t="b">
        <v>1</v>
      </c>
      <c r="Q26" s="54" t="b">
        <v>0</v>
      </c>
      <c r="R26" s="47" t="b">
        <v>1</v>
      </c>
      <c r="S26" s="54" t="b">
        <v>1</v>
      </c>
      <c r="T26" s="112" t="b">
        <v>0</v>
      </c>
      <c r="U26" s="54" t="b">
        <v>0</v>
      </c>
      <c r="V26" s="47" t="b">
        <v>0</v>
      </c>
    </row>
    <row r="27" spans="1:22" x14ac:dyDescent="0.35">
      <c r="A27" s="258">
        <f t="shared" si="0"/>
        <v>20</v>
      </c>
      <c r="B27" s="244" t="s">
        <v>239</v>
      </c>
      <c r="C27" s="224" t="s">
        <v>189</v>
      </c>
      <c r="D27" s="258" t="s">
        <v>145</v>
      </c>
      <c r="E27" s="259" t="s">
        <v>170</v>
      </c>
      <c r="F27" s="259" t="s">
        <v>123</v>
      </c>
      <c r="G27" s="260">
        <v>2025</v>
      </c>
      <c r="H27" s="259" t="s">
        <v>376</v>
      </c>
      <c r="I27" s="259">
        <v>2023</v>
      </c>
      <c r="J27" s="259" t="s">
        <v>43</v>
      </c>
      <c r="K27" s="261" t="s">
        <v>152</v>
      </c>
      <c r="L27" s="291" t="s">
        <v>214</v>
      </c>
      <c r="M27" s="296" t="s">
        <v>379</v>
      </c>
      <c r="N27" s="261" t="b">
        <v>1</v>
      </c>
      <c r="O27" s="261" t="b">
        <v>0</v>
      </c>
      <c r="P27" s="261" t="b">
        <v>1</v>
      </c>
      <c r="Q27" s="261" t="b">
        <v>0</v>
      </c>
      <c r="R27" s="47" t="b">
        <v>1</v>
      </c>
      <c r="S27" s="261" t="b">
        <v>1</v>
      </c>
      <c r="T27" s="262" t="b">
        <v>0</v>
      </c>
      <c r="U27" s="261" t="b">
        <v>0</v>
      </c>
      <c r="V27" s="47" t="b">
        <v>0</v>
      </c>
    </row>
    <row r="28" spans="1:22" x14ac:dyDescent="0.35">
      <c r="A28" s="258">
        <f t="shared" si="0"/>
        <v>21</v>
      </c>
      <c r="B28" s="244" t="s">
        <v>240</v>
      </c>
      <c r="C28" s="224" t="s">
        <v>190</v>
      </c>
      <c r="D28" s="258" t="s">
        <v>145</v>
      </c>
      <c r="E28" s="259" t="s">
        <v>170</v>
      </c>
      <c r="F28" s="259" t="s">
        <v>123</v>
      </c>
      <c r="G28" s="260">
        <v>2025</v>
      </c>
      <c r="H28" s="259" t="s">
        <v>376</v>
      </c>
      <c r="I28" s="259">
        <v>2023</v>
      </c>
      <c r="J28" s="259" t="s">
        <v>43</v>
      </c>
      <c r="K28" s="261" t="s">
        <v>152</v>
      </c>
      <c r="L28" s="291" t="s">
        <v>214</v>
      </c>
      <c r="M28" s="296" t="s">
        <v>379</v>
      </c>
      <c r="N28" s="261" t="b">
        <v>1</v>
      </c>
      <c r="O28" s="261" t="b">
        <v>0</v>
      </c>
      <c r="P28" s="261" t="b">
        <v>1</v>
      </c>
      <c r="Q28" s="261" t="b">
        <v>0</v>
      </c>
      <c r="R28" s="47" t="b">
        <v>1</v>
      </c>
      <c r="S28" s="261" t="b">
        <v>1</v>
      </c>
      <c r="T28" s="262" t="b">
        <v>0</v>
      </c>
      <c r="U28" s="261" t="b">
        <v>0</v>
      </c>
      <c r="V28" s="47" t="b">
        <v>0</v>
      </c>
    </row>
    <row r="29" spans="1:22" x14ac:dyDescent="0.35">
      <c r="A29" s="258">
        <f t="shared" si="0"/>
        <v>22</v>
      </c>
      <c r="B29" s="244" t="s">
        <v>241</v>
      </c>
      <c r="C29" s="224" t="s">
        <v>191</v>
      </c>
      <c r="D29" s="258" t="s">
        <v>145</v>
      </c>
      <c r="E29" s="259" t="s">
        <v>170</v>
      </c>
      <c r="F29" s="259" t="s">
        <v>123</v>
      </c>
      <c r="G29" s="260">
        <v>2025</v>
      </c>
      <c r="H29" s="259" t="s">
        <v>376</v>
      </c>
      <c r="I29" s="259">
        <v>2023</v>
      </c>
      <c r="J29" s="259" t="s">
        <v>43</v>
      </c>
      <c r="K29" s="261" t="s">
        <v>152</v>
      </c>
      <c r="L29" s="291" t="s">
        <v>214</v>
      </c>
      <c r="M29" s="296" t="s">
        <v>379</v>
      </c>
      <c r="N29" s="261" t="b">
        <v>1</v>
      </c>
      <c r="O29" s="261" t="b">
        <v>0</v>
      </c>
      <c r="P29" s="261" t="b">
        <v>1</v>
      </c>
      <c r="Q29" s="261" t="b">
        <v>0</v>
      </c>
      <c r="R29" s="47" t="b">
        <v>1</v>
      </c>
      <c r="S29" s="261" t="b">
        <v>1</v>
      </c>
      <c r="T29" s="262" t="b">
        <v>0</v>
      </c>
      <c r="U29" s="261" t="b">
        <v>0</v>
      </c>
      <c r="V29" s="47" t="b">
        <v>0</v>
      </c>
    </row>
    <row r="30" spans="1:22" x14ac:dyDescent="0.35">
      <c r="A30" s="258">
        <f t="shared" si="0"/>
        <v>23</v>
      </c>
      <c r="B30" s="244" t="s">
        <v>242</v>
      </c>
      <c r="C30" s="224" t="s">
        <v>192</v>
      </c>
      <c r="D30" s="258" t="s">
        <v>145</v>
      </c>
      <c r="E30" s="259" t="s">
        <v>170</v>
      </c>
      <c r="F30" s="259" t="s">
        <v>123</v>
      </c>
      <c r="G30" s="260">
        <v>2025</v>
      </c>
      <c r="H30" s="259" t="s">
        <v>376</v>
      </c>
      <c r="I30" s="259">
        <v>2023</v>
      </c>
      <c r="J30" s="259" t="s">
        <v>43</v>
      </c>
      <c r="K30" s="261" t="s">
        <v>152</v>
      </c>
      <c r="L30" s="291" t="s">
        <v>214</v>
      </c>
      <c r="M30" s="296" t="s">
        <v>379</v>
      </c>
      <c r="N30" s="261" t="b">
        <v>1</v>
      </c>
      <c r="O30" s="261" t="b">
        <v>0</v>
      </c>
      <c r="P30" s="261" t="b">
        <v>1</v>
      </c>
      <c r="Q30" s="261" t="b">
        <v>0</v>
      </c>
      <c r="R30" s="47" t="b">
        <v>1</v>
      </c>
      <c r="S30" s="261" t="b">
        <v>1</v>
      </c>
      <c r="T30" s="262" t="b">
        <v>0</v>
      </c>
      <c r="U30" s="261" t="b">
        <v>0</v>
      </c>
      <c r="V30" s="47" t="b">
        <v>0</v>
      </c>
    </row>
    <row r="31" spans="1:22" x14ac:dyDescent="0.35">
      <c r="A31" s="258">
        <f t="shared" si="0"/>
        <v>24</v>
      </c>
      <c r="B31" s="244" t="s">
        <v>243</v>
      </c>
      <c r="C31" s="224" t="s">
        <v>213</v>
      </c>
      <c r="D31" s="258" t="s">
        <v>145</v>
      </c>
      <c r="E31" s="259" t="s">
        <v>170</v>
      </c>
      <c r="F31" s="259" t="s">
        <v>123</v>
      </c>
      <c r="G31" s="260">
        <v>2025</v>
      </c>
      <c r="H31" s="259" t="s">
        <v>376</v>
      </c>
      <c r="I31" s="259">
        <v>2023</v>
      </c>
      <c r="J31" s="259" t="s">
        <v>43</v>
      </c>
      <c r="K31" s="261" t="s">
        <v>152</v>
      </c>
      <c r="L31" s="291" t="s">
        <v>214</v>
      </c>
      <c r="M31" s="296" t="s">
        <v>379</v>
      </c>
      <c r="N31" s="261" t="b">
        <v>1</v>
      </c>
      <c r="O31" s="261" t="b">
        <v>0</v>
      </c>
      <c r="P31" s="261" t="b">
        <v>1</v>
      </c>
      <c r="Q31" s="261" t="b">
        <v>0</v>
      </c>
      <c r="R31" s="47" t="b">
        <v>1</v>
      </c>
      <c r="S31" s="261" t="b">
        <v>1</v>
      </c>
      <c r="T31" s="262" t="b">
        <v>0</v>
      </c>
      <c r="U31" s="261" t="b">
        <v>0</v>
      </c>
      <c r="V31" s="47" t="b">
        <v>0</v>
      </c>
    </row>
    <row r="32" spans="1:22" x14ac:dyDescent="0.35">
      <c r="A32" s="46">
        <f t="shared" si="0"/>
        <v>25</v>
      </c>
      <c r="B32" s="246" t="s">
        <v>332</v>
      </c>
      <c r="C32" s="246" t="s">
        <v>331</v>
      </c>
      <c r="D32" s="46" t="s">
        <v>145</v>
      </c>
      <c r="E32" s="254" t="s">
        <v>51</v>
      </c>
      <c r="F32" s="254" t="s">
        <v>67</v>
      </c>
      <c r="G32" s="255">
        <v>2025</v>
      </c>
      <c r="H32" s="254" t="s">
        <v>376</v>
      </c>
      <c r="I32" s="254">
        <v>2023</v>
      </c>
      <c r="J32" s="254" t="s">
        <v>43</v>
      </c>
      <c r="K32" s="47" t="s">
        <v>152</v>
      </c>
      <c r="L32" s="289" t="s">
        <v>214</v>
      </c>
      <c r="M32" s="294" t="s">
        <v>379</v>
      </c>
      <c r="N32" s="47" t="b">
        <v>1</v>
      </c>
      <c r="O32" s="47" t="b">
        <v>0</v>
      </c>
      <c r="P32" s="47" t="b">
        <v>1</v>
      </c>
      <c r="Q32" s="47" t="b">
        <v>0</v>
      </c>
      <c r="R32" s="47" t="b">
        <v>1</v>
      </c>
      <c r="S32" s="47" t="b">
        <v>1</v>
      </c>
      <c r="T32" s="111" t="b">
        <v>0</v>
      </c>
      <c r="U32" s="47" t="b">
        <v>0</v>
      </c>
      <c r="V32" s="47" t="b">
        <v>0</v>
      </c>
    </row>
    <row r="33" spans="1:22" x14ac:dyDescent="0.35">
      <c r="A33" s="46">
        <f t="shared" si="0"/>
        <v>26</v>
      </c>
      <c r="B33" s="246" t="s">
        <v>244</v>
      </c>
      <c r="C33" s="246" t="s">
        <v>195</v>
      </c>
      <c r="D33" s="46" t="s">
        <v>145</v>
      </c>
      <c r="E33" s="254" t="s">
        <v>51</v>
      </c>
      <c r="F33" s="254" t="s">
        <v>67</v>
      </c>
      <c r="G33" s="255">
        <v>2025</v>
      </c>
      <c r="H33" s="254" t="s">
        <v>376</v>
      </c>
      <c r="I33" s="254">
        <v>2023</v>
      </c>
      <c r="J33" s="254" t="s">
        <v>43</v>
      </c>
      <c r="K33" s="47" t="s">
        <v>152</v>
      </c>
      <c r="L33" s="289" t="s">
        <v>214</v>
      </c>
      <c r="M33" s="294" t="s">
        <v>379</v>
      </c>
      <c r="N33" s="47" t="b">
        <v>1</v>
      </c>
      <c r="O33" s="47" t="b">
        <v>0</v>
      </c>
      <c r="P33" s="47" t="b">
        <v>1</v>
      </c>
      <c r="Q33" s="47" t="b">
        <v>0</v>
      </c>
      <c r="R33" s="47" t="b">
        <v>1</v>
      </c>
      <c r="S33" s="47" t="b">
        <v>1</v>
      </c>
      <c r="T33" s="111" t="b">
        <v>0</v>
      </c>
      <c r="U33" s="47" t="b">
        <v>0</v>
      </c>
      <c r="V33" s="47" t="b">
        <v>0</v>
      </c>
    </row>
    <row r="34" spans="1:22" x14ac:dyDescent="0.35">
      <c r="A34" s="46">
        <f t="shared" si="0"/>
        <v>27</v>
      </c>
      <c r="B34" s="246" t="s">
        <v>245</v>
      </c>
      <c r="C34" s="246" t="s">
        <v>196</v>
      </c>
      <c r="D34" s="46" t="s">
        <v>145</v>
      </c>
      <c r="E34" s="254" t="s">
        <v>51</v>
      </c>
      <c r="F34" s="254" t="s">
        <v>67</v>
      </c>
      <c r="G34" s="255">
        <v>2025</v>
      </c>
      <c r="H34" s="254" t="s">
        <v>376</v>
      </c>
      <c r="I34" s="254">
        <v>2023</v>
      </c>
      <c r="J34" s="254" t="s">
        <v>43</v>
      </c>
      <c r="K34" s="47" t="s">
        <v>152</v>
      </c>
      <c r="L34" s="289" t="s">
        <v>214</v>
      </c>
      <c r="M34" s="294" t="s">
        <v>379</v>
      </c>
      <c r="N34" s="47" t="b">
        <v>1</v>
      </c>
      <c r="O34" s="47" t="b">
        <v>0</v>
      </c>
      <c r="P34" s="47" t="b">
        <v>1</v>
      </c>
      <c r="Q34" s="47" t="b">
        <v>0</v>
      </c>
      <c r="R34" s="47" t="b">
        <v>1</v>
      </c>
      <c r="S34" s="47" t="b">
        <v>1</v>
      </c>
      <c r="T34" s="111" t="b">
        <v>0</v>
      </c>
      <c r="U34" s="47" t="b">
        <v>0</v>
      </c>
      <c r="V34" s="47" t="b">
        <v>0</v>
      </c>
    </row>
    <row r="35" spans="1:22" x14ac:dyDescent="0.35">
      <c r="A35" s="46">
        <f t="shared" si="0"/>
        <v>28</v>
      </c>
      <c r="B35" s="246" t="s">
        <v>246</v>
      </c>
      <c r="C35" s="246" t="s">
        <v>197</v>
      </c>
      <c r="D35" s="46" t="s">
        <v>145</v>
      </c>
      <c r="E35" s="254" t="s">
        <v>51</v>
      </c>
      <c r="F35" s="254" t="s">
        <v>67</v>
      </c>
      <c r="G35" s="255">
        <v>2025</v>
      </c>
      <c r="H35" s="254" t="s">
        <v>376</v>
      </c>
      <c r="I35" s="254">
        <v>2023</v>
      </c>
      <c r="J35" s="254" t="s">
        <v>43</v>
      </c>
      <c r="K35" s="47" t="s">
        <v>152</v>
      </c>
      <c r="L35" s="289" t="s">
        <v>214</v>
      </c>
      <c r="M35" s="294" t="s">
        <v>379</v>
      </c>
      <c r="N35" s="47" t="b">
        <v>1</v>
      </c>
      <c r="O35" s="47" t="b">
        <v>0</v>
      </c>
      <c r="P35" s="47" t="b">
        <v>1</v>
      </c>
      <c r="Q35" s="47" t="b">
        <v>0</v>
      </c>
      <c r="R35" s="47" t="b">
        <v>1</v>
      </c>
      <c r="S35" s="47" t="b">
        <v>1</v>
      </c>
      <c r="T35" s="111" t="b">
        <v>0</v>
      </c>
      <c r="U35" s="47" t="b">
        <v>0</v>
      </c>
      <c r="V35" s="47" t="b">
        <v>0</v>
      </c>
    </row>
    <row r="36" spans="1:22" x14ac:dyDescent="0.35">
      <c r="A36" s="46">
        <f t="shared" si="0"/>
        <v>29</v>
      </c>
      <c r="B36" s="246" t="s">
        <v>247</v>
      </c>
      <c r="C36" s="246" t="s">
        <v>198</v>
      </c>
      <c r="D36" s="46" t="s">
        <v>145</v>
      </c>
      <c r="E36" s="254" t="s">
        <v>51</v>
      </c>
      <c r="F36" s="254" t="s">
        <v>67</v>
      </c>
      <c r="G36" s="255">
        <v>2025</v>
      </c>
      <c r="H36" s="254" t="s">
        <v>376</v>
      </c>
      <c r="I36" s="254">
        <v>2023</v>
      </c>
      <c r="J36" s="254" t="s">
        <v>43</v>
      </c>
      <c r="K36" s="47" t="s">
        <v>152</v>
      </c>
      <c r="L36" s="289" t="s">
        <v>214</v>
      </c>
      <c r="M36" s="294" t="s">
        <v>379</v>
      </c>
      <c r="N36" s="47" t="b">
        <v>1</v>
      </c>
      <c r="O36" s="47" t="b">
        <v>0</v>
      </c>
      <c r="P36" s="47" t="b">
        <v>1</v>
      </c>
      <c r="Q36" s="47" t="b">
        <v>0</v>
      </c>
      <c r="R36" s="47" t="b">
        <v>1</v>
      </c>
      <c r="S36" s="47" t="b">
        <v>1</v>
      </c>
      <c r="T36" s="111" t="b">
        <v>0</v>
      </c>
      <c r="U36" s="47" t="b">
        <v>0</v>
      </c>
      <c r="V36" s="47" t="b">
        <v>0</v>
      </c>
    </row>
    <row r="37" spans="1:22" x14ac:dyDescent="0.35">
      <c r="A37" s="53">
        <f t="shared" si="0"/>
        <v>30</v>
      </c>
      <c r="B37" s="240" t="s">
        <v>333</v>
      </c>
      <c r="C37" s="240" t="s">
        <v>331</v>
      </c>
      <c r="D37" s="53" t="s">
        <v>145</v>
      </c>
      <c r="E37" s="256" t="s">
        <v>51</v>
      </c>
      <c r="F37" s="256" t="s">
        <v>123</v>
      </c>
      <c r="G37" s="257">
        <v>2025</v>
      </c>
      <c r="H37" s="256" t="s">
        <v>376</v>
      </c>
      <c r="I37" s="256">
        <v>2023</v>
      </c>
      <c r="J37" s="256" t="s">
        <v>43</v>
      </c>
      <c r="K37" s="54" t="s">
        <v>152</v>
      </c>
      <c r="L37" s="290" t="s">
        <v>214</v>
      </c>
      <c r="M37" s="295" t="s">
        <v>379</v>
      </c>
      <c r="N37" s="54" t="b">
        <v>1</v>
      </c>
      <c r="O37" s="54" t="b">
        <v>0</v>
      </c>
      <c r="P37" s="54" t="b">
        <v>1</v>
      </c>
      <c r="Q37" s="54" t="b">
        <v>0</v>
      </c>
      <c r="R37" s="47" t="b">
        <v>1</v>
      </c>
      <c r="S37" s="54" t="b">
        <v>1</v>
      </c>
      <c r="T37" s="112" t="b">
        <v>0</v>
      </c>
      <c r="U37" s="54" t="b">
        <v>0</v>
      </c>
      <c r="V37" s="47" t="b">
        <v>0</v>
      </c>
    </row>
    <row r="38" spans="1:22" x14ac:dyDescent="0.35">
      <c r="A38" s="53">
        <f t="shared" si="0"/>
        <v>31</v>
      </c>
      <c r="B38" s="240" t="s">
        <v>248</v>
      </c>
      <c r="C38" s="240" t="s">
        <v>195</v>
      </c>
      <c r="D38" s="53" t="s">
        <v>145</v>
      </c>
      <c r="E38" s="256" t="s">
        <v>51</v>
      </c>
      <c r="F38" s="256" t="s">
        <v>123</v>
      </c>
      <c r="G38" s="257">
        <v>2025</v>
      </c>
      <c r="H38" s="256" t="s">
        <v>376</v>
      </c>
      <c r="I38" s="256">
        <v>2023</v>
      </c>
      <c r="J38" s="256" t="s">
        <v>43</v>
      </c>
      <c r="K38" s="54" t="s">
        <v>152</v>
      </c>
      <c r="L38" s="290" t="s">
        <v>214</v>
      </c>
      <c r="M38" s="295" t="s">
        <v>379</v>
      </c>
      <c r="N38" s="54" t="b">
        <v>1</v>
      </c>
      <c r="O38" s="54" t="b">
        <v>0</v>
      </c>
      <c r="P38" s="54" t="b">
        <v>1</v>
      </c>
      <c r="Q38" s="54" t="b">
        <v>0</v>
      </c>
      <c r="R38" s="47" t="b">
        <v>1</v>
      </c>
      <c r="S38" s="54" t="b">
        <v>1</v>
      </c>
      <c r="T38" s="112" t="b">
        <v>0</v>
      </c>
      <c r="U38" s="54" t="b">
        <v>0</v>
      </c>
      <c r="V38" s="47" t="b">
        <v>0</v>
      </c>
    </row>
    <row r="39" spans="1:22" x14ac:dyDescent="0.35">
      <c r="A39" s="53">
        <f t="shared" si="0"/>
        <v>32</v>
      </c>
      <c r="B39" s="240" t="s">
        <v>249</v>
      </c>
      <c r="C39" s="240" t="s">
        <v>196</v>
      </c>
      <c r="D39" s="53" t="s">
        <v>145</v>
      </c>
      <c r="E39" s="256" t="s">
        <v>51</v>
      </c>
      <c r="F39" s="256" t="s">
        <v>123</v>
      </c>
      <c r="G39" s="257">
        <v>2025</v>
      </c>
      <c r="H39" s="256" t="s">
        <v>376</v>
      </c>
      <c r="I39" s="256">
        <v>2023</v>
      </c>
      <c r="J39" s="256" t="s">
        <v>43</v>
      </c>
      <c r="K39" s="54" t="s">
        <v>152</v>
      </c>
      <c r="L39" s="290" t="s">
        <v>214</v>
      </c>
      <c r="M39" s="295" t="s">
        <v>379</v>
      </c>
      <c r="N39" s="54" t="b">
        <v>1</v>
      </c>
      <c r="O39" s="54" t="b">
        <v>0</v>
      </c>
      <c r="P39" s="54" t="b">
        <v>1</v>
      </c>
      <c r="Q39" s="54" t="b">
        <v>0</v>
      </c>
      <c r="R39" s="47" t="b">
        <v>1</v>
      </c>
      <c r="S39" s="54" t="b">
        <v>1</v>
      </c>
      <c r="T39" s="112" t="b">
        <v>0</v>
      </c>
      <c r="U39" s="54" t="b">
        <v>0</v>
      </c>
      <c r="V39" s="47" t="b">
        <v>0</v>
      </c>
    </row>
    <row r="40" spans="1:22" x14ac:dyDescent="0.35">
      <c r="A40" s="53">
        <f t="shared" si="0"/>
        <v>33</v>
      </c>
      <c r="B40" s="240" t="s">
        <v>250</v>
      </c>
      <c r="C40" s="240" t="s">
        <v>197</v>
      </c>
      <c r="D40" s="53" t="s">
        <v>145</v>
      </c>
      <c r="E40" s="256" t="s">
        <v>51</v>
      </c>
      <c r="F40" s="256" t="s">
        <v>123</v>
      </c>
      <c r="G40" s="257">
        <v>2025</v>
      </c>
      <c r="H40" s="256" t="s">
        <v>376</v>
      </c>
      <c r="I40" s="256">
        <v>2023</v>
      </c>
      <c r="J40" s="256" t="s">
        <v>43</v>
      </c>
      <c r="K40" s="54" t="s">
        <v>152</v>
      </c>
      <c r="L40" s="290" t="s">
        <v>214</v>
      </c>
      <c r="M40" s="295" t="s">
        <v>379</v>
      </c>
      <c r="N40" s="54" t="b">
        <v>1</v>
      </c>
      <c r="O40" s="54" t="b">
        <v>0</v>
      </c>
      <c r="P40" s="54" t="b">
        <v>1</v>
      </c>
      <c r="Q40" s="54" t="b">
        <v>0</v>
      </c>
      <c r="R40" s="47" t="b">
        <v>1</v>
      </c>
      <c r="S40" s="54" t="b">
        <v>1</v>
      </c>
      <c r="T40" s="112" t="b">
        <v>0</v>
      </c>
      <c r="U40" s="54" t="b">
        <v>0</v>
      </c>
      <c r="V40" s="47" t="b">
        <v>0</v>
      </c>
    </row>
    <row r="41" spans="1:22" x14ac:dyDescent="0.35">
      <c r="A41" s="53">
        <f t="shared" si="0"/>
        <v>34</v>
      </c>
      <c r="B41" s="240" t="s">
        <v>251</v>
      </c>
      <c r="C41" s="240" t="s">
        <v>198</v>
      </c>
      <c r="D41" s="53" t="s">
        <v>145</v>
      </c>
      <c r="E41" s="256" t="s">
        <v>51</v>
      </c>
      <c r="F41" s="256" t="s">
        <v>123</v>
      </c>
      <c r="G41" s="257">
        <v>2025</v>
      </c>
      <c r="H41" s="256" t="s">
        <v>376</v>
      </c>
      <c r="I41" s="256">
        <v>2023</v>
      </c>
      <c r="J41" s="256" t="s">
        <v>43</v>
      </c>
      <c r="K41" s="54" t="s">
        <v>152</v>
      </c>
      <c r="L41" s="290" t="s">
        <v>214</v>
      </c>
      <c r="M41" s="295" t="s">
        <v>379</v>
      </c>
      <c r="N41" s="54" t="b">
        <v>1</v>
      </c>
      <c r="O41" s="54" t="b">
        <v>0</v>
      </c>
      <c r="P41" s="54" t="b">
        <v>1</v>
      </c>
      <c r="Q41" s="54" t="b">
        <v>0</v>
      </c>
      <c r="R41" s="47" t="b">
        <v>1</v>
      </c>
      <c r="S41" s="54" t="b">
        <v>1</v>
      </c>
      <c r="T41" s="112" t="b">
        <v>0</v>
      </c>
      <c r="U41" s="54" t="b">
        <v>0</v>
      </c>
      <c r="V41" s="47" t="b">
        <v>0</v>
      </c>
    </row>
    <row r="42" spans="1:22" x14ac:dyDescent="0.35">
      <c r="A42" s="258">
        <f t="shared" si="0"/>
        <v>35</v>
      </c>
      <c r="B42" s="224" t="s">
        <v>334</v>
      </c>
      <c r="C42" s="224" t="s">
        <v>331</v>
      </c>
      <c r="D42" s="258" t="s">
        <v>145</v>
      </c>
      <c r="E42" s="259" t="s">
        <v>170</v>
      </c>
      <c r="F42" s="259" t="s">
        <v>123</v>
      </c>
      <c r="G42" s="260">
        <v>2025</v>
      </c>
      <c r="H42" s="259" t="s">
        <v>376</v>
      </c>
      <c r="I42" s="259">
        <v>2023</v>
      </c>
      <c r="J42" s="259" t="s">
        <v>43</v>
      </c>
      <c r="K42" s="261" t="s">
        <v>152</v>
      </c>
      <c r="L42" s="291" t="s">
        <v>214</v>
      </c>
      <c r="M42" s="296" t="s">
        <v>379</v>
      </c>
      <c r="N42" s="261" t="b">
        <v>1</v>
      </c>
      <c r="O42" s="261" t="b">
        <v>0</v>
      </c>
      <c r="P42" s="261" t="b">
        <v>1</v>
      </c>
      <c r="Q42" s="261" t="b">
        <v>0</v>
      </c>
      <c r="R42" s="47" t="b">
        <v>1</v>
      </c>
      <c r="S42" s="261" t="b">
        <v>1</v>
      </c>
      <c r="T42" s="262" t="b">
        <v>0</v>
      </c>
      <c r="U42" s="261" t="b">
        <v>0</v>
      </c>
      <c r="V42" s="47" t="b">
        <v>0</v>
      </c>
    </row>
    <row r="43" spans="1:22" x14ac:dyDescent="0.35">
      <c r="A43" s="258">
        <f t="shared" si="0"/>
        <v>36</v>
      </c>
      <c r="B43" s="224" t="s">
        <v>252</v>
      </c>
      <c r="C43" s="224" t="s">
        <v>195</v>
      </c>
      <c r="D43" s="258" t="s">
        <v>145</v>
      </c>
      <c r="E43" s="259" t="s">
        <v>170</v>
      </c>
      <c r="F43" s="259" t="s">
        <v>123</v>
      </c>
      <c r="G43" s="260">
        <v>2025</v>
      </c>
      <c r="H43" s="259" t="s">
        <v>376</v>
      </c>
      <c r="I43" s="259">
        <v>2023</v>
      </c>
      <c r="J43" s="259" t="s">
        <v>43</v>
      </c>
      <c r="K43" s="261" t="s">
        <v>152</v>
      </c>
      <c r="L43" s="291" t="s">
        <v>214</v>
      </c>
      <c r="M43" s="296" t="s">
        <v>379</v>
      </c>
      <c r="N43" s="261" t="b">
        <v>1</v>
      </c>
      <c r="O43" s="261" t="b">
        <v>0</v>
      </c>
      <c r="P43" s="261" t="b">
        <v>1</v>
      </c>
      <c r="Q43" s="261" t="b">
        <v>0</v>
      </c>
      <c r="R43" s="47" t="b">
        <v>1</v>
      </c>
      <c r="S43" s="261" t="b">
        <v>1</v>
      </c>
      <c r="T43" s="262" t="b">
        <v>0</v>
      </c>
      <c r="U43" s="261" t="b">
        <v>0</v>
      </c>
      <c r="V43" s="47" t="b">
        <v>0</v>
      </c>
    </row>
    <row r="44" spans="1:22" x14ac:dyDescent="0.35">
      <c r="A44" s="258">
        <f t="shared" si="0"/>
        <v>37</v>
      </c>
      <c r="B44" s="224" t="s">
        <v>253</v>
      </c>
      <c r="C44" s="224" t="s">
        <v>196</v>
      </c>
      <c r="D44" s="258" t="s">
        <v>145</v>
      </c>
      <c r="E44" s="259" t="s">
        <v>170</v>
      </c>
      <c r="F44" s="259" t="s">
        <v>123</v>
      </c>
      <c r="G44" s="260">
        <v>2025</v>
      </c>
      <c r="H44" s="259" t="s">
        <v>376</v>
      </c>
      <c r="I44" s="259">
        <v>2023</v>
      </c>
      <c r="J44" s="259" t="s">
        <v>43</v>
      </c>
      <c r="K44" s="261" t="s">
        <v>152</v>
      </c>
      <c r="L44" s="291" t="s">
        <v>214</v>
      </c>
      <c r="M44" s="296" t="s">
        <v>379</v>
      </c>
      <c r="N44" s="261" t="b">
        <v>1</v>
      </c>
      <c r="O44" s="261" t="b">
        <v>0</v>
      </c>
      <c r="P44" s="261" t="b">
        <v>1</v>
      </c>
      <c r="Q44" s="261" t="b">
        <v>0</v>
      </c>
      <c r="R44" s="47" t="b">
        <v>1</v>
      </c>
      <c r="S44" s="261" t="b">
        <v>1</v>
      </c>
      <c r="T44" s="262" t="b">
        <v>0</v>
      </c>
      <c r="U44" s="261" t="b">
        <v>0</v>
      </c>
      <c r="V44" s="47" t="b">
        <v>0</v>
      </c>
    </row>
    <row r="45" spans="1:22" x14ac:dyDescent="0.35">
      <c r="A45" s="258">
        <f t="shared" si="0"/>
        <v>38</v>
      </c>
      <c r="B45" s="224" t="s">
        <v>254</v>
      </c>
      <c r="C45" s="224" t="s">
        <v>197</v>
      </c>
      <c r="D45" s="258" t="s">
        <v>145</v>
      </c>
      <c r="E45" s="259" t="s">
        <v>170</v>
      </c>
      <c r="F45" s="259" t="s">
        <v>123</v>
      </c>
      <c r="G45" s="260">
        <v>2025</v>
      </c>
      <c r="H45" s="259" t="s">
        <v>376</v>
      </c>
      <c r="I45" s="259">
        <v>2023</v>
      </c>
      <c r="J45" s="259" t="s">
        <v>43</v>
      </c>
      <c r="K45" s="261" t="s">
        <v>152</v>
      </c>
      <c r="L45" s="291" t="s">
        <v>214</v>
      </c>
      <c r="M45" s="296" t="s">
        <v>379</v>
      </c>
      <c r="N45" s="261" t="b">
        <v>1</v>
      </c>
      <c r="O45" s="261" t="b">
        <v>0</v>
      </c>
      <c r="P45" s="261" t="b">
        <v>1</v>
      </c>
      <c r="Q45" s="261" t="b">
        <v>0</v>
      </c>
      <c r="R45" s="47" t="b">
        <v>1</v>
      </c>
      <c r="S45" s="261" t="b">
        <v>1</v>
      </c>
      <c r="T45" s="262" t="b">
        <v>0</v>
      </c>
      <c r="U45" s="261" t="b">
        <v>0</v>
      </c>
      <c r="V45" s="47" t="b">
        <v>0</v>
      </c>
    </row>
    <row r="46" spans="1:22" x14ac:dyDescent="0.35">
      <c r="A46" s="258">
        <f t="shared" si="0"/>
        <v>39</v>
      </c>
      <c r="B46" s="224" t="s">
        <v>255</v>
      </c>
      <c r="C46" s="224" t="s">
        <v>198</v>
      </c>
      <c r="D46" s="258" t="s">
        <v>145</v>
      </c>
      <c r="E46" s="259" t="s">
        <v>170</v>
      </c>
      <c r="F46" s="259" t="s">
        <v>123</v>
      </c>
      <c r="G46" s="260">
        <v>2025</v>
      </c>
      <c r="H46" s="259" t="s">
        <v>376</v>
      </c>
      <c r="I46" s="259">
        <v>2023</v>
      </c>
      <c r="J46" s="259" t="s">
        <v>43</v>
      </c>
      <c r="K46" s="261" t="s">
        <v>152</v>
      </c>
      <c r="L46" s="291" t="s">
        <v>214</v>
      </c>
      <c r="M46" s="296" t="s">
        <v>379</v>
      </c>
      <c r="N46" s="261" t="b">
        <v>1</v>
      </c>
      <c r="O46" s="261" t="b">
        <v>0</v>
      </c>
      <c r="P46" s="261" t="b">
        <v>1</v>
      </c>
      <c r="Q46" s="261" t="b">
        <v>0</v>
      </c>
      <c r="R46" s="47" t="b">
        <v>1</v>
      </c>
      <c r="S46" s="261" t="b">
        <v>1</v>
      </c>
      <c r="T46" s="262" t="b">
        <v>0</v>
      </c>
      <c r="U46" s="261" t="b">
        <v>0</v>
      </c>
      <c r="V46" s="47" t="b">
        <v>0</v>
      </c>
    </row>
    <row r="47" spans="1:22" x14ac:dyDescent="0.35">
      <c r="A47" s="46">
        <f t="shared" si="0"/>
        <v>40</v>
      </c>
      <c r="B47" s="246" t="s">
        <v>256</v>
      </c>
      <c r="C47" s="246" t="s">
        <v>199</v>
      </c>
      <c r="D47" s="46" t="s">
        <v>145</v>
      </c>
      <c r="E47" s="254" t="s">
        <v>51</v>
      </c>
      <c r="F47" s="254" t="s">
        <v>67</v>
      </c>
      <c r="G47" s="255">
        <v>2025</v>
      </c>
      <c r="H47" s="254" t="s">
        <v>376</v>
      </c>
      <c r="I47" s="254">
        <v>2023</v>
      </c>
      <c r="J47" s="254" t="s">
        <v>43</v>
      </c>
      <c r="K47" s="47" t="s">
        <v>152</v>
      </c>
      <c r="L47" s="289" t="s">
        <v>214</v>
      </c>
      <c r="M47" s="294" t="s">
        <v>379</v>
      </c>
      <c r="N47" s="47" t="b">
        <v>1</v>
      </c>
      <c r="O47" s="47" t="b">
        <v>0</v>
      </c>
      <c r="P47" s="47" t="b">
        <v>1</v>
      </c>
      <c r="Q47" s="47" t="b">
        <v>0</v>
      </c>
      <c r="R47" s="47" t="b">
        <v>1</v>
      </c>
      <c r="S47" s="47" t="b">
        <v>1</v>
      </c>
      <c r="T47" s="111" t="b">
        <v>0</v>
      </c>
      <c r="U47" s="47" t="b">
        <v>0</v>
      </c>
      <c r="V47" s="47" t="b">
        <v>0</v>
      </c>
    </row>
    <row r="48" spans="1:22" x14ac:dyDescent="0.35">
      <c r="A48" s="46">
        <f t="shared" si="0"/>
        <v>41</v>
      </c>
      <c r="B48" s="246" t="s">
        <v>257</v>
      </c>
      <c r="C48" s="246" t="s">
        <v>200</v>
      </c>
      <c r="D48" s="46" t="s">
        <v>145</v>
      </c>
      <c r="E48" s="254" t="s">
        <v>51</v>
      </c>
      <c r="F48" s="254" t="s">
        <v>67</v>
      </c>
      <c r="G48" s="255">
        <v>2025</v>
      </c>
      <c r="H48" s="254" t="s">
        <v>376</v>
      </c>
      <c r="I48" s="254">
        <v>2023</v>
      </c>
      <c r="J48" s="254" t="s">
        <v>43</v>
      </c>
      <c r="K48" s="47" t="s">
        <v>152</v>
      </c>
      <c r="L48" s="289" t="s">
        <v>214</v>
      </c>
      <c r="M48" s="294" t="s">
        <v>379</v>
      </c>
      <c r="N48" s="47" t="b">
        <v>1</v>
      </c>
      <c r="O48" s="47" t="b">
        <v>0</v>
      </c>
      <c r="P48" s="47" t="b">
        <v>1</v>
      </c>
      <c r="Q48" s="47" t="b">
        <v>0</v>
      </c>
      <c r="R48" s="47" t="b">
        <v>1</v>
      </c>
      <c r="S48" s="47" t="b">
        <v>1</v>
      </c>
      <c r="T48" s="111" t="b">
        <v>0</v>
      </c>
      <c r="U48" s="47" t="b">
        <v>0</v>
      </c>
      <c r="V48" s="47" t="b">
        <v>0</v>
      </c>
    </row>
    <row r="49" spans="1:22" x14ac:dyDescent="0.35">
      <c r="A49" s="46">
        <f t="shared" si="0"/>
        <v>42</v>
      </c>
      <c r="B49" s="246" t="s">
        <v>258</v>
      </c>
      <c r="C49" s="246" t="s">
        <v>201</v>
      </c>
      <c r="D49" s="46" t="s">
        <v>145</v>
      </c>
      <c r="E49" s="254" t="s">
        <v>51</v>
      </c>
      <c r="F49" s="254" t="s">
        <v>67</v>
      </c>
      <c r="G49" s="255">
        <v>2025</v>
      </c>
      <c r="H49" s="254" t="s">
        <v>376</v>
      </c>
      <c r="I49" s="254">
        <v>2023</v>
      </c>
      <c r="J49" s="254" t="s">
        <v>43</v>
      </c>
      <c r="K49" s="47" t="s">
        <v>152</v>
      </c>
      <c r="L49" s="289" t="s">
        <v>214</v>
      </c>
      <c r="M49" s="294" t="s">
        <v>379</v>
      </c>
      <c r="N49" s="47" t="b">
        <v>1</v>
      </c>
      <c r="O49" s="47" t="b">
        <v>0</v>
      </c>
      <c r="P49" s="47" t="b">
        <v>1</v>
      </c>
      <c r="Q49" s="47" t="b">
        <v>0</v>
      </c>
      <c r="R49" s="47" t="b">
        <v>1</v>
      </c>
      <c r="S49" s="47" t="b">
        <v>1</v>
      </c>
      <c r="T49" s="111" t="b">
        <v>0</v>
      </c>
      <c r="U49" s="47" t="b">
        <v>0</v>
      </c>
      <c r="V49" s="47" t="b">
        <v>0</v>
      </c>
    </row>
    <row r="50" spans="1:22" x14ac:dyDescent="0.35">
      <c r="A50" s="46">
        <f t="shared" si="0"/>
        <v>43</v>
      </c>
      <c r="B50" s="246" t="s">
        <v>259</v>
      </c>
      <c r="C50" s="246" t="s">
        <v>202</v>
      </c>
      <c r="D50" s="46" t="s">
        <v>145</v>
      </c>
      <c r="E50" s="254" t="s">
        <v>51</v>
      </c>
      <c r="F50" s="254" t="s">
        <v>67</v>
      </c>
      <c r="G50" s="255">
        <v>2025</v>
      </c>
      <c r="H50" s="254" t="s">
        <v>376</v>
      </c>
      <c r="I50" s="254">
        <v>2023</v>
      </c>
      <c r="J50" s="254" t="s">
        <v>43</v>
      </c>
      <c r="K50" s="47" t="s">
        <v>152</v>
      </c>
      <c r="L50" s="289" t="s">
        <v>214</v>
      </c>
      <c r="M50" s="294" t="s">
        <v>379</v>
      </c>
      <c r="N50" s="47" t="b">
        <v>1</v>
      </c>
      <c r="O50" s="47" t="b">
        <v>0</v>
      </c>
      <c r="P50" s="47" t="b">
        <v>1</v>
      </c>
      <c r="Q50" s="47" t="b">
        <v>0</v>
      </c>
      <c r="R50" s="47" t="b">
        <v>1</v>
      </c>
      <c r="S50" s="47" t="b">
        <v>1</v>
      </c>
      <c r="T50" s="111" t="b">
        <v>0</v>
      </c>
      <c r="U50" s="47" t="b">
        <v>0</v>
      </c>
      <c r="V50" s="47" t="b">
        <v>0</v>
      </c>
    </row>
    <row r="51" spans="1:22" x14ac:dyDescent="0.35">
      <c r="A51" s="46">
        <f t="shared" si="0"/>
        <v>44</v>
      </c>
      <c r="B51" s="246" t="s">
        <v>260</v>
      </c>
      <c r="C51" s="246" t="s">
        <v>203</v>
      </c>
      <c r="D51" s="46" t="s">
        <v>145</v>
      </c>
      <c r="E51" s="254" t="s">
        <v>51</v>
      </c>
      <c r="F51" s="254" t="s">
        <v>67</v>
      </c>
      <c r="G51" s="255">
        <v>2025</v>
      </c>
      <c r="H51" s="254" t="s">
        <v>376</v>
      </c>
      <c r="I51" s="254">
        <v>2023</v>
      </c>
      <c r="J51" s="254" t="s">
        <v>43</v>
      </c>
      <c r="K51" s="47" t="s">
        <v>152</v>
      </c>
      <c r="L51" s="289" t="s">
        <v>214</v>
      </c>
      <c r="M51" s="294" t="s">
        <v>379</v>
      </c>
      <c r="N51" s="47" t="b">
        <v>1</v>
      </c>
      <c r="O51" s="47" t="b">
        <v>0</v>
      </c>
      <c r="P51" s="47" t="b">
        <v>1</v>
      </c>
      <c r="Q51" s="47" t="b">
        <v>0</v>
      </c>
      <c r="R51" s="47" t="b">
        <v>1</v>
      </c>
      <c r="S51" s="47" t="b">
        <v>1</v>
      </c>
      <c r="T51" s="111" t="b">
        <v>0</v>
      </c>
      <c r="U51" s="47" t="b">
        <v>0</v>
      </c>
      <c r="V51" s="47" t="b">
        <v>0</v>
      </c>
    </row>
    <row r="52" spans="1:22" x14ac:dyDescent="0.35">
      <c r="A52" s="46">
        <f t="shared" si="0"/>
        <v>45</v>
      </c>
      <c r="B52" s="246" t="s">
        <v>261</v>
      </c>
      <c r="C52" s="246" t="s">
        <v>204</v>
      </c>
      <c r="D52" s="46" t="s">
        <v>145</v>
      </c>
      <c r="E52" s="254" t="s">
        <v>51</v>
      </c>
      <c r="F52" s="254" t="s">
        <v>67</v>
      </c>
      <c r="G52" s="255">
        <v>2025</v>
      </c>
      <c r="H52" s="254" t="s">
        <v>376</v>
      </c>
      <c r="I52" s="254">
        <v>2023</v>
      </c>
      <c r="J52" s="254" t="s">
        <v>43</v>
      </c>
      <c r="K52" s="47" t="s">
        <v>152</v>
      </c>
      <c r="L52" s="289" t="s">
        <v>214</v>
      </c>
      <c r="M52" s="294" t="s">
        <v>379</v>
      </c>
      <c r="N52" s="47" t="b">
        <v>1</v>
      </c>
      <c r="O52" s="47" t="b">
        <v>0</v>
      </c>
      <c r="P52" s="47" t="b">
        <v>1</v>
      </c>
      <c r="Q52" s="47" t="b">
        <v>0</v>
      </c>
      <c r="R52" s="47" t="b">
        <v>1</v>
      </c>
      <c r="S52" s="47" t="b">
        <v>1</v>
      </c>
      <c r="T52" s="111" t="b">
        <v>0</v>
      </c>
      <c r="U52" s="47" t="b">
        <v>0</v>
      </c>
      <c r="V52" s="47" t="b">
        <v>0</v>
      </c>
    </row>
    <row r="53" spans="1:22" x14ac:dyDescent="0.35">
      <c r="A53" s="53">
        <f t="shared" si="0"/>
        <v>46</v>
      </c>
      <c r="B53" s="240" t="s">
        <v>262</v>
      </c>
      <c r="C53" s="240" t="s">
        <v>205</v>
      </c>
      <c r="D53" s="53" t="s">
        <v>145</v>
      </c>
      <c r="E53" s="256" t="s">
        <v>51</v>
      </c>
      <c r="F53" s="256" t="s">
        <v>123</v>
      </c>
      <c r="G53" s="257">
        <v>2025</v>
      </c>
      <c r="H53" s="256" t="s">
        <v>376</v>
      </c>
      <c r="I53" s="256">
        <v>2023</v>
      </c>
      <c r="J53" s="256" t="s">
        <v>43</v>
      </c>
      <c r="K53" s="54" t="s">
        <v>152</v>
      </c>
      <c r="L53" s="290" t="s">
        <v>214</v>
      </c>
      <c r="M53" s="295" t="s">
        <v>379</v>
      </c>
      <c r="N53" s="54" t="b">
        <v>1</v>
      </c>
      <c r="O53" s="54" t="b">
        <v>0</v>
      </c>
      <c r="P53" s="54" t="b">
        <v>1</v>
      </c>
      <c r="Q53" s="54" t="b">
        <v>0</v>
      </c>
      <c r="R53" s="47" t="b">
        <v>1</v>
      </c>
      <c r="S53" s="54" t="b">
        <v>1</v>
      </c>
      <c r="T53" s="112" t="b">
        <v>0</v>
      </c>
      <c r="U53" s="54" t="b">
        <v>0</v>
      </c>
      <c r="V53" s="47" t="b">
        <v>0</v>
      </c>
    </row>
    <row r="54" spans="1:22" x14ac:dyDescent="0.35">
      <c r="A54" s="53">
        <f t="shared" si="0"/>
        <v>47</v>
      </c>
      <c r="B54" s="240" t="s">
        <v>263</v>
      </c>
      <c r="C54" s="240" t="s">
        <v>206</v>
      </c>
      <c r="D54" s="53" t="s">
        <v>145</v>
      </c>
      <c r="E54" s="256" t="s">
        <v>51</v>
      </c>
      <c r="F54" s="256" t="s">
        <v>123</v>
      </c>
      <c r="G54" s="257">
        <v>2025</v>
      </c>
      <c r="H54" s="256" t="s">
        <v>376</v>
      </c>
      <c r="I54" s="256">
        <v>2023</v>
      </c>
      <c r="J54" s="256" t="s">
        <v>43</v>
      </c>
      <c r="K54" s="54" t="s">
        <v>152</v>
      </c>
      <c r="L54" s="290" t="s">
        <v>214</v>
      </c>
      <c r="M54" s="295" t="s">
        <v>379</v>
      </c>
      <c r="N54" s="54" t="b">
        <v>1</v>
      </c>
      <c r="O54" s="54" t="b">
        <v>0</v>
      </c>
      <c r="P54" s="54" t="b">
        <v>1</v>
      </c>
      <c r="Q54" s="54" t="b">
        <v>0</v>
      </c>
      <c r="R54" s="47" t="b">
        <v>1</v>
      </c>
      <c r="S54" s="54" t="b">
        <v>1</v>
      </c>
      <c r="T54" s="112" t="b">
        <v>0</v>
      </c>
      <c r="U54" s="54" t="b">
        <v>0</v>
      </c>
      <c r="V54" s="47" t="b">
        <v>0</v>
      </c>
    </row>
    <row r="55" spans="1:22" x14ac:dyDescent="0.35">
      <c r="A55" s="53">
        <f t="shared" si="0"/>
        <v>48</v>
      </c>
      <c r="B55" s="240" t="s">
        <v>264</v>
      </c>
      <c r="C55" s="240" t="s">
        <v>207</v>
      </c>
      <c r="D55" s="53" t="s">
        <v>145</v>
      </c>
      <c r="E55" s="256" t="s">
        <v>51</v>
      </c>
      <c r="F55" s="256" t="s">
        <v>123</v>
      </c>
      <c r="G55" s="257">
        <v>2025</v>
      </c>
      <c r="H55" s="256" t="s">
        <v>376</v>
      </c>
      <c r="I55" s="256">
        <v>2023</v>
      </c>
      <c r="J55" s="256" t="s">
        <v>43</v>
      </c>
      <c r="K55" s="54" t="s">
        <v>152</v>
      </c>
      <c r="L55" s="290" t="s">
        <v>214</v>
      </c>
      <c r="M55" s="295" t="s">
        <v>379</v>
      </c>
      <c r="N55" s="54" t="b">
        <v>1</v>
      </c>
      <c r="O55" s="54" t="b">
        <v>0</v>
      </c>
      <c r="P55" s="54" t="b">
        <v>1</v>
      </c>
      <c r="Q55" s="54" t="b">
        <v>0</v>
      </c>
      <c r="R55" s="47" t="b">
        <v>1</v>
      </c>
      <c r="S55" s="54" t="b">
        <v>1</v>
      </c>
      <c r="T55" s="112" t="b">
        <v>0</v>
      </c>
      <c r="U55" s="54" t="b">
        <v>0</v>
      </c>
      <c r="V55" s="47" t="b">
        <v>0</v>
      </c>
    </row>
    <row r="56" spans="1:22" x14ac:dyDescent="0.35">
      <c r="A56" s="53">
        <f t="shared" si="0"/>
        <v>49</v>
      </c>
      <c r="B56" s="240" t="s">
        <v>265</v>
      </c>
      <c r="C56" s="240" t="s">
        <v>208</v>
      </c>
      <c r="D56" s="53" t="s">
        <v>145</v>
      </c>
      <c r="E56" s="256" t="s">
        <v>51</v>
      </c>
      <c r="F56" s="256" t="s">
        <v>123</v>
      </c>
      <c r="G56" s="257">
        <v>2025</v>
      </c>
      <c r="H56" s="256" t="s">
        <v>376</v>
      </c>
      <c r="I56" s="256">
        <v>2023</v>
      </c>
      <c r="J56" s="256" t="s">
        <v>43</v>
      </c>
      <c r="K56" s="54" t="s">
        <v>152</v>
      </c>
      <c r="L56" s="290" t="s">
        <v>214</v>
      </c>
      <c r="M56" s="295" t="s">
        <v>379</v>
      </c>
      <c r="N56" s="54" t="b">
        <v>1</v>
      </c>
      <c r="O56" s="54" t="b">
        <v>0</v>
      </c>
      <c r="P56" s="54" t="b">
        <v>1</v>
      </c>
      <c r="Q56" s="54" t="b">
        <v>0</v>
      </c>
      <c r="R56" s="47" t="b">
        <v>1</v>
      </c>
      <c r="S56" s="54" t="b">
        <v>1</v>
      </c>
      <c r="T56" s="112" t="b">
        <v>0</v>
      </c>
      <c r="U56" s="54" t="b">
        <v>0</v>
      </c>
      <c r="V56" s="47" t="b">
        <v>0</v>
      </c>
    </row>
    <row r="57" spans="1:22" x14ac:dyDescent="0.35">
      <c r="A57" s="53">
        <f t="shared" si="0"/>
        <v>50</v>
      </c>
      <c r="B57" s="240" t="s">
        <v>266</v>
      </c>
      <c r="C57" s="240" t="s">
        <v>209</v>
      </c>
      <c r="D57" s="53" t="s">
        <v>145</v>
      </c>
      <c r="E57" s="256" t="s">
        <v>51</v>
      </c>
      <c r="F57" s="256" t="s">
        <v>123</v>
      </c>
      <c r="G57" s="257">
        <v>2025</v>
      </c>
      <c r="H57" s="256" t="s">
        <v>376</v>
      </c>
      <c r="I57" s="256">
        <v>2023</v>
      </c>
      <c r="J57" s="256" t="s">
        <v>43</v>
      </c>
      <c r="K57" s="54" t="s">
        <v>152</v>
      </c>
      <c r="L57" s="290" t="s">
        <v>214</v>
      </c>
      <c r="M57" s="295" t="s">
        <v>379</v>
      </c>
      <c r="N57" s="54" t="b">
        <v>1</v>
      </c>
      <c r="O57" s="54" t="b">
        <v>0</v>
      </c>
      <c r="P57" s="54" t="b">
        <v>1</v>
      </c>
      <c r="Q57" s="54" t="b">
        <v>0</v>
      </c>
      <c r="R57" s="47" t="b">
        <v>1</v>
      </c>
      <c r="S57" s="54" t="b">
        <v>1</v>
      </c>
      <c r="T57" s="112" t="b">
        <v>0</v>
      </c>
      <c r="U57" s="54" t="b">
        <v>0</v>
      </c>
      <c r="V57" s="47" t="b">
        <v>0</v>
      </c>
    </row>
    <row r="58" spans="1:22" x14ac:dyDescent="0.35">
      <c r="A58" s="53">
        <f t="shared" si="0"/>
        <v>51</v>
      </c>
      <c r="B58" s="240" t="s">
        <v>267</v>
      </c>
      <c r="C58" s="240" t="s">
        <v>210</v>
      </c>
      <c r="D58" s="53" t="s">
        <v>145</v>
      </c>
      <c r="E58" s="256" t="s">
        <v>51</v>
      </c>
      <c r="F58" s="256" t="s">
        <v>123</v>
      </c>
      <c r="G58" s="257">
        <v>2025</v>
      </c>
      <c r="H58" s="256" t="s">
        <v>376</v>
      </c>
      <c r="I58" s="256">
        <v>2023</v>
      </c>
      <c r="J58" s="256" t="s">
        <v>43</v>
      </c>
      <c r="K58" s="54" t="s">
        <v>152</v>
      </c>
      <c r="L58" s="290" t="s">
        <v>214</v>
      </c>
      <c r="M58" s="295" t="s">
        <v>379</v>
      </c>
      <c r="N58" s="54" t="b">
        <v>1</v>
      </c>
      <c r="O58" s="54" t="b">
        <v>0</v>
      </c>
      <c r="P58" s="54" t="b">
        <v>1</v>
      </c>
      <c r="Q58" s="54" t="b">
        <v>0</v>
      </c>
      <c r="R58" s="47" t="b">
        <v>1</v>
      </c>
      <c r="S58" s="54" t="b">
        <v>1</v>
      </c>
      <c r="T58" s="112" t="b">
        <v>0</v>
      </c>
      <c r="U58" s="54" t="b">
        <v>0</v>
      </c>
      <c r="V58" s="47" t="b">
        <v>0</v>
      </c>
    </row>
    <row r="59" spans="1:22" x14ac:dyDescent="0.35">
      <c r="A59" s="46">
        <f t="shared" si="0"/>
        <v>52</v>
      </c>
      <c r="B59" s="246" t="s">
        <v>268</v>
      </c>
      <c r="C59" s="246" t="s">
        <v>215</v>
      </c>
      <c r="D59" s="46" t="s">
        <v>145</v>
      </c>
      <c r="E59" s="254" t="s">
        <v>51</v>
      </c>
      <c r="F59" s="254" t="s">
        <v>67</v>
      </c>
      <c r="G59" s="255">
        <v>2025</v>
      </c>
      <c r="H59" s="254" t="s">
        <v>376</v>
      </c>
      <c r="I59" s="254">
        <v>2023</v>
      </c>
      <c r="J59" s="254" t="s">
        <v>43</v>
      </c>
      <c r="K59" s="47" t="s">
        <v>152</v>
      </c>
      <c r="L59" s="289" t="s">
        <v>214</v>
      </c>
      <c r="M59" s="294" t="s">
        <v>379</v>
      </c>
      <c r="N59" s="47" t="b">
        <v>1</v>
      </c>
      <c r="O59" s="47" t="b">
        <v>0</v>
      </c>
      <c r="P59" s="47" t="b">
        <v>1</v>
      </c>
      <c r="Q59" s="47" t="b">
        <v>0</v>
      </c>
      <c r="R59" s="47" t="b">
        <v>1</v>
      </c>
      <c r="S59" s="47" t="b">
        <v>1</v>
      </c>
      <c r="T59" s="111" t="b">
        <v>0</v>
      </c>
      <c r="U59" s="47" t="b">
        <v>0</v>
      </c>
      <c r="V59" s="47" t="b">
        <v>0</v>
      </c>
    </row>
    <row r="60" spans="1:22" x14ac:dyDescent="0.35">
      <c r="A60" s="46">
        <f t="shared" si="0"/>
        <v>53</v>
      </c>
      <c r="B60" s="246" t="s">
        <v>269</v>
      </c>
      <c r="C60" s="246" t="s">
        <v>216</v>
      </c>
      <c r="D60" s="46" t="s">
        <v>145</v>
      </c>
      <c r="E60" s="254" t="s">
        <v>51</v>
      </c>
      <c r="F60" s="254" t="s">
        <v>67</v>
      </c>
      <c r="G60" s="255">
        <v>2025</v>
      </c>
      <c r="H60" s="254" t="s">
        <v>376</v>
      </c>
      <c r="I60" s="254">
        <v>2023</v>
      </c>
      <c r="J60" s="254" t="s">
        <v>43</v>
      </c>
      <c r="K60" s="47" t="s">
        <v>152</v>
      </c>
      <c r="L60" s="289" t="s">
        <v>214</v>
      </c>
      <c r="M60" s="294" t="s">
        <v>379</v>
      </c>
      <c r="N60" s="47" t="b">
        <v>1</v>
      </c>
      <c r="O60" s="47" t="b">
        <v>0</v>
      </c>
      <c r="P60" s="47" t="b">
        <v>1</v>
      </c>
      <c r="Q60" s="47" t="b">
        <v>0</v>
      </c>
      <c r="R60" s="47" t="b">
        <v>1</v>
      </c>
      <c r="S60" s="47" t="b">
        <v>1</v>
      </c>
      <c r="T60" s="111" t="b">
        <v>0</v>
      </c>
      <c r="U60" s="47" t="b">
        <v>0</v>
      </c>
      <c r="V60" s="47" t="b">
        <v>0</v>
      </c>
    </row>
    <row r="61" spans="1:22" x14ac:dyDescent="0.35">
      <c r="A61" s="53">
        <f t="shared" si="0"/>
        <v>54</v>
      </c>
      <c r="B61" s="240" t="s">
        <v>270</v>
      </c>
      <c r="C61" s="240" t="s">
        <v>215</v>
      </c>
      <c r="D61" s="53" t="s">
        <v>145</v>
      </c>
      <c r="E61" s="256" t="s">
        <v>51</v>
      </c>
      <c r="F61" s="256" t="s">
        <v>123</v>
      </c>
      <c r="G61" s="257">
        <v>2025</v>
      </c>
      <c r="H61" s="256" t="s">
        <v>376</v>
      </c>
      <c r="I61" s="256">
        <v>2023</v>
      </c>
      <c r="J61" s="256" t="s">
        <v>43</v>
      </c>
      <c r="K61" s="54" t="s">
        <v>152</v>
      </c>
      <c r="L61" s="290" t="s">
        <v>214</v>
      </c>
      <c r="M61" s="295" t="s">
        <v>379</v>
      </c>
      <c r="N61" s="54" t="b">
        <v>1</v>
      </c>
      <c r="O61" s="54" t="b">
        <v>0</v>
      </c>
      <c r="P61" s="54" t="b">
        <v>1</v>
      </c>
      <c r="Q61" s="54" t="b">
        <v>0</v>
      </c>
      <c r="R61" s="47" t="b">
        <v>1</v>
      </c>
      <c r="S61" s="54" t="b">
        <v>1</v>
      </c>
      <c r="T61" s="112" t="b">
        <v>0</v>
      </c>
      <c r="U61" s="54" t="b">
        <v>0</v>
      </c>
      <c r="V61" s="47" t="b">
        <v>0</v>
      </c>
    </row>
    <row r="62" spans="1:22" x14ac:dyDescent="0.35">
      <c r="A62" s="53">
        <f t="shared" ref="A62:A114" si="1">ROW(A62)-ROW($A$7)</f>
        <v>55</v>
      </c>
      <c r="B62" s="240" t="s">
        <v>271</v>
      </c>
      <c r="C62" s="240" t="s">
        <v>216</v>
      </c>
      <c r="D62" s="53" t="s">
        <v>145</v>
      </c>
      <c r="E62" s="256" t="s">
        <v>51</v>
      </c>
      <c r="F62" s="256" t="s">
        <v>123</v>
      </c>
      <c r="G62" s="257">
        <v>2025</v>
      </c>
      <c r="H62" s="256" t="s">
        <v>376</v>
      </c>
      <c r="I62" s="256">
        <v>2023</v>
      </c>
      <c r="J62" s="256" t="s">
        <v>43</v>
      </c>
      <c r="K62" s="54" t="s">
        <v>152</v>
      </c>
      <c r="L62" s="290" t="s">
        <v>214</v>
      </c>
      <c r="M62" s="295" t="s">
        <v>379</v>
      </c>
      <c r="N62" s="54" t="b">
        <v>1</v>
      </c>
      <c r="O62" s="54" t="b">
        <v>0</v>
      </c>
      <c r="P62" s="54" t="b">
        <v>1</v>
      </c>
      <c r="Q62" s="54" t="b">
        <v>0</v>
      </c>
      <c r="R62" s="47" t="b">
        <v>1</v>
      </c>
      <c r="S62" s="54" t="b">
        <v>1</v>
      </c>
      <c r="T62" s="112" t="b">
        <v>0</v>
      </c>
      <c r="U62" s="54" t="b">
        <v>0</v>
      </c>
      <c r="V62" s="47" t="b">
        <v>0</v>
      </c>
    </row>
    <row r="63" spans="1:22" x14ac:dyDescent="0.35">
      <c r="A63" s="258">
        <f t="shared" si="1"/>
        <v>56</v>
      </c>
      <c r="B63" s="224" t="s">
        <v>272</v>
      </c>
      <c r="C63" s="224" t="s">
        <v>215</v>
      </c>
      <c r="D63" s="258" t="s">
        <v>145</v>
      </c>
      <c r="E63" s="259" t="s">
        <v>170</v>
      </c>
      <c r="F63" s="259" t="s">
        <v>123</v>
      </c>
      <c r="G63" s="260">
        <v>2025</v>
      </c>
      <c r="H63" s="259" t="s">
        <v>376</v>
      </c>
      <c r="I63" s="259">
        <v>2023</v>
      </c>
      <c r="J63" s="259" t="s">
        <v>43</v>
      </c>
      <c r="K63" s="261" t="s">
        <v>152</v>
      </c>
      <c r="L63" s="291" t="s">
        <v>214</v>
      </c>
      <c r="M63" s="296" t="s">
        <v>379</v>
      </c>
      <c r="N63" s="261" t="b">
        <v>1</v>
      </c>
      <c r="O63" s="261" t="b">
        <v>0</v>
      </c>
      <c r="P63" s="261" t="b">
        <v>1</v>
      </c>
      <c r="Q63" s="261" t="b">
        <v>0</v>
      </c>
      <c r="R63" s="47" t="b">
        <v>1</v>
      </c>
      <c r="S63" s="261" t="b">
        <v>1</v>
      </c>
      <c r="T63" s="262" t="b">
        <v>0</v>
      </c>
      <c r="U63" s="261" t="b">
        <v>0</v>
      </c>
      <c r="V63" s="47" t="b">
        <v>0</v>
      </c>
    </row>
    <row r="64" spans="1:22" x14ac:dyDescent="0.35">
      <c r="A64" s="258">
        <f t="shared" si="1"/>
        <v>57</v>
      </c>
      <c r="B64" s="224" t="s">
        <v>273</v>
      </c>
      <c r="C64" s="224" t="s">
        <v>216</v>
      </c>
      <c r="D64" s="258" t="s">
        <v>145</v>
      </c>
      <c r="E64" s="259" t="s">
        <v>170</v>
      </c>
      <c r="F64" s="259" t="s">
        <v>123</v>
      </c>
      <c r="G64" s="260">
        <v>2025</v>
      </c>
      <c r="H64" s="259" t="s">
        <v>376</v>
      </c>
      <c r="I64" s="259">
        <v>2023</v>
      </c>
      <c r="J64" s="259" t="s">
        <v>43</v>
      </c>
      <c r="K64" s="261" t="s">
        <v>152</v>
      </c>
      <c r="L64" s="291" t="s">
        <v>214</v>
      </c>
      <c r="M64" s="296" t="s">
        <v>379</v>
      </c>
      <c r="N64" s="261" t="b">
        <v>1</v>
      </c>
      <c r="O64" s="261" t="b">
        <v>0</v>
      </c>
      <c r="P64" s="261" t="b">
        <v>1</v>
      </c>
      <c r="Q64" s="261" t="b">
        <v>0</v>
      </c>
      <c r="R64" s="47" t="b">
        <v>1</v>
      </c>
      <c r="S64" s="261" t="b">
        <v>1</v>
      </c>
      <c r="T64" s="262" t="b">
        <v>0</v>
      </c>
      <c r="U64" s="261" t="b">
        <v>0</v>
      </c>
      <c r="V64" s="47" t="b">
        <v>0</v>
      </c>
    </row>
    <row r="65" spans="1:22" x14ac:dyDescent="0.35">
      <c r="A65" s="46">
        <f t="shared" si="1"/>
        <v>58</v>
      </c>
      <c r="B65" s="246" t="s">
        <v>274</v>
      </c>
      <c r="C65" s="246" t="s">
        <v>221</v>
      </c>
      <c r="D65" s="46" t="s">
        <v>145</v>
      </c>
      <c r="E65" s="254" t="s">
        <v>51</v>
      </c>
      <c r="F65" s="254" t="s">
        <v>67</v>
      </c>
      <c r="G65" s="255">
        <v>2025</v>
      </c>
      <c r="H65" s="254" t="s">
        <v>376</v>
      </c>
      <c r="I65" s="254">
        <v>2023</v>
      </c>
      <c r="J65" s="254" t="s">
        <v>43</v>
      </c>
      <c r="K65" s="47" t="s">
        <v>152</v>
      </c>
      <c r="L65" s="289" t="s">
        <v>214</v>
      </c>
      <c r="M65" s="294" t="s">
        <v>379</v>
      </c>
      <c r="N65" s="47" t="b">
        <v>1</v>
      </c>
      <c r="O65" s="47" t="b">
        <v>0</v>
      </c>
      <c r="P65" s="47" t="b">
        <v>1</v>
      </c>
      <c r="Q65" s="47" t="b">
        <v>0</v>
      </c>
      <c r="R65" s="47" t="b">
        <v>1</v>
      </c>
      <c r="S65" s="47" t="b">
        <v>1</v>
      </c>
      <c r="T65" s="111" t="b">
        <v>0</v>
      </c>
      <c r="U65" s="47" t="b">
        <v>0</v>
      </c>
      <c r="V65" s="47" t="b">
        <v>0</v>
      </c>
    </row>
    <row r="66" spans="1:22" x14ac:dyDescent="0.35">
      <c r="A66" s="46">
        <f t="shared" si="1"/>
        <v>59</v>
      </c>
      <c r="B66" s="246" t="s">
        <v>275</v>
      </c>
      <c r="C66" s="246" t="s">
        <v>217</v>
      </c>
      <c r="D66" s="46" t="s">
        <v>145</v>
      </c>
      <c r="E66" s="254" t="s">
        <v>51</v>
      </c>
      <c r="F66" s="254" t="s">
        <v>67</v>
      </c>
      <c r="G66" s="255">
        <v>2025</v>
      </c>
      <c r="H66" s="254" t="s">
        <v>376</v>
      </c>
      <c r="I66" s="254">
        <v>2023</v>
      </c>
      <c r="J66" s="254" t="s">
        <v>43</v>
      </c>
      <c r="K66" s="47" t="s">
        <v>152</v>
      </c>
      <c r="L66" s="289" t="s">
        <v>214</v>
      </c>
      <c r="M66" s="294" t="s">
        <v>379</v>
      </c>
      <c r="N66" s="47" t="b">
        <v>1</v>
      </c>
      <c r="O66" s="47" t="b">
        <v>0</v>
      </c>
      <c r="P66" s="47" t="b">
        <v>1</v>
      </c>
      <c r="Q66" s="47" t="b">
        <v>0</v>
      </c>
      <c r="R66" s="47" t="b">
        <v>1</v>
      </c>
      <c r="S66" s="47" t="b">
        <v>1</v>
      </c>
      <c r="T66" s="111" t="b">
        <v>0</v>
      </c>
      <c r="U66" s="47" t="b">
        <v>0</v>
      </c>
      <c r="V66" s="47" t="b">
        <v>0</v>
      </c>
    </row>
    <row r="67" spans="1:22" x14ac:dyDescent="0.35">
      <c r="A67" s="53">
        <f t="shared" si="1"/>
        <v>60</v>
      </c>
      <c r="B67" s="240" t="s">
        <v>276</v>
      </c>
      <c r="C67" s="240" t="s">
        <v>222</v>
      </c>
      <c r="D67" s="53" t="s">
        <v>145</v>
      </c>
      <c r="E67" s="256" t="s">
        <v>51</v>
      </c>
      <c r="F67" s="256" t="s">
        <v>123</v>
      </c>
      <c r="G67" s="257">
        <v>2025</v>
      </c>
      <c r="H67" s="256" t="s">
        <v>376</v>
      </c>
      <c r="I67" s="256">
        <v>2023</v>
      </c>
      <c r="J67" s="256" t="s">
        <v>43</v>
      </c>
      <c r="K67" s="54" t="s">
        <v>152</v>
      </c>
      <c r="L67" s="290" t="s">
        <v>214</v>
      </c>
      <c r="M67" s="295" t="s">
        <v>379</v>
      </c>
      <c r="N67" s="54" t="b">
        <v>1</v>
      </c>
      <c r="O67" s="54" t="b">
        <v>0</v>
      </c>
      <c r="P67" s="54" t="b">
        <v>1</v>
      </c>
      <c r="Q67" s="54" t="b">
        <v>0</v>
      </c>
      <c r="R67" s="47" t="b">
        <v>1</v>
      </c>
      <c r="S67" s="54" t="b">
        <v>1</v>
      </c>
      <c r="T67" s="112" t="b">
        <v>0</v>
      </c>
      <c r="U67" s="54" t="b">
        <v>0</v>
      </c>
      <c r="V67" s="47" t="b">
        <v>0</v>
      </c>
    </row>
    <row r="68" spans="1:22" x14ac:dyDescent="0.35">
      <c r="A68" s="53">
        <f t="shared" si="1"/>
        <v>61</v>
      </c>
      <c r="B68" s="240" t="s">
        <v>277</v>
      </c>
      <c r="C68" s="240" t="s">
        <v>218</v>
      </c>
      <c r="D68" s="53" t="s">
        <v>145</v>
      </c>
      <c r="E68" s="256" t="s">
        <v>51</v>
      </c>
      <c r="F68" s="256" t="s">
        <v>123</v>
      </c>
      <c r="G68" s="257">
        <v>2025</v>
      </c>
      <c r="H68" s="256" t="s">
        <v>376</v>
      </c>
      <c r="I68" s="256">
        <v>2023</v>
      </c>
      <c r="J68" s="256" t="s">
        <v>43</v>
      </c>
      <c r="K68" s="54" t="s">
        <v>152</v>
      </c>
      <c r="L68" s="290" t="s">
        <v>214</v>
      </c>
      <c r="M68" s="295" t="s">
        <v>379</v>
      </c>
      <c r="N68" s="54" t="b">
        <v>1</v>
      </c>
      <c r="O68" s="54" t="b">
        <v>0</v>
      </c>
      <c r="P68" s="54" t="b">
        <v>1</v>
      </c>
      <c r="Q68" s="54" t="b">
        <v>0</v>
      </c>
      <c r="R68" s="47" t="b">
        <v>1</v>
      </c>
      <c r="S68" s="54" t="b">
        <v>1</v>
      </c>
      <c r="T68" s="112" t="b">
        <v>0</v>
      </c>
      <c r="U68" s="54" t="b">
        <v>0</v>
      </c>
      <c r="V68" s="47" t="b">
        <v>0</v>
      </c>
    </row>
    <row r="69" spans="1:22" x14ac:dyDescent="0.35">
      <c r="A69" s="258">
        <f t="shared" si="1"/>
        <v>62</v>
      </c>
      <c r="B69" s="224" t="s">
        <v>278</v>
      </c>
      <c r="C69" s="224" t="s">
        <v>220</v>
      </c>
      <c r="D69" s="258" t="s">
        <v>145</v>
      </c>
      <c r="E69" s="259" t="s">
        <v>170</v>
      </c>
      <c r="F69" s="259" t="s">
        <v>123</v>
      </c>
      <c r="G69" s="260">
        <v>2025</v>
      </c>
      <c r="H69" s="259" t="s">
        <v>376</v>
      </c>
      <c r="I69" s="259">
        <v>2023</v>
      </c>
      <c r="J69" s="259" t="s">
        <v>43</v>
      </c>
      <c r="K69" s="261" t="s">
        <v>152</v>
      </c>
      <c r="L69" s="291" t="s">
        <v>214</v>
      </c>
      <c r="M69" s="296" t="s">
        <v>379</v>
      </c>
      <c r="N69" s="261" t="b">
        <v>1</v>
      </c>
      <c r="O69" s="261" t="b">
        <v>0</v>
      </c>
      <c r="P69" s="261" t="b">
        <v>1</v>
      </c>
      <c r="Q69" s="261" t="b">
        <v>0</v>
      </c>
      <c r="R69" s="47" t="b">
        <v>1</v>
      </c>
      <c r="S69" s="261" t="b">
        <v>1</v>
      </c>
      <c r="T69" s="262" t="b">
        <v>0</v>
      </c>
      <c r="U69" s="261" t="b">
        <v>0</v>
      </c>
      <c r="V69" s="47" t="b">
        <v>0</v>
      </c>
    </row>
    <row r="70" spans="1:22" x14ac:dyDescent="0.35">
      <c r="A70" s="258">
        <f t="shared" si="1"/>
        <v>63</v>
      </c>
      <c r="B70" s="224" t="s">
        <v>279</v>
      </c>
      <c r="C70" s="224" t="s">
        <v>219</v>
      </c>
      <c r="D70" s="258" t="s">
        <v>145</v>
      </c>
      <c r="E70" s="259" t="s">
        <v>170</v>
      </c>
      <c r="F70" s="259" t="s">
        <v>123</v>
      </c>
      <c r="G70" s="260">
        <v>2025</v>
      </c>
      <c r="H70" s="259" t="s">
        <v>376</v>
      </c>
      <c r="I70" s="259">
        <v>2023</v>
      </c>
      <c r="J70" s="259" t="s">
        <v>43</v>
      </c>
      <c r="K70" s="261" t="s">
        <v>152</v>
      </c>
      <c r="L70" s="291" t="s">
        <v>214</v>
      </c>
      <c r="M70" s="296" t="s">
        <v>379</v>
      </c>
      <c r="N70" s="261" t="b">
        <v>1</v>
      </c>
      <c r="O70" s="261" t="b">
        <v>0</v>
      </c>
      <c r="P70" s="261" t="b">
        <v>1</v>
      </c>
      <c r="Q70" s="261" t="b">
        <v>0</v>
      </c>
      <c r="R70" s="47" t="b">
        <v>1</v>
      </c>
      <c r="S70" s="261" t="b">
        <v>1</v>
      </c>
      <c r="T70" s="262" t="b">
        <v>0</v>
      </c>
      <c r="U70" s="261" t="b">
        <v>0</v>
      </c>
      <c r="V70" s="47" t="b">
        <v>0</v>
      </c>
    </row>
    <row r="71" spans="1:22" x14ac:dyDescent="0.35">
      <c r="A71" s="46">
        <f t="shared" si="1"/>
        <v>64</v>
      </c>
      <c r="B71" s="251" t="s">
        <v>280</v>
      </c>
      <c r="C71" s="246" t="s">
        <v>189</v>
      </c>
      <c r="D71" s="46" t="s">
        <v>145</v>
      </c>
      <c r="E71" s="254" t="s">
        <v>51</v>
      </c>
      <c r="F71" s="254" t="s">
        <v>67</v>
      </c>
      <c r="G71" s="255">
        <v>2025</v>
      </c>
      <c r="H71" s="254" t="s">
        <v>376</v>
      </c>
      <c r="I71" s="254">
        <v>2030</v>
      </c>
      <c r="J71" s="254" t="s">
        <v>43</v>
      </c>
      <c r="K71" s="47" t="s">
        <v>152</v>
      </c>
      <c r="L71" s="289" t="s">
        <v>214</v>
      </c>
      <c r="M71" s="294" t="s">
        <v>379</v>
      </c>
      <c r="N71" s="47" t="b">
        <v>1</v>
      </c>
      <c r="O71" s="47" t="b">
        <v>0</v>
      </c>
      <c r="P71" s="47" t="b">
        <v>1</v>
      </c>
      <c r="Q71" s="47" t="b">
        <v>0</v>
      </c>
      <c r="R71" s="47" t="b">
        <v>1</v>
      </c>
      <c r="S71" s="47" t="b">
        <v>1</v>
      </c>
      <c r="T71" s="111" t="b">
        <v>0</v>
      </c>
      <c r="U71" s="47" t="b">
        <v>0</v>
      </c>
      <c r="V71" s="47" t="b">
        <v>0</v>
      </c>
    </row>
    <row r="72" spans="1:22" x14ac:dyDescent="0.35">
      <c r="A72" s="46">
        <f t="shared" si="1"/>
        <v>65</v>
      </c>
      <c r="B72" s="251" t="s">
        <v>281</v>
      </c>
      <c r="C72" s="246" t="s">
        <v>190</v>
      </c>
      <c r="D72" s="46" t="s">
        <v>145</v>
      </c>
      <c r="E72" s="254" t="s">
        <v>51</v>
      </c>
      <c r="F72" s="254" t="s">
        <v>67</v>
      </c>
      <c r="G72" s="255">
        <v>2025</v>
      </c>
      <c r="H72" s="254" t="s">
        <v>376</v>
      </c>
      <c r="I72" s="254">
        <v>2030</v>
      </c>
      <c r="J72" s="254" t="s">
        <v>43</v>
      </c>
      <c r="K72" s="47" t="s">
        <v>152</v>
      </c>
      <c r="L72" s="289" t="s">
        <v>214</v>
      </c>
      <c r="M72" s="294" t="s">
        <v>379</v>
      </c>
      <c r="N72" s="47" t="b">
        <v>1</v>
      </c>
      <c r="O72" s="47" t="b">
        <v>0</v>
      </c>
      <c r="P72" s="47" t="b">
        <v>1</v>
      </c>
      <c r="Q72" s="47" t="b">
        <v>0</v>
      </c>
      <c r="R72" s="47" t="b">
        <v>1</v>
      </c>
      <c r="S72" s="47" t="b">
        <v>1</v>
      </c>
      <c r="T72" s="111" t="b">
        <v>0</v>
      </c>
      <c r="U72" s="47" t="b">
        <v>0</v>
      </c>
      <c r="V72" s="47" t="b">
        <v>0</v>
      </c>
    </row>
    <row r="73" spans="1:22" x14ac:dyDescent="0.35">
      <c r="A73" s="46">
        <f t="shared" si="1"/>
        <v>66</v>
      </c>
      <c r="B73" s="251" t="s">
        <v>282</v>
      </c>
      <c r="C73" s="246" t="s">
        <v>191</v>
      </c>
      <c r="D73" s="46" t="s">
        <v>145</v>
      </c>
      <c r="E73" s="254" t="s">
        <v>51</v>
      </c>
      <c r="F73" s="254" t="s">
        <v>67</v>
      </c>
      <c r="G73" s="255">
        <v>2025</v>
      </c>
      <c r="H73" s="254" t="s">
        <v>376</v>
      </c>
      <c r="I73" s="254">
        <v>2030</v>
      </c>
      <c r="J73" s="254" t="s">
        <v>43</v>
      </c>
      <c r="K73" s="47" t="s">
        <v>152</v>
      </c>
      <c r="L73" s="289" t="s">
        <v>214</v>
      </c>
      <c r="M73" s="294" t="s">
        <v>379</v>
      </c>
      <c r="N73" s="47" t="b">
        <v>1</v>
      </c>
      <c r="O73" s="47" t="b">
        <v>0</v>
      </c>
      <c r="P73" s="47" t="b">
        <v>1</v>
      </c>
      <c r="Q73" s="47" t="b">
        <v>0</v>
      </c>
      <c r="R73" s="47" t="b">
        <v>1</v>
      </c>
      <c r="S73" s="47" t="b">
        <v>1</v>
      </c>
      <c r="T73" s="111" t="b">
        <v>0</v>
      </c>
      <c r="U73" s="47" t="b">
        <v>0</v>
      </c>
      <c r="V73" s="47" t="b">
        <v>0</v>
      </c>
    </row>
    <row r="74" spans="1:22" x14ac:dyDescent="0.35">
      <c r="A74" s="46">
        <f t="shared" si="1"/>
        <v>67</v>
      </c>
      <c r="B74" s="251" t="s">
        <v>283</v>
      </c>
      <c r="C74" s="246" t="s">
        <v>192</v>
      </c>
      <c r="D74" s="46" t="s">
        <v>145</v>
      </c>
      <c r="E74" s="254" t="s">
        <v>51</v>
      </c>
      <c r="F74" s="254" t="s">
        <v>67</v>
      </c>
      <c r="G74" s="255">
        <v>2025</v>
      </c>
      <c r="H74" s="254" t="s">
        <v>376</v>
      </c>
      <c r="I74" s="254">
        <v>2030</v>
      </c>
      <c r="J74" s="254" t="s">
        <v>43</v>
      </c>
      <c r="K74" s="47" t="s">
        <v>152</v>
      </c>
      <c r="L74" s="289" t="s">
        <v>214</v>
      </c>
      <c r="M74" s="294" t="s">
        <v>379</v>
      </c>
      <c r="N74" s="47" t="b">
        <v>1</v>
      </c>
      <c r="O74" s="47" t="b">
        <v>0</v>
      </c>
      <c r="P74" s="47" t="b">
        <v>1</v>
      </c>
      <c r="Q74" s="47" t="b">
        <v>0</v>
      </c>
      <c r="R74" s="47" t="b">
        <v>1</v>
      </c>
      <c r="S74" s="47" t="b">
        <v>1</v>
      </c>
      <c r="T74" s="111" t="b">
        <v>0</v>
      </c>
      <c r="U74" s="47" t="b">
        <v>0</v>
      </c>
      <c r="V74" s="47" t="b">
        <v>0</v>
      </c>
    </row>
    <row r="75" spans="1:22" x14ac:dyDescent="0.35">
      <c r="A75" s="46">
        <f t="shared" si="1"/>
        <v>68</v>
      </c>
      <c r="B75" s="251" t="s">
        <v>284</v>
      </c>
      <c r="C75" s="246" t="s">
        <v>213</v>
      </c>
      <c r="D75" s="46" t="s">
        <v>145</v>
      </c>
      <c r="E75" s="254" t="s">
        <v>51</v>
      </c>
      <c r="F75" s="254" t="s">
        <v>67</v>
      </c>
      <c r="G75" s="255">
        <v>2025</v>
      </c>
      <c r="H75" s="254" t="s">
        <v>376</v>
      </c>
      <c r="I75" s="254">
        <v>2030</v>
      </c>
      <c r="J75" s="254" t="s">
        <v>43</v>
      </c>
      <c r="K75" s="47" t="s">
        <v>152</v>
      </c>
      <c r="L75" s="289" t="s">
        <v>214</v>
      </c>
      <c r="M75" s="294" t="s">
        <v>379</v>
      </c>
      <c r="N75" s="47" t="b">
        <v>1</v>
      </c>
      <c r="O75" s="47" t="b">
        <v>0</v>
      </c>
      <c r="P75" s="47" t="b">
        <v>1</v>
      </c>
      <c r="Q75" s="47" t="b">
        <v>0</v>
      </c>
      <c r="R75" s="47" t="b">
        <v>1</v>
      </c>
      <c r="S75" s="47" t="b">
        <v>1</v>
      </c>
      <c r="T75" s="111" t="b">
        <v>0</v>
      </c>
      <c r="U75" s="47" t="b">
        <v>0</v>
      </c>
      <c r="V75" s="47" t="b">
        <v>0</v>
      </c>
    </row>
    <row r="76" spans="1:22" x14ac:dyDescent="0.35">
      <c r="A76" s="53">
        <f t="shared" si="1"/>
        <v>69</v>
      </c>
      <c r="B76" s="241" t="s">
        <v>285</v>
      </c>
      <c r="C76" s="240" t="s">
        <v>189</v>
      </c>
      <c r="D76" s="53" t="s">
        <v>145</v>
      </c>
      <c r="E76" s="256" t="s">
        <v>51</v>
      </c>
      <c r="F76" s="256" t="s">
        <v>123</v>
      </c>
      <c r="G76" s="257">
        <v>2025</v>
      </c>
      <c r="H76" s="256" t="s">
        <v>376</v>
      </c>
      <c r="I76" s="256">
        <v>2030</v>
      </c>
      <c r="J76" s="256" t="s">
        <v>43</v>
      </c>
      <c r="K76" s="54" t="s">
        <v>152</v>
      </c>
      <c r="L76" s="290" t="s">
        <v>214</v>
      </c>
      <c r="M76" s="295" t="s">
        <v>379</v>
      </c>
      <c r="N76" s="54" t="b">
        <v>1</v>
      </c>
      <c r="O76" s="54" t="b">
        <v>0</v>
      </c>
      <c r="P76" s="54" t="b">
        <v>1</v>
      </c>
      <c r="Q76" s="54" t="b">
        <v>0</v>
      </c>
      <c r="R76" s="47" t="b">
        <v>1</v>
      </c>
      <c r="S76" s="54" t="b">
        <v>1</v>
      </c>
      <c r="T76" s="112" t="b">
        <v>0</v>
      </c>
      <c r="U76" s="54" t="b">
        <v>0</v>
      </c>
      <c r="V76" s="47" t="b">
        <v>0</v>
      </c>
    </row>
    <row r="77" spans="1:22" x14ac:dyDescent="0.35">
      <c r="A77" s="53">
        <f t="shared" si="1"/>
        <v>70</v>
      </c>
      <c r="B77" s="241" t="s">
        <v>286</v>
      </c>
      <c r="C77" s="240" t="s">
        <v>190</v>
      </c>
      <c r="D77" s="53" t="s">
        <v>145</v>
      </c>
      <c r="E77" s="256" t="s">
        <v>51</v>
      </c>
      <c r="F77" s="256" t="s">
        <v>123</v>
      </c>
      <c r="G77" s="257">
        <v>2025</v>
      </c>
      <c r="H77" s="256" t="s">
        <v>376</v>
      </c>
      <c r="I77" s="256">
        <v>2030</v>
      </c>
      <c r="J77" s="256" t="s">
        <v>43</v>
      </c>
      <c r="K77" s="54" t="s">
        <v>152</v>
      </c>
      <c r="L77" s="290" t="s">
        <v>214</v>
      </c>
      <c r="M77" s="295" t="s">
        <v>379</v>
      </c>
      <c r="N77" s="54" t="b">
        <v>1</v>
      </c>
      <c r="O77" s="54" t="b">
        <v>0</v>
      </c>
      <c r="P77" s="54" t="b">
        <v>1</v>
      </c>
      <c r="Q77" s="54" t="b">
        <v>0</v>
      </c>
      <c r="R77" s="47" t="b">
        <v>1</v>
      </c>
      <c r="S77" s="54" t="b">
        <v>1</v>
      </c>
      <c r="T77" s="112" t="b">
        <v>0</v>
      </c>
      <c r="U77" s="54" t="b">
        <v>0</v>
      </c>
      <c r="V77" s="47" t="b">
        <v>0</v>
      </c>
    </row>
    <row r="78" spans="1:22" x14ac:dyDescent="0.35">
      <c r="A78" s="53">
        <f t="shared" si="1"/>
        <v>71</v>
      </c>
      <c r="B78" s="241" t="s">
        <v>287</v>
      </c>
      <c r="C78" s="240" t="s">
        <v>191</v>
      </c>
      <c r="D78" s="53" t="s">
        <v>145</v>
      </c>
      <c r="E78" s="256" t="s">
        <v>51</v>
      </c>
      <c r="F78" s="256" t="s">
        <v>123</v>
      </c>
      <c r="G78" s="257">
        <v>2025</v>
      </c>
      <c r="H78" s="256" t="s">
        <v>376</v>
      </c>
      <c r="I78" s="256">
        <v>2030</v>
      </c>
      <c r="J78" s="256" t="s">
        <v>43</v>
      </c>
      <c r="K78" s="54" t="s">
        <v>152</v>
      </c>
      <c r="L78" s="290" t="s">
        <v>214</v>
      </c>
      <c r="M78" s="295" t="s">
        <v>379</v>
      </c>
      <c r="N78" s="54" t="b">
        <v>1</v>
      </c>
      <c r="O78" s="54" t="b">
        <v>0</v>
      </c>
      <c r="P78" s="54" t="b">
        <v>1</v>
      </c>
      <c r="Q78" s="54" t="b">
        <v>0</v>
      </c>
      <c r="R78" s="47" t="b">
        <v>1</v>
      </c>
      <c r="S78" s="54" t="b">
        <v>1</v>
      </c>
      <c r="T78" s="112" t="b">
        <v>0</v>
      </c>
      <c r="U78" s="54" t="b">
        <v>0</v>
      </c>
      <c r="V78" s="47" t="b">
        <v>0</v>
      </c>
    </row>
    <row r="79" spans="1:22" x14ac:dyDescent="0.35">
      <c r="A79" s="53">
        <f t="shared" si="1"/>
        <v>72</v>
      </c>
      <c r="B79" s="241" t="s">
        <v>288</v>
      </c>
      <c r="C79" s="240" t="s">
        <v>192</v>
      </c>
      <c r="D79" s="53" t="s">
        <v>145</v>
      </c>
      <c r="E79" s="256" t="s">
        <v>51</v>
      </c>
      <c r="F79" s="256" t="s">
        <v>123</v>
      </c>
      <c r="G79" s="257">
        <v>2025</v>
      </c>
      <c r="H79" s="256" t="s">
        <v>376</v>
      </c>
      <c r="I79" s="256">
        <v>2030</v>
      </c>
      <c r="J79" s="256" t="s">
        <v>43</v>
      </c>
      <c r="K79" s="54" t="s">
        <v>152</v>
      </c>
      <c r="L79" s="290" t="s">
        <v>214</v>
      </c>
      <c r="M79" s="295" t="s">
        <v>379</v>
      </c>
      <c r="N79" s="54" t="b">
        <v>1</v>
      </c>
      <c r="O79" s="54" t="b">
        <v>0</v>
      </c>
      <c r="P79" s="54" t="b">
        <v>1</v>
      </c>
      <c r="Q79" s="54" t="b">
        <v>0</v>
      </c>
      <c r="R79" s="47" t="b">
        <v>1</v>
      </c>
      <c r="S79" s="54" t="b">
        <v>1</v>
      </c>
      <c r="T79" s="112" t="b">
        <v>0</v>
      </c>
      <c r="U79" s="54" t="b">
        <v>0</v>
      </c>
      <c r="V79" s="47" t="b">
        <v>0</v>
      </c>
    </row>
    <row r="80" spans="1:22" x14ac:dyDescent="0.35">
      <c r="A80" s="53">
        <f t="shared" si="1"/>
        <v>73</v>
      </c>
      <c r="B80" s="241" t="s">
        <v>289</v>
      </c>
      <c r="C80" s="240" t="s">
        <v>213</v>
      </c>
      <c r="D80" s="53" t="s">
        <v>145</v>
      </c>
      <c r="E80" s="256" t="s">
        <v>51</v>
      </c>
      <c r="F80" s="256" t="s">
        <v>123</v>
      </c>
      <c r="G80" s="257">
        <v>2025</v>
      </c>
      <c r="H80" s="256" t="s">
        <v>376</v>
      </c>
      <c r="I80" s="256">
        <v>2030</v>
      </c>
      <c r="J80" s="256" t="s">
        <v>43</v>
      </c>
      <c r="K80" s="54" t="s">
        <v>152</v>
      </c>
      <c r="L80" s="290" t="s">
        <v>214</v>
      </c>
      <c r="M80" s="295" t="s">
        <v>379</v>
      </c>
      <c r="N80" s="54" t="b">
        <v>1</v>
      </c>
      <c r="O80" s="54" t="b">
        <v>0</v>
      </c>
      <c r="P80" s="54" t="b">
        <v>1</v>
      </c>
      <c r="Q80" s="54" t="b">
        <v>0</v>
      </c>
      <c r="R80" s="47" t="b">
        <v>1</v>
      </c>
      <c r="S80" s="54" t="b">
        <v>1</v>
      </c>
      <c r="T80" s="112" t="b">
        <v>0</v>
      </c>
      <c r="U80" s="54" t="b">
        <v>0</v>
      </c>
      <c r="V80" s="47" t="b">
        <v>0</v>
      </c>
    </row>
    <row r="81" spans="1:22" x14ac:dyDescent="0.35">
      <c r="A81" s="258">
        <f t="shared" si="1"/>
        <v>74</v>
      </c>
      <c r="B81" s="244" t="s">
        <v>290</v>
      </c>
      <c r="C81" s="224" t="s">
        <v>189</v>
      </c>
      <c r="D81" s="258" t="s">
        <v>145</v>
      </c>
      <c r="E81" s="259" t="s">
        <v>170</v>
      </c>
      <c r="F81" s="259" t="s">
        <v>123</v>
      </c>
      <c r="G81" s="260">
        <v>2025</v>
      </c>
      <c r="H81" s="259" t="s">
        <v>376</v>
      </c>
      <c r="I81" s="259">
        <v>2030</v>
      </c>
      <c r="J81" s="259" t="s">
        <v>43</v>
      </c>
      <c r="K81" s="261" t="s">
        <v>152</v>
      </c>
      <c r="L81" s="291" t="s">
        <v>214</v>
      </c>
      <c r="M81" s="296" t="s">
        <v>379</v>
      </c>
      <c r="N81" s="261" t="b">
        <v>1</v>
      </c>
      <c r="O81" s="261" t="b">
        <v>0</v>
      </c>
      <c r="P81" s="261" t="b">
        <v>1</v>
      </c>
      <c r="Q81" s="261" t="b">
        <v>0</v>
      </c>
      <c r="R81" s="47" t="b">
        <v>1</v>
      </c>
      <c r="S81" s="261" t="b">
        <v>1</v>
      </c>
      <c r="T81" s="262" t="b">
        <v>0</v>
      </c>
      <c r="U81" s="261" t="b">
        <v>0</v>
      </c>
      <c r="V81" s="47" t="b">
        <v>0</v>
      </c>
    </row>
    <row r="82" spans="1:22" x14ac:dyDescent="0.35">
      <c r="A82" s="258">
        <f t="shared" si="1"/>
        <v>75</v>
      </c>
      <c r="B82" s="244" t="s">
        <v>291</v>
      </c>
      <c r="C82" s="224" t="s">
        <v>190</v>
      </c>
      <c r="D82" s="258" t="s">
        <v>145</v>
      </c>
      <c r="E82" s="259" t="s">
        <v>170</v>
      </c>
      <c r="F82" s="259" t="s">
        <v>123</v>
      </c>
      <c r="G82" s="260">
        <v>2025</v>
      </c>
      <c r="H82" s="259" t="s">
        <v>376</v>
      </c>
      <c r="I82" s="259">
        <v>2030</v>
      </c>
      <c r="J82" s="259" t="s">
        <v>43</v>
      </c>
      <c r="K82" s="261" t="s">
        <v>152</v>
      </c>
      <c r="L82" s="291" t="s">
        <v>214</v>
      </c>
      <c r="M82" s="296" t="s">
        <v>379</v>
      </c>
      <c r="N82" s="261" t="b">
        <v>1</v>
      </c>
      <c r="O82" s="261" t="b">
        <v>0</v>
      </c>
      <c r="P82" s="261" t="b">
        <v>1</v>
      </c>
      <c r="Q82" s="261" t="b">
        <v>0</v>
      </c>
      <c r="R82" s="47" t="b">
        <v>1</v>
      </c>
      <c r="S82" s="261" t="b">
        <v>1</v>
      </c>
      <c r="T82" s="262" t="b">
        <v>0</v>
      </c>
      <c r="U82" s="261" t="b">
        <v>0</v>
      </c>
      <c r="V82" s="47" t="b">
        <v>0</v>
      </c>
    </row>
    <row r="83" spans="1:22" x14ac:dyDescent="0.35">
      <c r="A83" s="258">
        <f t="shared" si="1"/>
        <v>76</v>
      </c>
      <c r="B83" s="244" t="s">
        <v>292</v>
      </c>
      <c r="C83" s="224" t="s">
        <v>191</v>
      </c>
      <c r="D83" s="258" t="s">
        <v>145</v>
      </c>
      <c r="E83" s="259" t="s">
        <v>170</v>
      </c>
      <c r="F83" s="259" t="s">
        <v>123</v>
      </c>
      <c r="G83" s="260">
        <v>2025</v>
      </c>
      <c r="H83" s="259" t="s">
        <v>376</v>
      </c>
      <c r="I83" s="259">
        <v>2030</v>
      </c>
      <c r="J83" s="259" t="s">
        <v>43</v>
      </c>
      <c r="K83" s="261" t="s">
        <v>152</v>
      </c>
      <c r="L83" s="291" t="s">
        <v>214</v>
      </c>
      <c r="M83" s="296" t="s">
        <v>379</v>
      </c>
      <c r="N83" s="261" t="b">
        <v>1</v>
      </c>
      <c r="O83" s="261" t="b">
        <v>0</v>
      </c>
      <c r="P83" s="261" t="b">
        <v>1</v>
      </c>
      <c r="Q83" s="261" t="b">
        <v>0</v>
      </c>
      <c r="R83" s="47" t="b">
        <v>1</v>
      </c>
      <c r="S83" s="261" t="b">
        <v>1</v>
      </c>
      <c r="T83" s="262" t="b">
        <v>0</v>
      </c>
      <c r="U83" s="261" t="b">
        <v>0</v>
      </c>
      <c r="V83" s="47" t="b">
        <v>0</v>
      </c>
    </row>
    <row r="84" spans="1:22" x14ac:dyDescent="0.35">
      <c r="A84" s="258">
        <f t="shared" si="1"/>
        <v>77</v>
      </c>
      <c r="B84" s="244" t="s">
        <v>293</v>
      </c>
      <c r="C84" s="224" t="s">
        <v>192</v>
      </c>
      <c r="D84" s="258" t="s">
        <v>145</v>
      </c>
      <c r="E84" s="259" t="s">
        <v>170</v>
      </c>
      <c r="F84" s="259" t="s">
        <v>123</v>
      </c>
      <c r="G84" s="260">
        <v>2025</v>
      </c>
      <c r="H84" s="259" t="s">
        <v>376</v>
      </c>
      <c r="I84" s="259">
        <v>2030</v>
      </c>
      <c r="J84" s="259" t="s">
        <v>43</v>
      </c>
      <c r="K84" s="261" t="s">
        <v>152</v>
      </c>
      <c r="L84" s="291" t="s">
        <v>214</v>
      </c>
      <c r="M84" s="296" t="s">
        <v>379</v>
      </c>
      <c r="N84" s="261" t="b">
        <v>1</v>
      </c>
      <c r="O84" s="261" t="b">
        <v>0</v>
      </c>
      <c r="P84" s="261" t="b">
        <v>1</v>
      </c>
      <c r="Q84" s="261" t="b">
        <v>0</v>
      </c>
      <c r="R84" s="47" t="b">
        <v>1</v>
      </c>
      <c r="S84" s="261" t="b">
        <v>1</v>
      </c>
      <c r="T84" s="262" t="b">
        <v>0</v>
      </c>
      <c r="U84" s="261" t="b">
        <v>0</v>
      </c>
      <c r="V84" s="47" t="b">
        <v>0</v>
      </c>
    </row>
    <row r="85" spans="1:22" x14ac:dyDescent="0.35">
      <c r="A85" s="258">
        <f t="shared" si="1"/>
        <v>78</v>
      </c>
      <c r="B85" s="244" t="s">
        <v>294</v>
      </c>
      <c r="C85" s="224" t="s">
        <v>213</v>
      </c>
      <c r="D85" s="258" t="s">
        <v>145</v>
      </c>
      <c r="E85" s="259" t="s">
        <v>170</v>
      </c>
      <c r="F85" s="259" t="s">
        <v>123</v>
      </c>
      <c r="G85" s="260">
        <v>2025</v>
      </c>
      <c r="H85" s="259" t="s">
        <v>376</v>
      </c>
      <c r="I85" s="259">
        <v>2030</v>
      </c>
      <c r="J85" s="259" t="s">
        <v>43</v>
      </c>
      <c r="K85" s="261" t="s">
        <v>152</v>
      </c>
      <c r="L85" s="291" t="s">
        <v>214</v>
      </c>
      <c r="M85" s="296" t="s">
        <v>379</v>
      </c>
      <c r="N85" s="261" t="b">
        <v>1</v>
      </c>
      <c r="O85" s="261" t="b">
        <v>0</v>
      </c>
      <c r="P85" s="261" t="b">
        <v>1</v>
      </c>
      <c r="Q85" s="261" t="b">
        <v>0</v>
      </c>
      <c r="R85" s="47" t="b">
        <v>1</v>
      </c>
      <c r="S85" s="261" t="b">
        <v>1</v>
      </c>
      <c r="T85" s="262" t="b">
        <v>0</v>
      </c>
      <c r="U85" s="261" t="b">
        <v>0</v>
      </c>
      <c r="V85" s="47" t="b">
        <v>0</v>
      </c>
    </row>
    <row r="86" spans="1:22" x14ac:dyDescent="0.35">
      <c r="A86" s="46">
        <f t="shared" si="1"/>
        <v>79</v>
      </c>
      <c r="B86" s="246" t="s">
        <v>335</v>
      </c>
      <c r="C86" s="246" t="s">
        <v>331</v>
      </c>
      <c r="D86" s="46" t="s">
        <v>145</v>
      </c>
      <c r="E86" s="254" t="s">
        <v>51</v>
      </c>
      <c r="F86" s="254" t="s">
        <v>67</v>
      </c>
      <c r="G86" s="255">
        <v>2025</v>
      </c>
      <c r="H86" s="254" t="s">
        <v>376</v>
      </c>
      <c r="I86" s="254">
        <v>2030</v>
      </c>
      <c r="J86" s="254" t="s">
        <v>43</v>
      </c>
      <c r="K86" s="47" t="s">
        <v>152</v>
      </c>
      <c r="L86" s="289" t="s">
        <v>214</v>
      </c>
      <c r="M86" s="294" t="s">
        <v>379</v>
      </c>
      <c r="N86" s="47" t="b">
        <v>1</v>
      </c>
      <c r="O86" s="47" t="b">
        <v>0</v>
      </c>
      <c r="P86" s="47" t="b">
        <v>1</v>
      </c>
      <c r="Q86" s="47" t="b">
        <v>0</v>
      </c>
      <c r="R86" s="47" t="b">
        <v>1</v>
      </c>
      <c r="S86" s="47" t="b">
        <v>1</v>
      </c>
      <c r="T86" s="111" t="b">
        <v>0</v>
      </c>
      <c r="U86" s="47" t="b">
        <v>0</v>
      </c>
      <c r="V86" s="47" t="b">
        <v>0</v>
      </c>
    </row>
    <row r="87" spans="1:22" x14ac:dyDescent="0.35">
      <c r="A87" s="46">
        <f t="shared" si="1"/>
        <v>80</v>
      </c>
      <c r="B87" s="246" t="s">
        <v>295</v>
      </c>
      <c r="C87" s="246" t="s">
        <v>195</v>
      </c>
      <c r="D87" s="46" t="s">
        <v>145</v>
      </c>
      <c r="E87" s="254" t="s">
        <v>51</v>
      </c>
      <c r="F87" s="254" t="s">
        <v>67</v>
      </c>
      <c r="G87" s="255">
        <v>2025</v>
      </c>
      <c r="H87" s="254" t="s">
        <v>376</v>
      </c>
      <c r="I87" s="254">
        <v>2030</v>
      </c>
      <c r="J87" s="254" t="s">
        <v>43</v>
      </c>
      <c r="K87" s="47" t="s">
        <v>152</v>
      </c>
      <c r="L87" s="289" t="s">
        <v>214</v>
      </c>
      <c r="M87" s="294" t="s">
        <v>379</v>
      </c>
      <c r="N87" s="47" t="b">
        <v>1</v>
      </c>
      <c r="O87" s="47" t="b">
        <v>0</v>
      </c>
      <c r="P87" s="47" t="b">
        <v>1</v>
      </c>
      <c r="Q87" s="47" t="b">
        <v>0</v>
      </c>
      <c r="R87" s="47" t="b">
        <v>1</v>
      </c>
      <c r="S87" s="47" t="b">
        <v>1</v>
      </c>
      <c r="T87" s="111" t="b">
        <v>0</v>
      </c>
      <c r="U87" s="47" t="b">
        <v>0</v>
      </c>
      <c r="V87" s="47" t="b">
        <v>0</v>
      </c>
    </row>
    <row r="88" spans="1:22" x14ac:dyDescent="0.35">
      <c r="A88" s="46">
        <f t="shared" si="1"/>
        <v>81</v>
      </c>
      <c r="B88" s="246" t="s">
        <v>296</v>
      </c>
      <c r="C88" s="246" t="s">
        <v>196</v>
      </c>
      <c r="D88" s="46" t="s">
        <v>145</v>
      </c>
      <c r="E88" s="254" t="s">
        <v>51</v>
      </c>
      <c r="F88" s="254" t="s">
        <v>67</v>
      </c>
      <c r="G88" s="255">
        <v>2025</v>
      </c>
      <c r="H88" s="254" t="s">
        <v>376</v>
      </c>
      <c r="I88" s="254">
        <v>2030</v>
      </c>
      <c r="J88" s="254" t="s">
        <v>43</v>
      </c>
      <c r="K88" s="47" t="s">
        <v>152</v>
      </c>
      <c r="L88" s="289" t="s">
        <v>214</v>
      </c>
      <c r="M88" s="294" t="s">
        <v>379</v>
      </c>
      <c r="N88" s="47" t="b">
        <v>1</v>
      </c>
      <c r="O88" s="47" t="b">
        <v>0</v>
      </c>
      <c r="P88" s="47" t="b">
        <v>1</v>
      </c>
      <c r="Q88" s="47" t="b">
        <v>0</v>
      </c>
      <c r="R88" s="47" t="b">
        <v>1</v>
      </c>
      <c r="S88" s="47" t="b">
        <v>1</v>
      </c>
      <c r="T88" s="111" t="b">
        <v>0</v>
      </c>
      <c r="U88" s="47" t="b">
        <v>0</v>
      </c>
      <c r="V88" s="47" t="b">
        <v>0</v>
      </c>
    </row>
    <row r="89" spans="1:22" x14ac:dyDescent="0.35">
      <c r="A89" s="46">
        <f t="shared" si="1"/>
        <v>82</v>
      </c>
      <c r="B89" s="246" t="s">
        <v>297</v>
      </c>
      <c r="C89" s="246" t="s">
        <v>197</v>
      </c>
      <c r="D89" s="46" t="s">
        <v>145</v>
      </c>
      <c r="E89" s="254" t="s">
        <v>51</v>
      </c>
      <c r="F89" s="254" t="s">
        <v>67</v>
      </c>
      <c r="G89" s="255">
        <v>2025</v>
      </c>
      <c r="H89" s="254" t="s">
        <v>376</v>
      </c>
      <c r="I89" s="254">
        <v>2030</v>
      </c>
      <c r="J89" s="254" t="s">
        <v>43</v>
      </c>
      <c r="K89" s="47" t="s">
        <v>152</v>
      </c>
      <c r="L89" s="289" t="s">
        <v>214</v>
      </c>
      <c r="M89" s="294" t="s">
        <v>379</v>
      </c>
      <c r="N89" s="47" t="b">
        <v>1</v>
      </c>
      <c r="O89" s="47" t="b">
        <v>0</v>
      </c>
      <c r="P89" s="47" t="b">
        <v>1</v>
      </c>
      <c r="Q89" s="47" t="b">
        <v>0</v>
      </c>
      <c r="R89" s="47" t="b">
        <v>1</v>
      </c>
      <c r="S89" s="47" t="b">
        <v>1</v>
      </c>
      <c r="T89" s="111" t="b">
        <v>0</v>
      </c>
      <c r="U89" s="47" t="b">
        <v>0</v>
      </c>
      <c r="V89" s="47" t="b">
        <v>0</v>
      </c>
    </row>
    <row r="90" spans="1:22" x14ac:dyDescent="0.35">
      <c r="A90" s="46">
        <f t="shared" si="1"/>
        <v>83</v>
      </c>
      <c r="B90" s="246" t="s">
        <v>298</v>
      </c>
      <c r="C90" s="246" t="s">
        <v>198</v>
      </c>
      <c r="D90" s="46" t="s">
        <v>145</v>
      </c>
      <c r="E90" s="254" t="s">
        <v>51</v>
      </c>
      <c r="F90" s="254" t="s">
        <v>67</v>
      </c>
      <c r="G90" s="255">
        <v>2025</v>
      </c>
      <c r="H90" s="254" t="s">
        <v>376</v>
      </c>
      <c r="I90" s="254">
        <v>2030</v>
      </c>
      <c r="J90" s="254" t="s">
        <v>43</v>
      </c>
      <c r="K90" s="47" t="s">
        <v>152</v>
      </c>
      <c r="L90" s="289" t="s">
        <v>214</v>
      </c>
      <c r="M90" s="294" t="s">
        <v>379</v>
      </c>
      <c r="N90" s="47" t="b">
        <v>1</v>
      </c>
      <c r="O90" s="47" t="b">
        <v>0</v>
      </c>
      <c r="P90" s="47" t="b">
        <v>1</v>
      </c>
      <c r="Q90" s="47" t="b">
        <v>0</v>
      </c>
      <c r="R90" s="47" t="b">
        <v>1</v>
      </c>
      <c r="S90" s="47" t="b">
        <v>1</v>
      </c>
      <c r="T90" s="111" t="b">
        <v>0</v>
      </c>
      <c r="U90" s="47" t="b">
        <v>0</v>
      </c>
      <c r="V90" s="47" t="b">
        <v>0</v>
      </c>
    </row>
    <row r="91" spans="1:22" x14ac:dyDescent="0.35">
      <c r="A91" s="53">
        <f t="shared" si="1"/>
        <v>84</v>
      </c>
      <c r="B91" s="240" t="s">
        <v>336</v>
      </c>
      <c r="C91" s="240" t="s">
        <v>331</v>
      </c>
      <c r="D91" s="53" t="s">
        <v>145</v>
      </c>
      <c r="E91" s="256" t="s">
        <v>51</v>
      </c>
      <c r="F91" s="256" t="s">
        <v>123</v>
      </c>
      <c r="G91" s="257">
        <v>2025</v>
      </c>
      <c r="H91" s="256" t="s">
        <v>376</v>
      </c>
      <c r="I91" s="256">
        <v>2030</v>
      </c>
      <c r="J91" s="256" t="s">
        <v>43</v>
      </c>
      <c r="K91" s="54" t="s">
        <v>152</v>
      </c>
      <c r="L91" s="290" t="s">
        <v>214</v>
      </c>
      <c r="M91" s="295" t="s">
        <v>379</v>
      </c>
      <c r="N91" s="54" t="b">
        <v>1</v>
      </c>
      <c r="O91" s="54" t="b">
        <v>0</v>
      </c>
      <c r="P91" s="54" t="b">
        <v>1</v>
      </c>
      <c r="Q91" s="54" t="b">
        <v>0</v>
      </c>
      <c r="R91" s="47" t="b">
        <v>1</v>
      </c>
      <c r="S91" s="54" t="b">
        <v>1</v>
      </c>
      <c r="T91" s="112" t="b">
        <v>0</v>
      </c>
      <c r="U91" s="54" t="b">
        <v>0</v>
      </c>
      <c r="V91" s="47" t="b">
        <v>0</v>
      </c>
    </row>
    <row r="92" spans="1:22" x14ac:dyDescent="0.35">
      <c r="A92" s="53">
        <f t="shared" si="1"/>
        <v>85</v>
      </c>
      <c r="B92" s="240" t="s">
        <v>299</v>
      </c>
      <c r="C92" s="240" t="s">
        <v>195</v>
      </c>
      <c r="D92" s="53" t="s">
        <v>145</v>
      </c>
      <c r="E92" s="256" t="s">
        <v>51</v>
      </c>
      <c r="F92" s="256" t="s">
        <v>123</v>
      </c>
      <c r="G92" s="257">
        <v>2025</v>
      </c>
      <c r="H92" s="256" t="s">
        <v>376</v>
      </c>
      <c r="I92" s="256">
        <v>2030</v>
      </c>
      <c r="J92" s="256" t="s">
        <v>43</v>
      </c>
      <c r="K92" s="54" t="s">
        <v>152</v>
      </c>
      <c r="L92" s="290" t="s">
        <v>214</v>
      </c>
      <c r="M92" s="295" t="s">
        <v>379</v>
      </c>
      <c r="N92" s="54" t="b">
        <v>1</v>
      </c>
      <c r="O92" s="54" t="b">
        <v>0</v>
      </c>
      <c r="P92" s="54" t="b">
        <v>1</v>
      </c>
      <c r="Q92" s="54" t="b">
        <v>0</v>
      </c>
      <c r="R92" s="47" t="b">
        <v>1</v>
      </c>
      <c r="S92" s="54" t="b">
        <v>1</v>
      </c>
      <c r="T92" s="112" t="b">
        <v>0</v>
      </c>
      <c r="U92" s="54" t="b">
        <v>0</v>
      </c>
      <c r="V92" s="47" t="b">
        <v>0</v>
      </c>
    </row>
    <row r="93" spans="1:22" x14ac:dyDescent="0.35">
      <c r="A93" s="53">
        <f t="shared" si="1"/>
        <v>86</v>
      </c>
      <c r="B93" s="240" t="s">
        <v>300</v>
      </c>
      <c r="C93" s="240" t="s">
        <v>196</v>
      </c>
      <c r="D93" s="53" t="s">
        <v>145</v>
      </c>
      <c r="E93" s="256" t="s">
        <v>51</v>
      </c>
      <c r="F93" s="256" t="s">
        <v>123</v>
      </c>
      <c r="G93" s="257">
        <v>2025</v>
      </c>
      <c r="H93" s="256" t="s">
        <v>376</v>
      </c>
      <c r="I93" s="256">
        <v>2030</v>
      </c>
      <c r="J93" s="256" t="s">
        <v>43</v>
      </c>
      <c r="K93" s="54" t="s">
        <v>152</v>
      </c>
      <c r="L93" s="290" t="s">
        <v>214</v>
      </c>
      <c r="M93" s="295" t="s">
        <v>379</v>
      </c>
      <c r="N93" s="54" t="b">
        <v>1</v>
      </c>
      <c r="O93" s="54" t="b">
        <v>0</v>
      </c>
      <c r="P93" s="54" t="b">
        <v>1</v>
      </c>
      <c r="Q93" s="54" t="b">
        <v>0</v>
      </c>
      <c r="R93" s="47" t="b">
        <v>1</v>
      </c>
      <c r="S93" s="54" t="b">
        <v>1</v>
      </c>
      <c r="T93" s="112" t="b">
        <v>0</v>
      </c>
      <c r="U93" s="54" t="b">
        <v>0</v>
      </c>
      <c r="V93" s="47" t="b">
        <v>0</v>
      </c>
    </row>
    <row r="94" spans="1:22" x14ac:dyDescent="0.35">
      <c r="A94" s="53">
        <f t="shared" si="1"/>
        <v>87</v>
      </c>
      <c r="B94" s="240" t="s">
        <v>301</v>
      </c>
      <c r="C94" s="240" t="s">
        <v>197</v>
      </c>
      <c r="D94" s="53" t="s">
        <v>145</v>
      </c>
      <c r="E94" s="256" t="s">
        <v>51</v>
      </c>
      <c r="F94" s="256" t="s">
        <v>123</v>
      </c>
      <c r="G94" s="257">
        <v>2025</v>
      </c>
      <c r="H94" s="256" t="s">
        <v>376</v>
      </c>
      <c r="I94" s="256">
        <v>2030</v>
      </c>
      <c r="J94" s="256" t="s">
        <v>43</v>
      </c>
      <c r="K94" s="54" t="s">
        <v>152</v>
      </c>
      <c r="L94" s="290" t="s">
        <v>214</v>
      </c>
      <c r="M94" s="295" t="s">
        <v>379</v>
      </c>
      <c r="N94" s="54" t="b">
        <v>1</v>
      </c>
      <c r="O94" s="54" t="b">
        <v>0</v>
      </c>
      <c r="P94" s="54" t="b">
        <v>1</v>
      </c>
      <c r="Q94" s="54" t="b">
        <v>0</v>
      </c>
      <c r="R94" s="47" t="b">
        <v>1</v>
      </c>
      <c r="S94" s="54" t="b">
        <v>1</v>
      </c>
      <c r="T94" s="112" t="b">
        <v>0</v>
      </c>
      <c r="U94" s="54" t="b">
        <v>0</v>
      </c>
      <c r="V94" s="47" t="b">
        <v>0</v>
      </c>
    </row>
    <row r="95" spans="1:22" x14ac:dyDescent="0.35">
      <c r="A95" s="53">
        <f t="shared" si="1"/>
        <v>88</v>
      </c>
      <c r="B95" s="240" t="s">
        <v>302</v>
      </c>
      <c r="C95" s="240" t="s">
        <v>198</v>
      </c>
      <c r="D95" s="53" t="s">
        <v>145</v>
      </c>
      <c r="E95" s="256" t="s">
        <v>51</v>
      </c>
      <c r="F95" s="256" t="s">
        <v>123</v>
      </c>
      <c r="G95" s="257">
        <v>2025</v>
      </c>
      <c r="H95" s="256" t="s">
        <v>376</v>
      </c>
      <c r="I95" s="256">
        <v>2030</v>
      </c>
      <c r="J95" s="256" t="s">
        <v>43</v>
      </c>
      <c r="K95" s="54" t="s">
        <v>152</v>
      </c>
      <c r="L95" s="290" t="s">
        <v>214</v>
      </c>
      <c r="M95" s="295" t="s">
        <v>379</v>
      </c>
      <c r="N95" s="54" t="b">
        <v>1</v>
      </c>
      <c r="O95" s="54" t="b">
        <v>0</v>
      </c>
      <c r="P95" s="54" t="b">
        <v>1</v>
      </c>
      <c r="Q95" s="54" t="b">
        <v>0</v>
      </c>
      <c r="R95" s="47" t="b">
        <v>1</v>
      </c>
      <c r="S95" s="54" t="b">
        <v>1</v>
      </c>
      <c r="T95" s="112" t="b">
        <v>0</v>
      </c>
      <c r="U95" s="54" t="b">
        <v>0</v>
      </c>
      <c r="V95" s="47" t="b">
        <v>0</v>
      </c>
    </row>
    <row r="96" spans="1:22" x14ac:dyDescent="0.35">
      <c r="A96" s="258">
        <f t="shared" si="1"/>
        <v>89</v>
      </c>
      <c r="B96" s="224" t="s">
        <v>337</v>
      </c>
      <c r="C96" s="224" t="s">
        <v>331</v>
      </c>
      <c r="D96" s="258" t="s">
        <v>145</v>
      </c>
      <c r="E96" s="259" t="s">
        <v>170</v>
      </c>
      <c r="F96" s="259" t="s">
        <v>123</v>
      </c>
      <c r="G96" s="260">
        <v>2025</v>
      </c>
      <c r="H96" s="259" t="s">
        <v>376</v>
      </c>
      <c r="I96" s="259">
        <v>2030</v>
      </c>
      <c r="J96" s="259" t="s">
        <v>43</v>
      </c>
      <c r="K96" s="261" t="s">
        <v>152</v>
      </c>
      <c r="L96" s="291" t="s">
        <v>214</v>
      </c>
      <c r="M96" s="296" t="s">
        <v>379</v>
      </c>
      <c r="N96" s="261" t="b">
        <v>1</v>
      </c>
      <c r="O96" s="261" t="b">
        <v>0</v>
      </c>
      <c r="P96" s="261" t="b">
        <v>1</v>
      </c>
      <c r="Q96" s="261" t="b">
        <v>0</v>
      </c>
      <c r="R96" s="47" t="b">
        <v>1</v>
      </c>
      <c r="S96" s="261" t="b">
        <v>1</v>
      </c>
      <c r="T96" s="262" t="b">
        <v>0</v>
      </c>
      <c r="U96" s="261" t="b">
        <v>0</v>
      </c>
      <c r="V96" s="47" t="b">
        <v>0</v>
      </c>
    </row>
    <row r="97" spans="1:22" x14ac:dyDescent="0.35">
      <c r="A97" s="258">
        <f t="shared" si="1"/>
        <v>90</v>
      </c>
      <c r="B97" s="224" t="s">
        <v>303</v>
      </c>
      <c r="C97" s="224" t="s">
        <v>195</v>
      </c>
      <c r="D97" s="258" t="s">
        <v>145</v>
      </c>
      <c r="E97" s="259" t="s">
        <v>170</v>
      </c>
      <c r="F97" s="259" t="s">
        <v>123</v>
      </c>
      <c r="G97" s="260">
        <v>2025</v>
      </c>
      <c r="H97" s="259" t="s">
        <v>376</v>
      </c>
      <c r="I97" s="259">
        <v>2030</v>
      </c>
      <c r="J97" s="259" t="s">
        <v>43</v>
      </c>
      <c r="K97" s="261" t="s">
        <v>152</v>
      </c>
      <c r="L97" s="291" t="s">
        <v>214</v>
      </c>
      <c r="M97" s="296" t="s">
        <v>379</v>
      </c>
      <c r="N97" s="261" t="b">
        <v>1</v>
      </c>
      <c r="O97" s="261" t="b">
        <v>0</v>
      </c>
      <c r="P97" s="261" t="b">
        <v>1</v>
      </c>
      <c r="Q97" s="261" t="b">
        <v>0</v>
      </c>
      <c r="R97" s="47" t="b">
        <v>1</v>
      </c>
      <c r="S97" s="261" t="b">
        <v>1</v>
      </c>
      <c r="T97" s="262" t="b">
        <v>0</v>
      </c>
      <c r="U97" s="261" t="b">
        <v>0</v>
      </c>
      <c r="V97" s="47" t="b">
        <v>0</v>
      </c>
    </row>
    <row r="98" spans="1:22" x14ac:dyDescent="0.35">
      <c r="A98" s="258">
        <f t="shared" si="1"/>
        <v>91</v>
      </c>
      <c r="B98" s="224" t="s">
        <v>304</v>
      </c>
      <c r="C98" s="224" t="s">
        <v>196</v>
      </c>
      <c r="D98" s="258" t="s">
        <v>145</v>
      </c>
      <c r="E98" s="259" t="s">
        <v>170</v>
      </c>
      <c r="F98" s="259" t="s">
        <v>123</v>
      </c>
      <c r="G98" s="260">
        <v>2025</v>
      </c>
      <c r="H98" s="259" t="s">
        <v>376</v>
      </c>
      <c r="I98" s="259">
        <v>2030</v>
      </c>
      <c r="J98" s="259" t="s">
        <v>43</v>
      </c>
      <c r="K98" s="261" t="s">
        <v>152</v>
      </c>
      <c r="L98" s="291" t="s">
        <v>214</v>
      </c>
      <c r="M98" s="296" t="s">
        <v>379</v>
      </c>
      <c r="N98" s="261" t="b">
        <v>1</v>
      </c>
      <c r="O98" s="261" t="b">
        <v>0</v>
      </c>
      <c r="P98" s="261" t="b">
        <v>1</v>
      </c>
      <c r="Q98" s="261" t="b">
        <v>0</v>
      </c>
      <c r="R98" s="47" t="b">
        <v>1</v>
      </c>
      <c r="S98" s="261" t="b">
        <v>1</v>
      </c>
      <c r="T98" s="262" t="b">
        <v>0</v>
      </c>
      <c r="U98" s="261" t="b">
        <v>0</v>
      </c>
      <c r="V98" s="47" t="b">
        <v>0</v>
      </c>
    </row>
    <row r="99" spans="1:22" x14ac:dyDescent="0.35">
      <c r="A99" s="258">
        <f t="shared" si="1"/>
        <v>92</v>
      </c>
      <c r="B99" s="224" t="s">
        <v>305</v>
      </c>
      <c r="C99" s="224" t="s">
        <v>197</v>
      </c>
      <c r="D99" s="258" t="s">
        <v>145</v>
      </c>
      <c r="E99" s="259" t="s">
        <v>170</v>
      </c>
      <c r="F99" s="259" t="s">
        <v>123</v>
      </c>
      <c r="G99" s="260">
        <v>2025</v>
      </c>
      <c r="H99" s="259" t="s">
        <v>376</v>
      </c>
      <c r="I99" s="259">
        <v>2030</v>
      </c>
      <c r="J99" s="259" t="s">
        <v>43</v>
      </c>
      <c r="K99" s="261" t="s">
        <v>152</v>
      </c>
      <c r="L99" s="291" t="s">
        <v>214</v>
      </c>
      <c r="M99" s="296" t="s">
        <v>379</v>
      </c>
      <c r="N99" s="261" t="b">
        <v>1</v>
      </c>
      <c r="O99" s="261" t="b">
        <v>0</v>
      </c>
      <c r="P99" s="261" t="b">
        <v>1</v>
      </c>
      <c r="Q99" s="261" t="b">
        <v>0</v>
      </c>
      <c r="R99" s="47" t="b">
        <v>1</v>
      </c>
      <c r="S99" s="261" t="b">
        <v>1</v>
      </c>
      <c r="T99" s="262" t="b">
        <v>0</v>
      </c>
      <c r="U99" s="261" t="b">
        <v>0</v>
      </c>
      <c r="V99" s="47" t="b">
        <v>0</v>
      </c>
    </row>
    <row r="100" spans="1:22" x14ac:dyDescent="0.35">
      <c r="A100" s="258">
        <f t="shared" si="1"/>
        <v>93</v>
      </c>
      <c r="B100" s="224" t="s">
        <v>306</v>
      </c>
      <c r="C100" s="224" t="s">
        <v>198</v>
      </c>
      <c r="D100" s="258" t="s">
        <v>145</v>
      </c>
      <c r="E100" s="259" t="s">
        <v>170</v>
      </c>
      <c r="F100" s="259" t="s">
        <v>123</v>
      </c>
      <c r="G100" s="260">
        <v>2025</v>
      </c>
      <c r="H100" s="259" t="s">
        <v>376</v>
      </c>
      <c r="I100" s="259">
        <v>2030</v>
      </c>
      <c r="J100" s="259" t="s">
        <v>43</v>
      </c>
      <c r="K100" s="261" t="s">
        <v>152</v>
      </c>
      <c r="L100" s="291" t="s">
        <v>214</v>
      </c>
      <c r="M100" s="296" t="s">
        <v>379</v>
      </c>
      <c r="N100" s="261" t="b">
        <v>1</v>
      </c>
      <c r="O100" s="261" t="b">
        <v>0</v>
      </c>
      <c r="P100" s="261" t="b">
        <v>1</v>
      </c>
      <c r="Q100" s="261" t="b">
        <v>0</v>
      </c>
      <c r="R100" s="47" t="b">
        <v>1</v>
      </c>
      <c r="S100" s="261" t="b">
        <v>1</v>
      </c>
      <c r="T100" s="262" t="b">
        <v>0</v>
      </c>
      <c r="U100" s="261" t="b">
        <v>0</v>
      </c>
      <c r="V100" s="47" t="b">
        <v>0</v>
      </c>
    </row>
    <row r="101" spans="1:22" x14ac:dyDescent="0.35">
      <c r="A101" s="46">
        <f t="shared" si="1"/>
        <v>94</v>
      </c>
      <c r="B101" s="246" t="s">
        <v>307</v>
      </c>
      <c r="C101" s="246" t="s">
        <v>199</v>
      </c>
      <c r="D101" s="46" t="s">
        <v>145</v>
      </c>
      <c r="E101" s="254" t="s">
        <v>51</v>
      </c>
      <c r="F101" s="254" t="s">
        <v>67</v>
      </c>
      <c r="G101" s="255">
        <v>2025</v>
      </c>
      <c r="H101" s="254" t="s">
        <v>376</v>
      </c>
      <c r="I101" s="254">
        <v>2030</v>
      </c>
      <c r="J101" s="254" t="s">
        <v>43</v>
      </c>
      <c r="K101" s="47" t="s">
        <v>152</v>
      </c>
      <c r="L101" s="289" t="s">
        <v>214</v>
      </c>
      <c r="M101" s="294" t="s">
        <v>379</v>
      </c>
      <c r="N101" s="47" t="b">
        <v>1</v>
      </c>
      <c r="O101" s="47" t="b">
        <v>0</v>
      </c>
      <c r="P101" s="47" t="b">
        <v>1</v>
      </c>
      <c r="Q101" s="47" t="b">
        <v>0</v>
      </c>
      <c r="R101" s="47" t="b">
        <v>1</v>
      </c>
      <c r="S101" s="47" t="b">
        <v>1</v>
      </c>
      <c r="T101" s="111" t="b">
        <v>0</v>
      </c>
      <c r="U101" s="47" t="b">
        <v>0</v>
      </c>
      <c r="V101" s="47" t="b">
        <v>0</v>
      </c>
    </row>
    <row r="102" spans="1:22" x14ac:dyDescent="0.35">
      <c r="A102" s="46">
        <f t="shared" si="1"/>
        <v>95</v>
      </c>
      <c r="B102" s="246" t="s">
        <v>308</v>
      </c>
      <c r="C102" s="246" t="s">
        <v>200</v>
      </c>
      <c r="D102" s="46" t="s">
        <v>145</v>
      </c>
      <c r="E102" s="254" t="s">
        <v>51</v>
      </c>
      <c r="F102" s="254" t="s">
        <v>67</v>
      </c>
      <c r="G102" s="255">
        <v>2025</v>
      </c>
      <c r="H102" s="254" t="s">
        <v>376</v>
      </c>
      <c r="I102" s="254">
        <v>2030</v>
      </c>
      <c r="J102" s="254" t="s">
        <v>43</v>
      </c>
      <c r="K102" s="47" t="s">
        <v>152</v>
      </c>
      <c r="L102" s="289" t="s">
        <v>214</v>
      </c>
      <c r="M102" s="294" t="s">
        <v>379</v>
      </c>
      <c r="N102" s="47" t="b">
        <v>1</v>
      </c>
      <c r="O102" s="47" t="b">
        <v>0</v>
      </c>
      <c r="P102" s="47" t="b">
        <v>1</v>
      </c>
      <c r="Q102" s="47" t="b">
        <v>0</v>
      </c>
      <c r="R102" s="47" t="b">
        <v>1</v>
      </c>
      <c r="S102" s="47" t="b">
        <v>1</v>
      </c>
      <c r="T102" s="111" t="b">
        <v>0</v>
      </c>
      <c r="U102" s="47" t="b">
        <v>0</v>
      </c>
      <c r="V102" s="47" t="b">
        <v>0</v>
      </c>
    </row>
    <row r="103" spans="1:22" x14ac:dyDescent="0.35">
      <c r="A103" s="46">
        <f t="shared" si="1"/>
        <v>96</v>
      </c>
      <c r="B103" s="246" t="s">
        <v>309</v>
      </c>
      <c r="C103" s="246" t="s">
        <v>201</v>
      </c>
      <c r="D103" s="46" t="s">
        <v>145</v>
      </c>
      <c r="E103" s="254" t="s">
        <v>51</v>
      </c>
      <c r="F103" s="254" t="s">
        <v>67</v>
      </c>
      <c r="G103" s="255">
        <v>2025</v>
      </c>
      <c r="H103" s="254" t="s">
        <v>376</v>
      </c>
      <c r="I103" s="254">
        <v>2030</v>
      </c>
      <c r="J103" s="254" t="s">
        <v>43</v>
      </c>
      <c r="K103" s="47" t="s">
        <v>152</v>
      </c>
      <c r="L103" s="289" t="s">
        <v>214</v>
      </c>
      <c r="M103" s="294" t="s">
        <v>379</v>
      </c>
      <c r="N103" s="47" t="b">
        <v>1</v>
      </c>
      <c r="O103" s="47" t="b">
        <v>0</v>
      </c>
      <c r="P103" s="47" t="b">
        <v>1</v>
      </c>
      <c r="Q103" s="47" t="b">
        <v>0</v>
      </c>
      <c r="R103" s="47" t="b">
        <v>1</v>
      </c>
      <c r="S103" s="47" t="b">
        <v>1</v>
      </c>
      <c r="T103" s="111" t="b">
        <v>0</v>
      </c>
      <c r="U103" s="47" t="b">
        <v>0</v>
      </c>
      <c r="V103" s="47" t="b">
        <v>0</v>
      </c>
    </row>
    <row r="104" spans="1:22" x14ac:dyDescent="0.35">
      <c r="A104" s="46">
        <f t="shared" si="1"/>
        <v>97</v>
      </c>
      <c r="B104" s="246" t="s">
        <v>310</v>
      </c>
      <c r="C104" s="246" t="s">
        <v>202</v>
      </c>
      <c r="D104" s="46" t="s">
        <v>145</v>
      </c>
      <c r="E104" s="254" t="s">
        <v>51</v>
      </c>
      <c r="F104" s="254" t="s">
        <v>67</v>
      </c>
      <c r="G104" s="255">
        <v>2025</v>
      </c>
      <c r="H104" s="254" t="s">
        <v>376</v>
      </c>
      <c r="I104" s="254">
        <v>2030</v>
      </c>
      <c r="J104" s="254" t="s">
        <v>43</v>
      </c>
      <c r="K104" s="47" t="s">
        <v>152</v>
      </c>
      <c r="L104" s="289" t="s">
        <v>214</v>
      </c>
      <c r="M104" s="294" t="s">
        <v>379</v>
      </c>
      <c r="N104" s="47" t="b">
        <v>1</v>
      </c>
      <c r="O104" s="47" t="b">
        <v>0</v>
      </c>
      <c r="P104" s="47" t="b">
        <v>1</v>
      </c>
      <c r="Q104" s="47" t="b">
        <v>0</v>
      </c>
      <c r="R104" s="47" t="b">
        <v>1</v>
      </c>
      <c r="S104" s="47" t="b">
        <v>1</v>
      </c>
      <c r="T104" s="111" t="b">
        <v>0</v>
      </c>
      <c r="U104" s="47" t="b">
        <v>0</v>
      </c>
      <c r="V104" s="47" t="b">
        <v>0</v>
      </c>
    </row>
    <row r="105" spans="1:22" x14ac:dyDescent="0.35">
      <c r="A105" s="46">
        <f t="shared" si="1"/>
        <v>98</v>
      </c>
      <c r="B105" s="246" t="s">
        <v>311</v>
      </c>
      <c r="C105" s="246" t="s">
        <v>203</v>
      </c>
      <c r="D105" s="46" t="s">
        <v>145</v>
      </c>
      <c r="E105" s="254" t="s">
        <v>51</v>
      </c>
      <c r="F105" s="254" t="s">
        <v>67</v>
      </c>
      <c r="G105" s="255">
        <v>2025</v>
      </c>
      <c r="H105" s="254" t="s">
        <v>376</v>
      </c>
      <c r="I105" s="254">
        <v>2030</v>
      </c>
      <c r="J105" s="254" t="s">
        <v>43</v>
      </c>
      <c r="K105" s="47" t="s">
        <v>152</v>
      </c>
      <c r="L105" s="289" t="s">
        <v>214</v>
      </c>
      <c r="M105" s="294" t="s">
        <v>379</v>
      </c>
      <c r="N105" s="47" t="b">
        <v>1</v>
      </c>
      <c r="O105" s="47" t="b">
        <v>0</v>
      </c>
      <c r="P105" s="47" t="b">
        <v>1</v>
      </c>
      <c r="Q105" s="47" t="b">
        <v>0</v>
      </c>
      <c r="R105" s="47" t="b">
        <v>1</v>
      </c>
      <c r="S105" s="47" t="b">
        <v>1</v>
      </c>
      <c r="T105" s="111" t="b">
        <v>0</v>
      </c>
      <c r="U105" s="47" t="b">
        <v>0</v>
      </c>
      <c r="V105" s="47" t="b">
        <v>0</v>
      </c>
    </row>
    <row r="106" spans="1:22" x14ac:dyDescent="0.35">
      <c r="A106" s="46">
        <f t="shared" si="1"/>
        <v>99</v>
      </c>
      <c r="B106" s="246" t="s">
        <v>312</v>
      </c>
      <c r="C106" s="246" t="s">
        <v>204</v>
      </c>
      <c r="D106" s="46" t="s">
        <v>145</v>
      </c>
      <c r="E106" s="254" t="s">
        <v>51</v>
      </c>
      <c r="F106" s="254" t="s">
        <v>67</v>
      </c>
      <c r="G106" s="255">
        <v>2025</v>
      </c>
      <c r="H106" s="254" t="s">
        <v>376</v>
      </c>
      <c r="I106" s="254">
        <v>2030</v>
      </c>
      <c r="J106" s="254" t="s">
        <v>43</v>
      </c>
      <c r="K106" s="47" t="s">
        <v>152</v>
      </c>
      <c r="L106" s="289" t="s">
        <v>214</v>
      </c>
      <c r="M106" s="294" t="s">
        <v>379</v>
      </c>
      <c r="N106" s="47" t="b">
        <v>1</v>
      </c>
      <c r="O106" s="47" t="b">
        <v>0</v>
      </c>
      <c r="P106" s="47" t="b">
        <v>1</v>
      </c>
      <c r="Q106" s="47" t="b">
        <v>0</v>
      </c>
      <c r="R106" s="47" t="b">
        <v>1</v>
      </c>
      <c r="S106" s="47" t="b">
        <v>1</v>
      </c>
      <c r="T106" s="111" t="b">
        <v>0</v>
      </c>
      <c r="U106" s="47" t="b">
        <v>0</v>
      </c>
      <c r="V106" s="47" t="b">
        <v>0</v>
      </c>
    </row>
    <row r="107" spans="1:22" x14ac:dyDescent="0.35">
      <c r="A107" s="53">
        <f t="shared" si="1"/>
        <v>100</v>
      </c>
      <c r="B107" s="240" t="s">
        <v>313</v>
      </c>
      <c r="C107" s="240" t="s">
        <v>205</v>
      </c>
      <c r="D107" s="53" t="s">
        <v>145</v>
      </c>
      <c r="E107" s="256" t="s">
        <v>51</v>
      </c>
      <c r="F107" s="256" t="s">
        <v>123</v>
      </c>
      <c r="G107" s="257">
        <v>2025</v>
      </c>
      <c r="H107" s="256" t="s">
        <v>376</v>
      </c>
      <c r="I107" s="256">
        <v>2030</v>
      </c>
      <c r="J107" s="256" t="s">
        <v>43</v>
      </c>
      <c r="K107" s="54" t="s">
        <v>152</v>
      </c>
      <c r="L107" s="290" t="s">
        <v>214</v>
      </c>
      <c r="M107" s="295" t="s">
        <v>379</v>
      </c>
      <c r="N107" s="54" t="b">
        <v>1</v>
      </c>
      <c r="O107" s="54" t="b">
        <v>0</v>
      </c>
      <c r="P107" s="54" t="b">
        <v>1</v>
      </c>
      <c r="Q107" s="54" t="b">
        <v>0</v>
      </c>
      <c r="R107" s="47" t="b">
        <v>1</v>
      </c>
      <c r="S107" s="54" t="b">
        <v>1</v>
      </c>
      <c r="T107" s="112" t="b">
        <v>0</v>
      </c>
      <c r="U107" s="54" t="b">
        <v>0</v>
      </c>
      <c r="V107" s="47" t="b">
        <v>0</v>
      </c>
    </row>
    <row r="108" spans="1:22" x14ac:dyDescent="0.35">
      <c r="A108" s="53">
        <f t="shared" si="1"/>
        <v>101</v>
      </c>
      <c r="B108" s="240" t="s">
        <v>314</v>
      </c>
      <c r="C108" s="240" t="s">
        <v>206</v>
      </c>
      <c r="D108" s="53" t="s">
        <v>145</v>
      </c>
      <c r="E108" s="256" t="s">
        <v>51</v>
      </c>
      <c r="F108" s="256" t="s">
        <v>123</v>
      </c>
      <c r="G108" s="257">
        <v>2025</v>
      </c>
      <c r="H108" s="256" t="s">
        <v>376</v>
      </c>
      <c r="I108" s="256">
        <v>2030</v>
      </c>
      <c r="J108" s="256" t="s">
        <v>43</v>
      </c>
      <c r="K108" s="54" t="s">
        <v>152</v>
      </c>
      <c r="L108" s="290" t="s">
        <v>214</v>
      </c>
      <c r="M108" s="295" t="s">
        <v>379</v>
      </c>
      <c r="N108" s="54" t="b">
        <v>1</v>
      </c>
      <c r="O108" s="54" t="b">
        <v>0</v>
      </c>
      <c r="P108" s="54" t="b">
        <v>1</v>
      </c>
      <c r="Q108" s="54" t="b">
        <v>0</v>
      </c>
      <c r="R108" s="47" t="b">
        <v>1</v>
      </c>
      <c r="S108" s="54" t="b">
        <v>1</v>
      </c>
      <c r="T108" s="112" t="b">
        <v>0</v>
      </c>
      <c r="U108" s="54" t="b">
        <v>0</v>
      </c>
      <c r="V108" s="47" t="b">
        <v>0</v>
      </c>
    </row>
    <row r="109" spans="1:22" x14ac:dyDescent="0.35">
      <c r="A109" s="53">
        <f t="shared" si="1"/>
        <v>102</v>
      </c>
      <c r="B109" s="240" t="s">
        <v>315</v>
      </c>
      <c r="C109" s="240" t="s">
        <v>207</v>
      </c>
      <c r="D109" s="53" t="s">
        <v>145</v>
      </c>
      <c r="E109" s="256" t="s">
        <v>51</v>
      </c>
      <c r="F109" s="256" t="s">
        <v>123</v>
      </c>
      <c r="G109" s="257">
        <v>2025</v>
      </c>
      <c r="H109" s="256" t="s">
        <v>376</v>
      </c>
      <c r="I109" s="256">
        <v>2030</v>
      </c>
      <c r="J109" s="256" t="s">
        <v>43</v>
      </c>
      <c r="K109" s="54" t="s">
        <v>152</v>
      </c>
      <c r="L109" s="290" t="s">
        <v>214</v>
      </c>
      <c r="M109" s="295" t="s">
        <v>379</v>
      </c>
      <c r="N109" s="54" t="b">
        <v>1</v>
      </c>
      <c r="O109" s="54" t="b">
        <v>0</v>
      </c>
      <c r="P109" s="54" t="b">
        <v>1</v>
      </c>
      <c r="Q109" s="54" t="b">
        <v>0</v>
      </c>
      <c r="R109" s="47" t="b">
        <v>1</v>
      </c>
      <c r="S109" s="54" t="b">
        <v>1</v>
      </c>
      <c r="T109" s="112" t="b">
        <v>0</v>
      </c>
      <c r="U109" s="54" t="b">
        <v>0</v>
      </c>
      <c r="V109" s="47" t="b">
        <v>0</v>
      </c>
    </row>
    <row r="110" spans="1:22" x14ac:dyDescent="0.35">
      <c r="A110" s="53">
        <f t="shared" si="1"/>
        <v>103</v>
      </c>
      <c r="B110" s="240" t="s">
        <v>316</v>
      </c>
      <c r="C110" s="240" t="s">
        <v>208</v>
      </c>
      <c r="D110" s="53" t="s">
        <v>145</v>
      </c>
      <c r="E110" s="256" t="s">
        <v>51</v>
      </c>
      <c r="F110" s="256" t="s">
        <v>123</v>
      </c>
      <c r="G110" s="257">
        <v>2025</v>
      </c>
      <c r="H110" s="256" t="s">
        <v>376</v>
      </c>
      <c r="I110" s="256">
        <v>2030</v>
      </c>
      <c r="J110" s="256" t="s">
        <v>43</v>
      </c>
      <c r="K110" s="54" t="s">
        <v>152</v>
      </c>
      <c r="L110" s="290" t="s">
        <v>214</v>
      </c>
      <c r="M110" s="295" t="s">
        <v>379</v>
      </c>
      <c r="N110" s="54" t="b">
        <v>1</v>
      </c>
      <c r="O110" s="54" t="b">
        <v>0</v>
      </c>
      <c r="P110" s="54" t="b">
        <v>1</v>
      </c>
      <c r="Q110" s="54" t="b">
        <v>0</v>
      </c>
      <c r="R110" s="47" t="b">
        <v>1</v>
      </c>
      <c r="S110" s="54" t="b">
        <v>1</v>
      </c>
      <c r="T110" s="112" t="b">
        <v>0</v>
      </c>
      <c r="U110" s="54" t="b">
        <v>0</v>
      </c>
      <c r="V110" s="47" t="b">
        <v>0</v>
      </c>
    </row>
    <row r="111" spans="1:22" x14ac:dyDescent="0.35">
      <c r="A111" s="53">
        <f t="shared" si="1"/>
        <v>104</v>
      </c>
      <c r="B111" s="240" t="s">
        <v>317</v>
      </c>
      <c r="C111" s="240" t="s">
        <v>209</v>
      </c>
      <c r="D111" s="53" t="s">
        <v>145</v>
      </c>
      <c r="E111" s="256" t="s">
        <v>51</v>
      </c>
      <c r="F111" s="256" t="s">
        <v>123</v>
      </c>
      <c r="G111" s="257">
        <v>2025</v>
      </c>
      <c r="H111" s="256" t="s">
        <v>376</v>
      </c>
      <c r="I111" s="256">
        <v>2030</v>
      </c>
      <c r="J111" s="256" t="s">
        <v>43</v>
      </c>
      <c r="K111" s="54" t="s">
        <v>152</v>
      </c>
      <c r="L111" s="290" t="s">
        <v>214</v>
      </c>
      <c r="M111" s="295" t="s">
        <v>379</v>
      </c>
      <c r="N111" s="54" t="b">
        <v>1</v>
      </c>
      <c r="O111" s="54" t="b">
        <v>0</v>
      </c>
      <c r="P111" s="54" t="b">
        <v>1</v>
      </c>
      <c r="Q111" s="54" t="b">
        <v>0</v>
      </c>
      <c r="R111" s="47" t="b">
        <v>1</v>
      </c>
      <c r="S111" s="54" t="b">
        <v>1</v>
      </c>
      <c r="T111" s="112" t="b">
        <v>0</v>
      </c>
      <c r="U111" s="54" t="b">
        <v>0</v>
      </c>
      <c r="V111" s="47" t="b">
        <v>0</v>
      </c>
    </row>
    <row r="112" spans="1:22" x14ac:dyDescent="0.35">
      <c r="A112" s="53">
        <f t="shared" si="1"/>
        <v>105</v>
      </c>
      <c r="B112" s="240" t="s">
        <v>318</v>
      </c>
      <c r="C112" s="240" t="s">
        <v>210</v>
      </c>
      <c r="D112" s="53" t="s">
        <v>145</v>
      </c>
      <c r="E112" s="256" t="s">
        <v>51</v>
      </c>
      <c r="F112" s="256" t="s">
        <v>123</v>
      </c>
      <c r="G112" s="257">
        <v>2025</v>
      </c>
      <c r="H112" s="256" t="s">
        <v>376</v>
      </c>
      <c r="I112" s="256">
        <v>2030</v>
      </c>
      <c r="J112" s="256" t="s">
        <v>43</v>
      </c>
      <c r="K112" s="54" t="s">
        <v>152</v>
      </c>
      <c r="L112" s="290" t="s">
        <v>214</v>
      </c>
      <c r="M112" s="295" t="s">
        <v>379</v>
      </c>
      <c r="N112" s="54" t="b">
        <v>1</v>
      </c>
      <c r="O112" s="54" t="b">
        <v>0</v>
      </c>
      <c r="P112" s="54" t="b">
        <v>1</v>
      </c>
      <c r="Q112" s="54" t="b">
        <v>0</v>
      </c>
      <c r="R112" s="47" t="b">
        <v>1</v>
      </c>
      <c r="S112" s="54" t="b">
        <v>1</v>
      </c>
      <c r="T112" s="112" t="b">
        <v>0</v>
      </c>
      <c r="U112" s="54" t="b">
        <v>0</v>
      </c>
      <c r="V112" s="47" t="b">
        <v>0</v>
      </c>
    </row>
    <row r="113" spans="1:22" x14ac:dyDescent="0.35">
      <c r="A113" s="46">
        <f t="shared" si="1"/>
        <v>106</v>
      </c>
      <c r="B113" s="246" t="s">
        <v>319</v>
      </c>
      <c r="C113" s="246" t="s">
        <v>215</v>
      </c>
      <c r="D113" s="46" t="s">
        <v>145</v>
      </c>
      <c r="E113" s="254" t="s">
        <v>51</v>
      </c>
      <c r="F113" s="254" t="s">
        <v>67</v>
      </c>
      <c r="G113" s="255">
        <v>2025</v>
      </c>
      <c r="H113" s="254" t="s">
        <v>376</v>
      </c>
      <c r="I113" s="254">
        <v>2030</v>
      </c>
      <c r="J113" s="254" t="s">
        <v>43</v>
      </c>
      <c r="K113" s="47" t="s">
        <v>152</v>
      </c>
      <c r="L113" s="289" t="s">
        <v>214</v>
      </c>
      <c r="M113" s="294" t="s">
        <v>379</v>
      </c>
      <c r="N113" s="47" t="b">
        <v>1</v>
      </c>
      <c r="O113" s="47" t="b">
        <v>0</v>
      </c>
      <c r="P113" s="47" t="b">
        <v>1</v>
      </c>
      <c r="Q113" s="47" t="b">
        <v>0</v>
      </c>
      <c r="R113" s="47" t="b">
        <v>1</v>
      </c>
      <c r="S113" s="47" t="b">
        <v>1</v>
      </c>
      <c r="T113" s="111" t="b">
        <v>0</v>
      </c>
      <c r="U113" s="47" t="b">
        <v>0</v>
      </c>
      <c r="V113" s="47" t="b">
        <v>0</v>
      </c>
    </row>
    <row r="114" spans="1:22" x14ac:dyDescent="0.35">
      <c r="A114" s="46">
        <f t="shared" si="1"/>
        <v>107</v>
      </c>
      <c r="B114" s="246" t="s">
        <v>320</v>
      </c>
      <c r="C114" s="246" t="s">
        <v>216</v>
      </c>
      <c r="D114" s="46" t="s">
        <v>145</v>
      </c>
      <c r="E114" s="254" t="s">
        <v>51</v>
      </c>
      <c r="F114" s="254" t="s">
        <v>67</v>
      </c>
      <c r="G114" s="255">
        <v>2025</v>
      </c>
      <c r="H114" s="254" t="s">
        <v>376</v>
      </c>
      <c r="I114" s="254">
        <v>2030</v>
      </c>
      <c r="J114" s="254" t="s">
        <v>43</v>
      </c>
      <c r="K114" s="47" t="s">
        <v>152</v>
      </c>
      <c r="L114" s="289" t="s">
        <v>214</v>
      </c>
      <c r="M114" s="294" t="s">
        <v>379</v>
      </c>
      <c r="N114" s="47" t="b">
        <v>1</v>
      </c>
      <c r="O114" s="47" t="b">
        <v>0</v>
      </c>
      <c r="P114" s="47" t="b">
        <v>1</v>
      </c>
      <c r="Q114" s="47" t="b">
        <v>0</v>
      </c>
      <c r="R114" s="47" t="b">
        <v>1</v>
      </c>
      <c r="S114" s="47" t="b">
        <v>1</v>
      </c>
      <c r="T114" s="111" t="b">
        <v>0</v>
      </c>
      <c r="U114" s="47" t="b">
        <v>0</v>
      </c>
      <c r="V114" s="47" t="b">
        <v>0</v>
      </c>
    </row>
    <row r="115" spans="1:22" x14ac:dyDescent="0.35">
      <c r="A115" s="53">
        <f t="shared" ref="A115:A154" si="2">ROW(A115)-ROW($A$7)</f>
        <v>108</v>
      </c>
      <c r="B115" s="240" t="s">
        <v>321</v>
      </c>
      <c r="C115" s="240" t="s">
        <v>215</v>
      </c>
      <c r="D115" s="53" t="s">
        <v>145</v>
      </c>
      <c r="E115" s="256" t="s">
        <v>51</v>
      </c>
      <c r="F115" s="256" t="s">
        <v>123</v>
      </c>
      <c r="G115" s="257">
        <v>2025</v>
      </c>
      <c r="H115" s="256" t="s">
        <v>376</v>
      </c>
      <c r="I115" s="256">
        <v>2030</v>
      </c>
      <c r="J115" s="256" t="s">
        <v>43</v>
      </c>
      <c r="K115" s="54" t="s">
        <v>152</v>
      </c>
      <c r="L115" s="290" t="s">
        <v>214</v>
      </c>
      <c r="M115" s="295" t="s">
        <v>379</v>
      </c>
      <c r="N115" s="54" t="b">
        <v>1</v>
      </c>
      <c r="O115" s="54" t="b">
        <v>0</v>
      </c>
      <c r="P115" s="54" t="b">
        <v>1</v>
      </c>
      <c r="Q115" s="54" t="b">
        <v>0</v>
      </c>
      <c r="R115" s="47" t="b">
        <v>1</v>
      </c>
      <c r="S115" s="54" t="b">
        <v>1</v>
      </c>
      <c r="T115" s="112" t="b">
        <v>0</v>
      </c>
      <c r="U115" s="54" t="b">
        <v>0</v>
      </c>
      <c r="V115" s="47" t="b">
        <v>0</v>
      </c>
    </row>
    <row r="116" spans="1:22" x14ac:dyDescent="0.35">
      <c r="A116" s="53">
        <f t="shared" si="2"/>
        <v>109</v>
      </c>
      <c r="B116" s="240" t="s">
        <v>322</v>
      </c>
      <c r="C116" s="240" t="s">
        <v>216</v>
      </c>
      <c r="D116" s="53" t="s">
        <v>145</v>
      </c>
      <c r="E116" s="256" t="s">
        <v>51</v>
      </c>
      <c r="F116" s="256" t="s">
        <v>123</v>
      </c>
      <c r="G116" s="257">
        <v>2025</v>
      </c>
      <c r="H116" s="256" t="s">
        <v>376</v>
      </c>
      <c r="I116" s="256">
        <v>2030</v>
      </c>
      <c r="J116" s="256" t="s">
        <v>43</v>
      </c>
      <c r="K116" s="54" t="s">
        <v>152</v>
      </c>
      <c r="L116" s="290" t="s">
        <v>214</v>
      </c>
      <c r="M116" s="295" t="s">
        <v>379</v>
      </c>
      <c r="N116" s="54" t="b">
        <v>1</v>
      </c>
      <c r="O116" s="54" t="b">
        <v>0</v>
      </c>
      <c r="P116" s="54" t="b">
        <v>1</v>
      </c>
      <c r="Q116" s="54" t="b">
        <v>0</v>
      </c>
      <c r="R116" s="47" t="b">
        <v>1</v>
      </c>
      <c r="S116" s="54" t="b">
        <v>1</v>
      </c>
      <c r="T116" s="112" t="b">
        <v>0</v>
      </c>
      <c r="U116" s="54" t="b">
        <v>0</v>
      </c>
      <c r="V116" s="47" t="b">
        <v>0</v>
      </c>
    </row>
    <row r="117" spans="1:22" x14ac:dyDescent="0.35">
      <c r="A117" s="258">
        <f t="shared" si="2"/>
        <v>110</v>
      </c>
      <c r="B117" s="224" t="s">
        <v>323</v>
      </c>
      <c r="C117" s="224" t="s">
        <v>215</v>
      </c>
      <c r="D117" s="258" t="s">
        <v>145</v>
      </c>
      <c r="E117" s="259" t="s">
        <v>170</v>
      </c>
      <c r="F117" s="259" t="s">
        <v>123</v>
      </c>
      <c r="G117" s="260">
        <v>2025</v>
      </c>
      <c r="H117" s="259" t="s">
        <v>376</v>
      </c>
      <c r="I117" s="259">
        <v>2030</v>
      </c>
      <c r="J117" s="259" t="s">
        <v>43</v>
      </c>
      <c r="K117" s="261" t="s">
        <v>152</v>
      </c>
      <c r="L117" s="291" t="s">
        <v>214</v>
      </c>
      <c r="M117" s="296" t="s">
        <v>379</v>
      </c>
      <c r="N117" s="261" t="b">
        <v>1</v>
      </c>
      <c r="O117" s="261" t="b">
        <v>0</v>
      </c>
      <c r="P117" s="261" t="b">
        <v>1</v>
      </c>
      <c r="Q117" s="261" t="b">
        <v>0</v>
      </c>
      <c r="R117" s="47" t="b">
        <v>1</v>
      </c>
      <c r="S117" s="261" t="b">
        <v>1</v>
      </c>
      <c r="T117" s="262" t="b">
        <v>0</v>
      </c>
      <c r="U117" s="261" t="b">
        <v>0</v>
      </c>
      <c r="V117" s="47" t="b">
        <v>0</v>
      </c>
    </row>
    <row r="118" spans="1:22" x14ac:dyDescent="0.35">
      <c r="A118" s="258">
        <f t="shared" si="2"/>
        <v>111</v>
      </c>
      <c r="B118" s="224" t="s">
        <v>324</v>
      </c>
      <c r="C118" s="224" t="s">
        <v>216</v>
      </c>
      <c r="D118" s="258" t="s">
        <v>145</v>
      </c>
      <c r="E118" s="259" t="s">
        <v>170</v>
      </c>
      <c r="F118" s="259" t="s">
        <v>123</v>
      </c>
      <c r="G118" s="260">
        <v>2025</v>
      </c>
      <c r="H118" s="259" t="s">
        <v>376</v>
      </c>
      <c r="I118" s="259">
        <v>2030</v>
      </c>
      <c r="J118" s="259" t="s">
        <v>43</v>
      </c>
      <c r="K118" s="261" t="s">
        <v>152</v>
      </c>
      <c r="L118" s="291" t="s">
        <v>214</v>
      </c>
      <c r="M118" s="296" t="s">
        <v>379</v>
      </c>
      <c r="N118" s="261" t="b">
        <v>1</v>
      </c>
      <c r="O118" s="261" t="b">
        <v>0</v>
      </c>
      <c r="P118" s="261" t="b">
        <v>1</v>
      </c>
      <c r="Q118" s="261" t="b">
        <v>0</v>
      </c>
      <c r="R118" s="47" t="b">
        <v>1</v>
      </c>
      <c r="S118" s="261" t="b">
        <v>1</v>
      </c>
      <c r="T118" s="262" t="b">
        <v>0</v>
      </c>
      <c r="U118" s="261" t="b">
        <v>0</v>
      </c>
      <c r="V118" s="47" t="b">
        <v>0</v>
      </c>
    </row>
    <row r="119" spans="1:22" x14ac:dyDescent="0.35">
      <c r="A119" s="46">
        <f t="shared" si="2"/>
        <v>112</v>
      </c>
      <c r="B119" s="246" t="s">
        <v>325</v>
      </c>
      <c r="C119" s="246" t="s">
        <v>221</v>
      </c>
      <c r="D119" s="46" t="s">
        <v>145</v>
      </c>
      <c r="E119" s="254" t="s">
        <v>51</v>
      </c>
      <c r="F119" s="254" t="s">
        <v>67</v>
      </c>
      <c r="G119" s="255">
        <v>2025</v>
      </c>
      <c r="H119" s="254" t="s">
        <v>376</v>
      </c>
      <c r="I119" s="254">
        <v>2030</v>
      </c>
      <c r="J119" s="254" t="s">
        <v>43</v>
      </c>
      <c r="K119" s="47" t="s">
        <v>152</v>
      </c>
      <c r="L119" s="289" t="s">
        <v>214</v>
      </c>
      <c r="M119" s="294" t="s">
        <v>379</v>
      </c>
      <c r="N119" s="47" t="b">
        <v>1</v>
      </c>
      <c r="O119" s="47" t="b">
        <v>0</v>
      </c>
      <c r="P119" s="47" t="b">
        <v>1</v>
      </c>
      <c r="Q119" s="47" t="b">
        <v>0</v>
      </c>
      <c r="R119" s="47" t="b">
        <v>1</v>
      </c>
      <c r="S119" s="47" t="b">
        <v>1</v>
      </c>
      <c r="T119" s="111" t="b">
        <v>0</v>
      </c>
      <c r="U119" s="47" t="b">
        <v>0</v>
      </c>
      <c r="V119" s="47" t="b">
        <v>0</v>
      </c>
    </row>
    <row r="120" spans="1:22" x14ac:dyDescent="0.35">
      <c r="A120" s="46">
        <f t="shared" si="2"/>
        <v>113</v>
      </c>
      <c r="B120" s="246" t="s">
        <v>326</v>
      </c>
      <c r="C120" s="246" t="s">
        <v>217</v>
      </c>
      <c r="D120" s="46" t="s">
        <v>145</v>
      </c>
      <c r="E120" s="254" t="s">
        <v>51</v>
      </c>
      <c r="F120" s="254" t="s">
        <v>67</v>
      </c>
      <c r="G120" s="255">
        <v>2025</v>
      </c>
      <c r="H120" s="254" t="s">
        <v>376</v>
      </c>
      <c r="I120" s="254">
        <v>2030</v>
      </c>
      <c r="J120" s="254" t="s">
        <v>43</v>
      </c>
      <c r="K120" s="47" t="s">
        <v>152</v>
      </c>
      <c r="L120" s="289" t="s">
        <v>214</v>
      </c>
      <c r="M120" s="294" t="s">
        <v>379</v>
      </c>
      <c r="N120" s="47" t="b">
        <v>1</v>
      </c>
      <c r="O120" s="47" t="b">
        <v>0</v>
      </c>
      <c r="P120" s="47" t="b">
        <v>1</v>
      </c>
      <c r="Q120" s="47" t="b">
        <v>0</v>
      </c>
      <c r="R120" s="47" t="b">
        <v>1</v>
      </c>
      <c r="S120" s="47" t="b">
        <v>1</v>
      </c>
      <c r="T120" s="111" t="b">
        <v>0</v>
      </c>
      <c r="U120" s="47" t="b">
        <v>0</v>
      </c>
      <c r="V120" s="47" t="b">
        <v>0</v>
      </c>
    </row>
    <row r="121" spans="1:22" x14ac:dyDescent="0.35">
      <c r="A121" s="53">
        <f t="shared" si="2"/>
        <v>114</v>
      </c>
      <c r="B121" s="240" t="s">
        <v>327</v>
      </c>
      <c r="C121" s="240" t="s">
        <v>222</v>
      </c>
      <c r="D121" s="53" t="s">
        <v>145</v>
      </c>
      <c r="E121" s="256" t="s">
        <v>51</v>
      </c>
      <c r="F121" s="256" t="s">
        <v>123</v>
      </c>
      <c r="G121" s="257">
        <v>2025</v>
      </c>
      <c r="H121" s="256" t="s">
        <v>376</v>
      </c>
      <c r="I121" s="256">
        <v>2030</v>
      </c>
      <c r="J121" s="256" t="s">
        <v>43</v>
      </c>
      <c r="K121" s="54" t="s">
        <v>152</v>
      </c>
      <c r="L121" s="290" t="s">
        <v>214</v>
      </c>
      <c r="M121" s="295" t="s">
        <v>379</v>
      </c>
      <c r="N121" s="54" t="b">
        <v>1</v>
      </c>
      <c r="O121" s="54" t="b">
        <v>0</v>
      </c>
      <c r="P121" s="54" t="b">
        <v>1</v>
      </c>
      <c r="Q121" s="54" t="b">
        <v>0</v>
      </c>
      <c r="R121" s="47" t="b">
        <v>1</v>
      </c>
      <c r="S121" s="54" t="b">
        <v>1</v>
      </c>
      <c r="T121" s="112" t="b">
        <v>0</v>
      </c>
      <c r="U121" s="54" t="b">
        <v>0</v>
      </c>
      <c r="V121" s="47" t="b">
        <v>0</v>
      </c>
    </row>
    <row r="122" spans="1:22" x14ac:dyDescent="0.35">
      <c r="A122" s="53">
        <f t="shared" si="2"/>
        <v>115</v>
      </c>
      <c r="B122" s="240" t="s">
        <v>328</v>
      </c>
      <c r="C122" s="240" t="s">
        <v>218</v>
      </c>
      <c r="D122" s="53" t="s">
        <v>145</v>
      </c>
      <c r="E122" s="256" t="s">
        <v>51</v>
      </c>
      <c r="F122" s="256" t="s">
        <v>123</v>
      </c>
      <c r="G122" s="257">
        <v>2025</v>
      </c>
      <c r="H122" s="256" t="s">
        <v>376</v>
      </c>
      <c r="I122" s="256">
        <v>2030</v>
      </c>
      <c r="J122" s="256" t="s">
        <v>43</v>
      </c>
      <c r="K122" s="54" t="s">
        <v>152</v>
      </c>
      <c r="L122" s="290" t="s">
        <v>214</v>
      </c>
      <c r="M122" s="295" t="s">
        <v>379</v>
      </c>
      <c r="N122" s="54" t="b">
        <v>1</v>
      </c>
      <c r="O122" s="54" t="b">
        <v>0</v>
      </c>
      <c r="P122" s="54" t="b">
        <v>1</v>
      </c>
      <c r="Q122" s="54" t="b">
        <v>0</v>
      </c>
      <c r="R122" s="47" t="b">
        <v>1</v>
      </c>
      <c r="S122" s="54" t="b">
        <v>1</v>
      </c>
      <c r="T122" s="112" t="b">
        <v>0</v>
      </c>
      <c r="U122" s="54" t="b">
        <v>0</v>
      </c>
      <c r="V122" s="47" t="b">
        <v>0</v>
      </c>
    </row>
    <row r="123" spans="1:22" x14ac:dyDescent="0.35">
      <c r="A123" s="258">
        <f t="shared" si="2"/>
        <v>116</v>
      </c>
      <c r="B123" s="224" t="s">
        <v>329</v>
      </c>
      <c r="C123" s="224" t="s">
        <v>220</v>
      </c>
      <c r="D123" s="258" t="s">
        <v>145</v>
      </c>
      <c r="E123" s="259" t="s">
        <v>170</v>
      </c>
      <c r="F123" s="259" t="s">
        <v>123</v>
      </c>
      <c r="G123" s="260">
        <v>2025</v>
      </c>
      <c r="H123" s="259" t="s">
        <v>376</v>
      </c>
      <c r="I123" s="259">
        <v>2030</v>
      </c>
      <c r="J123" s="259" t="s">
        <v>43</v>
      </c>
      <c r="K123" s="261" t="s">
        <v>152</v>
      </c>
      <c r="L123" s="291" t="s">
        <v>214</v>
      </c>
      <c r="M123" s="296" t="s">
        <v>379</v>
      </c>
      <c r="N123" s="261" t="b">
        <v>1</v>
      </c>
      <c r="O123" s="261" t="b">
        <v>0</v>
      </c>
      <c r="P123" s="261" t="b">
        <v>1</v>
      </c>
      <c r="Q123" s="261" t="b">
        <v>0</v>
      </c>
      <c r="R123" s="47" t="b">
        <v>1</v>
      </c>
      <c r="S123" s="261" t="b">
        <v>1</v>
      </c>
      <c r="T123" s="262" t="b">
        <v>0</v>
      </c>
      <c r="U123" s="261" t="b">
        <v>0</v>
      </c>
      <c r="V123" s="47" t="b">
        <v>0</v>
      </c>
    </row>
    <row r="124" spans="1:22" x14ac:dyDescent="0.35">
      <c r="A124" s="258">
        <f t="shared" si="2"/>
        <v>117</v>
      </c>
      <c r="B124" s="224" t="s">
        <v>330</v>
      </c>
      <c r="C124" s="224" t="s">
        <v>219</v>
      </c>
      <c r="D124" s="258" t="s">
        <v>145</v>
      </c>
      <c r="E124" s="259" t="s">
        <v>170</v>
      </c>
      <c r="F124" s="259" t="s">
        <v>123</v>
      </c>
      <c r="G124" s="260">
        <v>2025</v>
      </c>
      <c r="H124" s="259" t="s">
        <v>376</v>
      </c>
      <c r="I124" s="259">
        <v>2030</v>
      </c>
      <c r="J124" s="259" t="s">
        <v>43</v>
      </c>
      <c r="K124" s="261" t="s">
        <v>152</v>
      </c>
      <c r="L124" s="291" t="s">
        <v>214</v>
      </c>
      <c r="M124" s="296" t="s">
        <v>379</v>
      </c>
      <c r="N124" s="261" t="b">
        <v>1</v>
      </c>
      <c r="O124" s="261" t="b">
        <v>0</v>
      </c>
      <c r="P124" s="261" t="b">
        <v>1</v>
      </c>
      <c r="Q124" s="261" t="b">
        <v>0</v>
      </c>
      <c r="R124" s="47" t="b">
        <v>1</v>
      </c>
      <c r="S124" s="261" t="b">
        <v>1</v>
      </c>
      <c r="T124" s="262" t="b">
        <v>0</v>
      </c>
      <c r="U124" s="261" t="b">
        <v>0</v>
      </c>
      <c r="V124" s="47" t="b">
        <v>0</v>
      </c>
    </row>
    <row r="125" spans="1:22" x14ac:dyDescent="0.35">
      <c r="A125" s="46">
        <f t="shared" si="2"/>
        <v>118</v>
      </c>
      <c r="B125" s="246" t="s">
        <v>338</v>
      </c>
      <c r="C125" s="246" t="s">
        <v>352</v>
      </c>
      <c r="D125" s="46" t="s">
        <v>145</v>
      </c>
      <c r="E125" s="254" t="s">
        <v>51</v>
      </c>
      <c r="F125" s="254" t="s">
        <v>67</v>
      </c>
      <c r="G125" s="255">
        <v>2025</v>
      </c>
      <c r="H125" s="254" t="s">
        <v>376</v>
      </c>
      <c r="I125" s="254">
        <v>2023</v>
      </c>
      <c r="J125" s="254" t="s">
        <v>43</v>
      </c>
      <c r="K125" s="47" t="s">
        <v>152</v>
      </c>
      <c r="L125" s="289" t="s">
        <v>214</v>
      </c>
      <c r="M125" s="294" t="s">
        <v>379</v>
      </c>
      <c r="N125" s="47" t="b">
        <v>1</v>
      </c>
      <c r="O125" s="47" t="b">
        <v>0</v>
      </c>
      <c r="P125" s="47" t="b">
        <v>1</v>
      </c>
      <c r="Q125" s="47" t="b">
        <v>0</v>
      </c>
      <c r="R125" s="47" t="b">
        <v>1</v>
      </c>
      <c r="S125" s="47" t="b">
        <v>1</v>
      </c>
      <c r="T125" s="111" t="b">
        <v>0</v>
      </c>
      <c r="U125" s="47" t="b">
        <v>0</v>
      </c>
      <c r="V125" s="47" t="b">
        <v>0</v>
      </c>
    </row>
    <row r="126" spans="1:22" x14ac:dyDescent="0.35">
      <c r="A126" s="46">
        <f t="shared" si="2"/>
        <v>119</v>
      </c>
      <c r="B126" s="246" t="s">
        <v>339</v>
      </c>
      <c r="C126" s="246" t="s">
        <v>353</v>
      </c>
      <c r="D126" s="46" t="s">
        <v>145</v>
      </c>
      <c r="E126" s="254" t="s">
        <v>51</v>
      </c>
      <c r="F126" s="254" t="s">
        <v>67</v>
      </c>
      <c r="G126" s="255">
        <v>2025</v>
      </c>
      <c r="H126" s="254" t="s">
        <v>376</v>
      </c>
      <c r="I126" s="254">
        <v>2023</v>
      </c>
      <c r="J126" s="254" t="s">
        <v>43</v>
      </c>
      <c r="K126" s="47" t="s">
        <v>152</v>
      </c>
      <c r="L126" s="289" t="s">
        <v>214</v>
      </c>
      <c r="M126" s="294" t="s">
        <v>379</v>
      </c>
      <c r="N126" s="47" t="b">
        <v>1</v>
      </c>
      <c r="O126" s="47" t="b">
        <v>0</v>
      </c>
      <c r="P126" s="47" t="b">
        <v>1</v>
      </c>
      <c r="Q126" s="47" t="b">
        <v>0</v>
      </c>
      <c r="R126" s="47" t="b">
        <v>1</v>
      </c>
      <c r="S126" s="47" t="b">
        <v>1</v>
      </c>
      <c r="T126" s="111" t="b">
        <v>0</v>
      </c>
      <c r="U126" s="47" t="b">
        <v>0</v>
      </c>
      <c r="V126" s="47" t="b">
        <v>0</v>
      </c>
    </row>
    <row r="127" spans="1:22" x14ac:dyDescent="0.35">
      <c r="A127" s="46">
        <f t="shared" si="2"/>
        <v>120</v>
      </c>
      <c r="B127" s="246" t="s">
        <v>340</v>
      </c>
      <c r="C127" s="246" t="s">
        <v>354</v>
      </c>
      <c r="D127" s="46" t="s">
        <v>145</v>
      </c>
      <c r="E127" s="254" t="s">
        <v>51</v>
      </c>
      <c r="F127" s="254" t="s">
        <v>67</v>
      </c>
      <c r="G127" s="255">
        <v>2025</v>
      </c>
      <c r="H127" s="254" t="s">
        <v>376</v>
      </c>
      <c r="I127" s="254">
        <v>2023</v>
      </c>
      <c r="J127" s="254" t="s">
        <v>43</v>
      </c>
      <c r="K127" s="47" t="s">
        <v>152</v>
      </c>
      <c r="L127" s="289" t="s">
        <v>214</v>
      </c>
      <c r="M127" s="294" t="s">
        <v>379</v>
      </c>
      <c r="N127" s="47" t="b">
        <v>1</v>
      </c>
      <c r="O127" s="47" t="b">
        <v>0</v>
      </c>
      <c r="P127" s="47" t="b">
        <v>1</v>
      </c>
      <c r="Q127" s="47" t="b">
        <v>0</v>
      </c>
      <c r="R127" s="47" t="b">
        <v>1</v>
      </c>
      <c r="S127" s="47" t="b">
        <v>1</v>
      </c>
      <c r="T127" s="111" t="b">
        <v>0</v>
      </c>
      <c r="U127" s="47" t="b">
        <v>0</v>
      </c>
      <c r="V127" s="47" t="b">
        <v>0</v>
      </c>
    </row>
    <row r="128" spans="1:22" x14ac:dyDescent="0.35">
      <c r="A128" s="46">
        <f t="shared" si="2"/>
        <v>121</v>
      </c>
      <c r="B128" s="246" t="s">
        <v>341</v>
      </c>
      <c r="C128" s="246" t="s">
        <v>355</v>
      </c>
      <c r="D128" s="46" t="s">
        <v>145</v>
      </c>
      <c r="E128" s="254" t="s">
        <v>51</v>
      </c>
      <c r="F128" s="254" t="s">
        <v>67</v>
      </c>
      <c r="G128" s="255">
        <v>2025</v>
      </c>
      <c r="H128" s="254" t="s">
        <v>376</v>
      </c>
      <c r="I128" s="254">
        <v>2023</v>
      </c>
      <c r="J128" s="254" t="s">
        <v>43</v>
      </c>
      <c r="K128" s="47" t="s">
        <v>152</v>
      </c>
      <c r="L128" s="289" t="s">
        <v>214</v>
      </c>
      <c r="M128" s="294" t="s">
        <v>379</v>
      </c>
      <c r="N128" s="47" t="b">
        <v>1</v>
      </c>
      <c r="O128" s="47" t="b">
        <v>0</v>
      </c>
      <c r="P128" s="47" t="b">
        <v>1</v>
      </c>
      <c r="Q128" s="47" t="b">
        <v>0</v>
      </c>
      <c r="R128" s="47" t="b">
        <v>1</v>
      </c>
      <c r="S128" s="47" t="b">
        <v>1</v>
      </c>
      <c r="T128" s="111" t="b">
        <v>0</v>
      </c>
      <c r="U128" s="47" t="b">
        <v>0</v>
      </c>
      <c r="V128" s="47" t="b">
        <v>0</v>
      </c>
    </row>
    <row r="129" spans="1:22" x14ac:dyDescent="0.35">
      <c r="A129" s="46">
        <f t="shared" si="2"/>
        <v>122</v>
      </c>
      <c r="B129" s="246" t="s">
        <v>342</v>
      </c>
      <c r="C129" s="246" t="s">
        <v>356</v>
      </c>
      <c r="D129" s="46" t="s">
        <v>145</v>
      </c>
      <c r="E129" s="254" t="s">
        <v>51</v>
      </c>
      <c r="F129" s="254" t="s">
        <v>67</v>
      </c>
      <c r="G129" s="255">
        <v>2025</v>
      </c>
      <c r="H129" s="254" t="s">
        <v>376</v>
      </c>
      <c r="I129" s="254">
        <v>2023</v>
      </c>
      <c r="J129" s="254" t="s">
        <v>43</v>
      </c>
      <c r="K129" s="47" t="s">
        <v>152</v>
      </c>
      <c r="L129" s="289" t="s">
        <v>214</v>
      </c>
      <c r="M129" s="294" t="s">
        <v>379</v>
      </c>
      <c r="N129" s="47" t="b">
        <v>1</v>
      </c>
      <c r="O129" s="47" t="b">
        <v>0</v>
      </c>
      <c r="P129" s="47" t="b">
        <v>1</v>
      </c>
      <c r="Q129" s="47" t="b">
        <v>0</v>
      </c>
      <c r="R129" s="47" t="b">
        <v>1</v>
      </c>
      <c r="S129" s="47" t="b">
        <v>1</v>
      </c>
      <c r="T129" s="111" t="b">
        <v>0</v>
      </c>
      <c r="U129" s="47" t="b">
        <v>0</v>
      </c>
      <c r="V129" s="47" t="b">
        <v>0</v>
      </c>
    </row>
    <row r="130" spans="1:22" x14ac:dyDescent="0.35">
      <c r="A130" s="53">
        <f t="shared" si="2"/>
        <v>123</v>
      </c>
      <c r="B130" s="240" t="s">
        <v>343</v>
      </c>
      <c r="C130" s="240" t="s">
        <v>352</v>
      </c>
      <c r="D130" s="53" t="s">
        <v>145</v>
      </c>
      <c r="E130" s="256" t="s">
        <v>51</v>
      </c>
      <c r="F130" s="256" t="s">
        <v>123</v>
      </c>
      <c r="G130" s="257">
        <v>2025</v>
      </c>
      <c r="H130" s="256" t="s">
        <v>376</v>
      </c>
      <c r="I130" s="256">
        <v>2023</v>
      </c>
      <c r="J130" s="256" t="s">
        <v>43</v>
      </c>
      <c r="K130" s="54" t="s">
        <v>152</v>
      </c>
      <c r="L130" s="290" t="s">
        <v>214</v>
      </c>
      <c r="M130" s="295" t="s">
        <v>379</v>
      </c>
      <c r="N130" s="54" t="b">
        <v>1</v>
      </c>
      <c r="O130" s="54" t="b">
        <v>0</v>
      </c>
      <c r="P130" s="54" t="b">
        <v>1</v>
      </c>
      <c r="Q130" s="54" t="b">
        <v>0</v>
      </c>
      <c r="R130" s="47" t="b">
        <v>1</v>
      </c>
      <c r="S130" s="54" t="b">
        <v>1</v>
      </c>
      <c r="T130" s="112" t="b">
        <v>0</v>
      </c>
      <c r="U130" s="54" t="b">
        <v>0</v>
      </c>
      <c r="V130" s="47" t="b">
        <v>0</v>
      </c>
    </row>
    <row r="131" spans="1:22" x14ac:dyDescent="0.35">
      <c r="A131" s="53">
        <f t="shared" si="2"/>
        <v>124</v>
      </c>
      <c r="B131" s="240" t="s">
        <v>344</v>
      </c>
      <c r="C131" s="240" t="s">
        <v>353</v>
      </c>
      <c r="D131" s="53" t="s">
        <v>145</v>
      </c>
      <c r="E131" s="256" t="s">
        <v>51</v>
      </c>
      <c r="F131" s="256" t="s">
        <v>123</v>
      </c>
      <c r="G131" s="257">
        <v>2025</v>
      </c>
      <c r="H131" s="256" t="s">
        <v>376</v>
      </c>
      <c r="I131" s="256">
        <v>2023</v>
      </c>
      <c r="J131" s="256" t="s">
        <v>43</v>
      </c>
      <c r="K131" s="54" t="s">
        <v>152</v>
      </c>
      <c r="L131" s="290" t="s">
        <v>214</v>
      </c>
      <c r="M131" s="295" t="s">
        <v>379</v>
      </c>
      <c r="N131" s="54" t="b">
        <v>1</v>
      </c>
      <c r="O131" s="54" t="b">
        <v>0</v>
      </c>
      <c r="P131" s="54" t="b">
        <v>1</v>
      </c>
      <c r="Q131" s="54" t="b">
        <v>0</v>
      </c>
      <c r="R131" s="47" t="b">
        <v>1</v>
      </c>
      <c r="S131" s="54" t="b">
        <v>1</v>
      </c>
      <c r="T131" s="112" t="b">
        <v>0</v>
      </c>
      <c r="U131" s="54" t="b">
        <v>0</v>
      </c>
      <c r="V131" s="47" t="b">
        <v>0</v>
      </c>
    </row>
    <row r="132" spans="1:22" x14ac:dyDescent="0.35">
      <c r="A132" s="53">
        <f t="shared" si="2"/>
        <v>125</v>
      </c>
      <c r="B132" s="240" t="s">
        <v>345</v>
      </c>
      <c r="C132" s="240" t="s">
        <v>354</v>
      </c>
      <c r="D132" s="53" t="s">
        <v>145</v>
      </c>
      <c r="E132" s="256" t="s">
        <v>51</v>
      </c>
      <c r="F132" s="256" t="s">
        <v>123</v>
      </c>
      <c r="G132" s="257">
        <v>2025</v>
      </c>
      <c r="H132" s="256" t="s">
        <v>376</v>
      </c>
      <c r="I132" s="256">
        <v>2023</v>
      </c>
      <c r="J132" s="256" t="s">
        <v>43</v>
      </c>
      <c r="K132" s="54" t="s">
        <v>152</v>
      </c>
      <c r="L132" s="290" t="s">
        <v>214</v>
      </c>
      <c r="M132" s="295" t="s">
        <v>379</v>
      </c>
      <c r="N132" s="54" t="b">
        <v>1</v>
      </c>
      <c r="O132" s="54" t="b">
        <v>0</v>
      </c>
      <c r="P132" s="54" t="b">
        <v>1</v>
      </c>
      <c r="Q132" s="54" t="b">
        <v>0</v>
      </c>
      <c r="R132" s="47" t="b">
        <v>1</v>
      </c>
      <c r="S132" s="54" t="b">
        <v>1</v>
      </c>
      <c r="T132" s="112" t="b">
        <v>0</v>
      </c>
      <c r="U132" s="54" t="b">
        <v>0</v>
      </c>
      <c r="V132" s="47" t="b">
        <v>0</v>
      </c>
    </row>
    <row r="133" spans="1:22" x14ac:dyDescent="0.35">
      <c r="A133" s="53">
        <f t="shared" si="2"/>
        <v>126</v>
      </c>
      <c r="B133" s="240" t="s">
        <v>346</v>
      </c>
      <c r="C133" s="240" t="s">
        <v>355</v>
      </c>
      <c r="D133" s="53" t="s">
        <v>145</v>
      </c>
      <c r="E133" s="256" t="s">
        <v>51</v>
      </c>
      <c r="F133" s="256" t="s">
        <v>123</v>
      </c>
      <c r="G133" s="257">
        <v>2025</v>
      </c>
      <c r="H133" s="256" t="s">
        <v>376</v>
      </c>
      <c r="I133" s="256">
        <v>2023</v>
      </c>
      <c r="J133" s="256" t="s">
        <v>43</v>
      </c>
      <c r="K133" s="54" t="s">
        <v>152</v>
      </c>
      <c r="L133" s="290" t="s">
        <v>214</v>
      </c>
      <c r="M133" s="295" t="s">
        <v>379</v>
      </c>
      <c r="N133" s="54" t="b">
        <v>1</v>
      </c>
      <c r="O133" s="54" t="b">
        <v>0</v>
      </c>
      <c r="P133" s="54" t="b">
        <v>1</v>
      </c>
      <c r="Q133" s="54" t="b">
        <v>0</v>
      </c>
      <c r="R133" s="47" t="b">
        <v>1</v>
      </c>
      <c r="S133" s="54" t="b">
        <v>1</v>
      </c>
      <c r="T133" s="112" t="b">
        <v>0</v>
      </c>
      <c r="U133" s="54" t="b">
        <v>0</v>
      </c>
      <c r="V133" s="47" t="b">
        <v>0</v>
      </c>
    </row>
    <row r="134" spans="1:22" x14ac:dyDescent="0.35">
      <c r="A134" s="53">
        <f t="shared" si="2"/>
        <v>127</v>
      </c>
      <c r="B134" s="240" t="s">
        <v>347</v>
      </c>
      <c r="C134" s="240" t="s">
        <v>356</v>
      </c>
      <c r="D134" s="53" t="s">
        <v>145</v>
      </c>
      <c r="E134" s="256" t="s">
        <v>51</v>
      </c>
      <c r="F134" s="256" t="s">
        <v>123</v>
      </c>
      <c r="G134" s="257">
        <v>2025</v>
      </c>
      <c r="H134" s="256" t="s">
        <v>376</v>
      </c>
      <c r="I134" s="256">
        <v>2023</v>
      </c>
      <c r="J134" s="256" t="s">
        <v>43</v>
      </c>
      <c r="K134" s="54" t="s">
        <v>152</v>
      </c>
      <c r="L134" s="290" t="s">
        <v>214</v>
      </c>
      <c r="M134" s="295" t="s">
        <v>379</v>
      </c>
      <c r="N134" s="54" t="b">
        <v>1</v>
      </c>
      <c r="O134" s="54" t="b">
        <v>0</v>
      </c>
      <c r="P134" s="54" t="b">
        <v>1</v>
      </c>
      <c r="Q134" s="54" t="b">
        <v>0</v>
      </c>
      <c r="R134" s="47" t="b">
        <v>1</v>
      </c>
      <c r="S134" s="54" t="b">
        <v>1</v>
      </c>
      <c r="T134" s="112" t="b">
        <v>0</v>
      </c>
      <c r="U134" s="54" t="b">
        <v>0</v>
      </c>
      <c r="V134" s="47" t="b">
        <v>0</v>
      </c>
    </row>
    <row r="135" spans="1:22" x14ac:dyDescent="0.35">
      <c r="A135" s="258">
        <f t="shared" si="2"/>
        <v>128</v>
      </c>
      <c r="B135" s="224" t="s">
        <v>375</v>
      </c>
      <c r="C135" s="224" t="s">
        <v>352</v>
      </c>
      <c r="D135" s="258" t="s">
        <v>145</v>
      </c>
      <c r="E135" s="259" t="s">
        <v>170</v>
      </c>
      <c r="F135" s="259" t="s">
        <v>123</v>
      </c>
      <c r="G135" s="260">
        <v>2025</v>
      </c>
      <c r="H135" s="259" t="s">
        <v>376</v>
      </c>
      <c r="I135" s="259">
        <v>2023</v>
      </c>
      <c r="J135" s="259" t="s">
        <v>43</v>
      </c>
      <c r="K135" s="261" t="s">
        <v>152</v>
      </c>
      <c r="L135" s="291" t="s">
        <v>214</v>
      </c>
      <c r="M135" s="296" t="s">
        <v>379</v>
      </c>
      <c r="N135" s="261" t="b">
        <v>1</v>
      </c>
      <c r="O135" s="261" t="b">
        <v>0</v>
      </c>
      <c r="P135" s="261" t="b">
        <v>1</v>
      </c>
      <c r="Q135" s="261" t="b">
        <v>0</v>
      </c>
      <c r="R135" s="47" t="b">
        <v>1</v>
      </c>
      <c r="S135" s="261" t="b">
        <v>1</v>
      </c>
      <c r="T135" s="262" t="b">
        <v>0</v>
      </c>
      <c r="U135" s="261" t="b">
        <v>0</v>
      </c>
      <c r="V135" s="47" t="b">
        <v>0</v>
      </c>
    </row>
    <row r="136" spans="1:22" x14ac:dyDescent="0.35">
      <c r="A136" s="258">
        <f t="shared" si="2"/>
        <v>129</v>
      </c>
      <c r="B136" s="224" t="s">
        <v>348</v>
      </c>
      <c r="C136" s="224" t="s">
        <v>353</v>
      </c>
      <c r="D136" s="258" t="s">
        <v>145</v>
      </c>
      <c r="E136" s="259" t="s">
        <v>170</v>
      </c>
      <c r="F136" s="259" t="s">
        <v>123</v>
      </c>
      <c r="G136" s="260">
        <v>2025</v>
      </c>
      <c r="H136" s="259" t="s">
        <v>376</v>
      </c>
      <c r="I136" s="259">
        <v>2023</v>
      </c>
      <c r="J136" s="259" t="s">
        <v>43</v>
      </c>
      <c r="K136" s="261" t="s">
        <v>152</v>
      </c>
      <c r="L136" s="291" t="s">
        <v>214</v>
      </c>
      <c r="M136" s="296" t="s">
        <v>379</v>
      </c>
      <c r="N136" s="261" t="b">
        <v>1</v>
      </c>
      <c r="O136" s="261" t="b">
        <v>0</v>
      </c>
      <c r="P136" s="261" t="b">
        <v>1</v>
      </c>
      <c r="Q136" s="261" t="b">
        <v>0</v>
      </c>
      <c r="R136" s="47" t="b">
        <v>1</v>
      </c>
      <c r="S136" s="261" t="b">
        <v>1</v>
      </c>
      <c r="T136" s="262" t="b">
        <v>0</v>
      </c>
      <c r="U136" s="261" t="b">
        <v>0</v>
      </c>
      <c r="V136" s="47" t="b">
        <v>0</v>
      </c>
    </row>
    <row r="137" spans="1:22" x14ac:dyDescent="0.35">
      <c r="A137" s="258">
        <f t="shared" si="2"/>
        <v>130</v>
      </c>
      <c r="B137" s="224" t="s">
        <v>349</v>
      </c>
      <c r="C137" s="224" t="s">
        <v>354</v>
      </c>
      <c r="D137" s="258" t="s">
        <v>145</v>
      </c>
      <c r="E137" s="259" t="s">
        <v>170</v>
      </c>
      <c r="F137" s="259" t="s">
        <v>123</v>
      </c>
      <c r="G137" s="260">
        <v>2025</v>
      </c>
      <c r="H137" s="259" t="s">
        <v>376</v>
      </c>
      <c r="I137" s="259">
        <v>2023</v>
      </c>
      <c r="J137" s="259" t="s">
        <v>43</v>
      </c>
      <c r="K137" s="261" t="s">
        <v>152</v>
      </c>
      <c r="L137" s="291" t="s">
        <v>214</v>
      </c>
      <c r="M137" s="296" t="s">
        <v>379</v>
      </c>
      <c r="N137" s="261" t="b">
        <v>1</v>
      </c>
      <c r="O137" s="261" t="b">
        <v>0</v>
      </c>
      <c r="P137" s="261" t="b">
        <v>1</v>
      </c>
      <c r="Q137" s="261" t="b">
        <v>0</v>
      </c>
      <c r="R137" s="47" t="b">
        <v>1</v>
      </c>
      <c r="S137" s="261" t="b">
        <v>1</v>
      </c>
      <c r="T137" s="262" t="b">
        <v>0</v>
      </c>
      <c r="U137" s="261" t="b">
        <v>0</v>
      </c>
      <c r="V137" s="47" t="b">
        <v>0</v>
      </c>
    </row>
    <row r="138" spans="1:22" x14ac:dyDescent="0.35">
      <c r="A138" s="258">
        <f t="shared" si="2"/>
        <v>131</v>
      </c>
      <c r="B138" s="224" t="s">
        <v>350</v>
      </c>
      <c r="C138" s="224" t="s">
        <v>355</v>
      </c>
      <c r="D138" s="258" t="s">
        <v>145</v>
      </c>
      <c r="E138" s="259" t="s">
        <v>170</v>
      </c>
      <c r="F138" s="259" t="s">
        <v>123</v>
      </c>
      <c r="G138" s="260">
        <v>2025</v>
      </c>
      <c r="H138" s="259" t="s">
        <v>376</v>
      </c>
      <c r="I138" s="259">
        <v>2023</v>
      </c>
      <c r="J138" s="259" t="s">
        <v>43</v>
      </c>
      <c r="K138" s="261" t="s">
        <v>152</v>
      </c>
      <c r="L138" s="291" t="s">
        <v>214</v>
      </c>
      <c r="M138" s="296" t="s">
        <v>379</v>
      </c>
      <c r="N138" s="261" t="b">
        <v>1</v>
      </c>
      <c r="O138" s="261" t="b">
        <v>0</v>
      </c>
      <c r="P138" s="261" t="b">
        <v>1</v>
      </c>
      <c r="Q138" s="261" t="b">
        <v>0</v>
      </c>
      <c r="R138" s="47" t="b">
        <v>1</v>
      </c>
      <c r="S138" s="261" t="b">
        <v>1</v>
      </c>
      <c r="T138" s="262" t="b">
        <v>0</v>
      </c>
      <c r="U138" s="261" t="b">
        <v>0</v>
      </c>
      <c r="V138" s="47" t="b">
        <v>0</v>
      </c>
    </row>
    <row r="139" spans="1:22" x14ac:dyDescent="0.35">
      <c r="A139" s="258">
        <f t="shared" si="2"/>
        <v>132</v>
      </c>
      <c r="B139" s="224" t="s">
        <v>351</v>
      </c>
      <c r="C139" s="224" t="s">
        <v>356</v>
      </c>
      <c r="D139" s="258" t="s">
        <v>145</v>
      </c>
      <c r="E139" s="259" t="s">
        <v>170</v>
      </c>
      <c r="F139" s="259" t="s">
        <v>123</v>
      </c>
      <c r="G139" s="260">
        <v>2025</v>
      </c>
      <c r="H139" s="259" t="s">
        <v>376</v>
      </c>
      <c r="I139" s="259">
        <v>2023</v>
      </c>
      <c r="J139" s="259" t="s">
        <v>43</v>
      </c>
      <c r="K139" s="261" t="s">
        <v>152</v>
      </c>
      <c r="L139" s="291" t="s">
        <v>214</v>
      </c>
      <c r="M139" s="296" t="s">
        <v>379</v>
      </c>
      <c r="N139" s="261" t="b">
        <v>1</v>
      </c>
      <c r="O139" s="261" t="b">
        <v>0</v>
      </c>
      <c r="P139" s="261" t="b">
        <v>1</v>
      </c>
      <c r="Q139" s="261" t="b">
        <v>0</v>
      </c>
      <c r="R139" s="47" t="b">
        <v>1</v>
      </c>
      <c r="S139" s="261" t="b">
        <v>1</v>
      </c>
      <c r="T139" s="262" t="b">
        <v>0</v>
      </c>
      <c r="U139" s="261" t="b">
        <v>0</v>
      </c>
      <c r="V139" s="47" t="b">
        <v>0</v>
      </c>
    </row>
    <row r="140" spans="1:22" x14ac:dyDescent="0.35">
      <c r="A140" s="46">
        <f t="shared" si="2"/>
        <v>133</v>
      </c>
      <c r="B140" s="246" t="s">
        <v>360</v>
      </c>
      <c r="C140" s="246" t="s">
        <v>352</v>
      </c>
      <c r="D140" s="46" t="s">
        <v>145</v>
      </c>
      <c r="E140" s="254" t="s">
        <v>51</v>
      </c>
      <c r="F140" s="254" t="s">
        <v>67</v>
      </c>
      <c r="G140" s="255">
        <v>2025</v>
      </c>
      <c r="H140" s="254" t="s">
        <v>376</v>
      </c>
      <c r="I140" s="254">
        <v>2030</v>
      </c>
      <c r="J140" s="254" t="s">
        <v>43</v>
      </c>
      <c r="K140" s="47" t="s">
        <v>152</v>
      </c>
      <c r="L140" s="289" t="s">
        <v>214</v>
      </c>
      <c r="M140" s="294" t="s">
        <v>379</v>
      </c>
      <c r="N140" s="47" t="b">
        <v>1</v>
      </c>
      <c r="O140" s="47" t="b">
        <v>0</v>
      </c>
      <c r="P140" s="47" t="b">
        <v>1</v>
      </c>
      <c r="Q140" s="47" t="b">
        <v>0</v>
      </c>
      <c r="R140" s="47" t="b">
        <v>1</v>
      </c>
      <c r="S140" s="47" t="b">
        <v>1</v>
      </c>
      <c r="T140" s="111" t="b">
        <v>0</v>
      </c>
      <c r="U140" s="47" t="b">
        <v>0</v>
      </c>
      <c r="V140" s="47" t="b">
        <v>0</v>
      </c>
    </row>
    <row r="141" spans="1:22" x14ac:dyDescent="0.35">
      <c r="A141" s="46">
        <f t="shared" si="2"/>
        <v>134</v>
      </c>
      <c r="B141" s="246" t="s">
        <v>361</v>
      </c>
      <c r="C141" s="246" t="s">
        <v>353</v>
      </c>
      <c r="D141" s="46" t="s">
        <v>145</v>
      </c>
      <c r="E141" s="254" t="s">
        <v>51</v>
      </c>
      <c r="F141" s="254" t="s">
        <v>67</v>
      </c>
      <c r="G141" s="255">
        <v>2025</v>
      </c>
      <c r="H141" s="254" t="s">
        <v>376</v>
      </c>
      <c r="I141" s="254">
        <v>2030</v>
      </c>
      <c r="J141" s="254" t="s">
        <v>43</v>
      </c>
      <c r="K141" s="47" t="s">
        <v>152</v>
      </c>
      <c r="L141" s="289" t="s">
        <v>214</v>
      </c>
      <c r="M141" s="294" t="s">
        <v>379</v>
      </c>
      <c r="N141" s="47" t="b">
        <v>1</v>
      </c>
      <c r="O141" s="47" t="b">
        <v>0</v>
      </c>
      <c r="P141" s="47" t="b">
        <v>1</v>
      </c>
      <c r="Q141" s="47" t="b">
        <v>0</v>
      </c>
      <c r="R141" s="47" t="b">
        <v>1</v>
      </c>
      <c r="S141" s="47" t="b">
        <v>1</v>
      </c>
      <c r="T141" s="111" t="b">
        <v>0</v>
      </c>
      <c r="U141" s="47" t="b">
        <v>0</v>
      </c>
      <c r="V141" s="47" t="b">
        <v>0</v>
      </c>
    </row>
    <row r="142" spans="1:22" x14ac:dyDescent="0.35">
      <c r="A142" s="46">
        <f t="shared" si="2"/>
        <v>135</v>
      </c>
      <c r="B142" s="246" t="s">
        <v>362</v>
      </c>
      <c r="C142" s="246" t="s">
        <v>354</v>
      </c>
      <c r="D142" s="46" t="s">
        <v>145</v>
      </c>
      <c r="E142" s="254" t="s">
        <v>51</v>
      </c>
      <c r="F142" s="254" t="s">
        <v>67</v>
      </c>
      <c r="G142" s="255">
        <v>2025</v>
      </c>
      <c r="H142" s="254" t="s">
        <v>376</v>
      </c>
      <c r="I142" s="254">
        <v>2030</v>
      </c>
      <c r="J142" s="254" t="s">
        <v>43</v>
      </c>
      <c r="K142" s="47" t="s">
        <v>152</v>
      </c>
      <c r="L142" s="289" t="s">
        <v>214</v>
      </c>
      <c r="M142" s="294" t="s">
        <v>379</v>
      </c>
      <c r="N142" s="47" t="b">
        <v>1</v>
      </c>
      <c r="O142" s="47" t="b">
        <v>0</v>
      </c>
      <c r="P142" s="47" t="b">
        <v>1</v>
      </c>
      <c r="Q142" s="47" t="b">
        <v>0</v>
      </c>
      <c r="R142" s="47" t="b">
        <v>1</v>
      </c>
      <c r="S142" s="47" t="b">
        <v>1</v>
      </c>
      <c r="T142" s="111" t="b">
        <v>0</v>
      </c>
      <c r="U142" s="47" t="b">
        <v>0</v>
      </c>
      <c r="V142" s="47" t="b">
        <v>0</v>
      </c>
    </row>
    <row r="143" spans="1:22" x14ac:dyDescent="0.35">
      <c r="A143" s="46">
        <f t="shared" si="2"/>
        <v>136</v>
      </c>
      <c r="B143" s="246" t="s">
        <v>363</v>
      </c>
      <c r="C143" s="246" t="s">
        <v>355</v>
      </c>
      <c r="D143" s="46" t="s">
        <v>145</v>
      </c>
      <c r="E143" s="254" t="s">
        <v>51</v>
      </c>
      <c r="F143" s="254" t="s">
        <v>67</v>
      </c>
      <c r="G143" s="255">
        <v>2025</v>
      </c>
      <c r="H143" s="254" t="s">
        <v>376</v>
      </c>
      <c r="I143" s="254">
        <v>2030</v>
      </c>
      <c r="J143" s="254" t="s">
        <v>43</v>
      </c>
      <c r="K143" s="47" t="s">
        <v>152</v>
      </c>
      <c r="L143" s="289" t="s">
        <v>214</v>
      </c>
      <c r="M143" s="294" t="s">
        <v>379</v>
      </c>
      <c r="N143" s="47" t="b">
        <v>1</v>
      </c>
      <c r="O143" s="47" t="b">
        <v>0</v>
      </c>
      <c r="P143" s="47" t="b">
        <v>1</v>
      </c>
      <c r="Q143" s="47" t="b">
        <v>0</v>
      </c>
      <c r="R143" s="47" t="b">
        <v>1</v>
      </c>
      <c r="S143" s="47" t="b">
        <v>1</v>
      </c>
      <c r="T143" s="111" t="b">
        <v>0</v>
      </c>
      <c r="U143" s="47" t="b">
        <v>0</v>
      </c>
      <c r="V143" s="47" t="b">
        <v>0</v>
      </c>
    </row>
    <row r="144" spans="1:22" x14ac:dyDescent="0.35">
      <c r="A144" s="46">
        <f t="shared" si="2"/>
        <v>137</v>
      </c>
      <c r="B144" s="246" t="s">
        <v>364</v>
      </c>
      <c r="C144" s="246" t="s">
        <v>356</v>
      </c>
      <c r="D144" s="46" t="s">
        <v>145</v>
      </c>
      <c r="E144" s="254" t="s">
        <v>51</v>
      </c>
      <c r="F144" s="254" t="s">
        <v>67</v>
      </c>
      <c r="G144" s="255">
        <v>2025</v>
      </c>
      <c r="H144" s="254" t="s">
        <v>376</v>
      </c>
      <c r="I144" s="254">
        <v>2030</v>
      </c>
      <c r="J144" s="254" t="s">
        <v>43</v>
      </c>
      <c r="K144" s="47" t="s">
        <v>152</v>
      </c>
      <c r="L144" s="289" t="s">
        <v>214</v>
      </c>
      <c r="M144" s="294" t="s">
        <v>379</v>
      </c>
      <c r="N144" s="47" t="b">
        <v>1</v>
      </c>
      <c r="O144" s="47" t="b">
        <v>0</v>
      </c>
      <c r="P144" s="47" t="b">
        <v>1</v>
      </c>
      <c r="Q144" s="47" t="b">
        <v>0</v>
      </c>
      <c r="R144" s="47" t="b">
        <v>1</v>
      </c>
      <c r="S144" s="47" t="b">
        <v>1</v>
      </c>
      <c r="T144" s="111" t="b">
        <v>0</v>
      </c>
      <c r="U144" s="47" t="b">
        <v>0</v>
      </c>
      <c r="V144" s="47" t="b">
        <v>0</v>
      </c>
    </row>
    <row r="145" spans="1:22" x14ac:dyDescent="0.35">
      <c r="A145" s="53">
        <f t="shared" si="2"/>
        <v>138</v>
      </c>
      <c r="B145" s="240" t="s">
        <v>365</v>
      </c>
      <c r="C145" s="240" t="s">
        <v>352</v>
      </c>
      <c r="D145" s="53" t="s">
        <v>145</v>
      </c>
      <c r="E145" s="256" t="s">
        <v>51</v>
      </c>
      <c r="F145" s="256" t="s">
        <v>123</v>
      </c>
      <c r="G145" s="257">
        <v>2025</v>
      </c>
      <c r="H145" s="256" t="s">
        <v>376</v>
      </c>
      <c r="I145" s="256">
        <v>2030</v>
      </c>
      <c r="J145" s="256" t="s">
        <v>43</v>
      </c>
      <c r="K145" s="54" t="s">
        <v>152</v>
      </c>
      <c r="L145" s="290" t="s">
        <v>214</v>
      </c>
      <c r="M145" s="295" t="s">
        <v>379</v>
      </c>
      <c r="N145" s="54" t="b">
        <v>1</v>
      </c>
      <c r="O145" s="54" t="b">
        <v>0</v>
      </c>
      <c r="P145" s="54" t="b">
        <v>1</v>
      </c>
      <c r="Q145" s="54" t="b">
        <v>0</v>
      </c>
      <c r="R145" s="47" t="b">
        <v>1</v>
      </c>
      <c r="S145" s="54" t="b">
        <v>1</v>
      </c>
      <c r="T145" s="112" t="b">
        <v>0</v>
      </c>
      <c r="U145" s="54" t="b">
        <v>0</v>
      </c>
      <c r="V145" s="47" t="b">
        <v>0</v>
      </c>
    </row>
    <row r="146" spans="1:22" x14ac:dyDescent="0.35">
      <c r="A146" s="53">
        <f t="shared" si="2"/>
        <v>139</v>
      </c>
      <c r="B146" s="240" t="s">
        <v>366</v>
      </c>
      <c r="C146" s="240" t="s">
        <v>353</v>
      </c>
      <c r="D146" s="53" t="s">
        <v>145</v>
      </c>
      <c r="E146" s="256" t="s">
        <v>51</v>
      </c>
      <c r="F146" s="256" t="s">
        <v>123</v>
      </c>
      <c r="G146" s="257">
        <v>2025</v>
      </c>
      <c r="H146" s="256" t="s">
        <v>376</v>
      </c>
      <c r="I146" s="256">
        <v>2030</v>
      </c>
      <c r="J146" s="256" t="s">
        <v>43</v>
      </c>
      <c r="K146" s="54" t="s">
        <v>152</v>
      </c>
      <c r="L146" s="290" t="s">
        <v>214</v>
      </c>
      <c r="M146" s="295" t="s">
        <v>379</v>
      </c>
      <c r="N146" s="54" t="b">
        <v>1</v>
      </c>
      <c r="O146" s="54" t="b">
        <v>0</v>
      </c>
      <c r="P146" s="54" t="b">
        <v>1</v>
      </c>
      <c r="Q146" s="54" t="b">
        <v>0</v>
      </c>
      <c r="R146" s="47" t="b">
        <v>1</v>
      </c>
      <c r="S146" s="54" t="b">
        <v>1</v>
      </c>
      <c r="T146" s="112" t="b">
        <v>0</v>
      </c>
      <c r="U146" s="54" t="b">
        <v>0</v>
      </c>
      <c r="V146" s="47" t="b">
        <v>0</v>
      </c>
    </row>
    <row r="147" spans="1:22" x14ac:dyDescent="0.35">
      <c r="A147" s="53">
        <f t="shared" si="2"/>
        <v>140</v>
      </c>
      <c r="B147" s="240" t="s">
        <v>367</v>
      </c>
      <c r="C147" s="240" t="s">
        <v>354</v>
      </c>
      <c r="D147" s="53" t="s">
        <v>145</v>
      </c>
      <c r="E147" s="256" t="s">
        <v>51</v>
      </c>
      <c r="F147" s="256" t="s">
        <v>123</v>
      </c>
      <c r="G147" s="257">
        <v>2025</v>
      </c>
      <c r="H147" s="256" t="s">
        <v>376</v>
      </c>
      <c r="I147" s="256">
        <v>2030</v>
      </c>
      <c r="J147" s="256" t="s">
        <v>43</v>
      </c>
      <c r="K147" s="54" t="s">
        <v>152</v>
      </c>
      <c r="L147" s="290" t="s">
        <v>214</v>
      </c>
      <c r="M147" s="295" t="s">
        <v>379</v>
      </c>
      <c r="N147" s="54" t="b">
        <v>1</v>
      </c>
      <c r="O147" s="54" t="b">
        <v>0</v>
      </c>
      <c r="P147" s="54" t="b">
        <v>1</v>
      </c>
      <c r="Q147" s="54" t="b">
        <v>0</v>
      </c>
      <c r="R147" s="47" t="b">
        <v>1</v>
      </c>
      <c r="S147" s="54" t="b">
        <v>1</v>
      </c>
      <c r="T147" s="112" t="b">
        <v>0</v>
      </c>
      <c r="U147" s="54" t="b">
        <v>0</v>
      </c>
      <c r="V147" s="47" t="b">
        <v>0</v>
      </c>
    </row>
    <row r="148" spans="1:22" x14ac:dyDescent="0.35">
      <c r="A148" s="53">
        <f t="shared" si="2"/>
        <v>141</v>
      </c>
      <c r="B148" s="240" t="s">
        <v>368</v>
      </c>
      <c r="C148" s="240" t="s">
        <v>355</v>
      </c>
      <c r="D148" s="53" t="s">
        <v>145</v>
      </c>
      <c r="E148" s="256" t="s">
        <v>51</v>
      </c>
      <c r="F148" s="256" t="s">
        <v>123</v>
      </c>
      <c r="G148" s="257">
        <v>2025</v>
      </c>
      <c r="H148" s="256" t="s">
        <v>376</v>
      </c>
      <c r="I148" s="256">
        <v>2030</v>
      </c>
      <c r="J148" s="256" t="s">
        <v>43</v>
      </c>
      <c r="K148" s="54" t="s">
        <v>152</v>
      </c>
      <c r="L148" s="290" t="s">
        <v>214</v>
      </c>
      <c r="M148" s="295" t="s">
        <v>379</v>
      </c>
      <c r="N148" s="54" t="b">
        <v>1</v>
      </c>
      <c r="O148" s="54" t="b">
        <v>0</v>
      </c>
      <c r="P148" s="54" t="b">
        <v>1</v>
      </c>
      <c r="Q148" s="54" t="b">
        <v>0</v>
      </c>
      <c r="R148" s="47" t="b">
        <v>1</v>
      </c>
      <c r="S148" s="54" t="b">
        <v>1</v>
      </c>
      <c r="T148" s="112" t="b">
        <v>0</v>
      </c>
      <c r="U148" s="54" t="b">
        <v>0</v>
      </c>
      <c r="V148" s="47" t="b">
        <v>0</v>
      </c>
    </row>
    <row r="149" spans="1:22" x14ac:dyDescent="0.35">
      <c r="A149" s="53">
        <f t="shared" si="2"/>
        <v>142</v>
      </c>
      <c r="B149" s="240" t="s">
        <v>369</v>
      </c>
      <c r="C149" s="240" t="s">
        <v>356</v>
      </c>
      <c r="D149" s="53" t="s">
        <v>145</v>
      </c>
      <c r="E149" s="256" t="s">
        <v>51</v>
      </c>
      <c r="F149" s="256" t="s">
        <v>123</v>
      </c>
      <c r="G149" s="257">
        <v>2025</v>
      </c>
      <c r="H149" s="256" t="s">
        <v>376</v>
      </c>
      <c r="I149" s="256">
        <v>2030</v>
      </c>
      <c r="J149" s="256" t="s">
        <v>43</v>
      </c>
      <c r="K149" s="54" t="s">
        <v>152</v>
      </c>
      <c r="L149" s="290" t="s">
        <v>214</v>
      </c>
      <c r="M149" s="295" t="s">
        <v>379</v>
      </c>
      <c r="N149" s="54" t="b">
        <v>1</v>
      </c>
      <c r="O149" s="54" t="b">
        <v>0</v>
      </c>
      <c r="P149" s="54" t="b">
        <v>1</v>
      </c>
      <c r="Q149" s="54" t="b">
        <v>0</v>
      </c>
      <c r="R149" s="47" t="b">
        <v>1</v>
      </c>
      <c r="S149" s="54" t="b">
        <v>1</v>
      </c>
      <c r="T149" s="112" t="b">
        <v>0</v>
      </c>
      <c r="U149" s="54" t="b">
        <v>0</v>
      </c>
      <c r="V149" s="47" t="b">
        <v>0</v>
      </c>
    </row>
    <row r="150" spans="1:22" x14ac:dyDescent="0.35">
      <c r="A150" s="258">
        <f t="shared" si="2"/>
        <v>143</v>
      </c>
      <c r="B150" s="224" t="s">
        <v>370</v>
      </c>
      <c r="C150" s="224" t="s">
        <v>352</v>
      </c>
      <c r="D150" s="258" t="s">
        <v>145</v>
      </c>
      <c r="E150" s="259" t="s">
        <v>170</v>
      </c>
      <c r="F150" s="259" t="s">
        <v>123</v>
      </c>
      <c r="G150" s="260">
        <v>2025</v>
      </c>
      <c r="H150" s="259" t="s">
        <v>376</v>
      </c>
      <c r="I150" s="259">
        <v>2030</v>
      </c>
      <c r="J150" s="259" t="s">
        <v>43</v>
      </c>
      <c r="K150" s="261" t="s">
        <v>152</v>
      </c>
      <c r="L150" s="291" t="s">
        <v>214</v>
      </c>
      <c r="M150" s="296" t="s">
        <v>379</v>
      </c>
      <c r="N150" s="261" t="b">
        <v>1</v>
      </c>
      <c r="O150" s="261" t="b">
        <v>0</v>
      </c>
      <c r="P150" s="261" t="b">
        <v>1</v>
      </c>
      <c r="Q150" s="261" t="b">
        <v>0</v>
      </c>
      <c r="R150" s="47" t="b">
        <v>1</v>
      </c>
      <c r="S150" s="261" t="b">
        <v>1</v>
      </c>
      <c r="T150" s="262" t="b">
        <v>0</v>
      </c>
      <c r="U150" s="261" t="b">
        <v>0</v>
      </c>
      <c r="V150" s="47" t="b">
        <v>0</v>
      </c>
    </row>
    <row r="151" spans="1:22" x14ac:dyDescent="0.35">
      <c r="A151" s="258">
        <f t="shared" si="2"/>
        <v>144</v>
      </c>
      <c r="B151" s="224" t="s">
        <v>371</v>
      </c>
      <c r="C151" s="224" t="s">
        <v>353</v>
      </c>
      <c r="D151" s="258" t="s">
        <v>145</v>
      </c>
      <c r="E151" s="259" t="s">
        <v>170</v>
      </c>
      <c r="F151" s="259" t="s">
        <v>123</v>
      </c>
      <c r="G151" s="260">
        <v>2025</v>
      </c>
      <c r="H151" s="259" t="s">
        <v>376</v>
      </c>
      <c r="I151" s="259">
        <v>2030</v>
      </c>
      <c r="J151" s="259" t="s">
        <v>43</v>
      </c>
      <c r="K151" s="261" t="s">
        <v>152</v>
      </c>
      <c r="L151" s="291" t="s">
        <v>214</v>
      </c>
      <c r="M151" s="296" t="s">
        <v>379</v>
      </c>
      <c r="N151" s="261" t="b">
        <v>1</v>
      </c>
      <c r="O151" s="261" t="b">
        <v>0</v>
      </c>
      <c r="P151" s="261" t="b">
        <v>1</v>
      </c>
      <c r="Q151" s="261" t="b">
        <v>0</v>
      </c>
      <c r="R151" s="47" t="b">
        <v>1</v>
      </c>
      <c r="S151" s="261" t="b">
        <v>1</v>
      </c>
      <c r="T151" s="262" t="b">
        <v>0</v>
      </c>
      <c r="U151" s="261" t="b">
        <v>0</v>
      </c>
      <c r="V151" s="47" t="b">
        <v>0</v>
      </c>
    </row>
    <row r="152" spans="1:22" x14ac:dyDescent="0.35">
      <c r="A152" s="258">
        <f t="shared" si="2"/>
        <v>145</v>
      </c>
      <c r="B152" s="224" t="s">
        <v>372</v>
      </c>
      <c r="C152" s="224" t="s">
        <v>354</v>
      </c>
      <c r="D152" s="258" t="s">
        <v>145</v>
      </c>
      <c r="E152" s="259" t="s">
        <v>170</v>
      </c>
      <c r="F152" s="259" t="s">
        <v>123</v>
      </c>
      <c r="G152" s="260">
        <v>2025</v>
      </c>
      <c r="H152" s="259" t="s">
        <v>376</v>
      </c>
      <c r="I152" s="259">
        <v>2030</v>
      </c>
      <c r="J152" s="259" t="s">
        <v>43</v>
      </c>
      <c r="K152" s="261" t="s">
        <v>152</v>
      </c>
      <c r="L152" s="291" t="s">
        <v>214</v>
      </c>
      <c r="M152" s="296" t="s">
        <v>379</v>
      </c>
      <c r="N152" s="261" t="b">
        <v>1</v>
      </c>
      <c r="O152" s="261" t="b">
        <v>0</v>
      </c>
      <c r="P152" s="261" t="b">
        <v>1</v>
      </c>
      <c r="Q152" s="261" t="b">
        <v>0</v>
      </c>
      <c r="R152" s="47" t="b">
        <v>1</v>
      </c>
      <c r="S152" s="261" t="b">
        <v>1</v>
      </c>
      <c r="T152" s="262" t="b">
        <v>0</v>
      </c>
      <c r="U152" s="261" t="b">
        <v>0</v>
      </c>
      <c r="V152" s="47" t="b">
        <v>0</v>
      </c>
    </row>
    <row r="153" spans="1:22" x14ac:dyDescent="0.35">
      <c r="A153" s="258">
        <f t="shared" si="2"/>
        <v>146</v>
      </c>
      <c r="B153" s="224" t="s">
        <v>373</v>
      </c>
      <c r="C153" s="224" t="s">
        <v>355</v>
      </c>
      <c r="D153" s="258" t="s">
        <v>145</v>
      </c>
      <c r="E153" s="259" t="s">
        <v>170</v>
      </c>
      <c r="F153" s="259" t="s">
        <v>123</v>
      </c>
      <c r="G153" s="260">
        <v>2025</v>
      </c>
      <c r="H153" s="259" t="s">
        <v>376</v>
      </c>
      <c r="I153" s="259">
        <v>2030</v>
      </c>
      <c r="J153" s="259" t="s">
        <v>43</v>
      </c>
      <c r="K153" s="261" t="s">
        <v>152</v>
      </c>
      <c r="L153" s="291" t="s">
        <v>214</v>
      </c>
      <c r="M153" s="296" t="s">
        <v>379</v>
      </c>
      <c r="N153" s="261" t="b">
        <v>1</v>
      </c>
      <c r="O153" s="261" t="b">
        <v>0</v>
      </c>
      <c r="P153" s="261" t="b">
        <v>1</v>
      </c>
      <c r="Q153" s="261" t="b">
        <v>0</v>
      </c>
      <c r="R153" s="47" t="b">
        <v>1</v>
      </c>
      <c r="S153" s="261" t="b">
        <v>1</v>
      </c>
      <c r="T153" s="262" t="b">
        <v>0</v>
      </c>
      <c r="U153" s="261" t="b">
        <v>0</v>
      </c>
      <c r="V153" s="47" t="b">
        <v>0</v>
      </c>
    </row>
    <row r="154" spans="1:22" x14ac:dyDescent="0.35">
      <c r="A154" s="258">
        <f t="shared" si="2"/>
        <v>147</v>
      </c>
      <c r="B154" s="224" t="s">
        <v>374</v>
      </c>
      <c r="C154" s="224" t="s">
        <v>356</v>
      </c>
      <c r="D154" s="258" t="s">
        <v>145</v>
      </c>
      <c r="E154" s="259" t="s">
        <v>170</v>
      </c>
      <c r="F154" s="259" t="s">
        <v>123</v>
      </c>
      <c r="G154" s="260">
        <v>2025</v>
      </c>
      <c r="H154" s="259" t="s">
        <v>376</v>
      </c>
      <c r="I154" s="259">
        <v>2030</v>
      </c>
      <c r="J154" s="259" t="s">
        <v>43</v>
      </c>
      <c r="K154" s="261" t="s">
        <v>152</v>
      </c>
      <c r="L154" s="291" t="s">
        <v>214</v>
      </c>
      <c r="M154" s="296" t="s">
        <v>379</v>
      </c>
      <c r="N154" s="261" t="b">
        <v>1</v>
      </c>
      <c r="O154" s="261" t="b">
        <v>0</v>
      </c>
      <c r="P154" s="261" t="b">
        <v>1</v>
      </c>
      <c r="Q154" s="261" t="b">
        <v>0</v>
      </c>
      <c r="R154" s="47" t="b">
        <v>1</v>
      </c>
      <c r="S154" s="261" t="b">
        <v>1</v>
      </c>
      <c r="T154" s="262" t="b">
        <v>0</v>
      </c>
      <c r="U154" s="261" t="b">
        <v>0</v>
      </c>
      <c r="V154" s="47" t="b">
        <v>0</v>
      </c>
    </row>
  </sheetData>
  <mergeCells count="4">
    <mergeCell ref="H2:H4"/>
    <mergeCell ref="B2:B5"/>
    <mergeCell ref="C2:C5"/>
    <mergeCell ref="I2:I4"/>
  </mergeCells>
  <phoneticPr fontId="9" type="noConversion"/>
  <conditionalFormatting sqref="V8:V154 N8:S154">
    <cfRule type="cellIs" dxfId="6" priority="66" operator="equal">
      <formula>TRUE</formula>
    </cfRule>
  </conditionalFormatting>
  <conditionalFormatting sqref="N8:V154">
    <cfRule type="cellIs" dxfId="5" priority="1" operator="equal">
      <formula>FALSE</formula>
    </cfRule>
  </conditionalFormatting>
  <conditionalFormatting sqref="T8:U154">
    <cfRule type="cellIs" dxfId="4" priority="2" operator="equal">
      <formula>TRUE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1"/>
  <sheetViews>
    <sheetView workbookViewId="0">
      <selection activeCell="B25" sqref="B25"/>
    </sheetView>
  </sheetViews>
  <sheetFormatPr defaultRowHeight="14.5" x14ac:dyDescent="0.35"/>
  <cols>
    <col min="2" max="2" width="37.6328125" bestFit="1" customWidth="1"/>
  </cols>
  <sheetData>
    <row r="1" spans="1:22" x14ac:dyDescent="0.35">
      <c r="B1" s="305" t="s">
        <v>89</v>
      </c>
      <c r="C1" s="305" t="s">
        <v>116</v>
      </c>
      <c r="D1" s="2" t="s">
        <v>136</v>
      </c>
      <c r="E1" s="2" t="s">
        <v>51</v>
      </c>
      <c r="F1" s="2" t="s">
        <v>67</v>
      </c>
      <c r="G1" s="2">
        <v>2025</v>
      </c>
      <c r="H1" s="305" t="s">
        <v>95</v>
      </c>
      <c r="I1" s="305" t="s">
        <v>94</v>
      </c>
      <c r="J1" s="2" t="s">
        <v>43</v>
      </c>
      <c r="K1" s="2" t="s">
        <v>102</v>
      </c>
      <c r="L1" s="37" t="s">
        <v>84</v>
      </c>
      <c r="T1" s="113"/>
    </row>
    <row r="2" spans="1:22" x14ac:dyDescent="0.35">
      <c r="B2" s="305"/>
      <c r="C2" s="305"/>
      <c r="D2" s="2" t="s">
        <v>137</v>
      </c>
      <c r="E2" s="2" t="s">
        <v>63</v>
      </c>
      <c r="F2" s="2" t="s">
        <v>123</v>
      </c>
      <c r="G2" s="2"/>
      <c r="H2" s="305"/>
      <c r="I2" s="305"/>
      <c r="J2" s="2" t="s">
        <v>52</v>
      </c>
      <c r="K2" s="2"/>
      <c r="L2" s="37"/>
      <c r="T2" s="113"/>
    </row>
    <row r="3" spans="1:22" x14ac:dyDescent="0.35">
      <c r="B3" s="305"/>
      <c r="C3" s="305"/>
      <c r="D3" s="2"/>
      <c r="E3" s="2"/>
      <c r="F3" s="2" t="s">
        <v>65</v>
      </c>
      <c r="G3" s="2"/>
      <c r="H3" s="305"/>
      <c r="I3" s="305"/>
      <c r="J3" s="2"/>
      <c r="K3" s="2"/>
      <c r="L3" s="37"/>
      <c r="T3" s="113"/>
    </row>
    <row r="4" spans="1:22" x14ac:dyDescent="0.35">
      <c r="B4" s="305"/>
      <c r="C4" s="305"/>
      <c r="D4" s="13"/>
      <c r="E4" s="2"/>
      <c r="F4" s="2"/>
      <c r="G4" s="2"/>
      <c r="H4" s="2"/>
      <c r="I4" s="2"/>
      <c r="J4" s="2"/>
      <c r="K4" s="3"/>
      <c r="L4" s="23"/>
      <c r="M4" s="3"/>
      <c r="N4" s="3"/>
      <c r="O4" s="3"/>
      <c r="P4" s="3"/>
      <c r="Q4" s="3"/>
      <c r="R4" s="13"/>
      <c r="T4" s="172" t="s">
        <v>85</v>
      </c>
    </row>
    <row r="5" spans="1:22" x14ac:dyDescent="0.35">
      <c r="C5" s="13"/>
      <c r="D5" s="13"/>
      <c r="E5" s="13"/>
      <c r="F5" s="13"/>
      <c r="G5" s="13"/>
      <c r="H5" s="13"/>
      <c r="I5" s="13"/>
      <c r="J5" s="13"/>
      <c r="K5" s="13"/>
      <c r="L5" s="27"/>
      <c r="M5" s="3"/>
      <c r="N5" s="3"/>
      <c r="O5" s="3"/>
      <c r="P5" s="3"/>
      <c r="Q5" s="3"/>
      <c r="T5" s="113"/>
    </row>
    <row r="6" spans="1:22" x14ac:dyDescent="0.35">
      <c r="A6" s="20" t="s">
        <v>53</v>
      </c>
      <c r="B6" s="20" t="s">
        <v>88</v>
      </c>
      <c r="C6" s="20" t="s">
        <v>87</v>
      </c>
      <c r="D6" s="20" t="s">
        <v>104</v>
      </c>
      <c r="E6" s="20" t="s">
        <v>54</v>
      </c>
      <c r="F6" s="20" t="s">
        <v>64</v>
      </c>
      <c r="G6" s="20" t="s">
        <v>92</v>
      </c>
      <c r="H6" s="20" t="s">
        <v>93</v>
      </c>
      <c r="I6" s="20" t="s">
        <v>57</v>
      </c>
      <c r="J6" s="20" t="s">
        <v>55</v>
      </c>
      <c r="K6" s="20" t="s">
        <v>56</v>
      </c>
      <c r="L6" s="21" t="s">
        <v>58</v>
      </c>
      <c r="M6" s="20" t="s">
        <v>140</v>
      </c>
      <c r="N6" s="20" t="s">
        <v>141</v>
      </c>
      <c r="O6" s="20" t="s">
        <v>59</v>
      </c>
      <c r="P6" s="20" t="s">
        <v>60</v>
      </c>
      <c r="Q6" s="20" t="s">
        <v>61</v>
      </c>
      <c r="R6" s="20" t="s">
        <v>69</v>
      </c>
      <c r="S6" s="20" t="s">
        <v>70</v>
      </c>
      <c r="T6" s="173" t="s">
        <v>138</v>
      </c>
      <c r="U6" s="20" t="s">
        <v>139</v>
      </c>
      <c r="V6" s="20" t="s">
        <v>62</v>
      </c>
    </row>
    <row r="7" spans="1:22" x14ac:dyDescent="0.35">
      <c r="A7" s="2">
        <v>1</v>
      </c>
      <c r="B7" s="2" t="s">
        <v>127</v>
      </c>
      <c r="C7" s="13" t="s">
        <v>147</v>
      </c>
      <c r="D7" s="2" t="s">
        <v>145</v>
      </c>
      <c r="E7" s="13" t="s">
        <v>51</v>
      </c>
      <c r="F7" s="13" t="s">
        <v>67</v>
      </c>
      <c r="G7" s="36">
        <v>2025</v>
      </c>
      <c r="H7" s="13" t="s">
        <v>106</v>
      </c>
      <c r="I7" s="13" t="s">
        <v>166</v>
      </c>
      <c r="J7" s="13" t="s">
        <v>43</v>
      </c>
      <c r="K7" t="s">
        <v>152</v>
      </c>
      <c r="L7" s="16" t="s">
        <v>120</v>
      </c>
      <c r="M7" t="b">
        <v>0</v>
      </c>
      <c r="N7" t="b">
        <v>1</v>
      </c>
      <c r="O7" t="b">
        <v>0</v>
      </c>
      <c r="P7" t="b">
        <v>0</v>
      </c>
      <c r="Q7" t="b">
        <v>1</v>
      </c>
      <c r="R7" t="b">
        <v>0</v>
      </c>
      <c r="S7" t="b">
        <v>0</v>
      </c>
      <c r="T7" s="113" t="b">
        <v>0</v>
      </c>
      <c r="U7" t="b">
        <v>0</v>
      </c>
      <c r="V7" t="b">
        <v>1</v>
      </c>
    </row>
    <row r="8" spans="1:22" x14ac:dyDescent="0.35">
      <c r="A8" s="2">
        <v>2</v>
      </c>
      <c r="B8" s="2" t="s">
        <v>146</v>
      </c>
      <c r="C8" s="15" t="s">
        <v>149</v>
      </c>
      <c r="D8" s="2" t="s">
        <v>145</v>
      </c>
      <c r="E8" s="13" t="s">
        <v>51</v>
      </c>
      <c r="F8" s="13" t="s">
        <v>67</v>
      </c>
      <c r="G8" s="36">
        <v>2025</v>
      </c>
      <c r="H8" s="13" t="s">
        <v>106</v>
      </c>
      <c r="I8" s="13" t="s">
        <v>166</v>
      </c>
      <c r="J8" s="13" t="s">
        <v>43</v>
      </c>
      <c r="K8" t="s">
        <v>152</v>
      </c>
      <c r="L8" s="16" t="s">
        <v>120</v>
      </c>
      <c r="M8" t="b">
        <v>0</v>
      </c>
      <c r="N8" t="b">
        <v>1</v>
      </c>
      <c r="O8" t="b">
        <v>1</v>
      </c>
      <c r="P8" t="b">
        <v>0</v>
      </c>
      <c r="Q8" t="b">
        <v>1</v>
      </c>
      <c r="R8" t="b">
        <v>0</v>
      </c>
      <c r="S8" t="b">
        <v>0</v>
      </c>
      <c r="T8" s="113" t="b">
        <v>0</v>
      </c>
      <c r="U8" t="b">
        <v>0</v>
      </c>
      <c r="V8" t="b">
        <v>1</v>
      </c>
    </row>
    <row r="9" spans="1:22" x14ac:dyDescent="0.35">
      <c r="A9" s="2">
        <v>3</v>
      </c>
      <c r="B9" s="2" t="s">
        <v>150</v>
      </c>
      <c r="C9" s="15" t="s">
        <v>151</v>
      </c>
      <c r="D9" s="2" t="s">
        <v>145</v>
      </c>
      <c r="E9" s="13" t="s">
        <v>51</v>
      </c>
      <c r="F9" s="13" t="s">
        <v>67</v>
      </c>
      <c r="G9" s="36">
        <v>2025</v>
      </c>
      <c r="H9" s="13" t="s">
        <v>106</v>
      </c>
      <c r="I9" s="13" t="s">
        <v>166</v>
      </c>
      <c r="J9" s="13" t="s">
        <v>43</v>
      </c>
      <c r="K9" t="s">
        <v>152</v>
      </c>
      <c r="L9" s="16" t="s">
        <v>120</v>
      </c>
      <c r="M9" t="b">
        <v>0</v>
      </c>
      <c r="N9" t="b">
        <v>1</v>
      </c>
      <c r="O9" t="b">
        <v>1</v>
      </c>
      <c r="P9" t="b">
        <v>0</v>
      </c>
      <c r="Q9" t="b">
        <v>1</v>
      </c>
      <c r="R9" t="b">
        <v>0</v>
      </c>
      <c r="S9" t="b">
        <v>0</v>
      </c>
      <c r="T9" s="113" t="b">
        <v>0</v>
      </c>
      <c r="U9" t="b">
        <v>0</v>
      </c>
      <c r="V9" t="b">
        <v>1</v>
      </c>
    </row>
    <row r="10" spans="1:22" x14ac:dyDescent="0.35">
      <c r="A10" s="2">
        <v>4</v>
      </c>
      <c r="B10" s="2" t="s">
        <v>154</v>
      </c>
      <c r="C10" s="15" t="s">
        <v>159</v>
      </c>
      <c r="D10" s="2" t="s">
        <v>145</v>
      </c>
      <c r="E10" s="13" t="s">
        <v>51</v>
      </c>
      <c r="F10" s="13" t="s">
        <v>67</v>
      </c>
      <c r="G10" s="36">
        <v>2025</v>
      </c>
      <c r="H10" s="13" t="s">
        <v>106</v>
      </c>
      <c r="I10" s="13" t="s">
        <v>166</v>
      </c>
      <c r="J10" s="13" t="s">
        <v>43</v>
      </c>
      <c r="K10" t="s">
        <v>152</v>
      </c>
      <c r="L10" s="16" t="s">
        <v>120</v>
      </c>
      <c r="M10" t="b">
        <v>0</v>
      </c>
      <c r="N10" t="b">
        <v>1</v>
      </c>
      <c r="O10" t="b">
        <v>1</v>
      </c>
      <c r="P10" t="b">
        <v>0</v>
      </c>
      <c r="Q10" t="b">
        <v>1</v>
      </c>
      <c r="R10" t="b">
        <v>0</v>
      </c>
      <c r="S10" t="b">
        <v>0</v>
      </c>
      <c r="T10" s="113" t="b">
        <v>0</v>
      </c>
      <c r="U10" t="b">
        <v>0</v>
      </c>
      <c r="V10" t="b">
        <v>1</v>
      </c>
    </row>
    <row r="11" spans="1:22" x14ac:dyDescent="0.35">
      <c r="A11" s="2">
        <v>5</v>
      </c>
      <c r="B11" s="2" t="s">
        <v>153</v>
      </c>
      <c r="C11" s="15" t="s">
        <v>160</v>
      </c>
      <c r="D11" s="2" t="s">
        <v>145</v>
      </c>
      <c r="E11" s="13" t="s">
        <v>51</v>
      </c>
      <c r="F11" s="13" t="s">
        <v>67</v>
      </c>
      <c r="G11" s="36">
        <v>2025</v>
      </c>
      <c r="H11" s="13" t="s">
        <v>106</v>
      </c>
      <c r="I11" s="13" t="s">
        <v>166</v>
      </c>
      <c r="J11" s="13" t="s">
        <v>43</v>
      </c>
      <c r="K11" t="s">
        <v>152</v>
      </c>
      <c r="L11" s="16" t="s">
        <v>120</v>
      </c>
      <c r="M11" t="b">
        <v>0</v>
      </c>
      <c r="N11" t="b">
        <v>1</v>
      </c>
      <c r="O11" t="b">
        <v>1</v>
      </c>
      <c r="P11" t="b">
        <v>0</v>
      </c>
      <c r="Q11" t="b">
        <v>1</v>
      </c>
      <c r="R11" t="b">
        <v>0</v>
      </c>
      <c r="S11" t="b">
        <v>0</v>
      </c>
      <c r="T11" s="113" t="b">
        <v>0</v>
      </c>
      <c r="U11" t="b">
        <v>0</v>
      </c>
      <c r="V11" t="b">
        <v>1</v>
      </c>
    </row>
    <row r="12" spans="1:22" x14ac:dyDescent="0.35">
      <c r="A12" s="2">
        <v>6</v>
      </c>
      <c r="B12" s="2" t="s">
        <v>155</v>
      </c>
      <c r="C12" s="15" t="s">
        <v>161</v>
      </c>
      <c r="D12" s="2" t="s">
        <v>145</v>
      </c>
      <c r="E12" s="13" t="s">
        <v>51</v>
      </c>
      <c r="F12" s="13" t="s">
        <v>67</v>
      </c>
      <c r="G12" s="36">
        <v>2025</v>
      </c>
      <c r="H12" s="13" t="s">
        <v>106</v>
      </c>
      <c r="I12" s="13" t="s">
        <v>166</v>
      </c>
      <c r="J12" s="13" t="s">
        <v>43</v>
      </c>
      <c r="K12" t="s">
        <v>152</v>
      </c>
      <c r="L12" s="16" t="s">
        <v>120</v>
      </c>
      <c r="M12" t="b">
        <v>0</v>
      </c>
      <c r="N12" t="b">
        <v>1</v>
      </c>
      <c r="O12" t="b">
        <v>1</v>
      </c>
      <c r="P12" t="b">
        <v>0</v>
      </c>
      <c r="Q12" t="b">
        <v>1</v>
      </c>
      <c r="R12" t="b">
        <v>0</v>
      </c>
      <c r="S12" t="b">
        <v>0</v>
      </c>
      <c r="T12" s="113" t="b">
        <v>0</v>
      </c>
      <c r="U12" t="b">
        <v>0</v>
      </c>
      <c r="V12" t="b">
        <v>1</v>
      </c>
    </row>
    <row r="13" spans="1:22" x14ac:dyDescent="0.35">
      <c r="A13" s="2">
        <v>7</v>
      </c>
      <c r="B13" s="2" t="s">
        <v>156</v>
      </c>
      <c r="C13" s="15" t="s">
        <v>162</v>
      </c>
      <c r="D13" s="2" t="s">
        <v>145</v>
      </c>
      <c r="E13" s="13" t="s">
        <v>51</v>
      </c>
      <c r="F13" s="13" t="s">
        <v>67</v>
      </c>
      <c r="G13" s="36">
        <v>2025</v>
      </c>
      <c r="H13" s="13" t="s">
        <v>106</v>
      </c>
      <c r="I13" s="13" t="s">
        <v>166</v>
      </c>
      <c r="J13" s="13" t="s">
        <v>43</v>
      </c>
      <c r="K13" t="s">
        <v>152</v>
      </c>
      <c r="L13" s="16" t="s">
        <v>120</v>
      </c>
      <c r="M13" t="b">
        <v>0</v>
      </c>
      <c r="N13" t="b">
        <v>1</v>
      </c>
      <c r="O13" t="b">
        <v>1</v>
      </c>
      <c r="P13" t="b">
        <v>0</v>
      </c>
      <c r="Q13" t="b">
        <v>1</v>
      </c>
      <c r="R13" t="b">
        <v>0</v>
      </c>
      <c r="S13" t="b">
        <v>0</v>
      </c>
      <c r="T13" s="113" t="b">
        <v>0</v>
      </c>
      <c r="U13" t="b">
        <v>0</v>
      </c>
      <c r="V13" t="b">
        <v>1</v>
      </c>
    </row>
    <row r="14" spans="1:22" x14ac:dyDescent="0.35">
      <c r="A14" s="2">
        <v>8</v>
      </c>
      <c r="B14" s="2" t="s">
        <v>157</v>
      </c>
      <c r="C14" s="15" t="s">
        <v>163</v>
      </c>
      <c r="D14" s="2" t="s">
        <v>145</v>
      </c>
      <c r="E14" s="13" t="s">
        <v>51</v>
      </c>
      <c r="F14" s="13" t="s">
        <v>67</v>
      </c>
      <c r="G14" s="36">
        <v>2025</v>
      </c>
      <c r="H14" s="13" t="s">
        <v>106</v>
      </c>
      <c r="I14" s="13" t="s">
        <v>166</v>
      </c>
      <c r="J14" s="13" t="s">
        <v>43</v>
      </c>
      <c r="K14" t="s">
        <v>152</v>
      </c>
      <c r="L14" s="16" t="s">
        <v>120</v>
      </c>
      <c r="M14" t="b">
        <v>0</v>
      </c>
      <c r="N14" t="b">
        <v>1</v>
      </c>
      <c r="O14" t="b">
        <v>1</v>
      </c>
      <c r="P14" t="b">
        <v>0</v>
      </c>
      <c r="Q14" t="b">
        <v>1</v>
      </c>
      <c r="R14" t="b">
        <v>0</v>
      </c>
      <c r="S14" t="b">
        <v>0</v>
      </c>
      <c r="T14" s="113" t="b">
        <v>0</v>
      </c>
      <c r="U14" t="b">
        <v>0</v>
      </c>
      <c r="V14" t="b">
        <v>1</v>
      </c>
    </row>
    <row r="15" spans="1:22" x14ac:dyDescent="0.35">
      <c r="A15" s="2">
        <v>9</v>
      </c>
      <c r="B15" s="2" t="s">
        <v>158</v>
      </c>
      <c r="C15" s="15" t="s">
        <v>164</v>
      </c>
      <c r="D15" s="2" t="s">
        <v>145</v>
      </c>
      <c r="E15" s="13" t="s">
        <v>51</v>
      </c>
      <c r="F15" s="13" t="s">
        <v>67</v>
      </c>
      <c r="G15" s="36">
        <v>2025</v>
      </c>
      <c r="H15" s="13" t="s">
        <v>106</v>
      </c>
      <c r="I15" s="13" t="s">
        <v>166</v>
      </c>
      <c r="J15" s="13" t="s">
        <v>43</v>
      </c>
      <c r="K15" t="s">
        <v>152</v>
      </c>
      <c r="L15" s="16" t="s">
        <v>120</v>
      </c>
      <c r="M15" t="b">
        <v>0</v>
      </c>
      <c r="N15" t="b">
        <v>1</v>
      </c>
      <c r="O15" t="b">
        <v>1</v>
      </c>
      <c r="P15" t="b">
        <v>0</v>
      </c>
      <c r="Q15" t="b">
        <v>1</v>
      </c>
      <c r="R15" t="b">
        <v>0</v>
      </c>
      <c r="S15" t="b">
        <v>0</v>
      </c>
      <c r="T15" s="113" t="b">
        <v>0</v>
      </c>
      <c r="U15" t="b">
        <v>0</v>
      </c>
      <c r="V15" t="b">
        <v>1</v>
      </c>
    </row>
    <row r="16" spans="1:22" x14ac:dyDescent="0.35">
      <c r="A16" s="2">
        <v>10</v>
      </c>
      <c r="B16" s="2" t="s">
        <v>181</v>
      </c>
      <c r="C16" s="13" t="s">
        <v>147</v>
      </c>
      <c r="D16" s="2" t="s">
        <v>145</v>
      </c>
      <c r="E16" s="13" t="s">
        <v>51</v>
      </c>
      <c r="F16" s="13" t="s">
        <v>67</v>
      </c>
      <c r="G16" s="36">
        <v>2030</v>
      </c>
      <c r="H16" s="13" t="s">
        <v>106</v>
      </c>
      <c r="I16" s="13" t="s">
        <v>166</v>
      </c>
      <c r="J16" s="13" t="s">
        <v>43</v>
      </c>
      <c r="K16" t="s">
        <v>152</v>
      </c>
      <c r="L16" s="16" t="s">
        <v>120</v>
      </c>
      <c r="M16" t="b">
        <v>0</v>
      </c>
      <c r="N16" t="b">
        <v>1</v>
      </c>
      <c r="O16" t="b">
        <v>1</v>
      </c>
      <c r="P16" t="b">
        <v>0</v>
      </c>
      <c r="Q16" t="b">
        <v>1</v>
      </c>
      <c r="R16" t="b">
        <v>0</v>
      </c>
      <c r="S16" t="b">
        <v>0</v>
      </c>
      <c r="T16" s="113" t="b">
        <v>0</v>
      </c>
      <c r="U16" t="b">
        <v>0</v>
      </c>
      <c r="V16" t="b">
        <v>1</v>
      </c>
    </row>
    <row r="17" spans="1:22" x14ac:dyDescent="0.35">
      <c r="A17" s="2">
        <v>11</v>
      </c>
      <c r="B17" s="2" t="s">
        <v>182</v>
      </c>
      <c r="C17" s="13" t="s">
        <v>180</v>
      </c>
      <c r="D17" s="2" t="s">
        <v>145</v>
      </c>
      <c r="E17" s="13" t="s">
        <v>51</v>
      </c>
      <c r="F17" s="13" t="s">
        <v>67</v>
      </c>
      <c r="G17" s="36">
        <v>2030</v>
      </c>
      <c r="H17" s="13" t="s">
        <v>106</v>
      </c>
      <c r="I17" s="13" t="s">
        <v>166</v>
      </c>
      <c r="J17" s="13" t="s">
        <v>43</v>
      </c>
      <c r="K17" t="s">
        <v>152</v>
      </c>
      <c r="L17" s="16" t="s">
        <v>120</v>
      </c>
      <c r="M17" t="b">
        <v>0</v>
      </c>
      <c r="N17" t="b">
        <v>1</v>
      </c>
      <c r="O17" t="b">
        <v>1</v>
      </c>
      <c r="P17" t="b">
        <v>0</v>
      </c>
      <c r="Q17" t="b">
        <v>1</v>
      </c>
      <c r="R17" t="b">
        <v>0</v>
      </c>
      <c r="S17" t="b">
        <v>0</v>
      </c>
      <c r="T17" s="113" t="b">
        <v>0</v>
      </c>
      <c r="U17" t="b">
        <v>0</v>
      </c>
      <c r="V17" t="b">
        <v>1</v>
      </c>
    </row>
    <row r="18" spans="1:22" x14ac:dyDescent="0.35">
      <c r="A18" s="2">
        <v>12</v>
      </c>
      <c r="B18" s="2" t="s">
        <v>167</v>
      </c>
      <c r="C18" s="13" t="s">
        <v>147</v>
      </c>
      <c r="D18" s="2" t="s">
        <v>145</v>
      </c>
      <c r="E18" s="13" t="s">
        <v>51</v>
      </c>
      <c r="F18" s="13" t="s">
        <v>123</v>
      </c>
      <c r="G18" s="36">
        <v>2025</v>
      </c>
      <c r="H18" s="13" t="s">
        <v>106</v>
      </c>
      <c r="I18" s="13" t="s">
        <v>166</v>
      </c>
      <c r="J18" s="13" t="s">
        <v>43</v>
      </c>
      <c r="K18" t="s">
        <v>152</v>
      </c>
      <c r="L18" s="16" t="s">
        <v>120</v>
      </c>
      <c r="M18" t="b">
        <v>0</v>
      </c>
      <c r="N18" t="b">
        <v>1</v>
      </c>
      <c r="O18" t="b">
        <v>1</v>
      </c>
      <c r="P18" t="b">
        <v>0</v>
      </c>
      <c r="Q18" t="b">
        <v>1</v>
      </c>
      <c r="R18" t="b">
        <v>0</v>
      </c>
      <c r="S18" t="b">
        <v>0</v>
      </c>
      <c r="T18" s="113" t="b">
        <v>0</v>
      </c>
      <c r="U18" t="b">
        <v>0</v>
      </c>
      <c r="V18" t="b">
        <v>1</v>
      </c>
    </row>
    <row r="19" spans="1:22" x14ac:dyDescent="0.35">
      <c r="A19" s="2">
        <v>13</v>
      </c>
      <c r="B19" s="2" t="s">
        <v>168</v>
      </c>
      <c r="C19" s="15" t="s">
        <v>149</v>
      </c>
      <c r="D19" s="2" t="s">
        <v>145</v>
      </c>
      <c r="E19" s="13" t="s">
        <v>51</v>
      </c>
      <c r="F19" s="13" t="s">
        <v>123</v>
      </c>
      <c r="G19" s="36">
        <v>2025</v>
      </c>
      <c r="H19" s="13" t="s">
        <v>106</v>
      </c>
      <c r="I19" s="13" t="s">
        <v>166</v>
      </c>
      <c r="J19" s="13" t="s">
        <v>43</v>
      </c>
      <c r="K19" t="s">
        <v>152</v>
      </c>
      <c r="L19" s="16" t="s">
        <v>120</v>
      </c>
      <c r="M19" t="b">
        <v>0</v>
      </c>
      <c r="N19" t="b">
        <v>1</v>
      </c>
      <c r="O19" t="b">
        <v>1</v>
      </c>
      <c r="P19" t="b">
        <v>0</v>
      </c>
      <c r="Q19" t="b">
        <v>1</v>
      </c>
      <c r="R19" t="b">
        <v>0</v>
      </c>
      <c r="S19" t="b">
        <v>0</v>
      </c>
      <c r="T19" s="113" t="b">
        <v>0</v>
      </c>
      <c r="U19" t="b">
        <v>0</v>
      </c>
      <c r="V19" t="b">
        <v>1</v>
      </c>
    </row>
    <row r="20" spans="1:22" x14ac:dyDescent="0.35">
      <c r="A20" s="2">
        <v>14</v>
      </c>
      <c r="B20" s="2" t="s">
        <v>169</v>
      </c>
      <c r="C20" s="13" t="s">
        <v>147</v>
      </c>
      <c r="D20" s="2" t="s">
        <v>145</v>
      </c>
      <c r="E20" s="13" t="s">
        <v>170</v>
      </c>
      <c r="F20" s="13" t="s">
        <v>123</v>
      </c>
      <c r="G20" s="36">
        <v>2025</v>
      </c>
      <c r="H20" s="13" t="s">
        <v>106</v>
      </c>
      <c r="I20" s="13" t="s">
        <v>166</v>
      </c>
      <c r="J20" s="13" t="s">
        <v>43</v>
      </c>
      <c r="K20" t="s">
        <v>152</v>
      </c>
      <c r="L20" s="16" t="s">
        <v>120</v>
      </c>
      <c r="M20" t="b">
        <v>0</v>
      </c>
      <c r="N20" t="b">
        <v>1</v>
      </c>
      <c r="O20" t="b">
        <v>1</v>
      </c>
      <c r="P20" t="b">
        <v>0</v>
      </c>
      <c r="Q20" t="b">
        <v>1</v>
      </c>
      <c r="R20" t="b">
        <v>0</v>
      </c>
      <c r="S20" t="b">
        <v>0</v>
      </c>
      <c r="T20" s="113" t="b">
        <v>0</v>
      </c>
      <c r="U20" t="b">
        <v>0</v>
      </c>
      <c r="V20" t="b">
        <v>1</v>
      </c>
    </row>
    <row r="21" spans="1:22" x14ac:dyDescent="0.35">
      <c r="A21" s="2">
        <v>15</v>
      </c>
      <c r="B21" s="2" t="s">
        <v>171</v>
      </c>
      <c r="C21" s="15" t="s">
        <v>149</v>
      </c>
      <c r="D21" s="2" t="s">
        <v>145</v>
      </c>
      <c r="E21" s="13" t="s">
        <v>170</v>
      </c>
      <c r="F21" s="13" t="s">
        <v>123</v>
      </c>
      <c r="G21" s="36">
        <v>2025</v>
      </c>
      <c r="H21" s="13" t="s">
        <v>106</v>
      </c>
      <c r="I21" s="13" t="s">
        <v>166</v>
      </c>
      <c r="J21" s="13" t="s">
        <v>43</v>
      </c>
      <c r="K21" t="s">
        <v>152</v>
      </c>
      <c r="L21" s="16" t="s">
        <v>120</v>
      </c>
      <c r="M21" t="b">
        <v>0</v>
      </c>
      <c r="N21" t="b">
        <v>1</v>
      </c>
      <c r="O21" t="b">
        <v>1</v>
      </c>
      <c r="P21" t="b">
        <v>0</v>
      </c>
      <c r="Q21" t="b">
        <v>1</v>
      </c>
      <c r="R21" t="b">
        <v>0</v>
      </c>
      <c r="S21" t="b">
        <v>0</v>
      </c>
      <c r="T21" s="113" t="b">
        <v>0</v>
      </c>
      <c r="U21" t="b">
        <v>0</v>
      </c>
      <c r="V21" t="b">
        <v>1</v>
      </c>
    </row>
  </sheetData>
  <mergeCells count="4">
    <mergeCell ref="B1:B4"/>
    <mergeCell ref="C1:C4"/>
    <mergeCell ref="H1:H3"/>
    <mergeCell ref="I1:I3"/>
  </mergeCells>
  <conditionalFormatting sqref="M7:S21">
    <cfRule type="cellIs" dxfId="3" priority="1" operator="equal">
      <formula>TRUE</formula>
    </cfRule>
  </conditionalFormatting>
  <conditionalFormatting sqref="M7:V21">
    <cfRule type="cellIs" dxfId="2" priority="2" operator="equal">
      <formula>FALSE</formula>
    </cfRule>
  </conditionalFormatting>
  <conditionalFormatting sqref="T7:U21">
    <cfRule type="cellIs" dxfId="1" priority="3" operator="equal">
      <formula>TRUE</formula>
    </cfRule>
  </conditionalFormatting>
  <conditionalFormatting sqref="V7:V21">
    <cfRule type="cellIs" dxfId="0" priority="4" operator="equal">
      <formula>TRUE</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E2F2F708989FC74DA9B906DA962F7C54" ma:contentTypeVersion="4" ma:contentTypeDescription="Opret et nyt dokument." ma:contentTypeScope="" ma:versionID="337278f0888a75041bbe690ec7fc15f7">
  <xsd:schema xmlns:xsd="http://www.w3.org/2001/XMLSchema" xmlns:xs="http://www.w3.org/2001/XMLSchema" xmlns:p="http://schemas.microsoft.com/office/2006/metadata/properties" xmlns:ns2="9287ee06-ba78-4038-8e9f-6570dddbc8e6" targetNamespace="http://schemas.microsoft.com/office/2006/metadata/properties" ma:root="true" ma:fieldsID="a94df94249b8a53d7dd15c0d296cf44e" ns2:_="">
    <xsd:import namespace="9287ee06-ba78-4038-8e9f-6570dddbc8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287ee06-ba78-4038-8e9f-6570dddbc8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9C799E9-F8D9-4D5A-9340-AC882CEFC501}">
  <ds:schemaRefs>
    <ds:schemaRef ds:uri="http://schemas.microsoft.com/sharepoint/v3/contenttype/forms"/>
  </ds:schemaRefs>
</ds:datastoreItem>
</file>

<file path=customXml/itemProps2.xml><?xml version="1.0" encoding="utf-8"?>
<ds:datastoreItem xmlns:ds="http://schemas.openxmlformats.org/officeDocument/2006/customXml" ds:itemID="{993F140A-CC0E-4862-8D96-F8B104CBCF1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287ee06-ba78-4038-8e9f-6570dddbc8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FD794F2-9C45-4F27-9F2B-F8779BC51DCC}">
  <ds:schemaRefs>
    <ds:schemaRef ds:uri="http://schemas.microsoft.com/office/infopath/2007/PartnerControls"/>
    <ds:schemaRef ds:uri="http://www.w3.org/XML/1998/namespace"/>
    <ds:schemaRef ds:uri="http://purl.org/dc/dcmitype/"/>
    <ds:schemaRef ds:uri="9287ee06-ba78-4038-8e9f-6570dddbc8e6"/>
    <ds:schemaRef ds:uri="http://purl.org/dc/terms/"/>
    <ds:schemaRef ds:uri="http://schemas.microsoft.com/office/2006/documentManagement/types"/>
    <ds:schemaRef ds:uri="http://purl.org/dc/elements/1.1/"/>
    <ds:schemaRef ds:uri="http://schemas.openxmlformats.org/package/2006/metadata/core-properties"/>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Data_base_case</vt:lpstr>
      <vt:lpstr>Data_base_case_Faroe</vt:lpstr>
      <vt:lpstr>Selected_units</vt:lpstr>
      <vt:lpstr>Scenarios_definition</vt:lpstr>
      <vt:lpstr>ScenariosToRun</vt:lpstr>
      <vt:lpstr>Archive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Lotta Marie Schlau</dc:creator>
  <cp:lastModifiedBy>Nicolas Jean Bernard Campion</cp:lastModifiedBy>
  <dcterms:created xsi:type="dcterms:W3CDTF">2015-06-05T18:17:20Z</dcterms:created>
  <dcterms:modified xsi:type="dcterms:W3CDTF">2025-10-03T12:52:32Z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0x010100E2F2F708989FC74DA9B906DA962F7C54</vt:lpwstr>
  </property>
</Properties>
</file>