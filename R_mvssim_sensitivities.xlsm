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14240" windowHeight="7380" activeTab="3"/>
  </bookViews>
  <sheets>
    <sheet name="Import" sheetId="14" r:id="rId1"/>
    <sheet name="All_Scenarios" sheetId="225" r:id="rId2"/>
    <sheet name="LCOA" sheetId="485" r:id="rId3"/>
    <sheet name="Sensitivities" sheetId="516" r:id="rId4"/>
    <sheet name="Graph" sheetId="517" r:id="rId5"/>
  </sheets>
  <calcPr calcId="162913"/>
  <pivotCaches>
    <pivotCache cacheId="25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516" l="1"/>
  <c r="C19" i="516" l="1"/>
  <c r="J10" i="516" s="1"/>
  <c r="C20" i="516"/>
  <c r="K7" i="516" s="1"/>
  <c r="C21" i="516"/>
  <c r="K8" i="516" s="1"/>
  <c r="C16" i="516"/>
  <c r="J7" i="516" s="1"/>
  <c r="C17" i="516"/>
  <c r="J8" i="516" s="1"/>
  <c r="C18" i="516"/>
  <c r="J9" i="516" s="1"/>
  <c r="C22" i="516"/>
  <c r="K9" i="516" s="1"/>
  <c r="C3" i="516" l="1"/>
  <c r="C5" i="516"/>
  <c r="F8" i="516" s="1"/>
  <c r="C6" i="516"/>
  <c r="F9" i="516" s="1"/>
  <c r="C7" i="516"/>
  <c r="G7" i="516" s="1"/>
  <c r="C8" i="516"/>
  <c r="G8" i="516" s="1"/>
  <c r="C9" i="516"/>
  <c r="G9" i="516" s="1"/>
  <c r="C10" i="516"/>
  <c r="H7" i="516" s="1"/>
  <c r="C11" i="516"/>
  <c r="H8" i="516" s="1"/>
  <c r="C12" i="516"/>
  <c r="H9" i="516" s="1"/>
  <c r="C13" i="516"/>
  <c r="I7" i="516" s="1"/>
  <c r="C14" i="516"/>
  <c r="I8" i="516" s="1"/>
  <c r="C15" i="516"/>
  <c r="I9" i="516" s="1"/>
  <c r="C4" i="516"/>
  <c r="F7" i="516" s="1"/>
  <c r="L10" i="516" l="1"/>
  <c r="L7" i="516"/>
  <c r="L9" i="516"/>
  <c r="L6" i="516"/>
  <c r="L8" i="516"/>
</calcChain>
</file>

<file path=xl/connections.xml><?xml version="1.0" encoding="utf-8"?>
<connections xmlns="http://schemas.openxmlformats.org/spreadsheetml/2006/main">
  <connection id="1" name="Capacities1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Capacities1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Capacities1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Capacities1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Capacities1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Capacities1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Capacities1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Capacities1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Capacities1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Capacities1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Capacities1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Capacities1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Capacities1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Capacities1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Capacities1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Capacities1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Capacities1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Capacities1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apacities2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Capacities2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Capacities2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Capacities2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Capacities2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Capacities2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Capacities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Capacities2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Capacities2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Capacities2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Capacities2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Capacities2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Capacities23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Capacities2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Capacities23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Capacities24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Capacities2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Capacities24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Capacities2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Capacities2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Capacities2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Capacities2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Capacities2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Capacities2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Capacities2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Capacities2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Capacities2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Capacities2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Capacities2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Capacities2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Capacities2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Capacities2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Capacities2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Capacities3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Capacities3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Capacities3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Capacities3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Capacities3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Capacities3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Capacities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Capacities3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Capacities3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Capacities3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Capacities3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Capacities3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Capacities33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Capacities3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Capacities33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Capacities34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Capacities3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Capacities34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Capacities3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name="Capacities3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name="Capacities3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name="Capacities3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name="Capacities3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name="Capacities3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name="Capacities3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name="Capacities3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name="Capacities3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name="Capacities3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name="Capacities3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name="Capacities3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name="Capacities3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name="Capacities3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name="Capacities3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name="Capacities4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name="Capacities4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" name="Capacities4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" name="Capacities4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" name="Capacities4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" name="Capacities4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" name="Capacities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" name="Capacities4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" name="Capacities4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" name="Capacities4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" name="Capacities4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" name="Capacities4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" name="Capacities43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" name="Capacities4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" name="Capacities43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" name="Capacities44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" name="Capacities4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" name="Capacities44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" name="Capacities4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" name="Capacities4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" name="Capacities4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name="Capacities4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" name="Capacities4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" name="Capacities4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" name="Capacities4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" name="Capacities4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" name="Capacities4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" name="Capacities4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" name="Capacities4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" name="Capacities4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" name="Capacities4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" name="Capacities4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" name="Capacities4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" name="Capacities5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" name="Capacities5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" name="Capacities5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" name="Capacities5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" name="Capacities5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" name="Capacities5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" name="Capacities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" name="Capacities5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" name="Capacities5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" name="Capacities5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" name="Capacities5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" name="Capacities5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" name="Capacities581" type="6" refreshedVersion="6" background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" name="Capacities5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" name="Capacities5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" name="Capacities591" type="6" refreshedVersion="6" background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" name="Capacities5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" name="Capacities5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" name="Capacities6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" name="Capacities6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" name="Capacities6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" name="Capacities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" name="Capacities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" name="Capacities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" name="Capacities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" name="Capacities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" name="Capacities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" name="Capacities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" name="Capacities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" name="Capacities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" name="Csv filesBought" type="6" refreshedVersion="0" background="1">
    <textPr prompt="0" sourceFile="C:\Users\njbca\Documents\Models\Brisbane study case\Results\Csv filesBought.csv" thousands=" ">
      <textFields>
        <textField/>
      </textFields>
    </textPr>
  </connection>
  <connection id="149" name="Csv filesBought1" type="6" refreshedVersion="0" background="1">
    <textPr prompt="0" sourceFile="C:\Users\njbca\Documents\Models\Brisbane study case\Results\Csv filesBought.csv" thousands=" ">
      <textFields>
        <textField/>
      </textFields>
    </textPr>
  </connection>
  <connection id="150" name="csv filesBought2" type="6" refreshedVersion="0" background="1">
    <textPr prompt="0" sourceFile="C:\Users\njbca\Documents\Models\Brisbane study case\Results\csv filesBought.csv" thousands=" ">
      <textFields>
        <textField/>
      </textFields>
    </textPr>
  </connection>
  <connection id="151" name="Hourly resultsFlows" type="6" refreshedVersion="0" background="1">
    <textPr prompt="0" sourceFile="C:\Users\njbca\Documents\Models\Brisbane study case\Results\Csv files\Hourly resultsFlows.csv" thousands=" ">
      <textFields>
        <textField/>
      </textFields>
    </textPr>
  </connection>
  <connection id="152" name="How to combines csvs docs" type="6" refreshedVersion="0" background="1">
    <textPr prompt="0" sourceFile="C:\Users\njbca\Documents\Models\Brisbane study case\Results\csv files\How to combines csvs docs.csv" thousands=" ">
      <textFields>
        <textField/>
      </textFields>
    </textPr>
  </connection>
  <connection id="153" name="Main resultsResults_Benchmark_case" type="6" refreshedVersion="0" background="1">
    <textPr prompt="0" sourceFile="C:\Users\njbca\Documents\Models\Brisbane study case\Results\Csv files\Main resultsResults_Benchmark_case.csv" thousands=" ">
      <textFields>
        <textField/>
      </textFields>
    </textPr>
  </connection>
  <connection id="154" name="Main resultsResults_Benchmark_case1" type="6" refreshedVersion="0" background="1">
    <textPr prompt="0" sourceFile="C:\Users\njbca\Documents\Models\Brisbane study case\Results\Csv files\Main resultsResults_Benchmark_case.csv" thousands=" ">
      <textFields>
        <textField/>
      </textFields>
    </textPr>
  </connection>
  <connection id="155" name="Results_Test_case10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" name="Results_Test_case10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" name="Results_Test_case110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" name="Results_Test_case11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" name="Results_Test_case114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" name="Results_Test_case115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" name="Results_Test_case12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" name="Results_Test_case12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" name="Results_Test_case13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" name="Results_Test_case13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" name="Results_Test_case14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" name="Results_Test_case14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" name="Results_Test_case15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" name="Results_Test_case15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" name="Results_Test_case16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" name="Results_Test_case16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" name="Results_Test_case17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" name="Results_Test_case17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" name="Results_Test_case18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" name="Results_Test_case18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" name="Results_Test_case19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" name="Results_Test_case19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" name="Results_Test_case20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" name="Results_Test_case20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" name="Results_Test_case21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" name="Results_Test_case21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" name="Results_Test_case214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" name="Results_Test_case22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" name="Results_Test_case22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" name="Results_Test_case23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" name="Results_Test_case23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" name="Results_Test_case24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" name="Results_Test_case24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" name="Results_Test_case25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" name="Results_Test_case25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" name="Results_Test_case26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" name="Results_Test_case26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" name="Results_Test_case27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" name="Results_Test_case27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" name="Results_Test_case28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" name="Results_Test_case28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" name="Results_Test_case29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" name="Results_Test_case30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" name="Results_Test_case3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" name="Results_Test_case341" type="6" refreshedVersion="6" background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" name="Results_Test_case35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" name="Results_Test_case36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" name="Results_Test_case4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" name="Results_Test_case4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" name="Results_Test_case5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" name="Results_Test_case5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" name="Results_Test_case6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" name="Results_Test_case6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" name="Results_Test_case7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" name="Results_Test_case7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" name="Results_Test_case8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" name="Results_Test_case8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" name="Results_Test_case9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" name="Results_Test_case9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" name="Sold" type="6" refreshedVersion="0" background="1">
    <textPr prompt="0" sourceFile="C:\Users\njbca\Documents\Models\Brisbane study case\Results\Sold.csv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<sst xmlns="http://schemas.openxmlformats.org/spreadsheetml/2006/main" count="2155" uniqueCount="98">
  <si>
    <t xml:space="preserve">Main results folder: </t>
  </si>
  <si>
    <t>Row Labels</t>
  </si>
  <si>
    <t>Grand Total</t>
  </si>
  <si>
    <t>Column Labels</t>
  </si>
  <si>
    <t>Batteries</t>
  </si>
  <si>
    <t>Scenario</t>
  </si>
  <si>
    <t>Type of unit</t>
  </si>
  <si>
    <t>Electricity from the grid</t>
  </si>
  <si>
    <t>Electricity to the grid</t>
  </si>
  <si>
    <t>Charge batteries</t>
  </si>
  <si>
    <t>Discharge batteries</t>
  </si>
  <si>
    <t xml:space="preserve">Hourly results folder </t>
  </si>
  <si>
    <t>Flows, sold or bought</t>
  </si>
  <si>
    <t>Electrolyser</t>
  </si>
  <si>
    <t>NaN</t>
  </si>
  <si>
    <t>Load average</t>
  </si>
  <si>
    <t>Full load hours</t>
  </si>
  <si>
    <t>Location</t>
  </si>
  <si>
    <t>Fuel</t>
  </si>
  <si>
    <t>AEC</t>
  </si>
  <si>
    <t>Electrolyser AEC</t>
  </si>
  <si>
    <t>Av electricity cost(Euros/MWh)</t>
  </si>
  <si>
    <r>
      <t>C:\Users\njbca\Documents\Models\OptiPlant-UserCO2</t>
    </r>
    <r>
      <rPr>
        <sz val="11"/>
        <color rgb="FFFF0000"/>
        <rFont val="Calibri"/>
        <family val="2"/>
        <scheme val="minor"/>
      </rPr>
      <t>\ConfPapEmi\</t>
    </r>
    <r>
      <rPr>
        <sz val="11"/>
        <color theme="1"/>
        <rFont val="Calibri"/>
        <family val="2"/>
        <scheme val="minor"/>
      </rPr>
      <t>Results</t>
    </r>
    <r>
      <rPr>
        <sz val="11"/>
        <color rgb="FFFF0000"/>
        <rFont val="Calibri"/>
        <family val="2"/>
        <scheme val="minor"/>
      </rPr>
      <t>\Results_main\</t>
    </r>
    <r>
      <rPr>
        <sz val="11"/>
        <color theme="1"/>
        <rFont val="Calibri"/>
        <family val="2"/>
        <scheme val="minor"/>
      </rPr>
      <t>Hourly results\Flows\</t>
    </r>
  </si>
  <si>
    <t>Water supply</t>
  </si>
  <si>
    <t>H2 pipeline to demand</t>
  </si>
  <si>
    <t>H2 user (ammonia plant)</t>
  </si>
  <si>
    <t>PV-MEAS</t>
  </si>
  <si>
    <t>Total investment(MEuros)</t>
  </si>
  <si>
    <t>Annualised investment(MEuros)</t>
  </si>
  <si>
    <t>Fixed O&amp;M(MEuros)</t>
  </si>
  <si>
    <t>Variable O&amp;M(MEuros)</t>
  </si>
  <si>
    <t>Cost per unit(MEuros)</t>
  </si>
  <si>
    <t>Sale (MEuros)</t>
  </si>
  <si>
    <t>Electricity consumption(GWh)</t>
  </si>
  <si>
    <t>CostAEC+20%</t>
  </si>
  <si>
    <t>CostAEC+40%</t>
  </si>
  <si>
    <t>CostAEC+60%</t>
  </si>
  <si>
    <t>CostSolar+20%</t>
  </si>
  <si>
    <t>CostSolar+40%</t>
  </si>
  <si>
    <t>CostSolar+60%</t>
  </si>
  <si>
    <t>ElecConsAEC+20%</t>
  </si>
  <si>
    <t>ElecConsAEC+40%</t>
  </si>
  <si>
    <t>ElecConsAEC+60%</t>
  </si>
  <si>
    <t>WACC</t>
  </si>
  <si>
    <t>Reference</t>
  </si>
  <si>
    <t>Percentage</t>
  </si>
  <si>
    <t>Cost variation</t>
  </si>
  <si>
    <t>PV</t>
  </si>
  <si>
    <t>Cost variation PV</t>
  </si>
  <si>
    <t>Cost variation AEC</t>
  </si>
  <si>
    <t>AEC cons</t>
  </si>
  <si>
    <t>Electrical consumption AEC</t>
  </si>
  <si>
    <t>Using measured data instead of MERRA-2 is similar to increase</t>
  </si>
  <si>
    <t>WACC+20%</t>
  </si>
  <si>
    <t>WACC+40%</t>
  </si>
  <si>
    <t>WACC+60%</t>
  </si>
  <si>
    <t>Line</t>
  </si>
  <si>
    <t>45.5% From 550 to 800 €/kW</t>
  </si>
  <si>
    <t>48% from 51.5 to 76.2 kWh/kg H2</t>
  </si>
  <si>
    <t>28% from 8% to 10.2%</t>
  </si>
  <si>
    <t>Parameters</t>
  </si>
  <si>
    <t>Value change needed to be equivalent to used measured data instead of simulated</t>
  </si>
  <si>
    <t>47.5% from 56467 (1096 €/kW) to 83289 (1617€/kW)</t>
  </si>
  <si>
    <t>PVLifetime-20%</t>
  </si>
  <si>
    <t>PVLifetime-40%</t>
  </si>
  <si>
    <t>PVLifetime-60%</t>
  </si>
  <si>
    <t>AECLifetime-20%</t>
  </si>
  <si>
    <t>AECLifetime-40%</t>
  </si>
  <si>
    <t>AECLifetime-60%</t>
  </si>
  <si>
    <t>PV lifetime</t>
  </si>
  <si>
    <t>AEC Lifetime</t>
  </si>
  <si>
    <t>PVLifetime-80%</t>
  </si>
  <si>
    <t>C:\Users\njbca\Documents\Models\OptiPlantGitHub\Base\Results\R_msvssim_sens\Main results\</t>
  </si>
  <si>
    <t>Year data</t>
  </si>
  <si>
    <t>Profile</t>
  </si>
  <si>
    <t>Power time series</t>
  </si>
  <si>
    <t>CO2 capture</t>
  </si>
  <si>
    <t>Installed capacity (MW (electrical unit), t/h (non electrical), MWh (batteries), t (h2 tank))</t>
  </si>
  <si>
    <t>Fuel cost(MEuros)</t>
  </si>
  <si>
    <t>Production(kton or GWh)</t>
  </si>
  <si>
    <t>Production cost fuel (Euros/kgfuel)</t>
  </si>
  <si>
    <t>Production cost fuel (Euros/GJfuel)</t>
  </si>
  <si>
    <t>Production cost fuel (Euros/MWhfuel)</t>
  </si>
  <si>
    <t>Production cost per unit (Euros/kg or kWh output)</t>
  </si>
  <si>
    <t>Forli2014</t>
  </si>
  <si>
    <t>All profiles</t>
  </si>
  <si>
    <t>RN-MERRA2</t>
  </si>
  <si>
    <t>NH3</t>
  </si>
  <si>
    <t>None</t>
  </si>
  <si>
    <t>H2 storage compressor</t>
  </si>
  <si>
    <t>H2 storage valve</t>
  </si>
  <si>
    <t>H2 underground pipe</t>
  </si>
  <si>
    <t>Solar fixed</t>
  </si>
  <si>
    <t>Sum of Production cost fuel (Euros/kgfuel)</t>
  </si>
  <si>
    <t>WACC of 10.6% instead of 8%</t>
  </si>
  <si>
    <t xml:space="preserve">PV capex of  858 €/kW instead of 550 </t>
  </si>
  <si>
    <t xml:space="preserve">AEC capex of 1710 €/kW instead of 1096 </t>
  </si>
  <si>
    <r>
      <t>AEC consumption of 81.6 kWh</t>
    </r>
    <r>
      <rPr>
        <sz val="8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/kg</t>
    </r>
    <r>
      <rPr>
        <sz val="8"/>
        <color theme="1"/>
        <rFont val="Calibri"/>
        <family val="2"/>
        <scheme val="minor"/>
      </rPr>
      <t>H2</t>
    </r>
    <r>
      <rPr>
        <sz val="11"/>
        <color theme="1"/>
        <rFont val="Calibri"/>
        <family val="2"/>
        <scheme val="minor"/>
      </rPr>
      <t xml:space="preserve"> instead of 51.5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</si>
</sst>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0.0%"/>
    <numFmt numFmtId="169" formatCode="0.0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" fontId="0" fillId="0" borderId="0" xfId="0" applyNumberFormat="1"/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0" fontId="0" fillId="0" borderId="0" xfId="0"/>
    <xf numFmtId="164" fontId="0" fillId="0" borderId="0" xfId="0" applyNumberFormat="1"/>
    <xf numFmtId="0" fontId="2" fillId="0" borderId="0" xfId="0" applyFont="1" applyAlignment="1">
      <alignment horizontal="center"/>
    </xf>
    <xf numFmtId="11" fontId="0" fillId="0" borderId="0" xfId="0" applyNumberFormat="1"/>
    <xf numFmtId="169" fontId="0" fillId="0" borderId="0" xfId="0" applyNumberFormat="1"/>
    <xf numFmtId="165" fontId="0" fillId="2" borderId="0" xfId="0" applyNumberFormat="1" applyFill="1"/>
  </cellXfs>
  <cellStyles count="1">
    <cellStyle name="Normal" xfId="0" builtinId="0"/>
  </cellStyles>
  <dxfs count="355">
    <dxf>
      <numFmt numFmtId="169" formatCode="0.000"/>
    </dxf>
    <dxf>
      <numFmt numFmtId="2" formatCode="0.00"/>
    </dxf>
    <dxf>
      <numFmt numFmtId="164" formatCode="0.0"/>
    </dxf>
    <dxf>
      <numFmt numFmtId="1" formatCode="0"/>
    </dxf>
    <dxf>
      <numFmt numFmtId="164" formatCode="0.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6" formatCode="0.000000"/>
    </dxf>
    <dxf>
      <numFmt numFmtId="167" formatCode="0.00000"/>
    </dxf>
    <dxf>
      <numFmt numFmtId="168" formatCode="0.0000"/>
    </dxf>
    <dxf>
      <numFmt numFmtId="169" formatCode="0.000"/>
    </dxf>
    <dxf>
      <numFmt numFmtId="2" formatCode="0.00"/>
    </dxf>
    <dxf>
      <numFmt numFmtId="164" formatCode="0.0"/>
    </dxf>
    <dxf>
      <numFmt numFmtId="1" formatCode="0"/>
    </dxf>
    <dxf>
      <numFmt numFmtId="166" formatCode="0.000000"/>
    </dxf>
    <dxf>
      <numFmt numFmtId="167" formatCode="0.00000"/>
    </dxf>
    <dxf>
      <numFmt numFmtId="168" formatCode="0.0000"/>
    </dxf>
    <dxf>
      <numFmt numFmtId="169" formatCode="0.000"/>
    </dxf>
    <dxf>
      <numFmt numFmtId="2" formatCode="0.00"/>
    </dxf>
    <dxf>
      <numFmt numFmtId="164" formatCode="0.0"/>
    </dxf>
    <dxf>
      <numFmt numFmtId="1" formatCode="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</dxfs>
  <tableStyles count="0" defaultTableStyle="TableStyleMedium2" defaultPivotStyle="PivotStyleLight16"/>
  <colors>
    <mruColors>
      <color rgb="FF000000"/>
      <color rgb="FFCCFF66"/>
      <color rgb="FFFF9933"/>
      <color rgb="FFFFFF66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[Resultspapersensitivities.xlsm]LCOA!PivotTable1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6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LCOA!$B$3:$B$4</c:f>
              <c:strCache>
                <c:ptCount val="1"/>
                <c:pt idx="0">
                  <c:v>H2 user (ammonia plant)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LCOA!$A$5:$A$24</c:f>
              <c:strCache>
                <c:ptCount val="19"/>
                <c:pt idx="0">
                  <c:v>CostAEC+20%</c:v>
                </c:pt>
                <c:pt idx="1">
                  <c:v>CostAEC+40%</c:v>
                </c:pt>
                <c:pt idx="2">
                  <c:v>CostAEC+60%</c:v>
                </c:pt>
                <c:pt idx="3">
                  <c:v>CostSolar+20%</c:v>
                </c:pt>
                <c:pt idx="4">
                  <c:v>CostSolar+40%</c:v>
                </c:pt>
                <c:pt idx="5">
                  <c:v>CostSolar+60%</c:v>
                </c:pt>
                <c:pt idx="6">
                  <c:v>ElecConsAEC+20%</c:v>
                </c:pt>
                <c:pt idx="7">
                  <c:v>ElecConsAEC+40%</c:v>
                </c:pt>
                <c:pt idx="8">
                  <c:v>ElecConsAEC+60%</c:v>
                </c:pt>
                <c:pt idx="9">
                  <c:v>WACC+20%</c:v>
                </c:pt>
                <c:pt idx="10">
                  <c:v>WACC+40%</c:v>
                </c:pt>
                <c:pt idx="11">
                  <c:v>WACC+60%</c:v>
                </c:pt>
                <c:pt idx="12">
                  <c:v>PVLifetime-20%</c:v>
                </c:pt>
                <c:pt idx="13">
                  <c:v>PVLifetime-40%</c:v>
                </c:pt>
                <c:pt idx="14">
                  <c:v>PVLifetime-60%</c:v>
                </c:pt>
                <c:pt idx="15">
                  <c:v>PVLifetime-80%</c:v>
                </c:pt>
                <c:pt idx="16">
                  <c:v>AECLifetime-20%</c:v>
                </c:pt>
                <c:pt idx="17">
                  <c:v>AECLifetime-40%</c:v>
                </c:pt>
                <c:pt idx="18">
                  <c:v>AECLifetime-60%</c:v>
                </c:pt>
              </c:strCache>
            </c:strRef>
          </c:cat>
          <c:val>
            <c:numRef>
              <c:f>LCOA!$B$5:$B$24</c:f>
              <c:numCache>
                <c:formatCode>0.000</c:formatCode>
                <c:ptCount val="19"/>
                <c:pt idx="0">
                  <c:v>1.21924856420354</c:v>
                </c:pt>
                <c:pt idx="1">
                  <c:v>1.30379602596208</c:v>
                </c:pt>
                <c:pt idx="2">
                  <c:v>1.38688353580136</c:v>
                </c:pt>
                <c:pt idx="3">
                  <c:v>1.2195549908610901</c:v>
                </c:pt>
                <c:pt idx="4">
                  <c:v>1.30398340885688</c:v>
                </c:pt>
                <c:pt idx="5">
                  <c:v>1.3873882488788201</c:v>
                </c:pt>
                <c:pt idx="6">
                  <c:v>1.21538959745467</c:v>
                </c:pt>
                <c:pt idx="7">
                  <c:v>1.29584642529659</c:v>
                </c:pt>
                <c:pt idx="8">
                  <c:v>1.3753639313050601</c:v>
                </c:pt>
                <c:pt idx="9">
                  <c:v>1.2730986210547199</c:v>
                </c:pt>
                <c:pt idx="10">
                  <c:v>1.41901109770788</c:v>
                </c:pt>
                <c:pt idx="11">
                  <c:v>1.5689958554157</c:v>
                </c:pt>
                <c:pt idx="12">
                  <c:v>1.1526253311696699</c:v>
                </c:pt>
                <c:pt idx="13">
                  <c:v>1.1924806373546899</c:v>
                </c:pt>
                <c:pt idx="14">
                  <c:v>1.2816498562326499</c:v>
                </c:pt>
                <c:pt idx="15">
                  <c:v>1.5663072925672501</c:v>
                </c:pt>
                <c:pt idx="16">
                  <c:v>1.16389699286675</c:v>
                </c:pt>
                <c:pt idx="17">
                  <c:v>1.2208194471998</c:v>
                </c:pt>
                <c:pt idx="18">
                  <c:v>1.3400581712536801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B7A-47C6-A9B7-C1C0E4141B0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65238904"/>
        <c:axId val="365233328"/>
      </c:lineChart>
      <c:catAx>
        <c:axId val="36523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33328"/>
        <c:crosses val="autoZero"/>
        <c:auto val="1"/>
        <c:lblAlgn val="ctr"/>
        <c:lblOffset val="100"/>
        <c:noMultiLvlLbl val="0"/>
      </c:catAx>
      <c:valAx>
        <c:axId val="3652333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LCOA</a:t>
                </a:r>
                <a:r>
                  <a:rPr lang="en-US" baseline="0"/>
                  <a:t> </a:t>
                </a:r>
                <a:r>
                  <a:rPr lang="en-US"/>
                  <a:t>(€/kg NH3)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3890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 i="0" baseline="0">
                <a:effectLst/>
              </a:rPr>
              <a:t>Using measured rather than simulated solar PV power time series (RN-MERRA2) has the same influence on the LCOA as…</a:t>
            </a:r>
            <a:endParaRPr lang="en-US" sz="1000" b="1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Sensitivities!$F$12</c:f>
              <c:strCache>
                <c:ptCount val="1"/>
                <c:pt idx="0">
                  <c:v>Value change needed to be equivalent to used measured data instead of simulated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Sensitivities!$E$13:$E$16</c:f>
              <c:strCache>
                <c:ptCount val="4"/>
                <c:pt idx="0">
                  <c:v>AEC consumption of 81.6 kWhe/kgH2 instead of 51.5 </c:v>
                </c:pt>
                <c:pt idx="1">
                  <c:v>AEC capex of 1710 €/kW instead of 1096 </c:v>
                </c:pt>
                <c:pt idx="2">
                  <c:v>PV capex of  858 €/kW instead of 550 </c:v>
                </c:pt>
                <c:pt idx="3">
                  <c:v>WACC of 10.6% instead of 8%</c:v>
                </c:pt>
              </c:strCache>
            </c:strRef>
          </c:cat>
          <c:val>
            <c:numRef>
              <c:f>Sensitivities!$F$13:$F$16</c:f>
              <c:numCache>
                <c:formatCode>0.0%</c:formatCode>
                <c:ptCount val="4"/>
                <c:pt idx="0">
                  <c:v>0.58499999999999996</c:v>
                </c:pt>
                <c:pt idx="1">
                  <c:v>0.56000000000000005</c:v>
                </c:pt>
                <c:pt idx="2">
                  <c:v>0.56000000000000005</c:v>
                </c:pt>
                <c:pt idx="3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53-4EEF-ABA1-2EC4D07745D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578173328"/>
        <c:axId val="578174968"/>
      </c:barChart>
      <c:catAx>
        <c:axId val="578173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dk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74968"/>
        <c:crosses val="autoZero"/>
        <c:auto val="1"/>
        <c:lblAlgn val="ctr"/>
        <c:lblOffset val="100"/>
        <c:noMultiLvlLbl val="0"/>
      </c:catAx>
      <c:valAx>
        <c:axId val="57817496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Relative parameter variation compared to the base-case scenario  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in"/>
        <c:minorTickMark val="none"/>
        <c:tickLblPos val="nextTo"/>
        <c:spPr>
          <a:noFill/>
          <a:ln w="6350" cap="flat" cmpd="sng" algn="ctr">
            <a:solidFill>
              <a:schemeClr val="dk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7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Sensitivities!$F$5</c:f>
              <c:strCache>
                <c:ptCount val="1"/>
                <c:pt idx="0">
                  <c:v>Cost variation AEC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Sensitivities!$E$6:$E$10</c:f>
              <c:numCache>
                <c:formatCode>General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</c:numCache>
            </c:numRef>
          </c:xVal>
          <c:yVal>
            <c:numRef>
              <c:f>Sensitivities!$F$6:$F$10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7.6681889090316275</c:v>
                </c:pt>
                <c:pt idx="2">
                  <c:v>15.134322027133024</c:v>
                </c:pt>
                <c:pt idx="3">
                  <c:v>22.471531163975783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461-4D4D-953B-1B3E3D619A44}"/>
            </c:ext>
          </c:extLst>
        </c:ser>
        <c:ser>
          <c:idx val="1"/>
          <c:order val="1"/>
          <c:tx>
            <c:strRef>
              <c:f>Sensitivities!$G$5</c:f>
              <c:strCache>
                <c:ptCount val="1"/>
                <c:pt idx="0">
                  <c:v>Cost variation PV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Sensitivities!$E$6:$E$10</c:f>
              <c:numCache>
                <c:formatCode>General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</c:numCache>
            </c:numRef>
          </c:xVal>
          <c:yVal>
            <c:numRef>
              <c:f>Sensitivities!$G$6:$G$10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7.6952485293752773</c:v>
                </c:pt>
                <c:pt idx="2">
                  <c:v>15.150869249338555</c:v>
                </c:pt>
                <c:pt idx="3">
                  <c:v>22.516100864170042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461-4D4D-953B-1B3E3D619A44}"/>
            </c:ext>
          </c:extLst>
        </c:ser>
        <c:ser>
          <c:idx val="2"/>
          <c:order val="2"/>
          <c:tx>
            <c:strRef>
              <c:f>Sensitivities!$H$5</c:f>
              <c:strCache>
                <c:ptCount val="1"/>
                <c:pt idx="0">
                  <c:v>Electrical consumption AEC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Sensitivities!$E$6:$E$10</c:f>
              <c:numCache>
                <c:formatCode>General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</c:numCache>
            </c:numRef>
          </c:xVal>
          <c:yVal>
            <c:numRef>
              <c:f>Sensitivities!$H$6:$H$10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7.3274151135074845</c:v>
                </c:pt>
                <c:pt idx="2">
                  <c:v>14.432316602371699</c:v>
                </c:pt>
                <c:pt idx="3">
                  <c:v>21.454269393505569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61-4D4D-953B-1B3E3D619A44}"/>
            </c:ext>
          </c:extLst>
        </c:ser>
        <c:ser>
          <c:idx val="3"/>
          <c:order val="3"/>
          <c:tx>
            <c:strRef>
              <c:f>Sensitivities!$I$5</c:f>
              <c:strCache>
                <c:ptCount val="1"/>
                <c:pt idx="0">
                  <c:v>WACC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Sensitivities!$E$6:$E$10</c:f>
              <c:numCache>
                <c:formatCode>General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</c:numCache>
            </c:numRef>
          </c:xVal>
          <c:yVal>
            <c:numRef>
              <c:f>Sensitivities!$I$6:$I$10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12.42352614217603</c:v>
                </c:pt>
                <c:pt idx="2">
                  <c:v>25.308619930036727</c:v>
                </c:pt>
                <c:pt idx="3">
                  <c:v>38.553324660863922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30-4388-9779-99C90B085720}"/>
            </c:ext>
          </c:extLst>
        </c:ser>
        <c:ser>
          <c:idx val="4"/>
          <c:order val="4"/>
          <c:tx>
            <c:strRef>
              <c:f>Sensitivities!$J$5</c:f>
              <c:strCache>
                <c:ptCount val="1"/>
                <c:pt idx="0">
                  <c:v>PV lifetime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Sensitivities!$E$6:$E$10</c:f>
              <c:numCache>
                <c:formatCode>General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</c:numCache>
            </c:numRef>
          </c:xVal>
          <c:yVal>
            <c:numRef>
              <c:f>Sensitivities!$J$6:$J$10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1.784890744389557</c:v>
                </c:pt>
                <c:pt idx="2">
                  <c:v>5.3043934621632616</c:v>
                </c:pt>
                <c:pt idx="3">
                  <c:v>13.178660108763353</c:v>
                </c:pt>
                <c:pt idx="4">
                  <c:v>38.315905728285713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30-4388-9779-99C90B085720}"/>
            </c:ext>
          </c:extLst>
        </c:ser>
        <c:ser>
          <c:idx val="5"/>
          <c:order val="5"/>
          <c:tx>
            <c:strRef>
              <c:f>Sensitivities!$K$5</c:f>
              <c:strCache>
                <c:ptCount val="1"/>
                <c:pt idx="0">
                  <c:v>AEC Lifetime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Sensitivities!$E$6:$E$10</c:f>
              <c:numCache>
                <c:formatCode>General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</c:numCache>
            </c:numRef>
          </c:xVal>
          <c:yVal>
            <c:numRef>
              <c:f>Sensitivities!$K$6:$K$10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2.7802574288791106</c:v>
                </c:pt>
                <c:pt idx="2">
                  <c:v>7.806908881448237</c:v>
                </c:pt>
                <c:pt idx="3">
                  <c:v>18.336523468356916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30-4388-9779-99C90B085720}"/>
            </c:ext>
          </c:extLst>
        </c:ser>
        <c:ser>
          <c:idx val="6"/>
          <c:order val="6"/>
          <c:tx>
            <c:strRef>
              <c:f>Sensitivities!$L$5</c:f>
              <c:strCache>
                <c:ptCount val="1"/>
                <c:pt idx="0">
                  <c:v>Line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Sensitivities!$E$6:$E$10</c:f>
              <c:numCache>
                <c:formatCode>General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</c:numCache>
            </c:numRef>
          </c:xVal>
          <c:yVal>
            <c:numRef>
              <c:f>Sensitivities!$L$6:$L$10</c:f>
              <c:numCache>
                <c:formatCode>0.0</c:formatCode>
                <c:ptCount val="5"/>
                <c:pt idx="0">
                  <c:v>20.908920399150489</c:v>
                </c:pt>
                <c:pt idx="1">
                  <c:v>20.908920399150489</c:v>
                </c:pt>
                <c:pt idx="2">
                  <c:v>20.908920399150489</c:v>
                </c:pt>
                <c:pt idx="3">
                  <c:v>20.908920399150489</c:v>
                </c:pt>
                <c:pt idx="4">
                  <c:v>20.908920399150489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330-4388-9779-99C90B085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396312"/>
        <c:axId val="427391064"/>
        <c:extLst/>
      </c:scatterChart>
      <c:valAx>
        <c:axId val="427396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391064"/>
        <c:crosses val="autoZero"/>
        <c:crossBetween val="midCat"/>
        <c:majorUnit val="5"/>
      </c:valAx>
      <c:valAx>
        <c:axId val="427391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39631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3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8</xdr:row>
          <xdr:rowOff>6350</xdr:rowOff>
        </xdr:from>
        <xdr:to>
          <xdr:col>4</xdr:col>
          <xdr:colOff>152400</xdr:colOff>
          <xdr:row>13</xdr:row>
          <xdr:rowOff>171450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7</xdr:row>
          <xdr:rowOff>152400</xdr:rowOff>
        </xdr:from>
        <xdr:to>
          <xdr:col>9</xdr:col>
          <xdr:colOff>69850</xdr:colOff>
          <xdr:row>13</xdr:row>
          <xdr:rowOff>133350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HOURLY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384174</xdr:colOff>
      <xdr:row>2</xdr:row>
      <xdr:rowOff>22224</xdr:rowOff>
    </xdr:from>
    <xdr:to>
      <xdr:col>15</xdr:col>
      <xdr:colOff>139700</xdr:colOff>
      <xdr:row>27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460374</xdr:colOff>
      <xdr:row>19</xdr:row>
      <xdr:rowOff>31750</xdr:rowOff>
    </xdr:from>
    <xdr:to>
      <xdr:col>6</xdr:col>
      <xdr:colOff>1651000</xdr:colOff>
      <xdr:row>34</xdr:row>
      <xdr:rowOff>12700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3700" cy="60452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5583.577074189816" missingItemsLimit="0" createdVersion="6" refreshedVersion="6" minRefreshableVersion="3" recordCount="430">
  <cacheSource type="worksheet">
    <worksheetSource ref="A1:U1048576" sheet="All_Scenarios"/>
  </cacheSource>
  <cacheFields count="21">
    <cacheField name="Scenario" numFmtId="0">
      <sharedItems containsBlank="1" count="20">
        <s v="CostAEC+20%"/>
        <s v="PVLifetime-20%"/>
        <s v="PVLifetime-40%"/>
        <s v="PVLifetime-60%"/>
        <s v="AECLifetime-20%"/>
        <s v="AECLifetime-40%"/>
        <s v="AECLifetime-60%"/>
        <s v="PVLifetime-80%"/>
        <s v="WACC+20%"/>
        <s v="WACC+40%"/>
        <s v="WACC+60%"/>
        <s v="CostAEC+40%"/>
        <s v="CostAEC+60%"/>
        <s v="CostSolar+20%"/>
        <s v="CostSolar+40%"/>
        <s v="CostSolar+60%"/>
        <s v="ElecConsAEC+20%"/>
        <s v="ElecConsAEC+40%"/>
        <s v="ElecConsAEC+60%"/>
        <m/>
      </sharedItems>
    </cacheField>
    <cacheField name="Type of unit" numFmtId="0">
      <sharedItems containsBlank="1" count="14">
        <s v="H2 user (ammonia plant)"/>
        <s v="Water supply"/>
        <s v="Electrolyser AEC"/>
        <s v="H2 pipeline to demand"/>
        <s v="H2 storage compressor"/>
        <s v="H2 storage valve"/>
        <s v="H2 underground pipe"/>
        <s v="Solar fixed"/>
        <s v="Electricity from the grid"/>
        <s v="Electricity to the grid"/>
        <s v="Charge batteries"/>
        <s v="Discharge batteries"/>
        <s v="Batteries"/>
        <m/>
      </sharedItems>
    </cacheField>
    <cacheField name="Year data" numFmtId="0">
      <sharedItems containsString="0" containsBlank="1" containsNumber="1" containsInteger="1" minValue="2025" maxValue="2025"/>
    </cacheField>
    <cacheField name="Location" numFmtId="0">
      <sharedItems containsBlank="1"/>
    </cacheField>
    <cacheField name="Profile" numFmtId="0">
      <sharedItems containsBlank="1"/>
    </cacheField>
    <cacheField name="Power time series" numFmtId="0">
      <sharedItems containsBlank="1"/>
    </cacheField>
    <cacheField name="Fuel" numFmtId="0">
      <sharedItems containsBlank="1"/>
    </cacheField>
    <cacheField name="Electrolyser" numFmtId="0">
      <sharedItems containsBlank="1"/>
    </cacheField>
    <cacheField name="CO2 capture" numFmtId="0">
      <sharedItems containsBlank="1"/>
    </cacheField>
    <cacheField name="Installed capacity (MW (electrical unit), t/h (non electrical), MWh (batteries), t (h2 tank))" numFmtId="0">
      <sharedItems containsString="0" containsBlank="1" containsNumber="1" minValue="0" maxValue="1156.77556366679"/>
    </cacheField>
    <cacheField name="Total investment(MEuros)" numFmtId="0">
      <sharedItems containsString="0" containsBlank="1" containsNumber="1" minValue="0" maxValue="646.23223306918499"/>
    </cacheField>
    <cacheField name="Annualised investment(MEuros)" numFmtId="0">
      <sharedItems containsString="0" containsBlank="1" containsNumber="1" minValue="0" maxValue="75.811250769606801"/>
    </cacheField>
    <cacheField name="Fixed O&amp;M(MEuros)" numFmtId="0">
      <sharedItems containsString="0" containsBlank="1" containsNumber="1" minValue="0" maxValue="11.5996356906959"/>
    </cacheField>
    <cacheField name="Variable O&amp;M(MEuros)" numFmtId="0">
      <sharedItems containsString="0" containsBlank="1" containsNumber="1" minValue="0" maxValue="4.2903828992157701E-2"/>
    </cacheField>
    <cacheField name="Fuel cost(MEuros)" numFmtId="0">
      <sharedItems containsString="0" containsBlank="1" containsNumber="1" containsInteger="1" minValue="0" maxValue="0"/>
    </cacheField>
    <cacheField name="Cost per unit(MEuros)" numFmtId="0">
      <sharedItems containsString="0" containsBlank="1" containsNumber="1" minValue="0" maxValue="82.3417652751492"/>
    </cacheField>
    <cacheField name="Production(kton or GWh)" numFmtId="0">
      <sharedItems containsString="0" containsBlank="1" containsNumber="1" minValue="-3.4924596548080401E-16" maxValue="1751.9377479489201"/>
    </cacheField>
    <cacheField name="Sale (MEuros)" numFmtId="0">
      <sharedItems containsString="0" containsBlank="1" containsNumber="1" containsInteger="1" minValue="0" maxValue="0"/>
    </cacheField>
    <cacheField name="Electricity consumption(GWh)" numFmtId="0">
      <sharedItems containsString="0" containsBlank="1" containsNumber="1" minValue="0" maxValue="1486.5504889949"/>
    </cacheField>
    <cacheField name="Production cost fuel (Euros/kgfuel)" numFmtId="0">
      <sharedItems containsString="0" containsBlank="1" containsNumber="1" minValue="0" maxValue="1.5689958554157" count="21">
        <n v="1.21924856420354"/>
        <n v="0"/>
        <n v="1.1526253311696699"/>
        <n v="1.1924806373546899"/>
        <n v="1.2816498562326499"/>
        <n v="1.16389699286675"/>
        <n v="1.2208194471998"/>
        <n v="1.3400581712536801"/>
        <n v="1.5663072925672501"/>
        <n v="1.2730986210547199"/>
        <n v="1.41901109770788"/>
        <n v="1.5689958554157"/>
        <n v="1.30379602596208"/>
        <n v="1.38688353580136"/>
        <n v="1.2195549908610901"/>
        <n v="1.30398340885688"/>
        <n v="1.3873882488788201"/>
        <n v="1.21538959745467"/>
        <n v="1.29584642529659"/>
        <n v="1.3753639313050601"/>
        <m/>
      </sharedItems>
    </cacheField>
    <cacheField name="Production cost fuel (Euros/GJfuel)" numFmtId="0">
      <sharedItems containsString="0" containsBlank="1" containsNumber="1" minValue="0" maxValue="84.3546158825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0">
  <r>
    <x v="0"/>
    <x v="0"/>
    <n v="2025"/>
    <s v="Forli2014"/>
    <s v="All profiles"/>
    <s v="RN-MERRA2"/>
    <s v="NH3"/>
    <s v="AEC"/>
    <s v="None"/>
    <n v="15.226703610405099"/>
    <n v="63.830341534818501"/>
    <n v="5.9795484614519303"/>
    <n v="6.63884277413666"/>
    <n v="0"/>
    <n v="0"/>
    <n v="12.618391235588501"/>
    <n v="99.999999999996703"/>
    <n v="0"/>
    <n v="38.000000000002998"/>
    <x v="0"/>
    <n v="65.550998075459503"/>
  </r>
  <r>
    <x v="0"/>
    <x v="1"/>
    <n v="2025"/>
    <s v="Forli2014"/>
    <s v="All profiles"/>
    <s v="RN-MERRA2"/>
    <s v="NH3"/>
    <s v="AEC"/>
    <s v="None"/>
    <n v="59.492063409684597"/>
    <n v="0"/>
    <n v="0"/>
    <n v="0"/>
    <n v="0"/>
    <n v="0"/>
    <n v="0"/>
    <n v="160.553413637875"/>
    <n v="0"/>
    <n v="0"/>
    <x v="1"/>
    <n v="0"/>
  </r>
  <r>
    <x v="0"/>
    <x v="2"/>
    <n v="2025"/>
    <s v="Forli2014"/>
    <s v="All profiles"/>
    <s v="RN-MERRA2"/>
    <s v="NH3"/>
    <s v="AEC"/>
    <s v="None"/>
    <n v="6.6839333240780601"/>
    <n v="452.90599561285899"/>
    <n v="42.4276806943286"/>
    <n v="9.0553928674609594"/>
    <n v="0"/>
    <n v="0"/>
    <n v="51.483073561789602"/>
    <n v="18.038176022214799"/>
    <n v="0"/>
    <n v="928.96606514405505"/>
    <x v="1"/>
    <n v="0"/>
  </r>
  <r>
    <x v="0"/>
    <x v="3"/>
    <n v="2025"/>
    <s v="Forli2014"/>
    <s v="All profiles"/>
    <s v="RN-MERRA2"/>
    <s v="NH3"/>
    <s v="AEC"/>
    <s v="None"/>
    <n v="2.7435502000729999"/>
    <n v="0"/>
    <n v="0"/>
    <n v="0"/>
    <n v="0"/>
    <n v="0"/>
    <n v="0"/>
    <n v="18.018018018017202"/>
    <n v="0"/>
    <n v="0"/>
    <x v="1"/>
    <n v="0"/>
  </r>
  <r>
    <x v="0"/>
    <x v="4"/>
    <n v="2025"/>
    <s v="Forli2014"/>
    <s v="All profiles"/>
    <s v="RN-MERRA2"/>
    <s v="NH3"/>
    <s v="AEC"/>
    <s v="None"/>
    <n v="416.81421914919002"/>
    <n v="0"/>
    <n v="0"/>
    <n v="0"/>
    <n v="0"/>
    <n v="0"/>
    <n v="0"/>
    <n v="290.49105803711001"/>
    <n v="0"/>
    <n v="273.06159455488398"/>
    <x v="1"/>
    <n v="0"/>
  </r>
  <r>
    <x v="0"/>
    <x v="5"/>
    <n v="2025"/>
    <s v="Forli2014"/>
    <s v="All profiles"/>
    <s v="RN-MERRA2"/>
    <s v="NH3"/>
    <s v="AEC"/>
    <s v="None"/>
    <n v="412.87383602518503"/>
    <n v="0"/>
    <n v="0"/>
    <n v="0"/>
    <n v="0"/>
    <n v="0"/>
    <n v="0"/>
    <n v="290.47090003290998"/>
    <n v="0"/>
    <n v="0"/>
    <x v="1"/>
    <n v="0"/>
  </r>
  <r>
    <x v="0"/>
    <x v="6"/>
    <n v="2025"/>
    <s v="Forli2014"/>
    <s v="All profiles"/>
    <s v="RN-MERRA2"/>
    <s v="NH3"/>
    <s v="AEC"/>
    <s v="None"/>
    <n v="223.97782441029199"/>
    <n v="103.19899758523999"/>
    <n v="8.4357810220312093"/>
    <n v="0.22211343456892199"/>
    <n v="0"/>
    <n v="0"/>
    <n v="8.6578944566001397"/>
    <n v="1013.59145994573"/>
    <n v="0"/>
    <n v="0"/>
    <x v="1"/>
    <n v="0"/>
  </r>
  <r>
    <x v="0"/>
    <x v="7"/>
    <n v="2025"/>
    <s v="Forli2014"/>
    <s v="All profiles"/>
    <s v="RN-MERRA2"/>
    <s v="NH3"/>
    <s v="AEC"/>
    <s v="None"/>
    <n v="818.77933726513595"/>
    <n v="450.32863549582498"/>
    <n v="38.639667050698201"/>
    <n v="7.4508919691127398"/>
    <n v="0"/>
    <n v="0"/>
    <n v="46.090559019810897"/>
    <n v="1240.0421250673801"/>
    <n v="0"/>
    <n v="0"/>
    <x v="1"/>
    <n v="0"/>
  </r>
  <r>
    <x v="0"/>
    <x v="8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0"/>
    <x v="9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0"/>
    <x v="10"/>
    <n v="2025"/>
    <s v="Forli2014"/>
    <s v="All profiles"/>
    <s v="RN-MERRA2"/>
    <s v="NH3"/>
    <s v="AEC"/>
    <s v="None"/>
    <n v="72.326842149424607"/>
    <n v="0"/>
    <n v="0"/>
    <n v="0"/>
    <n v="4.2327346097492002E-2"/>
    <n v="0"/>
    <n v="4.2327346097492002E-2"/>
    <n v="20.2952397402602"/>
    <n v="0"/>
    <n v="0"/>
    <x v="1"/>
    <n v="0"/>
  </r>
  <r>
    <x v="0"/>
    <x v="11"/>
    <n v="2025"/>
    <s v="Forli2014"/>
    <s v="All profiles"/>
    <s v="RN-MERRA2"/>
    <s v="NH3"/>
    <s v="AEC"/>
    <s v="None"/>
    <n v="60.754547405516703"/>
    <n v="0"/>
    <n v="0"/>
    <n v="0"/>
    <n v="0"/>
    <n v="0"/>
    <n v="0"/>
    <n v="20.280774371830301"/>
    <n v="0"/>
    <n v="0"/>
    <x v="1"/>
    <n v="0"/>
  </r>
  <r>
    <x v="0"/>
    <x v="12"/>
    <n v="2025"/>
    <s v="Forli2014"/>
    <s v="All profiles"/>
    <s v="RN-MERRA2"/>
    <s v="NH3"/>
    <s v="AEC"/>
    <s v="None"/>
    <n v="72.326842149424607"/>
    <n v="26.1700020827004"/>
    <n v="2.6654725170294902"/>
    <n v="0.36713828343469401"/>
    <n v="0"/>
    <n v="0"/>
    <n v="3.0326108004641799"/>
    <n v="357.27890546302598"/>
    <n v="0"/>
    <n v="0"/>
    <x v="1"/>
    <n v="0"/>
  </r>
  <r>
    <x v="1"/>
    <x v="0"/>
    <n v="2025"/>
    <s v="Forli2014"/>
    <s v="All profiles"/>
    <s v="RN-MERRA2"/>
    <s v="NH3"/>
    <s v="AEC"/>
    <s v="None"/>
    <n v="15.3037012947908"/>
    <n v="64.153115827763003"/>
    <n v="6.0097855631243302"/>
    <n v="6.6724137645287902"/>
    <n v="0"/>
    <n v="0"/>
    <n v="12.6821993276531"/>
    <n v="100.00000000001199"/>
    <n v="0"/>
    <n v="38.000000000003801"/>
    <x v="2"/>
    <n v="61.969103826326503"/>
  </r>
  <r>
    <x v="1"/>
    <x v="1"/>
    <n v="2025"/>
    <s v="Forli2014"/>
    <s v="All profiles"/>
    <s v="RN-MERRA2"/>
    <s v="NH3"/>
    <s v="AEC"/>
    <s v="None"/>
    <n v="61.326323299602898"/>
    <n v="0"/>
    <n v="0"/>
    <n v="0"/>
    <n v="0"/>
    <n v="0"/>
    <n v="0"/>
    <n v="160.56534785911501"/>
    <n v="0"/>
    <n v="0"/>
    <x v="1"/>
    <n v="0"/>
  </r>
  <r>
    <x v="1"/>
    <x v="2"/>
    <n v="2025"/>
    <s v="Forli2014"/>
    <s v="All profiles"/>
    <s v="RN-MERRA2"/>
    <s v="NH3"/>
    <s v="AEC"/>
    <s v="None"/>
    <n v="6.8900124227103898"/>
    <n v="389.05833147318702"/>
    <n v="36.446509472404102"/>
    <n v="7.7788240252400298"/>
    <n v="0"/>
    <n v="0"/>
    <n v="44.225333497644101"/>
    <n v="18.039516831971699"/>
    <n v="0"/>
    <n v="929.03511684651801"/>
    <x v="1"/>
    <n v="0"/>
  </r>
  <r>
    <x v="1"/>
    <x v="3"/>
    <n v="2025"/>
    <s v="Forli2014"/>
    <s v="All profiles"/>
    <s v="RN-MERRA2"/>
    <s v="NH3"/>
    <s v="AEC"/>
    <s v="None"/>
    <n v="2.7574236567190602"/>
    <n v="0"/>
    <n v="0"/>
    <n v="0"/>
    <n v="0"/>
    <n v="0"/>
    <n v="0"/>
    <n v="18.018018018017798"/>
    <n v="0"/>
    <n v="0"/>
    <x v="1"/>
    <n v="0"/>
  </r>
  <r>
    <x v="1"/>
    <x v="4"/>
    <n v="2025"/>
    <s v="Forli2014"/>
    <s v="All profiles"/>
    <s v="RN-MERRA2"/>
    <s v="NH3"/>
    <s v="AEC"/>
    <s v="None"/>
    <n v="369.96184447964902"/>
    <n v="0"/>
    <n v="0"/>
    <n v="0"/>
    <n v="0"/>
    <n v="0"/>
    <n v="0"/>
    <n v="231.02309764252601"/>
    <n v="0"/>
    <n v="217.161711783974"/>
    <x v="1"/>
    <n v="0"/>
  </r>
  <r>
    <x v="1"/>
    <x v="5"/>
    <n v="2025"/>
    <s v="Forli2014"/>
    <s v="All profiles"/>
    <s v="RN-MERRA2"/>
    <s v="NH3"/>
    <s v="AEC"/>
    <s v="None"/>
    <n v="365.82925571365797"/>
    <n v="0"/>
    <n v="0"/>
    <n v="0"/>
    <n v="0"/>
    <n v="0"/>
    <n v="0"/>
    <n v="231.001598828586"/>
    <n v="0"/>
    <n v="0"/>
    <x v="1"/>
    <n v="0"/>
  </r>
  <r>
    <x v="1"/>
    <x v="6"/>
    <n v="2025"/>
    <s v="Forli2014"/>
    <s v="All profiles"/>
    <s v="RN-MERRA2"/>
    <s v="NH3"/>
    <s v="AEC"/>
    <s v="None"/>
    <n v="238.87571059635701"/>
    <n v="110.063279460416"/>
    <n v="8.9968870417350892"/>
    <n v="0.23688731085473799"/>
    <n v="0"/>
    <n v="0"/>
    <n v="9.2337743525898297"/>
    <n v="1030.2472067542201"/>
    <n v="0"/>
    <n v="0"/>
    <x v="1"/>
    <n v="0"/>
  </r>
  <r>
    <x v="1"/>
    <x v="7"/>
    <n v="2025"/>
    <s v="Forli2014"/>
    <s v="All profiles"/>
    <s v="RN-MERRA2"/>
    <s v="NH3"/>
    <s v="AEC"/>
    <s v="None"/>
    <n v="781.91520979302004"/>
    <n v="430.05336538616098"/>
    <n v="38.915058446096502"/>
    <n v="7.1154284091164799"/>
    <n v="0"/>
    <n v="0"/>
    <n v="46.030486855212899"/>
    <n v="1184.21136714673"/>
    <n v="0"/>
    <n v="0"/>
    <x v="1"/>
    <n v="0"/>
  </r>
  <r>
    <x v="1"/>
    <x v="8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1"/>
    <x v="9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1"/>
    <x v="10"/>
    <n v="2025"/>
    <s v="Forli2014"/>
    <s v="All profiles"/>
    <s v="RN-MERRA2"/>
    <s v="NH3"/>
    <s v="AEC"/>
    <s v="None"/>
    <n v="72.692581150256302"/>
    <n v="0"/>
    <n v="0"/>
    <n v="0"/>
    <n v="4.2793118615386302E-2"/>
    <n v="0"/>
    <n v="4.2793118615386302E-2"/>
    <n v="20.5185697098104"/>
    <n v="0"/>
    <n v="0"/>
    <x v="1"/>
    <n v="0"/>
  </r>
  <r>
    <x v="1"/>
    <x v="11"/>
    <n v="2025"/>
    <s v="Forli2014"/>
    <s v="All profiles"/>
    <s v="RN-MERRA2"/>
    <s v="NH3"/>
    <s v="AEC"/>
    <s v="None"/>
    <n v="61.061768166215302"/>
    <n v="0"/>
    <n v="0"/>
    <n v="0"/>
    <n v="0"/>
    <n v="0"/>
    <n v="0"/>
    <n v="20.504031193580701"/>
    <n v="0"/>
    <n v="0"/>
    <x v="1"/>
    <n v="0"/>
  </r>
  <r>
    <x v="1"/>
    <x v="12"/>
    <n v="2025"/>
    <s v="Forli2014"/>
    <s v="All profiles"/>
    <s v="RN-MERRA2"/>
    <s v="NH3"/>
    <s v="AEC"/>
    <s v="None"/>
    <n v="72.692581150256302"/>
    <n v="26.302337328219799"/>
    <n v="2.6789511540908002"/>
    <n v="0.36899481117681598"/>
    <n v="0"/>
    <n v="0"/>
    <n v="3.0479459652676102"/>
    <n v="365.68068388743097"/>
    <n v="0"/>
    <n v="0"/>
    <x v="1"/>
    <n v="0"/>
  </r>
  <r>
    <x v="2"/>
    <x v="0"/>
    <n v="2025"/>
    <s v="Forli2014"/>
    <s v="All profiles"/>
    <s v="RN-MERRA2"/>
    <s v="NH3"/>
    <s v="AEC"/>
    <s v="None"/>
    <n v="15.331451027363199"/>
    <n v="64.269442706706897"/>
    <n v="6.0206829231147196"/>
    <n v="6.68451264793039"/>
    <n v="0"/>
    <n v="0"/>
    <n v="12.705195571045101"/>
    <n v="100.000000000005"/>
    <n v="0"/>
    <n v="38"/>
    <x v="3"/>
    <n v="64.111862223370395"/>
  </r>
  <r>
    <x v="2"/>
    <x v="1"/>
    <n v="2025"/>
    <s v="Forli2014"/>
    <s v="All profiles"/>
    <s v="RN-MERRA2"/>
    <s v="NH3"/>
    <s v="AEC"/>
    <s v="None"/>
    <n v="62.075948791844098"/>
    <n v="0"/>
    <n v="0"/>
    <n v="0"/>
    <n v="0"/>
    <n v="0"/>
    <n v="0"/>
    <n v="160.621933600175"/>
    <n v="0"/>
    <n v="0"/>
    <x v="1"/>
    <n v="0"/>
  </r>
  <r>
    <x v="2"/>
    <x v="2"/>
    <n v="2025"/>
    <s v="Forli2014"/>
    <s v="All profiles"/>
    <s v="RN-MERRA2"/>
    <s v="NH3"/>
    <s v="AEC"/>
    <s v="None"/>
    <n v="6.9742328467636803"/>
    <n v="393.81400615820502"/>
    <n v="36.892015270464903"/>
    <n v="7.8739088839961999"/>
    <n v="0"/>
    <n v="0"/>
    <n v="44.765924154461104"/>
    <n v="18.045874239979199"/>
    <n v="0"/>
    <n v="929.36252335899098"/>
    <x v="1"/>
    <n v="0"/>
  </r>
  <r>
    <x v="2"/>
    <x v="3"/>
    <n v="2025"/>
    <s v="Forli2014"/>
    <s v="All profiles"/>
    <s v="RN-MERRA2"/>
    <s v="NH3"/>
    <s v="AEC"/>
    <s v="None"/>
    <n v="2.7624236085339202"/>
    <n v="0"/>
    <n v="0"/>
    <n v="0"/>
    <n v="0"/>
    <n v="0"/>
    <n v="0"/>
    <n v="18.0180180180189"/>
    <n v="0"/>
    <n v="0"/>
    <x v="1"/>
    <n v="0"/>
  </r>
  <r>
    <x v="2"/>
    <x v="4"/>
    <n v="2025"/>
    <s v="Forli2014"/>
    <s v="All profiles"/>
    <s v="RN-MERRA2"/>
    <s v="NH3"/>
    <s v="AEC"/>
    <s v="None"/>
    <n v="353.30759368272999"/>
    <n v="0"/>
    <n v="0"/>
    <n v="0"/>
    <n v="0"/>
    <n v="0"/>
    <n v="0"/>
    <n v="210.56695778859901"/>
    <n v="0"/>
    <n v="197.93294032128301"/>
    <x v="1"/>
    <n v="0"/>
  </r>
  <r>
    <x v="2"/>
    <x v="5"/>
    <n v="2025"/>
    <s v="Forli2014"/>
    <s v="All profiles"/>
    <s v="RN-MERRA2"/>
    <s v="NH3"/>
    <s v="AEC"/>
    <s v="None"/>
    <n v="349.09578444450102"/>
    <n v="0"/>
    <n v="0"/>
    <n v="0"/>
    <n v="0"/>
    <n v="0"/>
    <n v="0"/>
    <n v="210.539101566639"/>
    <n v="0"/>
    <n v="0"/>
    <x v="1"/>
    <n v="0"/>
  </r>
  <r>
    <x v="2"/>
    <x v="6"/>
    <n v="2025"/>
    <s v="Forli2014"/>
    <s v="All profiles"/>
    <s v="RN-MERRA2"/>
    <s v="NH3"/>
    <s v="AEC"/>
    <s v="None"/>
    <n v="243.97544074271701"/>
    <n v="112.413007789304"/>
    <n v="9.1889605512416903"/>
    <n v="0.24194459088308401"/>
    <n v="0"/>
    <n v="0"/>
    <n v="9.4309051421247805"/>
    <n v="1060.3056516788099"/>
    <n v="0"/>
    <n v="0"/>
    <x v="1"/>
    <n v="0"/>
  </r>
  <r>
    <x v="2"/>
    <x v="7"/>
    <n v="2025"/>
    <s v="Forli2014"/>
    <s v="All profiles"/>
    <s v="RN-MERRA2"/>
    <s v="NH3"/>
    <s v="AEC"/>
    <s v="None"/>
    <n v="769.43496805794098"/>
    <n v="423.18923243186703"/>
    <n v="42.247933385682998"/>
    <n v="7.0018582093272599"/>
    <n v="0"/>
    <n v="0"/>
    <n v="49.249791595010201"/>
    <n v="1165.31002855871"/>
    <n v="0"/>
    <n v="0"/>
    <x v="1"/>
    <n v="0"/>
  </r>
  <r>
    <x v="2"/>
    <x v="8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2"/>
    <x v="9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2"/>
    <x v="10"/>
    <n v="2025"/>
    <s v="Forli2014"/>
    <s v="All profiles"/>
    <s v="RN-MERRA2"/>
    <s v="NH3"/>
    <s v="AEC"/>
    <s v="None"/>
    <n v="72.824392379975606"/>
    <n v="0"/>
    <n v="0"/>
    <n v="0"/>
    <n v="4.2774560553168701E-2"/>
    <n v="0"/>
    <n v="4.2774560553168701E-2"/>
    <n v="20.509671435844499"/>
    <n v="0"/>
    <n v="0"/>
    <x v="1"/>
    <n v="0"/>
  </r>
  <r>
    <x v="2"/>
    <x v="11"/>
    <n v="2025"/>
    <s v="Forli2014"/>
    <s v="All profiles"/>
    <s v="RN-MERRA2"/>
    <s v="NH3"/>
    <s v="AEC"/>
    <s v="None"/>
    <n v="56.885408144897298"/>
    <n v="0"/>
    <n v="0"/>
    <n v="0"/>
    <n v="0"/>
    <n v="0"/>
    <n v="0"/>
    <n v="20.495106557368501"/>
    <n v="0"/>
    <n v="0"/>
    <x v="1"/>
    <n v="0"/>
  </r>
  <r>
    <x v="2"/>
    <x v="12"/>
    <n v="2025"/>
    <s v="Forli2014"/>
    <s v="All profiles"/>
    <s v="RN-MERRA2"/>
    <s v="NH3"/>
    <s v="AEC"/>
    <s v="None"/>
    <n v="72.824392379975606"/>
    <n v="26.350030550456101"/>
    <n v="2.6838088141214498"/>
    <n v="0.36966389815999401"/>
    <n v="0"/>
    <n v="0"/>
    <n v="3.0534727122814398"/>
    <n v="362.04415601735099"/>
    <n v="0"/>
    <n v="0"/>
    <x v="1"/>
    <n v="0"/>
  </r>
  <r>
    <x v="3"/>
    <x v="0"/>
    <n v="2025"/>
    <s v="Forli2014"/>
    <s v="All profiles"/>
    <s v="RN-MERRA2"/>
    <s v="NH3"/>
    <s v="AEC"/>
    <s v="None"/>
    <n v="15.3908493927213"/>
    <n v="64.518440654288"/>
    <n v="6.0440087468305599"/>
    <n v="6.7104103352265199"/>
    <n v="0"/>
    <n v="0"/>
    <n v="12.754419082057"/>
    <n v="100.00000000001"/>
    <n v="0"/>
    <n v="38.0000000000041"/>
    <x v="4"/>
    <n v="68.9059062490673"/>
  </r>
  <r>
    <x v="3"/>
    <x v="1"/>
    <n v="2025"/>
    <s v="Forli2014"/>
    <s v="All profiles"/>
    <s v="RN-MERRA2"/>
    <s v="NH3"/>
    <s v="AEC"/>
    <s v="None"/>
    <n v="63.712634581708897"/>
    <n v="0"/>
    <n v="0"/>
    <n v="0"/>
    <n v="0"/>
    <n v="0"/>
    <n v="0"/>
    <n v="160.57735444662799"/>
    <n v="0"/>
    <n v="0"/>
    <x v="1"/>
    <n v="0"/>
  </r>
  <r>
    <x v="3"/>
    <x v="2"/>
    <n v="2025"/>
    <s v="Forli2014"/>
    <s v="All profiles"/>
    <s v="RN-MERRA2"/>
    <s v="NH3"/>
    <s v="AEC"/>
    <s v="None"/>
    <n v="7.1581144952549902"/>
    <n v="404.19725120356298"/>
    <n v="37.864704988911498"/>
    <n v="8.0815112651428898"/>
    <n v="0"/>
    <n v="0"/>
    <n v="45.946216254054399"/>
    <n v="18.040865772078199"/>
    <n v="0"/>
    <n v="929.10458726201205"/>
    <x v="1"/>
    <n v="0"/>
  </r>
  <r>
    <x v="3"/>
    <x v="3"/>
    <n v="2025"/>
    <s v="Forli2014"/>
    <s v="All profiles"/>
    <s v="RN-MERRA2"/>
    <s v="NH3"/>
    <s v="AEC"/>
    <s v="None"/>
    <n v="2.7731260167065499"/>
    <n v="0"/>
    <n v="0"/>
    <n v="0"/>
    <n v="0"/>
    <n v="0"/>
    <n v="0"/>
    <n v="18.0180180180155"/>
    <n v="0"/>
    <n v="0"/>
    <x v="1"/>
    <n v="0"/>
  </r>
  <r>
    <x v="3"/>
    <x v="4"/>
    <n v="2025"/>
    <s v="Forli2014"/>
    <s v="All profiles"/>
    <s v="RN-MERRA2"/>
    <s v="NH3"/>
    <s v="AEC"/>
    <s v="None"/>
    <n v="320.44860063365701"/>
    <n v="0"/>
    <n v="0"/>
    <n v="0"/>
    <n v="0"/>
    <n v="0"/>
    <n v="0"/>
    <n v="172.79386661207599"/>
    <n v="0"/>
    <n v="162.426234615353"/>
    <x v="1"/>
    <n v="0"/>
  </r>
  <r>
    <x v="3"/>
    <x v="5"/>
    <n v="2025"/>
    <s v="Forli2014"/>
    <s v="All profiles"/>
    <s v="RN-MERRA2"/>
    <s v="NH3"/>
    <s v="AEC"/>
    <s v="None"/>
    <n v="316.06361215510799"/>
    <n v="0"/>
    <n v="0"/>
    <n v="0"/>
    <n v="0"/>
    <n v="0"/>
    <n v="0"/>
    <n v="172.771018858015"/>
    <n v="0"/>
    <n v="0"/>
    <x v="1"/>
    <n v="0"/>
  </r>
  <r>
    <x v="3"/>
    <x v="6"/>
    <n v="2025"/>
    <s v="Forli2014"/>
    <s v="All profiles"/>
    <s v="RN-MERRA2"/>
    <s v="NH3"/>
    <s v="AEC"/>
    <s v="None"/>
    <n v="253.86393401111701"/>
    <n v="116.969184703756"/>
    <n v="9.5613954745189407"/>
    <n v="0.25175077240278898"/>
    <n v="0"/>
    <n v="0"/>
    <n v="9.8131462469217308"/>
    <n v="1122.56179278382"/>
    <n v="0"/>
    <n v="0"/>
    <x v="1"/>
    <n v="0"/>
  </r>
  <r>
    <x v="3"/>
    <x v="7"/>
    <n v="2025"/>
    <s v="Forli2014"/>
    <s v="All profiles"/>
    <s v="RN-MERRA2"/>
    <s v="NH3"/>
    <s v="AEC"/>
    <s v="None"/>
    <n v="745.82020294757604"/>
    <n v="410.201111621167"/>
    <n v="49.756103866129301"/>
    <n v="6.7869638468229398"/>
    <n v="0"/>
    <n v="0"/>
    <n v="56.5430677129523"/>
    <n v="1129.5454431843"/>
    <n v="0"/>
    <n v="0"/>
    <x v="1"/>
    <n v="0"/>
  </r>
  <r>
    <x v="3"/>
    <x v="8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3"/>
    <x v="9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3"/>
    <x v="10"/>
    <n v="2025"/>
    <s v="Forli2014"/>
    <s v="All profiles"/>
    <s v="RN-MERRA2"/>
    <s v="NH3"/>
    <s v="AEC"/>
    <s v="None"/>
    <n v="73.106534615426497"/>
    <n v="0"/>
    <n v="0"/>
    <n v="0"/>
    <n v="4.2833600524236598E-2"/>
    <n v="0"/>
    <n v="4.2833600524236598E-2"/>
    <n v="20.537980093900298"/>
    <n v="0"/>
    <n v="0"/>
    <x v="1"/>
    <n v="0"/>
  </r>
  <r>
    <x v="3"/>
    <x v="11"/>
    <n v="2025"/>
    <s v="Forli2014"/>
    <s v="All profiles"/>
    <s v="RN-MERRA2"/>
    <s v="NH3"/>
    <s v="AEC"/>
    <s v="None"/>
    <n v="67.258011846192403"/>
    <n v="0"/>
    <n v="0"/>
    <n v="0"/>
    <n v="0"/>
    <n v="0"/>
    <n v="0"/>
    <n v="20.5233587869768"/>
    <n v="0"/>
    <n v="0"/>
    <x v="1"/>
    <n v="0"/>
  </r>
  <r>
    <x v="3"/>
    <x v="12"/>
    <n v="2025"/>
    <s v="Forli2014"/>
    <s v="All profiles"/>
    <s v="RN-MERRA2"/>
    <s v="NH3"/>
    <s v="AEC"/>
    <s v="None"/>
    <n v="73.106534615426497"/>
    <n v="26.452118000563701"/>
    <n v="2.6942066464080301"/>
    <n v="0.37109608036136599"/>
    <n v="0"/>
    <n v="0"/>
    <n v="3.0653027267694002"/>
    <n v="366.85822301629099"/>
    <n v="0"/>
    <n v="0"/>
    <x v="1"/>
    <n v="0"/>
  </r>
  <r>
    <x v="4"/>
    <x v="0"/>
    <n v="2025"/>
    <s v="Forli2014"/>
    <s v="All profiles"/>
    <s v="RN-MERRA2"/>
    <s v="NH3"/>
    <s v="AEC"/>
    <s v="None"/>
    <n v="15.271025753755699"/>
    <n v="64.016139959744194"/>
    <n v="5.9969538310487396"/>
    <n v="6.6581672286375202"/>
    <n v="0"/>
    <n v="0"/>
    <n v="12.6551210596862"/>
    <n v="99.999999999995595"/>
    <n v="0"/>
    <n v="37.999999999997897"/>
    <x v="5"/>
    <n v="62.575107143374098"/>
  </r>
  <r>
    <x v="4"/>
    <x v="1"/>
    <n v="2025"/>
    <s v="Forli2014"/>
    <s v="All profiles"/>
    <s v="RN-MERRA2"/>
    <s v="NH3"/>
    <s v="AEC"/>
    <s v="None"/>
    <n v="60.386811625377398"/>
    <n v="0"/>
    <n v="0"/>
    <n v="0"/>
    <n v="0"/>
    <n v="0"/>
    <n v="0"/>
    <n v="160.559750005328"/>
    <n v="0"/>
    <n v="0"/>
    <x v="1"/>
    <n v="0"/>
  </r>
  <r>
    <x v="4"/>
    <x v="2"/>
    <n v="2025"/>
    <s v="Forli2014"/>
    <s v="All profiles"/>
    <s v="RN-MERRA2"/>
    <s v="NH3"/>
    <s v="AEC"/>
    <s v="None"/>
    <n v="6.7844582861111498"/>
    <n v="383.098006041838"/>
    <n v="39.019378111105901"/>
    <n v="7.6596534050194904"/>
    <n v="0"/>
    <n v="0"/>
    <n v="46.679031516125399"/>
    <n v="18.038887913097501"/>
    <n v="0"/>
    <n v="929.00272752457602"/>
    <x v="1"/>
    <n v="0"/>
  </r>
  <r>
    <x v="4"/>
    <x v="3"/>
    <n v="2025"/>
    <s v="Forli2014"/>
    <s v="All profiles"/>
    <s v="RN-MERRA2"/>
    <s v="NH3"/>
    <s v="AEC"/>
    <s v="None"/>
    <n v="2.7515361718478801"/>
    <n v="0"/>
    <n v="0"/>
    <n v="0"/>
    <n v="0"/>
    <n v="0"/>
    <n v="0"/>
    <n v="18.0180180180175"/>
    <n v="0"/>
    <n v="0"/>
    <x v="1"/>
    <n v="0"/>
  </r>
  <r>
    <x v="4"/>
    <x v="4"/>
    <n v="2025"/>
    <s v="Forli2014"/>
    <s v="All profiles"/>
    <s v="RN-MERRA2"/>
    <s v="NH3"/>
    <s v="AEC"/>
    <s v="None"/>
    <n v="392.74553882044501"/>
    <n v="0"/>
    <n v="0"/>
    <n v="0"/>
    <n v="0"/>
    <n v="0"/>
    <n v="0"/>
    <n v="259.45442412757899"/>
    <n v="0"/>
    <n v="243.88715867992599"/>
    <x v="1"/>
    <n v="0"/>
  </r>
  <r>
    <x v="4"/>
    <x v="5"/>
    <n v="2025"/>
    <s v="Forli2014"/>
    <s v="All profiles"/>
    <s v="RN-MERRA2"/>
    <s v="NH3"/>
    <s v="AEC"/>
    <s v="None"/>
    <n v="388.71261670618202"/>
    <n v="0"/>
    <n v="0"/>
    <n v="0"/>
    <n v="0"/>
    <n v="0"/>
    <n v="0"/>
    <n v="259.43355423251001"/>
    <n v="0"/>
    <n v="0"/>
    <x v="1"/>
    <n v="0"/>
  </r>
  <r>
    <x v="4"/>
    <x v="6"/>
    <n v="2025"/>
    <s v="Forli2014"/>
    <s v="All profiles"/>
    <s v="RN-MERRA2"/>
    <s v="NH3"/>
    <s v="AEC"/>
    <s v="None"/>
    <n v="231.88772311153099"/>
    <n v="106.84352631980499"/>
    <n v="8.7336952174466909"/>
    <n v="0.22995749132878299"/>
    <n v="0"/>
    <n v="0"/>
    <n v="8.96365270877547"/>
    <n v="1046.3953432928299"/>
    <n v="0"/>
    <n v="0"/>
    <x v="1"/>
    <n v="0"/>
  </r>
  <r>
    <x v="4"/>
    <x v="7"/>
    <n v="2025"/>
    <s v="Forli2014"/>
    <s v="All profiles"/>
    <s v="RN-MERRA2"/>
    <s v="NH3"/>
    <s v="AEC"/>
    <s v="None"/>
    <n v="799.54017440659004"/>
    <n v="439.74709592362399"/>
    <n v="37.731736411325301"/>
    <n v="7.2758155870999603"/>
    <n v="0"/>
    <n v="0"/>
    <n v="45.007551998425299"/>
    <n v="1210.9043936789501"/>
    <n v="0"/>
    <n v="0"/>
    <x v="1"/>
    <n v="0"/>
  </r>
  <r>
    <x v="4"/>
    <x v="8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4"/>
    <x v="9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4"/>
    <x v="10"/>
    <n v="2025"/>
    <s v="Forli2014"/>
    <s v="All profiles"/>
    <s v="RN-MERRA2"/>
    <s v="NH3"/>
    <s v="AEC"/>
    <s v="None"/>
    <n v="72.537372330339906"/>
    <n v="0"/>
    <n v="0"/>
    <n v="0"/>
    <n v="4.2903828992157701E-2"/>
    <n v="0"/>
    <n v="4.2903828992157701E-2"/>
    <n v="20.5716534451605"/>
    <n v="0"/>
    <n v="0"/>
    <x v="1"/>
    <n v="0"/>
  </r>
  <r>
    <x v="4"/>
    <x v="11"/>
    <n v="2025"/>
    <s v="Forli2014"/>
    <s v="All profiles"/>
    <s v="RN-MERRA2"/>
    <s v="NH3"/>
    <s v="AEC"/>
    <s v="None"/>
    <n v="66.734382543912702"/>
    <n v="0"/>
    <n v="0"/>
    <n v="0"/>
    <n v="0"/>
    <n v="0"/>
    <n v="0"/>
    <n v="20.557145970694599"/>
    <n v="0"/>
    <n v="0"/>
    <x v="1"/>
    <n v="0"/>
  </r>
  <r>
    <x v="4"/>
    <x v="12"/>
    <n v="2025"/>
    <s v="Forli2014"/>
    <s v="All profiles"/>
    <s v="RN-MERRA2"/>
    <s v="NH3"/>
    <s v="AEC"/>
    <s v="None"/>
    <n v="72.537372330339906"/>
    <n v="26.246178162137699"/>
    <n v="2.6732312189796699"/>
    <n v="0.36820695568603801"/>
    <n v="0"/>
    <n v="0"/>
    <n v="3.0414381746657"/>
    <n v="366.755875136432"/>
    <n v="0"/>
    <n v="0"/>
    <x v="1"/>
    <n v="0"/>
  </r>
  <r>
    <x v="5"/>
    <x v="0"/>
    <n v="2025"/>
    <s v="Forli2014"/>
    <s v="All profiles"/>
    <s v="RN-MERRA2"/>
    <s v="NH3"/>
    <s v="AEC"/>
    <s v="None"/>
    <n v="15.226703610404799"/>
    <n v="63.830341534816903"/>
    <n v="5.9795484614517802"/>
    <n v="6.6388427741364904"/>
    <n v="0"/>
    <n v="0"/>
    <n v="12.6183912355882"/>
    <n v="99.999999999999304"/>
    <n v="0"/>
    <n v="38.0000000000041"/>
    <x v="6"/>
    <n v="65.635454150527295"/>
  </r>
  <r>
    <x v="5"/>
    <x v="1"/>
    <n v="2025"/>
    <s v="Forli2014"/>
    <s v="All profiles"/>
    <s v="RN-MERRA2"/>
    <s v="NH3"/>
    <s v="AEC"/>
    <s v="None"/>
    <n v="59.492063409683198"/>
    <n v="0"/>
    <n v="0"/>
    <n v="0"/>
    <n v="0"/>
    <n v="0"/>
    <n v="0"/>
    <n v="160.616791433065"/>
    <n v="0"/>
    <n v="0"/>
    <x v="1"/>
    <n v="0"/>
  </r>
  <r>
    <x v="5"/>
    <x v="2"/>
    <n v="2025"/>
    <s v="Forli2014"/>
    <s v="All profiles"/>
    <s v="RN-MERRA2"/>
    <s v="NH3"/>
    <s v="AEC"/>
    <s v="None"/>
    <n v="6.6839333240779002"/>
    <n v="377.42166301070699"/>
    <n v="44.094001138536797"/>
    <n v="7.5461607228839496"/>
    <n v="0"/>
    <n v="0"/>
    <n v="51.640161861420701"/>
    <n v="18.045296517504401"/>
    <n v="0"/>
    <n v="929.33277065146694"/>
    <x v="1"/>
    <n v="0"/>
  </r>
  <r>
    <x v="5"/>
    <x v="3"/>
    <n v="2025"/>
    <s v="Forli2014"/>
    <s v="All profiles"/>
    <s v="RN-MERRA2"/>
    <s v="NH3"/>
    <s v="AEC"/>
    <s v="None"/>
    <n v="2.7435502000729302"/>
    <n v="0"/>
    <n v="0"/>
    <n v="0"/>
    <n v="0"/>
    <n v="0"/>
    <n v="0"/>
    <n v="18.018018018017798"/>
    <n v="0"/>
    <n v="0"/>
    <x v="1"/>
    <n v="0"/>
  </r>
  <r>
    <x v="5"/>
    <x v="4"/>
    <n v="2025"/>
    <s v="Forli2014"/>
    <s v="All profiles"/>
    <s v="RN-MERRA2"/>
    <s v="NH3"/>
    <s v="AEC"/>
    <s v="None"/>
    <n v="416.81421914918099"/>
    <n v="0"/>
    <n v="0"/>
    <n v="0"/>
    <n v="0"/>
    <n v="0"/>
    <n v="0"/>
    <n v="290.10094579515902"/>
    <n v="0"/>
    <n v="272.694889047451"/>
    <x v="1"/>
    <n v="0"/>
  </r>
  <r>
    <x v="5"/>
    <x v="5"/>
    <n v="2025"/>
    <s v="Forli2014"/>
    <s v="All profiles"/>
    <s v="RN-MERRA2"/>
    <s v="NH3"/>
    <s v="AEC"/>
    <s v="None"/>
    <n v="412.87383602517599"/>
    <n v="0"/>
    <n v="0"/>
    <n v="0"/>
    <n v="0"/>
    <n v="0"/>
    <n v="0"/>
    <n v="290.073667295669"/>
    <n v="0"/>
    <n v="0"/>
    <x v="1"/>
    <n v="0"/>
  </r>
  <r>
    <x v="5"/>
    <x v="6"/>
    <n v="2025"/>
    <s v="Forli2014"/>
    <s v="All profiles"/>
    <s v="RN-MERRA2"/>
    <s v="NH3"/>
    <s v="AEC"/>
    <s v="None"/>
    <n v="223.97782441028599"/>
    <n v="103.198997585237"/>
    <n v="8.4357810220309801"/>
    <n v="0.222113434568916"/>
    <n v="0"/>
    <n v="0"/>
    <n v="8.6578944565998999"/>
    <n v="1003.2649534641999"/>
    <n v="0"/>
    <n v="0"/>
    <x v="1"/>
    <n v="0"/>
  </r>
  <r>
    <x v="5"/>
    <x v="7"/>
    <n v="2025"/>
    <s v="Forli2014"/>
    <s v="All profiles"/>
    <s v="RN-MERRA2"/>
    <s v="NH3"/>
    <s v="AEC"/>
    <s v="None"/>
    <n v="818.77933726511696"/>
    <n v="450.32863549581401"/>
    <n v="38.639667050697298"/>
    <n v="7.4508919691125604"/>
    <n v="0"/>
    <n v="0"/>
    <n v="46.090559019809803"/>
    <n v="1240.0421250673601"/>
    <n v="0"/>
    <n v="0"/>
    <x v="1"/>
    <n v="0"/>
  </r>
  <r>
    <x v="5"/>
    <x v="8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5"/>
    <x v="9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5"/>
    <x v="10"/>
    <n v="2025"/>
    <s v="Forli2014"/>
    <s v="All profiles"/>
    <s v="RN-MERRA2"/>
    <s v="NH3"/>
    <s v="AEC"/>
    <s v="None"/>
    <n v="72.326842149422802"/>
    <n v="0"/>
    <n v="0"/>
    <n v="0"/>
    <n v="4.2327346097490698E-2"/>
    <n v="0"/>
    <n v="4.2327346097490698E-2"/>
    <n v="20.295239740259699"/>
    <n v="0"/>
    <n v="0"/>
    <x v="1"/>
    <n v="0"/>
  </r>
  <r>
    <x v="5"/>
    <x v="11"/>
    <n v="2025"/>
    <s v="Forli2014"/>
    <s v="All profiles"/>
    <s v="RN-MERRA2"/>
    <s v="NH3"/>
    <s v="AEC"/>
    <s v="None"/>
    <n v="55.787179370826401"/>
    <n v="0"/>
    <n v="0"/>
    <n v="0"/>
    <n v="0"/>
    <n v="0"/>
    <n v="0"/>
    <n v="20.280774371830098"/>
    <n v="0"/>
    <n v="0"/>
    <x v="1"/>
    <n v="0"/>
  </r>
  <r>
    <x v="5"/>
    <x v="12"/>
    <n v="2025"/>
    <s v="Forli2014"/>
    <s v="All profiles"/>
    <s v="RN-MERRA2"/>
    <s v="NH3"/>
    <s v="AEC"/>
    <s v="None"/>
    <n v="72.326842149422802"/>
    <n v="26.1700020826997"/>
    <n v="2.66547251702942"/>
    <n v="0.36713828343468502"/>
    <n v="0"/>
    <n v="0"/>
    <n v="3.0326108004640999"/>
    <n v="353.55726268624801"/>
    <n v="0"/>
    <n v="0"/>
    <x v="1"/>
    <n v="0"/>
  </r>
  <r>
    <x v="6"/>
    <x v="0"/>
    <n v="2025"/>
    <s v="Forli2014"/>
    <s v="All profiles"/>
    <s v="RN-MERRA2"/>
    <s v="NH3"/>
    <s v="AEC"/>
    <s v="None"/>
    <n v="15.202694507518199"/>
    <n v="63.729695375516698"/>
    <n v="5.9701200521322599"/>
    <n v="6.6283748052779696"/>
    <n v="0"/>
    <n v="0"/>
    <n v="12.5984948574102"/>
    <n v="100.000000000013"/>
    <n v="0"/>
    <n v="38.000000000003503"/>
    <x v="7"/>
    <n v="72.046138239445199"/>
  </r>
  <r>
    <x v="6"/>
    <x v="1"/>
    <n v="2025"/>
    <s v="Forli2014"/>
    <s v="All profiles"/>
    <s v="RN-MERRA2"/>
    <s v="NH3"/>
    <s v="AEC"/>
    <s v="None"/>
    <n v="57.703661159221603"/>
    <n v="0"/>
    <n v="0"/>
    <n v="0"/>
    <n v="0"/>
    <n v="0"/>
    <n v="0"/>
    <n v="160.541807227552"/>
    <n v="0"/>
    <n v="0"/>
    <x v="1"/>
    <n v="0"/>
  </r>
  <r>
    <x v="6"/>
    <x v="2"/>
    <n v="2025"/>
    <s v="Forli2014"/>
    <s v="All profiles"/>
    <s v="RN-MERRA2"/>
    <s v="NH3"/>
    <s v="AEC"/>
    <s v="None"/>
    <n v="6.48300633123855"/>
    <n v="366.075918506047"/>
    <n v="54.556106959268398"/>
    <n v="7.3193141479683197"/>
    <n v="0"/>
    <n v="0"/>
    <n v="61.875421107236797"/>
    <n v="18.036872042016501"/>
    <n v="0"/>
    <n v="928.89891016379602"/>
    <x v="1"/>
    <n v="0"/>
  </r>
  <r>
    <x v="6"/>
    <x v="3"/>
    <n v="2025"/>
    <s v="Forli2014"/>
    <s v="All profiles"/>
    <s v="RN-MERRA2"/>
    <s v="NH3"/>
    <s v="AEC"/>
    <s v="None"/>
    <n v="2.7392242355888801"/>
    <n v="0"/>
    <n v="0"/>
    <n v="0"/>
    <n v="0"/>
    <n v="0"/>
    <n v="0"/>
    <n v="18.018018018018399"/>
    <n v="0"/>
    <n v="0"/>
    <x v="1"/>
    <n v="0"/>
  </r>
  <r>
    <x v="6"/>
    <x v="4"/>
    <n v="2025"/>
    <s v="Forli2014"/>
    <s v="All profiles"/>
    <s v="RN-MERRA2"/>
    <s v="NH3"/>
    <s v="AEC"/>
    <s v="None"/>
    <n v="467.63675817085698"/>
    <n v="0"/>
    <n v="0"/>
    <n v="0"/>
    <n v="0"/>
    <n v="0"/>
    <n v="0"/>
    <n v="357.10153225355401"/>
    <n v="0"/>
    <n v="335.67544031833899"/>
    <x v="1"/>
    <n v="0"/>
  </r>
  <r>
    <x v="6"/>
    <x v="5"/>
    <n v="2025"/>
    <s v="Forli2014"/>
    <s v="All profiles"/>
    <s v="RN-MERRA2"/>
    <s v="NH3"/>
    <s v="AEC"/>
    <s v="None"/>
    <n v="463.892976075207"/>
    <n v="0"/>
    <n v="0"/>
    <n v="0"/>
    <n v="0"/>
    <n v="0"/>
    <n v="0"/>
    <n v="357.08267822956299"/>
    <n v="0"/>
    <n v="0"/>
    <x v="1"/>
    <n v="0"/>
  </r>
  <r>
    <x v="6"/>
    <x v="6"/>
    <n v="2025"/>
    <s v="Forli2014"/>
    <s v="All profiles"/>
    <s v="RN-MERRA2"/>
    <s v="NH3"/>
    <s v="AEC"/>
    <s v="None"/>
    <n v="209.489155534801"/>
    <n v="96.523264805748298"/>
    <n v="7.8900875443123404"/>
    <n v="0.20774536927165399"/>
    <n v="0"/>
    <n v="0"/>
    <n v="8.0978329135839999"/>
    <n v="928.354162452438"/>
    <n v="0"/>
    <n v="0"/>
    <x v="1"/>
    <n v="0"/>
  </r>
  <r>
    <x v="6"/>
    <x v="7"/>
    <n v="2025"/>
    <s v="Forli2014"/>
    <s v="All profiles"/>
    <s v="RN-MERRA2"/>
    <s v="NH3"/>
    <s v="AEC"/>
    <s v="None"/>
    <n v="860.07770712168599"/>
    <n v="473.04273891692702"/>
    <n v="40.588611275797703"/>
    <n v="7.8267071348073403"/>
    <n v="0"/>
    <n v="0"/>
    <n v="48.415318410605003"/>
    <n v="1302.5885475134901"/>
    <n v="0"/>
    <n v="0"/>
    <x v="1"/>
    <n v="0"/>
  </r>
  <r>
    <x v="6"/>
    <x v="8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6"/>
    <x v="9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6"/>
    <x v="10"/>
    <n v="2025"/>
    <s v="Forli2014"/>
    <s v="All profiles"/>
    <s v="RN-MERRA2"/>
    <s v="NH3"/>
    <s v="AEC"/>
    <s v="None"/>
    <n v="70.985156674837199"/>
    <n v="0"/>
    <n v="0"/>
    <n v="0"/>
    <n v="4.23949120527548E-2"/>
    <n v="0"/>
    <n v="4.23949120527548E-2"/>
    <n v="20.3276364621615"/>
    <n v="0"/>
    <n v="0"/>
    <x v="1"/>
    <n v="0"/>
  </r>
  <r>
    <x v="6"/>
    <x v="11"/>
    <n v="2025"/>
    <s v="Forli2014"/>
    <s v="All profiles"/>
    <s v="RN-MERRA2"/>
    <s v="NH3"/>
    <s v="AEC"/>
    <s v="None"/>
    <n v="59.431108849123298"/>
    <n v="0"/>
    <n v="0"/>
    <n v="0"/>
    <n v="0"/>
    <n v="0"/>
    <n v="0"/>
    <n v="20.313439430826801"/>
    <n v="0"/>
    <n v="0"/>
    <x v="1"/>
    <n v="0"/>
  </r>
  <r>
    <x v="6"/>
    <x v="12"/>
    <n v="2025"/>
    <s v="Forli2014"/>
    <s v="All profiles"/>
    <s v="RN-MERRA2"/>
    <s v="NH3"/>
    <s v="AEC"/>
    <s v="None"/>
    <n v="70.985156674837199"/>
    <n v="25.684540383823201"/>
    <n v="2.6160271706998102"/>
    <n v="0.36032775379714099"/>
    <n v="0"/>
    <n v="0"/>
    <n v="2.9763549244969498"/>
    <n v="355.63860513650599"/>
    <n v="0"/>
    <n v="0"/>
    <x v="1"/>
    <n v="0"/>
  </r>
  <r>
    <x v="7"/>
    <x v="0"/>
    <n v="2025"/>
    <s v="Forli2014"/>
    <s v="All profiles"/>
    <s v="RN-MERRA2"/>
    <s v="NH3"/>
    <s v="AEC"/>
    <s v="None"/>
    <n v="15.1348506703523"/>
    <n v="63.445294010116903"/>
    <n v="5.9434776794608997"/>
    <n v="6.5987948922736104"/>
    <n v="0"/>
    <n v="0"/>
    <n v="12.5422725717345"/>
    <n v="99.999999999993406"/>
    <n v="0"/>
    <n v="37.999999999994301"/>
    <x v="8"/>
    <n v="84.210069492863198"/>
  </r>
  <r>
    <x v="7"/>
    <x v="1"/>
    <n v="2025"/>
    <s v="Forli2014"/>
    <s v="All profiles"/>
    <s v="RN-MERRA2"/>
    <s v="NH3"/>
    <s v="AEC"/>
    <s v="None"/>
    <n v="67.670522741990695"/>
    <n v="0"/>
    <n v="0"/>
    <n v="0"/>
    <n v="0"/>
    <n v="0"/>
    <n v="0"/>
    <n v="160.609098502515"/>
    <n v="0"/>
    <n v="0"/>
    <x v="1"/>
    <n v="0"/>
  </r>
  <r>
    <x v="7"/>
    <x v="2"/>
    <n v="2025"/>
    <s v="Forli2014"/>
    <s v="All profiles"/>
    <s v="RN-MERRA2"/>
    <s v="NH3"/>
    <s v="AEC"/>
    <s v="None"/>
    <n v="7.6027832300626601"/>
    <n v="429.30636065194801"/>
    <n v="40.216895705118397"/>
    <n v="8.5835422667407393"/>
    <n v="0"/>
    <n v="0"/>
    <n v="48.800437971859097"/>
    <n v="18.0444322167574"/>
    <n v="0"/>
    <n v="929.28825916299002"/>
    <x v="1"/>
    <n v="0"/>
  </r>
  <r>
    <x v="7"/>
    <x v="3"/>
    <n v="2025"/>
    <s v="Forli2014"/>
    <s v="All profiles"/>
    <s v="RN-MERRA2"/>
    <s v="NH3"/>
    <s v="AEC"/>
    <s v="None"/>
    <n v="2.7270001207841998"/>
    <n v="0"/>
    <n v="0"/>
    <n v="0"/>
    <n v="0"/>
    <n v="0"/>
    <n v="0"/>
    <n v="18.018018018019699"/>
    <n v="0"/>
    <n v="0"/>
    <x v="1"/>
    <n v="0"/>
  </r>
  <r>
    <x v="7"/>
    <x v="4"/>
    <n v="2025"/>
    <s v="Forli2014"/>
    <s v="All profiles"/>
    <s v="RN-MERRA2"/>
    <s v="NH3"/>
    <s v="AEC"/>
    <s v="None"/>
    <n v="571.81004992722399"/>
    <n v="0"/>
    <n v="0"/>
    <n v="0"/>
    <n v="0"/>
    <n v="0"/>
    <n v="0"/>
    <n v="127.193739310186"/>
    <n v="0"/>
    <n v="119.56211495157601"/>
    <x v="1"/>
    <n v="0"/>
  </r>
  <r>
    <x v="7"/>
    <x v="5"/>
    <n v="2025"/>
    <s v="Forli2014"/>
    <s v="All profiles"/>
    <s v="RN-MERRA2"/>
    <s v="NH3"/>
    <s v="AEC"/>
    <s v="None"/>
    <n v="574.53705004800804"/>
    <n v="0"/>
    <n v="0"/>
    <n v="0"/>
    <n v="0"/>
    <n v="0"/>
    <n v="0"/>
    <n v="127.167325111452"/>
    <n v="0"/>
    <n v="0"/>
    <x v="1"/>
    <n v="0"/>
  </r>
  <r>
    <x v="7"/>
    <x v="6"/>
    <n v="2025"/>
    <s v="Forli2014"/>
    <s v="All profiles"/>
    <s v="RN-MERRA2"/>
    <s v="NH3"/>
    <s v="AEC"/>
    <s v="None"/>
    <n v="254.950001085266"/>
    <n v="117.46959599964001"/>
    <n v="9.6023005241008992"/>
    <n v="0.25282779906222203"/>
    <n v="0"/>
    <n v="0"/>
    <n v="9.8551283231631199"/>
    <n v="1129.36545919127"/>
    <n v="0"/>
    <n v="0"/>
    <x v="1"/>
    <n v="0"/>
  </r>
  <r>
    <x v="7"/>
    <x v="7"/>
    <n v="2025"/>
    <s v="Forli2014"/>
    <s v="All profiles"/>
    <s v="RN-MERRA2"/>
    <s v="NH3"/>
    <s v="AEC"/>
    <s v="None"/>
    <n v="717.63895665300402"/>
    <n v="394.70142615915199"/>
    <n v="75.811250769606801"/>
    <n v="6.5305145055423397"/>
    <n v="0"/>
    <n v="0"/>
    <n v="82.3417652751492"/>
    <n v="1086.8649174899299"/>
    <n v="0"/>
    <n v="0"/>
    <x v="1"/>
    <n v="0"/>
  </r>
  <r>
    <x v="7"/>
    <x v="8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7"/>
    <x v="9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7"/>
    <x v="10"/>
    <n v="2025"/>
    <s v="Forli2014"/>
    <s v="All profiles"/>
    <s v="RN-MERRA2"/>
    <s v="NH3"/>
    <s v="AEC"/>
    <s v="None"/>
    <n v="70.3286177519944"/>
    <n v="0"/>
    <n v="0"/>
    <n v="0"/>
    <n v="4.2160454024194403E-2"/>
    <n v="0"/>
    <n v="4.2160454024194403E-2"/>
    <n v="20.215217840693899"/>
    <n v="0"/>
    <n v="0"/>
    <x v="1"/>
    <n v="0"/>
  </r>
  <r>
    <x v="7"/>
    <x v="11"/>
    <n v="2025"/>
    <s v="Forli2014"/>
    <s v="All profiles"/>
    <s v="RN-MERRA2"/>
    <s v="NH3"/>
    <s v="AEC"/>
    <s v="None"/>
    <n v="66.965633472748905"/>
    <n v="0"/>
    <n v="0"/>
    <n v="0"/>
    <n v="0"/>
    <n v="0"/>
    <n v="0"/>
    <n v="20.200674465347898"/>
    <n v="0"/>
    <n v="0"/>
    <x v="1"/>
    <n v="0"/>
  </r>
  <r>
    <x v="7"/>
    <x v="12"/>
    <n v="2025"/>
    <s v="Forli2014"/>
    <s v="All profiles"/>
    <s v="RN-MERRA2"/>
    <s v="NH3"/>
    <s v="AEC"/>
    <s v="None"/>
    <n v="72.716876727482799"/>
    <n v="26.311128190474101"/>
    <n v="2.6798465228288499"/>
    <n v="0.36911813795637499"/>
    <n v="0"/>
    <n v="0"/>
    <n v="3.0489646607852201"/>
    <n v="349.98376355932402"/>
    <n v="0"/>
    <n v="0"/>
    <x v="1"/>
    <n v="0"/>
  </r>
  <r>
    <x v="8"/>
    <x v="0"/>
    <n v="2025"/>
    <s v="Forli2014"/>
    <s v="All profiles"/>
    <s v="RN-MERRA2"/>
    <s v="NH3"/>
    <s v="AEC"/>
    <s v="None"/>
    <n v="15.000539075195499"/>
    <n v="62.882259803219597"/>
    <n v="6.7156229579392202"/>
    <n v="6.5402350367852504"/>
    <n v="0"/>
    <n v="0"/>
    <n v="13.2558579947244"/>
    <n v="99.999999999987907"/>
    <n v="0"/>
    <n v="37.999999999989001"/>
    <x v="9"/>
    <n v="68.446162422296993"/>
  </r>
  <r>
    <x v="8"/>
    <x v="1"/>
    <n v="2025"/>
    <s v="Forli2014"/>
    <s v="All profiles"/>
    <s v="RN-MERRA2"/>
    <s v="NH3"/>
    <s v="AEC"/>
    <s v="None"/>
    <n v="61.573629765771997"/>
    <n v="0"/>
    <n v="0"/>
    <n v="0"/>
    <n v="0"/>
    <n v="0"/>
    <n v="0"/>
    <n v="160.554202830891"/>
    <n v="0"/>
    <n v="0"/>
    <x v="1"/>
    <n v="0"/>
  </r>
  <r>
    <x v="8"/>
    <x v="2"/>
    <n v="2025"/>
    <s v="Forli2014"/>
    <s v="All profiles"/>
    <s v="RN-MERRA2"/>
    <s v="NH3"/>
    <s v="AEC"/>
    <s v="None"/>
    <n v="6.9177973041844796"/>
    <n v="390.62726037538499"/>
    <n v="41.717734158776501"/>
    <n v="7.8101931564242797"/>
    <n v="0"/>
    <n v="0"/>
    <n v="49.527927315200799"/>
    <n v="18.038264688050099"/>
    <n v="0"/>
    <n v="928.97063143454295"/>
    <x v="1"/>
    <n v="0"/>
  </r>
  <r>
    <x v="8"/>
    <x v="3"/>
    <n v="2025"/>
    <s v="Forli2014"/>
    <s v="All profiles"/>
    <s v="RN-MERRA2"/>
    <s v="NH3"/>
    <s v="AEC"/>
    <s v="None"/>
    <n v="2.7027998333685601"/>
    <n v="0"/>
    <n v="0"/>
    <n v="0"/>
    <n v="0"/>
    <n v="0"/>
    <n v="0"/>
    <n v="18.018018018018498"/>
    <n v="0"/>
    <n v="0"/>
    <x v="1"/>
    <n v="0"/>
  </r>
  <r>
    <x v="8"/>
    <x v="4"/>
    <n v="2025"/>
    <s v="Forli2014"/>
    <s v="All profiles"/>
    <s v="RN-MERRA2"/>
    <s v="NH3"/>
    <s v="AEC"/>
    <s v="None"/>
    <n v="668.64209999188699"/>
    <n v="0"/>
    <n v="0"/>
    <n v="0"/>
    <n v="0"/>
    <n v="0"/>
    <n v="0"/>
    <n v="250.19522621761001"/>
    <n v="0"/>
    <n v="235.18351264455299"/>
    <x v="1"/>
    <n v="0"/>
  </r>
  <r>
    <x v="8"/>
    <x v="5"/>
    <n v="2025"/>
    <s v="Forli2014"/>
    <s v="All profiles"/>
    <s v="RN-MERRA2"/>
    <s v="NH3"/>
    <s v="AEC"/>
    <s v="None"/>
    <n v="671.34489982525599"/>
    <n v="0"/>
    <n v="0"/>
    <n v="0"/>
    <n v="0"/>
    <n v="0"/>
    <n v="0"/>
    <n v="250.174979547568"/>
    <n v="0"/>
    <n v="0"/>
    <x v="1"/>
    <n v="0"/>
  </r>
  <r>
    <x v="8"/>
    <x v="6"/>
    <n v="2025"/>
    <s v="Forli2014"/>
    <s v="All profiles"/>
    <s v="RN-MERRA2"/>
    <s v="NH3"/>
    <s v="AEC"/>
    <s v="None"/>
    <n v="224.96300034203099"/>
    <n v="103.652922739966"/>
    <n v="10.053431717398"/>
    <n v="0.223090409903107"/>
    <n v="0"/>
    <n v="0"/>
    <n v="10.276522127301099"/>
    <n v="999.56989762778096"/>
    <n v="0"/>
    <n v="0"/>
    <x v="1"/>
    <n v="0"/>
  </r>
  <r>
    <x v="8"/>
    <x v="7"/>
    <n v="2025"/>
    <s v="Forli2014"/>
    <s v="All profiles"/>
    <s v="RN-MERRA2"/>
    <s v="NH3"/>
    <s v="AEC"/>
    <s v="None"/>
    <n v="793.77193847427895"/>
    <n v="436.57456616085301"/>
    <n v="43.676710403630501"/>
    <n v="7.2233246401159299"/>
    <n v="0"/>
    <n v="0"/>
    <n v="50.900035043746499"/>
    <n v="1202.16839459123"/>
    <n v="0"/>
    <n v="0"/>
    <x v="1"/>
    <n v="0"/>
  </r>
  <r>
    <x v="8"/>
    <x v="8"/>
    <n v="2025"/>
    <s v="Forli2014"/>
    <s v="All profiles"/>
    <s v="RN-MERRA2"/>
    <s v="NH3"/>
    <s v="AEC"/>
    <s v="None"/>
    <n v="0"/>
    <n v="0"/>
    <n v="0"/>
    <n v="0"/>
    <n v="0"/>
    <n v="0"/>
    <n v="0"/>
    <n v="-3.4924596548080401E-16"/>
    <n v="0"/>
    <n v="0"/>
    <x v="1"/>
    <n v="0"/>
  </r>
  <r>
    <x v="8"/>
    <x v="9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8"/>
    <x v="10"/>
    <n v="2025"/>
    <s v="Forli2014"/>
    <s v="All profiles"/>
    <s v="RN-MERRA2"/>
    <s v="NH3"/>
    <s v="AEC"/>
    <s v="None"/>
    <n v="71.252560607178694"/>
    <n v="0"/>
    <n v="0"/>
    <n v="0"/>
    <n v="4.1828379312826201E-2"/>
    <n v="0"/>
    <n v="4.1828379312826201E-2"/>
    <n v="20.055993686564999"/>
    <n v="0"/>
    <n v="0"/>
    <x v="1"/>
    <n v="0"/>
  </r>
  <r>
    <x v="8"/>
    <x v="11"/>
    <n v="2025"/>
    <s v="Forli2014"/>
    <s v="All profiles"/>
    <s v="RN-MERRA2"/>
    <s v="NH3"/>
    <s v="AEC"/>
    <s v="None"/>
    <n v="54.151946061455803"/>
    <n v="0"/>
    <n v="0"/>
    <n v="0"/>
    <n v="0"/>
    <n v="0"/>
    <n v="0"/>
    <n v="20.041743174442701"/>
    <n v="0"/>
    <n v="0"/>
    <x v="1"/>
    <n v="0"/>
  </r>
  <r>
    <x v="8"/>
    <x v="12"/>
    <n v="2025"/>
    <s v="Forli2014"/>
    <s v="All profiles"/>
    <s v="RN-MERRA2"/>
    <s v="NH3"/>
    <s v="AEC"/>
    <s v="None"/>
    <n v="71.252560607178694"/>
    <n v="25.7812950776317"/>
    <n v="2.9460061222732699"/>
    <n v="0.36168512289810001"/>
    <n v="0"/>
    <n v="0"/>
    <n v="3.30769124517137"/>
    <n v="339.62280255343899"/>
    <n v="0"/>
    <n v="0"/>
    <x v="1"/>
    <n v="0"/>
  </r>
  <r>
    <x v="9"/>
    <x v="0"/>
    <n v="2025"/>
    <s v="Forli2014"/>
    <s v="All profiles"/>
    <s v="RN-MERRA2"/>
    <s v="NH3"/>
    <s v="AEC"/>
    <s v="None"/>
    <n v="15.003417701276501"/>
    <n v="62.894327003751101"/>
    <n v="7.5773756709006204"/>
    <n v="6.5414901177565499"/>
    <n v="0"/>
    <n v="0"/>
    <n v="14.1188657886571"/>
    <n v="99.9999999999972"/>
    <n v="0"/>
    <n v="37.999999999998103"/>
    <x v="10"/>
    <n v="76.290919231606793"/>
  </r>
  <r>
    <x v="9"/>
    <x v="1"/>
    <n v="2025"/>
    <s v="Forli2014"/>
    <s v="All profiles"/>
    <s v="RN-MERRA2"/>
    <s v="NH3"/>
    <s v="AEC"/>
    <s v="None"/>
    <n v="61.627217252787503"/>
    <n v="0"/>
    <n v="0"/>
    <n v="0"/>
    <n v="0"/>
    <n v="0"/>
    <n v="0"/>
    <n v="160.554556255287"/>
    <n v="0"/>
    <n v="0"/>
    <x v="1"/>
    <n v="0"/>
  </r>
  <r>
    <x v="9"/>
    <x v="2"/>
    <n v="2025"/>
    <s v="Forli2014"/>
    <s v="All profiles"/>
    <s v="RN-MERRA2"/>
    <s v="NH3"/>
    <s v="AEC"/>
    <s v="None"/>
    <n v="6.92381785835068"/>
    <n v="390.96722300748797"/>
    <n v="47.102905220049898"/>
    <n v="7.8169903620779202"/>
    <n v="0"/>
    <n v="0"/>
    <n v="54.9198955821279"/>
    <n v="18.038304395281401"/>
    <n v="0"/>
    <n v="928.97267635699598"/>
    <x v="1"/>
    <n v="0"/>
  </r>
  <r>
    <x v="9"/>
    <x v="3"/>
    <n v="2025"/>
    <s v="Forli2014"/>
    <s v="All profiles"/>
    <s v="RN-MERRA2"/>
    <s v="NH3"/>
    <s v="AEC"/>
    <s v="None"/>
    <n v="2.7033185047344999"/>
    <n v="0"/>
    <n v="0"/>
    <n v="0"/>
    <n v="0"/>
    <n v="0"/>
    <n v="0"/>
    <n v="18.018018018018701"/>
    <n v="0"/>
    <n v="0"/>
    <x v="1"/>
    <n v="0"/>
  </r>
  <r>
    <x v="9"/>
    <x v="4"/>
    <n v="2025"/>
    <s v="Forli2014"/>
    <s v="All profiles"/>
    <s v="RN-MERRA2"/>
    <s v="NH3"/>
    <s v="AEC"/>
    <s v="None"/>
    <n v="688.845985896873"/>
    <n v="0"/>
    <n v="0"/>
    <n v="0"/>
    <n v="0"/>
    <n v="0"/>
    <n v="0"/>
    <n v="248.52800434650399"/>
    <n v="0"/>
    <n v="233.61632408571401"/>
    <x v="1"/>
    <n v="0"/>
  </r>
  <r>
    <x v="9"/>
    <x v="5"/>
    <n v="2025"/>
    <s v="Forli2014"/>
    <s v="All profiles"/>
    <s v="RN-MERRA2"/>
    <s v="NH3"/>
    <s v="AEC"/>
    <s v="None"/>
    <n v="691.54930440160797"/>
    <n v="0"/>
    <n v="0"/>
    <n v="0"/>
    <n v="0"/>
    <n v="0"/>
    <n v="0"/>
    <n v="248.507717969227"/>
    <n v="0"/>
    <n v="0"/>
    <x v="1"/>
    <n v="0"/>
  </r>
  <r>
    <x v="9"/>
    <x v="6"/>
    <n v="2025"/>
    <s v="Forli2014"/>
    <s v="All profiles"/>
    <s v="RN-MERRA2"/>
    <s v="NH3"/>
    <s v="AEC"/>
    <s v="None"/>
    <n v="225.404191811891"/>
    <n v="103.85620410298699"/>
    <n v="11.6897799844725"/>
    <n v="0.22352792889826201"/>
    <n v="0"/>
    <n v="0"/>
    <n v="11.913307913370801"/>
    <n v="967.83213996984898"/>
    <n v="0"/>
    <n v="0"/>
    <x v="1"/>
    <n v="0"/>
  </r>
  <r>
    <x v="9"/>
    <x v="7"/>
    <n v="2025"/>
    <s v="Forli2014"/>
    <s v="All profiles"/>
    <s v="RN-MERRA2"/>
    <s v="NH3"/>
    <s v="AEC"/>
    <s v="None"/>
    <n v="792.73850178343002"/>
    <n v="436.00617598088598"/>
    <n v="50.050965514500703"/>
    <n v="7.2139203662292104"/>
    <n v="0"/>
    <n v="0"/>
    <n v="57.264885880729899"/>
    <n v="1200.60325368951"/>
    <n v="0"/>
    <n v="0"/>
    <x v="1"/>
    <n v="0"/>
  </r>
  <r>
    <x v="9"/>
    <x v="8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9"/>
    <x v="9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9"/>
    <x v="10"/>
    <n v="2025"/>
    <s v="Forli2014"/>
    <s v="All profiles"/>
    <s v="RN-MERRA2"/>
    <s v="NH3"/>
    <s v="AEC"/>
    <s v="None"/>
    <n v="71.266234081063303"/>
    <n v="0"/>
    <n v="0"/>
    <n v="0"/>
    <n v="4.1828109316791103E-2"/>
    <n v="0"/>
    <n v="4.1828109316791103E-2"/>
    <n v="20.055864228076199"/>
    <n v="0"/>
    <n v="0"/>
    <x v="1"/>
    <n v="0"/>
  </r>
  <r>
    <x v="9"/>
    <x v="11"/>
    <n v="2025"/>
    <s v="Forli2014"/>
    <s v="All profiles"/>
    <s v="RN-MERRA2"/>
    <s v="NH3"/>
    <s v="AEC"/>
    <s v="None"/>
    <n v="54.955076403391601"/>
    <n v="0"/>
    <n v="0"/>
    <n v="0"/>
    <n v="0"/>
    <n v="0"/>
    <n v="0"/>
    <n v="20.041610981258401"/>
    <n v="0"/>
    <n v="0"/>
    <x v="1"/>
    <n v="0"/>
  </r>
  <r>
    <x v="9"/>
    <x v="12"/>
    <n v="2025"/>
    <s v="Forli2014"/>
    <s v="All profiles"/>
    <s v="RN-MERRA2"/>
    <s v="NH3"/>
    <s v="AEC"/>
    <s v="None"/>
    <n v="71.266234081063303"/>
    <n v="25.786242547055199"/>
    <n v="3.2805719657641399"/>
    <n v="0.36175453081888498"/>
    <n v="0"/>
    <n v="0"/>
    <n v="3.64232649658303"/>
    <n v="350.77858175857199"/>
    <n v="0"/>
    <n v="0"/>
    <x v="1"/>
    <n v="0"/>
  </r>
  <r>
    <x v="10"/>
    <x v="0"/>
    <n v="2025"/>
    <s v="Forli2014"/>
    <s v="All profiles"/>
    <s v="RN-MERRA2"/>
    <s v="NH3"/>
    <s v="AEC"/>
    <s v="None"/>
    <n v="15.006313220458299"/>
    <n v="62.9064650201611"/>
    <n v="8.4689972246792795"/>
    <n v="6.5427525641198097"/>
    <n v="0"/>
    <n v="0"/>
    <n v="15.011749788798999"/>
    <n v="100"/>
    <n v="0"/>
    <n v="38.000000000004299"/>
    <x v="11"/>
    <n v="84.354615882565"/>
  </r>
  <r>
    <x v="10"/>
    <x v="1"/>
    <n v="2025"/>
    <s v="Forli2014"/>
    <s v="All profiles"/>
    <s v="RN-MERRA2"/>
    <s v="NH3"/>
    <s v="AEC"/>
    <s v="None"/>
    <n v="61.680765591874497"/>
    <n v="0"/>
    <n v="0"/>
    <n v="0"/>
    <n v="0"/>
    <n v="0"/>
    <n v="0"/>
    <n v="160.55490905451401"/>
    <n v="0"/>
    <n v="0"/>
    <x v="1"/>
    <n v="0"/>
  </r>
  <r>
    <x v="10"/>
    <x v="2"/>
    <n v="2025"/>
    <s v="Forli2014"/>
    <s v="All profiles"/>
    <s v="RN-MERRA2"/>
    <s v="NH3"/>
    <s v="AEC"/>
    <s v="None"/>
    <n v="6.9298340142471"/>
    <n v="391.30693728249099"/>
    <n v="52.6810299192786"/>
    <n v="7.8237826020849797"/>
    <n v="0"/>
    <n v="0"/>
    <n v="60.504812521363597"/>
    <n v="18.038344032274502"/>
    <n v="0"/>
    <n v="928.97471766214903"/>
    <x v="1"/>
    <n v="0"/>
  </r>
  <r>
    <x v="10"/>
    <x v="3"/>
    <n v="2025"/>
    <s v="Forli2014"/>
    <s v="All profiles"/>
    <s v="RN-MERRA2"/>
    <s v="NH3"/>
    <s v="AEC"/>
    <s v="None"/>
    <n v="2.7038402199023901"/>
    <n v="0"/>
    <n v="0"/>
    <n v="0"/>
    <n v="0"/>
    <n v="0"/>
    <n v="0"/>
    <n v="18.018018018015699"/>
    <n v="0"/>
    <n v="0"/>
    <x v="1"/>
    <n v="0"/>
  </r>
  <r>
    <x v="10"/>
    <x v="4"/>
    <n v="2025"/>
    <s v="Forli2014"/>
    <s v="All profiles"/>
    <s v="RN-MERRA2"/>
    <s v="NH3"/>
    <s v="AEC"/>
    <s v="None"/>
    <n v="640.776747561614"/>
    <n v="0"/>
    <n v="0"/>
    <n v="0"/>
    <n v="0"/>
    <n v="0"/>
    <n v="0"/>
    <n v="246.867188489743"/>
    <n v="0"/>
    <n v="232.05515718035801"/>
    <x v="1"/>
    <n v="0"/>
  </r>
  <r>
    <x v="10"/>
    <x v="5"/>
    <n v="2025"/>
    <s v="Forli2014"/>
    <s v="All profiles"/>
    <s v="RN-MERRA2"/>
    <s v="NH3"/>
    <s v="AEC"/>
    <s v="None"/>
    <n v="643.48058778151596"/>
    <n v="0"/>
    <n v="0"/>
    <n v="0"/>
    <n v="0"/>
    <n v="0"/>
    <n v="0"/>
    <n v="246.84686247549499"/>
    <n v="0"/>
    <n v="0"/>
    <x v="1"/>
    <n v="0"/>
  </r>
  <r>
    <x v="10"/>
    <x v="6"/>
    <n v="2025"/>
    <s v="Forli2014"/>
    <s v="All profiles"/>
    <s v="RN-MERRA2"/>
    <s v="NH3"/>
    <s v="AEC"/>
    <s v="None"/>
    <n v="225.84460287514099"/>
    <n v="104.05912588943001"/>
    <n v="13.3519341264319"/>
    <n v="0.22396467398290701"/>
    <n v="0"/>
    <n v="0"/>
    <n v="13.5758988004148"/>
    <n v="996.85419517449304"/>
    <n v="0"/>
    <n v="0"/>
    <x v="1"/>
    <n v="0"/>
  </r>
  <r>
    <x v="10"/>
    <x v="7"/>
    <n v="2025"/>
    <s v="Forli2014"/>
    <s v="All profiles"/>
    <s v="RN-MERRA2"/>
    <s v="NH3"/>
    <s v="AEC"/>
    <s v="None"/>
    <n v="791.70903871313999"/>
    <n v="435.43997129222703"/>
    <n v="56.571494554330997"/>
    <n v="7.2045522522895702"/>
    <n v="0"/>
    <n v="0"/>
    <n v="63.776046806620599"/>
    <n v="1199.04413084009"/>
    <n v="0"/>
    <n v="0"/>
    <x v="1"/>
    <n v="0"/>
  </r>
  <r>
    <x v="10"/>
    <x v="8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10"/>
    <x v="9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10"/>
    <x v="10"/>
    <n v="2025"/>
    <s v="Forli2014"/>
    <s v="All profiles"/>
    <s v="RN-MERRA2"/>
    <s v="NH3"/>
    <s v="AEC"/>
    <s v="None"/>
    <n v="71.279987797176901"/>
    <n v="0"/>
    <n v="0"/>
    <n v="0"/>
    <n v="4.1827907975507998E-2"/>
    <n v="0"/>
    <n v="4.1827907975507998E-2"/>
    <n v="20.0557676883687"/>
    <n v="0"/>
    <n v="0"/>
    <x v="1"/>
    <n v="0"/>
  </r>
  <r>
    <x v="10"/>
    <x v="11"/>
    <n v="2025"/>
    <s v="Forli2014"/>
    <s v="All profiles"/>
    <s v="RN-MERRA2"/>
    <s v="NH3"/>
    <s v="AEC"/>
    <s v="None"/>
    <n v="48.4703917020802"/>
    <n v="0"/>
    <n v="0"/>
    <n v="0"/>
    <n v="0"/>
    <n v="0"/>
    <n v="0"/>
    <n v="20.041511690810498"/>
    <n v="0"/>
    <n v="0"/>
    <x v="1"/>
    <n v="0"/>
  </r>
  <r>
    <x v="10"/>
    <x v="12"/>
    <n v="2025"/>
    <s v="Forli2014"/>
    <s v="All profiles"/>
    <s v="RN-MERRA2"/>
    <s v="NH3"/>
    <s v="AEC"/>
    <s v="None"/>
    <n v="71.279987797176901"/>
    <n v="25.791219050503202"/>
    <n v="3.6274253703415198"/>
    <n v="0.361824346057249"/>
    <n v="0"/>
    <n v="0"/>
    <n v="3.9892497163987701"/>
    <n v="357.22738410913797"/>
    <n v="0"/>
    <n v="0"/>
    <x v="1"/>
    <n v="0"/>
  </r>
  <r>
    <x v="11"/>
    <x v="0"/>
    <n v="2025"/>
    <s v="Forli2014"/>
    <s v="All profiles"/>
    <s v="RN-MERRA2"/>
    <s v="NH3"/>
    <s v="AEC"/>
    <s v="None"/>
    <n v="15.201916158656999"/>
    <n v="63.726432537090403"/>
    <n v="5.9698143934122498"/>
    <n v="6.6280354451744801"/>
    <n v="0"/>
    <n v="0"/>
    <n v="12.597849838586701"/>
    <n v="100.000000000016"/>
    <n v="0"/>
    <n v="38.000000000005898"/>
    <x v="12"/>
    <n v="70.096560535595899"/>
  </r>
  <r>
    <x v="11"/>
    <x v="1"/>
    <n v="2025"/>
    <s v="Forli2014"/>
    <s v="All profiles"/>
    <s v="RN-MERRA2"/>
    <s v="NH3"/>
    <s v="AEC"/>
    <s v="None"/>
    <n v="57.923764289392103"/>
    <n v="0"/>
    <n v="0"/>
    <n v="0"/>
    <n v="0"/>
    <n v="0"/>
    <n v="0"/>
    <n v="160.543106982068"/>
    <n v="0"/>
    <n v="0"/>
    <x v="1"/>
    <n v="0"/>
  </r>
  <r>
    <x v="11"/>
    <x v="2"/>
    <n v="2025"/>
    <s v="Forli2014"/>
    <s v="All profiles"/>
    <s v="RN-MERRA2"/>
    <s v="NH3"/>
    <s v="AEC"/>
    <s v="None"/>
    <n v="6.5077349179132096"/>
    <n v="514.46117465372697"/>
    <n v="48.194094711202503"/>
    <n v="10.2861258112536"/>
    <n v="0"/>
    <n v="0"/>
    <n v="58.480220522456101"/>
    <n v="18.037018069435"/>
    <n v="0"/>
    <n v="928.90643057593604"/>
    <x v="1"/>
    <n v="0"/>
  </r>
  <r>
    <x v="11"/>
    <x v="3"/>
    <n v="2025"/>
    <s v="Forli2014"/>
    <s v="All profiles"/>
    <s v="RN-MERRA2"/>
    <s v="NH3"/>
    <s v="AEC"/>
    <s v="None"/>
    <n v="2.7390839925508201"/>
    <n v="0"/>
    <n v="0"/>
    <n v="0"/>
    <n v="0"/>
    <n v="0"/>
    <n v="0"/>
    <n v="18.018018018019401"/>
    <n v="0"/>
    <n v="0"/>
    <x v="1"/>
    <n v="0"/>
  </r>
  <r>
    <x v="11"/>
    <x v="4"/>
    <n v="2025"/>
    <s v="Forli2014"/>
    <s v="All profiles"/>
    <s v="RN-MERRA2"/>
    <s v="NH3"/>
    <s v="AEC"/>
    <s v="None"/>
    <n v="461.15529092899999"/>
    <n v="0"/>
    <n v="0"/>
    <n v="0"/>
    <n v="0"/>
    <n v="0"/>
    <n v="0"/>
    <n v="348.52307627078102"/>
    <n v="0"/>
    <n v="327.61169169453399"/>
    <x v="1"/>
    <n v="0"/>
  </r>
  <r>
    <x v="11"/>
    <x v="5"/>
    <n v="2025"/>
    <s v="Forli2014"/>
    <s v="All profiles"/>
    <s v="RN-MERRA2"/>
    <s v="NH3"/>
    <s v="AEC"/>
    <s v="None"/>
    <n v="457.38664000363798"/>
    <n v="0"/>
    <n v="0"/>
    <n v="0"/>
    <n v="0"/>
    <n v="0"/>
    <n v="0"/>
    <n v="348.50407621935301"/>
    <n v="0"/>
    <n v="0"/>
    <x v="1"/>
    <n v="0"/>
  </r>
  <r>
    <x v="11"/>
    <x v="6"/>
    <n v="2025"/>
    <s v="Forli2014"/>
    <s v="All profiles"/>
    <s v="RN-MERRA2"/>
    <s v="NH3"/>
    <s v="AEC"/>
    <s v="None"/>
    <n v="211.11168241716001"/>
    <n v="97.270852868340498"/>
    <n v="7.9511975292761399"/>
    <n v="0.20935439025161001"/>
    <n v="0"/>
    <n v="0"/>
    <n v="8.1605519195277498"/>
    <n v="943.99473999281997"/>
    <n v="0"/>
    <n v="0"/>
    <x v="1"/>
    <n v="0"/>
  </r>
  <r>
    <x v="11"/>
    <x v="7"/>
    <n v="2025"/>
    <s v="Forli2014"/>
    <s v="All profiles"/>
    <s v="RN-MERRA2"/>
    <s v="NH3"/>
    <s v="AEC"/>
    <s v="None"/>
    <n v="854.75833320759398"/>
    <n v="470.11708326417698"/>
    <n v="40.3375804698113"/>
    <n v="7.7783008321891103"/>
    <n v="0"/>
    <n v="0"/>
    <n v="48.115881302000403"/>
    <n v="1294.5323504012299"/>
    <n v="0"/>
    <n v="0"/>
    <x v="1"/>
    <n v="0"/>
  </r>
  <r>
    <x v="11"/>
    <x v="8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11"/>
    <x v="9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11"/>
    <x v="10"/>
    <n v="2025"/>
    <s v="Forli2014"/>
    <s v="All profiles"/>
    <s v="RN-MERRA2"/>
    <s v="NH3"/>
    <s v="AEC"/>
    <s v="None"/>
    <n v="71.1406538371116"/>
    <n v="0"/>
    <n v="0"/>
    <n v="0"/>
    <n v="4.2224208578337301E-2"/>
    <n v="0"/>
    <n v="4.2224208578337301E-2"/>
    <n v="20.2457870608355"/>
    <n v="0"/>
    <n v="0"/>
    <x v="1"/>
    <n v="0"/>
  </r>
  <r>
    <x v="11"/>
    <x v="11"/>
    <n v="2025"/>
    <s v="Forli2014"/>
    <s v="All profiles"/>
    <s v="RN-MERRA2"/>
    <s v="NH3"/>
    <s v="AEC"/>
    <s v="None"/>
    <n v="59.587197556532203"/>
    <n v="0"/>
    <n v="0"/>
    <n v="0"/>
    <n v="0"/>
    <n v="0"/>
    <n v="0"/>
    <n v="20.231558930067902"/>
    <n v="0"/>
    <n v="0"/>
    <x v="1"/>
    <n v="0"/>
  </r>
  <r>
    <x v="11"/>
    <x v="12"/>
    <n v="2025"/>
    <s v="Forli2014"/>
    <s v="All profiles"/>
    <s v="RN-MERRA2"/>
    <s v="NH3"/>
    <s v="AEC"/>
    <s v="None"/>
    <n v="71.1406538371116"/>
    <n v="25.7408038807441"/>
    <n v="2.6217577321373202"/>
    <n v="0.36111707294256201"/>
    <n v="0"/>
    <n v="0"/>
    <n v="2.9828748050798799"/>
    <n v="356.53007484702403"/>
    <n v="0"/>
    <n v="0"/>
    <x v="1"/>
    <n v="0"/>
  </r>
  <r>
    <x v="12"/>
    <x v="0"/>
    <n v="2025"/>
    <s v="Forli2014"/>
    <s v="All profiles"/>
    <s v="RN-MERRA2"/>
    <s v="NH3"/>
    <s v="AEC"/>
    <s v="None"/>
    <n v="15.186259119104299"/>
    <n v="63.660798227285497"/>
    <n v="5.9636658514057999"/>
    <n v="6.6212089759295001"/>
    <n v="0"/>
    <n v="0"/>
    <n v="12.5848748273353"/>
    <n v="100.00000000000399"/>
    <n v="0"/>
    <n v="38.000000000000199"/>
    <x v="13"/>
    <n v="74.563630957062699"/>
  </r>
  <r>
    <x v="12"/>
    <x v="1"/>
    <n v="2025"/>
    <s v="Forli2014"/>
    <s v="All profiles"/>
    <s v="RN-MERRA2"/>
    <s v="NH3"/>
    <s v="AEC"/>
    <s v="None"/>
    <n v="57.155410494653999"/>
    <n v="0"/>
    <n v="0"/>
    <n v="0"/>
    <n v="0"/>
    <n v="0"/>
    <n v="0"/>
    <n v="160.53775737077001"/>
    <n v="0"/>
    <n v="0"/>
    <x v="1"/>
    <n v="0"/>
  </r>
  <r>
    <x v="12"/>
    <x v="2"/>
    <n v="2025"/>
    <s v="Forli2014"/>
    <s v="All profiles"/>
    <s v="RN-MERRA2"/>
    <s v="NH3"/>
    <s v="AEC"/>
    <s v="None"/>
    <n v="6.4214103690743798"/>
    <n v="580.156446896837"/>
    <n v="54.348347604423601"/>
    <n v="11.5996356906959"/>
    <n v="0"/>
    <n v="0"/>
    <n v="65.947983295119599"/>
    <n v="18.0364170406054"/>
    <n v="0"/>
    <n v="928.87547759120798"/>
    <x v="1"/>
    <n v="0"/>
  </r>
  <r>
    <x v="12"/>
    <x v="3"/>
    <n v="2025"/>
    <s v="Forli2014"/>
    <s v="All profiles"/>
    <s v="RN-MERRA2"/>
    <s v="NH3"/>
    <s v="AEC"/>
    <s v="None"/>
    <n v="2.7362629043431199"/>
    <n v="0"/>
    <n v="0"/>
    <n v="0"/>
    <n v="0"/>
    <n v="0"/>
    <n v="0"/>
    <n v="18.018018018013802"/>
    <n v="0"/>
    <n v="0"/>
    <x v="1"/>
    <n v="0"/>
  </r>
  <r>
    <x v="12"/>
    <x v="4"/>
    <n v="2025"/>
    <s v="Forli2014"/>
    <s v="All profiles"/>
    <s v="RN-MERRA2"/>
    <s v="NH3"/>
    <s v="AEC"/>
    <s v="None"/>
    <n v="485.15615719261399"/>
    <n v="0"/>
    <n v="0"/>
    <n v="0"/>
    <n v="0"/>
    <n v="0"/>
    <n v="0"/>
    <n v="380.76020294916202"/>
    <n v="0"/>
    <n v="357.91459077221202"/>
    <x v="1"/>
    <n v="0"/>
  </r>
  <r>
    <x v="12"/>
    <x v="5"/>
    <n v="2025"/>
    <s v="Forli2014"/>
    <s v="All profiles"/>
    <s v="RN-MERRA2"/>
    <s v="NH3"/>
    <s v="AEC"/>
    <s v="None"/>
    <n v="481.47100972788297"/>
    <n v="0"/>
    <n v="0"/>
    <n v="0"/>
    <n v="0"/>
    <n v="0"/>
    <n v="0"/>
    <n v="380.74180392658201"/>
    <n v="0"/>
    <n v="0"/>
    <x v="1"/>
    <n v="0"/>
  </r>
  <r>
    <x v="12"/>
    <x v="6"/>
    <n v="2025"/>
    <s v="Forli2014"/>
    <s v="All profiles"/>
    <s v="RN-MERRA2"/>
    <s v="NH3"/>
    <s v="AEC"/>
    <s v="None"/>
    <n v="204.433584319989"/>
    <n v="94.193882944115103"/>
    <n v="7.6996772131926203"/>
    <n v="0.20273188059621899"/>
    <n v="0"/>
    <n v="0"/>
    <n v="7.9024090937888403"/>
    <n v="905.61896580020698"/>
    <n v="0"/>
    <n v="0"/>
    <x v="1"/>
    <n v="0"/>
  </r>
  <r>
    <x v="12"/>
    <x v="7"/>
    <n v="2025"/>
    <s v="Forli2014"/>
    <s v="All profiles"/>
    <s v="RN-MERRA2"/>
    <s v="NH3"/>
    <s v="AEC"/>
    <s v="None"/>
    <n v="874.74635787378304"/>
    <n v="481.11049683058002"/>
    <n v="41.280851242474398"/>
    <n v="7.96019185665142"/>
    <n v="0"/>
    <n v="0"/>
    <n v="49.241043099125797"/>
    <n v="1324.8042337462"/>
    <n v="0"/>
    <n v="0"/>
    <x v="1"/>
    <n v="0"/>
  </r>
  <r>
    <x v="12"/>
    <x v="8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12"/>
    <x v="9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12"/>
    <x v="10"/>
    <n v="2025"/>
    <s v="Forli2014"/>
    <s v="All profiles"/>
    <s v="RN-MERRA2"/>
    <s v="NH3"/>
    <s v="AEC"/>
    <s v="None"/>
    <n v="70.826913938562399"/>
    <n v="0"/>
    <n v="0"/>
    <n v="0"/>
    <n v="4.2323340740435499E-2"/>
    <n v="0"/>
    <n v="4.2323340740435499E-2"/>
    <n v="20.293319239940701"/>
    <n v="0"/>
    <n v="0"/>
    <x v="1"/>
    <n v="0"/>
  </r>
  <r>
    <x v="12"/>
    <x v="11"/>
    <n v="2025"/>
    <s v="Forli2014"/>
    <s v="All profiles"/>
    <s v="RN-MERRA2"/>
    <s v="NH3"/>
    <s v="AEC"/>
    <s v="None"/>
    <n v="65.056135473302703"/>
    <n v="0"/>
    <n v="0"/>
    <n v="0"/>
    <n v="0"/>
    <n v="0"/>
    <n v="0"/>
    <n v="20.279153857153499"/>
    <n v="0"/>
    <n v="0"/>
    <x v="1"/>
    <n v="0"/>
  </r>
  <r>
    <x v="12"/>
    <x v="12"/>
    <n v="2025"/>
    <s v="Forli2014"/>
    <s v="All profiles"/>
    <s v="RN-MERRA2"/>
    <s v="NH3"/>
    <s v="AEC"/>
    <s v="None"/>
    <n v="70.826913938562399"/>
    <n v="25.627283456591002"/>
    <n v="2.61019542619078"/>
    <n v="0.35952449784353602"/>
    <n v="0"/>
    <n v="0"/>
    <n v="2.9697199240343202"/>
    <n v="356.635596609679"/>
    <n v="0"/>
    <n v="0"/>
    <x v="1"/>
    <n v="0"/>
  </r>
  <r>
    <x v="13"/>
    <x v="0"/>
    <n v="2025"/>
    <s v="Forli2014"/>
    <s v="All profiles"/>
    <s v="RN-MERRA2"/>
    <s v="NH3"/>
    <s v="AEC"/>
    <s v="None"/>
    <n v="15.353813569666301"/>
    <n v="64.363186484041407"/>
    <n v="6.0294647257191398"/>
    <n v="6.6942627163745403"/>
    <n v="0"/>
    <n v="0"/>
    <n v="12.723727442093599"/>
    <n v="100.00000000000399"/>
    <n v="0"/>
    <n v="38.000000000004398"/>
    <x v="14"/>
    <n v="65.567472626940301"/>
  </r>
  <r>
    <x v="13"/>
    <x v="1"/>
    <n v="2025"/>
    <s v="Forli2014"/>
    <s v="All profiles"/>
    <s v="RN-MERRA2"/>
    <s v="NH3"/>
    <s v="AEC"/>
    <s v="None"/>
    <n v="62.682249163713699"/>
    <n v="0"/>
    <n v="0"/>
    <n v="0"/>
    <n v="0"/>
    <n v="0"/>
    <n v="0"/>
    <n v="160.57251831303"/>
    <n v="0"/>
    <n v="0"/>
    <x v="1"/>
    <n v="0"/>
  </r>
  <r>
    <x v="13"/>
    <x v="2"/>
    <n v="2025"/>
    <s v="Forli2014"/>
    <s v="All profiles"/>
    <s v="RN-MERRA2"/>
    <s v="NH3"/>
    <s v="AEC"/>
    <s v="None"/>
    <n v="7.0423506935432298"/>
    <n v="397.66041661230503"/>
    <n v="37.252342305537702"/>
    <n v="7.95081393301031"/>
    <n v="0"/>
    <n v="0"/>
    <n v="45.203156238548097"/>
    <n v="18.040322432467899"/>
    <n v="0"/>
    <n v="929.07660527211397"/>
    <x v="1"/>
    <n v="0"/>
  </r>
  <r>
    <x v="13"/>
    <x v="3"/>
    <n v="2025"/>
    <s v="Forli2014"/>
    <s v="All profiles"/>
    <s v="RN-MERRA2"/>
    <s v="NH3"/>
    <s v="AEC"/>
    <s v="None"/>
    <n v="2.7664528954353802"/>
    <n v="0"/>
    <n v="0"/>
    <n v="0"/>
    <n v="0"/>
    <n v="0"/>
    <n v="0"/>
    <n v="18.018018018015798"/>
    <n v="0"/>
    <n v="0"/>
    <x v="1"/>
    <n v="0"/>
  </r>
  <r>
    <x v="13"/>
    <x v="4"/>
    <n v="2025"/>
    <s v="Forli2014"/>
    <s v="All profiles"/>
    <s v="RN-MERRA2"/>
    <s v="NH3"/>
    <s v="AEC"/>
    <s v="None"/>
    <n v="340.61556906461601"/>
    <n v="0"/>
    <n v="0"/>
    <n v="0"/>
    <n v="0"/>
    <n v="0"/>
    <n v="0"/>
    <n v="195.90830818398501"/>
    <n v="0"/>
    <n v="184.15380969294401"/>
    <x v="1"/>
    <n v="0"/>
  </r>
  <r>
    <x v="13"/>
    <x v="5"/>
    <n v="2025"/>
    <s v="Forli2014"/>
    <s v="All profiles"/>
    <s v="RN-MERRA2"/>
    <s v="NH3"/>
    <s v="AEC"/>
    <s v="None"/>
    <n v="336.33967126650799"/>
    <n v="0"/>
    <n v="0"/>
    <n v="0"/>
    <n v="0"/>
    <n v="0"/>
    <n v="0"/>
    <n v="195.88600376952701"/>
    <n v="0"/>
    <n v="0"/>
    <x v="1"/>
    <n v="0"/>
  </r>
  <r>
    <x v="13"/>
    <x v="6"/>
    <n v="2025"/>
    <s v="Forli2014"/>
    <s v="All profiles"/>
    <s v="RN-MERRA2"/>
    <s v="NH3"/>
    <s v="AEC"/>
    <s v="None"/>
    <n v="247.826827233025"/>
    <n v="114.18755500691201"/>
    <n v="9.3340171127517202"/>
    <n v="0.24576391845922699"/>
    <n v="0"/>
    <n v="0"/>
    <n v="9.5797810312109508"/>
    <n v="1091.00703403179"/>
    <n v="0"/>
    <n v="0"/>
    <x v="1"/>
    <n v="0"/>
  </r>
  <r>
    <x v="13"/>
    <x v="7"/>
    <n v="2025"/>
    <s v="Forli2014"/>
    <s v="All profiles"/>
    <s v="RN-MERRA2"/>
    <s v="NH3"/>
    <s v="AEC"/>
    <s v="None"/>
    <n v="760.14806268729501"/>
    <n v="501.697721373614"/>
    <n v="43.047302316510397"/>
    <n v="8.3008168445452597"/>
    <n v="0"/>
    <n v="0"/>
    <n v="51.348119161055699"/>
    <n v="1151.24500108796"/>
    <n v="0"/>
    <n v="0"/>
    <x v="1"/>
    <n v="0"/>
  </r>
  <r>
    <x v="13"/>
    <x v="8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13"/>
    <x v="9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13"/>
    <x v="10"/>
    <n v="2025"/>
    <s v="Forli2014"/>
    <s v="All profiles"/>
    <s v="RN-MERRA2"/>
    <s v="NH3"/>
    <s v="AEC"/>
    <s v="None"/>
    <n v="72.930614455915304"/>
    <n v="0"/>
    <n v="0"/>
    <n v="0"/>
    <n v="4.2788688131982701E-2"/>
    <n v="0"/>
    <n v="4.2788688131982701E-2"/>
    <n v="20.516445368666002"/>
    <n v="0"/>
    <n v="0"/>
    <x v="1"/>
    <n v="0"/>
  </r>
  <r>
    <x v="13"/>
    <x v="11"/>
    <n v="2025"/>
    <s v="Forli2014"/>
    <s v="All profiles"/>
    <s v="RN-MERRA2"/>
    <s v="NH3"/>
    <s v="AEC"/>
    <s v="None"/>
    <n v="61.261716142968801"/>
    <n v="0"/>
    <n v="0"/>
    <n v="0"/>
    <n v="0"/>
    <n v="0"/>
    <n v="0"/>
    <n v="20.501859245774799"/>
    <n v="0"/>
    <n v="0"/>
    <x v="1"/>
    <n v="0"/>
  </r>
  <r>
    <x v="13"/>
    <x v="12"/>
    <n v="2025"/>
    <s v="Forli2014"/>
    <s v="All profiles"/>
    <s v="RN-MERRA2"/>
    <s v="NH3"/>
    <s v="AEC"/>
    <s v="None"/>
    <n v="72.930614455915304"/>
    <n v="26.388464855977499"/>
    <n v="2.6877234330333901"/>
    <n v="0.370203092039671"/>
    <n v="0"/>
    <n v="0"/>
    <n v="3.0579265250730598"/>
    <n v="364.61844671653301"/>
    <n v="0"/>
    <n v="0"/>
    <x v="1"/>
    <n v="0"/>
  </r>
  <r>
    <x v="14"/>
    <x v="0"/>
    <n v="2025"/>
    <s v="Forli2014"/>
    <s v="All profiles"/>
    <s v="RN-MERRA2"/>
    <s v="NH3"/>
    <s v="AEC"/>
    <s v="None"/>
    <n v="15.384603867725399"/>
    <n v="64.492259413505195"/>
    <n v="6.0415561201599601"/>
    <n v="6.7076872863283103"/>
    <n v="0"/>
    <n v="0"/>
    <n v="12.749243406488199"/>
    <n v="100.00000000000399"/>
    <n v="0"/>
    <n v="38.000000000004597"/>
    <x v="15"/>
    <n v="70.106634884778799"/>
  </r>
  <r>
    <x v="14"/>
    <x v="1"/>
    <n v="2025"/>
    <s v="Forli2014"/>
    <s v="All profiles"/>
    <s v="RN-MERRA2"/>
    <s v="NH3"/>
    <s v="AEC"/>
    <s v="None"/>
    <n v="63.810357098392601"/>
    <n v="0"/>
    <n v="0"/>
    <n v="0"/>
    <n v="0"/>
    <n v="0"/>
    <n v="0"/>
    <n v="160.57742102913801"/>
    <n v="0"/>
    <n v="0"/>
    <x v="1"/>
    <n v="0"/>
  </r>
  <r>
    <x v="14"/>
    <x v="2"/>
    <n v="2025"/>
    <s v="Forli2014"/>
    <s v="All profiles"/>
    <s v="RN-MERRA2"/>
    <s v="NH3"/>
    <s v="AEC"/>
    <s v="None"/>
    <n v="7.1690936200044098"/>
    <n v="404.81720944078899"/>
    <n v="37.922781919637998"/>
    <n v="8.0939066969849804"/>
    <n v="0"/>
    <n v="0"/>
    <n v="46.016688616623"/>
    <n v="18.0408732526238"/>
    <n v="0"/>
    <n v="929.10497251011498"/>
    <x v="1"/>
    <n v="0"/>
  </r>
  <r>
    <x v="14"/>
    <x v="3"/>
    <n v="2025"/>
    <s v="Forli2014"/>
    <s v="All profiles"/>
    <s v="RN-MERRA2"/>
    <s v="NH3"/>
    <s v="AEC"/>
    <s v="None"/>
    <n v="2.7720006968874702"/>
    <n v="0"/>
    <n v="0"/>
    <n v="0"/>
    <n v="0"/>
    <n v="0"/>
    <n v="0"/>
    <n v="18.018018018017901"/>
    <n v="0"/>
    <n v="0"/>
    <x v="1"/>
    <n v="0"/>
  </r>
  <r>
    <x v="14"/>
    <x v="4"/>
    <n v="2025"/>
    <s v="Forli2014"/>
    <s v="All profiles"/>
    <s v="RN-MERRA2"/>
    <s v="NH3"/>
    <s v="AEC"/>
    <s v="None"/>
    <n v="319.02638708424598"/>
    <n v="0"/>
    <n v="0"/>
    <n v="0"/>
    <n v="0"/>
    <n v="0"/>
    <n v="0"/>
    <n v="171.41733589225299"/>
    <n v="0"/>
    <n v="161.132295738717"/>
    <x v="1"/>
    <n v="0"/>
  </r>
  <r>
    <x v="14"/>
    <x v="5"/>
    <n v="2025"/>
    <s v="Forli2014"/>
    <s v="All profiles"/>
    <s v="RN-MERRA2"/>
    <s v="NH3"/>
    <s v="AEC"/>
    <s v="None"/>
    <n v="314.629294161129"/>
    <n v="0"/>
    <n v="0"/>
    <n v="0"/>
    <n v="0"/>
    <n v="0"/>
    <n v="0"/>
    <n v="171.39448065764799"/>
    <n v="0"/>
    <n v="0"/>
    <x v="1"/>
    <n v="0"/>
  </r>
  <r>
    <x v="14"/>
    <x v="6"/>
    <n v="2025"/>
    <s v="Forli2014"/>
    <s v="All profiles"/>
    <s v="RN-MERRA2"/>
    <s v="NH3"/>
    <s v="AEC"/>
    <s v="None"/>
    <n v="253.94705119236599"/>
    <n v="117.007481395893"/>
    <n v="9.5645259555923801"/>
    <n v="0.25183319771720403"/>
    <n v="0"/>
    <n v="0"/>
    <n v="9.8163591533095893"/>
    <n v="1130.8435847850001"/>
    <n v="0"/>
    <n v="0"/>
    <x v="1"/>
    <n v="0"/>
  </r>
  <r>
    <x v="14"/>
    <x v="7"/>
    <n v="2025"/>
    <s v="Forli2014"/>
    <s v="All profiles"/>
    <s v="RN-MERRA2"/>
    <s v="NH3"/>
    <s v="AEC"/>
    <s v="None"/>
    <n v="744.96608693063399"/>
    <n v="573.62388693658795"/>
    <n v="49.218802129145601"/>
    <n v="9.4908679474962803"/>
    <n v="0"/>
    <n v="0"/>
    <n v="58.7096700766418"/>
    <n v="1128.2518836225299"/>
    <n v="0"/>
    <n v="0"/>
    <x v="1"/>
    <n v="0"/>
  </r>
  <r>
    <x v="14"/>
    <x v="8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14"/>
    <x v="9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14"/>
    <x v="10"/>
    <n v="2025"/>
    <s v="Forli2014"/>
    <s v="All profiles"/>
    <s v="RN-MERRA2"/>
    <s v="NH3"/>
    <s v="AEC"/>
    <s v="None"/>
    <n v="73.076868371695994"/>
    <n v="0"/>
    <n v="0"/>
    <n v="0"/>
    <n v="4.2320789439534698E-2"/>
    <n v="0"/>
    <n v="4.2320789439534698E-2"/>
    <n v="20.292095934720699"/>
    <n v="0"/>
    <n v="0"/>
    <x v="1"/>
    <n v="0"/>
  </r>
  <r>
    <x v="14"/>
    <x v="11"/>
    <n v="2025"/>
    <s v="Forli2014"/>
    <s v="All profiles"/>
    <s v="RN-MERRA2"/>
    <s v="NH3"/>
    <s v="AEC"/>
    <s v="None"/>
    <n v="62.129535519155297"/>
    <n v="0"/>
    <n v="0"/>
    <n v="0"/>
    <n v="0"/>
    <n v="0"/>
    <n v="0"/>
    <n v="20.277480561046101"/>
    <n v="0"/>
    <n v="0"/>
    <x v="1"/>
    <n v="0"/>
  </r>
  <r>
    <x v="14"/>
    <x v="12"/>
    <n v="2025"/>
    <s v="Forli2014"/>
    <s v="All profiles"/>
    <s v="RN-MERRA2"/>
    <s v="NH3"/>
    <s v="AEC"/>
    <s v="None"/>
    <n v="73.076868371695994"/>
    <n v="26.441383871474901"/>
    <n v="2.6931133516505499"/>
    <n v="0.37094549154156597"/>
    <n v="0"/>
    <n v="0"/>
    <n v="3.0640588431921101"/>
    <n v="362.17626051480198"/>
    <n v="0"/>
    <n v="0"/>
    <x v="1"/>
    <n v="0"/>
  </r>
  <r>
    <x v="15"/>
    <x v="0"/>
    <n v="2025"/>
    <s v="Forli2014"/>
    <s v="All profiles"/>
    <s v="RN-MERRA2"/>
    <s v="NH3"/>
    <s v="AEC"/>
    <s v="None"/>
    <n v="15.302737889727499"/>
    <n v="64.149077233737898"/>
    <n v="6.0094072325669696"/>
    <n v="6.67199371992122"/>
    <n v="0"/>
    <n v="0"/>
    <n v="12.6814009524882"/>
    <n v="99.999999999995296"/>
    <n v="0"/>
    <n v="37.999999999997897"/>
    <x v="16"/>
    <n v="74.590766068753993"/>
  </r>
  <r>
    <x v="15"/>
    <x v="1"/>
    <n v="2025"/>
    <s v="Forli2014"/>
    <s v="All profiles"/>
    <s v="RN-MERRA2"/>
    <s v="NH3"/>
    <s v="AEC"/>
    <s v="None"/>
    <n v="65.140122366582304"/>
    <n v="0"/>
    <n v="0"/>
    <n v="0"/>
    <n v="0"/>
    <n v="0"/>
    <n v="0"/>
    <n v="160.61430738923701"/>
    <n v="0"/>
    <n v="0"/>
    <x v="1"/>
    <n v="0"/>
  </r>
  <r>
    <x v="15"/>
    <x v="2"/>
    <n v="2025"/>
    <s v="Forli2014"/>
    <s v="All profiles"/>
    <s v="RN-MERRA2"/>
    <s v="NH3"/>
    <s v="AEC"/>
    <s v="None"/>
    <n v="7.3184927478855197"/>
    <n v="413.25332999485101"/>
    <n v="38.713067393077701"/>
    <n v="8.2625783123627503"/>
    <n v="0"/>
    <n v="0"/>
    <n v="46.975645705440499"/>
    <n v="18.0450174351813"/>
    <n v="0"/>
    <n v="929.31839791183097"/>
    <x v="1"/>
    <n v="0"/>
  </r>
  <r>
    <x v="15"/>
    <x v="3"/>
    <n v="2025"/>
    <s v="Forli2014"/>
    <s v="All profiles"/>
    <s v="RN-MERRA2"/>
    <s v="NH3"/>
    <s v="AEC"/>
    <s v="None"/>
    <n v="2.75725007022118"/>
    <n v="0"/>
    <n v="0"/>
    <n v="0"/>
    <n v="0"/>
    <n v="0"/>
    <n v="0"/>
    <n v="18.0180180180181"/>
    <n v="0"/>
    <n v="0"/>
    <x v="1"/>
    <n v="0"/>
  </r>
  <r>
    <x v="15"/>
    <x v="4"/>
    <n v="2025"/>
    <s v="Forli2014"/>
    <s v="All profiles"/>
    <s v="RN-MERRA2"/>
    <s v="NH3"/>
    <s v="AEC"/>
    <s v="None"/>
    <n v="567.23552166641298"/>
    <n v="0"/>
    <n v="0"/>
    <n v="0"/>
    <n v="0"/>
    <n v="0"/>
    <n v="0"/>
    <n v="154.09378622367501"/>
    <n v="0"/>
    <n v="144.84815905025599"/>
    <x v="1"/>
    <n v="0"/>
  </r>
  <r>
    <x v="15"/>
    <x v="5"/>
    <n v="2025"/>
    <s v="Forli2014"/>
    <s v="All profiles"/>
    <s v="RN-MERRA2"/>
    <s v="NH3"/>
    <s v="AEC"/>
    <s v="None"/>
    <n v="569.99277173663495"/>
    <n v="0"/>
    <n v="0"/>
    <n v="0"/>
    <n v="0"/>
    <n v="0"/>
    <n v="0"/>
    <n v="154.06678680650199"/>
    <n v="0"/>
    <n v="0"/>
    <x v="1"/>
    <n v="0"/>
  </r>
  <r>
    <x v="15"/>
    <x v="6"/>
    <n v="2025"/>
    <s v="Forli2014"/>
    <s v="All profiles"/>
    <s v="RN-MERRA2"/>
    <s v="NH3"/>
    <s v="AEC"/>
    <s v="None"/>
    <n v="254.83949147613399"/>
    <n v="117.41867809776301"/>
    <n v="9.5981383492698598"/>
    <n v="0.252718209334302"/>
    <n v="0"/>
    <n v="0"/>
    <n v="9.8508565586041605"/>
    <n v="1108.11160345442"/>
    <n v="0"/>
    <n v="0"/>
    <x v="1"/>
    <n v="0"/>
  </r>
  <r>
    <x v="15"/>
    <x v="7"/>
    <n v="2025"/>
    <s v="Forli2014"/>
    <s v="All profiles"/>
    <s v="RN-MERRA2"/>
    <s v="NH3"/>
    <s v="AEC"/>
    <s v="None"/>
    <n v="734.35481030589301"/>
    <n v="646.23223306918499"/>
    <n v="55.448835261674198"/>
    <n v="10.692206038053801"/>
    <n v="0"/>
    <n v="0"/>
    <n v="66.141041299728002"/>
    <n v="1112.18109456308"/>
    <n v="0"/>
    <n v="0"/>
    <x v="1"/>
    <n v="0"/>
  </r>
  <r>
    <x v="15"/>
    <x v="8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15"/>
    <x v="9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15"/>
    <x v="10"/>
    <n v="2025"/>
    <s v="Forli2014"/>
    <s v="All profiles"/>
    <s v="RN-MERRA2"/>
    <s v="NH3"/>
    <s v="AEC"/>
    <s v="None"/>
    <n v="72.688004976205903"/>
    <n v="0"/>
    <n v="0"/>
    <n v="0"/>
    <n v="4.2126281929888001E-2"/>
    <n v="0"/>
    <n v="4.2126281929888001E-2"/>
    <n v="20.198832904941501"/>
    <n v="0"/>
    <n v="0"/>
    <x v="1"/>
    <n v="0"/>
  </r>
  <r>
    <x v="15"/>
    <x v="11"/>
    <n v="2025"/>
    <s v="Forli2014"/>
    <s v="All profiles"/>
    <s v="RN-MERRA2"/>
    <s v="NH3"/>
    <s v="AEC"/>
    <s v="None"/>
    <n v="61.057924180012897"/>
    <n v="0"/>
    <n v="0"/>
    <n v="0"/>
    <n v="0"/>
    <n v="0"/>
    <n v="0"/>
    <n v="20.184295303945401"/>
    <n v="0"/>
    <n v="0"/>
    <x v="1"/>
    <n v="0"/>
  </r>
  <r>
    <x v="15"/>
    <x v="12"/>
    <n v="2025"/>
    <s v="Forli2014"/>
    <s v="All profiles"/>
    <s v="RN-MERRA2"/>
    <s v="NH3"/>
    <s v="AEC"/>
    <s v="None"/>
    <n v="72.688004976205903"/>
    <n v="26.3006815323788"/>
    <n v="2.67878250762702"/>
    <n v="0.36897158205971903"/>
    <n v="0"/>
    <n v="0"/>
    <n v="3.0477540896867401"/>
    <n v="358.628201547039"/>
    <n v="0"/>
    <n v="0"/>
    <x v="1"/>
    <n v="0"/>
  </r>
  <r>
    <x v="16"/>
    <x v="0"/>
    <n v="2025"/>
    <s v="Forli2014"/>
    <s v="All profiles"/>
    <s v="RN-MERRA2"/>
    <s v="NH3"/>
    <s v="AEC"/>
    <s v="None"/>
    <n v="15.357884424622901"/>
    <n v="64.380251508019398"/>
    <n v="6.0310633563298799"/>
    <n v="6.6960376091356002"/>
    <n v="0"/>
    <n v="0"/>
    <n v="12.7271009654654"/>
    <n v="100"/>
    <n v="0"/>
    <n v="37.999999999998799"/>
    <x v="17"/>
    <n v="65.343526744874893"/>
  </r>
  <r>
    <x v="16"/>
    <x v="1"/>
    <n v="2025"/>
    <s v="Forli2014"/>
    <s v="All profiles"/>
    <s v="RN-MERRA2"/>
    <s v="NH3"/>
    <s v="AEC"/>
    <s v="None"/>
    <n v="62.660705646570399"/>
    <n v="0"/>
    <n v="0"/>
    <n v="0"/>
    <n v="0"/>
    <n v="0"/>
    <n v="0"/>
    <n v="160.57126682225999"/>
    <n v="0"/>
    <n v="0"/>
    <x v="1"/>
    <n v="0"/>
  </r>
  <r>
    <x v="16"/>
    <x v="2"/>
    <n v="2025"/>
    <s v="Forli2014"/>
    <s v="All profiles"/>
    <s v="RN-MERRA2"/>
    <s v="NH3"/>
    <s v="AEC"/>
    <s v="None"/>
    <n v="7.0399302793921796"/>
    <n v="397.523743086438"/>
    <n v="37.239538896505799"/>
    <n v="7.9480812854337701"/>
    <n v="0"/>
    <n v="0"/>
    <n v="45.187620181939501"/>
    <n v="18.0401818274809"/>
    <n v="0"/>
    <n v="1114.8832369382801"/>
    <x v="1"/>
    <n v="0"/>
  </r>
  <r>
    <x v="16"/>
    <x v="3"/>
    <n v="2025"/>
    <s v="Forli2014"/>
    <s v="All profiles"/>
    <s v="RN-MERRA2"/>
    <s v="NH3"/>
    <s v="AEC"/>
    <s v="None"/>
    <n v="2.7671863828149399"/>
    <n v="0"/>
    <n v="0"/>
    <n v="0"/>
    <n v="0"/>
    <n v="0"/>
    <n v="0"/>
    <n v="18.018018018018701"/>
    <n v="0"/>
    <n v="0"/>
    <x v="1"/>
    <n v="0"/>
  </r>
  <r>
    <x v="16"/>
    <x v="4"/>
    <n v="2025"/>
    <s v="Forli2014"/>
    <s v="All profiles"/>
    <s v="RN-MERRA2"/>
    <s v="NH3"/>
    <s v="AEC"/>
    <s v="None"/>
    <n v="404.328703604054"/>
    <n v="0"/>
    <n v="0"/>
    <n v="0"/>
    <n v="0"/>
    <n v="0"/>
    <n v="0"/>
    <n v="233.47716943252601"/>
    <n v="0"/>
    <n v="219.46853926657499"/>
    <x v="1"/>
    <n v="0"/>
  </r>
  <r>
    <x v="16"/>
    <x v="5"/>
    <n v="2025"/>
    <s v="Forli2014"/>
    <s v="All profiles"/>
    <s v="RN-MERRA2"/>
    <s v="NH3"/>
    <s v="AEC"/>
    <s v="None"/>
    <n v="400.05595970747697"/>
    <n v="0"/>
    <n v="0"/>
    <n v="0"/>
    <n v="0"/>
    <n v="0"/>
    <n v="0"/>
    <n v="233.45500562305"/>
    <n v="0"/>
    <n v="0"/>
    <x v="1"/>
    <n v="0"/>
  </r>
  <r>
    <x v="16"/>
    <x v="6"/>
    <n v="2025"/>
    <s v="Forli2014"/>
    <s v="All profiles"/>
    <s v="RN-MERRA2"/>
    <s v="NH3"/>
    <s v="AEC"/>
    <s v="None"/>
    <n v="246.26454958321099"/>
    <n v="113.467727105042"/>
    <n v="9.2751763226683792"/>
    <n v="0.24421464519762601"/>
    <n v="0"/>
    <n v="0"/>
    <n v="9.5193909678660003"/>
    <n v="1021.59734819605"/>
    <n v="0"/>
    <n v="0"/>
    <x v="1"/>
    <n v="0"/>
  </r>
  <r>
    <x v="16"/>
    <x v="7"/>
    <n v="2025"/>
    <s v="Forli2014"/>
    <s v="All profiles"/>
    <s v="RN-MERRA2"/>
    <s v="NH3"/>
    <s v="AEC"/>
    <s v="None"/>
    <n v="906.15084849404502"/>
    <n v="498.38296667172398"/>
    <n v="42.762885541870403"/>
    <n v="8.2459727212958107"/>
    <n v="0"/>
    <n v="0"/>
    <n v="51.008858263166204"/>
    <n v="1372.36636619508"/>
    <n v="0"/>
    <n v="0"/>
    <x v="1"/>
    <n v="0"/>
  </r>
  <r>
    <x v="16"/>
    <x v="8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16"/>
    <x v="9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16"/>
    <x v="10"/>
    <n v="2025"/>
    <s v="Forli2014"/>
    <s v="All profiles"/>
    <s v="RN-MERRA2"/>
    <s v="NH3"/>
    <s v="AEC"/>
    <s v="None"/>
    <n v="72.949951016959005"/>
    <n v="0"/>
    <n v="0"/>
    <n v="0"/>
    <n v="3.7252074307152203E-2"/>
    <n v="0"/>
    <n v="3.7252074307152203E-2"/>
    <n v="17.8617335739468"/>
    <n v="0"/>
    <n v="0"/>
    <x v="1"/>
    <n v="0"/>
  </r>
  <r>
    <x v="16"/>
    <x v="11"/>
    <n v="2025"/>
    <s v="Forli2014"/>
    <s v="All profiles"/>
    <s v="RN-MERRA2"/>
    <s v="NH3"/>
    <s v="AEC"/>
    <s v="None"/>
    <n v="55.4419627728888"/>
    <n v="0"/>
    <n v="0"/>
    <n v="0"/>
    <n v="0"/>
    <n v="0"/>
    <n v="0"/>
    <n v="17.847143583742401"/>
    <n v="0"/>
    <n v="0"/>
    <x v="1"/>
    <n v="0"/>
  </r>
  <r>
    <x v="16"/>
    <x v="12"/>
    <n v="2025"/>
    <s v="Forli2014"/>
    <s v="All profiles"/>
    <s v="RN-MERRA2"/>
    <s v="NH3"/>
    <s v="AEC"/>
    <s v="None"/>
    <n v="72.949951016959005"/>
    <n v="26.395461398723501"/>
    <n v="2.6884360463662"/>
    <n v="0.37030124635718498"/>
    <n v="0"/>
    <n v="0"/>
    <n v="3.0587372927233898"/>
    <n v="367.40395117404898"/>
    <n v="0"/>
    <n v="0"/>
    <x v="1"/>
    <n v="0"/>
  </r>
  <r>
    <x v="17"/>
    <x v="0"/>
    <n v="2025"/>
    <s v="Forli2014"/>
    <s v="All profiles"/>
    <s v="RN-MERRA2"/>
    <s v="NH3"/>
    <s v="AEC"/>
    <s v="None"/>
    <n v="15.399101611715601"/>
    <n v="64.553033956312007"/>
    <n v="6.04724940512755"/>
    <n v="6.7140083027080202"/>
    <n v="0"/>
    <n v="0"/>
    <n v="12.761257707835499"/>
    <n v="100.00000000000399"/>
    <n v="0"/>
    <n v="38.000000000001201"/>
    <x v="18"/>
    <n v="69.669162650354707"/>
  </r>
  <r>
    <x v="17"/>
    <x v="1"/>
    <n v="2025"/>
    <s v="Forli2014"/>
    <s v="All profiles"/>
    <s v="RN-MERRA2"/>
    <s v="NH3"/>
    <s v="AEC"/>
    <s v="None"/>
    <n v="63.739227081350698"/>
    <n v="0"/>
    <n v="0"/>
    <n v="0"/>
    <n v="0"/>
    <n v="0"/>
    <n v="0"/>
    <n v="160.57547594815699"/>
    <n v="0"/>
    <n v="0"/>
    <x v="1"/>
    <n v="0"/>
  </r>
  <r>
    <x v="17"/>
    <x v="2"/>
    <n v="2025"/>
    <s v="Forli2014"/>
    <s v="All profiles"/>
    <s v="RN-MERRA2"/>
    <s v="NH3"/>
    <s v="AEC"/>
    <s v="None"/>
    <n v="7.1611021625897502"/>
    <n v="404.36595581495499"/>
    <n v="37.880509030927101"/>
    <n v="8.0848843415638303"/>
    <n v="0"/>
    <n v="0"/>
    <n v="45.965393372490901"/>
    <n v="18.040654722775798"/>
    <n v="0"/>
    <n v="1300.7312055121499"/>
    <x v="1"/>
    <n v="0"/>
  </r>
  <r>
    <x v="17"/>
    <x v="3"/>
    <n v="2025"/>
    <s v="Forli2014"/>
    <s v="All profiles"/>
    <s v="RN-MERRA2"/>
    <s v="NH3"/>
    <s v="AEC"/>
    <s v="None"/>
    <n v="2.7746129030118301"/>
    <n v="0"/>
    <n v="0"/>
    <n v="0"/>
    <n v="0"/>
    <n v="0"/>
    <n v="0"/>
    <n v="18.018018018017202"/>
    <n v="0"/>
    <n v="0"/>
    <x v="1"/>
    <n v="0"/>
  </r>
  <r>
    <x v="17"/>
    <x v="4"/>
    <n v="2025"/>
    <s v="Forli2014"/>
    <s v="All profiles"/>
    <s v="RN-MERRA2"/>
    <s v="NH3"/>
    <s v="AEC"/>
    <s v="None"/>
    <n v="438.10918098531801"/>
    <n v="0"/>
    <n v="0"/>
    <n v="0"/>
    <n v="0"/>
    <n v="0"/>
    <n v="0"/>
    <n v="236.74873329535001"/>
    <n v="0"/>
    <n v="222.543809297629"/>
    <x v="1"/>
    <n v="0"/>
  </r>
  <r>
    <x v="17"/>
    <x v="5"/>
    <n v="2025"/>
    <s v="Forli2014"/>
    <s v="All profiles"/>
    <s v="RN-MERRA2"/>
    <s v="NH3"/>
    <s v="AEC"/>
    <s v="None"/>
    <n v="433.72269172573999"/>
    <n v="0"/>
    <n v="0"/>
    <n v="0"/>
    <n v="0"/>
    <n v="0"/>
    <n v="0"/>
    <n v="236.72609659058099"/>
    <n v="0"/>
    <n v="0"/>
    <x v="1"/>
    <n v="0"/>
  </r>
  <r>
    <x v="17"/>
    <x v="6"/>
    <n v="2025"/>
    <s v="Forli2014"/>
    <s v="All profiles"/>
    <s v="RN-MERRA2"/>
    <s v="NH3"/>
    <s v="AEC"/>
    <s v="None"/>
    <n v="251.518941732461"/>
    <n v="115.88871679074001"/>
    <n v="9.4730749391571205"/>
    <n v="0.249425299823434"/>
    <n v="0"/>
    <n v="0"/>
    <n v="9.7225002389805493"/>
    <n v="1037.60871649042"/>
    <n v="0"/>
    <n v="0"/>
    <x v="1"/>
    <n v="0"/>
  </r>
  <r>
    <x v="17"/>
    <x v="7"/>
    <n v="2025"/>
    <s v="Forli2014"/>
    <s v="All profiles"/>
    <s v="RN-MERRA2"/>
    <s v="NH3"/>
    <s v="AEC"/>
    <s v="None"/>
    <n v="1030.8937689419099"/>
    <n v="566.99157291805102"/>
    <n v="48.649727934763497"/>
    <n v="9.3811332973714006"/>
    <n v="0"/>
    <n v="0"/>
    <n v="58.030861232134903"/>
    <n v="1561.2896439562901"/>
    <n v="0"/>
    <n v="0"/>
    <x v="1"/>
    <n v="0"/>
  </r>
  <r>
    <x v="17"/>
    <x v="8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17"/>
    <x v="9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17"/>
    <x v="10"/>
    <n v="2025"/>
    <s v="Forli2014"/>
    <s v="All profiles"/>
    <s v="RN-MERRA2"/>
    <s v="NH3"/>
    <s v="AEC"/>
    <s v="None"/>
    <n v="73.145732655649297"/>
    <n v="0"/>
    <n v="0"/>
    <n v="0"/>
    <n v="3.76837067253111E-2"/>
    <n v="0"/>
    <n v="3.76837067253111E-2"/>
    <n v="18.068693948595101"/>
    <n v="0"/>
    <n v="0"/>
    <x v="1"/>
    <n v="0"/>
  </r>
  <r>
    <x v="17"/>
    <x v="11"/>
    <n v="2025"/>
    <s v="Forli2014"/>
    <s v="All profiles"/>
    <s v="RN-MERRA2"/>
    <s v="NH3"/>
    <s v="AEC"/>
    <s v="None"/>
    <n v="61.442415430745399"/>
    <n v="0"/>
    <n v="0"/>
    <n v="0"/>
    <n v="0"/>
    <n v="0"/>
    <n v="0"/>
    <n v="18.054064802065"/>
    <n v="0"/>
    <n v="0"/>
    <x v="1"/>
    <n v="0"/>
  </r>
  <r>
    <x v="17"/>
    <x v="12"/>
    <n v="2025"/>
    <s v="Forli2014"/>
    <s v="All profiles"/>
    <s v="RN-MERRA2"/>
    <s v="NH3"/>
    <s v="AEC"/>
    <s v="None"/>
    <n v="73.145732655649297"/>
    <n v="26.4663010170453"/>
    <n v="2.6956512179644601"/>
    <n v="0.37129505353334102"/>
    <n v="0"/>
    <n v="0"/>
    <n v="3.0669462714978"/>
    <n v="377.203242293458"/>
    <n v="0"/>
    <n v="0"/>
    <x v="1"/>
    <n v="0"/>
  </r>
  <r>
    <x v="18"/>
    <x v="0"/>
    <n v="2025"/>
    <s v="Forli2014"/>
    <s v="All profiles"/>
    <s v="RN-MERRA2"/>
    <s v="NH3"/>
    <s v="AEC"/>
    <s v="None"/>
    <n v="15.317885257935901"/>
    <n v="64.212575001267297"/>
    <n v="6.0153556259016501"/>
    <n v="6.6785979724600502"/>
    <n v="0"/>
    <n v="0"/>
    <n v="12.6939535983617"/>
    <n v="99.9999999999972"/>
    <n v="0"/>
    <n v="37.999999999996298"/>
    <x v="19"/>
    <n v="73.944297381992499"/>
  </r>
  <r>
    <x v="18"/>
    <x v="1"/>
    <n v="2025"/>
    <s v="Forli2014"/>
    <s v="All profiles"/>
    <s v="RN-MERRA2"/>
    <s v="NH3"/>
    <s v="AEC"/>
    <s v="None"/>
    <n v="65.052382162575697"/>
    <n v="0"/>
    <n v="0"/>
    <n v="0"/>
    <n v="0"/>
    <n v="0"/>
    <n v="0"/>
    <n v="160.57553426088"/>
    <n v="0"/>
    <n v="0"/>
    <x v="1"/>
    <n v="0"/>
  </r>
  <r>
    <x v="18"/>
    <x v="2"/>
    <n v="2025"/>
    <s v="Forli2014"/>
    <s v="All profiles"/>
    <s v="RN-MERRA2"/>
    <s v="NH3"/>
    <s v="AEC"/>
    <s v="None"/>
    <n v="7.3086351359653801"/>
    <n v="412.69670022255701"/>
    <n v="38.660922995625199"/>
    <n v="8.25144906850492"/>
    <n v="0"/>
    <n v="0"/>
    <n v="46.912372064130103"/>
    <n v="18.040661274210098"/>
    <n v="0"/>
    <n v="1486.5504889949"/>
    <x v="1"/>
    <n v="0"/>
  </r>
  <r>
    <x v="18"/>
    <x v="3"/>
    <n v="2025"/>
    <s v="Forli2014"/>
    <s v="All profiles"/>
    <s v="RN-MERRA2"/>
    <s v="NH3"/>
    <s v="AEC"/>
    <s v="None"/>
    <n v="2.7599793257542098"/>
    <n v="0"/>
    <n v="0"/>
    <n v="0"/>
    <n v="0"/>
    <n v="0"/>
    <n v="0"/>
    <n v="18.018018018017901"/>
    <n v="0"/>
    <n v="0"/>
    <x v="1"/>
    <n v="0"/>
  </r>
  <r>
    <x v="18"/>
    <x v="4"/>
    <n v="2025"/>
    <s v="Forli2014"/>
    <s v="All profiles"/>
    <s v="RN-MERRA2"/>
    <s v="NH3"/>
    <s v="AEC"/>
    <s v="None"/>
    <n v="1038.5975076118"/>
    <n v="0"/>
    <n v="0"/>
    <n v="0"/>
    <n v="0"/>
    <n v="0"/>
    <n v="0"/>
    <n v="241.885858471288"/>
    <n v="0"/>
    <n v="227.37270696301201"/>
    <x v="1"/>
    <n v="0"/>
  </r>
  <r>
    <x v="18"/>
    <x v="5"/>
    <n v="2025"/>
    <s v="Forli2014"/>
    <s v="All profiles"/>
    <s v="RN-MERRA2"/>
    <s v="NH3"/>
    <s v="AEC"/>
    <s v="None"/>
    <n v="1041.35748693755"/>
    <n v="0"/>
    <n v="0"/>
    <n v="0"/>
    <n v="0"/>
    <n v="0"/>
    <n v="0"/>
    <n v="241.86321521508501"/>
    <n v="0"/>
    <n v="0"/>
    <x v="1"/>
    <n v="0"/>
  </r>
  <r>
    <x v="18"/>
    <x v="6"/>
    <n v="2025"/>
    <s v="Forli2014"/>
    <s v="All profiles"/>
    <s v="RN-MERRA2"/>
    <s v="NH3"/>
    <s v="AEC"/>
    <s v="None"/>
    <n v="251.59173547938499"/>
    <n v="115.922256904512"/>
    <n v="9.4758166039198795"/>
    <n v="0.249497487635719"/>
    <n v="0"/>
    <n v="0"/>
    <n v="9.7253140915555996"/>
    <n v="1051.1432445437299"/>
    <n v="0"/>
    <n v="0"/>
    <x v="1"/>
    <n v="0"/>
  </r>
  <r>
    <x v="18"/>
    <x v="7"/>
    <n v="2025"/>
    <s v="Forli2014"/>
    <s v="All profiles"/>
    <s v="RN-MERRA2"/>
    <s v="NH3"/>
    <s v="AEC"/>
    <s v="None"/>
    <n v="1156.77556366679"/>
    <n v="636.22656001673897"/>
    <n v="54.590315849647503"/>
    <n v="10.526657629367801"/>
    <n v="0"/>
    <n v="0"/>
    <n v="65.1169734790153"/>
    <n v="1751.9377479489201"/>
    <n v="0"/>
    <n v="0"/>
    <x v="1"/>
    <n v="0"/>
  </r>
  <r>
    <x v="18"/>
    <x v="8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18"/>
    <x v="9"/>
    <n v="2025"/>
    <s v="Forli2014"/>
    <s v="All profiles"/>
    <s v="RN-MERRA2"/>
    <s v="NH3"/>
    <s v="AEC"/>
    <s v="None"/>
    <n v="0"/>
    <n v="0"/>
    <n v="0"/>
    <n v="0"/>
    <n v="0"/>
    <n v="0"/>
    <n v="0"/>
    <n v="0"/>
    <n v="0"/>
    <n v="0"/>
    <x v="1"/>
    <n v="0"/>
  </r>
  <r>
    <x v="18"/>
    <x v="10"/>
    <n v="2025"/>
    <s v="Forli2014"/>
    <s v="All profiles"/>
    <s v="RN-MERRA2"/>
    <s v="NH3"/>
    <s v="AEC"/>
    <s v="None"/>
    <n v="72.759954975195498"/>
    <n v="0"/>
    <n v="0"/>
    <n v="0"/>
    <n v="3.7008997707028597E-2"/>
    <n v="0"/>
    <n v="3.7008997707028597E-2"/>
    <n v="17.745182494571601"/>
    <n v="0"/>
    <n v="0"/>
    <x v="1"/>
    <n v="0"/>
  </r>
  <r>
    <x v="18"/>
    <x v="11"/>
    <n v="2025"/>
    <s v="Forli2014"/>
    <s v="All profiles"/>
    <s v="RN-MERRA2"/>
    <s v="NH3"/>
    <s v="AEC"/>
    <s v="None"/>
    <n v="61.118362179164201"/>
    <n v="0"/>
    <n v="0"/>
    <n v="0"/>
    <n v="0"/>
    <n v="0"/>
    <n v="0"/>
    <n v="17.7306305035763"/>
    <n v="0"/>
    <n v="0"/>
    <x v="1"/>
    <n v="0"/>
  </r>
  <r>
    <x v="18"/>
    <x v="12"/>
    <n v="2025"/>
    <s v="Forli2014"/>
    <s v="All profiles"/>
    <s v="RN-MERRA2"/>
    <s v="NH3"/>
    <s v="AEC"/>
    <s v="None"/>
    <n v="72.759954975195498"/>
    <n v="26.326715181400999"/>
    <n v="2.6814340922836699"/>
    <n v="0.36933680744959002"/>
    <n v="0"/>
    <n v="0"/>
    <n v="3.0507708997332599"/>
    <n v="383.36390317289897"/>
    <n v="0"/>
    <n v="0"/>
    <x v="1"/>
    <n v="0"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  <r>
    <x v="19"/>
    <x v="13"/>
    <m/>
    <m/>
    <m/>
    <m/>
    <m/>
    <m/>
    <m/>
    <m/>
    <m/>
    <m/>
    <m/>
    <m/>
    <m/>
    <m/>
    <m/>
    <m/>
    <m/>
    <x v="2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3:C24" firstHeaderRow="1" firstDataRow="2" firstDataCol="1"/>
  <pivotFields count="21">
    <pivotField axis="axisRow" showAll="0">
      <items count="21">
        <item x="19"/>
        <item x="0"/>
        <item x="11"/>
        <item x="12"/>
        <item x="13"/>
        <item x="14"/>
        <item x="15"/>
        <item x="16"/>
        <item x="17"/>
        <item x="18"/>
        <item x="8"/>
        <item x="9"/>
        <item x="10"/>
        <item x="1"/>
        <item x="2"/>
        <item x="3"/>
        <item x="7"/>
        <item x="4"/>
        <item x="5"/>
        <item x="6"/>
        <item t="default"/>
      </items>
    </pivotField>
    <pivotField axis="axisCol" showAll="0">
      <items count="15">
        <item h="1" x="12"/>
        <item h="1" x="10"/>
        <item h="1" x="11"/>
        <item h="1" x="8"/>
        <item h="1" x="9"/>
        <item h="1" x="2"/>
        <item h="1" x="1"/>
        <item h="1" x="13"/>
        <item h="1" x="3"/>
        <item x="0"/>
        <item h="1" x="4"/>
        <item h="1" x="5"/>
        <item h="1" x="6"/>
        <item h="1" x="7"/>
        <item t="default"/>
      </items>
    </pivotField>
    <pivotField showAll="0" defaultSubtotal="0"/>
    <pivotField showAl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>
      <items count="21">
        <item x="1"/>
        <item x="2"/>
        <item x="5"/>
        <item x="3"/>
        <item x="17"/>
        <item x="0"/>
        <item x="14"/>
        <item x="6"/>
        <item x="9"/>
        <item x="4"/>
        <item x="18"/>
        <item x="12"/>
        <item x="15"/>
        <item x="7"/>
        <item x="19"/>
        <item x="13"/>
        <item x="16"/>
        <item x="10"/>
        <item x="8"/>
        <item x="11"/>
        <item x="20"/>
      </items>
    </pivotField>
    <pivotField showAll="0" defaultSubtotal="0"/>
  </pivotFields>
  <rowFields count="1">
    <field x="0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2">
    <i>
      <x v="9"/>
    </i>
    <i t="grand">
      <x/>
    </i>
  </colItems>
  <dataFields count="1">
    <dataField name="Sum of Production cost fuel (Euros/kgfuel)" fld="19" baseField="0" baseItem="1"/>
  </dataFields>
  <formats count="59">
    <format dxfId="354">
      <pivotArea collapsedLevelsAreSubtotals="1" fieldPosition="0">
        <references count="2">
          <reference field="0" count="1">
            <x v="1"/>
          </reference>
          <reference field="1" count="0" selected="0"/>
        </references>
      </pivotArea>
    </format>
    <format dxfId="353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352">
      <pivotArea collapsedLevelsAreSubtotals="1" fieldPosition="0">
        <references count="2">
          <reference field="0" count="1">
            <x v="3"/>
          </reference>
          <reference field="1" count="0" selected="0"/>
        </references>
      </pivotArea>
    </format>
    <format dxfId="351">
      <pivotArea collapsedLevelsAreSubtotals="1" fieldPosition="0">
        <references count="2">
          <reference field="0" count="1">
            <x v="4"/>
          </reference>
          <reference field="1" count="0" selected="0"/>
        </references>
      </pivotArea>
    </format>
    <format dxfId="350">
      <pivotArea collapsedLevelsAreSubtotals="1" fieldPosition="0">
        <references count="2">
          <reference field="0" count="1">
            <x v="5"/>
          </reference>
          <reference field="1" count="0" selected="0"/>
        </references>
      </pivotArea>
    </format>
    <format dxfId="349">
      <pivotArea collapsedLevelsAreSubtotals="1" fieldPosition="0">
        <references count="2">
          <reference field="0" count="1">
            <x v="6"/>
          </reference>
          <reference field="1" count="0" selected="0"/>
        </references>
      </pivotArea>
    </format>
    <format dxfId="348">
      <pivotArea collapsedLevelsAreSubtotals="1" fieldPosition="0">
        <references count="2">
          <reference field="0" count="1">
            <x v="7"/>
          </reference>
          <reference field="1" count="0" selected="0"/>
        </references>
      </pivotArea>
    </format>
    <format dxfId="347">
      <pivotArea collapsedLevelsAreSubtotals="1" fieldPosition="0">
        <references count="2">
          <reference field="0" count="1">
            <x v="8"/>
          </reference>
          <reference field="1" count="0" selected="0"/>
        </references>
      </pivotArea>
    </format>
    <format dxfId="346">
      <pivotArea collapsedLevelsAreSubtotals="1" fieldPosition="0">
        <references count="2">
          <reference field="0" count="1">
            <x v="9"/>
          </reference>
          <reference field="1" count="0" selected="0"/>
        </references>
      </pivotArea>
    </format>
    <format dxfId="345">
      <pivotArea collapsedLevelsAreSubtotals="1" fieldPosition="0">
        <references count="2">
          <reference field="0" count="1">
            <x v="1"/>
          </reference>
          <reference field="1" count="0" selected="0"/>
        </references>
      </pivotArea>
    </format>
    <format dxfId="344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343">
      <pivotArea collapsedLevelsAreSubtotals="1" fieldPosition="0">
        <references count="2">
          <reference field="0" count="1">
            <x v="3"/>
          </reference>
          <reference field="1" count="0" selected="0"/>
        </references>
      </pivotArea>
    </format>
    <format dxfId="342">
      <pivotArea collapsedLevelsAreSubtotals="1" fieldPosition="0">
        <references count="2">
          <reference field="0" count="1">
            <x v="4"/>
          </reference>
          <reference field="1" count="0" selected="0"/>
        </references>
      </pivotArea>
    </format>
    <format dxfId="341">
      <pivotArea collapsedLevelsAreSubtotals="1" fieldPosition="0">
        <references count="2">
          <reference field="0" count="1">
            <x v="5"/>
          </reference>
          <reference field="1" count="0" selected="0"/>
        </references>
      </pivotArea>
    </format>
    <format dxfId="340">
      <pivotArea collapsedLevelsAreSubtotals="1" fieldPosition="0">
        <references count="2">
          <reference field="0" count="1">
            <x v="6"/>
          </reference>
          <reference field="1" count="0" selected="0"/>
        </references>
      </pivotArea>
    </format>
    <format dxfId="339">
      <pivotArea collapsedLevelsAreSubtotals="1" fieldPosition="0">
        <references count="2">
          <reference field="0" count="1">
            <x v="7"/>
          </reference>
          <reference field="1" count="0" selected="0"/>
        </references>
      </pivotArea>
    </format>
    <format dxfId="338">
      <pivotArea collapsedLevelsAreSubtotals="1" fieldPosition="0">
        <references count="2">
          <reference field="0" count="1">
            <x v="8"/>
          </reference>
          <reference field="1" count="0" selected="0"/>
        </references>
      </pivotArea>
    </format>
    <format dxfId="337">
      <pivotArea collapsedLevelsAreSubtotals="1" fieldPosition="0">
        <references count="2">
          <reference field="0" count="1">
            <x v="9"/>
          </reference>
          <reference field="1" count="0" selected="0"/>
        </references>
      </pivotArea>
    </format>
    <format dxfId="336">
      <pivotArea collapsedLevelsAreSubtotals="1" fieldPosition="0">
        <references count="2">
          <reference field="0" count="1">
            <x v="1"/>
          </reference>
          <reference field="1" count="0" selected="0"/>
        </references>
      </pivotArea>
    </format>
    <format dxfId="335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334">
      <pivotArea collapsedLevelsAreSubtotals="1" fieldPosition="0">
        <references count="2">
          <reference field="0" count="1">
            <x v="3"/>
          </reference>
          <reference field="1" count="0" selected="0"/>
        </references>
      </pivotArea>
    </format>
    <format dxfId="333">
      <pivotArea collapsedLevelsAreSubtotals="1" fieldPosition="0">
        <references count="2">
          <reference field="0" count="1">
            <x v="4"/>
          </reference>
          <reference field="1" count="0" selected="0"/>
        </references>
      </pivotArea>
    </format>
    <format dxfId="332">
      <pivotArea collapsedLevelsAreSubtotals="1" fieldPosition="0">
        <references count="2">
          <reference field="0" count="1">
            <x v="5"/>
          </reference>
          <reference field="1" count="0" selected="0"/>
        </references>
      </pivotArea>
    </format>
    <format dxfId="331">
      <pivotArea collapsedLevelsAreSubtotals="1" fieldPosition="0">
        <references count="2">
          <reference field="0" count="1">
            <x v="6"/>
          </reference>
          <reference field="1" count="0" selected="0"/>
        </references>
      </pivotArea>
    </format>
    <format dxfId="330">
      <pivotArea collapsedLevelsAreSubtotals="1" fieldPosition="0">
        <references count="2">
          <reference field="0" count="1">
            <x v="7"/>
          </reference>
          <reference field="1" count="0" selected="0"/>
        </references>
      </pivotArea>
    </format>
    <format dxfId="329">
      <pivotArea collapsedLevelsAreSubtotals="1" fieldPosition="0">
        <references count="2">
          <reference field="0" count="1">
            <x v="8"/>
          </reference>
          <reference field="1" count="0" selected="0"/>
        </references>
      </pivotArea>
    </format>
    <format dxfId="328">
      <pivotArea collapsedLevelsAreSubtotals="1" fieldPosition="0">
        <references count="2">
          <reference field="0" count="1">
            <x v="9"/>
          </reference>
          <reference field="1" count="0" selected="0"/>
        </references>
      </pivotArea>
    </format>
    <format dxfId="327">
      <pivotArea collapsedLevelsAreSubtotals="1" fieldPosition="0">
        <references count="2">
          <reference field="0" count="1">
            <x v="1"/>
          </reference>
          <reference field="1" count="0" selected="0"/>
        </references>
      </pivotArea>
    </format>
    <format dxfId="326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325">
      <pivotArea collapsedLevelsAreSubtotals="1" fieldPosition="0">
        <references count="2">
          <reference field="0" count="1">
            <x v="3"/>
          </reference>
          <reference field="1" count="0" selected="0"/>
        </references>
      </pivotArea>
    </format>
    <format dxfId="324">
      <pivotArea collapsedLevelsAreSubtotals="1" fieldPosition="0">
        <references count="2">
          <reference field="0" count="1">
            <x v="4"/>
          </reference>
          <reference field="1" count="0" selected="0"/>
        </references>
      </pivotArea>
    </format>
    <format dxfId="323">
      <pivotArea collapsedLevelsAreSubtotals="1" fieldPosition="0">
        <references count="2">
          <reference field="0" count="1">
            <x v="5"/>
          </reference>
          <reference field="1" count="0" selected="0"/>
        </references>
      </pivotArea>
    </format>
    <format dxfId="322">
      <pivotArea collapsedLevelsAreSubtotals="1" fieldPosition="0">
        <references count="2">
          <reference field="0" count="1">
            <x v="6"/>
          </reference>
          <reference field="1" count="0" selected="0"/>
        </references>
      </pivotArea>
    </format>
    <format dxfId="321">
      <pivotArea collapsedLevelsAreSubtotals="1" fieldPosition="0">
        <references count="2">
          <reference field="0" count="1">
            <x v="7"/>
          </reference>
          <reference field="1" count="0" selected="0"/>
        </references>
      </pivotArea>
    </format>
    <format dxfId="320">
      <pivotArea collapsedLevelsAreSubtotals="1" fieldPosition="0">
        <references count="2">
          <reference field="0" count="1">
            <x v="8"/>
          </reference>
          <reference field="1" count="0" selected="0"/>
        </references>
      </pivotArea>
    </format>
    <format dxfId="319">
      <pivotArea collapsedLevelsAreSubtotals="1" fieldPosition="0">
        <references count="2">
          <reference field="0" count="1">
            <x v="9"/>
          </reference>
          <reference field="1" count="0" selected="0"/>
        </references>
      </pivotArea>
    </format>
    <format dxfId="318">
      <pivotArea collapsedLevelsAreSubtotals="1" fieldPosition="0">
        <references count="2">
          <reference field="0" count="1">
            <x v="1"/>
          </reference>
          <reference field="1" count="0" selected="0"/>
        </references>
      </pivotArea>
    </format>
    <format dxfId="317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316">
      <pivotArea collapsedLevelsAreSubtotals="1" fieldPosition="0">
        <references count="2">
          <reference field="0" count="1">
            <x v="3"/>
          </reference>
          <reference field="1" count="0" selected="0"/>
        </references>
      </pivotArea>
    </format>
    <format dxfId="315">
      <pivotArea collapsedLevelsAreSubtotals="1" fieldPosition="0">
        <references count="2">
          <reference field="0" count="1">
            <x v="4"/>
          </reference>
          <reference field="1" count="0" selected="0"/>
        </references>
      </pivotArea>
    </format>
    <format dxfId="314">
      <pivotArea collapsedLevelsAreSubtotals="1" fieldPosition="0">
        <references count="2">
          <reference field="0" count="1">
            <x v="5"/>
          </reference>
          <reference field="1" count="0" selected="0"/>
        </references>
      </pivotArea>
    </format>
    <format dxfId="313">
      <pivotArea collapsedLevelsAreSubtotals="1" fieldPosition="0">
        <references count="2">
          <reference field="0" count="1">
            <x v="6"/>
          </reference>
          <reference field="1" count="0" selected="0"/>
        </references>
      </pivotArea>
    </format>
    <format dxfId="312">
      <pivotArea collapsedLevelsAreSubtotals="1" fieldPosition="0">
        <references count="2">
          <reference field="0" count="1">
            <x v="7"/>
          </reference>
          <reference field="1" count="0" selected="0"/>
        </references>
      </pivotArea>
    </format>
    <format dxfId="311">
      <pivotArea collapsedLevelsAreSubtotals="1" fieldPosition="0">
        <references count="2">
          <reference field="0" count="1">
            <x v="8"/>
          </reference>
          <reference field="1" count="0" selected="0"/>
        </references>
      </pivotArea>
    </format>
    <format dxfId="310">
      <pivotArea collapsedLevelsAreSubtotals="1" fieldPosition="0">
        <references count="2">
          <reference field="0" count="1">
            <x v="9"/>
          </reference>
          <reference field="1" count="0" selected="0"/>
        </references>
      </pivotArea>
    </format>
    <format dxfId="309">
      <pivotArea collapsedLevelsAreSubtotals="1" fieldPosition="0">
        <references count="2">
          <reference field="0" count="1">
            <x v="1"/>
          </reference>
          <reference field="1" count="0" selected="0"/>
        </references>
      </pivotArea>
    </format>
    <format dxfId="308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307">
      <pivotArea collapsedLevelsAreSubtotals="1" fieldPosition="0">
        <references count="2">
          <reference field="0" count="1">
            <x v="3"/>
          </reference>
          <reference field="1" count="0" selected="0"/>
        </references>
      </pivotArea>
    </format>
    <format dxfId="306">
      <pivotArea collapsedLevelsAreSubtotals="1" fieldPosition="0">
        <references count="2">
          <reference field="0" count="1">
            <x v="4"/>
          </reference>
          <reference field="1" count="0" selected="0"/>
        </references>
      </pivotArea>
    </format>
    <format dxfId="305">
      <pivotArea collapsedLevelsAreSubtotals="1" fieldPosition="0">
        <references count="2">
          <reference field="0" count="1">
            <x v="5"/>
          </reference>
          <reference field="1" count="0" selected="0"/>
        </references>
      </pivotArea>
    </format>
    <format dxfId="304">
      <pivotArea collapsedLevelsAreSubtotals="1" fieldPosition="0">
        <references count="2">
          <reference field="0" count="1">
            <x v="6"/>
          </reference>
          <reference field="1" count="0" selected="0"/>
        </references>
      </pivotArea>
    </format>
    <format dxfId="303">
      <pivotArea collapsedLevelsAreSubtotals="1" fieldPosition="0">
        <references count="2">
          <reference field="0" count="1">
            <x v="7"/>
          </reference>
          <reference field="1" count="0" selected="0"/>
        </references>
      </pivotArea>
    </format>
    <format dxfId="302">
      <pivotArea collapsedLevelsAreSubtotals="1" fieldPosition="0">
        <references count="2">
          <reference field="0" count="1">
            <x v="8"/>
          </reference>
          <reference field="1" count="0" selected="0"/>
        </references>
      </pivotArea>
    </format>
    <format dxfId="301">
      <pivotArea collapsedLevelsAreSubtotals="1" fieldPosition="0">
        <references count="2">
          <reference field="0" count="1">
            <x v="9"/>
          </reference>
          <reference field="1" count="0" selected="0"/>
        </references>
      </pivotArea>
    </format>
    <format dxfId="4">
      <pivotArea collapsedLevelsAreSubtotals="1" fieldPosition="0">
        <references count="2">
          <reference field="0" count="19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  <reference field="1" count="0" selected="0"/>
        </references>
      </pivotArea>
    </format>
    <format dxfId="3">
      <pivotArea collapsedLevelsAreSubtotals="1" fieldPosition="0">
        <references count="2">
          <reference field="0" count="19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  <reference field="1" count="0" selected="0"/>
        </references>
      </pivotArea>
    </format>
    <format dxfId="2">
      <pivotArea collapsedLevelsAreSubtotals="1" fieldPosition="0">
        <references count="2">
          <reference field="0" count="19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  <reference field="1" count="0" selected="0"/>
        </references>
      </pivotArea>
    </format>
    <format dxfId="1">
      <pivotArea collapsedLevelsAreSubtotals="1" fieldPosition="0">
        <references count="2">
          <reference field="0" count="19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  <reference field="1" count="0" selected="0"/>
        </references>
      </pivotArea>
    </format>
    <format dxfId="0">
      <pivotArea collapsedLevelsAreSubtotals="1" fieldPosition="0">
        <references count="2">
          <reference field="0" count="19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  <reference field="1" count="0" selected="0"/>
        </references>
      </pivotArea>
    </format>
  </formats>
  <chartFormats count="1">
    <chartFormat chart="0" format="29" series="1">
      <pivotArea type="data" outline="0" fieldPosition="0">
        <references count="1">
          <reference field="1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2:M5"/>
  <sheetViews>
    <sheetView workbookViewId="0">
      <selection activeCell="L9" sqref="L9"/>
    </sheetView>
  </sheetViews>
  <sheetFormatPr defaultRowHeight="14.5" x14ac:dyDescent="0.35"/>
  <cols>
    <col min="3" max="3" width="9.7265625" customWidth="1"/>
    <col min="4" max="4" width="13.81640625" customWidth="1"/>
  </cols>
  <sheetData>
    <row r="2" spans="1:13" x14ac:dyDescent="0.35">
      <c r="A2" s="12" t="s">
        <v>0</v>
      </c>
      <c r="B2" s="12"/>
      <c r="C2" s="12"/>
      <c r="D2" s="1" t="s">
        <v>72</v>
      </c>
      <c r="E2" s="1"/>
      <c r="F2" s="1"/>
      <c r="G2" s="1"/>
      <c r="H2" s="1"/>
      <c r="I2" s="1"/>
      <c r="J2" s="1"/>
      <c r="K2" s="1"/>
      <c r="L2" s="1"/>
      <c r="M2" s="1"/>
    </row>
    <row r="4" spans="1:13" x14ac:dyDescent="0.35">
      <c r="A4" s="12" t="s">
        <v>11</v>
      </c>
      <c r="B4" s="12"/>
      <c r="C4" s="12"/>
      <c r="D4" s="2" t="s">
        <v>22</v>
      </c>
      <c r="E4" s="2"/>
      <c r="F4" s="2"/>
      <c r="G4" s="2"/>
      <c r="H4" s="2"/>
      <c r="I4" s="2"/>
      <c r="J4" s="2"/>
      <c r="K4" s="2"/>
      <c r="L4" s="2"/>
      <c r="M4" s="2"/>
    </row>
    <row r="5" spans="1:13" x14ac:dyDescent="0.35">
      <c r="A5" t="s">
        <v>12</v>
      </c>
    </row>
  </sheetData>
  <mergeCells count="2">
    <mergeCell ref="A2:C2"/>
    <mergeCell ref="A4:C4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ImportMainResults">
                <anchor moveWithCells="1" sizeWithCells="1">
                  <from>
                    <xdr:col>1</xdr:col>
                    <xdr:colOff>6350</xdr:colOff>
                    <xdr:row>8</xdr:row>
                    <xdr:rowOff>6350</xdr:rowOff>
                  </from>
                  <to>
                    <xdr:col>4</xdr:col>
                    <xdr:colOff>152400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ImportHourlyResults">
                <anchor moveWithCells="1" sizeWithCells="1">
                  <from>
                    <xdr:col>5</xdr:col>
                    <xdr:colOff>533400</xdr:colOff>
                    <xdr:row>7</xdr:row>
                    <xdr:rowOff>152400</xdr:rowOff>
                  </from>
                  <to>
                    <xdr:col>9</xdr:col>
                    <xdr:colOff>69850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Z248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9" sqref="F9"/>
    </sheetView>
  </sheetViews>
  <sheetFormatPr defaultRowHeight="14.5" x14ac:dyDescent="0.35"/>
  <cols>
    <col min="1" max="1" width="31" customWidth="1"/>
    <col min="2" max="2" width="27.1796875" bestFit="1" customWidth="1"/>
    <col min="3" max="3" width="4.81640625" bestFit="1" customWidth="1"/>
    <col min="4" max="4" width="12.7265625" customWidth="1"/>
    <col min="5" max="5" width="11.7265625" customWidth="1"/>
    <col min="6" max="6" width="10.453125" bestFit="1" customWidth="1"/>
    <col min="7" max="7" width="27" customWidth="1"/>
    <col min="8" max="8" width="15.1796875" customWidth="1"/>
    <col min="9" max="9" width="25.54296875" bestFit="1" customWidth="1"/>
    <col min="10" max="10" width="22.7265625" bestFit="1" customWidth="1"/>
    <col min="11" max="11" width="27.90625" bestFit="1" customWidth="1"/>
    <col min="12" max="12" width="18" bestFit="1" customWidth="1"/>
    <col min="13" max="13" width="20.453125" bestFit="1" customWidth="1"/>
    <col min="14" max="14" width="15.90625" bestFit="1" customWidth="1"/>
    <col min="15" max="15" width="19.36328125" bestFit="1" customWidth="1"/>
    <col min="16" max="16" width="23.81640625" customWidth="1"/>
    <col min="17" max="17" width="15.7265625" customWidth="1"/>
    <col min="18" max="18" width="25.90625" bestFit="1" customWidth="1"/>
    <col min="19" max="20" width="25.90625" customWidth="1"/>
    <col min="21" max="21" width="36.1796875" bestFit="1" customWidth="1"/>
    <col min="22" max="22" width="32.81640625" bestFit="1" customWidth="1"/>
    <col min="23" max="23" width="35.6328125" bestFit="1" customWidth="1"/>
    <col min="24" max="24" width="33.6328125" bestFit="1" customWidth="1"/>
    <col min="25" max="25" width="12.453125" bestFit="1" customWidth="1"/>
    <col min="26" max="26" width="13.1796875" bestFit="1" customWidth="1"/>
    <col min="27" max="27" width="33.6328125" bestFit="1" customWidth="1"/>
    <col min="28" max="28" width="28.36328125" bestFit="1" customWidth="1"/>
    <col min="29" max="29" width="25.36328125" bestFit="1" customWidth="1"/>
    <col min="30" max="30" width="26.90625" bestFit="1" customWidth="1"/>
    <col min="31" max="32" width="18.6328125" customWidth="1"/>
  </cols>
  <sheetData>
    <row r="1" spans="1:26" s="10" customFormat="1" x14ac:dyDescent="0.35">
      <c r="A1" s="10" t="s">
        <v>5</v>
      </c>
      <c r="B1" s="10" t="s">
        <v>6</v>
      </c>
      <c r="C1" s="10" t="s">
        <v>73</v>
      </c>
      <c r="D1" s="10" t="s">
        <v>17</v>
      </c>
      <c r="E1" s="10" t="s">
        <v>74</v>
      </c>
      <c r="F1" s="10" t="s">
        <v>75</v>
      </c>
      <c r="G1" s="10" t="s">
        <v>18</v>
      </c>
      <c r="H1" s="10" t="s">
        <v>13</v>
      </c>
      <c r="I1" s="10" t="s">
        <v>76</v>
      </c>
      <c r="J1" s="10" t="s">
        <v>77</v>
      </c>
      <c r="K1" s="10" t="s">
        <v>27</v>
      </c>
      <c r="L1" s="10" t="s">
        <v>28</v>
      </c>
      <c r="M1" s="10" t="s">
        <v>29</v>
      </c>
      <c r="N1" s="10" t="s">
        <v>30</v>
      </c>
      <c r="O1" s="10" t="s">
        <v>78</v>
      </c>
      <c r="P1" s="10" t="s">
        <v>31</v>
      </c>
      <c r="Q1" s="10" t="s">
        <v>79</v>
      </c>
      <c r="R1" s="10" t="s">
        <v>32</v>
      </c>
      <c r="S1" s="10" t="s">
        <v>33</v>
      </c>
      <c r="T1" s="10" t="s">
        <v>80</v>
      </c>
      <c r="U1" s="10" t="s">
        <v>81</v>
      </c>
      <c r="V1" s="10" t="s">
        <v>82</v>
      </c>
      <c r="W1" s="10" t="s">
        <v>83</v>
      </c>
      <c r="X1" s="10" t="s">
        <v>15</v>
      </c>
      <c r="Y1" s="10" t="s">
        <v>16</v>
      </c>
      <c r="Z1" s="10" t="s">
        <v>21</v>
      </c>
    </row>
    <row r="2" spans="1:26" x14ac:dyDescent="0.35">
      <c r="A2" s="10" t="s">
        <v>34</v>
      </c>
      <c r="B2" s="10" t="s">
        <v>25</v>
      </c>
      <c r="C2" s="10">
        <v>2025</v>
      </c>
      <c r="D2" s="10" t="s">
        <v>84</v>
      </c>
      <c r="E2" s="10" t="s">
        <v>85</v>
      </c>
      <c r="F2" s="10" t="s">
        <v>86</v>
      </c>
      <c r="G2" s="10" t="s">
        <v>87</v>
      </c>
      <c r="H2" s="10" t="s">
        <v>19</v>
      </c>
      <c r="I2" s="10" t="s">
        <v>88</v>
      </c>
      <c r="J2" s="10">
        <v>15.226703610405099</v>
      </c>
      <c r="K2" s="10">
        <v>63.830341534818501</v>
      </c>
      <c r="L2" s="10">
        <v>5.9795484614519303</v>
      </c>
      <c r="M2" s="10">
        <v>6.63884277413666</v>
      </c>
      <c r="N2" s="10">
        <v>0</v>
      </c>
      <c r="O2" s="10">
        <v>0</v>
      </c>
      <c r="P2" s="10">
        <v>12.618391235588501</v>
      </c>
      <c r="Q2" s="10">
        <v>99.999999999996703</v>
      </c>
      <c r="R2" s="10">
        <v>0</v>
      </c>
      <c r="S2" s="10">
        <v>38.000000000002998</v>
      </c>
      <c r="T2" s="10">
        <v>1.21924856420354</v>
      </c>
      <c r="U2" s="10">
        <v>65.550998075459503</v>
      </c>
      <c r="V2" s="10">
        <v>235.98359307165401</v>
      </c>
      <c r="W2" s="10">
        <v>0.12618391235588999</v>
      </c>
      <c r="X2" s="10">
        <v>0.753834898413972</v>
      </c>
      <c r="Y2" s="10">
        <v>6567.4096349825204</v>
      </c>
      <c r="Z2" s="10">
        <v>37.168542977768702</v>
      </c>
    </row>
    <row r="3" spans="1:26" x14ac:dyDescent="0.35">
      <c r="A3" s="10" t="s">
        <v>34</v>
      </c>
      <c r="B3" s="10" t="s">
        <v>23</v>
      </c>
      <c r="C3" s="10">
        <v>2025</v>
      </c>
      <c r="D3" s="10" t="s">
        <v>84</v>
      </c>
      <c r="E3" s="10" t="s">
        <v>85</v>
      </c>
      <c r="F3" s="10" t="s">
        <v>86</v>
      </c>
      <c r="G3" s="10" t="s">
        <v>87</v>
      </c>
      <c r="H3" s="10" t="s">
        <v>19</v>
      </c>
      <c r="I3" s="10" t="s">
        <v>88</v>
      </c>
      <c r="J3" s="10">
        <v>59.492063409684597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160.553413637875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0.30977234608357002</v>
      </c>
      <c r="Y3" s="10">
        <v>2698.7366790800602</v>
      </c>
      <c r="Z3" s="10">
        <v>37.168542977768702</v>
      </c>
    </row>
    <row r="4" spans="1:26" x14ac:dyDescent="0.35">
      <c r="A4" s="10" t="s">
        <v>34</v>
      </c>
      <c r="B4" s="10" t="s">
        <v>20</v>
      </c>
      <c r="C4" s="10">
        <v>2025</v>
      </c>
      <c r="D4" s="10" t="s">
        <v>84</v>
      </c>
      <c r="E4" s="10" t="s">
        <v>85</v>
      </c>
      <c r="F4" s="10" t="s">
        <v>86</v>
      </c>
      <c r="G4" s="10" t="s">
        <v>87</v>
      </c>
      <c r="H4" s="10" t="s">
        <v>19</v>
      </c>
      <c r="I4" s="10" t="s">
        <v>88</v>
      </c>
      <c r="J4" s="10">
        <v>6.6839333240780601</v>
      </c>
      <c r="K4" s="10">
        <v>452.90599561285899</v>
      </c>
      <c r="L4" s="10">
        <v>42.4276806943286</v>
      </c>
      <c r="M4" s="10">
        <v>9.0553928674609594</v>
      </c>
      <c r="N4" s="10">
        <v>0</v>
      </c>
      <c r="O4" s="10">
        <v>0</v>
      </c>
      <c r="P4" s="10">
        <v>51.483073561789602</v>
      </c>
      <c r="Q4" s="10">
        <v>18.038176022214799</v>
      </c>
      <c r="R4" s="10">
        <v>0</v>
      </c>
      <c r="S4" s="10">
        <v>928.96606514405505</v>
      </c>
      <c r="T4" s="10">
        <v>0</v>
      </c>
      <c r="U4" s="10">
        <v>0</v>
      </c>
      <c r="V4" s="10">
        <v>0</v>
      </c>
      <c r="W4" s="10">
        <v>2.85411748385124</v>
      </c>
      <c r="X4" s="10">
        <v>0.30977234608357002</v>
      </c>
      <c r="Y4" s="10">
        <v>2698.7366790800602</v>
      </c>
      <c r="Z4" s="10">
        <v>37.168542977768702</v>
      </c>
    </row>
    <row r="5" spans="1:26" x14ac:dyDescent="0.35">
      <c r="A5" s="10" t="s">
        <v>34</v>
      </c>
      <c r="B5" s="10" t="s">
        <v>24</v>
      </c>
      <c r="C5" s="10">
        <v>2025</v>
      </c>
      <c r="D5" s="10" t="s">
        <v>84</v>
      </c>
      <c r="E5" s="10" t="s">
        <v>85</v>
      </c>
      <c r="F5" s="10" t="s">
        <v>86</v>
      </c>
      <c r="G5" s="10" t="s">
        <v>87</v>
      </c>
      <c r="H5" s="10" t="s">
        <v>19</v>
      </c>
      <c r="I5" s="10" t="s">
        <v>88</v>
      </c>
      <c r="J5" s="10">
        <v>2.7435502000729999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18.018018018017202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  <c r="X5" s="10">
        <v>0.753834898413972</v>
      </c>
      <c r="Y5" s="10">
        <v>6567.4096349825204</v>
      </c>
      <c r="Z5" s="10">
        <v>37.168542977768702</v>
      </c>
    </row>
    <row r="6" spans="1:26" x14ac:dyDescent="0.35">
      <c r="A6" s="10" t="s">
        <v>34</v>
      </c>
      <c r="B6" s="10" t="s">
        <v>89</v>
      </c>
      <c r="C6" s="10">
        <v>2025</v>
      </c>
      <c r="D6" s="10" t="s">
        <v>84</v>
      </c>
      <c r="E6" s="10" t="s">
        <v>85</v>
      </c>
      <c r="F6" s="10" t="s">
        <v>86</v>
      </c>
      <c r="G6" s="10" t="s">
        <v>87</v>
      </c>
      <c r="H6" s="10" t="s">
        <v>19</v>
      </c>
      <c r="I6" s="10" t="s">
        <v>88</v>
      </c>
      <c r="J6" s="10">
        <v>416.81421914919002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290.49105803711001</v>
      </c>
      <c r="R6" s="10">
        <v>0</v>
      </c>
      <c r="S6" s="10">
        <v>273.06159455488398</v>
      </c>
      <c r="T6" s="10">
        <v>0</v>
      </c>
      <c r="U6" s="10">
        <v>0</v>
      </c>
      <c r="V6" s="10">
        <v>0</v>
      </c>
      <c r="W6" s="10">
        <v>0</v>
      </c>
      <c r="X6" s="10">
        <v>7.9996755930872895E-2</v>
      </c>
      <c r="Y6" s="10">
        <v>696.93173766976497</v>
      </c>
      <c r="Z6" s="10">
        <v>37.168542977768702</v>
      </c>
    </row>
    <row r="7" spans="1:26" x14ac:dyDescent="0.35">
      <c r="A7" s="10" t="s">
        <v>34</v>
      </c>
      <c r="B7" s="10" t="s">
        <v>90</v>
      </c>
      <c r="C7" s="10">
        <v>2025</v>
      </c>
      <c r="D7" s="10" t="s">
        <v>84</v>
      </c>
      <c r="E7" s="10" t="s">
        <v>85</v>
      </c>
      <c r="F7" s="10" t="s">
        <v>86</v>
      </c>
      <c r="G7" s="10" t="s">
        <v>87</v>
      </c>
      <c r="H7" s="10" t="s">
        <v>19</v>
      </c>
      <c r="I7" s="10" t="s">
        <v>88</v>
      </c>
      <c r="J7" s="10">
        <v>412.87383602518503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290.47090003290998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  <c r="X7" s="10">
        <v>8.0754624362441102E-2</v>
      </c>
      <c r="Y7" s="10">
        <v>703.53428744558698</v>
      </c>
      <c r="Z7" s="10">
        <v>37.168542977768702</v>
      </c>
    </row>
    <row r="8" spans="1:26" x14ac:dyDescent="0.35">
      <c r="A8" s="10" t="s">
        <v>34</v>
      </c>
      <c r="B8" s="10" t="s">
        <v>91</v>
      </c>
      <c r="C8" s="10">
        <v>2025</v>
      </c>
      <c r="D8" s="10" t="s">
        <v>84</v>
      </c>
      <c r="E8" s="10" t="s">
        <v>85</v>
      </c>
      <c r="F8" s="10" t="s">
        <v>86</v>
      </c>
      <c r="G8" s="10" t="s">
        <v>87</v>
      </c>
      <c r="H8" s="10" t="s">
        <v>19</v>
      </c>
      <c r="I8" s="10" t="s">
        <v>88</v>
      </c>
      <c r="J8" s="10">
        <v>223.97782441029199</v>
      </c>
      <c r="K8" s="10">
        <v>103.19899758523999</v>
      </c>
      <c r="L8" s="10">
        <v>8.4357810220312093</v>
      </c>
      <c r="M8" s="10">
        <v>0.22211343456892199</v>
      </c>
      <c r="N8" s="10">
        <v>0</v>
      </c>
      <c r="O8" s="10">
        <v>0</v>
      </c>
      <c r="P8" s="10">
        <v>8.6578944566001397</v>
      </c>
      <c r="Q8" s="10">
        <v>1013.59145994573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8.5417989384634803E-3</v>
      </c>
      <c r="X8" s="10">
        <v>0.51944557874736796</v>
      </c>
      <c r="Y8" s="10">
        <v>4525.4098820470699</v>
      </c>
      <c r="Z8" s="10">
        <v>37.168542977768702</v>
      </c>
    </row>
    <row r="9" spans="1:26" x14ac:dyDescent="0.35">
      <c r="A9" s="10" t="s">
        <v>34</v>
      </c>
      <c r="B9" s="10" t="s">
        <v>92</v>
      </c>
      <c r="C9" s="10">
        <v>2025</v>
      </c>
      <c r="D9" s="10" t="s">
        <v>84</v>
      </c>
      <c r="E9" s="10" t="s">
        <v>85</v>
      </c>
      <c r="F9" s="10" t="s">
        <v>86</v>
      </c>
      <c r="G9" s="10" t="s">
        <v>87</v>
      </c>
      <c r="H9" s="10" t="s">
        <v>19</v>
      </c>
      <c r="I9" s="10" t="s">
        <v>88</v>
      </c>
      <c r="J9" s="10">
        <v>818.77933726513595</v>
      </c>
      <c r="K9" s="10">
        <v>450.32863549582498</v>
      </c>
      <c r="L9" s="10">
        <v>38.639667050698201</v>
      </c>
      <c r="M9" s="10">
        <v>7.4508919691127398</v>
      </c>
      <c r="N9" s="10">
        <v>0</v>
      </c>
      <c r="O9" s="10">
        <v>0</v>
      </c>
      <c r="P9" s="10">
        <v>46.090559019810897</v>
      </c>
      <c r="Q9" s="10">
        <v>1240.0421250673801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3.7168542977768698E-2</v>
      </c>
      <c r="X9" s="10">
        <v>0.17384079430670299</v>
      </c>
      <c r="Y9" s="10">
        <v>1514.501</v>
      </c>
      <c r="Z9" s="10">
        <v>37.168542977768702</v>
      </c>
    </row>
    <row r="10" spans="1:26" x14ac:dyDescent="0.35">
      <c r="A10" s="10" t="s">
        <v>34</v>
      </c>
      <c r="B10" s="10" t="s">
        <v>7</v>
      </c>
      <c r="C10" s="10">
        <v>2025</v>
      </c>
      <c r="D10" s="10" t="s">
        <v>84</v>
      </c>
      <c r="E10" s="10" t="s">
        <v>85</v>
      </c>
      <c r="F10" s="10" t="s">
        <v>86</v>
      </c>
      <c r="G10" s="10" t="s">
        <v>87</v>
      </c>
      <c r="H10" s="10" t="s">
        <v>19</v>
      </c>
      <c r="I10" s="10" t="s">
        <v>88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 t="s">
        <v>14</v>
      </c>
      <c r="Y10" s="10" t="s">
        <v>14</v>
      </c>
      <c r="Z10" s="10">
        <v>37.168542977768702</v>
      </c>
    </row>
    <row r="11" spans="1:26" x14ac:dyDescent="0.35">
      <c r="A11" s="10" t="s">
        <v>34</v>
      </c>
      <c r="B11" s="10" t="s">
        <v>8</v>
      </c>
      <c r="C11" s="10">
        <v>2025</v>
      </c>
      <c r="D11" s="10" t="s">
        <v>84</v>
      </c>
      <c r="E11" s="10" t="s">
        <v>85</v>
      </c>
      <c r="F11" s="10" t="s">
        <v>86</v>
      </c>
      <c r="G11" s="10" t="s">
        <v>87</v>
      </c>
      <c r="H11" s="10" t="s">
        <v>19</v>
      </c>
      <c r="I11" s="10" t="s">
        <v>88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 t="s">
        <v>14</v>
      </c>
      <c r="Y11" s="10" t="s">
        <v>14</v>
      </c>
      <c r="Z11" s="10">
        <v>37.168542977768702</v>
      </c>
    </row>
    <row r="12" spans="1:26" x14ac:dyDescent="0.35">
      <c r="A12" s="10" t="s">
        <v>34</v>
      </c>
      <c r="B12" s="10" t="s">
        <v>9</v>
      </c>
      <c r="C12" s="10">
        <v>2025</v>
      </c>
      <c r="D12" s="10" t="s">
        <v>84</v>
      </c>
      <c r="E12" s="10" t="s">
        <v>85</v>
      </c>
      <c r="F12" s="10" t="s">
        <v>86</v>
      </c>
      <c r="G12" s="10" t="s">
        <v>87</v>
      </c>
      <c r="H12" s="10" t="s">
        <v>19</v>
      </c>
      <c r="I12" s="10" t="s">
        <v>88</v>
      </c>
      <c r="J12" s="10">
        <v>72.326842149424607</v>
      </c>
      <c r="K12" s="10">
        <v>0</v>
      </c>
      <c r="L12" s="10">
        <v>0</v>
      </c>
      <c r="M12" s="10">
        <v>0</v>
      </c>
      <c r="N12" s="10">
        <v>4.2327346097492002E-2</v>
      </c>
      <c r="O12" s="10">
        <v>0</v>
      </c>
      <c r="P12" s="10">
        <v>4.2327346097492002E-2</v>
      </c>
      <c r="Q12" s="10">
        <v>20.2952397402602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2.0855800000000001E-3</v>
      </c>
      <c r="X12" s="10">
        <v>3.2208968395550701E-2</v>
      </c>
      <c r="Y12" s="10">
        <v>280.604532662037</v>
      </c>
      <c r="Z12" s="10">
        <v>37.168542977768702</v>
      </c>
    </row>
    <row r="13" spans="1:26" x14ac:dyDescent="0.35">
      <c r="A13" s="10" t="s">
        <v>34</v>
      </c>
      <c r="B13" s="10" t="s">
        <v>10</v>
      </c>
      <c r="C13" s="10">
        <v>2025</v>
      </c>
      <c r="D13" s="10" t="s">
        <v>84</v>
      </c>
      <c r="E13" s="10" t="s">
        <v>85</v>
      </c>
      <c r="F13" s="10" t="s">
        <v>86</v>
      </c>
      <c r="G13" s="10" t="s">
        <v>87</v>
      </c>
      <c r="H13" s="10" t="s">
        <v>19</v>
      </c>
      <c r="I13" s="10" t="s">
        <v>88</v>
      </c>
      <c r="J13" s="10">
        <v>60.754547405516703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20.280774371830301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3.8316680421918999E-2</v>
      </c>
      <c r="Y13" s="10">
        <v>333.81491983575802</v>
      </c>
      <c r="Z13" s="10">
        <v>37.168542977768702</v>
      </c>
    </row>
    <row r="14" spans="1:26" x14ac:dyDescent="0.35">
      <c r="A14" s="10" t="s">
        <v>34</v>
      </c>
      <c r="B14" s="10" t="s">
        <v>4</v>
      </c>
      <c r="C14" s="10">
        <v>2025</v>
      </c>
      <c r="D14" s="10" t="s">
        <v>84</v>
      </c>
      <c r="E14" s="10" t="s">
        <v>85</v>
      </c>
      <c r="F14" s="10" t="s">
        <v>86</v>
      </c>
      <c r="G14" s="10" t="s">
        <v>87</v>
      </c>
      <c r="H14" s="10" t="s">
        <v>19</v>
      </c>
      <c r="I14" s="10" t="s">
        <v>88</v>
      </c>
      <c r="J14" s="10">
        <v>72.326842149424607</v>
      </c>
      <c r="K14" s="10">
        <v>26.1700020827004</v>
      </c>
      <c r="L14" s="10">
        <v>2.6654725170294902</v>
      </c>
      <c r="M14" s="10">
        <v>0.36713828343469401</v>
      </c>
      <c r="N14" s="10">
        <v>0</v>
      </c>
      <c r="O14" s="10">
        <v>0</v>
      </c>
      <c r="P14" s="10">
        <v>3.0326108004641799</v>
      </c>
      <c r="Q14" s="10">
        <v>357.27890546302598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8.4880768332347492E-3</v>
      </c>
      <c r="X14" s="10">
        <v>0.56700906822137198</v>
      </c>
      <c r="Y14" s="10">
        <v>4939.7830023445904</v>
      </c>
      <c r="Z14" s="10">
        <v>37.168542977768702</v>
      </c>
    </row>
    <row r="15" spans="1:26" x14ac:dyDescent="0.35">
      <c r="A15" s="10" t="s">
        <v>63</v>
      </c>
      <c r="B15" s="10" t="s">
        <v>25</v>
      </c>
      <c r="C15" s="10">
        <v>2025</v>
      </c>
      <c r="D15" s="10" t="s">
        <v>84</v>
      </c>
      <c r="E15" s="10" t="s">
        <v>85</v>
      </c>
      <c r="F15" s="10" t="s">
        <v>86</v>
      </c>
      <c r="G15" s="10" t="s">
        <v>87</v>
      </c>
      <c r="H15" s="10" t="s">
        <v>19</v>
      </c>
      <c r="I15" s="10" t="s">
        <v>88</v>
      </c>
      <c r="J15" s="10">
        <v>15.3037012947908</v>
      </c>
      <c r="K15" s="10">
        <v>64.153115827763003</v>
      </c>
      <c r="L15" s="10">
        <v>6.0097855631243302</v>
      </c>
      <c r="M15" s="10">
        <v>6.6724137645287902</v>
      </c>
      <c r="N15" s="10">
        <v>0</v>
      </c>
      <c r="O15" s="10">
        <v>0</v>
      </c>
      <c r="P15" s="10">
        <v>12.6821993276531</v>
      </c>
      <c r="Q15" s="10">
        <v>100.00000000001199</v>
      </c>
      <c r="R15" s="10">
        <v>0</v>
      </c>
      <c r="S15" s="10">
        <v>38.000000000003801</v>
      </c>
      <c r="T15" s="10">
        <v>1.1526253311696699</v>
      </c>
      <c r="U15" s="10">
        <v>61.969103826326503</v>
      </c>
      <c r="V15" s="10">
        <v>223.08877377477501</v>
      </c>
      <c r="W15" s="10">
        <v>0.126821993276515</v>
      </c>
      <c r="X15" s="10">
        <v>0.750042120414254</v>
      </c>
      <c r="Y15" s="10">
        <v>6534.3669530489797</v>
      </c>
      <c r="Z15" s="10">
        <v>38.870161300781703</v>
      </c>
    </row>
    <row r="16" spans="1:26" x14ac:dyDescent="0.35">
      <c r="A16" s="10" t="s">
        <v>63</v>
      </c>
      <c r="B16" s="10" t="s">
        <v>23</v>
      </c>
      <c r="C16" s="10">
        <v>2025</v>
      </c>
      <c r="D16" s="10" t="s">
        <v>84</v>
      </c>
      <c r="E16" s="10" t="s">
        <v>85</v>
      </c>
      <c r="F16" s="10" t="s">
        <v>86</v>
      </c>
      <c r="G16" s="10" t="s">
        <v>87</v>
      </c>
      <c r="H16" s="10" t="s">
        <v>19</v>
      </c>
      <c r="I16" s="10" t="s">
        <v>88</v>
      </c>
      <c r="J16" s="10">
        <v>61.326323299602898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160.56534785911501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0.30052944517538799</v>
      </c>
      <c r="Y16" s="10">
        <v>2618.21252636798</v>
      </c>
      <c r="Z16" s="10">
        <v>38.870161300781703</v>
      </c>
    </row>
    <row r="17" spans="1:26" x14ac:dyDescent="0.35">
      <c r="A17" s="10" t="s">
        <v>63</v>
      </c>
      <c r="B17" s="10" t="s">
        <v>20</v>
      </c>
      <c r="C17" s="10">
        <v>2025</v>
      </c>
      <c r="D17" s="10" t="s">
        <v>84</v>
      </c>
      <c r="E17" s="10" t="s">
        <v>85</v>
      </c>
      <c r="F17" s="10" t="s">
        <v>86</v>
      </c>
      <c r="G17" s="10" t="s">
        <v>87</v>
      </c>
      <c r="H17" s="10" t="s">
        <v>19</v>
      </c>
      <c r="I17" s="10" t="s">
        <v>88</v>
      </c>
      <c r="J17" s="10">
        <v>6.8900124227103898</v>
      </c>
      <c r="K17" s="10">
        <v>389.05833147318702</v>
      </c>
      <c r="L17" s="10">
        <v>36.446509472404102</v>
      </c>
      <c r="M17" s="10">
        <v>7.7788240252400298</v>
      </c>
      <c r="N17" s="10">
        <v>0</v>
      </c>
      <c r="O17" s="10">
        <v>0</v>
      </c>
      <c r="P17" s="10">
        <v>44.225333497644101</v>
      </c>
      <c r="Q17" s="10">
        <v>18.039516831971699</v>
      </c>
      <c r="R17" s="10">
        <v>0</v>
      </c>
      <c r="S17" s="10">
        <v>929.03511684651801</v>
      </c>
      <c r="T17" s="10">
        <v>0</v>
      </c>
      <c r="U17" s="10">
        <v>0</v>
      </c>
      <c r="V17" s="10">
        <v>0</v>
      </c>
      <c r="W17" s="10">
        <v>2.45158082168048</v>
      </c>
      <c r="X17" s="10">
        <v>0.30052944517538799</v>
      </c>
      <c r="Y17" s="10">
        <v>2618.21252636798</v>
      </c>
      <c r="Z17" s="10">
        <v>38.870161300781703</v>
      </c>
    </row>
    <row r="18" spans="1:26" x14ac:dyDescent="0.35">
      <c r="A18" s="10" t="s">
        <v>63</v>
      </c>
      <c r="B18" s="10" t="s">
        <v>24</v>
      </c>
      <c r="C18" s="10">
        <v>2025</v>
      </c>
      <c r="D18" s="10" t="s">
        <v>84</v>
      </c>
      <c r="E18" s="10" t="s">
        <v>85</v>
      </c>
      <c r="F18" s="10" t="s">
        <v>86</v>
      </c>
      <c r="G18" s="10" t="s">
        <v>87</v>
      </c>
      <c r="H18" s="10" t="s">
        <v>19</v>
      </c>
      <c r="I18" s="10" t="s">
        <v>88</v>
      </c>
      <c r="J18" s="10">
        <v>2.7574236567190602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18.018018018017798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0.75004212041415197</v>
      </c>
      <c r="Y18" s="10">
        <v>6534.3669530480902</v>
      </c>
      <c r="Z18" s="10">
        <v>38.870161300781703</v>
      </c>
    </row>
    <row r="19" spans="1:26" x14ac:dyDescent="0.35">
      <c r="A19" s="10" t="s">
        <v>63</v>
      </c>
      <c r="B19" s="10" t="s">
        <v>89</v>
      </c>
      <c r="C19" s="10">
        <v>2025</v>
      </c>
      <c r="D19" s="10" t="s">
        <v>84</v>
      </c>
      <c r="E19" s="10" t="s">
        <v>85</v>
      </c>
      <c r="F19" s="10" t="s">
        <v>86</v>
      </c>
      <c r="G19" s="10" t="s">
        <v>87</v>
      </c>
      <c r="H19" s="10" t="s">
        <v>19</v>
      </c>
      <c r="I19" s="10" t="s">
        <v>88</v>
      </c>
      <c r="J19" s="10">
        <v>369.96184447964902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231.02309764252601</v>
      </c>
      <c r="R19" s="10">
        <v>0</v>
      </c>
      <c r="S19" s="10">
        <v>217.161711783974</v>
      </c>
      <c r="T19" s="10">
        <v>0</v>
      </c>
      <c r="U19" s="10">
        <v>0</v>
      </c>
      <c r="V19" s="10">
        <v>0</v>
      </c>
      <c r="W19" s="10">
        <v>0</v>
      </c>
      <c r="X19" s="10">
        <v>7.1677128750938304E-2</v>
      </c>
      <c r="Y19" s="10">
        <v>624.45114567817404</v>
      </c>
      <c r="Z19" s="10">
        <v>38.870161300781703</v>
      </c>
    </row>
    <row r="20" spans="1:26" x14ac:dyDescent="0.35">
      <c r="A20" s="10" t="s">
        <v>63</v>
      </c>
      <c r="B20" s="10" t="s">
        <v>90</v>
      </c>
      <c r="C20" s="10">
        <v>2025</v>
      </c>
      <c r="D20" s="10" t="s">
        <v>84</v>
      </c>
      <c r="E20" s="10" t="s">
        <v>85</v>
      </c>
      <c r="F20" s="10" t="s">
        <v>86</v>
      </c>
      <c r="G20" s="10" t="s">
        <v>87</v>
      </c>
      <c r="H20" s="10" t="s">
        <v>19</v>
      </c>
      <c r="I20" s="10" t="s">
        <v>88</v>
      </c>
      <c r="J20" s="10">
        <v>365.82925571365797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231.001598828586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7.2480083594443204E-2</v>
      </c>
      <c r="Y20" s="10">
        <v>631.44648827478898</v>
      </c>
      <c r="Z20" s="10">
        <v>38.870161300781703</v>
      </c>
    </row>
    <row r="21" spans="1:26" x14ac:dyDescent="0.35">
      <c r="A21" s="10" t="s">
        <v>63</v>
      </c>
      <c r="B21" s="10" t="s">
        <v>91</v>
      </c>
      <c r="C21" s="10">
        <v>2025</v>
      </c>
      <c r="D21" s="10" t="s">
        <v>84</v>
      </c>
      <c r="E21" s="10" t="s">
        <v>85</v>
      </c>
      <c r="F21" s="10" t="s">
        <v>86</v>
      </c>
      <c r="G21" s="10" t="s">
        <v>87</v>
      </c>
      <c r="H21" s="10" t="s">
        <v>19</v>
      </c>
      <c r="I21" s="10" t="s">
        <v>88</v>
      </c>
      <c r="J21" s="10">
        <v>238.87571059635701</v>
      </c>
      <c r="K21" s="10">
        <v>110.063279460416</v>
      </c>
      <c r="L21" s="10">
        <v>8.9968870417350892</v>
      </c>
      <c r="M21" s="10">
        <v>0.23688731085473799</v>
      </c>
      <c r="N21" s="10">
        <v>0</v>
      </c>
      <c r="O21" s="10">
        <v>0</v>
      </c>
      <c r="P21" s="10">
        <v>9.2337743525898297</v>
      </c>
      <c r="Q21" s="10">
        <v>1030.2472067542201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8.9626783669529593E-3</v>
      </c>
      <c r="X21" s="10">
        <v>0.49505287498587902</v>
      </c>
      <c r="Y21" s="10">
        <v>4312.9006468769703</v>
      </c>
      <c r="Z21" s="10">
        <v>38.870161300781703</v>
      </c>
    </row>
    <row r="22" spans="1:26" x14ac:dyDescent="0.35">
      <c r="A22" s="10" t="s">
        <v>63</v>
      </c>
      <c r="B22" s="10" t="s">
        <v>92</v>
      </c>
      <c r="C22" s="10">
        <v>2025</v>
      </c>
      <c r="D22" s="10" t="s">
        <v>84</v>
      </c>
      <c r="E22" s="10" t="s">
        <v>85</v>
      </c>
      <c r="F22" s="10" t="s">
        <v>86</v>
      </c>
      <c r="G22" s="10" t="s">
        <v>87</v>
      </c>
      <c r="H22" s="10" t="s">
        <v>19</v>
      </c>
      <c r="I22" s="10" t="s">
        <v>88</v>
      </c>
      <c r="J22" s="10">
        <v>781.91520979302004</v>
      </c>
      <c r="K22" s="10">
        <v>430.05336538616098</v>
      </c>
      <c r="L22" s="10">
        <v>38.915058446096502</v>
      </c>
      <c r="M22" s="10">
        <v>7.1154284091164799</v>
      </c>
      <c r="N22" s="10">
        <v>0</v>
      </c>
      <c r="O22" s="10">
        <v>0</v>
      </c>
      <c r="P22" s="10">
        <v>46.030486855212899</v>
      </c>
      <c r="Q22" s="10">
        <v>1184.21136714673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3.8870161300781698E-2</v>
      </c>
      <c r="X22" s="10">
        <v>0.17384079430670299</v>
      </c>
      <c r="Y22" s="10">
        <v>1514.501</v>
      </c>
      <c r="Z22" s="10">
        <v>38.870161300781703</v>
      </c>
    </row>
    <row r="23" spans="1:26" x14ac:dyDescent="0.35">
      <c r="A23" s="10" t="s">
        <v>63</v>
      </c>
      <c r="B23" s="10" t="s">
        <v>7</v>
      </c>
      <c r="C23" s="10">
        <v>2025</v>
      </c>
      <c r="D23" s="10" t="s">
        <v>84</v>
      </c>
      <c r="E23" s="10" t="s">
        <v>85</v>
      </c>
      <c r="F23" s="10" t="s">
        <v>86</v>
      </c>
      <c r="G23" s="10" t="s">
        <v>87</v>
      </c>
      <c r="H23" s="10" t="s">
        <v>19</v>
      </c>
      <c r="I23" s="10" t="s">
        <v>88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 t="s">
        <v>14</v>
      </c>
      <c r="Y23" s="10" t="s">
        <v>14</v>
      </c>
      <c r="Z23" s="10">
        <v>38.870161300781703</v>
      </c>
    </row>
    <row r="24" spans="1:26" x14ac:dyDescent="0.35">
      <c r="A24" s="10" t="s">
        <v>63</v>
      </c>
      <c r="B24" s="10" t="s">
        <v>8</v>
      </c>
      <c r="C24" s="10">
        <v>2025</v>
      </c>
      <c r="D24" s="10" t="s">
        <v>84</v>
      </c>
      <c r="E24" s="10" t="s">
        <v>85</v>
      </c>
      <c r="F24" s="10" t="s">
        <v>86</v>
      </c>
      <c r="G24" s="10" t="s">
        <v>87</v>
      </c>
      <c r="H24" s="10" t="s">
        <v>19</v>
      </c>
      <c r="I24" s="10" t="s">
        <v>88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 t="s">
        <v>14</v>
      </c>
      <c r="Y24" s="10" t="s">
        <v>14</v>
      </c>
      <c r="Z24" s="10">
        <v>38.870161300781703</v>
      </c>
    </row>
    <row r="25" spans="1:26" x14ac:dyDescent="0.35">
      <c r="A25" s="10" t="s">
        <v>63</v>
      </c>
      <c r="B25" s="10" t="s">
        <v>9</v>
      </c>
      <c r="C25" s="10">
        <v>2025</v>
      </c>
      <c r="D25" s="10" t="s">
        <v>84</v>
      </c>
      <c r="E25" s="10" t="s">
        <v>85</v>
      </c>
      <c r="F25" s="10" t="s">
        <v>86</v>
      </c>
      <c r="G25" s="10" t="s">
        <v>87</v>
      </c>
      <c r="H25" s="10" t="s">
        <v>19</v>
      </c>
      <c r="I25" s="10" t="s">
        <v>88</v>
      </c>
      <c r="J25" s="10">
        <v>72.692581150256302</v>
      </c>
      <c r="K25" s="10">
        <v>0</v>
      </c>
      <c r="L25" s="10">
        <v>0</v>
      </c>
      <c r="M25" s="10">
        <v>0</v>
      </c>
      <c r="N25" s="10">
        <v>4.2793118615386302E-2</v>
      </c>
      <c r="O25" s="10">
        <v>0</v>
      </c>
      <c r="P25" s="10">
        <v>4.2793118615386302E-2</v>
      </c>
      <c r="Q25" s="10">
        <v>20.5185697098104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2.0855799999999901E-3</v>
      </c>
      <c r="X25" s="10">
        <v>3.2399561122130001E-2</v>
      </c>
      <c r="Y25" s="10">
        <v>282.264976495996</v>
      </c>
      <c r="Z25" s="10">
        <v>38.870161300781703</v>
      </c>
    </row>
    <row r="26" spans="1:26" x14ac:dyDescent="0.35">
      <c r="A26" s="10" t="s">
        <v>63</v>
      </c>
      <c r="B26" s="10" t="s">
        <v>10</v>
      </c>
      <c r="C26" s="10">
        <v>2025</v>
      </c>
      <c r="D26" s="10" t="s">
        <v>84</v>
      </c>
      <c r="E26" s="10" t="s">
        <v>85</v>
      </c>
      <c r="F26" s="10" t="s">
        <v>86</v>
      </c>
      <c r="G26" s="10" t="s">
        <v>87</v>
      </c>
      <c r="H26" s="10" t="s">
        <v>19</v>
      </c>
      <c r="I26" s="10" t="s">
        <v>88</v>
      </c>
      <c r="J26" s="10">
        <v>61.061768166215302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20.504031193580701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  <c r="X26" s="10">
        <v>3.8543576524989298E-2</v>
      </c>
      <c r="Y26" s="10">
        <v>335.79163868570703</v>
      </c>
      <c r="Z26" s="10">
        <v>38.870161300781703</v>
      </c>
    </row>
    <row r="27" spans="1:26" x14ac:dyDescent="0.35">
      <c r="A27" s="10" t="s">
        <v>63</v>
      </c>
      <c r="B27" s="10" t="s">
        <v>4</v>
      </c>
      <c r="C27" s="10">
        <v>2025</v>
      </c>
      <c r="D27" s="10" t="s">
        <v>84</v>
      </c>
      <c r="E27" s="10" t="s">
        <v>85</v>
      </c>
      <c r="F27" s="10" t="s">
        <v>86</v>
      </c>
      <c r="G27" s="10" t="s">
        <v>87</v>
      </c>
      <c r="H27" s="10" t="s">
        <v>19</v>
      </c>
      <c r="I27" s="10" t="s">
        <v>88</v>
      </c>
      <c r="J27" s="10">
        <v>72.692581150256302</v>
      </c>
      <c r="K27" s="10">
        <v>26.302337328219799</v>
      </c>
      <c r="L27" s="10">
        <v>2.6789511540908002</v>
      </c>
      <c r="M27" s="10">
        <v>0.36899481117681598</v>
      </c>
      <c r="N27" s="10">
        <v>0</v>
      </c>
      <c r="O27" s="10">
        <v>0</v>
      </c>
      <c r="P27" s="10">
        <v>3.0479459652676102</v>
      </c>
      <c r="Q27" s="10">
        <v>365.68068388743097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8.3349930679025696E-3</v>
      </c>
      <c r="X27" s="10">
        <v>0.57742298007878601</v>
      </c>
      <c r="Y27" s="10">
        <v>5030.5090024463798</v>
      </c>
      <c r="Z27" s="10">
        <v>38.870161300781703</v>
      </c>
    </row>
    <row r="28" spans="1:26" x14ac:dyDescent="0.35">
      <c r="A28" s="10" t="s">
        <v>64</v>
      </c>
      <c r="B28" s="10" t="s">
        <v>25</v>
      </c>
      <c r="C28" s="10">
        <v>2025</v>
      </c>
      <c r="D28" s="10" t="s">
        <v>84</v>
      </c>
      <c r="E28" s="10" t="s">
        <v>85</v>
      </c>
      <c r="F28" s="10" t="s">
        <v>86</v>
      </c>
      <c r="G28" s="10" t="s">
        <v>87</v>
      </c>
      <c r="H28" s="10" t="s">
        <v>19</v>
      </c>
      <c r="I28" s="10" t="s">
        <v>88</v>
      </c>
      <c r="J28" s="10">
        <v>15.331451027363199</v>
      </c>
      <c r="K28" s="10">
        <v>64.269442706706897</v>
      </c>
      <c r="L28" s="10">
        <v>6.0206829231147196</v>
      </c>
      <c r="M28" s="10">
        <v>6.68451264793039</v>
      </c>
      <c r="N28" s="10">
        <v>0</v>
      </c>
      <c r="O28" s="10">
        <v>0</v>
      </c>
      <c r="P28" s="10">
        <v>12.705195571045101</v>
      </c>
      <c r="Q28" s="10">
        <v>100.000000000005</v>
      </c>
      <c r="R28" s="10">
        <v>0</v>
      </c>
      <c r="S28" s="10">
        <v>38</v>
      </c>
      <c r="T28" s="10">
        <v>1.1924806373546899</v>
      </c>
      <c r="U28" s="10">
        <v>64.111862223370395</v>
      </c>
      <c r="V28" s="10">
        <v>230.80270400413301</v>
      </c>
      <c r="W28" s="10">
        <v>0.127051955710444</v>
      </c>
      <c r="X28" s="10">
        <v>0.74868455365664099</v>
      </c>
      <c r="Y28" s="10">
        <v>6522.5398314566601</v>
      </c>
      <c r="Z28" s="10">
        <v>42.2632521715474</v>
      </c>
    </row>
    <row r="29" spans="1:26" x14ac:dyDescent="0.35">
      <c r="A29" s="10" t="s">
        <v>64</v>
      </c>
      <c r="B29" s="10" t="s">
        <v>23</v>
      </c>
      <c r="C29" s="10">
        <v>2025</v>
      </c>
      <c r="D29" s="10" t="s">
        <v>84</v>
      </c>
      <c r="E29" s="10" t="s">
        <v>85</v>
      </c>
      <c r="F29" s="10" t="s">
        <v>86</v>
      </c>
      <c r="G29" s="10" t="s">
        <v>87</v>
      </c>
      <c r="H29" s="10" t="s">
        <v>19</v>
      </c>
      <c r="I29" s="10" t="s">
        <v>88</v>
      </c>
      <c r="J29" s="10">
        <v>62.075948791844098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160.621933600175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0.29700490164138998</v>
      </c>
      <c r="Y29" s="10">
        <v>2587.5067030997898</v>
      </c>
      <c r="Z29" s="10">
        <v>42.2632521715474</v>
      </c>
    </row>
    <row r="30" spans="1:26" x14ac:dyDescent="0.35">
      <c r="A30" s="10" t="s">
        <v>64</v>
      </c>
      <c r="B30" s="10" t="s">
        <v>20</v>
      </c>
      <c r="C30" s="10">
        <v>2025</v>
      </c>
      <c r="D30" s="10" t="s">
        <v>84</v>
      </c>
      <c r="E30" s="10" t="s">
        <v>85</v>
      </c>
      <c r="F30" s="10" t="s">
        <v>86</v>
      </c>
      <c r="G30" s="10" t="s">
        <v>87</v>
      </c>
      <c r="H30" s="10" t="s">
        <v>19</v>
      </c>
      <c r="I30" s="10" t="s">
        <v>88</v>
      </c>
      <c r="J30" s="10">
        <v>6.9742328467636803</v>
      </c>
      <c r="K30" s="10">
        <v>393.81400615820502</v>
      </c>
      <c r="L30" s="10">
        <v>36.892015270464903</v>
      </c>
      <c r="M30" s="10">
        <v>7.8739088839961999</v>
      </c>
      <c r="N30" s="10">
        <v>0</v>
      </c>
      <c r="O30" s="10">
        <v>0</v>
      </c>
      <c r="P30" s="10">
        <v>44.765924154461104</v>
      </c>
      <c r="Q30" s="10">
        <v>18.045874239979199</v>
      </c>
      <c r="R30" s="10">
        <v>0</v>
      </c>
      <c r="S30" s="10">
        <v>929.36252335899098</v>
      </c>
      <c r="T30" s="10">
        <v>0</v>
      </c>
      <c r="U30" s="10">
        <v>0</v>
      </c>
      <c r="V30" s="10">
        <v>0</v>
      </c>
      <c r="W30" s="10">
        <v>2.4806736187535599</v>
      </c>
      <c r="X30" s="10">
        <v>0.29700490164138998</v>
      </c>
      <c r="Y30" s="10">
        <v>2587.5067030997898</v>
      </c>
      <c r="Z30" s="10">
        <v>42.2632521715474</v>
      </c>
    </row>
    <row r="31" spans="1:26" x14ac:dyDescent="0.35">
      <c r="A31" s="10" t="s">
        <v>64</v>
      </c>
      <c r="B31" s="10" t="s">
        <v>24</v>
      </c>
      <c r="C31" s="10">
        <v>2025</v>
      </c>
      <c r="D31" s="10" t="s">
        <v>84</v>
      </c>
      <c r="E31" s="10" t="s">
        <v>85</v>
      </c>
      <c r="F31" s="10" t="s">
        <v>86</v>
      </c>
      <c r="G31" s="10" t="s">
        <v>87</v>
      </c>
      <c r="H31" s="10" t="s">
        <v>19</v>
      </c>
      <c r="I31" s="10" t="s">
        <v>88</v>
      </c>
      <c r="J31" s="10">
        <v>2.7624236085339202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18.0180180180189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0.74868455365664099</v>
      </c>
      <c r="Y31" s="10">
        <v>6522.5398314566601</v>
      </c>
      <c r="Z31" s="10">
        <v>42.2632521715474</v>
      </c>
    </row>
    <row r="32" spans="1:26" x14ac:dyDescent="0.35">
      <c r="A32" s="10" t="s">
        <v>64</v>
      </c>
      <c r="B32" s="10" t="s">
        <v>89</v>
      </c>
      <c r="C32" s="10">
        <v>2025</v>
      </c>
      <c r="D32" s="10" t="s">
        <v>84</v>
      </c>
      <c r="E32" s="10" t="s">
        <v>85</v>
      </c>
      <c r="F32" s="10" t="s">
        <v>86</v>
      </c>
      <c r="G32" s="10" t="s">
        <v>87</v>
      </c>
      <c r="H32" s="10" t="s">
        <v>19</v>
      </c>
      <c r="I32" s="10" t="s">
        <v>88</v>
      </c>
      <c r="J32" s="10">
        <v>353.30759368272999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210.56695778859901</v>
      </c>
      <c r="R32" s="10">
        <v>0</v>
      </c>
      <c r="S32" s="10">
        <v>197.93294032128301</v>
      </c>
      <c r="T32" s="10">
        <v>0</v>
      </c>
      <c r="U32" s="10">
        <v>0</v>
      </c>
      <c r="V32" s="10">
        <v>0</v>
      </c>
      <c r="W32" s="10">
        <v>0</v>
      </c>
      <c r="X32" s="10">
        <v>6.8409967482110604E-2</v>
      </c>
      <c r="Y32" s="10">
        <v>595.98763670414701</v>
      </c>
      <c r="Z32" s="10">
        <v>42.2632521715474</v>
      </c>
    </row>
    <row r="33" spans="1:26" x14ac:dyDescent="0.35">
      <c r="A33" s="10" t="s">
        <v>64</v>
      </c>
      <c r="B33" s="10" t="s">
        <v>90</v>
      </c>
      <c r="C33" s="10">
        <v>2025</v>
      </c>
      <c r="D33" s="10" t="s">
        <v>84</v>
      </c>
      <c r="E33" s="10" t="s">
        <v>85</v>
      </c>
      <c r="F33" s="10" t="s">
        <v>86</v>
      </c>
      <c r="G33" s="10" t="s">
        <v>87</v>
      </c>
      <c r="H33" s="10" t="s">
        <v>19</v>
      </c>
      <c r="I33" s="10" t="s">
        <v>88</v>
      </c>
      <c r="J33" s="10">
        <v>349.09578444450102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210.539101566639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6.9226168339908301E-2</v>
      </c>
      <c r="Y33" s="10">
        <v>603.09837857728098</v>
      </c>
      <c r="Z33" s="10">
        <v>42.2632521715474</v>
      </c>
    </row>
    <row r="34" spans="1:26" x14ac:dyDescent="0.35">
      <c r="A34" s="10" t="s">
        <v>64</v>
      </c>
      <c r="B34" s="10" t="s">
        <v>91</v>
      </c>
      <c r="C34" s="10">
        <v>2025</v>
      </c>
      <c r="D34" s="10" t="s">
        <v>84</v>
      </c>
      <c r="E34" s="10" t="s">
        <v>85</v>
      </c>
      <c r="F34" s="10" t="s">
        <v>86</v>
      </c>
      <c r="G34" s="10" t="s">
        <v>87</v>
      </c>
      <c r="H34" s="10" t="s">
        <v>19</v>
      </c>
      <c r="I34" s="10" t="s">
        <v>88</v>
      </c>
      <c r="J34" s="10">
        <v>243.97544074271701</v>
      </c>
      <c r="K34" s="10">
        <v>112.413007789304</v>
      </c>
      <c r="L34" s="10">
        <v>9.1889605512416903</v>
      </c>
      <c r="M34" s="10">
        <v>0.24194459088308401</v>
      </c>
      <c r="N34" s="10">
        <v>0</v>
      </c>
      <c r="O34" s="10">
        <v>0</v>
      </c>
      <c r="P34" s="10">
        <v>9.4309051421247805</v>
      </c>
      <c r="Q34" s="10">
        <v>1060.3056516788099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8.8945155834947408E-3</v>
      </c>
      <c r="X34" s="10">
        <v>0.49884669395232301</v>
      </c>
      <c r="Y34" s="10">
        <v>4345.95239771264</v>
      </c>
      <c r="Z34" s="10">
        <v>42.2632521715474</v>
      </c>
    </row>
    <row r="35" spans="1:26" x14ac:dyDescent="0.35">
      <c r="A35" s="10" t="s">
        <v>64</v>
      </c>
      <c r="B35" s="10" t="s">
        <v>92</v>
      </c>
      <c r="C35" s="10">
        <v>2025</v>
      </c>
      <c r="D35" s="10" t="s">
        <v>84</v>
      </c>
      <c r="E35" s="10" t="s">
        <v>85</v>
      </c>
      <c r="F35" s="10" t="s">
        <v>86</v>
      </c>
      <c r="G35" s="10" t="s">
        <v>87</v>
      </c>
      <c r="H35" s="10" t="s">
        <v>19</v>
      </c>
      <c r="I35" s="10" t="s">
        <v>88</v>
      </c>
      <c r="J35" s="10">
        <v>769.43496805794098</v>
      </c>
      <c r="K35" s="10">
        <v>423.18923243186703</v>
      </c>
      <c r="L35" s="10">
        <v>42.247933385682998</v>
      </c>
      <c r="M35" s="10">
        <v>7.0018582093272599</v>
      </c>
      <c r="N35" s="10">
        <v>0</v>
      </c>
      <c r="O35" s="10">
        <v>0</v>
      </c>
      <c r="P35" s="10">
        <v>49.249791595010201</v>
      </c>
      <c r="Q35" s="10">
        <v>1165.31002855871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4.2263252171547402E-2</v>
      </c>
      <c r="X35" s="10">
        <v>0.17384079430670299</v>
      </c>
      <c r="Y35" s="10">
        <v>1514.501</v>
      </c>
      <c r="Z35" s="10">
        <v>42.2632521715474</v>
      </c>
    </row>
    <row r="36" spans="1:26" x14ac:dyDescent="0.35">
      <c r="A36" s="10" t="s">
        <v>64</v>
      </c>
      <c r="B36" s="10" t="s">
        <v>7</v>
      </c>
      <c r="C36" s="10">
        <v>2025</v>
      </c>
      <c r="D36" s="10" t="s">
        <v>84</v>
      </c>
      <c r="E36" s="10" t="s">
        <v>85</v>
      </c>
      <c r="F36" s="10" t="s">
        <v>86</v>
      </c>
      <c r="G36" s="10" t="s">
        <v>87</v>
      </c>
      <c r="H36" s="10" t="s">
        <v>19</v>
      </c>
      <c r="I36" s="10" t="s">
        <v>88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 t="s">
        <v>14</v>
      </c>
      <c r="Y36" s="10" t="s">
        <v>14</v>
      </c>
      <c r="Z36" s="10">
        <v>42.2632521715474</v>
      </c>
    </row>
    <row r="37" spans="1:26" x14ac:dyDescent="0.35">
      <c r="A37" s="10" t="s">
        <v>64</v>
      </c>
      <c r="B37" s="10" t="s">
        <v>8</v>
      </c>
      <c r="C37" s="10">
        <v>2025</v>
      </c>
      <c r="D37" s="10" t="s">
        <v>84</v>
      </c>
      <c r="E37" s="10" t="s">
        <v>85</v>
      </c>
      <c r="F37" s="10" t="s">
        <v>86</v>
      </c>
      <c r="G37" s="10" t="s">
        <v>87</v>
      </c>
      <c r="H37" s="10" t="s">
        <v>19</v>
      </c>
      <c r="I37" s="10" t="s">
        <v>88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 t="s">
        <v>14</v>
      </c>
      <c r="Y37" s="10" t="s">
        <v>14</v>
      </c>
      <c r="Z37" s="10">
        <v>42.2632521715474</v>
      </c>
    </row>
    <row r="38" spans="1:26" x14ac:dyDescent="0.35">
      <c r="A38" s="10" t="s">
        <v>64</v>
      </c>
      <c r="B38" s="10" t="s">
        <v>9</v>
      </c>
      <c r="C38" s="10">
        <v>2025</v>
      </c>
      <c r="D38" s="10" t="s">
        <v>84</v>
      </c>
      <c r="E38" s="10" t="s">
        <v>85</v>
      </c>
      <c r="F38" s="10" t="s">
        <v>86</v>
      </c>
      <c r="G38" s="10" t="s">
        <v>87</v>
      </c>
      <c r="H38" s="10" t="s">
        <v>19</v>
      </c>
      <c r="I38" s="10" t="s">
        <v>88</v>
      </c>
      <c r="J38" s="10">
        <v>72.824392379975606</v>
      </c>
      <c r="K38" s="10">
        <v>0</v>
      </c>
      <c r="L38" s="10">
        <v>0</v>
      </c>
      <c r="M38" s="10">
        <v>0</v>
      </c>
      <c r="N38" s="10">
        <v>4.2774560553168701E-2</v>
      </c>
      <c r="O38" s="10">
        <v>0</v>
      </c>
      <c r="P38" s="10">
        <v>4.2774560553168701E-2</v>
      </c>
      <c r="Q38" s="10">
        <v>20.509671435844499</v>
      </c>
      <c r="R38" s="10">
        <v>0</v>
      </c>
      <c r="S38" s="10">
        <v>0</v>
      </c>
      <c r="T38" s="10">
        <v>0</v>
      </c>
      <c r="U38" s="10">
        <v>0</v>
      </c>
      <c r="V38" s="10">
        <v>0</v>
      </c>
      <c r="W38" s="10">
        <v>2.0855800000000001E-3</v>
      </c>
      <c r="X38" s="10">
        <v>3.2326893062292597E-2</v>
      </c>
      <c r="Y38" s="10">
        <v>281.63189235869299</v>
      </c>
      <c r="Z38" s="10">
        <v>42.2632521715474</v>
      </c>
    </row>
    <row r="39" spans="1:26" x14ac:dyDescent="0.35">
      <c r="A39" s="10" t="s">
        <v>64</v>
      </c>
      <c r="B39" s="10" t="s">
        <v>10</v>
      </c>
      <c r="C39" s="10">
        <v>2025</v>
      </c>
      <c r="D39" s="10" t="s">
        <v>84</v>
      </c>
      <c r="E39" s="10" t="s">
        <v>85</v>
      </c>
      <c r="F39" s="10" t="s">
        <v>86</v>
      </c>
      <c r="G39" s="10" t="s">
        <v>87</v>
      </c>
      <c r="H39" s="10" t="s">
        <v>19</v>
      </c>
      <c r="I39" s="10" t="s">
        <v>88</v>
      </c>
      <c r="J39" s="10">
        <v>56.885408144897298</v>
      </c>
      <c r="K39" s="10">
        <v>0</v>
      </c>
      <c r="L39" s="10">
        <v>0</v>
      </c>
      <c r="M39" s="10">
        <v>0</v>
      </c>
      <c r="N39" s="10">
        <v>0</v>
      </c>
      <c r="O39" s="10">
        <v>0</v>
      </c>
      <c r="P39" s="10">
        <v>0</v>
      </c>
      <c r="Q39" s="10">
        <v>20.495106557368501</v>
      </c>
      <c r="R39" s="10">
        <v>0</v>
      </c>
      <c r="S39" s="10">
        <v>0</v>
      </c>
      <c r="T39" s="10">
        <v>0</v>
      </c>
      <c r="U39" s="10">
        <v>0</v>
      </c>
      <c r="V39" s="10">
        <v>0</v>
      </c>
      <c r="W39" s="10">
        <v>0</v>
      </c>
      <c r="X39" s="10">
        <v>4.1355324739780298E-2</v>
      </c>
      <c r="Y39" s="10">
        <v>360.28758913296599</v>
      </c>
      <c r="Z39" s="10">
        <v>42.2632521715474</v>
      </c>
    </row>
    <row r="40" spans="1:26" x14ac:dyDescent="0.35">
      <c r="A40" s="10" t="s">
        <v>64</v>
      </c>
      <c r="B40" s="10" t="s">
        <v>4</v>
      </c>
      <c r="C40" s="10">
        <v>2025</v>
      </c>
      <c r="D40" s="10" t="s">
        <v>84</v>
      </c>
      <c r="E40" s="10" t="s">
        <v>85</v>
      </c>
      <c r="F40" s="10" t="s">
        <v>86</v>
      </c>
      <c r="G40" s="10" t="s">
        <v>87</v>
      </c>
      <c r="H40" s="10" t="s">
        <v>19</v>
      </c>
      <c r="I40" s="10" t="s">
        <v>88</v>
      </c>
      <c r="J40" s="10">
        <v>72.824392379975606</v>
      </c>
      <c r="K40" s="10">
        <v>26.350030550456101</v>
      </c>
      <c r="L40" s="10">
        <v>2.6838088141214498</v>
      </c>
      <c r="M40" s="10">
        <v>0.36966389815999401</v>
      </c>
      <c r="N40" s="10">
        <v>0</v>
      </c>
      <c r="O40" s="10">
        <v>0</v>
      </c>
      <c r="P40" s="10">
        <v>3.0534727122814398</v>
      </c>
      <c r="Q40" s="10">
        <v>362.04415601735099</v>
      </c>
      <c r="R40" s="10">
        <v>0</v>
      </c>
      <c r="S40" s="10">
        <v>0</v>
      </c>
      <c r="T40" s="10">
        <v>0</v>
      </c>
      <c r="U40" s="10">
        <v>0</v>
      </c>
      <c r="V40" s="10">
        <v>0</v>
      </c>
      <c r="W40" s="10">
        <v>8.4339787330667704E-3</v>
      </c>
      <c r="X40" s="10">
        <v>0.57064603653012702</v>
      </c>
      <c r="Y40" s="10">
        <v>4971.4682702504697</v>
      </c>
      <c r="Z40" s="10">
        <v>42.2632521715474</v>
      </c>
    </row>
    <row r="41" spans="1:26" x14ac:dyDescent="0.35">
      <c r="A41" s="10" t="s">
        <v>65</v>
      </c>
      <c r="B41" s="10" t="s">
        <v>25</v>
      </c>
      <c r="C41" s="10">
        <v>2025</v>
      </c>
      <c r="D41" s="10" t="s">
        <v>84</v>
      </c>
      <c r="E41" s="10" t="s">
        <v>85</v>
      </c>
      <c r="F41" s="10" t="s">
        <v>86</v>
      </c>
      <c r="G41" s="10" t="s">
        <v>87</v>
      </c>
      <c r="H41" s="10" t="s">
        <v>19</v>
      </c>
      <c r="I41" s="10" t="s">
        <v>88</v>
      </c>
      <c r="J41" s="10">
        <v>15.3908493927213</v>
      </c>
      <c r="K41" s="10">
        <v>64.518440654288</v>
      </c>
      <c r="L41" s="10">
        <v>6.0440087468305599</v>
      </c>
      <c r="M41" s="10">
        <v>6.7104103352265199</v>
      </c>
      <c r="N41" s="10">
        <v>0</v>
      </c>
      <c r="O41" s="10">
        <v>0</v>
      </c>
      <c r="P41" s="10">
        <v>12.754419082057</v>
      </c>
      <c r="Q41" s="10">
        <v>100.00000000001</v>
      </c>
      <c r="R41" s="10">
        <v>0</v>
      </c>
      <c r="S41" s="10">
        <v>38.0000000000041</v>
      </c>
      <c r="T41" s="10">
        <v>1.2816498562326499</v>
      </c>
      <c r="U41" s="10">
        <v>68.9059062490673</v>
      </c>
      <c r="V41" s="10">
        <v>248.061262496642</v>
      </c>
      <c r="W41" s="10">
        <v>0.12754419082055801</v>
      </c>
      <c r="X41" s="10">
        <v>0.74579513296768896</v>
      </c>
      <c r="Y41" s="10">
        <v>6497.3671984145103</v>
      </c>
      <c r="Z41" s="10">
        <v>50.058249585383201</v>
      </c>
    </row>
    <row r="42" spans="1:26" x14ac:dyDescent="0.35">
      <c r="A42" s="10" t="s">
        <v>65</v>
      </c>
      <c r="B42" s="10" t="s">
        <v>23</v>
      </c>
      <c r="C42" s="10">
        <v>2025</v>
      </c>
      <c r="D42" s="10" t="s">
        <v>84</v>
      </c>
      <c r="E42" s="10" t="s">
        <v>85</v>
      </c>
      <c r="F42" s="10" t="s">
        <v>86</v>
      </c>
      <c r="G42" s="10" t="s">
        <v>87</v>
      </c>
      <c r="H42" s="10" t="s">
        <v>19</v>
      </c>
      <c r="I42" s="10" t="s">
        <v>88</v>
      </c>
      <c r="J42" s="10">
        <v>63.712634581708897</v>
      </c>
      <c r="K42" s="10">
        <v>0</v>
      </c>
      <c r="L42" s="10">
        <v>0</v>
      </c>
      <c r="M42" s="10">
        <v>0</v>
      </c>
      <c r="N42" s="10">
        <v>0</v>
      </c>
      <c r="O42" s="10">
        <v>0</v>
      </c>
      <c r="P42" s="10">
        <v>0</v>
      </c>
      <c r="Q42" s="10">
        <v>160.57735444662799</v>
      </c>
      <c r="R42" s="10">
        <v>0</v>
      </c>
      <c r="S42" s="10">
        <v>0</v>
      </c>
      <c r="T42" s="10">
        <v>0</v>
      </c>
      <c r="U42" s="10">
        <v>0</v>
      </c>
      <c r="V42" s="10">
        <v>0</v>
      </c>
      <c r="W42" s="10">
        <v>0</v>
      </c>
      <c r="X42" s="10">
        <v>0.289294960151879</v>
      </c>
      <c r="Y42" s="10">
        <v>2520.3376928431699</v>
      </c>
      <c r="Z42" s="10">
        <v>50.058249585383201</v>
      </c>
    </row>
    <row r="43" spans="1:26" x14ac:dyDescent="0.35">
      <c r="A43" s="10" t="s">
        <v>65</v>
      </c>
      <c r="B43" s="10" t="s">
        <v>20</v>
      </c>
      <c r="C43" s="10">
        <v>2025</v>
      </c>
      <c r="D43" s="10" t="s">
        <v>84</v>
      </c>
      <c r="E43" s="10" t="s">
        <v>85</v>
      </c>
      <c r="F43" s="10" t="s">
        <v>86</v>
      </c>
      <c r="G43" s="10" t="s">
        <v>87</v>
      </c>
      <c r="H43" s="10" t="s">
        <v>19</v>
      </c>
      <c r="I43" s="10" t="s">
        <v>88</v>
      </c>
      <c r="J43" s="10">
        <v>7.1581144952549902</v>
      </c>
      <c r="K43" s="10">
        <v>404.19725120356298</v>
      </c>
      <c r="L43" s="10">
        <v>37.864704988911498</v>
      </c>
      <c r="M43" s="10">
        <v>8.0815112651428898</v>
      </c>
      <c r="N43" s="10">
        <v>0</v>
      </c>
      <c r="O43" s="10">
        <v>0</v>
      </c>
      <c r="P43" s="10">
        <v>45.946216254054399</v>
      </c>
      <c r="Q43" s="10">
        <v>18.040865772078199</v>
      </c>
      <c r="R43" s="10">
        <v>0</v>
      </c>
      <c r="S43" s="10">
        <v>929.10458726201205</v>
      </c>
      <c r="T43" s="10">
        <v>0</v>
      </c>
      <c r="U43" s="10">
        <v>0</v>
      </c>
      <c r="V43" s="10">
        <v>0</v>
      </c>
      <c r="W43" s="10">
        <v>2.5467855497913501</v>
      </c>
      <c r="X43" s="10">
        <v>0.289294960151879</v>
      </c>
      <c r="Y43" s="10">
        <v>2520.3376928431699</v>
      </c>
      <c r="Z43" s="10">
        <v>50.058249585383201</v>
      </c>
    </row>
    <row r="44" spans="1:26" x14ac:dyDescent="0.35">
      <c r="A44" s="10" t="s">
        <v>65</v>
      </c>
      <c r="B44" s="10" t="s">
        <v>24</v>
      </c>
      <c r="C44" s="10">
        <v>2025</v>
      </c>
      <c r="D44" s="10" t="s">
        <v>84</v>
      </c>
      <c r="E44" s="10" t="s">
        <v>85</v>
      </c>
      <c r="F44" s="10" t="s">
        <v>86</v>
      </c>
      <c r="G44" s="10" t="s">
        <v>87</v>
      </c>
      <c r="H44" s="10" t="s">
        <v>19</v>
      </c>
      <c r="I44" s="10" t="s">
        <v>88</v>
      </c>
      <c r="J44" s="10">
        <v>2.7731260167065499</v>
      </c>
      <c r="K44" s="10">
        <v>0</v>
      </c>
      <c r="L44" s="10">
        <v>0</v>
      </c>
      <c r="M44" s="10">
        <v>0</v>
      </c>
      <c r="N44" s="10">
        <v>0</v>
      </c>
      <c r="O44" s="10">
        <v>0</v>
      </c>
      <c r="P44" s="10">
        <v>0</v>
      </c>
      <c r="Q44" s="10">
        <v>18.0180180180155</v>
      </c>
      <c r="R44" s="10">
        <v>0</v>
      </c>
      <c r="S44" s="10">
        <v>0</v>
      </c>
      <c r="T44" s="10">
        <v>0</v>
      </c>
      <c r="U44" s="10">
        <v>0</v>
      </c>
      <c r="V44" s="10">
        <v>0</v>
      </c>
      <c r="W44" s="10">
        <v>0</v>
      </c>
      <c r="X44" s="10">
        <v>0.74579513296762401</v>
      </c>
      <c r="Y44" s="10">
        <v>6497.3671984139401</v>
      </c>
      <c r="Z44" s="10">
        <v>50.058249585383201</v>
      </c>
    </row>
    <row r="45" spans="1:26" x14ac:dyDescent="0.35">
      <c r="A45" s="10" t="s">
        <v>65</v>
      </c>
      <c r="B45" s="10" t="s">
        <v>89</v>
      </c>
      <c r="C45" s="10">
        <v>2025</v>
      </c>
      <c r="D45" s="10" t="s">
        <v>84</v>
      </c>
      <c r="E45" s="10" t="s">
        <v>85</v>
      </c>
      <c r="F45" s="10" t="s">
        <v>86</v>
      </c>
      <c r="G45" s="10" t="s">
        <v>87</v>
      </c>
      <c r="H45" s="10" t="s">
        <v>19</v>
      </c>
      <c r="I45" s="10" t="s">
        <v>88</v>
      </c>
      <c r="J45" s="10">
        <v>320.44860063365701</v>
      </c>
      <c r="K45" s="10">
        <v>0</v>
      </c>
      <c r="L45" s="10">
        <v>0</v>
      </c>
      <c r="M45" s="10">
        <v>0</v>
      </c>
      <c r="N45" s="10">
        <v>0</v>
      </c>
      <c r="O45" s="10">
        <v>0</v>
      </c>
      <c r="P45" s="10">
        <v>0</v>
      </c>
      <c r="Q45" s="10">
        <v>172.79386661207599</v>
      </c>
      <c r="R45" s="10">
        <v>0</v>
      </c>
      <c r="S45" s="10">
        <v>162.426234615353</v>
      </c>
      <c r="T45" s="10">
        <v>0</v>
      </c>
      <c r="U45" s="10">
        <v>0</v>
      </c>
      <c r="V45" s="10">
        <v>0</v>
      </c>
      <c r="W45" s="10">
        <v>0</v>
      </c>
      <c r="X45" s="10">
        <v>6.1894502545871102E-2</v>
      </c>
      <c r="Y45" s="10">
        <v>539.22490617962899</v>
      </c>
      <c r="Z45" s="10">
        <v>50.058249585383201</v>
      </c>
    </row>
    <row r="46" spans="1:26" x14ac:dyDescent="0.35">
      <c r="A46" s="10" t="s">
        <v>65</v>
      </c>
      <c r="B46" s="10" t="s">
        <v>90</v>
      </c>
      <c r="C46" s="10">
        <v>2025</v>
      </c>
      <c r="D46" s="10" t="s">
        <v>84</v>
      </c>
      <c r="E46" s="10" t="s">
        <v>85</v>
      </c>
      <c r="F46" s="10" t="s">
        <v>86</v>
      </c>
      <c r="G46" s="10" t="s">
        <v>87</v>
      </c>
      <c r="H46" s="10" t="s">
        <v>19</v>
      </c>
      <c r="I46" s="10" t="s">
        <v>88</v>
      </c>
      <c r="J46" s="10">
        <v>316.06361215510799</v>
      </c>
      <c r="K46" s="10">
        <v>0</v>
      </c>
      <c r="L46" s="10">
        <v>0</v>
      </c>
      <c r="M46" s="10">
        <v>0</v>
      </c>
      <c r="N46" s="10">
        <v>0</v>
      </c>
      <c r="O46" s="10">
        <v>0</v>
      </c>
      <c r="P46" s="10">
        <v>0</v>
      </c>
      <c r="Q46" s="10">
        <v>172.771018858015</v>
      </c>
      <c r="R46" s="10">
        <v>0</v>
      </c>
      <c r="S46" s="10">
        <v>0</v>
      </c>
      <c r="T46" s="10">
        <v>0</v>
      </c>
      <c r="U46" s="10">
        <v>0</v>
      </c>
      <c r="V46" s="10">
        <v>0</v>
      </c>
      <c r="W46" s="10">
        <v>0</v>
      </c>
      <c r="X46" s="10">
        <v>6.2744914010244193E-2</v>
      </c>
      <c r="Y46" s="10">
        <v>546.63369085724696</v>
      </c>
      <c r="Z46" s="10">
        <v>50.058249585383201</v>
      </c>
    </row>
    <row r="47" spans="1:26" x14ac:dyDescent="0.35">
      <c r="A47" s="10" t="s">
        <v>65</v>
      </c>
      <c r="B47" s="10" t="s">
        <v>91</v>
      </c>
      <c r="C47" s="10">
        <v>2025</v>
      </c>
      <c r="D47" s="10" t="s">
        <v>84</v>
      </c>
      <c r="E47" s="10" t="s">
        <v>85</v>
      </c>
      <c r="F47" s="10" t="s">
        <v>86</v>
      </c>
      <c r="G47" s="10" t="s">
        <v>87</v>
      </c>
      <c r="H47" s="10" t="s">
        <v>19</v>
      </c>
      <c r="I47" s="10" t="s">
        <v>88</v>
      </c>
      <c r="J47" s="10">
        <v>253.86393401111701</v>
      </c>
      <c r="K47" s="10">
        <v>116.969184703756</v>
      </c>
      <c r="L47" s="10">
        <v>9.5613954745189407</v>
      </c>
      <c r="M47" s="10">
        <v>0.25175077240278898</v>
      </c>
      <c r="N47" s="10">
        <v>0</v>
      </c>
      <c r="O47" s="10">
        <v>0</v>
      </c>
      <c r="P47" s="10">
        <v>9.8131462469217308</v>
      </c>
      <c r="Q47" s="10">
        <v>1122.56179278382</v>
      </c>
      <c r="R47" s="10">
        <v>0</v>
      </c>
      <c r="S47" s="10">
        <v>0</v>
      </c>
      <c r="T47" s="10">
        <v>0</v>
      </c>
      <c r="U47" s="10">
        <v>0</v>
      </c>
      <c r="V47" s="10">
        <v>0</v>
      </c>
      <c r="W47" s="10">
        <v>8.7417426016132508E-3</v>
      </c>
      <c r="X47" s="10">
        <v>0.50756466935036204</v>
      </c>
      <c r="Y47" s="10">
        <v>4421.9033993803596</v>
      </c>
      <c r="Z47" s="10">
        <v>50.058249585383201</v>
      </c>
    </row>
    <row r="48" spans="1:26" x14ac:dyDescent="0.35">
      <c r="A48" s="10" t="s">
        <v>65</v>
      </c>
      <c r="B48" s="10" t="s">
        <v>92</v>
      </c>
      <c r="C48" s="10">
        <v>2025</v>
      </c>
      <c r="D48" s="10" t="s">
        <v>84</v>
      </c>
      <c r="E48" s="10" t="s">
        <v>85</v>
      </c>
      <c r="F48" s="10" t="s">
        <v>86</v>
      </c>
      <c r="G48" s="10" t="s">
        <v>87</v>
      </c>
      <c r="H48" s="10" t="s">
        <v>19</v>
      </c>
      <c r="I48" s="10" t="s">
        <v>88</v>
      </c>
      <c r="J48" s="10">
        <v>745.82020294757604</v>
      </c>
      <c r="K48" s="10">
        <v>410.201111621167</v>
      </c>
      <c r="L48" s="10">
        <v>49.756103866129301</v>
      </c>
      <c r="M48" s="10">
        <v>6.7869638468229398</v>
      </c>
      <c r="N48" s="10">
        <v>0</v>
      </c>
      <c r="O48" s="10">
        <v>0</v>
      </c>
      <c r="P48" s="10">
        <v>56.5430677129523</v>
      </c>
      <c r="Q48" s="10">
        <v>1129.5454431843</v>
      </c>
      <c r="R48" s="10">
        <v>0</v>
      </c>
      <c r="S48" s="10">
        <v>0</v>
      </c>
      <c r="T48" s="10">
        <v>0</v>
      </c>
      <c r="U48" s="10">
        <v>0</v>
      </c>
      <c r="V48" s="10">
        <v>0</v>
      </c>
      <c r="W48" s="10">
        <v>5.0058249585383199E-2</v>
      </c>
      <c r="X48" s="10">
        <v>0.17384079430670299</v>
      </c>
      <c r="Y48" s="10">
        <v>1514.501</v>
      </c>
      <c r="Z48" s="10">
        <v>50.058249585383201</v>
      </c>
    </row>
    <row r="49" spans="1:26" x14ac:dyDescent="0.35">
      <c r="A49" s="10" t="s">
        <v>65</v>
      </c>
      <c r="B49" s="10" t="s">
        <v>7</v>
      </c>
      <c r="C49" s="10">
        <v>2025</v>
      </c>
      <c r="D49" s="10" t="s">
        <v>84</v>
      </c>
      <c r="E49" s="10" t="s">
        <v>85</v>
      </c>
      <c r="F49" s="10" t="s">
        <v>86</v>
      </c>
      <c r="G49" s="10" t="s">
        <v>87</v>
      </c>
      <c r="H49" s="10" t="s">
        <v>19</v>
      </c>
      <c r="I49" s="10" t="s">
        <v>88</v>
      </c>
      <c r="J49" s="10">
        <v>0</v>
      </c>
      <c r="K49" s="10">
        <v>0</v>
      </c>
      <c r="L49" s="10">
        <v>0</v>
      </c>
      <c r="M49" s="10">
        <v>0</v>
      </c>
      <c r="N49" s="10">
        <v>0</v>
      </c>
      <c r="O49" s="10">
        <v>0</v>
      </c>
      <c r="P49" s="10">
        <v>0</v>
      </c>
      <c r="Q49" s="10">
        <v>0</v>
      </c>
      <c r="R49" s="10">
        <v>0</v>
      </c>
      <c r="S49" s="10">
        <v>0</v>
      </c>
      <c r="T49" s="10">
        <v>0</v>
      </c>
      <c r="U49" s="10">
        <v>0</v>
      </c>
      <c r="V49" s="10">
        <v>0</v>
      </c>
      <c r="W49" s="10">
        <v>0</v>
      </c>
      <c r="X49" s="10" t="s">
        <v>14</v>
      </c>
      <c r="Y49" s="10" t="s">
        <v>14</v>
      </c>
      <c r="Z49" s="10">
        <v>50.058249585383201</v>
      </c>
    </row>
    <row r="50" spans="1:26" x14ac:dyDescent="0.35">
      <c r="A50" s="10" t="s">
        <v>65</v>
      </c>
      <c r="B50" s="10" t="s">
        <v>8</v>
      </c>
      <c r="C50" s="10">
        <v>2025</v>
      </c>
      <c r="D50" s="10" t="s">
        <v>84</v>
      </c>
      <c r="E50" s="10" t="s">
        <v>85</v>
      </c>
      <c r="F50" s="10" t="s">
        <v>86</v>
      </c>
      <c r="G50" s="10" t="s">
        <v>87</v>
      </c>
      <c r="H50" s="10" t="s">
        <v>19</v>
      </c>
      <c r="I50" s="10" t="s">
        <v>88</v>
      </c>
      <c r="J50" s="10">
        <v>0</v>
      </c>
      <c r="K50" s="10">
        <v>0</v>
      </c>
      <c r="L50" s="10">
        <v>0</v>
      </c>
      <c r="M50" s="10">
        <v>0</v>
      </c>
      <c r="N50" s="10">
        <v>0</v>
      </c>
      <c r="O50" s="10">
        <v>0</v>
      </c>
      <c r="P50" s="10">
        <v>0</v>
      </c>
      <c r="Q50" s="10">
        <v>0</v>
      </c>
      <c r="R50" s="10">
        <v>0</v>
      </c>
      <c r="S50" s="10">
        <v>0</v>
      </c>
      <c r="T50" s="10">
        <v>0</v>
      </c>
      <c r="U50" s="10">
        <v>0</v>
      </c>
      <c r="V50" s="10">
        <v>0</v>
      </c>
      <c r="W50" s="10">
        <v>0</v>
      </c>
      <c r="X50" s="10" t="s">
        <v>14</v>
      </c>
      <c r="Y50" s="10" t="s">
        <v>14</v>
      </c>
      <c r="Z50" s="10">
        <v>50.058249585383201</v>
      </c>
    </row>
    <row r="51" spans="1:26" x14ac:dyDescent="0.35">
      <c r="A51" s="10" t="s">
        <v>65</v>
      </c>
      <c r="B51" s="10" t="s">
        <v>9</v>
      </c>
      <c r="C51" s="10">
        <v>2025</v>
      </c>
      <c r="D51" s="10" t="s">
        <v>84</v>
      </c>
      <c r="E51" s="10" t="s">
        <v>85</v>
      </c>
      <c r="F51" s="10" t="s">
        <v>86</v>
      </c>
      <c r="G51" s="10" t="s">
        <v>87</v>
      </c>
      <c r="H51" s="10" t="s">
        <v>19</v>
      </c>
      <c r="I51" s="10" t="s">
        <v>88</v>
      </c>
      <c r="J51" s="10">
        <v>73.106534615426497</v>
      </c>
      <c r="K51" s="10">
        <v>0</v>
      </c>
      <c r="L51" s="10">
        <v>0</v>
      </c>
      <c r="M51" s="10">
        <v>0</v>
      </c>
      <c r="N51" s="10">
        <v>4.2833600524236598E-2</v>
      </c>
      <c r="O51" s="10">
        <v>0</v>
      </c>
      <c r="P51" s="10">
        <v>4.2833600524236598E-2</v>
      </c>
      <c r="Q51" s="10">
        <v>20.537980093900298</v>
      </c>
      <c r="R51" s="10">
        <v>0</v>
      </c>
      <c r="S51" s="10">
        <v>0</v>
      </c>
      <c r="T51" s="10">
        <v>0</v>
      </c>
      <c r="U51" s="10">
        <v>0</v>
      </c>
      <c r="V51" s="10">
        <v>0</v>
      </c>
      <c r="W51" s="10">
        <v>2.0855799999999901E-3</v>
      </c>
      <c r="X51" s="10">
        <v>3.2246580200036498E-2</v>
      </c>
      <c r="Y51" s="10">
        <v>280.93220670271802</v>
      </c>
      <c r="Z51" s="10">
        <v>50.058249585383201</v>
      </c>
    </row>
    <row r="52" spans="1:26" x14ac:dyDescent="0.35">
      <c r="A52" s="10" t="s">
        <v>65</v>
      </c>
      <c r="B52" s="10" t="s">
        <v>10</v>
      </c>
      <c r="C52" s="10">
        <v>2025</v>
      </c>
      <c r="D52" s="10" t="s">
        <v>84</v>
      </c>
      <c r="E52" s="10" t="s">
        <v>85</v>
      </c>
      <c r="F52" s="10" t="s">
        <v>86</v>
      </c>
      <c r="G52" s="10" t="s">
        <v>87</v>
      </c>
      <c r="H52" s="10" t="s">
        <v>19</v>
      </c>
      <c r="I52" s="10" t="s">
        <v>88</v>
      </c>
      <c r="J52" s="10">
        <v>67.258011846192403</v>
      </c>
      <c r="K52" s="10">
        <v>0</v>
      </c>
      <c r="L52" s="10">
        <v>0</v>
      </c>
      <c r="M52" s="10">
        <v>0</v>
      </c>
      <c r="N52" s="10">
        <v>0</v>
      </c>
      <c r="O52" s="10">
        <v>0</v>
      </c>
      <c r="P52" s="10">
        <v>0</v>
      </c>
      <c r="Q52" s="10">
        <v>20.5233587869768</v>
      </c>
      <c r="R52" s="10">
        <v>0</v>
      </c>
      <c r="S52" s="10">
        <v>0</v>
      </c>
      <c r="T52" s="10">
        <v>0</v>
      </c>
      <c r="U52" s="10">
        <v>0</v>
      </c>
      <c r="V52" s="10">
        <v>0</v>
      </c>
      <c r="W52" s="10">
        <v>0</v>
      </c>
      <c r="X52" s="10">
        <v>3.5025677564017997E-2</v>
      </c>
      <c r="Y52" s="10">
        <v>305.14370293772498</v>
      </c>
      <c r="Z52" s="10">
        <v>50.058249585383201</v>
      </c>
    </row>
    <row r="53" spans="1:26" x14ac:dyDescent="0.35">
      <c r="A53" s="10" t="s">
        <v>65</v>
      </c>
      <c r="B53" s="10" t="s">
        <v>4</v>
      </c>
      <c r="C53" s="10">
        <v>2025</v>
      </c>
      <c r="D53" s="10" t="s">
        <v>84</v>
      </c>
      <c r="E53" s="10" t="s">
        <v>85</v>
      </c>
      <c r="F53" s="10" t="s">
        <v>86</v>
      </c>
      <c r="G53" s="10" t="s">
        <v>87</v>
      </c>
      <c r="H53" s="10" t="s">
        <v>19</v>
      </c>
      <c r="I53" s="10" t="s">
        <v>88</v>
      </c>
      <c r="J53" s="10">
        <v>73.106534615426497</v>
      </c>
      <c r="K53" s="10">
        <v>26.452118000563701</v>
      </c>
      <c r="L53" s="10">
        <v>2.6942066464080301</v>
      </c>
      <c r="M53" s="10">
        <v>0.37109608036136599</v>
      </c>
      <c r="N53" s="10">
        <v>0</v>
      </c>
      <c r="O53" s="10">
        <v>0</v>
      </c>
      <c r="P53" s="10">
        <v>3.0653027267694002</v>
      </c>
      <c r="Q53" s="10">
        <v>366.85822301629099</v>
      </c>
      <c r="R53" s="10">
        <v>0</v>
      </c>
      <c r="S53" s="10">
        <v>0</v>
      </c>
      <c r="T53" s="10">
        <v>0</v>
      </c>
      <c r="U53" s="10">
        <v>0</v>
      </c>
      <c r="V53" s="10">
        <v>0</v>
      </c>
      <c r="W53" s="10">
        <v>8.3555513668648902E-3</v>
      </c>
      <c r="X53" s="10">
        <v>0.57600226782042996</v>
      </c>
      <c r="Y53" s="10">
        <v>5018.13175725158</v>
      </c>
      <c r="Z53" s="10">
        <v>50.058249585383201</v>
      </c>
    </row>
    <row r="54" spans="1:26" x14ac:dyDescent="0.35">
      <c r="A54" s="10" t="s">
        <v>66</v>
      </c>
      <c r="B54" s="10" t="s">
        <v>25</v>
      </c>
      <c r="C54" s="10">
        <v>2025</v>
      </c>
      <c r="D54" s="10" t="s">
        <v>84</v>
      </c>
      <c r="E54" s="10" t="s">
        <v>85</v>
      </c>
      <c r="F54" s="10" t="s">
        <v>86</v>
      </c>
      <c r="G54" s="10" t="s">
        <v>87</v>
      </c>
      <c r="H54" s="10" t="s">
        <v>19</v>
      </c>
      <c r="I54" s="10" t="s">
        <v>88</v>
      </c>
      <c r="J54" s="10">
        <v>15.271025753755699</v>
      </c>
      <c r="K54" s="10">
        <v>64.016139959744194</v>
      </c>
      <c r="L54" s="10">
        <v>5.9969538310487396</v>
      </c>
      <c r="M54" s="10">
        <v>6.6581672286375202</v>
      </c>
      <c r="N54" s="10">
        <v>0</v>
      </c>
      <c r="O54" s="10">
        <v>0</v>
      </c>
      <c r="P54" s="10">
        <v>12.6551210596862</v>
      </c>
      <c r="Q54" s="10">
        <v>99.999999999995595</v>
      </c>
      <c r="R54" s="10">
        <v>0</v>
      </c>
      <c r="S54" s="10">
        <v>37.999999999997897</v>
      </c>
      <c r="T54" s="10">
        <v>1.16389699286675</v>
      </c>
      <c r="U54" s="10">
        <v>62.575107143374098</v>
      </c>
      <c r="V54" s="10">
        <v>225.270385716146</v>
      </c>
      <c r="W54" s="10">
        <v>0.126551210596868</v>
      </c>
      <c r="X54" s="10">
        <v>0.75164699178812799</v>
      </c>
      <c r="Y54" s="10">
        <v>6548.3485924581701</v>
      </c>
      <c r="Z54" s="10">
        <v>37.168542977768901</v>
      </c>
    </row>
    <row r="55" spans="1:26" x14ac:dyDescent="0.35">
      <c r="A55" s="10" t="s">
        <v>66</v>
      </c>
      <c r="B55" s="10" t="s">
        <v>23</v>
      </c>
      <c r="C55" s="10">
        <v>2025</v>
      </c>
      <c r="D55" s="10" t="s">
        <v>84</v>
      </c>
      <c r="E55" s="10" t="s">
        <v>85</v>
      </c>
      <c r="F55" s="10" t="s">
        <v>86</v>
      </c>
      <c r="G55" s="10" t="s">
        <v>87</v>
      </c>
      <c r="H55" s="10" t="s">
        <v>19</v>
      </c>
      <c r="I55" s="10" t="s">
        <v>88</v>
      </c>
      <c r="J55" s="10">
        <v>60.386811625377398</v>
      </c>
      <c r="K55" s="10">
        <v>0</v>
      </c>
      <c r="L55" s="10">
        <v>0</v>
      </c>
      <c r="M55" s="10">
        <v>0</v>
      </c>
      <c r="N55" s="10">
        <v>0</v>
      </c>
      <c r="O55" s="10">
        <v>0</v>
      </c>
      <c r="P55" s="10">
        <v>0</v>
      </c>
      <c r="Q55" s="10">
        <v>160.559750005328</v>
      </c>
      <c r="R55" s="10">
        <v>0</v>
      </c>
      <c r="S55" s="10">
        <v>0</v>
      </c>
      <c r="T55" s="10">
        <v>0</v>
      </c>
      <c r="U55" s="10">
        <v>0</v>
      </c>
      <c r="V55" s="10">
        <v>0</v>
      </c>
      <c r="W55" s="10">
        <v>0</v>
      </c>
      <c r="X55" s="10">
        <v>0.30519450977157397</v>
      </c>
      <c r="Y55" s="10">
        <v>2658.8545691299501</v>
      </c>
      <c r="Z55" s="10">
        <v>37.168542977768901</v>
      </c>
    </row>
    <row r="56" spans="1:26" x14ac:dyDescent="0.35">
      <c r="A56" s="10" t="s">
        <v>66</v>
      </c>
      <c r="B56" s="10" t="s">
        <v>20</v>
      </c>
      <c r="C56" s="10">
        <v>2025</v>
      </c>
      <c r="D56" s="10" t="s">
        <v>84</v>
      </c>
      <c r="E56" s="10" t="s">
        <v>85</v>
      </c>
      <c r="F56" s="10" t="s">
        <v>86</v>
      </c>
      <c r="G56" s="10" t="s">
        <v>87</v>
      </c>
      <c r="H56" s="10" t="s">
        <v>19</v>
      </c>
      <c r="I56" s="10" t="s">
        <v>88</v>
      </c>
      <c r="J56" s="10">
        <v>6.7844582861111498</v>
      </c>
      <c r="K56" s="10">
        <v>383.098006041838</v>
      </c>
      <c r="L56" s="10">
        <v>39.019378111105901</v>
      </c>
      <c r="M56" s="10">
        <v>7.6596534050194904</v>
      </c>
      <c r="N56" s="10">
        <v>0</v>
      </c>
      <c r="O56" s="10">
        <v>0</v>
      </c>
      <c r="P56" s="10">
        <v>46.679031516125399</v>
      </c>
      <c r="Q56" s="10">
        <v>18.038887913097501</v>
      </c>
      <c r="R56" s="10">
        <v>0</v>
      </c>
      <c r="S56" s="10">
        <v>929.00272752457602</v>
      </c>
      <c r="T56" s="10">
        <v>0</v>
      </c>
      <c r="U56" s="10">
        <v>0</v>
      </c>
      <c r="V56" s="10">
        <v>0</v>
      </c>
      <c r="W56" s="10">
        <v>2.5876889828797598</v>
      </c>
      <c r="X56" s="10">
        <v>0.30519450977157397</v>
      </c>
      <c r="Y56" s="10">
        <v>2658.8545691299501</v>
      </c>
      <c r="Z56" s="10">
        <v>37.168542977768901</v>
      </c>
    </row>
    <row r="57" spans="1:26" x14ac:dyDescent="0.35">
      <c r="A57" s="10" t="s">
        <v>66</v>
      </c>
      <c r="B57" s="10" t="s">
        <v>24</v>
      </c>
      <c r="C57" s="10">
        <v>2025</v>
      </c>
      <c r="D57" s="10" t="s">
        <v>84</v>
      </c>
      <c r="E57" s="10" t="s">
        <v>85</v>
      </c>
      <c r="F57" s="10" t="s">
        <v>86</v>
      </c>
      <c r="G57" s="10" t="s">
        <v>87</v>
      </c>
      <c r="H57" s="10" t="s">
        <v>19</v>
      </c>
      <c r="I57" s="10" t="s">
        <v>88</v>
      </c>
      <c r="J57" s="10">
        <v>2.7515361718478801</v>
      </c>
      <c r="K57" s="10">
        <v>0</v>
      </c>
      <c r="L57" s="10">
        <v>0</v>
      </c>
      <c r="M57" s="10">
        <v>0</v>
      </c>
      <c r="N57" s="10">
        <v>0</v>
      </c>
      <c r="O57" s="10">
        <v>0</v>
      </c>
      <c r="P57" s="10">
        <v>0</v>
      </c>
      <c r="Q57" s="10">
        <v>18.0180180180175</v>
      </c>
      <c r="R57" s="10">
        <v>0</v>
      </c>
      <c r="S57" s="10">
        <v>0</v>
      </c>
      <c r="T57" s="10">
        <v>0</v>
      </c>
      <c r="U57" s="10">
        <v>0</v>
      </c>
      <c r="V57" s="10">
        <v>0</v>
      </c>
      <c r="W57" s="10">
        <v>0</v>
      </c>
      <c r="X57" s="10">
        <v>0.75164699178812799</v>
      </c>
      <c r="Y57" s="10">
        <v>6548.3485924581701</v>
      </c>
      <c r="Z57" s="10">
        <v>37.168542977768901</v>
      </c>
    </row>
    <row r="58" spans="1:26" x14ac:dyDescent="0.35">
      <c r="A58" s="10" t="s">
        <v>66</v>
      </c>
      <c r="B58" s="10" t="s">
        <v>89</v>
      </c>
      <c r="C58" s="10">
        <v>2025</v>
      </c>
      <c r="D58" s="10" t="s">
        <v>84</v>
      </c>
      <c r="E58" s="10" t="s">
        <v>85</v>
      </c>
      <c r="F58" s="10" t="s">
        <v>86</v>
      </c>
      <c r="G58" s="10" t="s">
        <v>87</v>
      </c>
      <c r="H58" s="10" t="s">
        <v>19</v>
      </c>
      <c r="I58" s="10" t="s">
        <v>88</v>
      </c>
      <c r="J58" s="10">
        <v>392.74553882044501</v>
      </c>
      <c r="K58" s="10">
        <v>0</v>
      </c>
      <c r="L58" s="10">
        <v>0</v>
      </c>
      <c r="M58" s="10">
        <v>0</v>
      </c>
      <c r="N58" s="10">
        <v>0</v>
      </c>
      <c r="O58" s="10">
        <v>0</v>
      </c>
      <c r="P58" s="10">
        <v>0</v>
      </c>
      <c r="Q58" s="10">
        <v>259.45442412757899</v>
      </c>
      <c r="R58" s="10">
        <v>0</v>
      </c>
      <c r="S58" s="10">
        <v>243.88715867992599</v>
      </c>
      <c r="T58" s="10">
        <v>0</v>
      </c>
      <c r="U58" s="10">
        <v>0</v>
      </c>
      <c r="V58" s="10">
        <v>0</v>
      </c>
      <c r="W58" s="10">
        <v>0</v>
      </c>
      <c r="X58" s="10">
        <v>7.5828410620626605E-2</v>
      </c>
      <c r="Y58" s="10">
        <v>660.61711332689902</v>
      </c>
      <c r="Z58" s="10">
        <v>37.168542977768901</v>
      </c>
    </row>
    <row r="59" spans="1:26" x14ac:dyDescent="0.35">
      <c r="A59" s="10" t="s">
        <v>66</v>
      </c>
      <c r="B59" s="10" t="s">
        <v>90</v>
      </c>
      <c r="C59" s="10">
        <v>2025</v>
      </c>
      <c r="D59" s="10" t="s">
        <v>84</v>
      </c>
      <c r="E59" s="10" t="s">
        <v>85</v>
      </c>
      <c r="F59" s="10" t="s">
        <v>86</v>
      </c>
      <c r="G59" s="10" t="s">
        <v>87</v>
      </c>
      <c r="H59" s="10" t="s">
        <v>19</v>
      </c>
      <c r="I59" s="10" t="s">
        <v>88</v>
      </c>
      <c r="J59" s="10">
        <v>388.71261670618202</v>
      </c>
      <c r="K59" s="10">
        <v>0</v>
      </c>
      <c r="L59" s="10">
        <v>0</v>
      </c>
      <c r="M59" s="10">
        <v>0</v>
      </c>
      <c r="N59" s="10">
        <v>0</v>
      </c>
      <c r="O59" s="10">
        <v>0</v>
      </c>
      <c r="P59" s="10">
        <v>0</v>
      </c>
      <c r="Q59" s="10">
        <v>259.43355423251001</v>
      </c>
      <c r="R59" s="10">
        <v>0</v>
      </c>
      <c r="S59" s="10">
        <v>0</v>
      </c>
      <c r="T59" s="10">
        <v>0</v>
      </c>
      <c r="U59" s="10">
        <v>0</v>
      </c>
      <c r="V59" s="10">
        <v>0</v>
      </c>
      <c r="W59" s="10">
        <v>0</v>
      </c>
      <c r="X59" s="10">
        <v>7.6608973243785503E-2</v>
      </c>
      <c r="Y59" s="10">
        <v>667.41737489985906</v>
      </c>
      <c r="Z59" s="10">
        <v>37.168542977768901</v>
      </c>
    </row>
    <row r="60" spans="1:26" x14ac:dyDescent="0.35">
      <c r="A60" s="10" t="s">
        <v>66</v>
      </c>
      <c r="B60" s="10" t="s">
        <v>91</v>
      </c>
      <c r="C60" s="10">
        <v>2025</v>
      </c>
      <c r="D60" s="10" t="s">
        <v>84</v>
      </c>
      <c r="E60" s="10" t="s">
        <v>85</v>
      </c>
      <c r="F60" s="10" t="s">
        <v>86</v>
      </c>
      <c r="G60" s="10" t="s">
        <v>87</v>
      </c>
      <c r="H60" s="10" t="s">
        <v>19</v>
      </c>
      <c r="I60" s="10" t="s">
        <v>88</v>
      </c>
      <c r="J60" s="10">
        <v>231.88772311153099</v>
      </c>
      <c r="K60" s="10">
        <v>106.84352631980499</v>
      </c>
      <c r="L60" s="10">
        <v>8.7336952174466909</v>
      </c>
      <c r="M60" s="10">
        <v>0.22995749132878299</v>
      </c>
      <c r="N60" s="10">
        <v>0</v>
      </c>
      <c r="O60" s="10">
        <v>0</v>
      </c>
      <c r="P60" s="10">
        <v>8.96365270877547</v>
      </c>
      <c r="Q60" s="10">
        <v>1046.3953432928299</v>
      </c>
      <c r="R60" s="10">
        <v>0</v>
      </c>
      <c r="S60" s="10">
        <v>0</v>
      </c>
      <c r="T60" s="10">
        <v>0</v>
      </c>
      <c r="U60" s="10">
        <v>0</v>
      </c>
      <c r="V60" s="10">
        <v>0</v>
      </c>
      <c r="W60" s="10">
        <v>8.5662199915457603E-3</v>
      </c>
      <c r="X60" s="10">
        <v>0.51796471460139804</v>
      </c>
      <c r="Y60" s="10">
        <v>4512.5085936073801</v>
      </c>
      <c r="Z60" s="10">
        <v>37.168542977768901</v>
      </c>
    </row>
    <row r="61" spans="1:26" x14ac:dyDescent="0.35">
      <c r="A61" s="10" t="s">
        <v>66</v>
      </c>
      <c r="B61" s="10" t="s">
        <v>92</v>
      </c>
      <c r="C61" s="10">
        <v>2025</v>
      </c>
      <c r="D61" s="10" t="s">
        <v>84</v>
      </c>
      <c r="E61" s="10" t="s">
        <v>85</v>
      </c>
      <c r="F61" s="10" t="s">
        <v>86</v>
      </c>
      <c r="G61" s="10" t="s">
        <v>87</v>
      </c>
      <c r="H61" s="10" t="s">
        <v>19</v>
      </c>
      <c r="I61" s="10" t="s">
        <v>88</v>
      </c>
      <c r="J61" s="10">
        <v>799.54017440659004</v>
      </c>
      <c r="K61" s="10">
        <v>439.74709592362399</v>
      </c>
      <c r="L61" s="10">
        <v>37.731736411325301</v>
      </c>
      <c r="M61" s="10">
        <v>7.2758155870999603</v>
      </c>
      <c r="N61" s="10">
        <v>0</v>
      </c>
      <c r="O61" s="10">
        <v>0</v>
      </c>
      <c r="P61" s="10">
        <v>45.007551998425299</v>
      </c>
      <c r="Q61" s="10">
        <v>1210.9043936789501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3.7168542977768899E-2</v>
      </c>
      <c r="X61" s="10">
        <v>0.17384079430670299</v>
      </c>
      <c r="Y61" s="10">
        <v>1514.501</v>
      </c>
      <c r="Z61" s="10">
        <v>37.168542977768901</v>
      </c>
    </row>
    <row r="62" spans="1:26" x14ac:dyDescent="0.35">
      <c r="A62" s="10" t="s">
        <v>66</v>
      </c>
      <c r="B62" s="10" t="s">
        <v>7</v>
      </c>
      <c r="C62" s="10">
        <v>2025</v>
      </c>
      <c r="D62" s="10" t="s">
        <v>84</v>
      </c>
      <c r="E62" s="10" t="s">
        <v>85</v>
      </c>
      <c r="F62" s="10" t="s">
        <v>86</v>
      </c>
      <c r="G62" s="10" t="s">
        <v>87</v>
      </c>
      <c r="H62" s="10" t="s">
        <v>19</v>
      </c>
      <c r="I62" s="10" t="s">
        <v>88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 t="s">
        <v>14</v>
      </c>
      <c r="Y62" s="10" t="s">
        <v>14</v>
      </c>
      <c r="Z62" s="10">
        <v>37.168542977768901</v>
      </c>
    </row>
    <row r="63" spans="1:26" x14ac:dyDescent="0.35">
      <c r="A63" s="10" t="s">
        <v>66</v>
      </c>
      <c r="B63" s="10" t="s">
        <v>8</v>
      </c>
      <c r="C63" s="10">
        <v>2025</v>
      </c>
      <c r="D63" s="10" t="s">
        <v>84</v>
      </c>
      <c r="E63" s="10" t="s">
        <v>85</v>
      </c>
      <c r="F63" s="10" t="s">
        <v>86</v>
      </c>
      <c r="G63" s="10" t="s">
        <v>87</v>
      </c>
      <c r="H63" s="10" t="s">
        <v>19</v>
      </c>
      <c r="I63" s="10" t="s">
        <v>88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 t="s">
        <v>14</v>
      </c>
      <c r="Y63" s="10" t="s">
        <v>14</v>
      </c>
      <c r="Z63" s="10">
        <v>37.168542977768901</v>
      </c>
    </row>
    <row r="64" spans="1:26" x14ac:dyDescent="0.35">
      <c r="A64" s="10" t="s">
        <v>66</v>
      </c>
      <c r="B64" s="10" t="s">
        <v>9</v>
      </c>
      <c r="C64" s="10">
        <v>2025</v>
      </c>
      <c r="D64" s="10" t="s">
        <v>84</v>
      </c>
      <c r="E64" s="10" t="s">
        <v>85</v>
      </c>
      <c r="F64" s="10" t="s">
        <v>86</v>
      </c>
      <c r="G64" s="10" t="s">
        <v>87</v>
      </c>
      <c r="H64" s="10" t="s">
        <v>19</v>
      </c>
      <c r="I64" s="10" t="s">
        <v>88</v>
      </c>
      <c r="J64" s="10">
        <v>72.537372330339906</v>
      </c>
      <c r="K64" s="10">
        <v>0</v>
      </c>
      <c r="L64" s="10">
        <v>0</v>
      </c>
      <c r="M64" s="10">
        <v>0</v>
      </c>
      <c r="N64" s="10">
        <v>4.2903828992157701E-2</v>
      </c>
      <c r="O64" s="10">
        <v>0</v>
      </c>
      <c r="P64" s="10">
        <v>4.2903828992157701E-2</v>
      </c>
      <c r="Q64" s="10">
        <v>20.5716534451605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2.0855799999999901E-3</v>
      </c>
      <c r="X64" s="10">
        <v>3.2552887217185002E-2</v>
      </c>
      <c r="Y64" s="10">
        <v>283.60075343611601</v>
      </c>
      <c r="Z64" s="10">
        <v>37.168542977768901</v>
      </c>
    </row>
    <row r="65" spans="1:26" x14ac:dyDescent="0.35">
      <c r="A65" s="10" t="s">
        <v>66</v>
      </c>
      <c r="B65" s="10" t="s">
        <v>10</v>
      </c>
      <c r="C65" s="10">
        <v>2025</v>
      </c>
      <c r="D65" s="10" t="s">
        <v>84</v>
      </c>
      <c r="E65" s="10" t="s">
        <v>85</v>
      </c>
      <c r="F65" s="10" t="s">
        <v>86</v>
      </c>
      <c r="G65" s="10" t="s">
        <v>87</v>
      </c>
      <c r="H65" s="10" t="s">
        <v>19</v>
      </c>
      <c r="I65" s="10" t="s">
        <v>88</v>
      </c>
      <c r="J65" s="10">
        <v>66.734382543912702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20.557145970694599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3.5358619973962002E-2</v>
      </c>
      <c r="Y65" s="10">
        <v>308.04429721315699</v>
      </c>
      <c r="Z65" s="10">
        <v>37.168542977768901</v>
      </c>
    </row>
    <row r="66" spans="1:26" x14ac:dyDescent="0.35">
      <c r="A66" s="10" t="s">
        <v>66</v>
      </c>
      <c r="B66" s="10" t="s">
        <v>4</v>
      </c>
      <c r="C66" s="10">
        <v>2025</v>
      </c>
      <c r="D66" s="10" t="s">
        <v>84</v>
      </c>
      <c r="E66" s="10" t="s">
        <v>85</v>
      </c>
      <c r="F66" s="10" t="s">
        <v>86</v>
      </c>
      <c r="G66" s="10" t="s">
        <v>87</v>
      </c>
      <c r="H66" s="10" t="s">
        <v>19</v>
      </c>
      <c r="I66" s="10" t="s">
        <v>88</v>
      </c>
      <c r="J66" s="10">
        <v>72.537372330339906</v>
      </c>
      <c r="K66" s="10">
        <v>26.246178162137699</v>
      </c>
      <c r="L66" s="10">
        <v>2.6732312189796699</v>
      </c>
      <c r="M66" s="10">
        <v>0.36820695568603801</v>
      </c>
      <c r="N66" s="10">
        <v>0</v>
      </c>
      <c r="O66" s="10">
        <v>0</v>
      </c>
      <c r="P66" s="10">
        <v>3.0414381746657</v>
      </c>
      <c r="Q66" s="10">
        <v>366.755875136432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8.2928137784685704E-3</v>
      </c>
      <c r="X66" s="10">
        <v>0.58035989529875098</v>
      </c>
      <c r="Y66" s="10">
        <v>5056.0954078427103</v>
      </c>
      <c r="Z66" s="10">
        <v>37.168542977768901</v>
      </c>
    </row>
    <row r="67" spans="1:26" x14ac:dyDescent="0.35">
      <c r="A67" s="10" t="s">
        <v>67</v>
      </c>
      <c r="B67" s="10" t="s">
        <v>25</v>
      </c>
      <c r="C67" s="10">
        <v>2025</v>
      </c>
      <c r="D67" s="10" t="s">
        <v>84</v>
      </c>
      <c r="E67" s="10" t="s">
        <v>85</v>
      </c>
      <c r="F67" s="10" t="s">
        <v>86</v>
      </c>
      <c r="G67" s="10" t="s">
        <v>87</v>
      </c>
      <c r="H67" s="10" t="s">
        <v>19</v>
      </c>
      <c r="I67" s="10" t="s">
        <v>88</v>
      </c>
      <c r="J67" s="10">
        <v>15.226703610404799</v>
      </c>
      <c r="K67" s="10">
        <v>63.830341534816903</v>
      </c>
      <c r="L67" s="10">
        <v>5.9795484614517802</v>
      </c>
      <c r="M67" s="10">
        <v>6.6388427741364904</v>
      </c>
      <c r="N67" s="10">
        <v>0</v>
      </c>
      <c r="O67" s="10">
        <v>0</v>
      </c>
      <c r="P67" s="10">
        <v>12.6183912355882</v>
      </c>
      <c r="Q67" s="10">
        <v>99.999999999999304</v>
      </c>
      <c r="R67" s="10">
        <v>0</v>
      </c>
      <c r="S67" s="10">
        <v>38.0000000000041</v>
      </c>
      <c r="T67" s="10">
        <v>1.2208194471998</v>
      </c>
      <c r="U67" s="10">
        <v>65.635454150527295</v>
      </c>
      <c r="V67" s="10">
        <v>236.28763494189801</v>
      </c>
      <c r="W67" s="10">
        <v>0.126183912355883</v>
      </c>
      <c r="X67" s="10">
        <v>0.75383489841399598</v>
      </c>
      <c r="Y67" s="10">
        <v>6567.4096349827396</v>
      </c>
      <c r="Z67" s="10">
        <v>37.168542977768702</v>
      </c>
    </row>
    <row r="68" spans="1:26" x14ac:dyDescent="0.35">
      <c r="A68" s="10" t="s">
        <v>67</v>
      </c>
      <c r="B68" s="10" t="s">
        <v>23</v>
      </c>
      <c r="C68" s="10">
        <v>2025</v>
      </c>
      <c r="D68" s="10" t="s">
        <v>84</v>
      </c>
      <c r="E68" s="10" t="s">
        <v>85</v>
      </c>
      <c r="F68" s="10" t="s">
        <v>86</v>
      </c>
      <c r="G68" s="10" t="s">
        <v>87</v>
      </c>
      <c r="H68" s="10" t="s">
        <v>19</v>
      </c>
      <c r="I68" s="10" t="s">
        <v>88</v>
      </c>
      <c r="J68" s="10">
        <v>59.492063409683198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160.616791433065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0.30989462743443902</v>
      </c>
      <c r="Y68" s="10">
        <v>2699.8019942088299</v>
      </c>
      <c r="Z68" s="10">
        <v>37.168542977768702</v>
      </c>
    </row>
    <row r="69" spans="1:26" x14ac:dyDescent="0.35">
      <c r="A69" s="10" t="s">
        <v>67</v>
      </c>
      <c r="B69" s="10" t="s">
        <v>20</v>
      </c>
      <c r="C69" s="10">
        <v>2025</v>
      </c>
      <c r="D69" s="10" t="s">
        <v>84</v>
      </c>
      <c r="E69" s="10" t="s">
        <v>85</v>
      </c>
      <c r="F69" s="10" t="s">
        <v>86</v>
      </c>
      <c r="G69" s="10" t="s">
        <v>87</v>
      </c>
      <c r="H69" s="10" t="s">
        <v>19</v>
      </c>
      <c r="I69" s="10" t="s">
        <v>88</v>
      </c>
      <c r="J69" s="10">
        <v>6.6839333240779002</v>
      </c>
      <c r="K69" s="10">
        <v>377.42166301070699</v>
      </c>
      <c r="L69" s="10">
        <v>44.094001138536797</v>
      </c>
      <c r="M69" s="10">
        <v>7.5461607228839496</v>
      </c>
      <c r="N69" s="10">
        <v>0</v>
      </c>
      <c r="O69" s="10">
        <v>0</v>
      </c>
      <c r="P69" s="10">
        <v>51.640161861420701</v>
      </c>
      <c r="Q69" s="10">
        <v>18.045296517504401</v>
      </c>
      <c r="R69" s="10">
        <v>0</v>
      </c>
      <c r="S69" s="10">
        <v>929.33277065146694</v>
      </c>
      <c r="T69" s="10">
        <v>0</v>
      </c>
      <c r="U69" s="10">
        <v>0</v>
      </c>
      <c r="V69" s="10">
        <v>0</v>
      </c>
      <c r="W69" s="10">
        <v>2.8616964986598101</v>
      </c>
      <c r="X69" s="10">
        <v>0.30989462743443902</v>
      </c>
      <c r="Y69" s="10">
        <v>2699.8019942088299</v>
      </c>
      <c r="Z69" s="10">
        <v>37.168542977768702</v>
      </c>
    </row>
    <row r="70" spans="1:26" x14ac:dyDescent="0.35">
      <c r="A70" s="10" t="s">
        <v>67</v>
      </c>
      <c r="B70" s="10" t="s">
        <v>24</v>
      </c>
      <c r="C70" s="10">
        <v>2025</v>
      </c>
      <c r="D70" s="10" t="s">
        <v>84</v>
      </c>
      <c r="E70" s="10" t="s">
        <v>85</v>
      </c>
      <c r="F70" s="10" t="s">
        <v>86</v>
      </c>
      <c r="G70" s="10" t="s">
        <v>87</v>
      </c>
      <c r="H70" s="10" t="s">
        <v>19</v>
      </c>
      <c r="I70" s="10" t="s">
        <v>88</v>
      </c>
      <c r="J70" s="10">
        <v>2.7435502000729302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18.018018018017798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0.75383489841399598</v>
      </c>
      <c r="Y70" s="10">
        <v>6567.4096349827396</v>
      </c>
      <c r="Z70" s="10">
        <v>37.168542977768702</v>
      </c>
    </row>
    <row r="71" spans="1:26" x14ac:dyDescent="0.35">
      <c r="A71" s="10" t="s">
        <v>67</v>
      </c>
      <c r="B71" s="10" t="s">
        <v>89</v>
      </c>
      <c r="C71" s="10">
        <v>2025</v>
      </c>
      <c r="D71" s="10" t="s">
        <v>84</v>
      </c>
      <c r="E71" s="10" t="s">
        <v>85</v>
      </c>
      <c r="F71" s="10" t="s">
        <v>86</v>
      </c>
      <c r="G71" s="10" t="s">
        <v>87</v>
      </c>
      <c r="H71" s="10" t="s">
        <v>19</v>
      </c>
      <c r="I71" s="10" t="s">
        <v>88</v>
      </c>
      <c r="J71" s="10">
        <v>416.81421914918099</v>
      </c>
      <c r="K71" s="10">
        <v>0</v>
      </c>
      <c r="L71" s="10">
        <v>0</v>
      </c>
      <c r="M71" s="10">
        <v>0</v>
      </c>
      <c r="N71" s="10">
        <v>0</v>
      </c>
      <c r="O71" s="10">
        <v>0</v>
      </c>
      <c r="P71" s="10">
        <v>0</v>
      </c>
      <c r="Q71" s="10">
        <v>290.10094579515902</v>
      </c>
      <c r="R71" s="10">
        <v>0</v>
      </c>
      <c r="S71" s="10">
        <v>272.694889047451</v>
      </c>
      <c r="T71" s="10">
        <v>0</v>
      </c>
      <c r="U71" s="10">
        <v>0</v>
      </c>
      <c r="V71" s="10">
        <v>0</v>
      </c>
      <c r="W71" s="10">
        <v>0</v>
      </c>
      <c r="X71" s="10">
        <v>7.9889325037766204E-2</v>
      </c>
      <c r="Y71" s="10">
        <v>695.99579972901904</v>
      </c>
      <c r="Z71" s="10">
        <v>37.168542977768702</v>
      </c>
    </row>
    <row r="72" spans="1:26" x14ac:dyDescent="0.35">
      <c r="A72" s="10" t="s">
        <v>67</v>
      </c>
      <c r="B72" s="10" t="s">
        <v>90</v>
      </c>
      <c r="C72" s="10">
        <v>2025</v>
      </c>
      <c r="D72" s="10" t="s">
        <v>84</v>
      </c>
      <c r="E72" s="10" t="s">
        <v>85</v>
      </c>
      <c r="F72" s="10" t="s">
        <v>86</v>
      </c>
      <c r="G72" s="10" t="s">
        <v>87</v>
      </c>
      <c r="H72" s="10" t="s">
        <v>19</v>
      </c>
      <c r="I72" s="10" t="s">
        <v>88</v>
      </c>
      <c r="J72" s="10">
        <v>412.87383602517599</v>
      </c>
      <c r="K72" s="10">
        <v>0</v>
      </c>
      <c r="L72" s="10">
        <v>0</v>
      </c>
      <c r="M72" s="10">
        <v>0</v>
      </c>
      <c r="N72" s="10">
        <v>0</v>
      </c>
      <c r="O72" s="10">
        <v>0</v>
      </c>
      <c r="P72" s="10">
        <v>0</v>
      </c>
      <c r="Q72" s="10">
        <v>290.073667295669</v>
      </c>
      <c r="R72" s="10">
        <v>0</v>
      </c>
      <c r="S72" s="10">
        <v>0</v>
      </c>
      <c r="T72" s="10">
        <v>0</v>
      </c>
      <c r="U72" s="10">
        <v>0</v>
      </c>
      <c r="V72" s="10">
        <v>0</v>
      </c>
      <c r="W72" s="10">
        <v>0</v>
      </c>
      <c r="X72" s="10">
        <v>8.0644188582209203E-2</v>
      </c>
      <c r="Y72" s="10">
        <v>702.57217092820702</v>
      </c>
      <c r="Z72" s="10">
        <v>37.168542977768702</v>
      </c>
    </row>
    <row r="73" spans="1:26" x14ac:dyDescent="0.35">
      <c r="A73" s="10" t="s">
        <v>67</v>
      </c>
      <c r="B73" s="10" t="s">
        <v>91</v>
      </c>
      <c r="C73" s="10">
        <v>2025</v>
      </c>
      <c r="D73" s="10" t="s">
        <v>84</v>
      </c>
      <c r="E73" s="10" t="s">
        <v>85</v>
      </c>
      <c r="F73" s="10" t="s">
        <v>86</v>
      </c>
      <c r="G73" s="10" t="s">
        <v>87</v>
      </c>
      <c r="H73" s="10" t="s">
        <v>19</v>
      </c>
      <c r="I73" s="10" t="s">
        <v>88</v>
      </c>
      <c r="J73" s="10">
        <v>223.97782441028599</v>
      </c>
      <c r="K73" s="10">
        <v>103.198997585237</v>
      </c>
      <c r="L73" s="10">
        <v>8.4357810220309801</v>
      </c>
      <c r="M73" s="10">
        <v>0.222113434568916</v>
      </c>
      <c r="N73" s="10">
        <v>0</v>
      </c>
      <c r="O73" s="10">
        <v>0</v>
      </c>
      <c r="P73" s="10">
        <v>8.6578944565998999</v>
      </c>
      <c r="Q73" s="10">
        <v>1003.2649534641999</v>
      </c>
      <c r="R73" s="10">
        <v>0</v>
      </c>
      <c r="S73" s="10">
        <v>0</v>
      </c>
      <c r="T73" s="10">
        <v>0</v>
      </c>
      <c r="U73" s="10">
        <v>0</v>
      </c>
      <c r="V73" s="10">
        <v>0</v>
      </c>
      <c r="W73" s="10">
        <v>8.6297188262231504E-3</v>
      </c>
      <c r="X73" s="10">
        <v>0.51415344838942401</v>
      </c>
      <c r="Y73" s="10">
        <v>4479.3048423686596</v>
      </c>
      <c r="Z73" s="10">
        <v>37.168542977768702</v>
      </c>
    </row>
    <row r="74" spans="1:26" x14ac:dyDescent="0.35">
      <c r="A74" s="10" t="s">
        <v>67</v>
      </c>
      <c r="B74" s="10" t="s">
        <v>92</v>
      </c>
      <c r="C74" s="10">
        <v>2025</v>
      </c>
      <c r="D74" s="10" t="s">
        <v>84</v>
      </c>
      <c r="E74" s="10" t="s">
        <v>85</v>
      </c>
      <c r="F74" s="10" t="s">
        <v>86</v>
      </c>
      <c r="G74" s="10" t="s">
        <v>87</v>
      </c>
      <c r="H74" s="10" t="s">
        <v>19</v>
      </c>
      <c r="I74" s="10" t="s">
        <v>88</v>
      </c>
      <c r="J74" s="10">
        <v>818.77933726511696</v>
      </c>
      <c r="K74" s="10">
        <v>450.32863549581401</v>
      </c>
      <c r="L74" s="10">
        <v>38.639667050697298</v>
      </c>
      <c r="M74" s="10">
        <v>7.4508919691125604</v>
      </c>
      <c r="N74" s="10">
        <v>0</v>
      </c>
      <c r="O74" s="10">
        <v>0</v>
      </c>
      <c r="P74" s="10">
        <v>46.090559019809803</v>
      </c>
      <c r="Q74" s="10">
        <v>1240.0421250673601</v>
      </c>
      <c r="R74" s="10">
        <v>0</v>
      </c>
      <c r="S74" s="10">
        <v>0</v>
      </c>
      <c r="T74" s="10">
        <v>0</v>
      </c>
      <c r="U74" s="10">
        <v>0</v>
      </c>
      <c r="V74" s="10">
        <v>0</v>
      </c>
      <c r="W74" s="10">
        <v>3.7168542977768698E-2</v>
      </c>
      <c r="X74" s="10">
        <v>0.17384079430670299</v>
      </c>
      <c r="Y74" s="10">
        <v>1514.501</v>
      </c>
      <c r="Z74" s="10">
        <v>37.168542977768702</v>
      </c>
    </row>
    <row r="75" spans="1:26" x14ac:dyDescent="0.35">
      <c r="A75" s="10" t="s">
        <v>67</v>
      </c>
      <c r="B75" s="10" t="s">
        <v>7</v>
      </c>
      <c r="C75" s="10">
        <v>2025</v>
      </c>
      <c r="D75" s="10" t="s">
        <v>84</v>
      </c>
      <c r="E75" s="10" t="s">
        <v>85</v>
      </c>
      <c r="F75" s="10" t="s">
        <v>86</v>
      </c>
      <c r="G75" s="10" t="s">
        <v>87</v>
      </c>
      <c r="H75" s="10" t="s">
        <v>19</v>
      </c>
      <c r="I75" s="10" t="s">
        <v>88</v>
      </c>
      <c r="J75" s="10">
        <v>0</v>
      </c>
      <c r="K75" s="10">
        <v>0</v>
      </c>
      <c r="L75" s="10">
        <v>0</v>
      </c>
      <c r="M75" s="10">
        <v>0</v>
      </c>
      <c r="N75" s="10">
        <v>0</v>
      </c>
      <c r="O75" s="10">
        <v>0</v>
      </c>
      <c r="P75" s="10">
        <v>0</v>
      </c>
      <c r="Q75" s="10">
        <v>0</v>
      </c>
      <c r="R75" s="10">
        <v>0</v>
      </c>
      <c r="S75" s="10">
        <v>0</v>
      </c>
      <c r="T75" s="10">
        <v>0</v>
      </c>
      <c r="U75" s="10">
        <v>0</v>
      </c>
      <c r="V75" s="10">
        <v>0</v>
      </c>
      <c r="W75" s="10">
        <v>0</v>
      </c>
      <c r="X75" s="10" t="s">
        <v>14</v>
      </c>
      <c r="Y75" s="10" t="s">
        <v>14</v>
      </c>
      <c r="Z75" s="10">
        <v>37.168542977768702</v>
      </c>
    </row>
    <row r="76" spans="1:26" x14ac:dyDescent="0.35">
      <c r="A76" s="10" t="s">
        <v>67</v>
      </c>
      <c r="B76" s="10" t="s">
        <v>8</v>
      </c>
      <c r="C76" s="10">
        <v>2025</v>
      </c>
      <c r="D76" s="10" t="s">
        <v>84</v>
      </c>
      <c r="E76" s="10" t="s">
        <v>85</v>
      </c>
      <c r="F76" s="10" t="s">
        <v>86</v>
      </c>
      <c r="G76" s="10" t="s">
        <v>87</v>
      </c>
      <c r="H76" s="10" t="s">
        <v>19</v>
      </c>
      <c r="I76" s="10" t="s">
        <v>88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 t="s">
        <v>14</v>
      </c>
      <c r="Y76" s="10" t="s">
        <v>14</v>
      </c>
      <c r="Z76" s="10">
        <v>37.168542977768702</v>
      </c>
    </row>
    <row r="77" spans="1:26" x14ac:dyDescent="0.35">
      <c r="A77" s="10" t="s">
        <v>67</v>
      </c>
      <c r="B77" s="10" t="s">
        <v>9</v>
      </c>
      <c r="C77" s="10">
        <v>2025</v>
      </c>
      <c r="D77" s="10" t="s">
        <v>84</v>
      </c>
      <c r="E77" s="10" t="s">
        <v>85</v>
      </c>
      <c r="F77" s="10" t="s">
        <v>86</v>
      </c>
      <c r="G77" s="10" t="s">
        <v>87</v>
      </c>
      <c r="H77" s="10" t="s">
        <v>19</v>
      </c>
      <c r="I77" s="10" t="s">
        <v>88</v>
      </c>
      <c r="J77" s="10">
        <v>72.326842149422802</v>
      </c>
      <c r="K77" s="10">
        <v>0</v>
      </c>
      <c r="L77" s="10">
        <v>0</v>
      </c>
      <c r="M77" s="10">
        <v>0</v>
      </c>
      <c r="N77" s="10">
        <v>4.2327346097490698E-2</v>
      </c>
      <c r="O77" s="10">
        <v>0</v>
      </c>
      <c r="P77" s="10">
        <v>4.2327346097490698E-2</v>
      </c>
      <c r="Q77" s="10">
        <v>20.295239740259699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2.0855799999999901E-3</v>
      </c>
      <c r="X77" s="10">
        <v>3.2208968395550701E-2</v>
      </c>
      <c r="Y77" s="10">
        <v>280.604532662037</v>
      </c>
      <c r="Z77" s="10">
        <v>37.168542977768702</v>
      </c>
    </row>
    <row r="78" spans="1:26" x14ac:dyDescent="0.35">
      <c r="A78" s="10" t="s">
        <v>67</v>
      </c>
      <c r="B78" s="10" t="s">
        <v>10</v>
      </c>
      <c r="C78" s="10">
        <v>2025</v>
      </c>
      <c r="D78" s="10" t="s">
        <v>84</v>
      </c>
      <c r="E78" s="10" t="s">
        <v>85</v>
      </c>
      <c r="F78" s="10" t="s">
        <v>86</v>
      </c>
      <c r="G78" s="10" t="s">
        <v>87</v>
      </c>
      <c r="H78" s="10" t="s">
        <v>19</v>
      </c>
      <c r="I78" s="10" t="s">
        <v>88</v>
      </c>
      <c r="J78" s="10">
        <v>55.787179370826401</v>
      </c>
      <c r="K78" s="10">
        <v>0</v>
      </c>
      <c r="L78" s="10">
        <v>0</v>
      </c>
      <c r="M78" s="10">
        <v>0</v>
      </c>
      <c r="N78" s="10">
        <v>0</v>
      </c>
      <c r="O78" s="10">
        <v>0</v>
      </c>
      <c r="P78" s="10">
        <v>0</v>
      </c>
      <c r="Q78" s="10">
        <v>20.280774371830098</v>
      </c>
      <c r="R78" s="10">
        <v>0</v>
      </c>
      <c r="S78" s="10">
        <v>0</v>
      </c>
      <c r="T78" s="10">
        <v>0</v>
      </c>
      <c r="U78" s="10">
        <v>0</v>
      </c>
      <c r="V78" s="10">
        <v>0</v>
      </c>
      <c r="W78" s="10">
        <v>0</v>
      </c>
      <c r="X78" s="10">
        <v>4.1728450933887898E-2</v>
      </c>
      <c r="Y78" s="10">
        <v>363.53826453603199</v>
      </c>
      <c r="Z78" s="10">
        <v>37.168542977768702</v>
      </c>
    </row>
    <row r="79" spans="1:26" x14ac:dyDescent="0.35">
      <c r="A79" s="10" t="s">
        <v>67</v>
      </c>
      <c r="B79" s="10" t="s">
        <v>4</v>
      </c>
      <c r="C79" s="10">
        <v>2025</v>
      </c>
      <c r="D79" s="10" t="s">
        <v>84</v>
      </c>
      <c r="E79" s="10" t="s">
        <v>85</v>
      </c>
      <c r="F79" s="10" t="s">
        <v>86</v>
      </c>
      <c r="G79" s="10" t="s">
        <v>87</v>
      </c>
      <c r="H79" s="10" t="s">
        <v>19</v>
      </c>
      <c r="I79" s="10" t="s">
        <v>88</v>
      </c>
      <c r="J79" s="10">
        <v>72.326842149422802</v>
      </c>
      <c r="K79" s="10">
        <v>26.1700020826997</v>
      </c>
      <c r="L79" s="10">
        <v>2.66547251702942</v>
      </c>
      <c r="M79" s="10">
        <v>0.36713828343468502</v>
      </c>
      <c r="N79" s="10">
        <v>0</v>
      </c>
      <c r="O79" s="10">
        <v>0</v>
      </c>
      <c r="P79" s="10">
        <v>3.0326108004640999</v>
      </c>
      <c r="Q79" s="10">
        <v>353.55726268624801</v>
      </c>
      <c r="R79" s="10">
        <v>0</v>
      </c>
      <c r="S79" s="10">
        <v>0</v>
      </c>
      <c r="T79" s="10">
        <v>0</v>
      </c>
      <c r="U79" s="10">
        <v>0</v>
      </c>
      <c r="V79" s="10">
        <v>0</v>
      </c>
      <c r="W79" s="10">
        <v>8.57742470745196E-3</v>
      </c>
      <c r="X79" s="10">
        <v>0.56110274358018797</v>
      </c>
      <c r="Y79" s="10">
        <v>4888.3271020705997</v>
      </c>
      <c r="Z79" s="10">
        <v>37.168542977768702</v>
      </c>
    </row>
    <row r="80" spans="1:26" x14ac:dyDescent="0.35">
      <c r="A80" s="10" t="s">
        <v>68</v>
      </c>
      <c r="B80" s="10" t="s">
        <v>25</v>
      </c>
      <c r="C80" s="10">
        <v>2025</v>
      </c>
      <c r="D80" s="10" t="s">
        <v>84</v>
      </c>
      <c r="E80" s="10" t="s">
        <v>85</v>
      </c>
      <c r="F80" s="10" t="s">
        <v>86</v>
      </c>
      <c r="G80" s="10" t="s">
        <v>87</v>
      </c>
      <c r="H80" s="10" t="s">
        <v>19</v>
      </c>
      <c r="I80" s="10" t="s">
        <v>88</v>
      </c>
      <c r="J80" s="10">
        <v>15.202694507518199</v>
      </c>
      <c r="K80" s="10">
        <v>63.729695375516698</v>
      </c>
      <c r="L80" s="10">
        <v>5.9701200521322599</v>
      </c>
      <c r="M80" s="10">
        <v>6.6283748052779696</v>
      </c>
      <c r="N80" s="10">
        <v>0</v>
      </c>
      <c r="O80" s="10">
        <v>0</v>
      </c>
      <c r="P80" s="10">
        <v>12.5984948574102</v>
      </c>
      <c r="Q80" s="10">
        <v>100.000000000013</v>
      </c>
      <c r="R80" s="10">
        <v>0</v>
      </c>
      <c r="S80" s="10">
        <v>38.000000000003503</v>
      </c>
      <c r="T80" s="10">
        <v>1.3400581712536801</v>
      </c>
      <c r="U80" s="10">
        <v>72.046138239445199</v>
      </c>
      <c r="V80" s="10">
        <v>259.36609766200201</v>
      </c>
      <c r="W80" s="10">
        <v>0.12598494857408499</v>
      </c>
      <c r="X80" s="10">
        <v>0.75502540445404798</v>
      </c>
      <c r="Y80" s="10">
        <v>6577.78132360367</v>
      </c>
      <c r="Z80" s="10">
        <v>37.168542977768901</v>
      </c>
    </row>
    <row r="81" spans="1:26" x14ac:dyDescent="0.35">
      <c r="A81" s="10" t="s">
        <v>68</v>
      </c>
      <c r="B81" s="10" t="s">
        <v>23</v>
      </c>
      <c r="C81" s="10">
        <v>2025</v>
      </c>
      <c r="D81" s="10" t="s">
        <v>84</v>
      </c>
      <c r="E81" s="10" t="s">
        <v>85</v>
      </c>
      <c r="F81" s="10" t="s">
        <v>86</v>
      </c>
      <c r="G81" s="10" t="s">
        <v>87</v>
      </c>
      <c r="H81" s="10" t="s">
        <v>19</v>
      </c>
      <c r="I81" s="10" t="s">
        <v>88</v>
      </c>
      <c r="J81" s="10">
        <v>57.703661159221603</v>
      </c>
      <c r="K81" s="10">
        <v>0</v>
      </c>
      <c r="L81" s="10">
        <v>0</v>
      </c>
      <c r="M81" s="10">
        <v>0</v>
      </c>
      <c r="N81" s="10">
        <v>0</v>
      </c>
      <c r="O81" s="10">
        <v>0</v>
      </c>
      <c r="P81" s="10">
        <v>0</v>
      </c>
      <c r="Q81" s="10">
        <v>160.541807227552</v>
      </c>
      <c r="R81" s="10">
        <v>0</v>
      </c>
      <c r="S81" s="10">
        <v>0</v>
      </c>
      <c r="T81" s="10">
        <v>0</v>
      </c>
      <c r="U81" s="10">
        <v>0</v>
      </c>
      <c r="V81" s="10">
        <v>0</v>
      </c>
      <c r="W81" s="10">
        <v>0</v>
      </c>
      <c r="X81" s="10">
        <v>0.31934999362231098</v>
      </c>
      <c r="Y81" s="10">
        <v>2782.17714443757</v>
      </c>
      <c r="Z81" s="10">
        <v>37.168542977768901</v>
      </c>
    </row>
    <row r="82" spans="1:26" x14ac:dyDescent="0.35">
      <c r="A82" s="10" t="s">
        <v>68</v>
      </c>
      <c r="B82" s="10" t="s">
        <v>20</v>
      </c>
      <c r="C82" s="10">
        <v>2025</v>
      </c>
      <c r="D82" s="10" t="s">
        <v>84</v>
      </c>
      <c r="E82" s="10" t="s">
        <v>85</v>
      </c>
      <c r="F82" s="10" t="s">
        <v>86</v>
      </c>
      <c r="G82" s="10" t="s">
        <v>87</v>
      </c>
      <c r="H82" s="10" t="s">
        <v>19</v>
      </c>
      <c r="I82" s="10" t="s">
        <v>88</v>
      </c>
      <c r="J82" s="10">
        <v>6.48300633123855</v>
      </c>
      <c r="K82" s="10">
        <v>366.075918506047</v>
      </c>
      <c r="L82" s="10">
        <v>54.556106959268398</v>
      </c>
      <c r="M82" s="10">
        <v>7.3193141479683197</v>
      </c>
      <c r="N82" s="10">
        <v>0</v>
      </c>
      <c r="O82" s="10">
        <v>0</v>
      </c>
      <c r="P82" s="10">
        <v>61.875421107236797</v>
      </c>
      <c r="Q82" s="10">
        <v>18.036872042016501</v>
      </c>
      <c r="R82" s="10">
        <v>0</v>
      </c>
      <c r="S82" s="10">
        <v>928.89891016379602</v>
      </c>
      <c r="T82" s="10">
        <v>0</v>
      </c>
      <c r="U82" s="10">
        <v>0</v>
      </c>
      <c r="V82" s="10">
        <v>0</v>
      </c>
      <c r="W82" s="10">
        <v>3.43049620594409</v>
      </c>
      <c r="X82" s="10">
        <v>0.31934999362231098</v>
      </c>
      <c r="Y82" s="10">
        <v>2782.17714443757</v>
      </c>
      <c r="Z82" s="10">
        <v>37.168542977768901</v>
      </c>
    </row>
    <row r="83" spans="1:26" x14ac:dyDescent="0.35">
      <c r="A83" s="10" t="s">
        <v>68</v>
      </c>
      <c r="B83" s="10" t="s">
        <v>24</v>
      </c>
      <c r="C83" s="10">
        <v>2025</v>
      </c>
      <c r="D83" s="10" t="s">
        <v>84</v>
      </c>
      <c r="E83" s="10" t="s">
        <v>85</v>
      </c>
      <c r="F83" s="10" t="s">
        <v>86</v>
      </c>
      <c r="G83" s="10" t="s">
        <v>87</v>
      </c>
      <c r="H83" s="10" t="s">
        <v>19</v>
      </c>
      <c r="I83" s="10" t="s">
        <v>88</v>
      </c>
      <c r="J83" s="10">
        <v>2.7392242355888801</v>
      </c>
      <c r="K83" s="10">
        <v>0</v>
      </c>
      <c r="L83" s="10">
        <v>0</v>
      </c>
      <c r="M83" s="10">
        <v>0</v>
      </c>
      <c r="N83" s="10">
        <v>0</v>
      </c>
      <c r="O83" s="10">
        <v>0</v>
      </c>
      <c r="P83" s="10">
        <v>0</v>
      </c>
      <c r="Q83" s="10">
        <v>18.018018018018399</v>
      </c>
      <c r="R83" s="10">
        <v>0</v>
      </c>
      <c r="S83" s="10">
        <v>0</v>
      </c>
      <c r="T83" s="10">
        <v>0</v>
      </c>
      <c r="U83" s="10">
        <v>0</v>
      </c>
      <c r="V83" s="10">
        <v>0</v>
      </c>
      <c r="W83" s="10">
        <v>0</v>
      </c>
      <c r="X83" s="10">
        <v>0.75502540445404798</v>
      </c>
      <c r="Y83" s="10">
        <v>6577.78132360367</v>
      </c>
      <c r="Z83" s="10">
        <v>37.168542977768901</v>
      </c>
    </row>
    <row r="84" spans="1:26" x14ac:dyDescent="0.35">
      <c r="A84" s="10" t="s">
        <v>68</v>
      </c>
      <c r="B84" s="10" t="s">
        <v>89</v>
      </c>
      <c r="C84" s="10">
        <v>2025</v>
      </c>
      <c r="D84" s="10" t="s">
        <v>84</v>
      </c>
      <c r="E84" s="10" t="s">
        <v>85</v>
      </c>
      <c r="F84" s="10" t="s">
        <v>86</v>
      </c>
      <c r="G84" s="10" t="s">
        <v>87</v>
      </c>
      <c r="H84" s="10" t="s">
        <v>19</v>
      </c>
      <c r="I84" s="10" t="s">
        <v>88</v>
      </c>
      <c r="J84" s="10">
        <v>467.63675817085698</v>
      </c>
      <c r="K84" s="10">
        <v>0</v>
      </c>
      <c r="L84" s="10">
        <v>0</v>
      </c>
      <c r="M84" s="10">
        <v>0</v>
      </c>
      <c r="N84" s="10">
        <v>0</v>
      </c>
      <c r="O84" s="10">
        <v>0</v>
      </c>
      <c r="P84" s="10">
        <v>0</v>
      </c>
      <c r="Q84" s="10">
        <v>357.10153225355401</v>
      </c>
      <c r="R84" s="10">
        <v>0</v>
      </c>
      <c r="S84" s="10">
        <v>335.67544031833899</v>
      </c>
      <c r="T84" s="10">
        <v>0</v>
      </c>
      <c r="U84" s="10">
        <v>0</v>
      </c>
      <c r="V84" s="10">
        <v>0</v>
      </c>
      <c r="W84" s="10">
        <v>0</v>
      </c>
      <c r="X84" s="10">
        <v>8.7652681307416103E-2</v>
      </c>
      <c r="Y84" s="10">
        <v>763.63015955020899</v>
      </c>
      <c r="Z84" s="10">
        <v>37.168542977768901</v>
      </c>
    </row>
    <row r="85" spans="1:26" x14ac:dyDescent="0.35">
      <c r="A85" s="10" t="s">
        <v>68</v>
      </c>
      <c r="B85" s="10" t="s">
        <v>90</v>
      </c>
      <c r="C85" s="10">
        <v>2025</v>
      </c>
      <c r="D85" s="10" t="s">
        <v>84</v>
      </c>
      <c r="E85" s="10" t="s">
        <v>85</v>
      </c>
      <c r="F85" s="10" t="s">
        <v>86</v>
      </c>
      <c r="G85" s="10" t="s">
        <v>87</v>
      </c>
      <c r="H85" s="10" t="s">
        <v>19</v>
      </c>
      <c r="I85" s="10" t="s">
        <v>88</v>
      </c>
      <c r="J85" s="10">
        <v>463.892976075207</v>
      </c>
      <c r="K85" s="10">
        <v>0</v>
      </c>
      <c r="L85" s="10">
        <v>0</v>
      </c>
      <c r="M85" s="10">
        <v>0</v>
      </c>
      <c r="N85" s="10">
        <v>0</v>
      </c>
      <c r="O85" s="10">
        <v>0</v>
      </c>
      <c r="P85" s="10">
        <v>0</v>
      </c>
      <c r="Q85" s="10">
        <v>357.08267822956299</v>
      </c>
      <c r="R85" s="10">
        <v>0</v>
      </c>
      <c r="S85" s="10">
        <v>0</v>
      </c>
      <c r="T85" s="10">
        <v>0</v>
      </c>
      <c r="U85" s="10">
        <v>0</v>
      </c>
      <c r="V85" s="10">
        <v>0</v>
      </c>
      <c r="W85" s="10">
        <v>0</v>
      </c>
      <c r="X85" s="10">
        <v>8.8355404589634298E-2</v>
      </c>
      <c r="Y85" s="10">
        <v>769.75228478489396</v>
      </c>
      <c r="Z85" s="10">
        <v>37.168542977768901</v>
      </c>
    </row>
    <row r="86" spans="1:26" x14ac:dyDescent="0.35">
      <c r="A86" s="10" t="s">
        <v>68</v>
      </c>
      <c r="B86" s="10" t="s">
        <v>91</v>
      </c>
      <c r="C86" s="10">
        <v>2025</v>
      </c>
      <c r="D86" s="10" t="s">
        <v>84</v>
      </c>
      <c r="E86" s="10" t="s">
        <v>85</v>
      </c>
      <c r="F86" s="10" t="s">
        <v>86</v>
      </c>
      <c r="G86" s="10" t="s">
        <v>87</v>
      </c>
      <c r="H86" s="10" t="s">
        <v>19</v>
      </c>
      <c r="I86" s="10" t="s">
        <v>88</v>
      </c>
      <c r="J86" s="10">
        <v>209.489155534801</v>
      </c>
      <c r="K86" s="10">
        <v>96.523264805748298</v>
      </c>
      <c r="L86" s="10">
        <v>7.8900875443123404</v>
      </c>
      <c r="M86" s="10">
        <v>0.20774536927165399</v>
      </c>
      <c r="N86" s="10">
        <v>0</v>
      </c>
      <c r="O86" s="10">
        <v>0</v>
      </c>
      <c r="P86" s="10">
        <v>8.0978329135839999</v>
      </c>
      <c r="Q86" s="10">
        <v>928.354162452438</v>
      </c>
      <c r="R86" s="10">
        <v>0</v>
      </c>
      <c r="S86" s="10">
        <v>0</v>
      </c>
      <c r="T86" s="10">
        <v>0</v>
      </c>
      <c r="U86" s="10">
        <v>0</v>
      </c>
      <c r="V86" s="10">
        <v>0</v>
      </c>
      <c r="W86" s="10">
        <v>8.7227840851081106E-3</v>
      </c>
      <c r="X86" s="10">
        <v>0.50866783470071197</v>
      </c>
      <c r="Y86" s="10">
        <v>4431.5141759126</v>
      </c>
      <c r="Z86" s="10">
        <v>37.168542977768901</v>
      </c>
    </row>
    <row r="87" spans="1:26" x14ac:dyDescent="0.35">
      <c r="A87" s="10" t="s">
        <v>68</v>
      </c>
      <c r="B87" s="10" t="s">
        <v>92</v>
      </c>
      <c r="C87" s="10">
        <v>2025</v>
      </c>
      <c r="D87" s="10" t="s">
        <v>84</v>
      </c>
      <c r="E87" s="10" t="s">
        <v>85</v>
      </c>
      <c r="F87" s="10" t="s">
        <v>86</v>
      </c>
      <c r="G87" s="10" t="s">
        <v>87</v>
      </c>
      <c r="H87" s="10" t="s">
        <v>19</v>
      </c>
      <c r="I87" s="10" t="s">
        <v>88</v>
      </c>
      <c r="J87" s="10">
        <v>860.07770712168599</v>
      </c>
      <c r="K87" s="10">
        <v>473.04273891692702</v>
      </c>
      <c r="L87" s="10">
        <v>40.588611275797703</v>
      </c>
      <c r="M87" s="10">
        <v>7.8267071348073403</v>
      </c>
      <c r="N87" s="10">
        <v>0</v>
      </c>
      <c r="O87" s="10">
        <v>0</v>
      </c>
      <c r="P87" s="10">
        <v>48.415318410605003</v>
      </c>
      <c r="Q87" s="10">
        <v>1302.5885475134901</v>
      </c>
      <c r="R87" s="10">
        <v>0</v>
      </c>
      <c r="S87" s="10">
        <v>0</v>
      </c>
      <c r="T87" s="10">
        <v>0</v>
      </c>
      <c r="U87" s="10">
        <v>0</v>
      </c>
      <c r="V87" s="10">
        <v>0</v>
      </c>
      <c r="W87" s="10">
        <v>3.7168542977768899E-2</v>
      </c>
      <c r="X87" s="10">
        <v>0.17384079430670299</v>
      </c>
      <c r="Y87" s="10">
        <v>1514.501</v>
      </c>
      <c r="Z87" s="10">
        <v>37.168542977768901</v>
      </c>
    </row>
    <row r="88" spans="1:26" x14ac:dyDescent="0.35">
      <c r="A88" s="10" t="s">
        <v>68</v>
      </c>
      <c r="B88" s="10" t="s">
        <v>7</v>
      </c>
      <c r="C88" s="10">
        <v>2025</v>
      </c>
      <c r="D88" s="10" t="s">
        <v>84</v>
      </c>
      <c r="E88" s="10" t="s">
        <v>85</v>
      </c>
      <c r="F88" s="10" t="s">
        <v>86</v>
      </c>
      <c r="G88" s="10" t="s">
        <v>87</v>
      </c>
      <c r="H88" s="10" t="s">
        <v>19</v>
      </c>
      <c r="I88" s="10" t="s">
        <v>88</v>
      </c>
      <c r="J88" s="10">
        <v>0</v>
      </c>
      <c r="K88" s="10">
        <v>0</v>
      </c>
      <c r="L88" s="10">
        <v>0</v>
      </c>
      <c r="M88" s="10">
        <v>0</v>
      </c>
      <c r="N88" s="10">
        <v>0</v>
      </c>
      <c r="O88" s="10">
        <v>0</v>
      </c>
      <c r="P88" s="10">
        <v>0</v>
      </c>
      <c r="Q88" s="10">
        <v>0</v>
      </c>
      <c r="R88" s="10">
        <v>0</v>
      </c>
      <c r="S88" s="10">
        <v>0</v>
      </c>
      <c r="T88" s="10">
        <v>0</v>
      </c>
      <c r="U88" s="10">
        <v>0</v>
      </c>
      <c r="V88" s="10">
        <v>0</v>
      </c>
      <c r="W88" s="10">
        <v>0</v>
      </c>
      <c r="X88" s="10" t="s">
        <v>14</v>
      </c>
      <c r="Y88" s="10" t="s">
        <v>14</v>
      </c>
      <c r="Z88" s="10">
        <v>37.168542977768901</v>
      </c>
    </row>
    <row r="89" spans="1:26" x14ac:dyDescent="0.35">
      <c r="A89" s="10" t="s">
        <v>68</v>
      </c>
      <c r="B89" s="10" t="s">
        <v>8</v>
      </c>
      <c r="C89" s="10">
        <v>2025</v>
      </c>
      <c r="D89" s="10" t="s">
        <v>84</v>
      </c>
      <c r="E89" s="10" t="s">
        <v>85</v>
      </c>
      <c r="F89" s="10" t="s">
        <v>86</v>
      </c>
      <c r="G89" s="10" t="s">
        <v>87</v>
      </c>
      <c r="H89" s="10" t="s">
        <v>19</v>
      </c>
      <c r="I89" s="10" t="s">
        <v>88</v>
      </c>
      <c r="J89" s="10">
        <v>0</v>
      </c>
      <c r="K89" s="10">
        <v>0</v>
      </c>
      <c r="L89" s="10">
        <v>0</v>
      </c>
      <c r="M89" s="10">
        <v>0</v>
      </c>
      <c r="N89" s="10">
        <v>0</v>
      </c>
      <c r="O89" s="10">
        <v>0</v>
      </c>
      <c r="P89" s="10">
        <v>0</v>
      </c>
      <c r="Q89" s="10">
        <v>0</v>
      </c>
      <c r="R89" s="10">
        <v>0</v>
      </c>
      <c r="S89" s="10">
        <v>0</v>
      </c>
      <c r="T89" s="10">
        <v>0</v>
      </c>
      <c r="U89" s="10">
        <v>0</v>
      </c>
      <c r="V89" s="10">
        <v>0</v>
      </c>
      <c r="W89" s="10">
        <v>0</v>
      </c>
      <c r="X89" s="10" t="s">
        <v>14</v>
      </c>
      <c r="Y89" s="10" t="s">
        <v>14</v>
      </c>
      <c r="Z89" s="10">
        <v>37.168542977768901</v>
      </c>
    </row>
    <row r="90" spans="1:26" x14ac:dyDescent="0.35">
      <c r="A90" s="10" t="s">
        <v>68</v>
      </c>
      <c r="B90" s="10" t="s">
        <v>9</v>
      </c>
      <c r="C90" s="10">
        <v>2025</v>
      </c>
      <c r="D90" s="10" t="s">
        <v>84</v>
      </c>
      <c r="E90" s="10" t="s">
        <v>85</v>
      </c>
      <c r="F90" s="10" t="s">
        <v>86</v>
      </c>
      <c r="G90" s="10" t="s">
        <v>87</v>
      </c>
      <c r="H90" s="10" t="s">
        <v>19</v>
      </c>
      <c r="I90" s="10" t="s">
        <v>88</v>
      </c>
      <c r="J90" s="10">
        <v>70.985156674837199</v>
      </c>
      <c r="K90" s="10">
        <v>0</v>
      </c>
      <c r="L90" s="10">
        <v>0</v>
      </c>
      <c r="M90" s="10">
        <v>0</v>
      </c>
      <c r="N90" s="10">
        <v>4.23949120527548E-2</v>
      </c>
      <c r="O90" s="10">
        <v>0</v>
      </c>
      <c r="P90" s="10">
        <v>4.23949120527548E-2</v>
      </c>
      <c r="Q90" s="10">
        <v>20.3276364621615</v>
      </c>
      <c r="R90" s="10">
        <v>0</v>
      </c>
      <c r="S90" s="10">
        <v>0</v>
      </c>
      <c r="T90" s="10">
        <v>0</v>
      </c>
      <c r="U90" s="10">
        <v>0</v>
      </c>
      <c r="V90" s="10">
        <v>0</v>
      </c>
      <c r="W90" s="10">
        <v>2.0855800000000001E-3</v>
      </c>
      <c r="X90" s="10">
        <v>3.2870133901647301E-2</v>
      </c>
      <c r="Y90" s="10">
        <v>286.36460655115098</v>
      </c>
      <c r="Z90" s="10">
        <v>37.168542977768901</v>
      </c>
    </row>
    <row r="91" spans="1:26" x14ac:dyDescent="0.35">
      <c r="A91" s="10" t="s">
        <v>68</v>
      </c>
      <c r="B91" s="10" t="s">
        <v>10</v>
      </c>
      <c r="C91" s="10">
        <v>2025</v>
      </c>
      <c r="D91" s="10" t="s">
        <v>84</v>
      </c>
      <c r="E91" s="10" t="s">
        <v>85</v>
      </c>
      <c r="F91" s="10" t="s">
        <v>86</v>
      </c>
      <c r="G91" s="10" t="s">
        <v>87</v>
      </c>
      <c r="H91" s="10" t="s">
        <v>19</v>
      </c>
      <c r="I91" s="10" t="s">
        <v>88</v>
      </c>
      <c r="J91" s="10">
        <v>59.431108849123298</v>
      </c>
      <c r="K91" s="10">
        <v>0</v>
      </c>
      <c r="L91" s="10">
        <v>0</v>
      </c>
      <c r="M91" s="10">
        <v>0</v>
      </c>
      <c r="N91" s="10">
        <v>0</v>
      </c>
      <c r="O91" s="10">
        <v>0</v>
      </c>
      <c r="P91" s="10">
        <v>0</v>
      </c>
      <c r="Q91" s="10">
        <v>20.313439430826801</v>
      </c>
      <c r="R91" s="10">
        <v>0</v>
      </c>
      <c r="S91" s="10">
        <v>0</v>
      </c>
      <c r="T91" s="10">
        <v>0</v>
      </c>
      <c r="U91" s="10">
        <v>0</v>
      </c>
      <c r="V91" s="10">
        <v>0</v>
      </c>
      <c r="W91" s="10">
        <v>0</v>
      </c>
      <c r="X91" s="10">
        <v>3.92330221515092E-2</v>
      </c>
      <c r="Y91" s="10">
        <v>341.79808898394799</v>
      </c>
      <c r="Z91" s="10">
        <v>37.168542977768901</v>
      </c>
    </row>
    <row r="92" spans="1:26" x14ac:dyDescent="0.35">
      <c r="A92" s="10" t="s">
        <v>68</v>
      </c>
      <c r="B92" s="10" t="s">
        <v>4</v>
      </c>
      <c r="C92" s="10">
        <v>2025</v>
      </c>
      <c r="D92" s="10" t="s">
        <v>84</v>
      </c>
      <c r="E92" s="10" t="s">
        <v>85</v>
      </c>
      <c r="F92" s="10" t="s">
        <v>86</v>
      </c>
      <c r="G92" s="10" t="s">
        <v>87</v>
      </c>
      <c r="H92" s="10" t="s">
        <v>19</v>
      </c>
      <c r="I92" s="10" t="s">
        <v>88</v>
      </c>
      <c r="J92" s="10">
        <v>70.985156674837199</v>
      </c>
      <c r="K92" s="10">
        <v>25.684540383823201</v>
      </c>
      <c r="L92" s="10">
        <v>2.6160271706998102</v>
      </c>
      <c r="M92" s="10">
        <v>0.36032775379714099</v>
      </c>
      <c r="N92" s="10">
        <v>0</v>
      </c>
      <c r="O92" s="10">
        <v>0</v>
      </c>
      <c r="P92" s="10">
        <v>2.9763549244969498</v>
      </c>
      <c r="Q92" s="10">
        <v>355.63860513650599</v>
      </c>
      <c r="R92" s="10">
        <v>0</v>
      </c>
      <c r="S92" s="10">
        <v>0</v>
      </c>
      <c r="T92" s="10">
        <v>0</v>
      </c>
      <c r="U92" s="10">
        <v>0</v>
      </c>
      <c r="V92" s="10">
        <v>0</v>
      </c>
      <c r="W92" s="10">
        <v>8.3690434095435792E-3</v>
      </c>
      <c r="X92" s="10">
        <v>0.57507367338011395</v>
      </c>
      <c r="Y92" s="10">
        <v>5010.0418424875497</v>
      </c>
      <c r="Z92" s="10">
        <v>37.168542977768901</v>
      </c>
    </row>
    <row r="93" spans="1:26" x14ac:dyDescent="0.35">
      <c r="A93" s="10" t="s">
        <v>71</v>
      </c>
      <c r="B93" s="10" t="s">
        <v>25</v>
      </c>
      <c r="C93" s="10">
        <v>2025</v>
      </c>
      <c r="D93" s="10" t="s">
        <v>84</v>
      </c>
      <c r="E93" s="10" t="s">
        <v>85</v>
      </c>
      <c r="F93" s="10" t="s">
        <v>86</v>
      </c>
      <c r="G93" s="10" t="s">
        <v>87</v>
      </c>
      <c r="H93" s="10" t="s">
        <v>19</v>
      </c>
      <c r="I93" s="10" t="s">
        <v>88</v>
      </c>
      <c r="J93" s="10">
        <v>15.1348506703523</v>
      </c>
      <c r="K93" s="10">
        <v>63.445294010116903</v>
      </c>
      <c r="L93" s="10">
        <v>5.9434776794608997</v>
      </c>
      <c r="M93" s="10">
        <v>6.5987948922736104</v>
      </c>
      <c r="N93" s="10">
        <v>0</v>
      </c>
      <c r="O93" s="10">
        <v>0</v>
      </c>
      <c r="P93" s="10">
        <v>12.5422725717345</v>
      </c>
      <c r="Q93" s="10">
        <v>99.999999999993406</v>
      </c>
      <c r="R93" s="10">
        <v>0</v>
      </c>
      <c r="S93" s="10">
        <v>37.999999999994301</v>
      </c>
      <c r="T93" s="10">
        <v>1.5663072925672501</v>
      </c>
      <c r="U93" s="10">
        <v>84.210069492863198</v>
      </c>
      <c r="V93" s="10">
        <v>303.15625017430699</v>
      </c>
      <c r="W93" s="10">
        <v>0.125422725717353</v>
      </c>
      <c r="X93" s="10">
        <v>0.75840989906917899</v>
      </c>
      <c r="Y93" s="10">
        <v>6607.26704069069</v>
      </c>
      <c r="Z93" s="10">
        <v>75.760808864190693</v>
      </c>
    </row>
    <row r="94" spans="1:26" x14ac:dyDescent="0.35">
      <c r="A94" s="10" t="s">
        <v>71</v>
      </c>
      <c r="B94" s="10" t="s">
        <v>23</v>
      </c>
      <c r="C94" s="10">
        <v>2025</v>
      </c>
      <c r="D94" s="10" t="s">
        <v>84</v>
      </c>
      <c r="E94" s="10" t="s">
        <v>85</v>
      </c>
      <c r="F94" s="10" t="s">
        <v>86</v>
      </c>
      <c r="G94" s="10" t="s">
        <v>87</v>
      </c>
      <c r="H94" s="10" t="s">
        <v>19</v>
      </c>
      <c r="I94" s="10" t="s">
        <v>88</v>
      </c>
      <c r="J94" s="10">
        <v>67.670522741990695</v>
      </c>
      <c r="K94" s="10">
        <v>0</v>
      </c>
      <c r="L94" s="10">
        <v>0</v>
      </c>
      <c r="M94" s="10">
        <v>0</v>
      </c>
      <c r="N94" s="10">
        <v>0</v>
      </c>
      <c r="O94" s="10">
        <v>0</v>
      </c>
      <c r="P94" s="10">
        <v>0</v>
      </c>
      <c r="Q94" s="10">
        <v>160.609098502515</v>
      </c>
      <c r="R94" s="10">
        <v>0</v>
      </c>
      <c r="S94" s="10">
        <v>0</v>
      </c>
      <c r="T94" s="10">
        <v>0</v>
      </c>
      <c r="U94" s="10">
        <v>0</v>
      </c>
      <c r="V94" s="10">
        <v>0</v>
      </c>
      <c r="W94" s="10">
        <v>0</v>
      </c>
      <c r="X94" s="10">
        <v>0.272428629951873</v>
      </c>
      <c r="Y94" s="10">
        <v>2373.3982241407198</v>
      </c>
      <c r="Z94" s="10">
        <v>75.760808864190693</v>
      </c>
    </row>
    <row r="95" spans="1:26" x14ac:dyDescent="0.35">
      <c r="A95" s="10" t="s">
        <v>71</v>
      </c>
      <c r="B95" s="10" t="s">
        <v>20</v>
      </c>
      <c r="C95" s="10">
        <v>2025</v>
      </c>
      <c r="D95" s="10" t="s">
        <v>84</v>
      </c>
      <c r="E95" s="10" t="s">
        <v>85</v>
      </c>
      <c r="F95" s="10" t="s">
        <v>86</v>
      </c>
      <c r="G95" s="10" t="s">
        <v>87</v>
      </c>
      <c r="H95" s="10" t="s">
        <v>19</v>
      </c>
      <c r="I95" s="10" t="s">
        <v>88</v>
      </c>
      <c r="J95" s="10">
        <v>7.6027832300626601</v>
      </c>
      <c r="K95" s="10">
        <v>429.30636065194801</v>
      </c>
      <c r="L95" s="10">
        <v>40.216895705118397</v>
      </c>
      <c r="M95" s="10">
        <v>8.5835422667407393</v>
      </c>
      <c r="N95" s="10">
        <v>0</v>
      </c>
      <c r="O95" s="10">
        <v>0</v>
      </c>
      <c r="P95" s="10">
        <v>48.800437971859097</v>
      </c>
      <c r="Q95" s="10">
        <v>18.0444322167574</v>
      </c>
      <c r="R95" s="10">
        <v>0</v>
      </c>
      <c r="S95" s="10">
        <v>929.28825916299002</v>
      </c>
      <c r="T95" s="10">
        <v>0</v>
      </c>
      <c r="U95" s="10">
        <v>0</v>
      </c>
      <c r="V95" s="10">
        <v>0</v>
      </c>
      <c r="W95" s="10">
        <v>2.7044596020338698</v>
      </c>
      <c r="X95" s="10">
        <v>0.272428629951873</v>
      </c>
      <c r="Y95" s="10">
        <v>2373.3982241407198</v>
      </c>
      <c r="Z95" s="10">
        <v>75.760808864190693</v>
      </c>
    </row>
    <row r="96" spans="1:26" x14ac:dyDescent="0.35">
      <c r="A96" s="10" t="s">
        <v>71</v>
      </c>
      <c r="B96" s="10" t="s">
        <v>24</v>
      </c>
      <c r="C96" s="10">
        <v>2025</v>
      </c>
      <c r="D96" s="10" t="s">
        <v>84</v>
      </c>
      <c r="E96" s="10" t="s">
        <v>85</v>
      </c>
      <c r="F96" s="10" t="s">
        <v>86</v>
      </c>
      <c r="G96" s="10" t="s">
        <v>87</v>
      </c>
      <c r="H96" s="10" t="s">
        <v>19</v>
      </c>
      <c r="I96" s="10" t="s">
        <v>88</v>
      </c>
      <c r="J96" s="10">
        <v>2.7270001207841998</v>
      </c>
      <c r="K96" s="10">
        <v>0</v>
      </c>
      <c r="L96" s="10">
        <v>0</v>
      </c>
      <c r="M96" s="10">
        <v>0</v>
      </c>
      <c r="N96" s="10">
        <v>0</v>
      </c>
      <c r="O96" s="10">
        <v>0</v>
      </c>
      <c r="P96" s="10">
        <v>0</v>
      </c>
      <c r="Q96" s="10">
        <v>18.018018018019699</v>
      </c>
      <c r="R96" s="10">
        <v>0</v>
      </c>
      <c r="S96" s="10">
        <v>0</v>
      </c>
      <c r="T96" s="10">
        <v>0</v>
      </c>
      <c r="U96" s="10">
        <v>0</v>
      </c>
      <c r="V96" s="10">
        <v>0</v>
      </c>
      <c r="W96" s="10">
        <v>0</v>
      </c>
      <c r="X96" s="10">
        <v>0.75840989906917899</v>
      </c>
      <c r="Y96" s="10">
        <v>6607.26704069069</v>
      </c>
      <c r="Z96" s="10">
        <v>75.760808864190693</v>
      </c>
    </row>
    <row r="97" spans="1:26" x14ac:dyDescent="0.35">
      <c r="A97" s="10" t="s">
        <v>71</v>
      </c>
      <c r="B97" s="10" t="s">
        <v>89</v>
      </c>
      <c r="C97" s="10">
        <v>2025</v>
      </c>
      <c r="D97" s="10" t="s">
        <v>84</v>
      </c>
      <c r="E97" s="10" t="s">
        <v>85</v>
      </c>
      <c r="F97" s="10" t="s">
        <v>86</v>
      </c>
      <c r="G97" s="10" t="s">
        <v>87</v>
      </c>
      <c r="H97" s="10" t="s">
        <v>19</v>
      </c>
      <c r="I97" s="10" t="s">
        <v>88</v>
      </c>
      <c r="J97" s="10">
        <v>571.81004992722399</v>
      </c>
      <c r="K97" s="10">
        <v>0</v>
      </c>
      <c r="L97" s="10">
        <v>0</v>
      </c>
      <c r="M97" s="10">
        <v>0</v>
      </c>
      <c r="N97" s="10">
        <v>0</v>
      </c>
      <c r="O97" s="10">
        <v>0</v>
      </c>
      <c r="P97" s="10">
        <v>0</v>
      </c>
      <c r="Q97" s="10">
        <v>127.193739310186</v>
      </c>
      <c r="R97" s="10">
        <v>0</v>
      </c>
      <c r="S97" s="10">
        <v>119.56211495157601</v>
      </c>
      <c r="T97" s="10">
        <v>0</v>
      </c>
      <c r="U97" s="10">
        <v>0</v>
      </c>
      <c r="V97" s="10">
        <v>0</v>
      </c>
      <c r="W97" s="10">
        <v>0</v>
      </c>
      <c r="X97" s="10">
        <v>2.5532661305512499E-2</v>
      </c>
      <c r="Y97" s="10">
        <v>222.44054529362501</v>
      </c>
      <c r="Z97" s="10">
        <v>75.760808864190693</v>
      </c>
    </row>
    <row r="98" spans="1:26" x14ac:dyDescent="0.35">
      <c r="A98" s="10" t="s">
        <v>71</v>
      </c>
      <c r="B98" s="10" t="s">
        <v>90</v>
      </c>
      <c r="C98" s="10">
        <v>2025</v>
      </c>
      <c r="D98" s="10" t="s">
        <v>84</v>
      </c>
      <c r="E98" s="10" t="s">
        <v>85</v>
      </c>
      <c r="F98" s="10" t="s">
        <v>86</v>
      </c>
      <c r="G98" s="10" t="s">
        <v>87</v>
      </c>
      <c r="H98" s="10" t="s">
        <v>19</v>
      </c>
      <c r="I98" s="10" t="s">
        <v>88</v>
      </c>
      <c r="J98" s="10">
        <v>574.53705004800804</v>
      </c>
      <c r="K98" s="10">
        <v>0</v>
      </c>
      <c r="L98" s="10">
        <v>0</v>
      </c>
      <c r="M98" s="10">
        <v>0</v>
      </c>
      <c r="N98" s="10">
        <v>0</v>
      </c>
      <c r="O98" s="10">
        <v>0</v>
      </c>
      <c r="P98" s="10">
        <v>0</v>
      </c>
      <c r="Q98" s="10">
        <v>127.167325111452</v>
      </c>
      <c r="R98" s="10">
        <v>0</v>
      </c>
      <c r="S98" s="10">
        <v>0</v>
      </c>
      <c r="T98" s="10">
        <v>0</v>
      </c>
      <c r="U98" s="10">
        <v>0</v>
      </c>
      <c r="V98" s="10">
        <v>0</v>
      </c>
      <c r="W98" s="10">
        <v>0</v>
      </c>
      <c r="X98" s="10">
        <v>2.5406195130217701E-2</v>
      </c>
      <c r="Y98" s="10">
        <v>221.33877197445699</v>
      </c>
      <c r="Z98" s="10">
        <v>75.760808864190693</v>
      </c>
    </row>
    <row r="99" spans="1:26" x14ac:dyDescent="0.35">
      <c r="A99" s="10" t="s">
        <v>71</v>
      </c>
      <c r="B99" s="10" t="s">
        <v>91</v>
      </c>
      <c r="C99" s="10">
        <v>2025</v>
      </c>
      <c r="D99" s="10" t="s">
        <v>84</v>
      </c>
      <c r="E99" s="10" t="s">
        <v>85</v>
      </c>
      <c r="F99" s="10" t="s">
        <v>86</v>
      </c>
      <c r="G99" s="10" t="s">
        <v>87</v>
      </c>
      <c r="H99" s="10" t="s">
        <v>19</v>
      </c>
      <c r="I99" s="10" t="s">
        <v>88</v>
      </c>
      <c r="J99" s="10">
        <v>254.950001085266</v>
      </c>
      <c r="K99" s="10">
        <v>117.46959599964001</v>
      </c>
      <c r="L99" s="10">
        <v>9.6023005241008992</v>
      </c>
      <c r="M99" s="10">
        <v>0.25282779906222203</v>
      </c>
      <c r="N99" s="10">
        <v>0</v>
      </c>
      <c r="O99" s="10">
        <v>0</v>
      </c>
      <c r="P99" s="10">
        <v>9.8551283231631199</v>
      </c>
      <c r="Q99" s="10">
        <v>1129.36545919127</v>
      </c>
      <c r="R99" s="10">
        <v>0</v>
      </c>
      <c r="S99" s="10">
        <v>0</v>
      </c>
      <c r="T99" s="10">
        <v>0</v>
      </c>
      <c r="U99" s="10">
        <v>0</v>
      </c>
      <c r="V99" s="10">
        <v>0</v>
      </c>
      <c r="W99" s="10">
        <v>8.7262526429843397E-3</v>
      </c>
      <c r="X99" s="10">
        <v>0.50846564667148597</v>
      </c>
      <c r="Y99" s="10">
        <v>4429.7527138019796</v>
      </c>
      <c r="Z99" s="10">
        <v>75.760808864190693</v>
      </c>
    </row>
    <row r="100" spans="1:26" x14ac:dyDescent="0.35">
      <c r="A100" s="10" t="s">
        <v>71</v>
      </c>
      <c r="B100" s="10" t="s">
        <v>92</v>
      </c>
      <c r="C100" s="10">
        <v>2025</v>
      </c>
      <c r="D100" s="10" t="s">
        <v>84</v>
      </c>
      <c r="E100" s="10" t="s">
        <v>85</v>
      </c>
      <c r="F100" s="10" t="s">
        <v>86</v>
      </c>
      <c r="G100" s="10" t="s">
        <v>87</v>
      </c>
      <c r="H100" s="10" t="s">
        <v>19</v>
      </c>
      <c r="I100" s="10" t="s">
        <v>88</v>
      </c>
      <c r="J100" s="10">
        <v>717.63895665300402</v>
      </c>
      <c r="K100" s="10">
        <v>394.70142615915199</v>
      </c>
      <c r="L100" s="10">
        <v>75.811250769606801</v>
      </c>
      <c r="M100" s="10">
        <v>6.5305145055423397</v>
      </c>
      <c r="N100" s="10">
        <v>0</v>
      </c>
      <c r="O100" s="10">
        <v>0</v>
      </c>
      <c r="P100" s="10">
        <v>82.3417652751492</v>
      </c>
      <c r="Q100" s="10">
        <v>1086.8649174899299</v>
      </c>
      <c r="R100" s="10">
        <v>0</v>
      </c>
      <c r="S100" s="10">
        <v>0</v>
      </c>
      <c r="T100" s="10">
        <v>0</v>
      </c>
      <c r="U100" s="10">
        <v>0</v>
      </c>
      <c r="V100" s="10">
        <v>0</v>
      </c>
      <c r="W100" s="10">
        <v>7.5760808864190704E-2</v>
      </c>
      <c r="X100" s="10">
        <v>0.17384079430670299</v>
      </c>
      <c r="Y100" s="10">
        <v>1514.501</v>
      </c>
      <c r="Z100" s="10">
        <v>75.760808864190693</v>
      </c>
    </row>
    <row r="101" spans="1:26" x14ac:dyDescent="0.35">
      <c r="A101" s="10" t="s">
        <v>71</v>
      </c>
      <c r="B101" s="10" t="s">
        <v>7</v>
      </c>
      <c r="C101" s="10">
        <v>2025</v>
      </c>
      <c r="D101" s="10" t="s">
        <v>84</v>
      </c>
      <c r="E101" s="10" t="s">
        <v>85</v>
      </c>
      <c r="F101" s="10" t="s">
        <v>86</v>
      </c>
      <c r="G101" s="10" t="s">
        <v>87</v>
      </c>
      <c r="H101" s="10" t="s">
        <v>19</v>
      </c>
      <c r="I101" s="10" t="s">
        <v>88</v>
      </c>
      <c r="J101" s="10">
        <v>0</v>
      </c>
      <c r="K101" s="10">
        <v>0</v>
      </c>
      <c r="L101" s="10">
        <v>0</v>
      </c>
      <c r="M101" s="10">
        <v>0</v>
      </c>
      <c r="N101" s="10">
        <v>0</v>
      </c>
      <c r="O101" s="10">
        <v>0</v>
      </c>
      <c r="P101" s="10">
        <v>0</v>
      </c>
      <c r="Q101" s="10">
        <v>0</v>
      </c>
      <c r="R101" s="10">
        <v>0</v>
      </c>
      <c r="S101" s="10">
        <v>0</v>
      </c>
      <c r="T101" s="10">
        <v>0</v>
      </c>
      <c r="U101" s="10">
        <v>0</v>
      </c>
      <c r="V101" s="10">
        <v>0</v>
      </c>
      <c r="W101" s="10">
        <v>0</v>
      </c>
      <c r="X101" s="10" t="s">
        <v>14</v>
      </c>
      <c r="Y101" s="10" t="s">
        <v>14</v>
      </c>
      <c r="Z101" s="10">
        <v>75.760808864190693</v>
      </c>
    </row>
    <row r="102" spans="1:26" x14ac:dyDescent="0.35">
      <c r="A102" s="10" t="s">
        <v>71</v>
      </c>
      <c r="B102" s="10" t="s">
        <v>8</v>
      </c>
      <c r="C102" s="10">
        <v>2025</v>
      </c>
      <c r="D102" s="10" t="s">
        <v>84</v>
      </c>
      <c r="E102" s="10" t="s">
        <v>85</v>
      </c>
      <c r="F102" s="10" t="s">
        <v>86</v>
      </c>
      <c r="G102" s="10" t="s">
        <v>87</v>
      </c>
      <c r="H102" s="10" t="s">
        <v>19</v>
      </c>
      <c r="I102" s="10" t="s">
        <v>88</v>
      </c>
      <c r="J102" s="10">
        <v>0</v>
      </c>
      <c r="K102" s="10">
        <v>0</v>
      </c>
      <c r="L102" s="10">
        <v>0</v>
      </c>
      <c r="M102" s="10">
        <v>0</v>
      </c>
      <c r="N102" s="10">
        <v>0</v>
      </c>
      <c r="O102" s="10">
        <v>0</v>
      </c>
      <c r="P102" s="10">
        <v>0</v>
      </c>
      <c r="Q102" s="10">
        <v>0</v>
      </c>
      <c r="R102" s="10">
        <v>0</v>
      </c>
      <c r="S102" s="10">
        <v>0</v>
      </c>
      <c r="T102" s="10">
        <v>0</v>
      </c>
      <c r="U102" s="10">
        <v>0</v>
      </c>
      <c r="V102" s="10">
        <v>0</v>
      </c>
      <c r="W102" s="10">
        <v>0</v>
      </c>
      <c r="X102" s="10" t="s">
        <v>14</v>
      </c>
      <c r="Y102" s="10" t="s">
        <v>14</v>
      </c>
      <c r="Z102" s="10">
        <v>75.760808864190693</v>
      </c>
    </row>
    <row r="103" spans="1:26" x14ac:dyDescent="0.35">
      <c r="A103" s="10" t="s">
        <v>71</v>
      </c>
      <c r="B103" s="10" t="s">
        <v>9</v>
      </c>
      <c r="C103" s="10">
        <v>2025</v>
      </c>
      <c r="D103" s="10" t="s">
        <v>84</v>
      </c>
      <c r="E103" s="10" t="s">
        <v>85</v>
      </c>
      <c r="F103" s="10" t="s">
        <v>86</v>
      </c>
      <c r="G103" s="10" t="s">
        <v>87</v>
      </c>
      <c r="H103" s="10" t="s">
        <v>19</v>
      </c>
      <c r="I103" s="10" t="s">
        <v>88</v>
      </c>
      <c r="J103" s="10">
        <v>70.3286177519944</v>
      </c>
      <c r="K103" s="10">
        <v>0</v>
      </c>
      <c r="L103" s="10">
        <v>0</v>
      </c>
      <c r="M103" s="10">
        <v>0</v>
      </c>
      <c r="N103" s="10">
        <v>4.2160454024194403E-2</v>
      </c>
      <c r="O103" s="10">
        <v>0</v>
      </c>
      <c r="P103" s="10">
        <v>4.2160454024194403E-2</v>
      </c>
      <c r="Q103" s="10">
        <v>20.215217840693899</v>
      </c>
      <c r="R103" s="10">
        <v>0</v>
      </c>
      <c r="S103" s="10">
        <v>0</v>
      </c>
      <c r="T103" s="10">
        <v>0</v>
      </c>
      <c r="U103" s="10">
        <v>0</v>
      </c>
      <c r="V103" s="10">
        <v>0</v>
      </c>
      <c r="W103" s="10">
        <v>2.0855800000000001E-3</v>
      </c>
      <c r="X103" s="10">
        <v>3.2993506725008899E-2</v>
      </c>
      <c r="Y103" s="10">
        <v>287.43943058827801</v>
      </c>
      <c r="Z103" s="10">
        <v>75.760808864190693</v>
      </c>
    </row>
    <row r="104" spans="1:26" x14ac:dyDescent="0.35">
      <c r="A104" s="10" t="s">
        <v>71</v>
      </c>
      <c r="B104" s="10" t="s">
        <v>10</v>
      </c>
      <c r="C104" s="10">
        <v>2025</v>
      </c>
      <c r="D104" s="10" t="s">
        <v>84</v>
      </c>
      <c r="E104" s="10" t="s">
        <v>85</v>
      </c>
      <c r="F104" s="10" t="s">
        <v>86</v>
      </c>
      <c r="G104" s="10" t="s">
        <v>87</v>
      </c>
      <c r="H104" s="10" t="s">
        <v>19</v>
      </c>
      <c r="I104" s="10" t="s">
        <v>88</v>
      </c>
      <c r="J104" s="10">
        <v>66.965633472748905</v>
      </c>
      <c r="K104" s="10">
        <v>0</v>
      </c>
      <c r="L104" s="10">
        <v>0</v>
      </c>
      <c r="M104" s="10">
        <v>0</v>
      </c>
      <c r="N104" s="10">
        <v>0</v>
      </c>
      <c r="O104" s="10">
        <v>0</v>
      </c>
      <c r="P104" s="10">
        <v>0</v>
      </c>
      <c r="Q104" s="10">
        <v>20.200674465347898</v>
      </c>
      <c r="R104" s="10">
        <v>0</v>
      </c>
      <c r="S104" s="10">
        <v>0</v>
      </c>
      <c r="T104" s="10">
        <v>0</v>
      </c>
      <c r="U104" s="10">
        <v>0</v>
      </c>
      <c r="V104" s="10">
        <v>0</v>
      </c>
      <c r="W104" s="10">
        <v>0</v>
      </c>
      <c r="X104" s="10">
        <v>3.4625497478755499E-2</v>
      </c>
      <c r="Y104" s="10">
        <v>301.65733403491799</v>
      </c>
      <c r="Z104" s="10">
        <v>75.760808864190693</v>
      </c>
    </row>
    <row r="105" spans="1:26" x14ac:dyDescent="0.35">
      <c r="A105" s="10" t="s">
        <v>71</v>
      </c>
      <c r="B105" s="10" t="s">
        <v>4</v>
      </c>
      <c r="C105" s="10">
        <v>2025</v>
      </c>
      <c r="D105" s="10" t="s">
        <v>84</v>
      </c>
      <c r="E105" s="10" t="s">
        <v>85</v>
      </c>
      <c r="F105" s="10" t="s">
        <v>86</v>
      </c>
      <c r="G105" s="10" t="s">
        <v>87</v>
      </c>
      <c r="H105" s="10" t="s">
        <v>19</v>
      </c>
      <c r="I105" s="10" t="s">
        <v>88</v>
      </c>
      <c r="J105" s="10">
        <v>72.716876727482799</v>
      </c>
      <c r="K105" s="10">
        <v>26.311128190474101</v>
      </c>
      <c r="L105" s="10">
        <v>2.6798465228288499</v>
      </c>
      <c r="M105" s="10">
        <v>0.36911813795637499</v>
      </c>
      <c r="N105" s="10">
        <v>0</v>
      </c>
      <c r="O105" s="10">
        <v>0</v>
      </c>
      <c r="P105" s="10">
        <v>3.0489646607852201</v>
      </c>
      <c r="Q105" s="10">
        <v>349.98376355932402</v>
      </c>
      <c r="R105" s="10">
        <v>0</v>
      </c>
      <c r="S105" s="10">
        <v>0</v>
      </c>
      <c r="T105" s="10">
        <v>0</v>
      </c>
      <c r="U105" s="10">
        <v>0</v>
      </c>
      <c r="V105" s="10">
        <v>0</v>
      </c>
      <c r="W105" s="10">
        <v>8.71173173800221E-3</v>
      </c>
      <c r="X105" s="10">
        <v>0.55245233450083198</v>
      </c>
      <c r="Y105" s="10">
        <v>4812.9647381712402</v>
      </c>
      <c r="Z105" s="10">
        <v>75.760808864190693</v>
      </c>
    </row>
    <row r="106" spans="1:26" x14ac:dyDescent="0.35">
      <c r="A106" s="10" t="s">
        <v>53</v>
      </c>
      <c r="B106" s="10" t="s">
        <v>25</v>
      </c>
      <c r="C106" s="10">
        <v>2025</v>
      </c>
      <c r="D106" s="10" t="s">
        <v>84</v>
      </c>
      <c r="E106" s="10" t="s">
        <v>85</v>
      </c>
      <c r="F106" s="10" t="s">
        <v>86</v>
      </c>
      <c r="G106" s="10" t="s">
        <v>87</v>
      </c>
      <c r="H106" s="10" t="s">
        <v>19</v>
      </c>
      <c r="I106" s="10" t="s">
        <v>88</v>
      </c>
      <c r="J106" s="10">
        <v>15.000539075195499</v>
      </c>
      <c r="K106" s="10">
        <v>62.882259803219597</v>
      </c>
      <c r="L106" s="10">
        <v>6.7156229579392202</v>
      </c>
      <c r="M106" s="10">
        <v>6.5402350367852504</v>
      </c>
      <c r="N106" s="10">
        <v>0</v>
      </c>
      <c r="O106" s="10">
        <v>0</v>
      </c>
      <c r="P106" s="10">
        <v>13.2558579947244</v>
      </c>
      <c r="Q106" s="10">
        <v>99.999999999987907</v>
      </c>
      <c r="R106" s="10">
        <v>0</v>
      </c>
      <c r="S106" s="10">
        <v>37.999999999989001</v>
      </c>
      <c r="T106" s="10">
        <v>1.2730986210547199</v>
      </c>
      <c r="U106" s="10">
        <v>68.446162422296993</v>
      </c>
      <c r="V106" s="10">
        <v>246.40618472026901</v>
      </c>
      <c r="W106" s="10">
        <v>0.13255857994726</v>
      </c>
      <c r="X106" s="10">
        <v>0.76520053791325604</v>
      </c>
      <c r="Y106" s="10">
        <v>6666.4270863002803</v>
      </c>
      <c r="Z106" s="10">
        <v>42.340187342101601</v>
      </c>
    </row>
    <row r="107" spans="1:26" x14ac:dyDescent="0.35">
      <c r="A107" s="10" t="s">
        <v>53</v>
      </c>
      <c r="B107" s="10" t="s">
        <v>23</v>
      </c>
      <c r="C107" s="10">
        <v>2025</v>
      </c>
      <c r="D107" s="10" t="s">
        <v>84</v>
      </c>
      <c r="E107" s="10" t="s">
        <v>85</v>
      </c>
      <c r="F107" s="10" t="s">
        <v>86</v>
      </c>
      <c r="G107" s="10" t="s">
        <v>87</v>
      </c>
      <c r="H107" s="10" t="s">
        <v>19</v>
      </c>
      <c r="I107" s="10" t="s">
        <v>88</v>
      </c>
      <c r="J107" s="10">
        <v>61.573629765771997</v>
      </c>
      <c r="K107" s="10">
        <v>0</v>
      </c>
      <c r="L107" s="10">
        <v>0</v>
      </c>
      <c r="M107" s="10">
        <v>0</v>
      </c>
      <c r="N107" s="10">
        <v>0</v>
      </c>
      <c r="O107" s="10">
        <v>0</v>
      </c>
      <c r="P107" s="10">
        <v>0</v>
      </c>
      <c r="Q107" s="10">
        <v>160.554202830891</v>
      </c>
      <c r="R107" s="10">
        <v>0</v>
      </c>
      <c r="S107" s="10">
        <v>0</v>
      </c>
      <c r="T107" s="10">
        <v>0</v>
      </c>
      <c r="U107" s="10">
        <v>0</v>
      </c>
      <c r="V107" s="10">
        <v>0</v>
      </c>
      <c r="W107" s="10">
        <v>0</v>
      </c>
      <c r="X107" s="10">
        <v>0.29930161195252503</v>
      </c>
      <c r="Y107" s="10">
        <v>2607.5156433304001</v>
      </c>
      <c r="Z107" s="10">
        <v>42.340187342101601</v>
      </c>
    </row>
    <row r="108" spans="1:26" x14ac:dyDescent="0.35">
      <c r="A108" s="10" t="s">
        <v>53</v>
      </c>
      <c r="B108" s="10" t="s">
        <v>20</v>
      </c>
      <c r="C108" s="10">
        <v>2025</v>
      </c>
      <c r="D108" s="10" t="s">
        <v>84</v>
      </c>
      <c r="E108" s="10" t="s">
        <v>85</v>
      </c>
      <c r="F108" s="10" t="s">
        <v>86</v>
      </c>
      <c r="G108" s="10" t="s">
        <v>87</v>
      </c>
      <c r="H108" s="10" t="s">
        <v>19</v>
      </c>
      <c r="I108" s="10" t="s">
        <v>88</v>
      </c>
      <c r="J108" s="10">
        <v>6.9177973041844796</v>
      </c>
      <c r="K108" s="10">
        <v>390.62726037538499</v>
      </c>
      <c r="L108" s="10">
        <v>41.717734158776501</v>
      </c>
      <c r="M108" s="10">
        <v>7.8101931564242797</v>
      </c>
      <c r="N108" s="10">
        <v>0</v>
      </c>
      <c r="O108" s="10">
        <v>0</v>
      </c>
      <c r="P108" s="10">
        <v>49.527927315200799</v>
      </c>
      <c r="Q108" s="10">
        <v>18.038264688050099</v>
      </c>
      <c r="R108" s="10">
        <v>0</v>
      </c>
      <c r="S108" s="10">
        <v>928.97063143454295</v>
      </c>
      <c r="T108" s="10">
        <v>0</v>
      </c>
      <c r="U108" s="10">
        <v>0</v>
      </c>
      <c r="V108" s="10">
        <v>0</v>
      </c>
      <c r="W108" s="10">
        <v>2.7457146334043698</v>
      </c>
      <c r="X108" s="10">
        <v>0.29930161195252503</v>
      </c>
      <c r="Y108" s="10">
        <v>2607.5156433304001</v>
      </c>
      <c r="Z108" s="10">
        <v>42.340187342101601</v>
      </c>
    </row>
    <row r="109" spans="1:26" x14ac:dyDescent="0.35">
      <c r="A109" s="10" t="s">
        <v>53</v>
      </c>
      <c r="B109" s="10" t="s">
        <v>24</v>
      </c>
      <c r="C109" s="10">
        <v>2025</v>
      </c>
      <c r="D109" s="10" t="s">
        <v>84</v>
      </c>
      <c r="E109" s="10" t="s">
        <v>85</v>
      </c>
      <c r="F109" s="10" t="s">
        <v>86</v>
      </c>
      <c r="G109" s="10" t="s">
        <v>87</v>
      </c>
      <c r="H109" s="10" t="s">
        <v>19</v>
      </c>
      <c r="I109" s="10" t="s">
        <v>88</v>
      </c>
      <c r="J109" s="10">
        <v>2.7027998333685601</v>
      </c>
      <c r="K109" s="10">
        <v>0</v>
      </c>
      <c r="L109" s="10">
        <v>0</v>
      </c>
      <c r="M109" s="10">
        <v>0</v>
      </c>
      <c r="N109" s="10">
        <v>0</v>
      </c>
      <c r="O109" s="10">
        <v>0</v>
      </c>
      <c r="P109" s="10">
        <v>0</v>
      </c>
      <c r="Q109" s="10">
        <v>18.018018018018498</v>
      </c>
      <c r="R109" s="10">
        <v>0</v>
      </c>
      <c r="S109" s="10">
        <v>0</v>
      </c>
      <c r="T109" s="10">
        <v>0</v>
      </c>
      <c r="U109" s="10">
        <v>0</v>
      </c>
      <c r="V109" s="10">
        <v>0</v>
      </c>
      <c r="W109" s="10">
        <v>0</v>
      </c>
      <c r="X109" s="10">
        <v>0.76520053791340004</v>
      </c>
      <c r="Y109" s="10">
        <v>6666.4270863015399</v>
      </c>
      <c r="Z109" s="10">
        <v>42.340187342101601</v>
      </c>
    </row>
    <row r="110" spans="1:26" x14ac:dyDescent="0.35">
      <c r="A110" s="10" t="s">
        <v>53</v>
      </c>
      <c r="B110" s="10" t="s">
        <v>89</v>
      </c>
      <c r="C110" s="10">
        <v>2025</v>
      </c>
      <c r="D110" s="10" t="s">
        <v>84</v>
      </c>
      <c r="E110" s="10" t="s">
        <v>85</v>
      </c>
      <c r="F110" s="10" t="s">
        <v>86</v>
      </c>
      <c r="G110" s="10" t="s">
        <v>87</v>
      </c>
      <c r="H110" s="10" t="s">
        <v>19</v>
      </c>
      <c r="I110" s="10" t="s">
        <v>88</v>
      </c>
      <c r="J110" s="10">
        <v>668.64209999188699</v>
      </c>
      <c r="K110" s="10">
        <v>0</v>
      </c>
      <c r="L110" s="10">
        <v>0</v>
      </c>
      <c r="M110" s="10">
        <v>0</v>
      </c>
      <c r="N110" s="10">
        <v>0</v>
      </c>
      <c r="O110" s="10">
        <v>0</v>
      </c>
      <c r="P110" s="10">
        <v>0</v>
      </c>
      <c r="Q110" s="10">
        <v>250.19522621761001</v>
      </c>
      <c r="R110" s="10">
        <v>0</v>
      </c>
      <c r="S110" s="10">
        <v>235.18351264455299</v>
      </c>
      <c r="T110" s="10">
        <v>0</v>
      </c>
      <c r="U110" s="10">
        <v>0</v>
      </c>
      <c r="V110" s="10">
        <v>0</v>
      </c>
      <c r="W110" s="10">
        <v>0</v>
      </c>
      <c r="X110" s="10">
        <v>4.2950421922268202E-2</v>
      </c>
      <c r="Y110" s="10">
        <v>374.18407578680097</v>
      </c>
      <c r="Z110" s="10">
        <v>42.340187342101601</v>
      </c>
    </row>
    <row r="111" spans="1:26" x14ac:dyDescent="0.35">
      <c r="A111" s="10" t="s">
        <v>53</v>
      </c>
      <c r="B111" s="10" t="s">
        <v>90</v>
      </c>
      <c r="C111" s="10">
        <v>2025</v>
      </c>
      <c r="D111" s="10" t="s">
        <v>84</v>
      </c>
      <c r="E111" s="10" t="s">
        <v>85</v>
      </c>
      <c r="F111" s="10" t="s">
        <v>86</v>
      </c>
      <c r="G111" s="10" t="s">
        <v>87</v>
      </c>
      <c r="H111" s="10" t="s">
        <v>19</v>
      </c>
      <c r="I111" s="10" t="s">
        <v>88</v>
      </c>
      <c r="J111" s="10">
        <v>671.34489982525599</v>
      </c>
      <c r="K111" s="10">
        <v>0</v>
      </c>
      <c r="L111" s="10">
        <v>0</v>
      </c>
      <c r="M111" s="10">
        <v>0</v>
      </c>
      <c r="N111" s="10">
        <v>0</v>
      </c>
      <c r="O111" s="10">
        <v>0</v>
      </c>
      <c r="P111" s="10">
        <v>0</v>
      </c>
      <c r="Q111" s="10">
        <v>250.174979547568</v>
      </c>
      <c r="R111" s="10">
        <v>0</v>
      </c>
      <c r="S111" s="10">
        <v>0</v>
      </c>
      <c r="T111" s="10">
        <v>0</v>
      </c>
      <c r="U111" s="10">
        <v>0</v>
      </c>
      <c r="V111" s="10">
        <v>0</v>
      </c>
      <c r="W111" s="10">
        <v>0</v>
      </c>
      <c r="X111" s="10">
        <v>4.2774044040820199E-2</v>
      </c>
      <c r="Y111" s="10">
        <v>372.64747168362499</v>
      </c>
      <c r="Z111" s="10">
        <v>42.340187342101601</v>
      </c>
    </row>
    <row r="112" spans="1:26" x14ac:dyDescent="0.35">
      <c r="A112" s="10" t="s">
        <v>53</v>
      </c>
      <c r="B112" s="10" t="s">
        <v>91</v>
      </c>
      <c r="C112" s="10">
        <v>2025</v>
      </c>
      <c r="D112" s="10" t="s">
        <v>84</v>
      </c>
      <c r="E112" s="10" t="s">
        <v>85</v>
      </c>
      <c r="F112" s="10" t="s">
        <v>86</v>
      </c>
      <c r="G112" s="10" t="s">
        <v>87</v>
      </c>
      <c r="H112" s="10" t="s">
        <v>19</v>
      </c>
      <c r="I112" s="10" t="s">
        <v>88</v>
      </c>
      <c r="J112" s="10">
        <v>224.96300034203099</v>
      </c>
      <c r="K112" s="10">
        <v>103.652922739966</v>
      </c>
      <c r="L112" s="10">
        <v>10.053431717398</v>
      </c>
      <c r="M112" s="10">
        <v>0.223090409903107</v>
      </c>
      <c r="N112" s="10">
        <v>0</v>
      </c>
      <c r="O112" s="10">
        <v>0</v>
      </c>
      <c r="P112" s="10">
        <v>10.276522127301099</v>
      </c>
      <c r="Q112" s="10">
        <v>999.56989762778096</v>
      </c>
      <c r="R112" s="10">
        <v>0</v>
      </c>
      <c r="S112" s="10">
        <v>0</v>
      </c>
      <c r="T112" s="10">
        <v>0</v>
      </c>
      <c r="U112" s="10">
        <v>0</v>
      </c>
      <c r="V112" s="10">
        <v>0</v>
      </c>
      <c r="W112" s="10">
        <v>1.0280943985698E-2</v>
      </c>
      <c r="X112" s="10">
        <v>0.51001647630807301</v>
      </c>
      <c r="Y112" s="10">
        <v>4443.2635415959303</v>
      </c>
      <c r="Z112" s="10">
        <v>42.340187342101601</v>
      </c>
    </row>
    <row r="113" spans="1:26" x14ac:dyDescent="0.35">
      <c r="A113" s="10" t="s">
        <v>53</v>
      </c>
      <c r="B113" s="10" t="s">
        <v>92</v>
      </c>
      <c r="C113" s="10">
        <v>2025</v>
      </c>
      <c r="D113" s="10" t="s">
        <v>84</v>
      </c>
      <c r="E113" s="10" t="s">
        <v>85</v>
      </c>
      <c r="F113" s="10" t="s">
        <v>86</v>
      </c>
      <c r="G113" s="10" t="s">
        <v>87</v>
      </c>
      <c r="H113" s="10" t="s">
        <v>19</v>
      </c>
      <c r="I113" s="10" t="s">
        <v>88</v>
      </c>
      <c r="J113" s="10">
        <v>793.77193847427895</v>
      </c>
      <c r="K113" s="10">
        <v>436.57456616085301</v>
      </c>
      <c r="L113" s="10">
        <v>43.676710403630501</v>
      </c>
      <c r="M113" s="10">
        <v>7.2233246401159299</v>
      </c>
      <c r="N113" s="10">
        <v>0</v>
      </c>
      <c r="O113" s="10">
        <v>0</v>
      </c>
      <c r="P113" s="10">
        <v>50.900035043746499</v>
      </c>
      <c r="Q113" s="10">
        <v>1202.16839459123</v>
      </c>
      <c r="R113" s="10">
        <v>0</v>
      </c>
      <c r="S113" s="10">
        <v>0</v>
      </c>
      <c r="T113" s="10">
        <v>0</v>
      </c>
      <c r="U113" s="10">
        <v>0</v>
      </c>
      <c r="V113" s="10">
        <v>0</v>
      </c>
      <c r="W113" s="10">
        <v>4.2340187342101598E-2</v>
      </c>
      <c r="X113" s="10">
        <v>0.17384079430670299</v>
      </c>
      <c r="Y113" s="10">
        <v>1514.501</v>
      </c>
      <c r="Z113" s="10">
        <v>42.340187342101601</v>
      </c>
    </row>
    <row r="114" spans="1:26" x14ac:dyDescent="0.35">
      <c r="A114" s="10" t="s">
        <v>53</v>
      </c>
      <c r="B114" s="10" t="s">
        <v>7</v>
      </c>
      <c r="C114" s="10">
        <v>2025</v>
      </c>
      <c r="D114" s="10" t="s">
        <v>84</v>
      </c>
      <c r="E114" s="10" t="s">
        <v>85</v>
      </c>
      <c r="F114" s="10" t="s">
        <v>86</v>
      </c>
      <c r="G114" s="10" t="s">
        <v>87</v>
      </c>
      <c r="H114" s="10" t="s">
        <v>19</v>
      </c>
      <c r="I114" s="10" t="s">
        <v>88</v>
      </c>
      <c r="J114" s="10">
        <v>0</v>
      </c>
      <c r="K114" s="10">
        <v>0</v>
      </c>
      <c r="L114" s="10">
        <v>0</v>
      </c>
      <c r="M114" s="10">
        <v>0</v>
      </c>
      <c r="N114" s="10">
        <v>0</v>
      </c>
      <c r="O114" s="10">
        <v>0</v>
      </c>
      <c r="P114" s="10">
        <v>0</v>
      </c>
      <c r="Q114" s="13">
        <v>-3.4924596548080401E-16</v>
      </c>
      <c r="R114" s="10">
        <v>0</v>
      </c>
      <c r="S114" s="10">
        <v>0</v>
      </c>
      <c r="T114" s="10">
        <v>0</v>
      </c>
      <c r="U114" s="10">
        <v>0</v>
      </c>
      <c r="V114" s="10">
        <v>0</v>
      </c>
      <c r="W114" s="10">
        <v>0</v>
      </c>
      <c r="X114" s="10" t="s">
        <v>14</v>
      </c>
      <c r="Y114" s="10" t="s">
        <v>14</v>
      </c>
      <c r="Z114" s="10">
        <v>42.340187342101601</v>
      </c>
    </row>
    <row r="115" spans="1:26" x14ac:dyDescent="0.35">
      <c r="A115" s="10" t="s">
        <v>53</v>
      </c>
      <c r="B115" s="10" t="s">
        <v>8</v>
      </c>
      <c r="C115" s="10">
        <v>2025</v>
      </c>
      <c r="D115" s="10" t="s">
        <v>84</v>
      </c>
      <c r="E115" s="10" t="s">
        <v>85</v>
      </c>
      <c r="F115" s="10" t="s">
        <v>86</v>
      </c>
      <c r="G115" s="10" t="s">
        <v>87</v>
      </c>
      <c r="H115" s="10" t="s">
        <v>19</v>
      </c>
      <c r="I115" s="10" t="s">
        <v>88</v>
      </c>
      <c r="J115" s="10">
        <v>0</v>
      </c>
      <c r="K115" s="10">
        <v>0</v>
      </c>
      <c r="L115" s="10">
        <v>0</v>
      </c>
      <c r="M115" s="10">
        <v>0</v>
      </c>
      <c r="N115" s="10">
        <v>0</v>
      </c>
      <c r="O115" s="10">
        <v>0</v>
      </c>
      <c r="P115" s="10">
        <v>0</v>
      </c>
      <c r="Q115" s="10">
        <v>0</v>
      </c>
      <c r="R115" s="10">
        <v>0</v>
      </c>
      <c r="S115" s="10">
        <v>0</v>
      </c>
      <c r="T115" s="10">
        <v>0</v>
      </c>
      <c r="U115" s="10">
        <v>0</v>
      </c>
      <c r="V115" s="10">
        <v>0</v>
      </c>
      <c r="W115" s="10">
        <v>0</v>
      </c>
      <c r="X115" s="10" t="s">
        <v>14</v>
      </c>
      <c r="Y115" s="10" t="s">
        <v>14</v>
      </c>
      <c r="Z115" s="10">
        <v>42.340187342101601</v>
      </c>
    </row>
    <row r="116" spans="1:26" x14ac:dyDescent="0.35">
      <c r="A116" s="10" t="s">
        <v>53</v>
      </c>
      <c r="B116" s="10" t="s">
        <v>9</v>
      </c>
      <c r="C116" s="10">
        <v>2025</v>
      </c>
      <c r="D116" s="10" t="s">
        <v>84</v>
      </c>
      <c r="E116" s="10" t="s">
        <v>85</v>
      </c>
      <c r="F116" s="10" t="s">
        <v>86</v>
      </c>
      <c r="G116" s="10" t="s">
        <v>87</v>
      </c>
      <c r="H116" s="10" t="s">
        <v>19</v>
      </c>
      <c r="I116" s="10" t="s">
        <v>88</v>
      </c>
      <c r="J116" s="10">
        <v>71.252560607178694</v>
      </c>
      <c r="K116" s="10">
        <v>0</v>
      </c>
      <c r="L116" s="10">
        <v>0</v>
      </c>
      <c r="M116" s="10">
        <v>0</v>
      </c>
      <c r="N116" s="10">
        <v>4.1828379312826201E-2</v>
      </c>
      <c r="O116" s="10">
        <v>0</v>
      </c>
      <c r="P116" s="10">
        <v>4.1828379312826201E-2</v>
      </c>
      <c r="Q116" s="10">
        <v>20.055993686564999</v>
      </c>
      <c r="R116" s="10">
        <v>0</v>
      </c>
      <c r="S116" s="10">
        <v>0</v>
      </c>
      <c r="T116" s="10">
        <v>0</v>
      </c>
      <c r="U116" s="10">
        <v>0</v>
      </c>
      <c r="V116" s="10">
        <v>0</v>
      </c>
      <c r="W116" s="10">
        <v>2.0855799999999901E-3</v>
      </c>
      <c r="X116" s="10">
        <v>3.2309172962833803E-2</v>
      </c>
      <c r="Y116" s="10">
        <v>281.477514852208</v>
      </c>
      <c r="Z116" s="10">
        <v>42.340187342101601</v>
      </c>
    </row>
    <row r="117" spans="1:26" x14ac:dyDescent="0.35">
      <c r="A117" s="10" t="s">
        <v>53</v>
      </c>
      <c r="B117" s="10" t="s">
        <v>10</v>
      </c>
      <c r="C117" s="10">
        <v>2025</v>
      </c>
      <c r="D117" s="10" t="s">
        <v>84</v>
      </c>
      <c r="E117" s="10" t="s">
        <v>85</v>
      </c>
      <c r="F117" s="10" t="s">
        <v>86</v>
      </c>
      <c r="G117" s="10" t="s">
        <v>87</v>
      </c>
      <c r="H117" s="10" t="s">
        <v>19</v>
      </c>
      <c r="I117" s="10" t="s">
        <v>88</v>
      </c>
      <c r="J117" s="10">
        <v>54.151946061455803</v>
      </c>
      <c r="K117" s="10">
        <v>0</v>
      </c>
      <c r="L117" s="10">
        <v>0</v>
      </c>
      <c r="M117" s="10">
        <v>0</v>
      </c>
      <c r="N117" s="10">
        <v>0</v>
      </c>
      <c r="O117" s="10">
        <v>0</v>
      </c>
      <c r="P117" s="10">
        <v>0</v>
      </c>
      <c r="Q117" s="10">
        <v>20.041743174442701</v>
      </c>
      <c r="R117" s="10">
        <v>0</v>
      </c>
      <c r="S117" s="10">
        <v>0</v>
      </c>
      <c r="T117" s="10">
        <v>0</v>
      </c>
      <c r="U117" s="10">
        <v>0</v>
      </c>
      <c r="V117" s="10">
        <v>0</v>
      </c>
      <c r="W117" s="10">
        <v>0</v>
      </c>
      <c r="X117" s="10">
        <v>4.2481863318021201E-2</v>
      </c>
      <c r="Y117" s="10">
        <v>370.101993226601</v>
      </c>
      <c r="Z117" s="10">
        <v>42.340187342101601</v>
      </c>
    </row>
    <row r="118" spans="1:26" x14ac:dyDescent="0.35">
      <c r="A118" s="10" t="s">
        <v>53</v>
      </c>
      <c r="B118" s="10" t="s">
        <v>4</v>
      </c>
      <c r="C118" s="10">
        <v>2025</v>
      </c>
      <c r="D118" s="10" t="s">
        <v>84</v>
      </c>
      <c r="E118" s="10" t="s">
        <v>85</v>
      </c>
      <c r="F118" s="10" t="s">
        <v>86</v>
      </c>
      <c r="G118" s="10" t="s">
        <v>87</v>
      </c>
      <c r="H118" s="10" t="s">
        <v>19</v>
      </c>
      <c r="I118" s="10" t="s">
        <v>88</v>
      </c>
      <c r="J118" s="10">
        <v>71.252560607178694</v>
      </c>
      <c r="K118" s="10">
        <v>25.7812950776317</v>
      </c>
      <c r="L118" s="10">
        <v>2.9460061222732699</v>
      </c>
      <c r="M118" s="10">
        <v>0.36168512289810001</v>
      </c>
      <c r="N118" s="10">
        <v>0</v>
      </c>
      <c r="O118" s="10">
        <v>0</v>
      </c>
      <c r="P118" s="10">
        <v>3.30769124517137</v>
      </c>
      <c r="Q118" s="10">
        <v>339.62280255343899</v>
      </c>
      <c r="R118" s="10">
        <v>0</v>
      </c>
      <c r="S118" s="10">
        <v>0</v>
      </c>
      <c r="T118" s="10">
        <v>0</v>
      </c>
      <c r="U118" s="10">
        <v>0</v>
      </c>
      <c r="V118" s="10">
        <v>0</v>
      </c>
      <c r="W118" s="10">
        <v>9.7393084925471093E-3</v>
      </c>
      <c r="X118" s="10">
        <v>0.54711484463476701</v>
      </c>
      <c r="Y118" s="10">
        <v>4766.4645264580904</v>
      </c>
      <c r="Z118" s="10">
        <v>42.340187342101601</v>
      </c>
    </row>
    <row r="119" spans="1:26" x14ac:dyDescent="0.35">
      <c r="A119" s="10" t="s">
        <v>54</v>
      </c>
      <c r="B119" s="10" t="s">
        <v>25</v>
      </c>
      <c r="C119" s="10">
        <v>2025</v>
      </c>
      <c r="D119" s="10" t="s">
        <v>84</v>
      </c>
      <c r="E119" s="10" t="s">
        <v>85</v>
      </c>
      <c r="F119" s="10" t="s">
        <v>86</v>
      </c>
      <c r="G119" s="10" t="s">
        <v>87</v>
      </c>
      <c r="H119" s="10" t="s">
        <v>19</v>
      </c>
      <c r="I119" s="10" t="s">
        <v>88</v>
      </c>
      <c r="J119" s="10">
        <v>15.003417701276501</v>
      </c>
      <c r="K119" s="10">
        <v>62.894327003751101</v>
      </c>
      <c r="L119" s="10">
        <v>7.5773756709006204</v>
      </c>
      <c r="M119" s="10">
        <v>6.5414901177565499</v>
      </c>
      <c r="N119" s="10">
        <v>0</v>
      </c>
      <c r="O119" s="10">
        <v>0</v>
      </c>
      <c r="P119" s="10">
        <v>14.1188657886571</v>
      </c>
      <c r="Q119" s="10">
        <v>99.9999999999972</v>
      </c>
      <c r="R119" s="10">
        <v>0</v>
      </c>
      <c r="S119" s="10">
        <v>37.999999999998103</v>
      </c>
      <c r="T119" s="10">
        <v>1.41901109770788</v>
      </c>
      <c r="U119" s="10">
        <v>76.290919231606793</v>
      </c>
      <c r="V119" s="10">
        <v>274.64730923378397</v>
      </c>
      <c r="W119" s="10">
        <v>0.141188657886575</v>
      </c>
      <c r="X119" s="10">
        <v>0.76505372294967</v>
      </c>
      <c r="Y119" s="10">
        <v>6665.1480343375297</v>
      </c>
      <c r="Z119" s="10">
        <v>47.696760528302804</v>
      </c>
    </row>
    <row r="120" spans="1:26" x14ac:dyDescent="0.35">
      <c r="A120" s="10" t="s">
        <v>54</v>
      </c>
      <c r="B120" s="10" t="s">
        <v>23</v>
      </c>
      <c r="C120" s="10">
        <v>2025</v>
      </c>
      <c r="D120" s="10" t="s">
        <v>84</v>
      </c>
      <c r="E120" s="10" t="s">
        <v>85</v>
      </c>
      <c r="F120" s="10" t="s">
        <v>86</v>
      </c>
      <c r="G120" s="10" t="s">
        <v>87</v>
      </c>
      <c r="H120" s="10" t="s">
        <v>19</v>
      </c>
      <c r="I120" s="10" t="s">
        <v>88</v>
      </c>
      <c r="J120" s="10">
        <v>61.627217252787503</v>
      </c>
      <c r="K120" s="10">
        <v>0</v>
      </c>
      <c r="L120" s="10">
        <v>0</v>
      </c>
      <c r="M120" s="10">
        <v>0</v>
      </c>
      <c r="N120" s="10">
        <v>0</v>
      </c>
      <c r="O120" s="10">
        <v>0</v>
      </c>
      <c r="P120" s="10">
        <v>0</v>
      </c>
      <c r="Q120" s="10">
        <v>160.554556255287</v>
      </c>
      <c r="R120" s="10">
        <v>0</v>
      </c>
      <c r="S120" s="10">
        <v>0</v>
      </c>
      <c r="T120" s="10">
        <v>0</v>
      </c>
      <c r="U120" s="10">
        <v>0</v>
      </c>
      <c r="V120" s="10">
        <v>0</v>
      </c>
      <c r="W120" s="10">
        <v>0</v>
      </c>
      <c r="X120" s="10">
        <v>0.29904201474177</v>
      </c>
      <c r="Y120" s="10">
        <v>2605.2540324303</v>
      </c>
      <c r="Z120" s="10">
        <v>47.696760528302804</v>
      </c>
    </row>
    <row r="121" spans="1:26" x14ac:dyDescent="0.35">
      <c r="A121" s="10" t="s">
        <v>54</v>
      </c>
      <c r="B121" s="10" t="s">
        <v>20</v>
      </c>
      <c r="C121" s="10">
        <v>2025</v>
      </c>
      <c r="D121" s="10" t="s">
        <v>84</v>
      </c>
      <c r="E121" s="10" t="s">
        <v>85</v>
      </c>
      <c r="F121" s="10" t="s">
        <v>86</v>
      </c>
      <c r="G121" s="10" t="s">
        <v>87</v>
      </c>
      <c r="H121" s="10" t="s">
        <v>19</v>
      </c>
      <c r="I121" s="10" t="s">
        <v>88</v>
      </c>
      <c r="J121" s="10">
        <v>6.92381785835068</v>
      </c>
      <c r="K121" s="10">
        <v>390.96722300748797</v>
      </c>
      <c r="L121" s="10">
        <v>47.102905220049898</v>
      </c>
      <c r="M121" s="10">
        <v>7.8169903620779202</v>
      </c>
      <c r="N121" s="10">
        <v>0</v>
      </c>
      <c r="O121" s="10">
        <v>0</v>
      </c>
      <c r="P121" s="10">
        <v>54.9198955821279</v>
      </c>
      <c r="Q121" s="10">
        <v>18.038304395281401</v>
      </c>
      <c r="R121" s="10">
        <v>0</v>
      </c>
      <c r="S121" s="10">
        <v>928.97267635699598</v>
      </c>
      <c r="T121" s="10">
        <v>0</v>
      </c>
      <c r="U121" s="10">
        <v>0</v>
      </c>
      <c r="V121" s="10">
        <v>0</v>
      </c>
      <c r="W121" s="10">
        <v>3.04462627853726</v>
      </c>
      <c r="X121" s="10">
        <v>0.29904201474177</v>
      </c>
      <c r="Y121" s="10">
        <v>2605.2540324303</v>
      </c>
      <c r="Z121" s="10">
        <v>47.696760528302804</v>
      </c>
    </row>
    <row r="122" spans="1:26" x14ac:dyDescent="0.35">
      <c r="A122" s="10" t="s">
        <v>54</v>
      </c>
      <c r="B122" s="10" t="s">
        <v>24</v>
      </c>
      <c r="C122" s="10">
        <v>2025</v>
      </c>
      <c r="D122" s="10" t="s">
        <v>84</v>
      </c>
      <c r="E122" s="10" t="s">
        <v>85</v>
      </c>
      <c r="F122" s="10" t="s">
        <v>86</v>
      </c>
      <c r="G122" s="10" t="s">
        <v>87</v>
      </c>
      <c r="H122" s="10" t="s">
        <v>19</v>
      </c>
      <c r="I122" s="10" t="s">
        <v>88</v>
      </c>
      <c r="J122" s="10">
        <v>2.7033185047344999</v>
      </c>
      <c r="K122" s="10">
        <v>0</v>
      </c>
      <c r="L122" s="10">
        <v>0</v>
      </c>
      <c r="M122" s="10">
        <v>0</v>
      </c>
      <c r="N122" s="10">
        <v>0</v>
      </c>
      <c r="O122" s="10">
        <v>0</v>
      </c>
      <c r="P122" s="10">
        <v>0</v>
      </c>
      <c r="Q122" s="10">
        <v>18.018018018018701</v>
      </c>
      <c r="R122" s="10">
        <v>0</v>
      </c>
      <c r="S122" s="10">
        <v>0</v>
      </c>
      <c r="T122" s="10">
        <v>0</v>
      </c>
      <c r="U122" s="10">
        <v>0</v>
      </c>
      <c r="V122" s="10">
        <v>0</v>
      </c>
      <c r="W122" s="10">
        <v>0</v>
      </c>
      <c r="X122" s="10">
        <v>0.76505372294967</v>
      </c>
      <c r="Y122" s="10">
        <v>6665.1480343375297</v>
      </c>
      <c r="Z122" s="10">
        <v>47.696760528302804</v>
      </c>
    </row>
    <row r="123" spans="1:26" x14ac:dyDescent="0.35">
      <c r="A123" s="10" t="s">
        <v>54</v>
      </c>
      <c r="B123" s="10" t="s">
        <v>89</v>
      </c>
      <c r="C123" s="10">
        <v>2025</v>
      </c>
      <c r="D123" s="10" t="s">
        <v>84</v>
      </c>
      <c r="E123" s="10" t="s">
        <v>85</v>
      </c>
      <c r="F123" s="10" t="s">
        <v>86</v>
      </c>
      <c r="G123" s="10" t="s">
        <v>87</v>
      </c>
      <c r="H123" s="10" t="s">
        <v>19</v>
      </c>
      <c r="I123" s="10" t="s">
        <v>88</v>
      </c>
      <c r="J123" s="10">
        <v>688.845985896873</v>
      </c>
      <c r="K123" s="10">
        <v>0</v>
      </c>
      <c r="L123" s="10">
        <v>0</v>
      </c>
      <c r="M123" s="10">
        <v>0</v>
      </c>
      <c r="N123" s="10">
        <v>0</v>
      </c>
      <c r="O123" s="10">
        <v>0</v>
      </c>
      <c r="P123" s="10">
        <v>0</v>
      </c>
      <c r="Q123" s="10">
        <v>248.52800434650399</v>
      </c>
      <c r="R123" s="10">
        <v>0</v>
      </c>
      <c r="S123" s="10">
        <v>233.61632408571401</v>
      </c>
      <c r="T123" s="10">
        <v>0</v>
      </c>
      <c r="U123" s="10">
        <v>0</v>
      </c>
      <c r="V123" s="10">
        <v>0</v>
      </c>
      <c r="W123" s="10">
        <v>0</v>
      </c>
      <c r="X123" s="10">
        <v>4.1412870446376503E-2</v>
      </c>
      <c r="Y123" s="10">
        <v>360.78892732883202</v>
      </c>
      <c r="Z123" s="10">
        <v>47.696760528302804</v>
      </c>
    </row>
    <row r="124" spans="1:26" x14ac:dyDescent="0.35">
      <c r="A124" s="10" t="s">
        <v>54</v>
      </c>
      <c r="B124" s="10" t="s">
        <v>90</v>
      </c>
      <c r="C124" s="10">
        <v>2025</v>
      </c>
      <c r="D124" s="10" t="s">
        <v>84</v>
      </c>
      <c r="E124" s="10" t="s">
        <v>85</v>
      </c>
      <c r="F124" s="10" t="s">
        <v>86</v>
      </c>
      <c r="G124" s="10" t="s">
        <v>87</v>
      </c>
      <c r="H124" s="10" t="s">
        <v>19</v>
      </c>
      <c r="I124" s="10" t="s">
        <v>88</v>
      </c>
      <c r="J124" s="10">
        <v>691.54930440160797</v>
      </c>
      <c r="K124" s="10">
        <v>0</v>
      </c>
      <c r="L124" s="10">
        <v>0</v>
      </c>
      <c r="M124" s="10">
        <v>0</v>
      </c>
      <c r="N124" s="10">
        <v>0</v>
      </c>
      <c r="O124" s="10">
        <v>0</v>
      </c>
      <c r="P124" s="10">
        <v>0</v>
      </c>
      <c r="Q124" s="10">
        <v>248.507717969227</v>
      </c>
      <c r="R124" s="10">
        <v>0</v>
      </c>
      <c r="S124" s="10">
        <v>0</v>
      </c>
      <c r="T124" s="10">
        <v>0</v>
      </c>
      <c r="U124" s="10">
        <v>0</v>
      </c>
      <c r="V124" s="10">
        <v>0</v>
      </c>
      <c r="W124" s="10">
        <v>0</v>
      </c>
      <c r="X124" s="10">
        <v>4.12476172475277E-2</v>
      </c>
      <c r="Y124" s="10">
        <v>359.34924146046097</v>
      </c>
      <c r="Z124" s="10">
        <v>47.696760528302804</v>
      </c>
    </row>
    <row r="125" spans="1:26" x14ac:dyDescent="0.35">
      <c r="A125" s="10" t="s">
        <v>54</v>
      </c>
      <c r="B125" s="10" t="s">
        <v>91</v>
      </c>
      <c r="C125" s="10">
        <v>2025</v>
      </c>
      <c r="D125" s="10" t="s">
        <v>84</v>
      </c>
      <c r="E125" s="10" t="s">
        <v>85</v>
      </c>
      <c r="F125" s="10" t="s">
        <v>86</v>
      </c>
      <c r="G125" s="10" t="s">
        <v>87</v>
      </c>
      <c r="H125" s="10" t="s">
        <v>19</v>
      </c>
      <c r="I125" s="10" t="s">
        <v>88</v>
      </c>
      <c r="J125" s="10">
        <v>225.404191811891</v>
      </c>
      <c r="K125" s="10">
        <v>103.85620410298699</v>
      </c>
      <c r="L125" s="10">
        <v>11.6897799844725</v>
      </c>
      <c r="M125" s="10">
        <v>0.22352792889826201</v>
      </c>
      <c r="N125" s="10">
        <v>0</v>
      </c>
      <c r="O125" s="10">
        <v>0</v>
      </c>
      <c r="P125" s="10">
        <v>11.913307913370801</v>
      </c>
      <c r="Q125" s="10">
        <v>967.83213996984898</v>
      </c>
      <c r="R125" s="10">
        <v>0</v>
      </c>
      <c r="S125" s="10">
        <v>0</v>
      </c>
      <c r="T125" s="10">
        <v>0</v>
      </c>
      <c r="U125" s="10">
        <v>0</v>
      </c>
      <c r="V125" s="10">
        <v>0</v>
      </c>
      <c r="W125" s="10">
        <v>1.23092708139884E-2</v>
      </c>
      <c r="X125" s="10">
        <v>0.49285615559267498</v>
      </c>
      <c r="Y125" s="10">
        <v>4293.7628275233901</v>
      </c>
      <c r="Z125" s="10">
        <v>47.696760528302804</v>
      </c>
    </row>
    <row r="126" spans="1:26" x14ac:dyDescent="0.35">
      <c r="A126" s="10" t="s">
        <v>54</v>
      </c>
      <c r="B126" s="10" t="s">
        <v>92</v>
      </c>
      <c r="C126" s="10">
        <v>2025</v>
      </c>
      <c r="D126" s="10" t="s">
        <v>84</v>
      </c>
      <c r="E126" s="10" t="s">
        <v>85</v>
      </c>
      <c r="F126" s="10" t="s">
        <v>86</v>
      </c>
      <c r="G126" s="10" t="s">
        <v>87</v>
      </c>
      <c r="H126" s="10" t="s">
        <v>19</v>
      </c>
      <c r="I126" s="10" t="s">
        <v>88</v>
      </c>
      <c r="J126" s="10">
        <v>792.73850178343002</v>
      </c>
      <c r="K126" s="10">
        <v>436.00617598088598</v>
      </c>
      <c r="L126" s="10">
        <v>50.050965514500703</v>
      </c>
      <c r="M126" s="10">
        <v>7.2139203662292104</v>
      </c>
      <c r="N126" s="10">
        <v>0</v>
      </c>
      <c r="O126" s="10">
        <v>0</v>
      </c>
      <c r="P126" s="10">
        <v>57.264885880729899</v>
      </c>
      <c r="Q126" s="10">
        <v>1200.60325368951</v>
      </c>
      <c r="R126" s="10">
        <v>0</v>
      </c>
      <c r="S126" s="10">
        <v>0</v>
      </c>
      <c r="T126" s="10">
        <v>0</v>
      </c>
      <c r="U126" s="10">
        <v>0</v>
      </c>
      <c r="V126" s="10">
        <v>0</v>
      </c>
      <c r="W126" s="10">
        <v>4.7696760528302802E-2</v>
      </c>
      <c r="X126" s="10">
        <v>0.17384079430670299</v>
      </c>
      <c r="Y126" s="10">
        <v>1514.501</v>
      </c>
      <c r="Z126" s="10">
        <v>47.696760528302804</v>
      </c>
    </row>
    <row r="127" spans="1:26" x14ac:dyDescent="0.35">
      <c r="A127" s="10" t="s">
        <v>54</v>
      </c>
      <c r="B127" s="10" t="s">
        <v>7</v>
      </c>
      <c r="C127" s="10">
        <v>2025</v>
      </c>
      <c r="D127" s="10" t="s">
        <v>84</v>
      </c>
      <c r="E127" s="10" t="s">
        <v>85</v>
      </c>
      <c r="F127" s="10" t="s">
        <v>86</v>
      </c>
      <c r="G127" s="10" t="s">
        <v>87</v>
      </c>
      <c r="H127" s="10" t="s">
        <v>19</v>
      </c>
      <c r="I127" s="10" t="s">
        <v>88</v>
      </c>
      <c r="J127" s="10">
        <v>0</v>
      </c>
      <c r="K127" s="10">
        <v>0</v>
      </c>
      <c r="L127" s="10">
        <v>0</v>
      </c>
      <c r="M127" s="10">
        <v>0</v>
      </c>
      <c r="N127" s="10">
        <v>0</v>
      </c>
      <c r="O127" s="10">
        <v>0</v>
      </c>
      <c r="P127" s="10">
        <v>0</v>
      </c>
      <c r="Q127" s="10">
        <v>0</v>
      </c>
      <c r="R127" s="10">
        <v>0</v>
      </c>
      <c r="S127" s="10">
        <v>0</v>
      </c>
      <c r="T127" s="10">
        <v>0</v>
      </c>
      <c r="U127" s="10">
        <v>0</v>
      </c>
      <c r="V127" s="10">
        <v>0</v>
      </c>
      <c r="W127" s="10">
        <v>0</v>
      </c>
      <c r="X127" s="10" t="s">
        <v>14</v>
      </c>
      <c r="Y127" s="10" t="s">
        <v>14</v>
      </c>
      <c r="Z127" s="10">
        <v>47.696760528302804</v>
      </c>
    </row>
    <row r="128" spans="1:26" x14ac:dyDescent="0.35">
      <c r="A128" s="10" t="s">
        <v>54</v>
      </c>
      <c r="B128" s="10" t="s">
        <v>8</v>
      </c>
      <c r="C128" s="10">
        <v>2025</v>
      </c>
      <c r="D128" s="10" t="s">
        <v>84</v>
      </c>
      <c r="E128" s="10" t="s">
        <v>85</v>
      </c>
      <c r="F128" s="10" t="s">
        <v>86</v>
      </c>
      <c r="G128" s="10" t="s">
        <v>87</v>
      </c>
      <c r="H128" s="10" t="s">
        <v>19</v>
      </c>
      <c r="I128" s="10" t="s">
        <v>88</v>
      </c>
      <c r="J128" s="10">
        <v>0</v>
      </c>
      <c r="K128" s="10">
        <v>0</v>
      </c>
      <c r="L128" s="10">
        <v>0</v>
      </c>
      <c r="M128" s="10">
        <v>0</v>
      </c>
      <c r="N128" s="10">
        <v>0</v>
      </c>
      <c r="O128" s="10">
        <v>0</v>
      </c>
      <c r="P128" s="10">
        <v>0</v>
      </c>
      <c r="Q128" s="10">
        <v>0</v>
      </c>
      <c r="R128" s="10">
        <v>0</v>
      </c>
      <c r="S128" s="10">
        <v>0</v>
      </c>
      <c r="T128" s="10">
        <v>0</v>
      </c>
      <c r="U128" s="10">
        <v>0</v>
      </c>
      <c r="V128" s="10">
        <v>0</v>
      </c>
      <c r="W128" s="10">
        <v>0</v>
      </c>
      <c r="X128" s="10" t="s">
        <v>14</v>
      </c>
      <c r="Y128" s="10" t="s">
        <v>14</v>
      </c>
      <c r="Z128" s="10">
        <v>47.696760528302804</v>
      </c>
    </row>
    <row r="129" spans="1:26" x14ac:dyDescent="0.35">
      <c r="A129" s="10" t="s">
        <v>54</v>
      </c>
      <c r="B129" s="10" t="s">
        <v>9</v>
      </c>
      <c r="C129" s="10">
        <v>2025</v>
      </c>
      <c r="D129" s="10" t="s">
        <v>84</v>
      </c>
      <c r="E129" s="10" t="s">
        <v>85</v>
      </c>
      <c r="F129" s="10" t="s">
        <v>86</v>
      </c>
      <c r="G129" s="10" t="s">
        <v>87</v>
      </c>
      <c r="H129" s="10" t="s">
        <v>19</v>
      </c>
      <c r="I129" s="10" t="s">
        <v>88</v>
      </c>
      <c r="J129" s="10">
        <v>71.266234081063303</v>
      </c>
      <c r="K129" s="10">
        <v>0</v>
      </c>
      <c r="L129" s="10">
        <v>0</v>
      </c>
      <c r="M129" s="10">
        <v>0</v>
      </c>
      <c r="N129" s="10">
        <v>4.1828109316791103E-2</v>
      </c>
      <c r="O129" s="10">
        <v>0</v>
      </c>
      <c r="P129" s="10">
        <v>4.1828109316791103E-2</v>
      </c>
      <c r="Q129" s="10">
        <v>20.055864228076199</v>
      </c>
      <c r="R129" s="10">
        <v>0</v>
      </c>
      <c r="S129" s="10">
        <v>0</v>
      </c>
      <c r="T129" s="10">
        <v>0</v>
      </c>
      <c r="U129" s="10">
        <v>0</v>
      </c>
      <c r="V129" s="10">
        <v>0</v>
      </c>
      <c r="W129" s="10">
        <v>2.0855799999999901E-3</v>
      </c>
      <c r="X129" s="10">
        <v>3.2302765462445503E-2</v>
      </c>
      <c r="Y129" s="10">
        <v>281.42169270882499</v>
      </c>
      <c r="Z129" s="10">
        <v>47.696760528302804</v>
      </c>
    </row>
    <row r="130" spans="1:26" x14ac:dyDescent="0.35">
      <c r="A130" s="10" t="s">
        <v>54</v>
      </c>
      <c r="B130" s="10" t="s">
        <v>10</v>
      </c>
      <c r="C130" s="10">
        <v>2025</v>
      </c>
      <c r="D130" s="10" t="s">
        <v>84</v>
      </c>
      <c r="E130" s="10" t="s">
        <v>85</v>
      </c>
      <c r="F130" s="10" t="s">
        <v>86</v>
      </c>
      <c r="G130" s="10" t="s">
        <v>87</v>
      </c>
      <c r="H130" s="10" t="s">
        <v>19</v>
      </c>
      <c r="I130" s="10" t="s">
        <v>88</v>
      </c>
      <c r="J130" s="10">
        <v>54.955076403391601</v>
      </c>
      <c r="K130" s="10">
        <v>0</v>
      </c>
      <c r="L130" s="10">
        <v>0</v>
      </c>
      <c r="M130" s="10">
        <v>0</v>
      </c>
      <c r="N130" s="10">
        <v>0</v>
      </c>
      <c r="O130" s="10">
        <v>0</v>
      </c>
      <c r="P130" s="10">
        <v>0</v>
      </c>
      <c r="Q130" s="10">
        <v>20.041610981258401</v>
      </c>
      <c r="R130" s="10">
        <v>0</v>
      </c>
      <c r="S130" s="10">
        <v>0</v>
      </c>
      <c r="T130" s="10">
        <v>0</v>
      </c>
      <c r="U130" s="10">
        <v>0</v>
      </c>
      <c r="V130" s="10">
        <v>0</v>
      </c>
      <c r="W130" s="10">
        <v>0</v>
      </c>
      <c r="X130" s="10">
        <v>4.1860744227003997E-2</v>
      </c>
      <c r="Y130" s="10">
        <v>364.69080370565899</v>
      </c>
      <c r="Z130" s="10">
        <v>47.696760528302804</v>
      </c>
    </row>
    <row r="131" spans="1:26" x14ac:dyDescent="0.35">
      <c r="A131" s="10" t="s">
        <v>54</v>
      </c>
      <c r="B131" s="10" t="s">
        <v>4</v>
      </c>
      <c r="C131" s="10">
        <v>2025</v>
      </c>
      <c r="D131" s="10" t="s">
        <v>84</v>
      </c>
      <c r="E131" s="10" t="s">
        <v>85</v>
      </c>
      <c r="F131" s="10" t="s">
        <v>86</v>
      </c>
      <c r="G131" s="10" t="s">
        <v>87</v>
      </c>
      <c r="H131" s="10" t="s">
        <v>19</v>
      </c>
      <c r="I131" s="10" t="s">
        <v>88</v>
      </c>
      <c r="J131" s="10">
        <v>71.266234081063303</v>
      </c>
      <c r="K131" s="10">
        <v>25.786242547055199</v>
      </c>
      <c r="L131" s="10">
        <v>3.2805719657641399</v>
      </c>
      <c r="M131" s="10">
        <v>0.36175453081888498</v>
      </c>
      <c r="N131" s="10">
        <v>0</v>
      </c>
      <c r="O131" s="10">
        <v>0</v>
      </c>
      <c r="P131" s="10">
        <v>3.64232649658303</v>
      </c>
      <c r="Q131" s="10">
        <v>350.77858175857199</v>
      </c>
      <c r="R131" s="10">
        <v>0</v>
      </c>
      <c r="S131" s="10">
        <v>0</v>
      </c>
      <c r="T131" s="10">
        <v>0</v>
      </c>
      <c r="U131" s="10">
        <v>0</v>
      </c>
      <c r="V131" s="10">
        <v>0</v>
      </c>
      <c r="W131" s="10">
        <v>1.03835487284394E-2</v>
      </c>
      <c r="X131" s="10">
        <v>0.56497781032706795</v>
      </c>
      <c r="Y131" s="10">
        <v>4922.0866835694196</v>
      </c>
      <c r="Z131" s="10">
        <v>47.696760528302804</v>
      </c>
    </row>
    <row r="132" spans="1:26" x14ac:dyDescent="0.35">
      <c r="A132" s="10" t="s">
        <v>55</v>
      </c>
      <c r="B132" s="10" t="s">
        <v>25</v>
      </c>
      <c r="C132" s="10">
        <v>2025</v>
      </c>
      <c r="D132" s="10" t="s">
        <v>84</v>
      </c>
      <c r="E132" s="10" t="s">
        <v>85</v>
      </c>
      <c r="F132" s="10" t="s">
        <v>86</v>
      </c>
      <c r="G132" s="10" t="s">
        <v>87</v>
      </c>
      <c r="H132" s="10" t="s">
        <v>19</v>
      </c>
      <c r="I132" s="10" t="s">
        <v>88</v>
      </c>
      <c r="J132" s="10">
        <v>15.006313220458299</v>
      </c>
      <c r="K132" s="10">
        <v>62.9064650201611</v>
      </c>
      <c r="L132" s="10">
        <v>8.4689972246792795</v>
      </c>
      <c r="M132" s="10">
        <v>6.5427525641198097</v>
      </c>
      <c r="N132" s="10">
        <v>0</v>
      </c>
      <c r="O132" s="10">
        <v>0</v>
      </c>
      <c r="P132" s="10">
        <v>15.011749788798999</v>
      </c>
      <c r="Q132" s="10">
        <v>100</v>
      </c>
      <c r="R132" s="10">
        <v>0</v>
      </c>
      <c r="S132" s="10">
        <v>38.000000000004299</v>
      </c>
      <c r="T132" s="10">
        <v>1.5689958554157</v>
      </c>
      <c r="U132" s="10">
        <v>84.354615882565</v>
      </c>
      <c r="V132" s="10">
        <v>303.67661717723399</v>
      </c>
      <c r="W132" s="10">
        <v>0.15011749788799</v>
      </c>
      <c r="X132" s="10">
        <v>0.76490610323140995</v>
      </c>
      <c r="Y132" s="10">
        <v>6663.8619713520402</v>
      </c>
      <c r="Z132" s="10">
        <v>53.189073834953</v>
      </c>
    </row>
    <row r="133" spans="1:26" x14ac:dyDescent="0.35">
      <c r="A133" s="10" t="s">
        <v>55</v>
      </c>
      <c r="B133" s="10" t="s">
        <v>23</v>
      </c>
      <c r="C133" s="10">
        <v>2025</v>
      </c>
      <c r="D133" s="10" t="s">
        <v>84</v>
      </c>
      <c r="E133" s="10" t="s">
        <v>85</v>
      </c>
      <c r="F133" s="10" t="s">
        <v>86</v>
      </c>
      <c r="G133" s="10" t="s">
        <v>87</v>
      </c>
      <c r="H133" s="10" t="s">
        <v>19</v>
      </c>
      <c r="I133" s="10" t="s">
        <v>88</v>
      </c>
      <c r="J133" s="10">
        <v>61.680765591874497</v>
      </c>
      <c r="K133" s="10">
        <v>0</v>
      </c>
      <c r="L133" s="10">
        <v>0</v>
      </c>
      <c r="M133" s="10">
        <v>0</v>
      </c>
      <c r="N133" s="10">
        <v>0</v>
      </c>
      <c r="O133" s="10">
        <v>0</v>
      </c>
      <c r="P133" s="10">
        <v>0</v>
      </c>
      <c r="Q133" s="10">
        <v>160.55490905451401</v>
      </c>
      <c r="R133" s="10">
        <v>0</v>
      </c>
      <c r="S133" s="10">
        <v>0</v>
      </c>
      <c r="T133" s="10">
        <v>0</v>
      </c>
      <c r="U133" s="10">
        <v>0</v>
      </c>
      <c r="V133" s="10">
        <v>0</v>
      </c>
      <c r="W133" s="10">
        <v>0</v>
      </c>
      <c r="X133" s="10">
        <v>0.29878305707038699</v>
      </c>
      <c r="Y133" s="10">
        <v>2602.9979931972098</v>
      </c>
      <c r="Z133" s="10">
        <v>53.189073834953</v>
      </c>
    </row>
    <row r="134" spans="1:26" x14ac:dyDescent="0.35">
      <c r="A134" s="10" t="s">
        <v>55</v>
      </c>
      <c r="B134" s="10" t="s">
        <v>20</v>
      </c>
      <c r="C134" s="10">
        <v>2025</v>
      </c>
      <c r="D134" s="10" t="s">
        <v>84</v>
      </c>
      <c r="E134" s="10" t="s">
        <v>85</v>
      </c>
      <c r="F134" s="10" t="s">
        <v>86</v>
      </c>
      <c r="G134" s="10" t="s">
        <v>87</v>
      </c>
      <c r="H134" s="10" t="s">
        <v>19</v>
      </c>
      <c r="I134" s="10" t="s">
        <v>88</v>
      </c>
      <c r="J134" s="10">
        <v>6.9298340142471</v>
      </c>
      <c r="K134" s="10">
        <v>391.30693728249099</v>
      </c>
      <c r="L134" s="10">
        <v>52.6810299192786</v>
      </c>
      <c r="M134" s="10">
        <v>7.8237826020849797</v>
      </c>
      <c r="N134" s="10">
        <v>0</v>
      </c>
      <c r="O134" s="10">
        <v>0</v>
      </c>
      <c r="P134" s="10">
        <v>60.504812521363597</v>
      </c>
      <c r="Q134" s="10">
        <v>18.038344032274502</v>
      </c>
      <c r="R134" s="10">
        <v>0</v>
      </c>
      <c r="S134" s="10">
        <v>928.97471766214903</v>
      </c>
      <c r="T134" s="10">
        <v>0</v>
      </c>
      <c r="U134" s="10">
        <v>0</v>
      </c>
      <c r="V134" s="10">
        <v>0</v>
      </c>
      <c r="W134" s="10">
        <v>3.35423320528243</v>
      </c>
      <c r="X134" s="10">
        <v>0.29878305707038699</v>
      </c>
      <c r="Y134" s="10">
        <v>2602.9979931972098</v>
      </c>
      <c r="Z134" s="10">
        <v>53.189073834953</v>
      </c>
    </row>
    <row r="135" spans="1:26" x14ac:dyDescent="0.35">
      <c r="A135" s="10" t="s">
        <v>55</v>
      </c>
      <c r="B135" s="10" t="s">
        <v>24</v>
      </c>
      <c r="C135" s="10">
        <v>2025</v>
      </c>
      <c r="D135" s="10" t="s">
        <v>84</v>
      </c>
      <c r="E135" s="10" t="s">
        <v>85</v>
      </c>
      <c r="F135" s="10" t="s">
        <v>86</v>
      </c>
      <c r="G135" s="10" t="s">
        <v>87</v>
      </c>
      <c r="H135" s="10" t="s">
        <v>19</v>
      </c>
      <c r="I135" s="10" t="s">
        <v>88</v>
      </c>
      <c r="J135" s="10">
        <v>2.7038402199023901</v>
      </c>
      <c r="K135" s="10">
        <v>0</v>
      </c>
      <c r="L135" s="10">
        <v>0</v>
      </c>
      <c r="M135" s="10">
        <v>0</v>
      </c>
      <c r="N135" s="10">
        <v>0</v>
      </c>
      <c r="O135" s="10">
        <v>0</v>
      </c>
      <c r="P135" s="10">
        <v>0</v>
      </c>
      <c r="Q135" s="10">
        <v>18.018018018015699</v>
      </c>
      <c r="R135" s="10">
        <v>0</v>
      </c>
      <c r="S135" s="10">
        <v>0</v>
      </c>
      <c r="T135" s="10">
        <v>0</v>
      </c>
      <c r="U135" s="10">
        <v>0</v>
      </c>
      <c r="V135" s="10">
        <v>0</v>
      </c>
      <c r="W135" s="10">
        <v>0</v>
      </c>
      <c r="X135" s="10">
        <v>0.76490610323127795</v>
      </c>
      <c r="Y135" s="10">
        <v>6663.8619713508897</v>
      </c>
      <c r="Z135" s="10">
        <v>53.189073834953</v>
      </c>
    </row>
    <row r="136" spans="1:26" x14ac:dyDescent="0.35">
      <c r="A136" s="10" t="s">
        <v>55</v>
      </c>
      <c r="B136" s="10" t="s">
        <v>89</v>
      </c>
      <c r="C136" s="10">
        <v>2025</v>
      </c>
      <c r="D136" s="10" t="s">
        <v>84</v>
      </c>
      <c r="E136" s="10" t="s">
        <v>85</v>
      </c>
      <c r="F136" s="10" t="s">
        <v>86</v>
      </c>
      <c r="G136" s="10" t="s">
        <v>87</v>
      </c>
      <c r="H136" s="10" t="s">
        <v>19</v>
      </c>
      <c r="I136" s="10" t="s">
        <v>88</v>
      </c>
      <c r="J136" s="10">
        <v>640.776747561614</v>
      </c>
      <c r="K136" s="10">
        <v>0</v>
      </c>
      <c r="L136" s="10">
        <v>0</v>
      </c>
      <c r="M136" s="10">
        <v>0</v>
      </c>
      <c r="N136" s="10">
        <v>0</v>
      </c>
      <c r="O136" s="10">
        <v>0</v>
      </c>
      <c r="P136" s="10">
        <v>0</v>
      </c>
      <c r="Q136" s="10">
        <v>246.867188489743</v>
      </c>
      <c r="R136" s="10">
        <v>0</v>
      </c>
      <c r="S136" s="10">
        <v>232.05515718035801</v>
      </c>
      <c r="T136" s="10">
        <v>0</v>
      </c>
      <c r="U136" s="10">
        <v>0</v>
      </c>
      <c r="V136" s="10">
        <v>0</v>
      </c>
      <c r="W136" s="10">
        <v>0</v>
      </c>
      <c r="X136" s="10">
        <v>4.4222038721540603E-2</v>
      </c>
      <c r="Y136" s="10">
        <v>385.26240134206199</v>
      </c>
      <c r="Z136" s="10">
        <v>53.189073834953</v>
      </c>
    </row>
    <row r="137" spans="1:26" x14ac:dyDescent="0.35">
      <c r="A137" s="10" t="s">
        <v>55</v>
      </c>
      <c r="B137" s="10" t="s">
        <v>90</v>
      </c>
      <c r="C137" s="10">
        <v>2025</v>
      </c>
      <c r="D137" s="10" t="s">
        <v>84</v>
      </c>
      <c r="E137" s="10" t="s">
        <v>85</v>
      </c>
      <c r="F137" s="10" t="s">
        <v>86</v>
      </c>
      <c r="G137" s="10" t="s">
        <v>87</v>
      </c>
      <c r="H137" s="10" t="s">
        <v>19</v>
      </c>
      <c r="I137" s="10" t="s">
        <v>88</v>
      </c>
      <c r="J137" s="10">
        <v>643.48058778151596</v>
      </c>
      <c r="K137" s="10">
        <v>0</v>
      </c>
      <c r="L137" s="10">
        <v>0</v>
      </c>
      <c r="M137" s="10">
        <v>0</v>
      </c>
      <c r="N137" s="10">
        <v>0</v>
      </c>
      <c r="O137" s="10">
        <v>0</v>
      </c>
      <c r="P137" s="10">
        <v>0</v>
      </c>
      <c r="Q137" s="10">
        <v>246.84686247549499</v>
      </c>
      <c r="R137" s="10">
        <v>0</v>
      </c>
      <c r="S137" s="10">
        <v>0</v>
      </c>
      <c r="T137" s="10">
        <v>0</v>
      </c>
      <c r="U137" s="10">
        <v>0</v>
      </c>
      <c r="V137" s="10">
        <v>0</v>
      </c>
      <c r="W137" s="10">
        <v>0</v>
      </c>
      <c r="X137" s="10">
        <v>4.4032596437474501E-2</v>
      </c>
      <c r="Y137" s="10">
        <v>383.611980163277</v>
      </c>
      <c r="Z137" s="10">
        <v>53.189073834953</v>
      </c>
    </row>
    <row r="138" spans="1:26" x14ac:dyDescent="0.35">
      <c r="A138" s="10" t="s">
        <v>55</v>
      </c>
      <c r="B138" s="10" t="s">
        <v>91</v>
      </c>
      <c r="C138" s="10">
        <v>2025</v>
      </c>
      <c r="D138" s="10" t="s">
        <v>84</v>
      </c>
      <c r="E138" s="10" t="s">
        <v>85</v>
      </c>
      <c r="F138" s="10" t="s">
        <v>86</v>
      </c>
      <c r="G138" s="10" t="s">
        <v>87</v>
      </c>
      <c r="H138" s="10" t="s">
        <v>19</v>
      </c>
      <c r="I138" s="10" t="s">
        <v>88</v>
      </c>
      <c r="J138" s="10">
        <v>225.84460287514099</v>
      </c>
      <c r="K138" s="10">
        <v>104.05912588943001</v>
      </c>
      <c r="L138" s="10">
        <v>13.3519341264319</v>
      </c>
      <c r="M138" s="10">
        <v>0.22396467398290701</v>
      </c>
      <c r="N138" s="10">
        <v>0</v>
      </c>
      <c r="O138" s="10">
        <v>0</v>
      </c>
      <c r="P138" s="10">
        <v>13.5758988004148</v>
      </c>
      <c r="Q138" s="10">
        <v>996.85419517449304</v>
      </c>
      <c r="R138" s="10">
        <v>0</v>
      </c>
      <c r="S138" s="10">
        <v>0</v>
      </c>
      <c r="T138" s="10">
        <v>0</v>
      </c>
      <c r="U138" s="10">
        <v>0</v>
      </c>
      <c r="V138" s="10">
        <v>0</v>
      </c>
      <c r="W138" s="10">
        <v>1.36187407006282E-2</v>
      </c>
      <c r="X138" s="10">
        <v>0.50664534608512901</v>
      </c>
      <c r="Y138" s="10">
        <v>4413.8942550936399</v>
      </c>
      <c r="Z138" s="10">
        <v>53.189073834953</v>
      </c>
    </row>
    <row r="139" spans="1:26" x14ac:dyDescent="0.35">
      <c r="A139" s="10" t="s">
        <v>55</v>
      </c>
      <c r="B139" s="10" t="s">
        <v>92</v>
      </c>
      <c r="C139" s="10">
        <v>2025</v>
      </c>
      <c r="D139" s="10" t="s">
        <v>84</v>
      </c>
      <c r="E139" s="10" t="s">
        <v>85</v>
      </c>
      <c r="F139" s="10" t="s">
        <v>86</v>
      </c>
      <c r="G139" s="10" t="s">
        <v>87</v>
      </c>
      <c r="H139" s="10" t="s">
        <v>19</v>
      </c>
      <c r="I139" s="10" t="s">
        <v>88</v>
      </c>
      <c r="J139" s="10">
        <v>791.70903871313999</v>
      </c>
      <c r="K139" s="10">
        <v>435.43997129222703</v>
      </c>
      <c r="L139" s="10">
        <v>56.571494554330997</v>
      </c>
      <c r="M139" s="10">
        <v>7.2045522522895702</v>
      </c>
      <c r="N139" s="10">
        <v>0</v>
      </c>
      <c r="O139" s="10">
        <v>0</v>
      </c>
      <c r="P139" s="10">
        <v>63.776046806620599</v>
      </c>
      <c r="Q139" s="10">
        <v>1199.04413084009</v>
      </c>
      <c r="R139" s="10">
        <v>0</v>
      </c>
      <c r="S139" s="10">
        <v>0</v>
      </c>
      <c r="T139" s="10">
        <v>0</v>
      </c>
      <c r="U139" s="10">
        <v>0</v>
      </c>
      <c r="V139" s="10">
        <v>0</v>
      </c>
      <c r="W139" s="10">
        <v>5.3189073834952999E-2</v>
      </c>
      <c r="X139" s="10">
        <v>0.17384079430670299</v>
      </c>
      <c r="Y139" s="10">
        <v>1514.501</v>
      </c>
      <c r="Z139" s="10">
        <v>53.189073834953</v>
      </c>
    </row>
    <row r="140" spans="1:26" x14ac:dyDescent="0.35">
      <c r="A140" s="10" t="s">
        <v>55</v>
      </c>
      <c r="B140" s="10" t="s">
        <v>7</v>
      </c>
      <c r="C140" s="10">
        <v>2025</v>
      </c>
      <c r="D140" s="10" t="s">
        <v>84</v>
      </c>
      <c r="E140" s="10" t="s">
        <v>85</v>
      </c>
      <c r="F140" s="10" t="s">
        <v>86</v>
      </c>
      <c r="G140" s="10" t="s">
        <v>87</v>
      </c>
      <c r="H140" s="10" t="s">
        <v>19</v>
      </c>
      <c r="I140" s="10" t="s">
        <v>88</v>
      </c>
      <c r="J140" s="10">
        <v>0</v>
      </c>
      <c r="K140" s="10">
        <v>0</v>
      </c>
      <c r="L140" s="10">
        <v>0</v>
      </c>
      <c r="M140" s="10">
        <v>0</v>
      </c>
      <c r="N140" s="10">
        <v>0</v>
      </c>
      <c r="O140" s="10">
        <v>0</v>
      </c>
      <c r="P140" s="10">
        <v>0</v>
      </c>
      <c r="Q140" s="10">
        <v>0</v>
      </c>
      <c r="R140" s="10">
        <v>0</v>
      </c>
      <c r="S140" s="10">
        <v>0</v>
      </c>
      <c r="T140" s="10">
        <v>0</v>
      </c>
      <c r="U140" s="10">
        <v>0</v>
      </c>
      <c r="V140" s="10">
        <v>0</v>
      </c>
      <c r="W140" s="10">
        <v>0</v>
      </c>
      <c r="X140" s="10" t="s">
        <v>14</v>
      </c>
      <c r="Y140" s="10" t="s">
        <v>14</v>
      </c>
      <c r="Z140" s="10">
        <v>53.189073834953</v>
      </c>
    </row>
    <row r="141" spans="1:26" x14ac:dyDescent="0.35">
      <c r="A141" s="10" t="s">
        <v>55</v>
      </c>
      <c r="B141" s="10" t="s">
        <v>8</v>
      </c>
      <c r="C141" s="10">
        <v>2025</v>
      </c>
      <c r="D141" s="10" t="s">
        <v>84</v>
      </c>
      <c r="E141" s="10" t="s">
        <v>85</v>
      </c>
      <c r="F141" s="10" t="s">
        <v>86</v>
      </c>
      <c r="G141" s="10" t="s">
        <v>87</v>
      </c>
      <c r="H141" s="10" t="s">
        <v>19</v>
      </c>
      <c r="I141" s="10" t="s">
        <v>88</v>
      </c>
      <c r="J141" s="10">
        <v>0</v>
      </c>
      <c r="K141" s="10">
        <v>0</v>
      </c>
      <c r="L141" s="10">
        <v>0</v>
      </c>
      <c r="M141" s="10">
        <v>0</v>
      </c>
      <c r="N141" s="10">
        <v>0</v>
      </c>
      <c r="O141" s="10">
        <v>0</v>
      </c>
      <c r="P141" s="10">
        <v>0</v>
      </c>
      <c r="Q141" s="10">
        <v>0</v>
      </c>
      <c r="R141" s="10">
        <v>0</v>
      </c>
      <c r="S141" s="10">
        <v>0</v>
      </c>
      <c r="T141" s="10">
        <v>0</v>
      </c>
      <c r="U141" s="10">
        <v>0</v>
      </c>
      <c r="V141" s="10">
        <v>0</v>
      </c>
      <c r="W141" s="10">
        <v>0</v>
      </c>
      <c r="X141" s="10" t="s">
        <v>14</v>
      </c>
      <c r="Y141" s="10" t="s">
        <v>14</v>
      </c>
      <c r="Z141" s="10">
        <v>53.189073834953</v>
      </c>
    </row>
    <row r="142" spans="1:26" x14ac:dyDescent="0.35">
      <c r="A142" s="10" t="s">
        <v>55</v>
      </c>
      <c r="B142" s="10" t="s">
        <v>9</v>
      </c>
      <c r="C142" s="10">
        <v>2025</v>
      </c>
      <c r="D142" s="10" t="s">
        <v>84</v>
      </c>
      <c r="E142" s="10" t="s">
        <v>85</v>
      </c>
      <c r="F142" s="10" t="s">
        <v>86</v>
      </c>
      <c r="G142" s="10" t="s">
        <v>87</v>
      </c>
      <c r="H142" s="10" t="s">
        <v>19</v>
      </c>
      <c r="I142" s="10" t="s">
        <v>88</v>
      </c>
      <c r="J142" s="10">
        <v>71.279987797176901</v>
      </c>
      <c r="K142" s="10">
        <v>0</v>
      </c>
      <c r="L142" s="10">
        <v>0</v>
      </c>
      <c r="M142" s="10">
        <v>0</v>
      </c>
      <c r="N142" s="10">
        <v>4.1827907975507998E-2</v>
      </c>
      <c r="O142" s="10">
        <v>0</v>
      </c>
      <c r="P142" s="10">
        <v>4.1827907975507998E-2</v>
      </c>
      <c r="Q142" s="10">
        <v>20.0557676883687</v>
      </c>
      <c r="R142" s="10">
        <v>0</v>
      </c>
      <c r="S142" s="10">
        <v>0</v>
      </c>
      <c r="T142" s="10">
        <v>0</v>
      </c>
      <c r="U142" s="10">
        <v>0</v>
      </c>
      <c r="V142" s="10">
        <v>0</v>
      </c>
      <c r="W142" s="10">
        <v>2.0855799999999901E-3</v>
      </c>
      <c r="X142" s="10">
        <v>3.2296377073311802E-2</v>
      </c>
      <c r="Y142" s="10">
        <v>281.36603706269301</v>
      </c>
      <c r="Z142" s="10">
        <v>53.189073834953</v>
      </c>
    </row>
    <row r="143" spans="1:26" x14ac:dyDescent="0.35">
      <c r="A143" s="10" t="s">
        <v>55</v>
      </c>
      <c r="B143" s="10" t="s">
        <v>10</v>
      </c>
      <c r="C143" s="10">
        <v>2025</v>
      </c>
      <c r="D143" s="10" t="s">
        <v>84</v>
      </c>
      <c r="E143" s="10" t="s">
        <v>85</v>
      </c>
      <c r="F143" s="10" t="s">
        <v>86</v>
      </c>
      <c r="G143" s="10" t="s">
        <v>87</v>
      </c>
      <c r="H143" s="10" t="s">
        <v>19</v>
      </c>
      <c r="I143" s="10" t="s">
        <v>88</v>
      </c>
      <c r="J143" s="10">
        <v>48.4703917020802</v>
      </c>
      <c r="K143" s="10">
        <v>0</v>
      </c>
      <c r="L143" s="10">
        <v>0</v>
      </c>
      <c r="M143" s="10">
        <v>0</v>
      </c>
      <c r="N143" s="10">
        <v>0</v>
      </c>
      <c r="O143" s="10">
        <v>0</v>
      </c>
      <c r="P143" s="10">
        <v>0</v>
      </c>
      <c r="Q143" s="10">
        <v>20.041511690810498</v>
      </c>
      <c r="R143" s="10">
        <v>0</v>
      </c>
      <c r="S143" s="10">
        <v>0</v>
      </c>
      <c r="T143" s="10">
        <v>0</v>
      </c>
      <c r="U143" s="10">
        <v>0</v>
      </c>
      <c r="V143" s="10">
        <v>0</v>
      </c>
      <c r="W143" s="10">
        <v>0</v>
      </c>
      <c r="X143" s="10">
        <v>4.7460912106139702E-2</v>
      </c>
      <c r="Y143" s="10">
        <v>413.47946626868901</v>
      </c>
      <c r="Z143" s="10">
        <v>53.189073834953</v>
      </c>
    </row>
    <row r="144" spans="1:26" x14ac:dyDescent="0.35">
      <c r="A144" s="10" t="s">
        <v>55</v>
      </c>
      <c r="B144" s="10" t="s">
        <v>4</v>
      </c>
      <c r="C144" s="10">
        <v>2025</v>
      </c>
      <c r="D144" s="10" t="s">
        <v>84</v>
      </c>
      <c r="E144" s="10" t="s">
        <v>85</v>
      </c>
      <c r="F144" s="10" t="s">
        <v>86</v>
      </c>
      <c r="G144" s="10" t="s">
        <v>87</v>
      </c>
      <c r="H144" s="10" t="s">
        <v>19</v>
      </c>
      <c r="I144" s="10" t="s">
        <v>88</v>
      </c>
      <c r="J144" s="10">
        <v>71.279987797176901</v>
      </c>
      <c r="K144" s="10">
        <v>25.791219050503202</v>
      </c>
      <c r="L144" s="10">
        <v>3.6274253703415198</v>
      </c>
      <c r="M144" s="10">
        <v>0.361824346057249</v>
      </c>
      <c r="N144" s="10">
        <v>0</v>
      </c>
      <c r="O144" s="10">
        <v>0</v>
      </c>
      <c r="P144" s="10">
        <v>3.9892497163987701</v>
      </c>
      <c r="Q144" s="10">
        <v>357.22738410913797</v>
      </c>
      <c r="R144" s="10">
        <v>0</v>
      </c>
      <c r="S144" s="10">
        <v>0</v>
      </c>
      <c r="T144" s="10">
        <v>0</v>
      </c>
      <c r="U144" s="10">
        <v>0</v>
      </c>
      <c r="V144" s="10">
        <v>0</v>
      </c>
      <c r="W144" s="10">
        <v>1.11672561899117E-2</v>
      </c>
      <c r="X144" s="10">
        <v>0.575253487045149</v>
      </c>
      <c r="Y144" s="10">
        <v>5011.6083791373403</v>
      </c>
      <c r="Z144" s="10">
        <v>53.189073834953</v>
      </c>
    </row>
    <row r="145" spans="1:26" x14ac:dyDescent="0.35">
      <c r="A145" s="10" t="s">
        <v>35</v>
      </c>
      <c r="B145" s="10" t="s">
        <v>25</v>
      </c>
      <c r="C145" s="10">
        <v>2025</v>
      </c>
      <c r="D145" s="10" t="s">
        <v>84</v>
      </c>
      <c r="E145" s="10" t="s">
        <v>85</v>
      </c>
      <c r="F145" s="10" t="s">
        <v>86</v>
      </c>
      <c r="G145" s="10" t="s">
        <v>87</v>
      </c>
      <c r="H145" s="10" t="s">
        <v>19</v>
      </c>
      <c r="I145" s="10" t="s">
        <v>88</v>
      </c>
      <c r="J145" s="10">
        <v>15.201916158656999</v>
      </c>
      <c r="K145" s="10">
        <v>63.726432537090403</v>
      </c>
      <c r="L145" s="10">
        <v>5.9698143934122498</v>
      </c>
      <c r="M145" s="10">
        <v>6.6280354451744801</v>
      </c>
      <c r="N145" s="10">
        <v>0</v>
      </c>
      <c r="O145" s="10">
        <v>0</v>
      </c>
      <c r="P145" s="10">
        <v>12.597849838586701</v>
      </c>
      <c r="Q145" s="10">
        <v>100.000000000016</v>
      </c>
      <c r="R145" s="10">
        <v>0</v>
      </c>
      <c r="S145" s="10">
        <v>38.000000000005898</v>
      </c>
      <c r="T145" s="10">
        <v>1.30379602596208</v>
      </c>
      <c r="U145" s="10">
        <v>70.096560535595899</v>
      </c>
      <c r="V145" s="10">
        <v>252.34761792814501</v>
      </c>
      <c r="W145" s="10">
        <v>0.12597849838584599</v>
      </c>
      <c r="X145" s="10">
        <v>0.75506406228894396</v>
      </c>
      <c r="Y145" s="10">
        <v>6578.1181106612803</v>
      </c>
      <c r="Z145" s="10">
        <v>37.168542977768702</v>
      </c>
    </row>
    <row r="146" spans="1:26" x14ac:dyDescent="0.35">
      <c r="A146" s="10" t="s">
        <v>35</v>
      </c>
      <c r="B146" s="10" t="s">
        <v>23</v>
      </c>
      <c r="C146" s="10">
        <v>2025</v>
      </c>
      <c r="D146" s="10" t="s">
        <v>84</v>
      </c>
      <c r="E146" s="10" t="s">
        <v>85</v>
      </c>
      <c r="F146" s="10" t="s">
        <v>86</v>
      </c>
      <c r="G146" s="10" t="s">
        <v>87</v>
      </c>
      <c r="H146" s="10" t="s">
        <v>19</v>
      </c>
      <c r="I146" s="10" t="s">
        <v>88</v>
      </c>
      <c r="J146" s="10">
        <v>57.923764289392103</v>
      </c>
      <c r="K146" s="10">
        <v>0</v>
      </c>
      <c r="L146" s="10">
        <v>0</v>
      </c>
      <c r="M146" s="10">
        <v>0</v>
      </c>
      <c r="N146" s="10">
        <v>0</v>
      </c>
      <c r="O146" s="10">
        <v>0</v>
      </c>
      <c r="P146" s="10">
        <v>0</v>
      </c>
      <c r="Q146" s="10">
        <v>160.543106982068</v>
      </c>
      <c r="R146" s="10">
        <v>0</v>
      </c>
      <c r="S146" s="10">
        <v>0</v>
      </c>
      <c r="T146" s="10">
        <v>0</v>
      </c>
      <c r="U146" s="10">
        <v>0</v>
      </c>
      <c r="V146" s="10">
        <v>0</v>
      </c>
      <c r="W146" s="10">
        <v>0</v>
      </c>
      <c r="X146" s="10">
        <v>0.31813907884860099</v>
      </c>
      <c r="Y146" s="10">
        <v>2771.6276549290101</v>
      </c>
      <c r="Z146" s="10">
        <v>37.168542977768702</v>
      </c>
    </row>
    <row r="147" spans="1:26" x14ac:dyDescent="0.35">
      <c r="A147" s="10" t="s">
        <v>35</v>
      </c>
      <c r="B147" s="10" t="s">
        <v>20</v>
      </c>
      <c r="C147" s="10">
        <v>2025</v>
      </c>
      <c r="D147" s="10" t="s">
        <v>84</v>
      </c>
      <c r="E147" s="10" t="s">
        <v>85</v>
      </c>
      <c r="F147" s="10" t="s">
        <v>86</v>
      </c>
      <c r="G147" s="10" t="s">
        <v>87</v>
      </c>
      <c r="H147" s="10" t="s">
        <v>19</v>
      </c>
      <c r="I147" s="10" t="s">
        <v>88</v>
      </c>
      <c r="J147" s="10">
        <v>6.5077349179132096</v>
      </c>
      <c r="K147" s="10">
        <v>514.46117465372697</v>
      </c>
      <c r="L147" s="10">
        <v>48.194094711202503</v>
      </c>
      <c r="M147" s="10">
        <v>10.2861258112536</v>
      </c>
      <c r="N147" s="10">
        <v>0</v>
      </c>
      <c r="O147" s="10">
        <v>0</v>
      </c>
      <c r="P147" s="10">
        <v>58.480220522456101</v>
      </c>
      <c r="Q147" s="10">
        <v>18.037018069435</v>
      </c>
      <c r="R147" s="10">
        <v>0</v>
      </c>
      <c r="S147" s="10">
        <v>928.90643057593604</v>
      </c>
      <c r="T147" s="10">
        <v>0</v>
      </c>
      <c r="U147" s="10">
        <v>0</v>
      </c>
      <c r="V147" s="10">
        <v>0</v>
      </c>
      <c r="W147" s="10">
        <v>3.2422332947348398</v>
      </c>
      <c r="X147" s="10">
        <v>0.31813907884860099</v>
      </c>
      <c r="Y147" s="10">
        <v>2771.6276549290101</v>
      </c>
      <c r="Z147" s="10">
        <v>37.168542977768702</v>
      </c>
    </row>
    <row r="148" spans="1:26" x14ac:dyDescent="0.35">
      <c r="A148" s="10" t="s">
        <v>35</v>
      </c>
      <c r="B148" s="10" t="s">
        <v>24</v>
      </c>
      <c r="C148" s="10">
        <v>2025</v>
      </c>
      <c r="D148" s="10" t="s">
        <v>84</v>
      </c>
      <c r="E148" s="10" t="s">
        <v>85</v>
      </c>
      <c r="F148" s="10" t="s">
        <v>86</v>
      </c>
      <c r="G148" s="10" t="s">
        <v>87</v>
      </c>
      <c r="H148" s="10" t="s">
        <v>19</v>
      </c>
      <c r="I148" s="10" t="s">
        <v>88</v>
      </c>
      <c r="J148" s="10">
        <v>2.7390839925508201</v>
      </c>
      <c r="K148" s="10">
        <v>0</v>
      </c>
      <c r="L148" s="10">
        <v>0</v>
      </c>
      <c r="M148" s="10">
        <v>0</v>
      </c>
      <c r="N148" s="10">
        <v>0</v>
      </c>
      <c r="O148" s="10">
        <v>0</v>
      </c>
      <c r="P148" s="10">
        <v>0</v>
      </c>
      <c r="Q148" s="10">
        <v>18.018018018019401</v>
      </c>
      <c r="R148" s="10">
        <v>0</v>
      </c>
      <c r="S148" s="10">
        <v>0</v>
      </c>
      <c r="T148" s="10">
        <v>0</v>
      </c>
      <c r="U148" s="10">
        <v>0</v>
      </c>
      <c r="V148" s="10">
        <v>0</v>
      </c>
      <c r="W148" s="10">
        <v>0</v>
      </c>
      <c r="X148" s="10">
        <v>0.75506406228894396</v>
      </c>
      <c r="Y148" s="10">
        <v>6578.1181106612803</v>
      </c>
      <c r="Z148" s="10">
        <v>37.168542977768702</v>
      </c>
    </row>
    <row r="149" spans="1:26" x14ac:dyDescent="0.35">
      <c r="A149" s="10" t="s">
        <v>35</v>
      </c>
      <c r="B149" s="10" t="s">
        <v>89</v>
      </c>
      <c r="C149" s="10">
        <v>2025</v>
      </c>
      <c r="D149" s="10" t="s">
        <v>84</v>
      </c>
      <c r="E149" s="10" t="s">
        <v>85</v>
      </c>
      <c r="F149" s="10" t="s">
        <v>86</v>
      </c>
      <c r="G149" s="10" t="s">
        <v>87</v>
      </c>
      <c r="H149" s="10" t="s">
        <v>19</v>
      </c>
      <c r="I149" s="10" t="s">
        <v>88</v>
      </c>
      <c r="J149" s="10">
        <v>461.15529092899999</v>
      </c>
      <c r="K149" s="10">
        <v>0</v>
      </c>
      <c r="L149" s="10">
        <v>0</v>
      </c>
      <c r="M149" s="10">
        <v>0</v>
      </c>
      <c r="N149" s="10">
        <v>0</v>
      </c>
      <c r="O149" s="10">
        <v>0</v>
      </c>
      <c r="P149" s="10">
        <v>0</v>
      </c>
      <c r="Q149" s="10">
        <v>348.52307627078102</v>
      </c>
      <c r="R149" s="10">
        <v>0</v>
      </c>
      <c r="S149" s="10">
        <v>327.61169169453399</v>
      </c>
      <c r="T149" s="10">
        <v>0</v>
      </c>
      <c r="U149" s="10">
        <v>0</v>
      </c>
      <c r="V149" s="10">
        <v>0</v>
      </c>
      <c r="W149" s="10">
        <v>0</v>
      </c>
      <c r="X149" s="10">
        <v>8.6749399307412503E-2</v>
      </c>
      <c r="Y149" s="10">
        <v>755.76076676617799</v>
      </c>
      <c r="Z149" s="10">
        <v>37.168542977768702</v>
      </c>
    </row>
    <row r="150" spans="1:26" x14ac:dyDescent="0.35">
      <c r="A150" s="10" t="s">
        <v>35</v>
      </c>
      <c r="B150" s="10" t="s">
        <v>90</v>
      </c>
      <c r="C150" s="10">
        <v>2025</v>
      </c>
      <c r="D150" s="10" t="s">
        <v>84</v>
      </c>
      <c r="E150" s="10" t="s">
        <v>85</v>
      </c>
      <c r="F150" s="10" t="s">
        <v>86</v>
      </c>
      <c r="G150" s="10" t="s">
        <v>87</v>
      </c>
      <c r="H150" s="10" t="s">
        <v>19</v>
      </c>
      <c r="I150" s="10" t="s">
        <v>88</v>
      </c>
      <c r="J150" s="10">
        <v>457.38664000363798</v>
      </c>
      <c r="K150" s="10">
        <v>0</v>
      </c>
      <c r="L150" s="10">
        <v>0</v>
      </c>
      <c r="M150" s="10">
        <v>0</v>
      </c>
      <c r="N150" s="10">
        <v>0</v>
      </c>
      <c r="O150" s="10">
        <v>0</v>
      </c>
      <c r="P150" s="10">
        <v>0</v>
      </c>
      <c r="Q150" s="10">
        <v>348.50407621935301</v>
      </c>
      <c r="R150" s="10">
        <v>0</v>
      </c>
      <c r="S150" s="10">
        <v>0</v>
      </c>
      <c r="T150" s="10">
        <v>0</v>
      </c>
      <c r="U150" s="10">
        <v>0</v>
      </c>
      <c r="V150" s="10">
        <v>0</v>
      </c>
      <c r="W150" s="10">
        <v>0</v>
      </c>
      <c r="X150" s="10">
        <v>8.7459405393646397E-2</v>
      </c>
      <c r="Y150" s="10">
        <v>761.94633978944796</v>
      </c>
      <c r="Z150" s="10">
        <v>37.168542977768702</v>
      </c>
    </row>
    <row r="151" spans="1:26" x14ac:dyDescent="0.35">
      <c r="A151" s="10" t="s">
        <v>35</v>
      </c>
      <c r="B151" s="10" t="s">
        <v>91</v>
      </c>
      <c r="C151" s="10">
        <v>2025</v>
      </c>
      <c r="D151" s="10" t="s">
        <v>84</v>
      </c>
      <c r="E151" s="10" t="s">
        <v>85</v>
      </c>
      <c r="F151" s="10" t="s">
        <v>86</v>
      </c>
      <c r="G151" s="10" t="s">
        <v>87</v>
      </c>
      <c r="H151" s="10" t="s">
        <v>19</v>
      </c>
      <c r="I151" s="10" t="s">
        <v>88</v>
      </c>
      <c r="J151" s="10">
        <v>211.11168241716001</v>
      </c>
      <c r="K151" s="10">
        <v>97.270852868340498</v>
      </c>
      <c r="L151" s="10">
        <v>7.9511975292761399</v>
      </c>
      <c r="M151" s="10">
        <v>0.20935439025161001</v>
      </c>
      <c r="N151" s="10">
        <v>0</v>
      </c>
      <c r="O151" s="10">
        <v>0</v>
      </c>
      <c r="P151" s="10">
        <v>8.1605519195277498</v>
      </c>
      <c r="Q151" s="10">
        <v>943.99473999281997</v>
      </c>
      <c r="R151" s="10">
        <v>0</v>
      </c>
      <c r="S151" s="10">
        <v>0</v>
      </c>
      <c r="T151" s="10">
        <v>0</v>
      </c>
      <c r="U151" s="10">
        <v>0</v>
      </c>
      <c r="V151" s="10">
        <v>0</v>
      </c>
      <c r="W151" s="10">
        <v>8.6447006257575204E-3</v>
      </c>
      <c r="X151" s="10">
        <v>0.51326238874177099</v>
      </c>
      <c r="Y151" s="10">
        <v>4471.5419307183101</v>
      </c>
      <c r="Z151" s="10">
        <v>37.168542977768702</v>
      </c>
    </row>
    <row r="152" spans="1:26" x14ac:dyDescent="0.35">
      <c r="A152" s="10" t="s">
        <v>35</v>
      </c>
      <c r="B152" s="10" t="s">
        <v>92</v>
      </c>
      <c r="C152" s="10">
        <v>2025</v>
      </c>
      <c r="D152" s="10" t="s">
        <v>84</v>
      </c>
      <c r="E152" s="10" t="s">
        <v>85</v>
      </c>
      <c r="F152" s="10" t="s">
        <v>86</v>
      </c>
      <c r="G152" s="10" t="s">
        <v>87</v>
      </c>
      <c r="H152" s="10" t="s">
        <v>19</v>
      </c>
      <c r="I152" s="10" t="s">
        <v>88</v>
      </c>
      <c r="J152" s="10">
        <v>854.75833320759398</v>
      </c>
      <c r="K152" s="10">
        <v>470.11708326417698</v>
      </c>
      <c r="L152" s="10">
        <v>40.3375804698113</v>
      </c>
      <c r="M152" s="10">
        <v>7.7783008321891103</v>
      </c>
      <c r="N152" s="10">
        <v>0</v>
      </c>
      <c r="O152" s="10">
        <v>0</v>
      </c>
      <c r="P152" s="10">
        <v>48.115881302000403</v>
      </c>
      <c r="Q152" s="10">
        <v>1294.5323504012299</v>
      </c>
      <c r="R152" s="10">
        <v>0</v>
      </c>
      <c r="S152" s="10">
        <v>0</v>
      </c>
      <c r="T152" s="10">
        <v>0</v>
      </c>
      <c r="U152" s="10">
        <v>0</v>
      </c>
      <c r="V152" s="10">
        <v>0</v>
      </c>
      <c r="W152" s="10">
        <v>3.7168542977768698E-2</v>
      </c>
      <c r="X152" s="10">
        <v>0.17384079430670299</v>
      </c>
      <c r="Y152" s="10">
        <v>1514.501</v>
      </c>
      <c r="Z152" s="10">
        <v>37.168542977768702</v>
      </c>
    </row>
    <row r="153" spans="1:26" x14ac:dyDescent="0.35">
      <c r="A153" s="10" t="s">
        <v>35</v>
      </c>
      <c r="B153" s="10" t="s">
        <v>7</v>
      </c>
      <c r="C153" s="10">
        <v>2025</v>
      </c>
      <c r="D153" s="10" t="s">
        <v>84</v>
      </c>
      <c r="E153" s="10" t="s">
        <v>85</v>
      </c>
      <c r="F153" s="10" t="s">
        <v>86</v>
      </c>
      <c r="G153" s="10" t="s">
        <v>87</v>
      </c>
      <c r="H153" s="10" t="s">
        <v>19</v>
      </c>
      <c r="I153" s="10" t="s">
        <v>88</v>
      </c>
      <c r="J153" s="10">
        <v>0</v>
      </c>
      <c r="K153" s="10">
        <v>0</v>
      </c>
      <c r="L153" s="10">
        <v>0</v>
      </c>
      <c r="M153" s="10">
        <v>0</v>
      </c>
      <c r="N153" s="10">
        <v>0</v>
      </c>
      <c r="O153" s="10">
        <v>0</v>
      </c>
      <c r="P153" s="10">
        <v>0</v>
      </c>
      <c r="Q153" s="10">
        <v>0</v>
      </c>
      <c r="R153" s="10">
        <v>0</v>
      </c>
      <c r="S153" s="10">
        <v>0</v>
      </c>
      <c r="T153" s="10">
        <v>0</v>
      </c>
      <c r="U153" s="10">
        <v>0</v>
      </c>
      <c r="V153" s="10">
        <v>0</v>
      </c>
      <c r="W153" s="10">
        <v>0</v>
      </c>
      <c r="X153" s="10" t="s">
        <v>14</v>
      </c>
      <c r="Y153" s="10" t="s">
        <v>14</v>
      </c>
      <c r="Z153" s="10">
        <v>37.168542977768702</v>
      </c>
    </row>
    <row r="154" spans="1:26" x14ac:dyDescent="0.35">
      <c r="A154" s="10" t="s">
        <v>35</v>
      </c>
      <c r="B154" s="10" t="s">
        <v>8</v>
      </c>
      <c r="C154" s="10">
        <v>2025</v>
      </c>
      <c r="D154" s="10" t="s">
        <v>84</v>
      </c>
      <c r="E154" s="10" t="s">
        <v>85</v>
      </c>
      <c r="F154" s="10" t="s">
        <v>86</v>
      </c>
      <c r="G154" s="10" t="s">
        <v>87</v>
      </c>
      <c r="H154" s="10" t="s">
        <v>19</v>
      </c>
      <c r="I154" s="10" t="s">
        <v>88</v>
      </c>
      <c r="J154" s="10">
        <v>0</v>
      </c>
      <c r="K154" s="10">
        <v>0</v>
      </c>
      <c r="L154" s="10">
        <v>0</v>
      </c>
      <c r="M154" s="10">
        <v>0</v>
      </c>
      <c r="N154" s="10">
        <v>0</v>
      </c>
      <c r="O154" s="10">
        <v>0</v>
      </c>
      <c r="P154" s="10">
        <v>0</v>
      </c>
      <c r="Q154" s="10">
        <v>0</v>
      </c>
      <c r="R154" s="10">
        <v>0</v>
      </c>
      <c r="S154" s="10">
        <v>0</v>
      </c>
      <c r="T154" s="10">
        <v>0</v>
      </c>
      <c r="U154" s="10">
        <v>0</v>
      </c>
      <c r="V154" s="10">
        <v>0</v>
      </c>
      <c r="W154" s="10">
        <v>0</v>
      </c>
      <c r="X154" s="10" t="s">
        <v>14</v>
      </c>
      <c r="Y154" s="10" t="s">
        <v>14</v>
      </c>
      <c r="Z154" s="10">
        <v>37.168542977768702</v>
      </c>
    </row>
    <row r="155" spans="1:26" x14ac:dyDescent="0.35">
      <c r="A155" s="10" t="s">
        <v>35</v>
      </c>
      <c r="B155" s="10" t="s">
        <v>9</v>
      </c>
      <c r="C155" s="10">
        <v>2025</v>
      </c>
      <c r="D155" s="10" t="s">
        <v>84</v>
      </c>
      <c r="E155" s="10" t="s">
        <v>85</v>
      </c>
      <c r="F155" s="10" t="s">
        <v>86</v>
      </c>
      <c r="G155" s="10" t="s">
        <v>87</v>
      </c>
      <c r="H155" s="10" t="s">
        <v>19</v>
      </c>
      <c r="I155" s="10" t="s">
        <v>88</v>
      </c>
      <c r="J155" s="10">
        <v>71.1406538371116</v>
      </c>
      <c r="K155" s="10">
        <v>0</v>
      </c>
      <c r="L155" s="10">
        <v>0</v>
      </c>
      <c r="M155" s="10">
        <v>0</v>
      </c>
      <c r="N155" s="10">
        <v>4.2224208578337301E-2</v>
      </c>
      <c r="O155" s="10">
        <v>0</v>
      </c>
      <c r="P155" s="10">
        <v>4.2224208578337301E-2</v>
      </c>
      <c r="Q155" s="10">
        <v>20.2457870608355</v>
      </c>
      <c r="R155" s="10">
        <v>0</v>
      </c>
      <c r="S155" s="10">
        <v>0</v>
      </c>
      <c r="T155" s="10">
        <v>0</v>
      </c>
      <c r="U155" s="10">
        <v>0</v>
      </c>
      <c r="V155" s="10">
        <v>0</v>
      </c>
      <c r="W155" s="10">
        <v>2.0855800000000001E-3</v>
      </c>
      <c r="X155" s="10">
        <v>3.2666224740281101E-2</v>
      </c>
      <c r="Y155" s="10">
        <v>284.58814993732898</v>
      </c>
      <c r="Z155" s="10">
        <v>37.168542977768702</v>
      </c>
    </row>
    <row r="156" spans="1:26" x14ac:dyDescent="0.35">
      <c r="A156" s="10" t="s">
        <v>35</v>
      </c>
      <c r="B156" s="10" t="s">
        <v>10</v>
      </c>
      <c r="C156" s="10">
        <v>2025</v>
      </c>
      <c r="D156" s="10" t="s">
        <v>84</v>
      </c>
      <c r="E156" s="10" t="s">
        <v>85</v>
      </c>
      <c r="F156" s="10" t="s">
        <v>86</v>
      </c>
      <c r="G156" s="10" t="s">
        <v>87</v>
      </c>
      <c r="H156" s="10" t="s">
        <v>19</v>
      </c>
      <c r="I156" s="10" t="s">
        <v>88</v>
      </c>
      <c r="J156" s="10">
        <v>59.587197556532203</v>
      </c>
      <c r="K156" s="10">
        <v>0</v>
      </c>
      <c r="L156" s="10">
        <v>0</v>
      </c>
      <c r="M156" s="10">
        <v>0</v>
      </c>
      <c r="N156" s="10">
        <v>0</v>
      </c>
      <c r="O156" s="10">
        <v>0</v>
      </c>
      <c r="P156" s="10">
        <v>0</v>
      </c>
      <c r="Q156" s="10">
        <v>20.231558930067902</v>
      </c>
      <c r="R156" s="10">
        <v>0</v>
      </c>
      <c r="S156" s="10">
        <v>0</v>
      </c>
      <c r="T156" s="10">
        <v>0</v>
      </c>
      <c r="U156" s="10">
        <v>0</v>
      </c>
      <c r="V156" s="10">
        <v>0</v>
      </c>
      <c r="W156" s="10">
        <v>0</v>
      </c>
      <c r="X156" s="10">
        <v>3.8972522906818498E-2</v>
      </c>
      <c r="Y156" s="10">
        <v>339.52861956420298</v>
      </c>
      <c r="Z156" s="10">
        <v>37.168542977768702</v>
      </c>
    </row>
    <row r="157" spans="1:26" x14ac:dyDescent="0.35">
      <c r="A157" s="10" t="s">
        <v>35</v>
      </c>
      <c r="B157" s="10" t="s">
        <v>4</v>
      </c>
      <c r="C157" s="10">
        <v>2025</v>
      </c>
      <c r="D157" s="10" t="s">
        <v>84</v>
      </c>
      <c r="E157" s="10" t="s">
        <v>85</v>
      </c>
      <c r="F157" s="10" t="s">
        <v>86</v>
      </c>
      <c r="G157" s="10" t="s">
        <v>87</v>
      </c>
      <c r="H157" s="10" t="s">
        <v>19</v>
      </c>
      <c r="I157" s="10" t="s">
        <v>88</v>
      </c>
      <c r="J157" s="10">
        <v>71.1406538371116</v>
      </c>
      <c r="K157" s="10">
        <v>25.7408038807441</v>
      </c>
      <c r="L157" s="10">
        <v>2.6217577321373202</v>
      </c>
      <c r="M157" s="10">
        <v>0.36111707294256201</v>
      </c>
      <c r="N157" s="10">
        <v>0</v>
      </c>
      <c r="O157" s="10">
        <v>0</v>
      </c>
      <c r="P157" s="10">
        <v>2.9828748050798799</v>
      </c>
      <c r="Q157" s="10">
        <v>356.53007484702403</v>
      </c>
      <c r="R157" s="10">
        <v>0</v>
      </c>
      <c r="S157" s="10">
        <v>0</v>
      </c>
      <c r="T157" s="10">
        <v>0</v>
      </c>
      <c r="U157" s="10">
        <v>0</v>
      </c>
      <c r="V157" s="10">
        <v>0</v>
      </c>
      <c r="W157" s="10">
        <v>8.3664044509000803E-3</v>
      </c>
      <c r="X157" s="10">
        <v>0.57525506499826395</v>
      </c>
      <c r="Y157" s="10">
        <v>5011.6221262648796</v>
      </c>
      <c r="Z157" s="10">
        <v>37.168542977768702</v>
      </c>
    </row>
    <row r="158" spans="1:26" x14ac:dyDescent="0.35">
      <c r="A158" s="10" t="s">
        <v>36</v>
      </c>
      <c r="B158" s="10" t="s">
        <v>25</v>
      </c>
      <c r="C158" s="10">
        <v>2025</v>
      </c>
      <c r="D158" s="10" t="s">
        <v>84</v>
      </c>
      <c r="E158" s="10" t="s">
        <v>85</v>
      </c>
      <c r="F158" s="10" t="s">
        <v>86</v>
      </c>
      <c r="G158" s="10" t="s">
        <v>87</v>
      </c>
      <c r="H158" s="10" t="s">
        <v>19</v>
      </c>
      <c r="I158" s="10" t="s">
        <v>88</v>
      </c>
      <c r="J158" s="10">
        <v>15.186259119104299</v>
      </c>
      <c r="K158" s="10">
        <v>63.660798227285497</v>
      </c>
      <c r="L158" s="10">
        <v>5.9636658514057999</v>
      </c>
      <c r="M158" s="10">
        <v>6.6212089759295001</v>
      </c>
      <c r="N158" s="10">
        <v>0</v>
      </c>
      <c r="O158" s="10">
        <v>0</v>
      </c>
      <c r="P158" s="10">
        <v>12.5848748273353</v>
      </c>
      <c r="Q158" s="10">
        <v>100.00000000000399</v>
      </c>
      <c r="R158" s="10">
        <v>0</v>
      </c>
      <c r="S158" s="10">
        <v>38.000000000000199</v>
      </c>
      <c r="T158" s="10">
        <v>1.38688353580136</v>
      </c>
      <c r="U158" s="10">
        <v>74.563630957062699</v>
      </c>
      <c r="V158" s="10">
        <v>268.429071445425</v>
      </c>
      <c r="W158" s="10">
        <v>0.12584874827334699</v>
      </c>
      <c r="X158" s="10">
        <v>0.75584253365533904</v>
      </c>
      <c r="Y158" s="10">
        <v>6584.9001532053098</v>
      </c>
      <c r="Z158" s="10">
        <v>37.168542977768801</v>
      </c>
    </row>
    <row r="159" spans="1:26" x14ac:dyDescent="0.35">
      <c r="A159" s="10" t="s">
        <v>36</v>
      </c>
      <c r="B159" s="10" t="s">
        <v>23</v>
      </c>
      <c r="C159" s="10">
        <v>2025</v>
      </c>
      <c r="D159" s="10" t="s">
        <v>84</v>
      </c>
      <c r="E159" s="10" t="s">
        <v>85</v>
      </c>
      <c r="F159" s="10" t="s">
        <v>86</v>
      </c>
      <c r="G159" s="10" t="s">
        <v>87</v>
      </c>
      <c r="H159" s="10" t="s">
        <v>19</v>
      </c>
      <c r="I159" s="10" t="s">
        <v>88</v>
      </c>
      <c r="J159" s="10">
        <v>57.155410494653999</v>
      </c>
      <c r="K159" s="10">
        <v>0</v>
      </c>
      <c r="L159" s="10">
        <v>0</v>
      </c>
      <c r="M159" s="10">
        <v>0</v>
      </c>
      <c r="N159" s="10">
        <v>0</v>
      </c>
      <c r="O159" s="10">
        <v>0</v>
      </c>
      <c r="P159" s="10">
        <v>0</v>
      </c>
      <c r="Q159" s="10">
        <v>160.53775737077001</v>
      </c>
      <c r="R159" s="10">
        <v>0</v>
      </c>
      <c r="S159" s="10">
        <v>0</v>
      </c>
      <c r="T159" s="10">
        <v>0</v>
      </c>
      <c r="U159" s="10">
        <v>0</v>
      </c>
      <c r="V159" s="10">
        <v>0</v>
      </c>
      <c r="W159" s="10">
        <v>0</v>
      </c>
      <c r="X159" s="10">
        <v>0.32240515471952202</v>
      </c>
      <c r="Y159" s="10">
        <v>2808.7937079164799</v>
      </c>
      <c r="Z159" s="10">
        <v>37.168542977768801</v>
      </c>
    </row>
    <row r="160" spans="1:26" x14ac:dyDescent="0.35">
      <c r="A160" s="10" t="s">
        <v>36</v>
      </c>
      <c r="B160" s="10" t="s">
        <v>20</v>
      </c>
      <c r="C160" s="10">
        <v>2025</v>
      </c>
      <c r="D160" s="10" t="s">
        <v>84</v>
      </c>
      <c r="E160" s="10" t="s">
        <v>85</v>
      </c>
      <c r="F160" s="10" t="s">
        <v>86</v>
      </c>
      <c r="G160" s="10" t="s">
        <v>87</v>
      </c>
      <c r="H160" s="10" t="s">
        <v>19</v>
      </c>
      <c r="I160" s="10" t="s">
        <v>88</v>
      </c>
      <c r="J160" s="10">
        <v>6.4214103690743798</v>
      </c>
      <c r="K160" s="10">
        <v>580.156446896837</v>
      </c>
      <c r="L160" s="10">
        <v>54.348347604423601</v>
      </c>
      <c r="M160" s="10">
        <v>11.5996356906959</v>
      </c>
      <c r="N160" s="10">
        <v>0</v>
      </c>
      <c r="O160" s="10">
        <v>0</v>
      </c>
      <c r="P160" s="10">
        <v>65.947983295119599</v>
      </c>
      <c r="Q160" s="10">
        <v>18.0364170406054</v>
      </c>
      <c r="R160" s="10">
        <v>0</v>
      </c>
      <c r="S160" s="10">
        <v>928.87547759120798</v>
      </c>
      <c r="T160" s="10">
        <v>0</v>
      </c>
      <c r="U160" s="10">
        <v>0</v>
      </c>
      <c r="V160" s="10">
        <v>0</v>
      </c>
      <c r="W160" s="10">
        <v>3.65637937660515</v>
      </c>
      <c r="X160" s="10">
        <v>0.32240515471952202</v>
      </c>
      <c r="Y160" s="10">
        <v>2808.7937079164799</v>
      </c>
      <c r="Z160" s="10">
        <v>37.168542977768801</v>
      </c>
    </row>
    <row r="161" spans="1:26" x14ac:dyDescent="0.35">
      <c r="A161" s="10" t="s">
        <v>36</v>
      </c>
      <c r="B161" s="10" t="s">
        <v>24</v>
      </c>
      <c r="C161" s="10">
        <v>2025</v>
      </c>
      <c r="D161" s="10" t="s">
        <v>84</v>
      </c>
      <c r="E161" s="10" t="s">
        <v>85</v>
      </c>
      <c r="F161" s="10" t="s">
        <v>86</v>
      </c>
      <c r="G161" s="10" t="s">
        <v>87</v>
      </c>
      <c r="H161" s="10" t="s">
        <v>19</v>
      </c>
      <c r="I161" s="10" t="s">
        <v>88</v>
      </c>
      <c r="J161" s="10">
        <v>2.7362629043431199</v>
      </c>
      <c r="K161" s="10">
        <v>0</v>
      </c>
      <c r="L161" s="10">
        <v>0</v>
      </c>
      <c r="M161" s="10">
        <v>0</v>
      </c>
      <c r="N161" s="10">
        <v>0</v>
      </c>
      <c r="O161" s="10">
        <v>0</v>
      </c>
      <c r="P161" s="10">
        <v>0</v>
      </c>
      <c r="Q161" s="10">
        <v>18.018018018013802</v>
      </c>
      <c r="R161" s="10">
        <v>0</v>
      </c>
      <c r="S161" s="10">
        <v>0</v>
      </c>
      <c r="T161" s="10">
        <v>0</v>
      </c>
      <c r="U161" s="10">
        <v>0</v>
      </c>
      <c r="V161" s="10">
        <v>0</v>
      </c>
      <c r="W161" s="10">
        <v>0</v>
      </c>
      <c r="X161" s="10">
        <v>0.755842533655259</v>
      </c>
      <c r="Y161" s="10">
        <v>6584.9001532046104</v>
      </c>
      <c r="Z161" s="10">
        <v>37.168542977768801</v>
      </c>
    </row>
    <row r="162" spans="1:26" x14ac:dyDescent="0.35">
      <c r="A162" s="10" t="s">
        <v>36</v>
      </c>
      <c r="B162" s="10" t="s">
        <v>89</v>
      </c>
      <c r="C162" s="10">
        <v>2025</v>
      </c>
      <c r="D162" s="10" t="s">
        <v>84</v>
      </c>
      <c r="E162" s="10" t="s">
        <v>85</v>
      </c>
      <c r="F162" s="10" t="s">
        <v>86</v>
      </c>
      <c r="G162" s="10" t="s">
        <v>87</v>
      </c>
      <c r="H162" s="10" t="s">
        <v>19</v>
      </c>
      <c r="I162" s="10" t="s">
        <v>88</v>
      </c>
      <c r="J162" s="10">
        <v>485.15615719261399</v>
      </c>
      <c r="K162" s="10">
        <v>0</v>
      </c>
      <c r="L162" s="10">
        <v>0</v>
      </c>
      <c r="M162" s="10">
        <v>0</v>
      </c>
      <c r="N162" s="10">
        <v>0</v>
      </c>
      <c r="O162" s="10">
        <v>0</v>
      </c>
      <c r="P162" s="10">
        <v>0</v>
      </c>
      <c r="Q162" s="10">
        <v>380.76020294916202</v>
      </c>
      <c r="R162" s="10">
        <v>0</v>
      </c>
      <c r="S162" s="10">
        <v>357.91459077221202</v>
      </c>
      <c r="T162" s="10">
        <v>0</v>
      </c>
      <c r="U162" s="10">
        <v>0</v>
      </c>
      <c r="V162" s="10">
        <v>0</v>
      </c>
      <c r="W162" s="10">
        <v>0</v>
      </c>
      <c r="X162" s="10">
        <v>9.0084927929269504E-2</v>
      </c>
      <c r="Y162" s="10">
        <v>784.81989211979601</v>
      </c>
      <c r="Z162" s="10">
        <v>37.168542977768801</v>
      </c>
    </row>
    <row r="163" spans="1:26" x14ac:dyDescent="0.35">
      <c r="A163" s="10" t="s">
        <v>36</v>
      </c>
      <c r="B163" s="10" t="s">
        <v>90</v>
      </c>
      <c r="C163" s="10">
        <v>2025</v>
      </c>
      <c r="D163" s="10" t="s">
        <v>84</v>
      </c>
      <c r="E163" s="10" t="s">
        <v>85</v>
      </c>
      <c r="F163" s="10" t="s">
        <v>86</v>
      </c>
      <c r="G163" s="10" t="s">
        <v>87</v>
      </c>
      <c r="H163" s="10" t="s">
        <v>19</v>
      </c>
      <c r="I163" s="10" t="s">
        <v>88</v>
      </c>
      <c r="J163" s="10">
        <v>481.47100972788297</v>
      </c>
      <c r="K163" s="10">
        <v>0</v>
      </c>
      <c r="L163" s="10">
        <v>0</v>
      </c>
      <c r="M163" s="10">
        <v>0</v>
      </c>
      <c r="N163" s="10">
        <v>0</v>
      </c>
      <c r="O163" s="10">
        <v>0</v>
      </c>
      <c r="P163" s="10">
        <v>0</v>
      </c>
      <c r="Q163" s="10">
        <v>380.74180392658201</v>
      </c>
      <c r="R163" s="10">
        <v>0</v>
      </c>
      <c r="S163" s="10">
        <v>0</v>
      </c>
      <c r="T163" s="10">
        <v>0</v>
      </c>
      <c r="U163" s="10">
        <v>0</v>
      </c>
      <c r="V163" s="10">
        <v>0</v>
      </c>
      <c r="W163" s="10">
        <v>0</v>
      </c>
      <c r="X163" s="10">
        <v>9.0770045662031798E-2</v>
      </c>
      <c r="Y163" s="10">
        <v>790.78863780762094</v>
      </c>
      <c r="Z163" s="10">
        <v>37.168542977768801</v>
      </c>
    </row>
    <row r="164" spans="1:26" x14ac:dyDescent="0.35">
      <c r="A164" s="10" t="s">
        <v>36</v>
      </c>
      <c r="B164" s="10" t="s">
        <v>91</v>
      </c>
      <c r="C164" s="10">
        <v>2025</v>
      </c>
      <c r="D164" s="10" t="s">
        <v>84</v>
      </c>
      <c r="E164" s="10" t="s">
        <v>85</v>
      </c>
      <c r="F164" s="10" t="s">
        <v>86</v>
      </c>
      <c r="G164" s="10" t="s">
        <v>87</v>
      </c>
      <c r="H164" s="10" t="s">
        <v>19</v>
      </c>
      <c r="I164" s="10" t="s">
        <v>88</v>
      </c>
      <c r="J164" s="10">
        <v>204.433584319989</v>
      </c>
      <c r="K164" s="10">
        <v>94.193882944115103</v>
      </c>
      <c r="L164" s="10">
        <v>7.6996772131926203</v>
      </c>
      <c r="M164" s="10">
        <v>0.20273188059621899</v>
      </c>
      <c r="N164" s="10">
        <v>0</v>
      </c>
      <c r="O164" s="10">
        <v>0</v>
      </c>
      <c r="P164" s="10">
        <v>7.9024090937888403</v>
      </c>
      <c r="Q164" s="10">
        <v>905.61896580020698</v>
      </c>
      <c r="R164" s="10">
        <v>0</v>
      </c>
      <c r="S164" s="10">
        <v>0</v>
      </c>
      <c r="T164" s="10">
        <v>0</v>
      </c>
      <c r="U164" s="10">
        <v>0</v>
      </c>
      <c r="V164" s="10">
        <v>0</v>
      </c>
      <c r="W164" s="10">
        <v>8.7259757052528704E-3</v>
      </c>
      <c r="X164" s="10">
        <v>0.50848178392965204</v>
      </c>
      <c r="Y164" s="10">
        <v>4429.8933015951297</v>
      </c>
      <c r="Z164" s="10">
        <v>37.168542977768801</v>
      </c>
    </row>
    <row r="165" spans="1:26" x14ac:dyDescent="0.35">
      <c r="A165" s="10" t="s">
        <v>36</v>
      </c>
      <c r="B165" s="10" t="s">
        <v>92</v>
      </c>
      <c r="C165" s="10">
        <v>2025</v>
      </c>
      <c r="D165" s="10" t="s">
        <v>84</v>
      </c>
      <c r="E165" s="10" t="s">
        <v>85</v>
      </c>
      <c r="F165" s="10" t="s">
        <v>86</v>
      </c>
      <c r="G165" s="10" t="s">
        <v>87</v>
      </c>
      <c r="H165" s="10" t="s">
        <v>19</v>
      </c>
      <c r="I165" s="10" t="s">
        <v>88</v>
      </c>
      <c r="J165" s="10">
        <v>874.74635787378304</v>
      </c>
      <c r="K165" s="10">
        <v>481.11049683058002</v>
      </c>
      <c r="L165" s="10">
        <v>41.280851242474398</v>
      </c>
      <c r="M165" s="10">
        <v>7.96019185665142</v>
      </c>
      <c r="N165" s="10">
        <v>0</v>
      </c>
      <c r="O165" s="10">
        <v>0</v>
      </c>
      <c r="P165" s="10">
        <v>49.241043099125797</v>
      </c>
      <c r="Q165" s="10">
        <v>1324.8042337462</v>
      </c>
      <c r="R165" s="10">
        <v>0</v>
      </c>
      <c r="S165" s="10">
        <v>0</v>
      </c>
      <c r="T165" s="10">
        <v>0</v>
      </c>
      <c r="U165" s="10">
        <v>0</v>
      </c>
      <c r="V165" s="10">
        <v>0</v>
      </c>
      <c r="W165" s="10">
        <v>3.7168542977768802E-2</v>
      </c>
      <c r="X165" s="10">
        <v>0.17384079430670299</v>
      </c>
      <c r="Y165" s="10">
        <v>1514.501</v>
      </c>
      <c r="Z165" s="10">
        <v>37.168542977768801</v>
      </c>
    </row>
    <row r="166" spans="1:26" x14ac:dyDescent="0.35">
      <c r="A166" s="10" t="s">
        <v>36</v>
      </c>
      <c r="B166" s="10" t="s">
        <v>7</v>
      </c>
      <c r="C166" s="10">
        <v>2025</v>
      </c>
      <c r="D166" s="10" t="s">
        <v>84</v>
      </c>
      <c r="E166" s="10" t="s">
        <v>85</v>
      </c>
      <c r="F166" s="10" t="s">
        <v>86</v>
      </c>
      <c r="G166" s="10" t="s">
        <v>87</v>
      </c>
      <c r="H166" s="10" t="s">
        <v>19</v>
      </c>
      <c r="I166" s="10" t="s">
        <v>88</v>
      </c>
      <c r="J166" s="10">
        <v>0</v>
      </c>
      <c r="K166" s="10">
        <v>0</v>
      </c>
      <c r="L166" s="10">
        <v>0</v>
      </c>
      <c r="M166" s="10">
        <v>0</v>
      </c>
      <c r="N166" s="10">
        <v>0</v>
      </c>
      <c r="O166" s="10">
        <v>0</v>
      </c>
      <c r="P166" s="10">
        <v>0</v>
      </c>
      <c r="Q166" s="10">
        <v>0</v>
      </c>
      <c r="R166" s="10">
        <v>0</v>
      </c>
      <c r="S166" s="10">
        <v>0</v>
      </c>
      <c r="T166" s="10">
        <v>0</v>
      </c>
      <c r="U166" s="10">
        <v>0</v>
      </c>
      <c r="V166" s="10">
        <v>0</v>
      </c>
      <c r="W166" s="10">
        <v>0</v>
      </c>
      <c r="X166" s="10" t="s">
        <v>14</v>
      </c>
      <c r="Y166" s="10" t="s">
        <v>14</v>
      </c>
      <c r="Z166" s="10">
        <v>37.168542977768801</v>
      </c>
    </row>
    <row r="167" spans="1:26" x14ac:dyDescent="0.35">
      <c r="A167" s="10" t="s">
        <v>36</v>
      </c>
      <c r="B167" s="10" t="s">
        <v>8</v>
      </c>
      <c r="C167" s="10">
        <v>2025</v>
      </c>
      <c r="D167" s="10" t="s">
        <v>84</v>
      </c>
      <c r="E167" s="10" t="s">
        <v>85</v>
      </c>
      <c r="F167" s="10" t="s">
        <v>86</v>
      </c>
      <c r="G167" s="10" t="s">
        <v>87</v>
      </c>
      <c r="H167" s="10" t="s">
        <v>19</v>
      </c>
      <c r="I167" s="10" t="s">
        <v>88</v>
      </c>
      <c r="J167" s="10">
        <v>0</v>
      </c>
      <c r="K167" s="10">
        <v>0</v>
      </c>
      <c r="L167" s="10">
        <v>0</v>
      </c>
      <c r="M167" s="10">
        <v>0</v>
      </c>
      <c r="N167" s="10">
        <v>0</v>
      </c>
      <c r="O167" s="10">
        <v>0</v>
      </c>
      <c r="P167" s="10">
        <v>0</v>
      </c>
      <c r="Q167" s="10">
        <v>0</v>
      </c>
      <c r="R167" s="10">
        <v>0</v>
      </c>
      <c r="S167" s="10">
        <v>0</v>
      </c>
      <c r="T167" s="10">
        <v>0</v>
      </c>
      <c r="U167" s="10">
        <v>0</v>
      </c>
      <c r="V167" s="10">
        <v>0</v>
      </c>
      <c r="W167" s="10">
        <v>0</v>
      </c>
      <c r="X167" s="10" t="s">
        <v>14</v>
      </c>
      <c r="Y167" s="10" t="s">
        <v>14</v>
      </c>
      <c r="Z167" s="10">
        <v>37.168542977768801</v>
      </c>
    </row>
    <row r="168" spans="1:26" x14ac:dyDescent="0.35">
      <c r="A168" s="10" t="s">
        <v>36</v>
      </c>
      <c r="B168" s="10" t="s">
        <v>9</v>
      </c>
      <c r="C168" s="10">
        <v>2025</v>
      </c>
      <c r="D168" s="10" t="s">
        <v>84</v>
      </c>
      <c r="E168" s="10" t="s">
        <v>85</v>
      </c>
      <c r="F168" s="10" t="s">
        <v>86</v>
      </c>
      <c r="G168" s="10" t="s">
        <v>87</v>
      </c>
      <c r="H168" s="10" t="s">
        <v>19</v>
      </c>
      <c r="I168" s="10" t="s">
        <v>88</v>
      </c>
      <c r="J168" s="10">
        <v>70.826913938562399</v>
      </c>
      <c r="K168" s="10">
        <v>0</v>
      </c>
      <c r="L168" s="10">
        <v>0</v>
      </c>
      <c r="M168" s="10">
        <v>0</v>
      </c>
      <c r="N168" s="10">
        <v>4.2323340740435499E-2</v>
      </c>
      <c r="O168" s="10">
        <v>0</v>
      </c>
      <c r="P168" s="10">
        <v>4.2323340740435499E-2</v>
      </c>
      <c r="Q168" s="10">
        <v>20.293319239940701</v>
      </c>
      <c r="R168" s="10">
        <v>0</v>
      </c>
      <c r="S168" s="10">
        <v>0</v>
      </c>
      <c r="T168" s="10">
        <v>0</v>
      </c>
      <c r="U168" s="10">
        <v>0</v>
      </c>
      <c r="V168" s="10">
        <v>0</v>
      </c>
      <c r="W168" s="10">
        <v>2.0855799999999901E-3</v>
      </c>
      <c r="X168" s="10">
        <v>3.2887957420503502E-2</v>
      </c>
      <c r="Y168" s="10">
        <v>286.51988504742599</v>
      </c>
      <c r="Z168" s="10">
        <v>37.168542977768801</v>
      </c>
    </row>
    <row r="169" spans="1:26" x14ac:dyDescent="0.35">
      <c r="A169" s="10" t="s">
        <v>36</v>
      </c>
      <c r="B169" s="10" t="s">
        <v>10</v>
      </c>
      <c r="C169" s="10">
        <v>2025</v>
      </c>
      <c r="D169" s="10" t="s">
        <v>84</v>
      </c>
      <c r="E169" s="10" t="s">
        <v>85</v>
      </c>
      <c r="F169" s="10" t="s">
        <v>86</v>
      </c>
      <c r="G169" s="10" t="s">
        <v>87</v>
      </c>
      <c r="H169" s="10" t="s">
        <v>19</v>
      </c>
      <c r="I169" s="10" t="s">
        <v>88</v>
      </c>
      <c r="J169" s="10">
        <v>65.056135473302703</v>
      </c>
      <c r="K169" s="10">
        <v>0</v>
      </c>
      <c r="L169" s="10">
        <v>0</v>
      </c>
      <c r="M169" s="10">
        <v>0</v>
      </c>
      <c r="N169" s="10">
        <v>0</v>
      </c>
      <c r="O169" s="10">
        <v>0</v>
      </c>
      <c r="P169" s="10">
        <v>0</v>
      </c>
      <c r="Q169" s="10">
        <v>20.279153857153499</v>
      </c>
      <c r="R169" s="10">
        <v>0</v>
      </c>
      <c r="S169" s="10">
        <v>0</v>
      </c>
      <c r="T169" s="10">
        <v>0</v>
      </c>
      <c r="U169" s="10">
        <v>0</v>
      </c>
      <c r="V169" s="10">
        <v>0</v>
      </c>
      <c r="W169" s="10">
        <v>0</v>
      </c>
      <c r="X169" s="10">
        <v>3.5780277304985703E-2</v>
      </c>
      <c r="Y169" s="10">
        <v>311.71777588103498</v>
      </c>
      <c r="Z169" s="10">
        <v>37.168542977768801</v>
      </c>
    </row>
    <row r="170" spans="1:26" x14ac:dyDescent="0.35">
      <c r="A170" s="10" t="s">
        <v>36</v>
      </c>
      <c r="B170" s="10" t="s">
        <v>4</v>
      </c>
      <c r="C170" s="10">
        <v>2025</v>
      </c>
      <c r="D170" s="10" t="s">
        <v>84</v>
      </c>
      <c r="E170" s="10" t="s">
        <v>85</v>
      </c>
      <c r="F170" s="10" t="s">
        <v>86</v>
      </c>
      <c r="G170" s="10" t="s">
        <v>87</v>
      </c>
      <c r="H170" s="10" t="s">
        <v>19</v>
      </c>
      <c r="I170" s="10" t="s">
        <v>88</v>
      </c>
      <c r="J170" s="10">
        <v>70.826913938562399</v>
      </c>
      <c r="K170" s="10">
        <v>25.627283456591002</v>
      </c>
      <c r="L170" s="10">
        <v>2.61019542619078</v>
      </c>
      <c r="M170" s="10">
        <v>0.35952449784353602</v>
      </c>
      <c r="N170" s="10">
        <v>0</v>
      </c>
      <c r="O170" s="10">
        <v>0</v>
      </c>
      <c r="P170" s="10">
        <v>2.9697199240343202</v>
      </c>
      <c r="Q170" s="10">
        <v>356.635596609679</v>
      </c>
      <c r="R170" s="10">
        <v>0</v>
      </c>
      <c r="S170" s="10">
        <v>0</v>
      </c>
      <c r="T170" s="10">
        <v>0</v>
      </c>
      <c r="U170" s="10">
        <v>0</v>
      </c>
      <c r="V170" s="10">
        <v>0</v>
      </c>
      <c r="W170" s="10">
        <v>8.3270429319609804E-3</v>
      </c>
      <c r="X170" s="10">
        <v>0.577974267159307</v>
      </c>
      <c r="Y170" s="10">
        <v>5035.3118154918802</v>
      </c>
      <c r="Z170" s="10">
        <v>37.168542977768801</v>
      </c>
    </row>
    <row r="171" spans="1:26" x14ac:dyDescent="0.35">
      <c r="A171" s="10" t="s">
        <v>37</v>
      </c>
      <c r="B171" s="10" t="s">
        <v>25</v>
      </c>
      <c r="C171" s="10">
        <v>2025</v>
      </c>
      <c r="D171" s="10" t="s">
        <v>84</v>
      </c>
      <c r="E171" s="10" t="s">
        <v>85</v>
      </c>
      <c r="F171" s="10" t="s">
        <v>86</v>
      </c>
      <c r="G171" s="10" t="s">
        <v>87</v>
      </c>
      <c r="H171" s="10" t="s">
        <v>19</v>
      </c>
      <c r="I171" s="10" t="s">
        <v>88</v>
      </c>
      <c r="J171" s="10">
        <v>15.353813569666301</v>
      </c>
      <c r="K171" s="10">
        <v>64.363186484041407</v>
      </c>
      <c r="L171" s="10">
        <v>6.0294647257191398</v>
      </c>
      <c r="M171" s="10">
        <v>6.6942627163745403</v>
      </c>
      <c r="N171" s="10">
        <v>0</v>
      </c>
      <c r="O171" s="10">
        <v>0</v>
      </c>
      <c r="P171" s="10">
        <v>12.723727442093599</v>
      </c>
      <c r="Q171" s="10">
        <v>100.00000000000399</v>
      </c>
      <c r="R171" s="10">
        <v>0</v>
      </c>
      <c r="S171" s="10">
        <v>38.000000000004398</v>
      </c>
      <c r="T171" s="10">
        <v>1.2195549908610901</v>
      </c>
      <c r="U171" s="10">
        <v>65.567472626940301</v>
      </c>
      <c r="V171" s="10">
        <v>236.04290145698499</v>
      </c>
      <c r="W171" s="10">
        <v>0.127237274420931</v>
      </c>
      <c r="X171" s="10">
        <v>0.74759410860688902</v>
      </c>
      <c r="Y171" s="10">
        <v>6513.0398741832196</v>
      </c>
      <c r="Z171" s="10">
        <v>44.602251573322697</v>
      </c>
    </row>
    <row r="172" spans="1:26" x14ac:dyDescent="0.35">
      <c r="A172" s="10" t="s">
        <v>37</v>
      </c>
      <c r="B172" s="10" t="s">
        <v>23</v>
      </c>
      <c r="C172" s="10">
        <v>2025</v>
      </c>
      <c r="D172" s="10" t="s">
        <v>84</v>
      </c>
      <c r="E172" s="10" t="s">
        <v>85</v>
      </c>
      <c r="F172" s="10" t="s">
        <v>86</v>
      </c>
      <c r="G172" s="10" t="s">
        <v>87</v>
      </c>
      <c r="H172" s="10" t="s">
        <v>19</v>
      </c>
      <c r="I172" s="10" t="s">
        <v>88</v>
      </c>
      <c r="J172" s="10">
        <v>62.682249163713699</v>
      </c>
      <c r="K172" s="10">
        <v>0</v>
      </c>
      <c r="L172" s="10">
        <v>0</v>
      </c>
      <c r="M172" s="10">
        <v>0</v>
      </c>
      <c r="N172" s="10">
        <v>0</v>
      </c>
      <c r="O172" s="10">
        <v>0</v>
      </c>
      <c r="P172" s="10">
        <v>0</v>
      </c>
      <c r="Q172" s="10">
        <v>160.57251831303</v>
      </c>
      <c r="R172" s="10">
        <v>0</v>
      </c>
      <c r="S172" s="10">
        <v>0</v>
      </c>
      <c r="T172" s="10">
        <v>0</v>
      </c>
      <c r="U172" s="10">
        <v>0</v>
      </c>
      <c r="V172" s="10">
        <v>0</v>
      </c>
      <c r="W172" s="10">
        <v>0</v>
      </c>
      <c r="X172" s="10">
        <v>0.29404160215429498</v>
      </c>
      <c r="Y172" s="10">
        <v>2561.6904379682201</v>
      </c>
      <c r="Z172" s="10">
        <v>44.602251573322697</v>
      </c>
    </row>
    <row r="173" spans="1:26" x14ac:dyDescent="0.35">
      <c r="A173" s="10" t="s">
        <v>37</v>
      </c>
      <c r="B173" s="10" t="s">
        <v>20</v>
      </c>
      <c r="C173" s="10">
        <v>2025</v>
      </c>
      <c r="D173" s="10" t="s">
        <v>84</v>
      </c>
      <c r="E173" s="10" t="s">
        <v>85</v>
      </c>
      <c r="F173" s="10" t="s">
        <v>86</v>
      </c>
      <c r="G173" s="10" t="s">
        <v>87</v>
      </c>
      <c r="H173" s="10" t="s">
        <v>19</v>
      </c>
      <c r="I173" s="10" t="s">
        <v>88</v>
      </c>
      <c r="J173" s="10">
        <v>7.0423506935432298</v>
      </c>
      <c r="K173" s="10">
        <v>397.66041661230503</v>
      </c>
      <c r="L173" s="10">
        <v>37.252342305537702</v>
      </c>
      <c r="M173" s="10">
        <v>7.95081393301031</v>
      </c>
      <c r="N173" s="10">
        <v>0</v>
      </c>
      <c r="O173" s="10">
        <v>0</v>
      </c>
      <c r="P173" s="10">
        <v>45.203156238548097</v>
      </c>
      <c r="Q173" s="10">
        <v>18.040322432467899</v>
      </c>
      <c r="R173" s="10">
        <v>0</v>
      </c>
      <c r="S173" s="10">
        <v>929.07660527211397</v>
      </c>
      <c r="T173" s="10">
        <v>0</v>
      </c>
      <c r="U173" s="10">
        <v>0</v>
      </c>
      <c r="V173" s="10">
        <v>0</v>
      </c>
      <c r="W173" s="10">
        <v>2.5056734106478</v>
      </c>
      <c r="X173" s="10">
        <v>0.29404160215429498</v>
      </c>
      <c r="Y173" s="10">
        <v>2561.6904379682201</v>
      </c>
      <c r="Z173" s="10">
        <v>44.602251573322697</v>
      </c>
    </row>
    <row r="174" spans="1:26" x14ac:dyDescent="0.35">
      <c r="A174" s="10" t="s">
        <v>37</v>
      </c>
      <c r="B174" s="10" t="s">
        <v>24</v>
      </c>
      <c r="C174" s="10">
        <v>2025</v>
      </c>
      <c r="D174" s="10" t="s">
        <v>84</v>
      </c>
      <c r="E174" s="10" t="s">
        <v>85</v>
      </c>
      <c r="F174" s="10" t="s">
        <v>86</v>
      </c>
      <c r="G174" s="10" t="s">
        <v>87</v>
      </c>
      <c r="H174" s="10" t="s">
        <v>19</v>
      </c>
      <c r="I174" s="10" t="s">
        <v>88</v>
      </c>
      <c r="J174" s="10">
        <v>2.7664528954353802</v>
      </c>
      <c r="K174" s="10">
        <v>0</v>
      </c>
      <c r="L174" s="10">
        <v>0</v>
      </c>
      <c r="M174" s="10">
        <v>0</v>
      </c>
      <c r="N174" s="10">
        <v>0</v>
      </c>
      <c r="O174" s="10">
        <v>0</v>
      </c>
      <c r="P174" s="10">
        <v>0</v>
      </c>
      <c r="Q174" s="10">
        <v>18.018018018015798</v>
      </c>
      <c r="R174" s="10">
        <v>0</v>
      </c>
      <c r="S174" s="10">
        <v>0</v>
      </c>
      <c r="T174" s="10">
        <v>0</v>
      </c>
      <c r="U174" s="10">
        <v>0</v>
      </c>
      <c r="V174" s="10">
        <v>0</v>
      </c>
      <c r="W174" s="10">
        <v>0</v>
      </c>
      <c r="X174" s="10">
        <v>0.74759410860679099</v>
      </c>
      <c r="Y174" s="10">
        <v>6513.0398741823701</v>
      </c>
      <c r="Z174" s="10">
        <v>44.602251573322697</v>
      </c>
    </row>
    <row r="175" spans="1:26" x14ac:dyDescent="0.35">
      <c r="A175" s="10" t="s">
        <v>37</v>
      </c>
      <c r="B175" s="10" t="s">
        <v>89</v>
      </c>
      <c r="C175" s="10">
        <v>2025</v>
      </c>
      <c r="D175" s="10" t="s">
        <v>84</v>
      </c>
      <c r="E175" s="10" t="s">
        <v>85</v>
      </c>
      <c r="F175" s="10" t="s">
        <v>86</v>
      </c>
      <c r="G175" s="10" t="s">
        <v>87</v>
      </c>
      <c r="H175" s="10" t="s">
        <v>19</v>
      </c>
      <c r="I175" s="10" t="s">
        <v>88</v>
      </c>
      <c r="J175" s="10">
        <v>340.61556906461601</v>
      </c>
      <c r="K175" s="10">
        <v>0</v>
      </c>
      <c r="L175" s="10">
        <v>0</v>
      </c>
      <c r="M175" s="10">
        <v>0</v>
      </c>
      <c r="N175" s="10">
        <v>0</v>
      </c>
      <c r="O175" s="10">
        <v>0</v>
      </c>
      <c r="P175" s="10">
        <v>0</v>
      </c>
      <c r="Q175" s="10">
        <v>195.90830818398501</v>
      </c>
      <c r="R175" s="10">
        <v>0</v>
      </c>
      <c r="S175" s="10">
        <v>184.15380969294401</v>
      </c>
      <c r="T175" s="10">
        <v>0</v>
      </c>
      <c r="U175" s="10">
        <v>0</v>
      </c>
      <c r="V175" s="10">
        <v>0</v>
      </c>
      <c r="W175" s="10">
        <v>0</v>
      </c>
      <c r="X175" s="10">
        <v>6.6019235718935199E-2</v>
      </c>
      <c r="Y175" s="10">
        <v>575.15958158336298</v>
      </c>
      <c r="Z175" s="10">
        <v>44.602251573322697</v>
      </c>
    </row>
    <row r="176" spans="1:26" x14ac:dyDescent="0.35">
      <c r="A176" s="10" t="s">
        <v>37</v>
      </c>
      <c r="B176" s="10" t="s">
        <v>90</v>
      </c>
      <c r="C176" s="10">
        <v>2025</v>
      </c>
      <c r="D176" s="10" t="s">
        <v>84</v>
      </c>
      <c r="E176" s="10" t="s">
        <v>85</v>
      </c>
      <c r="F176" s="10" t="s">
        <v>86</v>
      </c>
      <c r="G176" s="10" t="s">
        <v>87</v>
      </c>
      <c r="H176" s="10" t="s">
        <v>19</v>
      </c>
      <c r="I176" s="10" t="s">
        <v>88</v>
      </c>
      <c r="J176" s="10">
        <v>336.33967126650799</v>
      </c>
      <c r="K176" s="10">
        <v>0</v>
      </c>
      <c r="L176" s="10">
        <v>0</v>
      </c>
      <c r="M176" s="10">
        <v>0</v>
      </c>
      <c r="N176" s="10">
        <v>0</v>
      </c>
      <c r="O176" s="10">
        <v>0</v>
      </c>
      <c r="P176" s="10">
        <v>0</v>
      </c>
      <c r="Q176" s="10">
        <v>195.88600376952701</v>
      </c>
      <c r="R176" s="10">
        <v>0</v>
      </c>
      <c r="S176" s="10">
        <v>0</v>
      </c>
      <c r="T176" s="10">
        <v>0</v>
      </c>
      <c r="U176" s="10">
        <v>0</v>
      </c>
      <c r="V176" s="10">
        <v>0</v>
      </c>
      <c r="W176" s="10">
        <v>0</v>
      </c>
      <c r="X176" s="10">
        <v>6.6850928599807999E-2</v>
      </c>
      <c r="Y176" s="10">
        <v>582.40528996152705</v>
      </c>
      <c r="Z176" s="10">
        <v>44.602251573322697</v>
      </c>
    </row>
    <row r="177" spans="1:26" x14ac:dyDescent="0.35">
      <c r="A177" s="10" t="s">
        <v>37</v>
      </c>
      <c r="B177" s="10" t="s">
        <v>91</v>
      </c>
      <c r="C177" s="10">
        <v>2025</v>
      </c>
      <c r="D177" s="10" t="s">
        <v>84</v>
      </c>
      <c r="E177" s="10" t="s">
        <v>85</v>
      </c>
      <c r="F177" s="10" t="s">
        <v>86</v>
      </c>
      <c r="G177" s="10" t="s">
        <v>87</v>
      </c>
      <c r="H177" s="10" t="s">
        <v>19</v>
      </c>
      <c r="I177" s="10" t="s">
        <v>88</v>
      </c>
      <c r="J177" s="10">
        <v>247.826827233025</v>
      </c>
      <c r="K177" s="10">
        <v>114.18755500691201</v>
      </c>
      <c r="L177" s="10">
        <v>9.3340171127517202</v>
      </c>
      <c r="M177" s="10">
        <v>0.24576391845922699</v>
      </c>
      <c r="N177" s="10">
        <v>0</v>
      </c>
      <c r="O177" s="10">
        <v>0</v>
      </c>
      <c r="P177" s="10">
        <v>9.5797810312109508</v>
      </c>
      <c r="Q177" s="10">
        <v>1091.00703403179</v>
      </c>
      <c r="R177" s="10">
        <v>0</v>
      </c>
      <c r="S177" s="10">
        <v>0</v>
      </c>
      <c r="T177" s="10">
        <v>0</v>
      </c>
      <c r="U177" s="10">
        <v>0</v>
      </c>
      <c r="V177" s="10">
        <v>0</v>
      </c>
      <c r="W177" s="10">
        <v>8.7806776055411994E-3</v>
      </c>
      <c r="X177" s="10">
        <v>0.50531404208870701</v>
      </c>
      <c r="Y177" s="10">
        <v>4402.2959346768102</v>
      </c>
      <c r="Z177" s="10">
        <v>44.602251573322697</v>
      </c>
    </row>
    <row r="178" spans="1:26" x14ac:dyDescent="0.35">
      <c r="A178" s="10" t="s">
        <v>37</v>
      </c>
      <c r="B178" s="10" t="s">
        <v>92</v>
      </c>
      <c r="C178" s="10">
        <v>2025</v>
      </c>
      <c r="D178" s="10" t="s">
        <v>84</v>
      </c>
      <c r="E178" s="10" t="s">
        <v>85</v>
      </c>
      <c r="F178" s="10" t="s">
        <v>86</v>
      </c>
      <c r="G178" s="10" t="s">
        <v>87</v>
      </c>
      <c r="H178" s="10" t="s">
        <v>19</v>
      </c>
      <c r="I178" s="10" t="s">
        <v>88</v>
      </c>
      <c r="J178" s="10">
        <v>760.14806268729501</v>
      </c>
      <c r="K178" s="10">
        <v>501.697721373614</v>
      </c>
      <c r="L178" s="10">
        <v>43.047302316510397</v>
      </c>
      <c r="M178" s="10">
        <v>8.3008168445452597</v>
      </c>
      <c r="N178" s="10">
        <v>0</v>
      </c>
      <c r="O178" s="10">
        <v>0</v>
      </c>
      <c r="P178" s="10">
        <v>51.348119161055699</v>
      </c>
      <c r="Q178" s="10">
        <v>1151.24500108796</v>
      </c>
      <c r="R178" s="10">
        <v>0</v>
      </c>
      <c r="S178" s="10">
        <v>0</v>
      </c>
      <c r="T178" s="10">
        <v>0</v>
      </c>
      <c r="U178" s="10">
        <v>0</v>
      </c>
      <c r="V178" s="10">
        <v>0</v>
      </c>
      <c r="W178" s="10">
        <v>4.4602251573322697E-2</v>
      </c>
      <c r="X178" s="10">
        <v>0.17384079430670299</v>
      </c>
      <c r="Y178" s="10">
        <v>1514.501</v>
      </c>
      <c r="Z178" s="10">
        <v>44.602251573322697</v>
      </c>
    </row>
    <row r="179" spans="1:26" x14ac:dyDescent="0.35">
      <c r="A179" s="10" t="s">
        <v>37</v>
      </c>
      <c r="B179" s="10" t="s">
        <v>7</v>
      </c>
      <c r="C179" s="10">
        <v>2025</v>
      </c>
      <c r="D179" s="10" t="s">
        <v>84</v>
      </c>
      <c r="E179" s="10" t="s">
        <v>85</v>
      </c>
      <c r="F179" s="10" t="s">
        <v>86</v>
      </c>
      <c r="G179" s="10" t="s">
        <v>87</v>
      </c>
      <c r="H179" s="10" t="s">
        <v>19</v>
      </c>
      <c r="I179" s="10" t="s">
        <v>88</v>
      </c>
      <c r="J179" s="10">
        <v>0</v>
      </c>
      <c r="K179" s="10">
        <v>0</v>
      </c>
      <c r="L179" s="10">
        <v>0</v>
      </c>
      <c r="M179" s="10">
        <v>0</v>
      </c>
      <c r="N179" s="10">
        <v>0</v>
      </c>
      <c r="O179" s="10">
        <v>0</v>
      </c>
      <c r="P179" s="10">
        <v>0</v>
      </c>
      <c r="Q179" s="10">
        <v>0</v>
      </c>
      <c r="R179" s="10">
        <v>0</v>
      </c>
      <c r="S179" s="10">
        <v>0</v>
      </c>
      <c r="T179" s="10">
        <v>0</v>
      </c>
      <c r="U179" s="10">
        <v>0</v>
      </c>
      <c r="V179" s="10">
        <v>0</v>
      </c>
      <c r="W179" s="10">
        <v>0</v>
      </c>
      <c r="X179" s="10" t="s">
        <v>14</v>
      </c>
      <c r="Y179" s="10" t="s">
        <v>14</v>
      </c>
      <c r="Z179" s="10">
        <v>44.602251573322697</v>
      </c>
    </row>
    <row r="180" spans="1:26" x14ac:dyDescent="0.35">
      <c r="A180" s="10" t="s">
        <v>37</v>
      </c>
      <c r="B180" s="10" t="s">
        <v>8</v>
      </c>
      <c r="C180" s="10">
        <v>2025</v>
      </c>
      <c r="D180" s="10" t="s">
        <v>84</v>
      </c>
      <c r="E180" s="10" t="s">
        <v>85</v>
      </c>
      <c r="F180" s="10" t="s">
        <v>86</v>
      </c>
      <c r="G180" s="10" t="s">
        <v>87</v>
      </c>
      <c r="H180" s="10" t="s">
        <v>19</v>
      </c>
      <c r="I180" s="10" t="s">
        <v>88</v>
      </c>
      <c r="J180" s="10">
        <v>0</v>
      </c>
      <c r="K180" s="10">
        <v>0</v>
      </c>
      <c r="L180" s="10">
        <v>0</v>
      </c>
      <c r="M180" s="10">
        <v>0</v>
      </c>
      <c r="N180" s="10">
        <v>0</v>
      </c>
      <c r="O180" s="10">
        <v>0</v>
      </c>
      <c r="P180" s="10">
        <v>0</v>
      </c>
      <c r="Q180" s="10">
        <v>0</v>
      </c>
      <c r="R180" s="10">
        <v>0</v>
      </c>
      <c r="S180" s="10">
        <v>0</v>
      </c>
      <c r="T180" s="10">
        <v>0</v>
      </c>
      <c r="U180" s="10">
        <v>0</v>
      </c>
      <c r="V180" s="10">
        <v>0</v>
      </c>
      <c r="W180" s="10">
        <v>0</v>
      </c>
      <c r="X180" s="10" t="s">
        <v>14</v>
      </c>
      <c r="Y180" s="10" t="s">
        <v>14</v>
      </c>
      <c r="Z180" s="10">
        <v>44.602251573322697</v>
      </c>
    </row>
    <row r="181" spans="1:26" x14ac:dyDescent="0.35">
      <c r="A181" s="10" t="s">
        <v>37</v>
      </c>
      <c r="B181" s="10" t="s">
        <v>9</v>
      </c>
      <c r="C181" s="10">
        <v>2025</v>
      </c>
      <c r="D181" s="10" t="s">
        <v>84</v>
      </c>
      <c r="E181" s="10" t="s">
        <v>85</v>
      </c>
      <c r="F181" s="10" t="s">
        <v>86</v>
      </c>
      <c r="G181" s="10" t="s">
        <v>87</v>
      </c>
      <c r="H181" s="10" t="s">
        <v>19</v>
      </c>
      <c r="I181" s="10" t="s">
        <v>88</v>
      </c>
      <c r="J181" s="10">
        <v>72.930614455915304</v>
      </c>
      <c r="K181" s="10">
        <v>0</v>
      </c>
      <c r="L181" s="10">
        <v>0</v>
      </c>
      <c r="M181" s="10">
        <v>0</v>
      </c>
      <c r="N181" s="10">
        <v>4.2788688131982701E-2</v>
      </c>
      <c r="O181" s="10">
        <v>0</v>
      </c>
      <c r="P181" s="10">
        <v>4.2788688131982701E-2</v>
      </c>
      <c r="Q181" s="10">
        <v>20.516445368666002</v>
      </c>
      <c r="R181" s="10">
        <v>0</v>
      </c>
      <c r="S181" s="10">
        <v>0</v>
      </c>
      <c r="T181" s="10">
        <v>0</v>
      </c>
      <c r="U181" s="10">
        <v>0</v>
      </c>
      <c r="V181" s="10">
        <v>0</v>
      </c>
      <c r="W181" s="10">
        <v>2.0855800000000001E-3</v>
      </c>
      <c r="X181" s="10">
        <v>3.2290470920353698E-2</v>
      </c>
      <c r="Y181" s="10">
        <v>281.31458265812103</v>
      </c>
      <c r="Z181" s="10">
        <v>44.602251573322697</v>
      </c>
    </row>
    <row r="182" spans="1:26" x14ac:dyDescent="0.35">
      <c r="A182" s="10" t="s">
        <v>37</v>
      </c>
      <c r="B182" s="10" t="s">
        <v>10</v>
      </c>
      <c r="C182" s="10">
        <v>2025</v>
      </c>
      <c r="D182" s="10" t="s">
        <v>84</v>
      </c>
      <c r="E182" s="10" t="s">
        <v>85</v>
      </c>
      <c r="F182" s="10" t="s">
        <v>86</v>
      </c>
      <c r="G182" s="10" t="s">
        <v>87</v>
      </c>
      <c r="H182" s="10" t="s">
        <v>19</v>
      </c>
      <c r="I182" s="10" t="s">
        <v>88</v>
      </c>
      <c r="J182" s="10">
        <v>61.261716142968801</v>
      </c>
      <c r="K182" s="10">
        <v>0</v>
      </c>
      <c r="L182" s="10">
        <v>0</v>
      </c>
      <c r="M182" s="10">
        <v>0</v>
      </c>
      <c r="N182" s="10">
        <v>0</v>
      </c>
      <c r="O182" s="10">
        <v>0</v>
      </c>
      <c r="P182" s="10">
        <v>0</v>
      </c>
      <c r="Q182" s="10">
        <v>20.501859245774799</v>
      </c>
      <c r="R182" s="10">
        <v>0</v>
      </c>
      <c r="S182" s="10">
        <v>0</v>
      </c>
      <c r="T182" s="10">
        <v>0</v>
      </c>
      <c r="U182" s="10">
        <v>0</v>
      </c>
      <c r="V182" s="10">
        <v>0</v>
      </c>
      <c r="W182" s="10">
        <v>0</v>
      </c>
      <c r="X182" s="10">
        <v>3.8413707237160602E-2</v>
      </c>
      <c r="Y182" s="10">
        <v>334.66021745014302</v>
      </c>
      <c r="Z182" s="10">
        <v>44.602251573322697</v>
      </c>
    </row>
    <row r="183" spans="1:26" x14ac:dyDescent="0.35">
      <c r="A183" s="10" t="s">
        <v>37</v>
      </c>
      <c r="B183" s="10" t="s">
        <v>4</v>
      </c>
      <c r="C183" s="10">
        <v>2025</v>
      </c>
      <c r="D183" s="10" t="s">
        <v>84</v>
      </c>
      <c r="E183" s="10" t="s">
        <v>85</v>
      </c>
      <c r="F183" s="10" t="s">
        <v>86</v>
      </c>
      <c r="G183" s="10" t="s">
        <v>87</v>
      </c>
      <c r="H183" s="10" t="s">
        <v>19</v>
      </c>
      <c r="I183" s="10" t="s">
        <v>88</v>
      </c>
      <c r="J183" s="10">
        <v>72.930614455915304</v>
      </c>
      <c r="K183" s="10">
        <v>26.388464855977499</v>
      </c>
      <c r="L183" s="10">
        <v>2.6877234330333901</v>
      </c>
      <c r="M183" s="10">
        <v>0.370203092039671</v>
      </c>
      <c r="N183" s="10">
        <v>0</v>
      </c>
      <c r="O183" s="10">
        <v>0</v>
      </c>
      <c r="P183" s="10">
        <v>3.0579265250730598</v>
      </c>
      <c r="Q183" s="10">
        <v>364.61844671653301</v>
      </c>
      <c r="R183" s="10">
        <v>0</v>
      </c>
      <c r="S183" s="10">
        <v>0</v>
      </c>
      <c r="T183" s="10">
        <v>0</v>
      </c>
      <c r="U183" s="10">
        <v>0</v>
      </c>
      <c r="V183" s="10">
        <v>0</v>
      </c>
      <c r="W183" s="10">
        <v>8.3866478852354896E-3</v>
      </c>
      <c r="X183" s="10">
        <v>0.57386653190446701</v>
      </c>
      <c r="Y183" s="10">
        <v>4999.5252259517201</v>
      </c>
      <c r="Z183" s="10">
        <v>44.602251573322697</v>
      </c>
    </row>
    <row r="184" spans="1:26" x14ac:dyDescent="0.35">
      <c r="A184" s="10" t="s">
        <v>38</v>
      </c>
      <c r="B184" s="10" t="s">
        <v>25</v>
      </c>
      <c r="C184" s="10">
        <v>2025</v>
      </c>
      <c r="D184" s="10" t="s">
        <v>84</v>
      </c>
      <c r="E184" s="10" t="s">
        <v>85</v>
      </c>
      <c r="F184" s="10" t="s">
        <v>86</v>
      </c>
      <c r="G184" s="10" t="s">
        <v>87</v>
      </c>
      <c r="H184" s="10" t="s">
        <v>19</v>
      </c>
      <c r="I184" s="10" t="s">
        <v>88</v>
      </c>
      <c r="J184" s="10">
        <v>15.384603867725399</v>
      </c>
      <c r="K184" s="10">
        <v>64.492259413505195</v>
      </c>
      <c r="L184" s="10">
        <v>6.0415561201599601</v>
      </c>
      <c r="M184" s="10">
        <v>6.7076872863283103</v>
      </c>
      <c r="N184" s="10">
        <v>0</v>
      </c>
      <c r="O184" s="10">
        <v>0</v>
      </c>
      <c r="P184" s="10">
        <v>12.749243406488199</v>
      </c>
      <c r="Q184" s="10">
        <v>100.00000000000399</v>
      </c>
      <c r="R184" s="10">
        <v>0</v>
      </c>
      <c r="S184" s="10">
        <v>38.000000000004597</v>
      </c>
      <c r="T184" s="10">
        <v>1.30398340885688</v>
      </c>
      <c r="U184" s="10">
        <v>70.106634884778799</v>
      </c>
      <c r="V184" s="10">
        <v>252.38388558520299</v>
      </c>
      <c r="W184" s="10">
        <v>0.12749243406487701</v>
      </c>
      <c r="X184" s="10">
        <v>0.74609789553377903</v>
      </c>
      <c r="Y184" s="10">
        <v>6500.0048658902797</v>
      </c>
      <c r="Z184" s="10">
        <v>52.0359601688764</v>
      </c>
    </row>
    <row r="185" spans="1:26" x14ac:dyDescent="0.35">
      <c r="A185" s="10" t="s">
        <v>38</v>
      </c>
      <c r="B185" s="10" t="s">
        <v>23</v>
      </c>
      <c r="C185" s="10">
        <v>2025</v>
      </c>
      <c r="D185" s="10" t="s">
        <v>84</v>
      </c>
      <c r="E185" s="10" t="s">
        <v>85</v>
      </c>
      <c r="F185" s="10" t="s">
        <v>86</v>
      </c>
      <c r="G185" s="10" t="s">
        <v>87</v>
      </c>
      <c r="H185" s="10" t="s">
        <v>19</v>
      </c>
      <c r="I185" s="10" t="s">
        <v>88</v>
      </c>
      <c r="J185" s="10">
        <v>63.810357098392601</v>
      </c>
      <c r="K185" s="10">
        <v>0</v>
      </c>
      <c r="L185" s="10">
        <v>0</v>
      </c>
      <c r="M185" s="10">
        <v>0</v>
      </c>
      <c r="N185" s="10">
        <v>0</v>
      </c>
      <c r="O185" s="10">
        <v>0</v>
      </c>
      <c r="P185" s="10">
        <v>0</v>
      </c>
      <c r="Q185" s="10">
        <v>160.57742102913801</v>
      </c>
      <c r="R185" s="10">
        <v>0</v>
      </c>
      <c r="S185" s="10">
        <v>0</v>
      </c>
      <c r="T185" s="10">
        <v>0</v>
      </c>
      <c r="U185" s="10">
        <v>0</v>
      </c>
      <c r="V185" s="10">
        <v>0</v>
      </c>
      <c r="W185" s="10">
        <v>0</v>
      </c>
      <c r="X185" s="10">
        <v>0.288852038497247</v>
      </c>
      <c r="Y185" s="10">
        <v>2516.47895938802</v>
      </c>
      <c r="Z185" s="10">
        <v>52.0359601688764</v>
      </c>
    </row>
    <row r="186" spans="1:26" x14ac:dyDescent="0.35">
      <c r="A186" s="10" t="s">
        <v>38</v>
      </c>
      <c r="B186" s="10" t="s">
        <v>20</v>
      </c>
      <c r="C186" s="10">
        <v>2025</v>
      </c>
      <c r="D186" s="10" t="s">
        <v>84</v>
      </c>
      <c r="E186" s="10" t="s">
        <v>85</v>
      </c>
      <c r="F186" s="10" t="s">
        <v>86</v>
      </c>
      <c r="G186" s="10" t="s">
        <v>87</v>
      </c>
      <c r="H186" s="10" t="s">
        <v>19</v>
      </c>
      <c r="I186" s="10" t="s">
        <v>88</v>
      </c>
      <c r="J186" s="10">
        <v>7.1690936200044098</v>
      </c>
      <c r="K186" s="10">
        <v>404.81720944078899</v>
      </c>
      <c r="L186" s="10">
        <v>37.922781919637998</v>
      </c>
      <c r="M186" s="10">
        <v>8.0939066969849804</v>
      </c>
      <c r="N186" s="10">
        <v>0</v>
      </c>
      <c r="O186" s="10">
        <v>0</v>
      </c>
      <c r="P186" s="10">
        <v>46.016688616623</v>
      </c>
      <c r="Q186" s="10">
        <v>18.0408732526238</v>
      </c>
      <c r="R186" s="10">
        <v>0</v>
      </c>
      <c r="S186" s="10">
        <v>929.10497251011498</v>
      </c>
      <c r="T186" s="10">
        <v>0</v>
      </c>
      <c r="U186" s="10">
        <v>0</v>
      </c>
      <c r="V186" s="10">
        <v>0</v>
      </c>
      <c r="W186" s="10">
        <v>2.5506907549461499</v>
      </c>
      <c r="X186" s="10">
        <v>0.288852038497247</v>
      </c>
      <c r="Y186" s="10">
        <v>2516.47895938802</v>
      </c>
      <c r="Z186" s="10">
        <v>52.0359601688764</v>
      </c>
    </row>
    <row r="187" spans="1:26" x14ac:dyDescent="0.35">
      <c r="A187" s="10" t="s">
        <v>38</v>
      </c>
      <c r="B187" s="10" t="s">
        <v>24</v>
      </c>
      <c r="C187" s="10">
        <v>2025</v>
      </c>
      <c r="D187" s="10" t="s">
        <v>84</v>
      </c>
      <c r="E187" s="10" t="s">
        <v>85</v>
      </c>
      <c r="F187" s="10" t="s">
        <v>86</v>
      </c>
      <c r="G187" s="10" t="s">
        <v>87</v>
      </c>
      <c r="H187" s="10" t="s">
        <v>19</v>
      </c>
      <c r="I187" s="10" t="s">
        <v>88</v>
      </c>
      <c r="J187" s="10">
        <v>2.7720006968874702</v>
      </c>
      <c r="K187" s="10">
        <v>0</v>
      </c>
      <c r="L187" s="10">
        <v>0</v>
      </c>
      <c r="M187" s="10">
        <v>0</v>
      </c>
      <c r="N187" s="10">
        <v>0</v>
      </c>
      <c r="O187" s="10">
        <v>0</v>
      </c>
      <c r="P187" s="10">
        <v>0</v>
      </c>
      <c r="Q187" s="10">
        <v>18.018018018017901</v>
      </c>
      <c r="R187" s="10">
        <v>0</v>
      </c>
      <c r="S187" s="10">
        <v>0</v>
      </c>
      <c r="T187" s="10">
        <v>0</v>
      </c>
      <c r="U187" s="10">
        <v>0</v>
      </c>
      <c r="V187" s="10">
        <v>0</v>
      </c>
      <c r="W187" s="10">
        <v>0</v>
      </c>
      <c r="X187" s="10">
        <v>0.74609789553365502</v>
      </c>
      <c r="Y187" s="10">
        <v>6500.0048658892101</v>
      </c>
      <c r="Z187" s="10">
        <v>52.0359601688764</v>
      </c>
    </row>
    <row r="188" spans="1:26" x14ac:dyDescent="0.35">
      <c r="A188" s="10" t="s">
        <v>38</v>
      </c>
      <c r="B188" s="10" t="s">
        <v>89</v>
      </c>
      <c r="C188" s="10">
        <v>2025</v>
      </c>
      <c r="D188" s="10" t="s">
        <v>84</v>
      </c>
      <c r="E188" s="10" t="s">
        <v>85</v>
      </c>
      <c r="F188" s="10" t="s">
        <v>86</v>
      </c>
      <c r="G188" s="10" t="s">
        <v>87</v>
      </c>
      <c r="H188" s="10" t="s">
        <v>19</v>
      </c>
      <c r="I188" s="10" t="s">
        <v>88</v>
      </c>
      <c r="J188" s="10">
        <v>319.02638708424598</v>
      </c>
      <c r="K188" s="10">
        <v>0</v>
      </c>
      <c r="L188" s="10">
        <v>0</v>
      </c>
      <c r="M188" s="10">
        <v>0</v>
      </c>
      <c r="N188" s="10">
        <v>0</v>
      </c>
      <c r="O188" s="10">
        <v>0</v>
      </c>
      <c r="P188" s="10">
        <v>0</v>
      </c>
      <c r="Q188" s="10">
        <v>171.41733589225299</v>
      </c>
      <c r="R188" s="10">
        <v>0</v>
      </c>
      <c r="S188" s="10">
        <v>161.132295738717</v>
      </c>
      <c r="T188" s="10">
        <v>0</v>
      </c>
      <c r="U188" s="10">
        <v>0</v>
      </c>
      <c r="V188" s="10">
        <v>0</v>
      </c>
      <c r="W188" s="10">
        <v>0</v>
      </c>
      <c r="X188" s="10">
        <v>6.1675157726866402E-2</v>
      </c>
      <c r="Y188" s="10">
        <v>537.31397411646003</v>
      </c>
      <c r="Z188" s="10">
        <v>52.0359601688764</v>
      </c>
    </row>
    <row r="189" spans="1:26" x14ac:dyDescent="0.35">
      <c r="A189" s="10" t="s">
        <v>38</v>
      </c>
      <c r="B189" s="10" t="s">
        <v>90</v>
      </c>
      <c r="C189" s="10">
        <v>2025</v>
      </c>
      <c r="D189" s="10" t="s">
        <v>84</v>
      </c>
      <c r="E189" s="10" t="s">
        <v>85</v>
      </c>
      <c r="F189" s="10" t="s">
        <v>86</v>
      </c>
      <c r="G189" s="10" t="s">
        <v>87</v>
      </c>
      <c r="H189" s="10" t="s">
        <v>19</v>
      </c>
      <c r="I189" s="10" t="s">
        <v>88</v>
      </c>
      <c r="J189" s="10">
        <v>314.629294161129</v>
      </c>
      <c r="K189" s="10">
        <v>0</v>
      </c>
      <c r="L189" s="10">
        <v>0</v>
      </c>
      <c r="M189" s="10">
        <v>0</v>
      </c>
      <c r="N189" s="10">
        <v>0</v>
      </c>
      <c r="O189" s="10">
        <v>0</v>
      </c>
      <c r="P189" s="10">
        <v>0</v>
      </c>
      <c r="Q189" s="10">
        <v>171.39448065764799</v>
      </c>
      <c r="R189" s="10">
        <v>0</v>
      </c>
      <c r="S189" s="10">
        <v>0</v>
      </c>
      <c r="T189" s="10">
        <v>0</v>
      </c>
      <c r="U189" s="10">
        <v>0</v>
      </c>
      <c r="V189" s="10">
        <v>0</v>
      </c>
      <c r="W189" s="10">
        <v>0</v>
      </c>
      <c r="X189" s="10">
        <v>6.2528759043102206E-2</v>
      </c>
      <c r="Y189" s="10">
        <v>544.75054878350602</v>
      </c>
      <c r="Z189" s="10">
        <v>52.0359601688764</v>
      </c>
    </row>
    <row r="190" spans="1:26" x14ac:dyDescent="0.35">
      <c r="A190" s="10" t="s">
        <v>38</v>
      </c>
      <c r="B190" s="10" t="s">
        <v>91</v>
      </c>
      <c r="C190" s="10">
        <v>2025</v>
      </c>
      <c r="D190" s="10" t="s">
        <v>84</v>
      </c>
      <c r="E190" s="10" t="s">
        <v>85</v>
      </c>
      <c r="F190" s="10" t="s">
        <v>86</v>
      </c>
      <c r="G190" s="10" t="s">
        <v>87</v>
      </c>
      <c r="H190" s="10" t="s">
        <v>19</v>
      </c>
      <c r="I190" s="10" t="s">
        <v>88</v>
      </c>
      <c r="J190" s="10">
        <v>253.94705119236599</v>
      </c>
      <c r="K190" s="10">
        <v>117.007481395893</v>
      </c>
      <c r="L190" s="10">
        <v>9.5645259555923801</v>
      </c>
      <c r="M190" s="10">
        <v>0.25183319771720403</v>
      </c>
      <c r="N190" s="10">
        <v>0</v>
      </c>
      <c r="O190" s="10">
        <v>0</v>
      </c>
      <c r="P190" s="10">
        <v>9.8163591533095893</v>
      </c>
      <c r="Q190" s="10">
        <v>1130.8435847850001</v>
      </c>
      <c r="R190" s="10">
        <v>0</v>
      </c>
      <c r="S190" s="10">
        <v>0</v>
      </c>
      <c r="T190" s="10">
        <v>0</v>
      </c>
      <c r="U190" s="10">
        <v>0</v>
      </c>
      <c r="V190" s="10">
        <v>0</v>
      </c>
      <c r="W190" s="10">
        <v>8.6805631524857103E-3</v>
      </c>
      <c r="X190" s="10">
        <v>0.51114191731480496</v>
      </c>
      <c r="Y190" s="10">
        <v>4453.0683836465796</v>
      </c>
      <c r="Z190" s="10">
        <v>52.0359601688764</v>
      </c>
    </row>
    <row r="191" spans="1:26" x14ac:dyDescent="0.35">
      <c r="A191" s="10" t="s">
        <v>38</v>
      </c>
      <c r="B191" s="10" t="s">
        <v>92</v>
      </c>
      <c r="C191" s="10">
        <v>2025</v>
      </c>
      <c r="D191" s="10" t="s">
        <v>84</v>
      </c>
      <c r="E191" s="10" t="s">
        <v>85</v>
      </c>
      <c r="F191" s="10" t="s">
        <v>86</v>
      </c>
      <c r="G191" s="10" t="s">
        <v>87</v>
      </c>
      <c r="H191" s="10" t="s">
        <v>19</v>
      </c>
      <c r="I191" s="10" t="s">
        <v>88</v>
      </c>
      <c r="J191" s="10">
        <v>744.96608693063399</v>
      </c>
      <c r="K191" s="10">
        <v>573.62388693658795</v>
      </c>
      <c r="L191" s="10">
        <v>49.218802129145601</v>
      </c>
      <c r="M191" s="10">
        <v>9.4908679474962803</v>
      </c>
      <c r="N191" s="10">
        <v>0</v>
      </c>
      <c r="O191" s="10">
        <v>0</v>
      </c>
      <c r="P191" s="10">
        <v>58.7096700766418</v>
      </c>
      <c r="Q191" s="10">
        <v>1128.2518836225299</v>
      </c>
      <c r="R191" s="10">
        <v>0</v>
      </c>
      <c r="S191" s="10">
        <v>0</v>
      </c>
      <c r="T191" s="10">
        <v>0</v>
      </c>
      <c r="U191" s="10">
        <v>0</v>
      </c>
      <c r="V191" s="10">
        <v>0</v>
      </c>
      <c r="W191" s="10">
        <v>5.2035960168876398E-2</v>
      </c>
      <c r="X191" s="10">
        <v>0.17384079430670299</v>
      </c>
      <c r="Y191" s="10">
        <v>1514.501</v>
      </c>
      <c r="Z191" s="10">
        <v>52.0359601688764</v>
      </c>
    </row>
    <row r="192" spans="1:26" x14ac:dyDescent="0.35">
      <c r="A192" s="10" t="s">
        <v>38</v>
      </c>
      <c r="B192" s="10" t="s">
        <v>7</v>
      </c>
      <c r="C192" s="10">
        <v>2025</v>
      </c>
      <c r="D192" s="10" t="s">
        <v>84</v>
      </c>
      <c r="E192" s="10" t="s">
        <v>85</v>
      </c>
      <c r="F192" s="10" t="s">
        <v>86</v>
      </c>
      <c r="G192" s="10" t="s">
        <v>87</v>
      </c>
      <c r="H192" s="10" t="s">
        <v>19</v>
      </c>
      <c r="I192" s="10" t="s">
        <v>88</v>
      </c>
      <c r="J192" s="10">
        <v>0</v>
      </c>
      <c r="K192" s="10">
        <v>0</v>
      </c>
      <c r="L192" s="10">
        <v>0</v>
      </c>
      <c r="M192" s="10">
        <v>0</v>
      </c>
      <c r="N192" s="10">
        <v>0</v>
      </c>
      <c r="O192" s="10">
        <v>0</v>
      </c>
      <c r="P192" s="10">
        <v>0</v>
      </c>
      <c r="Q192" s="10">
        <v>0</v>
      </c>
      <c r="R192" s="10">
        <v>0</v>
      </c>
      <c r="S192" s="10">
        <v>0</v>
      </c>
      <c r="T192" s="10">
        <v>0</v>
      </c>
      <c r="U192" s="10">
        <v>0</v>
      </c>
      <c r="V192" s="10">
        <v>0</v>
      </c>
      <c r="W192" s="10">
        <v>0</v>
      </c>
      <c r="X192" s="10" t="s">
        <v>14</v>
      </c>
      <c r="Y192" s="10" t="s">
        <v>14</v>
      </c>
      <c r="Z192" s="10">
        <v>52.0359601688764</v>
      </c>
    </row>
    <row r="193" spans="1:26" x14ac:dyDescent="0.35">
      <c r="A193" s="10" t="s">
        <v>38</v>
      </c>
      <c r="B193" s="10" t="s">
        <v>8</v>
      </c>
      <c r="C193" s="10">
        <v>2025</v>
      </c>
      <c r="D193" s="10" t="s">
        <v>84</v>
      </c>
      <c r="E193" s="10" t="s">
        <v>85</v>
      </c>
      <c r="F193" s="10" t="s">
        <v>86</v>
      </c>
      <c r="G193" s="10" t="s">
        <v>87</v>
      </c>
      <c r="H193" s="10" t="s">
        <v>19</v>
      </c>
      <c r="I193" s="10" t="s">
        <v>88</v>
      </c>
      <c r="J193" s="10">
        <v>0</v>
      </c>
      <c r="K193" s="10">
        <v>0</v>
      </c>
      <c r="L193" s="10">
        <v>0</v>
      </c>
      <c r="M193" s="10">
        <v>0</v>
      </c>
      <c r="N193" s="10">
        <v>0</v>
      </c>
      <c r="O193" s="10">
        <v>0</v>
      </c>
      <c r="P193" s="10">
        <v>0</v>
      </c>
      <c r="Q193" s="10">
        <v>0</v>
      </c>
      <c r="R193" s="10">
        <v>0</v>
      </c>
      <c r="S193" s="10">
        <v>0</v>
      </c>
      <c r="T193" s="10">
        <v>0</v>
      </c>
      <c r="U193" s="10">
        <v>0</v>
      </c>
      <c r="V193" s="10">
        <v>0</v>
      </c>
      <c r="W193" s="10">
        <v>0</v>
      </c>
      <c r="X193" s="10" t="s">
        <v>14</v>
      </c>
      <c r="Y193" s="10" t="s">
        <v>14</v>
      </c>
      <c r="Z193" s="10">
        <v>52.0359601688764</v>
      </c>
    </row>
    <row r="194" spans="1:26" x14ac:dyDescent="0.35">
      <c r="A194" s="10" t="s">
        <v>38</v>
      </c>
      <c r="B194" s="10" t="s">
        <v>9</v>
      </c>
      <c r="C194" s="10">
        <v>2025</v>
      </c>
      <c r="D194" s="10" t="s">
        <v>84</v>
      </c>
      <c r="E194" s="10" t="s">
        <v>85</v>
      </c>
      <c r="F194" s="10" t="s">
        <v>86</v>
      </c>
      <c r="G194" s="10" t="s">
        <v>87</v>
      </c>
      <c r="H194" s="10" t="s">
        <v>19</v>
      </c>
      <c r="I194" s="10" t="s">
        <v>88</v>
      </c>
      <c r="J194" s="10">
        <v>73.076868371695994</v>
      </c>
      <c r="K194" s="10">
        <v>0</v>
      </c>
      <c r="L194" s="10">
        <v>0</v>
      </c>
      <c r="M194" s="10">
        <v>0</v>
      </c>
      <c r="N194" s="10">
        <v>4.2320789439534698E-2</v>
      </c>
      <c r="O194" s="10">
        <v>0</v>
      </c>
      <c r="P194" s="10">
        <v>4.2320789439534698E-2</v>
      </c>
      <c r="Q194" s="10">
        <v>20.292095934720699</v>
      </c>
      <c r="R194" s="10">
        <v>0</v>
      </c>
      <c r="S194" s="10">
        <v>0</v>
      </c>
      <c r="T194" s="10">
        <v>0</v>
      </c>
      <c r="U194" s="10">
        <v>0</v>
      </c>
      <c r="V194" s="10">
        <v>0</v>
      </c>
      <c r="W194" s="10">
        <v>2.0855799999999901E-3</v>
      </c>
      <c r="X194" s="10">
        <v>3.1873452784974998E-2</v>
      </c>
      <c r="Y194" s="10">
        <v>277.68152066270198</v>
      </c>
      <c r="Z194" s="10">
        <v>52.0359601688764</v>
      </c>
    </row>
    <row r="195" spans="1:26" x14ac:dyDescent="0.35">
      <c r="A195" s="10" t="s">
        <v>38</v>
      </c>
      <c r="B195" s="10" t="s">
        <v>10</v>
      </c>
      <c r="C195" s="10">
        <v>2025</v>
      </c>
      <c r="D195" s="10" t="s">
        <v>84</v>
      </c>
      <c r="E195" s="10" t="s">
        <v>85</v>
      </c>
      <c r="F195" s="10" t="s">
        <v>86</v>
      </c>
      <c r="G195" s="10" t="s">
        <v>87</v>
      </c>
      <c r="H195" s="10" t="s">
        <v>19</v>
      </c>
      <c r="I195" s="10" t="s">
        <v>88</v>
      </c>
      <c r="J195" s="10">
        <v>62.129535519155297</v>
      </c>
      <c r="K195" s="10">
        <v>0</v>
      </c>
      <c r="L195" s="10">
        <v>0</v>
      </c>
      <c r="M195" s="10">
        <v>0</v>
      </c>
      <c r="N195" s="10">
        <v>0</v>
      </c>
      <c r="O195" s="10">
        <v>0</v>
      </c>
      <c r="P195" s="10">
        <v>0</v>
      </c>
      <c r="Q195" s="10">
        <v>20.277480561046101</v>
      </c>
      <c r="R195" s="10">
        <v>0</v>
      </c>
      <c r="S195" s="10">
        <v>0</v>
      </c>
      <c r="T195" s="10">
        <v>0</v>
      </c>
      <c r="U195" s="10">
        <v>0</v>
      </c>
      <c r="V195" s="10">
        <v>0</v>
      </c>
      <c r="W195" s="10">
        <v>0</v>
      </c>
      <c r="X195" s="10">
        <v>3.7462609050783399E-2</v>
      </c>
      <c r="Y195" s="10">
        <v>326.374250050424</v>
      </c>
      <c r="Z195" s="10">
        <v>52.0359601688764</v>
      </c>
    </row>
    <row r="196" spans="1:26" x14ac:dyDescent="0.35">
      <c r="A196" s="10" t="s">
        <v>38</v>
      </c>
      <c r="B196" s="10" t="s">
        <v>4</v>
      </c>
      <c r="C196" s="10">
        <v>2025</v>
      </c>
      <c r="D196" s="10" t="s">
        <v>84</v>
      </c>
      <c r="E196" s="10" t="s">
        <v>85</v>
      </c>
      <c r="F196" s="10" t="s">
        <v>86</v>
      </c>
      <c r="G196" s="10" t="s">
        <v>87</v>
      </c>
      <c r="H196" s="10" t="s">
        <v>19</v>
      </c>
      <c r="I196" s="10" t="s">
        <v>88</v>
      </c>
      <c r="J196" s="10">
        <v>73.076868371695994</v>
      </c>
      <c r="K196" s="10">
        <v>26.441383871474901</v>
      </c>
      <c r="L196" s="10">
        <v>2.6931133516505499</v>
      </c>
      <c r="M196" s="10">
        <v>0.37094549154156597</v>
      </c>
      <c r="N196" s="10">
        <v>0</v>
      </c>
      <c r="O196" s="10">
        <v>0</v>
      </c>
      <c r="P196" s="10">
        <v>3.0640588431921101</v>
      </c>
      <c r="Q196" s="10">
        <v>362.17626051480198</v>
      </c>
      <c r="R196" s="10">
        <v>0</v>
      </c>
      <c r="S196" s="10">
        <v>0</v>
      </c>
      <c r="T196" s="10">
        <v>0</v>
      </c>
      <c r="U196" s="10">
        <v>0</v>
      </c>
      <c r="V196" s="10">
        <v>0</v>
      </c>
      <c r="W196" s="10">
        <v>8.4601316464994799E-3</v>
      </c>
      <c r="X196" s="10">
        <v>0.56888199112075</v>
      </c>
      <c r="Y196" s="10">
        <v>4956.0999066439699</v>
      </c>
      <c r="Z196" s="10">
        <v>52.0359601688764</v>
      </c>
    </row>
    <row r="197" spans="1:26" x14ac:dyDescent="0.35">
      <c r="A197" s="10" t="s">
        <v>39</v>
      </c>
      <c r="B197" s="10" t="s">
        <v>25</v>
      </c>
      <c r="C197" s="10">
        <v>2025</v>
      </c>
      <c r="D197" s="10" t="s">
        <v>84</v>
      </c>
      <c r="E197" s="10" t="s">
        <v>85</v>
      </c>
      <c r="F197" s="10" t="s">
        <v>86</v>
      </c>
      <c r="G197" s="10" t="s">
        <v>87</v>
      </c>
      <c r="H197" s="10" t="s">
        <v>19</v>
      </c>
      <c r="I197" s="10" t="s">
        <v>88</v>
      </c>
      <c r="J197" s="10">
        <v>15.302737889727499</v>
      </c>
      <c r="K197" s="10">
        <v>64.149077233737898</v>
      </c>
      <c r="L197" s="10">
        <v>6.0094072325669696</v>
      </c>
      <c r="M197" s="10">
        <v>6.67199371992122</v>
      </c>
      <c r="N197" s="10">
        <v>0</v>
      </c>
      <c r="O197" s="10">
        <v>0</v>
      </c>
      <c r="P197" s="10">
        <v>12.6814009524882</v>
      </c>
      <c r="Q197" s="10">
        <v>99.999999999995296</v>
      </c>
      <c r="R197" s="10">
        <v>0</v>
      </c>
      <c r="S197" s="10">
        <v>37.999999999997897</v>
      </c>
      <c r="T197" s="10">
        <v>1.3873882488788201</v>
      </c>
      <c r="U197" s="10">
        <v>74.590766068753993</v>
      </c>
      <c r="V197" s="10">
        <v>268.52675784751398</v>
      </c>
      <c r="W197" s="10">
        <v>0.126814009524887</v>
      </c>
      <c r="X197" s="10">
        <v>0.75008934035494002</v>
      </c>
      <c r="Y197" s="10">
        <v>6534.7783331722403</v>
      </c>
      <c r="Z197" s="10">
        <v>59.469668764430097</v>
      </c>
    </row>
    <row r="198" spans="1:26" x14ac:dyDescent="0.35">
      <c r="A198" s="10" t="s">
        <v>39</v>
      </c>
      <c r="B198" s="10" t="s">
        <v>23</v>
      </c>
      <c r="C198" s="10">
        <v>2025</v>
      </c>
      <c r="D198" s="10" t="s">
        <v>84</v>
      </c>
      <c r="E198" s="10" t="s">
        <v>85</v>
      </c>
      <c r="F198" s="10" t="s">
        <v>86</v>
      </c>
      <c r="G198" s="10" t="s">
        <v>87</v>
      </c>
      <c r="H198" s="10" t="s">
        <v>19</v>
      </c>
      <c r="I198" s="10" t="s">
        <v>88</v>
      </c>
      <c r="J198" s="10">
        <v>65.140122366582304</v>
      </c>
      <c r="K198" s="10">
        <v>0</v>
      </c>
      <c r="L198" s="10">
        <v>0</v>
      </c>
      <c r="M198" s="10">
        <v>0</v>
      </c>
      <c r="N198" s="10">
        <v>0</v>
      </c>
      <c r="O198" s="10">
        <v>0</v>
      </c>
      <c r="P198" s="10">
        <v>0</v>
      </c>
      <c r="Q198" s="10">
        <v>160.61430738923701</v>
      </c>
      <c r="R198" s="10">
        <v>0</v>
      </c>
      <c r="S198" s="10">
        <v>0</v>
      </c>
      <c r="T198" s="10">
        <v>0</v>
      </c>
      <c r="U198" s="10">
        <v>0</v>
      </c>
      <c r="V198" s="10">
        <v>0</v>
      </c>
      <c r="W198" s="10">
        <v>0</v>
      </c>
      <c r="X198" s="10">
        <v>0.28302043390251302</v>
      </c>
      <c r="Y198" s="10">
        <v>2465.6740201586899</v>
      </c>
      <c r="Z198" s="10">
        <v>59.469668764430097</v>
      </c>
    </row>
    <row r="199" spans="1:26" x14ac:dyDescent="0.35">
      <c r="A199" s="10" t="s">
        <v>39</v>
      </c>
      <c r="B199" s="10" t="s">
        <v>20</v>
      </c>
      <c r="C199" s="10">
        <v>2025</v>
      </c>
      <c r="D199" s="10" t="s">
        <v>84</v>
      </c>
      <c r="E199" s="10" t="s">
        <v>85</v>
      </c>
      <c r="F199" s="10" t="s">
        <v>86</v>
      </c>
      <c r="G199" s="10" t="s">
        <v>87</v>
      </c>
      <c r="H199" s="10" t="s">
        <v>19</v>
      </c>
      <c r="I199" s="10" t="s">
        <v>88</v>
      </c>
      <c r="J199" s="10">
        <v>7.3184927478855197</v>
      </c>
      <c r="K199" s="10">
        <v>413.25332999485101</v>
      </c>
      <c r="L199" s="10">
        <v>38.713067393077701</v>
      </c>
      <c r="M199" s="10">
        <v>8.2625783123627503</v>
      </c>
      <c r="N199" s="10">
        <v>0</v>
      </c>
      <c r="O199" s="10">
        <v>0</v>
      </c>
      <c r="P199" s="10">
        <v>46.975645705440499</v>
      </c>
      <c r="Q199" s="10">
        <v>18.0450174351813</v>
      </c>
      <c r="R199" s="10">
        <v>0</v>
      </c>
      <c r="S199" s="10">
        <v>929.31839791183097</v>
      </c>
      <c r="T199" s="10">
        <v>0</v>
      </c>
      <c r="U199" s="10">
        <v>0</v>
      </c>
      <c r="V199" s="10">
        <v>0</v>
      </c>
      <c r="W199" s="10">
        <v>2.6032474545496802</v>
      </c>
      <c r="X199" s="10">
        <v>0.28302043390251302</v>
      </c>
      <c r="Y199" s="10">
        <v>2465.6740201586899</v>
      </c>
      <c r="Z199" s="10">
        <v>59.469668764430097</v>
      </c>
    </row>
    <row r="200" spans="1:26" x14ac:dyDescent="0.35">
      <c r="A200" s="10" t="s">
        <v>39</v>
      </c>
      <c r="B200" s="10" t="s">
        <v>24</v>
      </c>
      <c r="C200" s="10">
        <v>2025</v>
      </c>
      <c r="D200" s="10" t="s">
        <v>84</v>
      </c>
      <c r="E200" s="10" t="s">
        <v>85</v>
      </c>
      <c r="F200" s="10" t="s">
        <v>86</v>
      </c>
      <c r="G200" s="10" t="s">
        <v>87</v>
      </c>
      <c r="H200" s="10" t="s">
        <v>19</v>
      </c>
      <c r="I200" s="10" t="s">
        <v>88</v>
      </c>
      <c r="J200" s="10">
        <v>2.75725007022118</v>
      </c>
      <c r="K200" s="10">
        <v>0</v>
      </c>
      <c r="L200" s="10">
        <v>0</v>
      </c>
      <c r="M200" s="10">
        <v>0</v>
      </c>
      <c r="N200" s="10">
        <v>0</v>
      </c>
      <c r="O200" s="10">
        <v>0</v>
      </c>
      <c r="P200" s="10">
        <v>0</v>
      </c>
      <c r="Q200" s="10">
        <v>18.0180180180181</v>
      </c>
      <c r="R200" s="10">
        <v>0</v>
      </c>
      <c r="S200" s="10">
        <v>0</v>
      </c>
      <c r="T200" s="10">
        <v>0</v>
      </c>
      <c r="U200" s="10">
        <v>0</v>
      </c>
      <c r="V200" s="10">
        <v>0</v>
      </c>
      <c r="W200" s="10">
        <v>0</v>
      </c>
      <c r="X200" s="10">
        <v>0.75008934035486197</v>
      </c>
      <c r="Y200" s="10">
        <v>6534.77833317156</v>
      </c>
      <c r="Z200" s="10">
        <v>59.469668764430097</v>
      </c>
    </row>
    <row r="201" spans="1:26" x14ac:dyDescent="0.35">
      <c r="A201" s="10" t="s">
        <v>39</v>
      </c>
      <c r="B201" s="10" t="s">
        <v>89</v>
      </c>
      <c r="C201" s="10">
        <v>2025</v>
      </c>
      <c r="D201" s="10" t="s">
        <v>84</v>
      </c>
      <c r="E201" s="10" t="s">
        <v>85</v>
      </c>
      <c r="F201" s="10" t="s">
        <v>86</v>
      </c>
      <c r="G201" s="10" t="s">
        <v>87</v>
      </c>
      <c r="H201" s="10" t="s">
        <v>19</v>
      </c>
      <c r="I201" s="10" t="s">
        <v>88</v>
      </c>
      <c r="J201" s="10">
        <v>567.23552166641298</v>
      </c>
      <c r="K201" s="10">
        <v>0</v>
      </c>
      <c r="L201" s="10">
        <v>0</v>
      </c>
      <c r="M201" s="10">
        <v>0</v>
      </c>
      <c r="N201" s="10">
        <v>0</v>
      </c>
      <c r="O201" s="10">
        <v>0</v>
      </c>
      <c r="P201" s="10">
        <v>0</v>
      </c>
      <c r="Q201" s="10">
        <v>154.09378622367501</v>
      </c>
      <c r="R201" s="10">
        <v>0</v>
      </c>
      <c r="S201" s="10">
        <v>144.84815905025599</v>
      </c>
      <c r="T201" s="10">
        <v>0</v>
      </c>
      <c r="U201" s="10">
        <v>0</v>
      </c>
      <c r="V201" s="10">
        <v>0</v>
      </c>
      <c r="W201" s="10">
        <v>0</v>
      </c>
      <c r="X201" s="10">
        <v>3.11819908633282E-2</v>
      </c>
      <c r="Y201" s="10">
        <v>271.65750440131501</v>
      </c>
      <c r="Z201" s="10">
        <v>59.469668764430097</v>
      </c>
    </row>
    <row r="202" spans="1:26" x14ac:dyDescent="0.35">
      <c r="A202" s="10" t="s">
        <v>39</v>
      </c>
      <c r="B202" s="10" t="s">
        <v>90</v>
      </c>
      <c r="C202" s="10">
        <v>2025</v>
      </c>
      <c r="D202" s="10" t="s">
        <v>84</v>
      </c>
      <c r="E202" s="10" t="s">
        <v>85</v>
      </c>
      <c r="F202" s="10" t="s">
        <v>86</v>
      </c>
      <c r="G202" s="10" t="s">
        <v>87</v>
      </c>
      <c r="H202" s="10" t="s">
        <v>19</v>
      </c>
      <c r="I202" s="10" t="s">
        <v>88</v>
      </c>
      <c r="J202" s="10">
        <v>569.99277173663495</v>
      </c>
      <c r="K202" s="10">
        <v>0</v>
      </c>
      <c r="L202" s="10">
        <v>0</v>
      </c>
      <c r="M202" s="10">
        <v>0</v>
      </c>
      <c r="N202" s="10">
        <v>0</v>
      </c>
      <c r="O202" s="10">
        <v>0</v>
      </c>
      <c r="P202" s="10">
        <v>0</v>
      </c>
      <c r="Q202" s="10">
        <v>154.06678680650199</v>
      </c>
      <c r="R202" s="10">
        <v>0</v>
      </c>
      <c r="S202" s="10">
        <v>0</v>
      </c>
      <c r="T202" s="10">
        <v>0</v>
      </c>
      <c r="U202" s="10">
        <v>0</v>
      </c>
      <c r="V202" s="10">
        <v>0</v>
      </c>
      <c r="W202" s="10">
        <v>0</v>
      </c>
      <c r="X202" s="10">
        <v>3.1025715805875698E-2</v>
      </c>
      <c r="Y202" s="10">
        <v>270.29603610078902</v>
      </c>
      <c r="Z202" s="10">
        <v>59.469668764430097</v>
      </c>
    </row>
    <row r="203" spans="1:26" x14ac:dyDescent="0.35">
      <c r="A203" s="10" t="s">
        <v>39</v>
      </c>
      <c r="B203" s="10" t="s">
        <v>91</v>
      </c>
      <c r="C203" s="10">
        <v>2025</v>
      </c>
      <c r="D203" s="10" t="s">
        <v>84</v>
      </c>
      <c r="E203" s="10" t="s">
        <v>85</v>
      </c>
      <c r="F203" s="10" t="s">
        <v>86</v>
      </c>
      <c r="G203" s="10" t="s">
        <v>87</v>
      </c>
      <c r="H203" s="10" t="s">
        <v>19</v>
      </c>
      <c r="I203" s="10" t="s">
        <v>88</v>
      </c>
      <c r="J203" s="10">
        <v>254.83949147613399</v>
      </c>
      <c r="K203" s="10">
        <v>117.41867809776301</v>
      </c>
      <c r="L203" s="10">
        <v>9.5981383492698598</v>
      </c>
      <c r="M203" s="10">
        <v>0.252718209334302</v>
      </c>
      <c r="N203" s="10">
        <v>0</v>
      </c>
      <c r="O203" s="10">
        <v>0</v>
      </c>
      <c r="P203" s="10">
        <v>9.8508565586041605</v>
      </c>
      <c r="Q203" s="10">
        <v>1108.11160345442</v>
      </c>
      <c r="R203" s="10">
        <v>0</v>
      </c>
      <c r="S203" s="10">
        <v>0</v>
      </c>
      <c r="T203" s="10">
        <v>0</v>
      </c>
      <c r="U203" s="10">
        <v>0</v>
      </c>
      <c r="V203" s="10">
        <v>0</v>
      </c>
      <c r="W203" s="10">
        <v>8.8897693408273703E-3</v>
      </c>
      <c r="X203" s="10">
        <v>0.49911302791134499</v>
      </c>
      <c r="Y203" s="10">
        <v>4348.27269916363</v>
      </c>
      <c r="Z203" s="10">
        <v>59.469668764430097</v>
      </c>
    </row>
    <row r="204" spans="1:26" x14ac:dyDescent="0.35">
      <c r="A204" s="10" t="s">
        <v>39</v>
      </c>
      <c r="B204" s="10" t="s">
        <v>92</v>
      </c>
      <c r="C204" s="10">
        <v>2025</v>
      </c>
      <c r="D204" s="10" t="s">
        <v>84</v>
      </c>
      <c r="E204" s="10" t="s">
        <v>85</v>
      </c>
      <c r="F204" s="10" t="s">
        <v>86</v>
      </c>
      <c r="G204" s="10" t="s">
        <v>87</v>
      </c>
      <c r="H204" s="10" t="s">
        <v>19</v>
      </c>
      <c r="I204" s="10" t="s">
        <v>88</v>
      </c>
      <c r="J204" s="10">
        <v>734.35481030589301</v>
      </c>
      <c r="K204" s="10">
        <v>646.23223306918499</v>
      </c>
      <c r="L204" s="10">
        <v>55.448835261674198</v>
      </c>
      <c r="M204" s="10">
        <v>10.692206038053801</v>
      </c>
      <c r="N204" s="10">
        <v>0</v>
      </c>
      <c r="O204" s="10">
        <v>0</v>
      </c>
      <c r="P204" s="10">
        <v>66.141041299728002</v>
      </c>
      <c r="Q204" s="10">
        <v>1112.18109456308</v>
      </c>
      <c r="R204" s="10">
        <v>0</v>
      </c>
      <c r="S204" s="10">
        <v>0</v>
      </c>
      <c r="T204" s="10">
        <v>0</v>
      </c>
      <c r="U204" s="10">
        <v>0</v>
      </c>
      <c r="V204" s="10">
        <v>0</v>
      </c>
      <c r="W204" s="10">
        <v>5.9469668764430099E-2</v>
      </c>
      <c r="X204" s="10">
        <v>0.17384079430670299</v>
      </c>
      <c r="Y204" s="10">
        <v>1514.501</v>
      </c>
      <c r="Z204" s="10">
        <v>59.469668764430097</v>
      </c>
    </row>
    <row r="205" spans="1:26" x14ac:dyDescent="0.35">
      <c r="A205" s="10" t="s">
        <v>39</v>
      </c>
      <c r="B205" s="10" t="s">
        <v>7</v>
      </c>
      <c r="C205" s="10">
        <v>2025</v>
      </c>
      <c r="D205" s="10" t="s">
        <v>84</v>
      </c>
      <c r="E205" s="10" t="s">
        <v>85</v>
      </c>
      <c r="F205" s="10" t="s">
        <v>86</v>
      </c>
      <c r="G205" s="10" t="s">
        <v>87</v>
      </c>
      <c r="H205" s="10" t="s">
        <v>19</v>
      </c>
      <c r="I205" s="10" t="s">
        <v>88</v>
      </c>
      <c r="J205" s="10">
        <v>0</v>
      </c>
      <c r="K205" s="10">
        <v>0</v>
      </c>
      <c r="L205" s="10">
        <v>0</v>
      </c>
      <c r="M205" s="10">
        <v>0</v>
      </c>
      <c r="N205" s="10">
        <v>0</v>
      </c>
      <c r="O205" s="10">
        <v>0</v>
      </c>
      <c r="P205" s="10">
        <v>0</v>
      </c>
      <c r="Q205" s="10">
        <v>0</v>
      </c>
      <c r="R205" s="10">
        <v>0</v>
      </c>
      <c r="S205" s="10">
        <v>0</v>
      </c>
      <c r="T205" s="10">
        <v>0</v>
      </c>
      <c r="U205" s="10">
        <v>0</v>
      </c>
      <c r="V205" s="10">
        <v>0</v>
      </c>
      <c r="W205" s="10">
        <v>0</v>
      </c>
      <c r="X205" s="10" t="s">
        <v>14</v>
      </c>
      <c r="Y205" s="10" t="s">
        <v>14</v>
      </c>
      <c r="Z205" s="10">
        <v>59.469668764430097</v>
      </c>
    </row>
    <row r="206" spans="1:26" x14ac:dyDescent="0.35">
      <c r="A206" s="10" t="s">
        <v>39</v>
      </c>
      <c r="B206" s="10" t="s">
        <v>8</v>
      </c>
      <c r="C206" s="10">
        <v>2025</v>
      </c>
      <c r="D206" s="10" t="s">
        <v>84</v>
      </c>
      <c r="E206" s="10" t="s">
        <v>85</v>
      </c>
      <c r="F206" s="10" t="s">
        <v>86</v>
      </c>
      <c r="G206" s="10" t="s">
        <v>87</v>
      </c>
      <c r="H206" s="10" t="s">
        <v>19</v>
      </c>
      <c r="I206" s="10" t="s">
        <v>88</v>
      </c>
      <c r="J206" s="10">
        <v>0</v>
      </c>
      <c r="K206" s="10">
        <v>0</v>
      </c>
      <c r="L206" s="10">
        <v>0</v>
      </c>
      <c r="M206" s="10">
        <v>0</v>
      </c>
      <c r="N206" s="10">
        <v>0</v>
      </c>
      <c r="O206" s="10">
        <v>0</v>
      </c>
      <c r="P206" s="10">
        <v>0</v>
      </c>
      <c r="Q206" s="10">
        <v>0</v>
      </c>
      <c r="R206" s="10">
        <v>0</v>
      </c>
      <c r="S206" s="10">
        <v>0</v>
      </c>
      <c r="T206" s="10">
        <v>0</v>
      </c>
      <c r="U206" s="10">
        <v>0</v>
      </c>
      <c r="V206" s="10">
        <v>0</v>
      </c>
      <c r="W206" s="10">
        <v>0</v>
      </c>
      <c r="X206" s="10" t="s">
        <v>14</v>
      </c>
      <c r="Y206" s="10" t="s">
        <v>14</v>
      </c>
      <c r="Z206" s="10">
        <v>59.469668764430097</v>
      </c>
    </row>
    <row r="207" spans="1:26" x14ac:dyDescent="0.35">
      <c r="A207" s="10" t="s">
        <v>39</v>
      </c>
      <c r="B207" s="10" t="s">
        <v>9</v>
      </c>
      <c r="C207" s="10">
        <v>2025</v>
      </c>
      <c r="D207" s="10" t="s">
        <v>84</v>
      </c>
      <c r="E207" s="10" t="s">
        <v>85</v>
      </c>
      <c r="F207" s="10" t="s">
        <v>86</v>
      </c>
      <c r="G207" s="10" t="s">
        <v>87</v>
      </c>
      <c r="H207" s="10" t="s">
        <v>19</v>
      </c>
      <c r="I207" s="10" t="s">
        <v>88</v>
      </c>
      <c r="J207" s="10">
        <v>72.688004976205903</v>
      </c>
      <c r="K207" s="10">
        <v>0</v>
      </c>
      <c r="L207" s="10">
        <v>0</v>
      </c>
      <c r="M207" s="10">
        <v>0</v>
      </c>
      <c r="N207" s="10">
        <v>4.2126281929888001E-2</v>
      </c>
      <c r="O207" s="10">
        <v>0</v>
      </c>
      <c r="P207" s="10">
        <v>4.2126281929888001E-2</v>
      </c>
      <c r="Q207" s="10">
        <v>20.198832904941501</v>
      </c>
      <c r="R207" s="10">
        <v>0</v>
      </c>
      <c r="S207" s="10">
        <v>0</v>
      </c>
      <c r="T207" s="10">
        <v>0</v>
      </c>
      <c r="U207" s="10">
        <v>0</v>
      </c>
      <c r="V207" s="10">
        <v>0</v>
      </c>
      <c r="W207" s="10">
        <v>2.0855800000000001E-3</v>
      </c>
      <c r="X207" s="10">
        <v>3.18966931570661E-2</v>
      </c>
      <c r="Y207" s="10">
        <v>277.88399078435998</v>
      </c>
      <c r="Z207" s="10">
        <v>59.469668764430097</v>
      </c>
    </row>
    <row r="208" spans="1:26" x14ac:dyDescent="0.35">
      <c r="A208" s="10" t="s">
        <v>39</v>
      </c>
      <c r="B208" s="10" t="s">
        <v>10</v>
      </c>
      <c r="C208" s="10">
        <v>2025</v>
      </c>
      <c r="D208" s="10" t="s">
        <v>84</v>
      </c>
      <c r="E208" s="10" t="s">
        <v>85</v>
      </c>
      <c r="F208" s="10" t="s">
        <v>86</v>
      </c>
      <c r="G208" s="10" t="s">
        <v>87</v>
      </c>
      <c r="H208" s="10" t="s">
        <v>19</v>
      </c>
      <c r="I208" s="10" t="s">
        <v>88</v>
      </c>
      <c r="J208" s="10">
        <v>61.057924180012897</v>
      </c>
      <c r="K208" s="10">
        <v>0</v>
      </c>
      <c r="L208" s="10">
        <v>0</v>
      </c>
      <c r="M208" s="10">
        <v>0</v>
      </c>
      <c r="N208" s="10">
        <v>0</v>
      </c>
      <c r="O208" s="10">
        <v>0</v>
      </c>
      <c r="P208" s="10">
        <v>0</v>
      </c>
      <c r="Q208" s="10">
        <v>20.184295303945401</v>
      </c>
      <c r="R208" s="10">
        <v>0</v>
      </c>
      <c r="S208" s="10">
        <v>0</v>
      </c>
      <c r="T208" s="10">
        <v>0</v>
      </c>
      <c r="U208" s="10">
        <v>0</v>
      </c>
      <c r="V208" s="10">
        <v>0</v>
      </c>
      <c r="W208" s="10">
        <v>0</v>
      </c>
      <c r="X208" s="10">
        <v>3.7944924185627997E-2</v>
      </c>
      <c r="Y208" s="10">
        <v>330.57617950519102</v>
      </c>
      <c r="Z208" s="10">
        <v>59.469668764430097</v>
      </c>
    </row>
    <row r="209" spans="1:26" x14ac:dyDescent="0.35">
      <c r="A209" s="10" t="s">
        <v>39</v>
      </c>
      <c r="B209" s="10" t="s">
        <v>4</v>
      </c>
      <c r="C209" s="10">
        <v>2025</v>
      </c>
      <c r="D209" s="10" t="s">
        <v>84</v>
      </c>
      <c r="E209" s="10" t="s">
        <v>85</v>
      </c>
      <c r="F209" s="10" t="s">
        <v>86</v>
      </c>
      <c r="G209" s="10" t="s">
        <v>87</v>
      </c>
      <c r="H209" s="10" t="s">
        <v>19</v>
      </c>
      <c r="I209" s="10" t="s">
        <v>88</v>
      </c>
      <c r="J209" s="10">
        <v>72.688004976205903</v>
      </c>
      <c r="K209" s="10">
        <v>26.3006815323788</v>
      </c>
      <c r="L209" s="10">
        <v>2.67878250762702</v>
      </c>
      <c r="M209" s="10">
        <v>0.36897158205971903</v>
      </c>
      <c r="N209" s="10">
        <v>0</v>
      </c>
      <c r="O209" s="10">
        <v>0</v>
      </c>
      <c r="P209" s="10">
        <v>3.0477540896867401</v>
      </c>
      <c r="Q209" s="10">
        <v>358.628201547039</v>
      </c>
      <c r="R209" s="10">
        <v>0</v>
      </c>
      <c r="S209" s="10">
        <v>0</v>
      </c>
      <c r="T209" s="10">
        <v>0</v>
      </c>
      <c r="U209" s="10">
        <v>0</v>
      </c>
      <c r="V209" s="10">
        <v>0</v>
      </c>
      <c r="W209" s="10">
        <v>8.4983670457020304E-3</v>
      </c>
      <c r="X209" s="10">
        <v>0.566322507644347</v>
      </c>
      <c r="Y209" s="10">
        <v>4933.8016865975496</v>
      </c>
      <c r="Z209" s="10">
        <v>59.469668764430097</v>
      </c>
    </row>
    <row r="210" spans="1:26" x14ac:dyDescent="0.35">
      <c r="A210" s="10" t="s">
        <v>40</v>
      </c>
      <c r="B210" s="10" t="s">
        <v>25</v>
      </c>
      <c r="C210" s="10">
        <v>2025</v>
      </c>
      <c r="D210" s="10" t="s">
        <v>84</v>
      </c>
      <c r="E210" s="10" t="s">
        <v>85</v>
      </c>
      <c r="F210" s="10" t="s">
        <v>86</v>
      </c>
      <c r="G210" s="10" t="s">
        <v>87</v>
      </c>
      <c r="H210" s="10" t="s">
        <v>19</v>
      </c>
      <c r="I210" s="10" t="s">
        <v>88</v>
      </c>
      <c r="J210" s="10">
        <v>15.357884424622901</v>
      </c>
      <c r="K210" s="10">
        <v>64.380251508019398</v>
      </c>
      <c r="L210" s="10">
        <v>6.0310633563298799</v>
      </c>
      <c r="M210" s="10">
        <v>6.6960376091356002</v>
      </c>
      <c r="N210" s="10">
        <v>0</v>
      </c>
      <c r="O210" s="10">
        <v>0</v>
      </c>
      <c r="P210" s="10">
        <v>12.7271009654654</v>
      </c>
      <c r="Q210" s="10">
        <v>100</v>
      </c>
      <c r="R210" s="10">
        <v>0</v>
      </c>
      <c r="S210" s="10">
        <v>37.999999999998799</v>
      </c>
      <c r="T210" s="10">
        <v>1.21538959745467</v>
      </c>
      <c r="U210" s="10">
        <v>65.343526744874893</v>
      </c>
      <c r="V210" s="10">
        <v>235.236696281549</v>
      </c>
      <c r="W210" s="10">
        <v>0.12727100965465299</v>
      </c>
      <c r="X210" s="10">
        <v>0.74739594673120602</v>
      </c>
      <c r="Y210" s="10">
        <v>6511.3134879222698</v>
      </c>
      <c r="Z210" s="10">
        <v>37.168542977768801</v>
      </c>
    </row>
    <row r="211" spans="1:26" x14ac:dyDescent="0.35">
      <c r="A211" s="10" t="s">
        <v>40</v>
      </c>
      <c r="B211" s="10" t="s">
        <v>23</v>
      </c>
      <c r="C211" s="10">
        <v>2025</v>
      </c>
      <c r="D211" s="10" t="s">
        <v>84</v>
      </c>
      <c r="E211" s="10" t="s">
        <v>85</v>
      </c>
      <c r="F211" s="10" t="s">
        <v>86</v>
      </c>
      <c r="G211" s="10" t="s">
        <v>87</v>
      </c>
      <c r="H211" s="10" t="s">
        <v>19</v>
      </c>
      <c r="I211" s="10" t="s">
        <v>88</v>
      </c>
      <c r="J211" s="10">
        <v>62.660705646570399</v>
      </c>
      <c r="K211" s="10">
        <v>0</v>
      </c>
      <c r="L211" s="10">
        <v>0</v>
      </c>
      <c r="M211" s="10">
        <v>0</v>
      </c>
      <c r="N211" s="10">
        <v>0</v>
      </c>
      <c r="O211" s="10">
        <v>0</v>
      </c>
      <c r="P211" s="10">
        <v>0</v>
      </c>
      <c r="Q211" s="10">
        <v>160.57126682225999</v>
      </c>
      <c r="R211" s="10">
        <v>0</v>
      </c>
      <c r="S211" s="10">
        <v>0</v>
      </c>
      <c r="T211" s="10">
        <v>0</v>
      </c>
      <c r="U211" s="10">
        <v>0</v>
      </c>
      <c r="V211" s="10">
        <v>0</v>
      </c>
      <c r="W211" s="10">
        <v>0</v>
      </c>
      <c r="X211" s="10">
        <v>0.29414040472696001</v>
      </c>
      <c r="Y211" s="10">
        <v>2562.55120598127</v>
      </c>
      <c r="Z211" s="10">
        <v>37.168542977768801</v>
      </c>
    </row>
    <row r="212" spans="1:26" x14ac:dyDescent="0.35">
      <c r="A212" s="10" t="s">
        <v>40</v>
      </c>
      <c r="B212" s="10" t="s">
        <v>20</v>
      </c>
      <c r="C212" s="10">
        <v>2025</v>
      </c>
      <c r="D212" s="10" t="s">
        <v>84</v>
      </c>
      <c r="E212" s="10" t="s">
        <v>85</v>
      </c>
      <c r="F212" s="10" t="s">
        <v>86</v>
      </c>
      <c r="G212" s="10" t="s">
        <v>87</v>
      </c>
      <c r="H212" s="10" t="s">
        <v>19</v>
      </c>
      <c r="I212" s="10" t="s">
        <v>88</v>
      </c>
      <c r="J212" s="10">
        <v>7.0399302793921796</v>
      </c>
      <c r="K212" s="10">
        <v>397.523743086438</v>
      </c>
      <c r="L212" s="10">
        <v>37.239538896505799</v>
      </c>
      <c r="M212" s="10">
        <v>7.9480812854337701</v>
      </c>
      <c r="N212" s="10">
        <v>0</v>
      </c>
      <c r="O212" s="10">
        <v>0</v>
      </c>
      <c r="P212" s="10">
        <v>45.187620181939501</v>
      </c>
      <c r="Q212" s="10">
        <v>18.0401818274809</v>
      </c>
      <c r="R212" s="10">
        <v>0</v>
      </c>
      <c r="S212" s="10">
        <v>1114.8832369382801</v>
      </c>
      <c r="T212" s="10">
        <v>0</v>
      </c>
      <c r="U212" s="10">
        <v>0</v>
      </c>
      <c r="V212" s="10">
        <v>0</v>
      </c>
      <c r="W212" s="10">
        <v>2.5048317480428302</v>
      </c>
      <c r="X212" s="10">
        <v>0.29414040472696001</v>
      </c>
      <c r="Y212" s="10">
        <v>2562.55120598127</v>
      </c>
      <c r="Z212" s="10">
        <v>37.168542977768801</v>
      </c>
    </row>
    <row r="213" spans="1:26" x14ac:dyDescent="0.35">
      <c r="A213" s="10" t="s">
        <v>40</v>
      </c>
      <c r="B213" s="10" t="s">
        <v>24</v>
      </c>
      <c r="C213" s="10">
        <v>2025</v>
      </c>
      <c r="D213" s="10" t="s">
        <v>84</v>
      </c>
      <c r="E213" s="10" t="s">
        <v>85</v>
      </c>
      <c r="F213" s="10" t="s">
        <v>86</v>
      </c>
      <c r="G213" s="10" t="s">
        <v>87</v>
      </c>
      <c r="H213" s="10" t="s">
        <v>19</v>
      </c>
      <c r="I213" s="10" t="s">
        <v>88</v>
      </c>
      <c r="J213" s="10">
        <v>2.7671863828149399</v>
      </c>
      <c r="K213" s="10">
        <v>0</v>
      </c>
      <c r="L213" s="10">
        <v>0</v>
      </c>
      <c r="M213" s="10">
        <v>0</v>
      </c>
      <c r="N213" s="10">
        <v>0</v>
      </c>
      <c r="O213" s="10">
        <v>0</v>
      </c>
      <c r="P213" s="10">
        <v>0</v>
      </c>
      <c r="Q213" s="10">
        <v>18.018018018018701</v>
      </c>
      <c r="R213" s="10">
        <v>0</v>
      </c>
      <c r="S213" s="10">
        <v>0</v>
      </c>
      <c r="T213" s="10">
        <v>0</v>
      </c>
      <c r="U213" s="10">
        <v>0</v>
      </c>
      <c r="V213" s="10">
        <v>0</v>
      </c>
      <c r="W213" s="10">
        <v>0</v>
      </c>
      <c r="X213" s="10">
        <v>0.74739594673120602</v>
      </c>
      <c r="Y213" s="10">
        <v>6511.3134879222698</v>
      </c>
      <c r="Z213" s="10">
        <v>37.168542977768801</v>
      </c>
    </row>
    <row r="214" spans="1:26" x14ac:dyDescent="0.35">
      <c r="A214" s="10" t="s">
        <v>40</v>
      </c>
      <c r="B214" s="10" t="s">
        <v>89</v>
      </c>
      <c r="C214" s="10">
        <v>2025</v>
      </c>
      <c r="D214" s="10" t="s">
        <v>84</v>
      </c>
      <c r="E214" s="10" t="s">
        <v>85</v>
      </c>
      <c r="F214" s="10" t="s">
        <v>86</v>
      </c>
      <c r="G214" s="10" t="s">
        <v>87</v>
      </c>
      <c r="H214" s="10" t="s">
        <v>19</v>
      </c>
      <c r="I214" s="10" t="s">
        <v>88</v>
      </c>
      <c r="J214" s="10">
        <v>404.328703604054</v>
      </c>
      <c r="K214" s="10">
        <v>0</v>
      </c>
      <c r="L214" s="10">
        <v>0</v>
      </c>
      <c r="M214" s="10">
        <v>0</v>
      </c>
      <c r="N214" s="10">
        <v>0</v>
      </c>
      <c r="O214" s="10">
        <v>0</v>
      </c>
      <c r="P214" s="10">
        <v>0</v>
      </c>
      <c r="Q214" s="10">
        <v>233.47716943252601</v>
      </c>
      <c r="R214" s="10">
        <v>0</v>
      </c>
      <c r="S214" s="10">
        <v>219.46853926657499</v>
      </c>
      <c r="T214" s="10">
        <v>0</v>
      </c>
      <c r="U214" s="10">
        <v>0</v>
      </c>
      <c r="V214" s="10">
        <v>0</v>
      </c>
      <c r="W214" s="10">
        <v>0</v>
      </c>
      <c r="X214" s="10">
        <v>6.6281446758416795E-2</v>
      </c>
      <c r="Y214" s="10">
        <v>577.44396415932704</v>
      </c>
      <c r="Z214" s="10">
        <v>37.168542977768801</v>
      </c>
    </row>
    <row r="215" spans="1:26" x14ac:dyDescent="0.35">
      <c r="A215" s="10" t="s">
        <v>40</v>
      </c>
      <c r="B215" s="10" t="s">
        <v>90</v>
      </c>
      <c r="C215" s="10">
        <v>2025</v>
      </c>
      <c r="D215" s="10" t="s">
        <v>84</v>
      </c>
      <c r="E215" s="10" t="s">
        <v>85</v>
      </c>
      <c r="F215" s="10" t="s">
        <v>86</v>
      </c>
      <c r="G215" s="10" t="s">
        <v>87</v>
      </c>
      <c r="H215" s="10" t="s">
        <v>19</v>
      </c>
      <c r="I215" s="10" t="s">
        <v>88</v>
      </c>
      <c r="J215" s="10">
        <v>400.05595970747697</v>
      </c>
      <c r="K215" s="10">
        <v>0</v>
      </c>
      <c r="L215" s="10">
        <v>0</v>
      </c>
      <c r="M215" s="10">
        <v>0</v>
      </c>
      <c r="N215" s="10">
        <v>0</v>
      </c>
      <c r="O215" s="10">
        <v>0</v>
      </c>
      <c r="P215" s="10">
        <v>0</v>
      </c>
      <c r="Q215" s="10">
        <v>233.45500562305</v>
      </c>
      <c r="R215" s="10">
        <v>0</v>
      </c>
      <c r="S215" s="10">
        <v>0</v>
      </c>
      <c r="T215" s="10">
        <v>0</v>
      </c>
      <c r="U215" s="10">
        <v>0</v>
      </c>
      <c r="V215" s="10">
        <v>0</v>
      </c>
      <c r="W215" s="10">
        <v>0</v>
      </c>
      <c r="X215" s="10">
        <v>6.6982997591542498E-2</v>
      </c>
      <c r="Y215" s="10">
        <v>583.55587501751802</v>
      </c>
      <c r="Z215" s="10">
        <v>37.168542977768801</v>
      </c>
    </row>
    <row r="216" spans="1:26" x14ac:dyDescent="0.35">
      <c r="A216" s="10" t="s">
        <v>40</v>
      </c>
      <c r="B216" s="10" t="s">
        <v>91</v>
      </c>
      <c r="C216" s="10">
        <v>2025</v>
      </c>
      <c r="D216" s="10" t="s">
        <v>84</v>
      </c>
      <c r="E216" s="10" t="s">
        <v>85</v>
      </c>
      <c r="F216" s="10" t="s">
        <v>86</v>
      </c>
      <c r="G216" s="10" t="s">
        <v>87</v>
      </c>
      <c r="H216" s="10" t="s">
        <v>19</v>
      </c>
      <c r="I216" s="10" t="s">
        <v>88</v>
      </c>
      <c r="J216" s="10">
        <v>246.26454958321099</v>
      </c>
      <c r="K216" s="10">
        <v>113.467727105042</v>
      </c>
      <c r="L216" s="10">
        <v>9.2751763226683792</v>
      </c>
      <c r="M216" s="10">
        <v>0.24421464519762601</v>
      </c>
      <c r="N216" s="10">
        <v>0</v>
      </c>
      <c r="O216" s="10">
        <v>0</v>
      </c>
      <c r="P216" s="10">
        <v>9.5193909678660003</v>
      </c>
      <c r="Q216" s="10">
        <v>1021.59734819605</v>
      </c>
      <c r="R216" s="10">
        <v>0</v>
      </c>
      <c r="S216" s="10">
        <v>0</v>
      </c>
      <c r="T216" s="10">
        <v>0</v>
      </c>
      <c r="U216" s="10">
        <v>0</v>
      </c>
      <c r="V216" s="10">
        <v>0</v>
      </c>
      <c r="W216" s="10">
        <v>9.3181437722752898E-3</v>
      </c>
      <c r="X216" s="10">
        <v>0.476167764907793</v>
      </c>
      <c r="Y216" s="10">
        <v>4148.3735678766898</v>
      </c>
      <c r="Z216" s="10">
        <v>37.168542977768801</v>
      </c>
    </row>
    <row r="217" spans="1:26" x14ac:dyDescent="0.35">
      <c r="A217" s="10" t="s">
        <v>40</v>
      </c>
      <c r="B217" s="10" t="s">
        <v>92</v>
      </c>
      <c r="C217" s="10">
        <v>2025</v>
      </c>
      <c r="D217" s="10" t="s">
        <v>84</v>
      </c>
      <c r="E217" s="10" t="s">
        <v>85</v>
      </c>
      <c r="F217" s="10" t="s">
        <v>86</v>
      </c>
      <c r="G217" s="10" t="s">
        <v>87</v>
      </c>
      <c r="H217" s="10" t="s">
        <v>19</v>
      </c>
      <c r="I217" s="10" t="s">
        <v>88</v>
      </c>
      <c r="J217" s="10">
        <v>906.15084849404502</v>
      </c>
      <c r="K217" s="10">
        <v>498.38296667172398</v>
      </c>
      <c r="L217" s="10">
        <v>42.762885541870403</v>
      </c>
      <c r="M217" s="10">
        <v>8.2459727212958107</v>
      </c>
      <c r="N217" s="10">
        <v>0</v>
      </c>
      <c r="O217" s="10">
        <v>0</v>
      </c>
      <c r="P217" s="10">
        <v>51.008858263166204</v>
      </c>
      <c r="Q217" s="10">
        <v>1372.36636619508</v>
      </c>
      <c r="R217" s="10">
        <v>0</v>
      </c>
      <c r="S217" s="10">
        <v>0</v>
      </c>
      <c r="T217" s="10">
        <v>0</v>
      </c>
      <c r="U217" s="10">
        <v>0</v>
      </c>
      <c r="V217" s="10">
        <v>0</v>
      </c>
      <c r="W217" s="10">
        <v>3.7168542977768802E-2</v>
      </c>
      <c r="X217" s="10">
        <v>0.17384079430670299</v>
      </c>
      <c r="Y217" s="10">
        <v>1514.501</v>
      </c>
      <c r="Z217" s="10">
        <v>37.168542977768801</v>
      </c>
    </row>
    <row r="218" spans="1:26" x14ac:dyDescent="0.35">
      <c r="A218" s="10" t="s">
        <v>40</v>
      </c>
      <c r="B218" s="10" t="s">
        <v>7</v>
      </c>
      <c r="C218" s="10">
        <v>2025</v>
      </c>
      <c r="D218" s="10" t="s">
        <v>84</v>
      </c>
      <c r="E218" s="10" t="s">
        <v>85</v>
      </c>
      <c r="F218" s="10" t="s">
        <v>86</v>
      </c>
      <c r="G218" s="10" t="s">
        <v>87</v>
      </c>
      <c r="H218" s="10" t="s">
        <v>19</v>
      </c>
      <c r="I218" s="10" t="s">
        <v>88</v>
      </c>
      <c r="J218" s="10">
        <v>0</v>
      </c>
      <c r="K218" s="10">
        <v>0</v>
      </c>
      <c r="L218" s="10">
        <v>0</v>
      </c>
      <c r="M218" s="10">
        <v>0</v>
      </c>
      <c r="N218" s="10">
        <v>0</v>
      </c>
      <c r="O218" s="10">
        <v>0</v>
      </c>
      <c r="P218" s="10">
        <v>0</v>
      </c>
      <c r="Q218" s="10">
        <v>0</v>
      </c>
      <c r="R218" s="10">
        <v>0</v>
      </c>
      <c r="S218" s="10">
        <v>0</v>
      </c>
      <c r="T218" s="10">
        <v>0</v>
      </c>
      <c r="U218" s="10">
        <v>0</v>
      </c>
      <c r="V218" s="10">
        <v>0</v>
      </c>
      <c r="W218" s="10">
        <v>0</v>
      </c>
      <c r="X218" s="10" t="s">
        <v>14</v>
      </c>
      <c r="Y218" s="10" t="s">
        <v>14</v>
      </c>
      <c r="Z218" s="10">
        <v>37.168542977768801</v>
      </c>
    </row>
    <row r="219" spans="1:26" x14ac:dyDescent="0.35">
      <c r="A219" s="10" t="s">
        <v>40</v>
      </c>
      <c r="B219" s="10" t="s">
        <v>8</v>
      </c>
      <c r="C219" s="10">
        <v>2025</v>
      </c>
      <c r="D219" s="10" t="s">
        <v>84</v>
      </c>
      <c r="E219" s="10" t="s">
        <v>85</v>
      </c>
      <c r="F219" s="10" t="s">
        <v>86</v>
      </c>
      <c r="G219" s="10" t="s">
        <v>87</v>
      </c>
      <c r="H219" s="10" t="s">
        <v>19</v>
      </c>
      <c r="I219" s="10" t="s">
        <v>88</v>
      </c>
      <c r="J219" s="10">
        <v>0</v>
      </c>
      <c r="K219" s="10">
        <v>0</v>
      </c>
      <c r="L219" s="10">
        <v>0</v>
      </c>
      <c r="M219" s="10">
        <v>0</v>
      </c>
      <c r="N219" s="10">
        <v>0</v>
      </c>
      <c r="O219" s="10">
        <v>0</v>
      </c>
      <c r="P219" s="10">
        <v>0</v>
      </c>
      <c r="Q219" s="10">
        <v>0</v>
      </c>
      <c r="R219" s="10">
        <v>0</v>
      </c>
      <c r="S219" s="10">
        <v>0</v>
      </c>
      <c r="T219" s="10">
        <v>0</v>
      </c>
      <c r="U219" s="10">
        <v>0</v>
      </c>
      <c r="V219" s="10">
        <v>0</v>
      </c>
      <c r="W219" s="10">
        <v>0</v>
      </c>
      <c r="X219" s="10" t="s">
        <v>14</v>
      </c>
      <c r="Y219" s="10" t="s">
        <v>14</v>
      </c>
      <c r="Z219" s="10">
        <v>37.168542977768801</v>
      </c>
    </row>
    <row r="220" spans="1:26" x14ac:dyDescent="0.35">
      <c r="A220" s="10" t="s">
        <v>40</v>
      </c>
      <c r="B220" s="10" t="s">
        <v>9</v>
      </c>
      <c r="C220" s="10">
        <v>2025</v>
      </c>
      <c r="D220" s="10" t="s">
        <v>84</v>
      </c>
      <c r="E220" s="10" t="s">
        <v>85</v>
      </c>
      <c r="F220" s="10" t="s">
        <v>86</v>
      </c>
      <c r="G220" s="10" t="s">
        <v>87</v>
      </c>
      <c r="H220" s="10" t="s">
        <v>19</v>
      </c>
      <c r="I220" s="10" t="s">
        <v>88</v>
      </c>
      <c r="J220" s="10">
        <v>72.949951016959005</v>
      </c>
      <c r="K220" s="10">
        <v>0</v>
      </c>
      <c r="L220" s="10">
        <v>0</v>
      </c>
      <c r="M220" s="10">
        <v>0</v>
      </c>
      <c r="N220" s="10">
        <v>3.7252074307152203E-2</v>
      </c>
      <c r="O220" s="10">
        <v>0</v>
      </c>
      <c r="P220" s="10">
        <v>3.7252074307152203E-2</v>
      </c>
      <c r="Q220" s="10">
        <v>17.8617335739468</v>
      </c>
      <c r="R220" s="10">
        <v>0</v>
      </c>
      <c r="S220" s="10">
        <v>0</v>
      </c>
      <c r="T220" s="10">
        <v>0</v>
      </c>
      <c r="U220" s="10">
        <v>0</v>
      </c>
      <c r="V220" s="10">
        <v>0</v>
      </c>
      <c r="W220" s="10">
        <v>2.0855800000000001E-3</v>
      </c>
      <c r="X220" s="10">
        <v>2.81048153152859E-2</v>
      </c>
      <c r="Y220" s="10">
        <v>244.84915102677101</v>
      </c>
      <c r="Z220" s="10">
        <v>37.168542977768801</v>
      </c>
    </row>
    <row r="221" spans="1:26" x14ac:dyDescent="0.35">
      <c r="A221" s="10" t="s">
        <v>40</v>
      </c>
      <c r="B221" s="10" t="s">
        <v>10</v>
      </c>
      <c r="C221" s="10">
        <v>2025</v>
      </c>
      <c r="D221" s="10" t="s">
        <v>84</v>
      </c>
      <c r="E221" s="10" t="s">
        <v>85</v>
      </c>
      <c r="F221" s="10" t="s">
        <v>86</v>
      </c>
      <c r="G221" s="10" t="s">
        <v>87</v>
      </c>
      <c r="H221" s="10" t="s">
        <v>19</v>
      </c>
      <c r="I221" s="10" t="s">
        <v>88</v>
      </c>
      <c r="J221" s="10">
        <v>55.4419627728888</v>
      </c>
      <c r="K221" s="10">
        <v>0</v>
      </c>
      <c r="L221" s="10">
        <v>0</v>
      </c>
      <c r="M221" s="10">
        <v>0</v>
      </c>
      <c r="N221" s="10">
        <v>0</v>
      </c>
      <c r="O221" s="10">
        <v>0</v>
      </c>
      <c r="P221" s="10">
        <v>0</v>
      </c>
      <c r="Q221" s="10">
        <v>17.847143583742401</v>
      </c>
      <c r="R221" s="10">
        <v>0</v>
      </c>
      <c r="S221" s="10">
        <v>0</v>
      </c>
      <c r="T221" s="10">
        <v>0</v>
      </c>
      <c r="U221" s="10">
        <v>0</v>
      </c>
      <c r="V221" s="10">
        <v>0</v>
      </c>
      <c r="W221" s="10">
        <v>0</v>
      </c>
      <c r="X221" s="10">
        <v>3.6949813781773401E-2</v>
      </c>
      <c r="Y221" s="10">
        <v>321.90677766681</v>
      </c>
      <c r="Z221" s="10">
        <v>37.168542977768801</v>
      </c>
    </row>
    <row r="222" spans="1:26" x14ac:dyDescent="0.35">
      <c r="A222" s="10" t="s">
        <v>40</v>
      </c>
      <c r="B222" s="10" t="s">
        <v>4</v>
      </c>
      <c r="C222" s="10">
        <v>2025</v>
      </c>
      <c r="D222" s="10" t="s">
        <v>84</v>
      </c>
      <c r="E222" s="10" t="s">
        <v>85</v>
      </c>
      <c r="F222" s="10" t="s">
        <v>86</v>
      </c>
      <c r="G222" s="10" t="s">
        <v>87</v>
      </c>
      <c r="H222" s="10" t="s">
        <v>19</v>
      </c>
      <c r="I222" s="10" t="s">
        <v>88</v>
      </c>
      <c r="J222" s="10">
        <v>72.949951016959005</v>
      </c>
      <c r="K222" s="10">
        <v>26.395461398723501</v>
      </c>
      <c r="L222" s="10">
        <v>2.6884360463662</v>
      </c>
      <c r="M222" s="10">
        <v>0.37030124635718498</v>
      </c>
      <c r="N222" s="10">
        <v>0</v>
      </c>
      <c r="O222" s="10">
        <v>0</v>
      </c>
      <c r="P222" s="10">
        <v>3.0587372927233898</v>
      </c>
      <c r="Q222" s="10">
        <v>367.40395117404898</v>
      </c>
      <c r="R222" s="10">
        <v>0</v>
      </c>
      <c r="S222" s="10">
        <v>0</v>
      </c>
      <c r="T222" s="10">
        <v>0</v>
      </c>
      <c r="U222" s="10">
        <v>0</v>
      </c>
      <c r="V222" s="10">
        <v>0</v>
      </c>
      <c r="W222" s="10">
        <v>8.3252705447208909E-3</v>
      </c>
      <c r="X222" s="10">
        <v>0.57809731351686899</v>
      </c>
      <c r="Y222" s="10">
        <v>5036.38379535897</v>
      </c>
      <c r="Z222" s="10">
        <v>37.168542977768801</v>
      </c>
    </row>
    <row r="223" spans="1:26" x14ac:dyDescent="0.35">
      <c r="A223" s="10" t="s">
        <v>41</v>
      </c>
      <c r="B223" s="10" t="s">
        <v>25</v>
      </c>
      <c r="C223" s="10">
        <v>2025</v>
      </c>
      <c r="D223" s="10" t="s">
        <v>84</v>
      </c>
      <c r="E223" s="10" t="s">
        <v>85</v>
      </c>
      <c r="F223" s="10" t="s">
        <v>86</v>
      </c>
      <c r="G223" s="10" t="s">
        <v>87</v>
      </c>
      <c r="H223" s="10" t="s">
        <v>19</v>
      </c>
      <c r="I223" s="10" t="s">
        <v>88</v>
      </c>
      <c r="J223" s="10">
        <v>15.399101611715601</v>
      </c>
      <c r="K223" s="10">
        <v>64.553033956312007</v>
      </c>
      <c r="L223" s="10">
        <v>6.04724940512755</v>
      </c>
      <c r="M223" s="10">
        <v>6.7140083027080202</v>
      </c>
      <c r="N223" s="10">
        <v>0</v>
      </c>
      <c r="O223" s="10">
        <v>0</v>
      </c>
      <c r="P223" s="10">
        <v>12.761257707835499</v>
      </c>
      <c r="Q223" s="10">
        <v>100.00000000000399</v>
      </c>
      <c r="R223" s="10">
        <v>0</v>
      </c>
      <c r="S223" s="10">
        <v>38.000000000001201</v>
      </c>
      <c r="T223" s="10">
        <v>1.29584642529659</v>
      </c>
      <c r="U223" s="10">
        <v>69.669162650354707</v>
      </c>
      <c r="V223" s="10">
        <v>250.808985541277</v>
      </c>
      <c r="W223" s="10">
        <v>0.12761257707835</v>
      </c>
      <c r="X223" s="10">
        <v>0.74539546908350296</v>
      </c>
      <c r="Y223" s="10">
        <v>6493.8853266554797</v>
      </c>
      <c r="Z223" s="10">
        <v>37.168542977768801</v>
      </c>
    </row>
    <row r="224" spans="1:26" x14ac:dyDescent="0.35">
      <c r="A224" s="10" t="s">
        <v>41</v>
      </c>
      <c r="B224" s="10" t="s">
        <v>23</v>
      </c>
      <c r="C224" s="10">
        <v>2025</v>
      </c>
      <c r="D224" s="10" t="s">
        <v>84</v>
      </c>
      <c r="E224" s="10" t="s">
        <v>85</v>
      </c>
      <c r="F224" s="10" t="s">
        <v>86</v>
      </c>
      <c r="G224" s="10" t="s">
        <v>87</v>
      </c>
      <c r="H224" s="10" t="s">
        <v>19</v>
      </c>
      <c r="I224" s="10" t="s">
        <v>88</v>
      </c>
      <c r="J224" s="10">
        <v>63.739227081350698</v>
      </c>
      <c r="K224" s="10">
        <v>0</v>
      </c>
      <c r="L224" s="10">
        <v>0</v>
      </c>
      <c r="M224" s="10">
        <v>0</v>
      </c>
      <c r="N224" s="10">
        <v>0</v>
      </c>
      <c r="O224" s="10">
        <v>0</v>
      </c>
      <c r="P224" s="10">
        <v>0</v>
      </c>
      <c r="Q224" s="10">
        <v>160.57547594815699</v>
      </c>
      <c r="R224" s="10">
        <v>0</v>
      </c>
      <c r="S224" s="10">
        <v>0</v>
      </c>
      <c r="T224" s="10">
        <v>0</v>
      </c>
      <c r="U224" s="10">
        <v>0</v>
      </c>
      <c r="V224" s="10">
        <v>0</v>
      </c>
      <c r="W224" s="10">
        <v>0</v>
      </c>
      <c r="X224" s="10">
        <v>0.289170881175078</v>
      </c>
      <c r="Y224" s="10">
        <v>2519.2567167972802</v>
      </c>
      <c r="Z224" s="10">
        <v>37.168542977768801</v>
      </c>
    </row>
    <row r="225" spans="1:26" x14ac:dyDescent="0.35">
      <c r="A225" s="10" t="s">
        <v>41</v>
      </c>
      <c r="B225" s="10" t="s">
        <v>20</v>
      </c>
      <c r="C225" s="10">
        <v>2025</v>
      </c>
      <c r="D225" s="10" t="s">
        <v>84</v>
      </c>
      <c r="E225" s="10" t="s">
        <v>85</v>
      </c>
      <c r="F225" s="10" t="s">
        <v>86</v>
      </c>
      <c r="G225" s="10" t="s">
        <v>87</v>
      </c>
      <c r="H225" s="10" t="s">
        <v>19</v>
      </c>
      <c r="I225" s="10" t="s">
        <v>88</v>
      </c>
      <c r="J225" s="10">
        <v>7.1611021625897502</v>
      </c>
      <c r="K225" s="10">
        <v>404.36595581495499</v>
      </c>
      <c r="L225" s="10">
        <v>37.880509030927101</v>
      </c>
      <c r="M225" s="10">
        <v>8.0848843415638303</v>
      </c>
      <c r="N225" s="10">
        <v>0</v>
      </c>
      <c r="O225" s="10">
        <v>0</v>
      </c>
      <c r="P225" s="10">
        <v>45.965393372490901</v>
      </c>
      <c r="Q225" s="10">
        <v>18.040654722775798</v>
      </c>
      <c r="R225" s="10">
        <v>0</v>
      </c>
      <c r="S225" s="10">
        <v>1300.7312055121499</v>
      </c>
      <c r="T225" s="10">
        <v>0</v>
      </c>
      <c r="U225" s="10">
        <v>0</v>
      </c>
      <c r="V225" s="10">
        <v>0</v>
      </c>
      <c r="W225" s="10">
        <v>2.5478783380550301</v>
      </c>
      <c r="X225" s="10">
        <v>0.289170881175078</v>
      </c>
      <c r="Y225" s="10">
        <v>2519.2567167972802</v>
      </c>
      <c r="Z225" s="10">
        <v>37.168542977768801</v>
      </c>
    </row>
    <row r="226" spans="1:26" x14ac:dyDescent="0.35">
      <c r="A226" s="10" t="s">
        <v>41</v>
      </c>
      <c r="B226" s="10" t="s">
        <v>24</v>
      </c>
      <c r="C226" s="10">
        <v>2025</v>
      </c>
      <c r="D226" s="10" t="s">
        <v>84</v>
      </c>
      <c r="E226" s="10" t="s">
        <v>85</v>
      </c>
      <c r="F226" s="10" t="s">
        <v>86</v>
      </c>
      <c r="G226" s="10" t="s">
        <v>87</v>
      </c>
      <c r="H226" s="10" t="s">
        <v>19</v>
      </c>
      <c r="I226" s="10" t="s">
        <v>88</v>
      </c>
      <c r="J226" s="10">
        <v>2.7746129030118301</v>
      </c>
      <c r="K226" s="10">
        <v>0</v>
      </c>
      <c r="L226" s="10">
        <v>0</v>
      </c>
      <c r="M226" s="10">
        <v>0</v>
      </c>
      <c r="N226" s="10">
        <v>0</v>
      </c>
      <c r="O226" s="10">
        <v>0</v>
      </c>
      <c r="P226" s="10">
        <v>0</v>
      </c>
      <c r="Q226" s="10">
        <v>18.018018018017202</v>
      </c>
      <c r="R226" s="10">
        <v>0</v>
      </c>
      <c r="S226" s="10">
        <v>0</v>
      </c>
      <c r="T226" s="10">
        <v>0</v>
      </c>
      <c r="U226" s="10">
        <v>0</v>
      </c>
      <c r="V226" s="10">
        <v>0</v>
      </c>
      <c r="W226" s="10">
        <v>0</v>
      </c>
      <c r="X226" s="10">
        <v>0.74539546908350296</v>
      </c>
      <c r="Y226" s="10">
        <v>6493.8853266554797</v>
      </c>
      <c r="Z226" s="10">
        <v>37.168542977768801</v>
      </c>
    </row>
    <row r="227" spans="1:26" x14ac:dyDescent="0.35">
      <c r="A227" s="10" t="s">
        <v>41</v>
      </c>
      <c r="B227" s="10" t="s">
        <v>89</v>
      </c>
      <c r="C227" s="10">
        <v>2025</v>
      </c>
      <c r="D227" s="10" t="s">
        <v>84</v>
      </c>
      <c r="E227" s="10" t="s">
        <v>85</v>
      </c>
      <c r="F227" s="10" t="s">
        <v>86</v>
      </c>
      <c r="G227" s="10" t="s">
        <v>87</v>
      </c>
      <c r="H227" s="10" t="s">
        <v>19</v>
      </c>
      <c r="I227" s="10" t="s">
        <v>88</v>
      </c>
      <c r="J227" s="10">
        <v>438.10918098531801</v>
      </c>
      <c r="K227" s="10">
        <v>0</v>
      </c>
      <c r="L227" s="10">
        <v>0</v>
      </c>
      <c r="M227" s="10">
        <v>0</v>
      </c>
      <c r="N227" s="10">
        <v>0</v>
      </c>
      <c r="O227" s="10">
        <v>0</v>
      </c>
      <c r="P227" s="10">
        <v>0</v>
      </c>
      <c r="Q227" s="10">
        <v>236.74873329535001</v>
      </c>
      <c r="R227" s="10">
        <v>0</v>
      </c>
      <c r="S227" s="10">
        <v>222.543809297629</v>
      </c>
      <c r="T227" s="10">
        <v>0</v>
      </c>
      <c r="U227" s="10">
        <v>0</v>
      </c>
      <c r="V227" s="10">
        <v>0</v>
      </c>
      <c r="W227" s="10">
        <v>0</v>
      </c>
      <c r="X227" s="10">
        <v>6.2027952117058402E-2</v>
      </c>
      <c r="Y227" s="10">
        <v>540.38751884381304</v>
      </c>
      <c r="Z227" s="10">
        <v>37.168542977768801</v>
      </c>
    </row>
    <row r="228" spans="1:26" x14ac:dyDescent="0.35">
      <c r="A228" s="10" t="s">
        <v>41</v>
      </c>
      <c r="B228" s="10" t="s">
        <v>90</v>
      </c>
      <c r="C228" s="10">
        <v>2025</v>
      </c>
      <c r="D228" s="10" t="s">
        <v>84</v>
      </c>
      <c r="E228" s="10" t="s">
        <v>85</v>
      </c>
      <c r="F228" s="10" t="s">
        <v>86</v>
      </c>
      <c r="G228" s="10" t="s">
        <v>87</v>
      </c>
      <c r="H228" s="10" t="s">
        <v>19</v>
      </c>
      <c r="I228" s="10" t="s">
        <v>88</v>
      </c>
      <c r="J228" s="10">
        <v>433.72269172573999</v>
      </c>
      <c r="K228" s="10">
        <v>0</v>
      </c>
      <c r="L228" s="10">
        <v>0</v>
      </c>
      <c r="M228" s="10">
        <v>0</v>
      </c>
      <c r="N228" s="10">
        <v>0</v>
      </c>
      <c r="O228" s="10">
        <v>0</v>
      </c>
      <c r="P228" s="10">
        <v>0</v>
      </c>
      <c r="Q228" s="10">
        <v>236.72609659058099</v>
      </c>
      <c r="R228" s="10">
        <v>0</v>
      </c>
      <c r="S228" s="10">
        <v>0</v>
      </c>
      <c r="T228" s="10">
        <v>0</v>
      </c>
      <c r="U228" s="10">
        <v>0</v>
      </c>
      <c r="V228" s="10">
        <v>0</v>
      </c>
      <c r="W228" s="10">
        <v>0</v>
      </c>
      <c r="X228" s="10">
        <v>6.2649286012474104E-2</v>
      </c>
      <c r="Y228" s="10">
        <v>545.80057974067404</v>
      </c>
      <c r="Z228" s="10">
        <v>37.168542977768801</v>
      </c>
    </row>
    <row r="229" spans="1:26" x14ac:dyDescent="0.35">
      <c r="A229" s="10" t="s">
        <v>41</v>
      </c>
      <c r="B229" s="10" t="s">
        <v>91</v>
      </c>
      <c r="C229" s="10">
        <v>2025</v>
      </c>
      <c r="D229" s="10" t="s">
        <v>84</v>
      </c>
      <c r="E229" s="10" t="s">
        <v>85</v>
      </c>
      <c r="F229" s="10" t="s">
        <v>86</v>
      </c>
      <c r="G229" s="10" t="s">
        <v>87</v>
      </c>
      <c r="H229" s="10" t="s">
        <v>19</v>
      </c>
      <c r="I229" s="10" t="s">
        <v>88</v>
      </c>
      <c r="J229" s="10">
        <v>251.518941732461</v>
      </c>
      <c r="K229" s="10">
        <v>115.88871679074001</v>
      </c>
      <c r="L229" s="10">
        <v>9.4730749391571205</v>
      </c>
      <c r="M229" s="10">
        <v>0.249425299823434</v>
      </c>
      <c r="N229" s="10">
        <v>0</v>
      </c>
      <c r="O229" s="10">
        <v>0</v>
      </c>
      <c r="P229" s="10">
        <v>9.7225002389805493</v>
      </c>
      <c r="Q229" s="10">
        <v>1037.60871649042</v>
      </c>
      <c r="R229" s="10">
        <v>0</v>
      </c>
      <c r="S229" s="10">
        <v>0</v>
      </c>
      <c r="T229" s="10">
        <v>0</v>
      </c>
      <c r="U229" s="10">
        <v>0</v>
      </c>
      <c r="V229" s="10">
        <v>0</v>
      </c>
      <c r="W229" s="10">
        <v>9.3701027029395E-3</v>
      </c>
      <c r="X229" s="10">
        <v>0.47352732769320199</v>
      </c>
      <c r="Y229" s="10">
        <v>4125.3700788631704</v>
      </c>
      <c r="Z229" s="10">
        <v>37.168542977768801</v>
      </c>
    </row>
    <row r="230" spans="1:26" x14ac:dyDescent="0.35">
      <c r="A230" s="10" t="s">
        <v>41</v>
      </c>
      <c r="B230" s="10" t="s">
        <v>92</v>
      </c>
      <c r="C230" s="10">
        <v>2025</v>
      </c>
      <c r="D230" s="10" t="s">
        <v>84</v>
      </c>
      <c r="E230" s="10" t="s">
        <v>85</v>
      </c>
      <c r="F230" s="10" t="s">
        <v>86</v>
      </c>
      <c r="G230" s="10" t="s">
        <v>87</v>
      </c>
      <c r="H230" s="10" t="s">
        <v>19</v>
      </c>
      <c r="I230" s="10" t="s">
        <v>88</v>
      </c>
      <c r="J230" s="10">
        <v>1030.8937689419099</v>
      </c>
      <c r="K230" s="10">
        <v>566.99157291805102</v>
      </c>
      <c r="L230" s="10">
        <v>48.649727934763497</v>
      </c>
      <c r="M230" s="10">
        <v>9.3811332973714006</v>
      </c>
      <c r="N230" s="10">
        <v>0</v>
      </c>
      <c r="O230" s="10">
        <v>0</v>
      </c>
      <c r="P230" s="10">
        <v>58.030861232134903</v>
      </c>
      <c r="Q230" s="10">
        <v>1561.2896439562901</v>
      </c>
      <c r="R230" s="10">
        <v>0</v>
      </c>
      <c r="S230" s="10">
        <v>0</v>
      </c>
      <c r="T230" s="10">
        <v>0</v>
      </c>
      <c r="U230" s="10">
        <v>0</v>
      </c>
      <c r="V230" s="10">
        <v>0</v>
      </c>
      <c r="W230" s="10">
        <v>3.7168542977768802E-2</v>
      </c>
      <c r="X230" s="10">
        <v>0.17384079430670299</v>
      </c>
      <c r="Y230" s="10">
        <v>1514.501</v>
      </c>
      <c r="Z230" s="10">
        <v>37.168542977768801</v>
      </c>
    </row>
    <row r="231" spans="1:26" x14ac:dyDescent="0.35">
      <c r="A231" s="10" t="s">
        <v>41</v>
      </c>
      <c r="B231" s="10" t="s">
        <v>7</v>
      </c>
      <c r="C231" s="10">
        <v>2025</v>
      </c>
      <c r="D231" s="10" t="s">
        <v>84</v>
      </c>
      <c r="E231" s="10" t="s">
        <v>85</v>
      </c>
      <c r="F231" s="10" t="s">
        <v>86</v>
      </c>
      <c r="G231" s="10" t="s">
        <v>87</v>
      </c>
      <c r="H231" s="10" t="s">
        <v>19</v>
      </c>
      <c r="I231" s="10" t="s">
        <v>88</v>
      </c>
      <c r="J231" s="10">
        <v>0</v>
      </c>
      <c r="K231" s="10">
        <v>0</v>
      </c>
      <c r="L231" s="10">
        <v>0</v>
      </c>
      <c r="M231" s="10">
        <v>0</v>
      </c>
      <c r="N231" s="10">
        <v>0</v>
      </c>
      <c r="O231" s="10">
        <v>0</v>
      </c>
      <c r="P231" s="10">
        <v>0</v>
      </c>
      <c r="Q231" s="10">
        <v>0</v>
      </c>
      <c r="R231" s="10">
        <v>0</v>
      </c>
      <c r="S231" s="10">
        <v>0</v>
      </c>
      <c r="T231" s="10">
        <v>0</v>
      </c>
      <c r="U231" s="10">
        <v>0</v>
      </c>
      <c r="V231" s="10">
        <v>0</v>
      </c>
      <c r="W231" s="10">
        <v>0</v>
      </c>
      <c r="X231" s="10" t="s">
        <v>14</v>
      </c>
      <c r="Y231" s="10" t="s">
        <v>14</v>
      </c>
      <c r="Z231" s="10">
        <v>37.168542977768801</v>
      </c>
    </row>
    <row r="232" spans="1:26" x14ac:dyDescent="0.35">
      <c r="A232" s="10" t="s">
        <v>41</v>
      </c>
      <c r="B232" s="10" t="s">
        <v>8</v>
      </c>
      <c r="C232" s="10">
        <v>2025</v>
      </c>
      <c r="D232" s="10" t="s">
        <v>84</v>
      </c>
      <c r="E232" s="10" t="s">
        <v>85</v>
      </c>
      <c r="F232" s="10" t="s">
        <v>86</v>
      </c>
      <c r="G232" s="10" t="s">
        <v>87</v>
      </c>
      <c r="H232" s="10" t="s">
        <v>19</v>
      </c>
      <c r="I232" s="10" t="s">
        <v>88</v>
      </c>
      <c r="J232" s="10">
        <v>0</v>
      </c>
      <c r="K232" s="10">
        <v>0</v>
      </c>
      <c r="L232" s="10">
        <v>0</v>
      </c>
      <c r="M232" s="10">
        <v>0</v>
      </c>
      <c r="N232" s="10">
        <v>0</v>
      </c>
      <c r="O232" s="10">
        <v>0</v>
      </c>
      <c r="P232" s="10">
        <v>0</v>
      </c>
      <c r="Q232" s="10">
        <v>0</v>
      </c>
      <c r="R232" s="10">
        <v>0</v>
      </c>
      <c r="S232" s="10">
        <v>0</v>
      </c>
      <c r="T232" s="10">
        <v>0</v>
      </c>
      <c r="U232" s="10">
        <v>0</v>
      </c>
      <c r="V232" s="10">
        <v>0</v>
      </c>
      <c r="W232" s="10">
        <v>0</v>
      </c>
      <c r="X232" s="10" t="s">
        <v>14</v>
      </c>
      <c r="Y232" s="10" t="s">
        <v>14</v>
      </c>
      <c r="Z232" s="10">
        <v>37.168542977768801</v>
      </c>
    </row>
    <row r="233" spans="1:26" x14ac:dyDescent="0.35">
      <c r="A233" s="10" t="s">
        <v>41</v>
      </c>
      <c r="B233" s="10" t="s">
        <v>9</v>
      </c>
      <c r="C233" s="10">
        <v>2025</v>
      </c>
      <c r="D233" s="10" t="s">
        <v>84</v>
      </c>
      <c r="E233" s="10" t="s">
        <v>85</v>
      </c>
      <c r="F233" s="10" t="s">
        <v>86</v>
      </c>
      <c r="G233" s="10" t="s">
        <v>87</v>
      </c>
      <c r="H233" s="10" t="s">
        <v>19</v>
      </c>
      <c r="I233" s="10" t="s">
        <v>88</v>
      </c>
      <c r="J233" s="10">
        <v>73.145732655649297</v>
      </c>
      <c r="K233" s="10">
        <v>0</v>
      </c>
      <c r="L233" s="10">
        <v>0</v>
      </c>
      <c r="M233" s="10">
        <v>0</v>
      </c>
      <c r="N233" s="10">
        <v>3.76837067253111E-2</v>
      </c>
      <c r="O233" s="10">
        <v>0</v>
      </c>
      <c r="P233" s="10">
        <v>3.76837067253111E-2</v>
      </c>
      <c r="Q233" s="10">
        <v>18.068693948595101</v>
      </c>
      <c r="R233" s="10">
        <v>0</v>
      </c>
      <c r="S233" s="10">
        <v>0</v>
      </c>
      <c r="T233" s="10">
        <v>0</v>
      </c>
      <c r="U233" s="10">
        <v>0</v>
      </c>
      <c r="V233" s="10">
        <v>0</v>
      </c>
      <c r="W233" s="10">
        <v>2.0855800000000001E-3</v>
      </c>
      <c r="X233" s="10">
        <v>2.8354363371662701E-2</v>
      </c>
      <c r="Y233" s="10">
        <v>247.02321369392499</v>
      </c>
      <c r="Z233" s="10">
        <v>37.168542977768801</v>
      </c>
    </row>
    <row r="234" spans="1:26" x14ac:dyDescent="0.35">
      <c r="A234" s="10" t="s">
        <v>41</v>
      </c>
      <c r="B234" s="10" t="s">
        <v>10</v>
      </c>
      <c r="C234" s="10">
        <v>2025</v>
      </c>
      <c r="D234" s="10" t="s">
        <v>84</v>
      </c>
      <c r="E234" s="10" t="s">
        <v>85</v>
      </c>
      <c r="F234" s="10" t="s">
        <v>86</v>
      </c>
      <c r="G234" s="10" t="s">
        <v>87</v>
      </c>
      <c r="H234" s="10" t="s">
        <v>19</v>
      </c>
      <c r="I234" s="10" t="s">
        <v>88</v>
      </c>
      <c r="J234" s="10">
        <v>61.442415430745399</v>
      </c>
      <c r="K234" s="10">
        <v>0</v>
      </c>
      <c r="L234" s="10">
        <v>0</v>
      </c>
      <c r="M234" s="10">
        <v>0</v>
      </c>
      <c r="N234" s="10">
        <v>0</v>
      </c>
      <c r="O234" s="10">
        <v>0</v>
      </c>
      <c r="P234" s="10">
        <v>0</v>
      </c>
      <c r="Q234" s="10">
        <v>18.054064802065</v>
      </c>
      <c r="R234" s="10">
        <v>0</v>
      </c>
      <c r="S234" s="10">
        <v>0</v>
      </c>
      <c r="T234" s="10">
        <v>0</v>
      </c>
      <c r="U234" s="10">
        <v>0</v>
      </c>
      <c r="V234" s="10">
        <v>0</v>
      </c>
      <c r="W234" s="10">
        <v>0</v>
      </c>
      <c r="X234" s="10">
        <v>3.37278649172911E-2</v>
      </c>
      <c r="Y234" s="10">
        <v>293.83715915943998</v>
      </c>
      <c r="Z234" s="10">
        <v>37.168542977768801</v>
      </c>
    </row>
    <row r="235" spans="1:26" x14ac:dyDescent="0.35">
      <c r="A235" s="10" t="s">
        <v>41</v>
      </c>
      <c r="B235" s="10" t="s">
        <v>4</v>
      </c>
      <c r="C235" s="10">
        <v>2025</v>
      </c>
      <c r="D235" s="10" t="s">
        <v>84</v>
      </c>
      <c r="E235" s="10" t="s">
        <v>85</v>
      </c>
      <c r="F235" s="10" t="s">
        <v>86</v>
      </c>
      <c r="G235" s="10" t="s">
        <v>87</v>
      </c>
      <c r="H235" s="10" t="s">
        <v>19</v>
      </c>
      <c r="I235" s="10" t="s">
        <v>88</v>
      </c>
      <c r="J235" s="10">
        <v>73.145732655649297</v>
      </c>
      <c r="K235" s="10">
        <v>26.4663010170453</v>
      </c>
      <c r="L235" s="10">
        <v>2.6956512179644601</v>
      </c>
      <c r="M235" s="10">
        <v>0.37129505353334102</v>
      </c>
      <c r="N235" s="10">
        <v>0</v>
      </c>
      <c r="O235" s="10">
        <v>0</v>
      </c>
      <c r="P235" s="10">
        <v>3.0669462714978</v>
      </c>
      <c r="Q235" s="10">
        <v>377.203242293458</v>
      </c>
      <c r="R235" s="10">
        <v>0</v>
      </c>
      <c r="S235" s="10">
        <v>0</v>
      </c>
      <c r="T235" s="10">
        <v>0</v>
      </c>
      <c r="U235" s="10">
        <v>0</v>
      </c>
      <c r="V235" s="10">
        <v>0</v>
      </c>
      <c r="W235" s="10">
        <v>8.1307526755344302E-3</v>
      </c>
      <c r="X235" s="10">
        <v>0.59192755311402501</v>
      </c>
      <c r="Y235" s="10">
        <v>5156.87284272938</v>
      </c>
      <c r="Z235" s="10">
        <v>37.168542977768801</v>
      </c>
    </row>
    <row r="236" spans="1:26" x14ac:dyDescent="0.35">
      <c r="A236" s="10" t="s">
        <v>42</v>
      </c>
      <c r="B236" s="10" t="s">
        <v>25</v>
      </c>
      <c r="C236" s="10">
        <v>2025</v>
      </c>
      <c r="D236" s="10" t="s">
        <v>84</v>
      </c>
      <c r="E236" s="10" t="s">
        <v>85</v>
      </c>
      <c r="F236" s="10" t="s">
        <v>86</v>
      </c>
      <c r="G236" s="10" t="s">
        <v>87</v>
      </c>
      <c r="H236" s="10" t="s">
        <v>19</v>
      </c>
      <c r="I236" s="10" t="s">
        <v>88</v>
      </c>
      <c r="J236" s="10">
        <v>15.317885257935901</v>
      </c>
      <c r="K236" s="10">
        <v>64.212575001267297</v>
      </c>
      <c r="L236" s="10">
        <v>6.0153556259016501</v>
      </c>
      <c r="M236" s="10">
        <v>6.6785979724600502</v>
      </c>
      <c r="N236" s="10">
        <v>0</v>
      </c>
      <c r="O236" s="10">
        <v>0</v>
      </c>
      <c r="P236" s="10">
        <v>12.6939535983617</v>
      </c>
      <c r="Q236" s="10">
        <v>99.9999999999972</v>
      </c>
      <c r="R236" s="10">
        <v>0</v>
      </c>
      <c r="S236" s="10">
        <v>37.999999999996298</v>
      </c>
      <c r="T236" s="10">
        <v>1.3753639313050601</v>
      </c>
      <c r="U236" s="10">
        <v>73.944297381992499</v>
      </c>
      <c r="V236" s="10">
        <v>266.199470575173</v>
      </c>
      <c r="W236" s="10">
        <v>0.12693953598362001</v>
      </c>
      <c r="X236" s="10">
        <v>0.74934760092838204</v>
      </c>
      <c r="Y236" s="10">
        <v>6528.3162992880598</v>
      </c>
      <c r="Z236" s="10">
        <v>37.168542977768801</v>
      </c>
    </row>
    <row r="237" spans="1:26" x14ac:dyDescent="0.35">
      <c r="A237" s="10" t="s">
        <v>42</v>
      </c>
      <c r="B237" s="10" t="s">
        <v>23</v>
      </c>
      <c r="C237" s="10">
        <v>2025</v>
      </c>
      <c r="D237" s="10" t="s">
        <v>84</v>
      </c>
      <c r="E237" s="10" t="s">
        <v>85</v>
      </c>
      <c r="F237" s="10" t="s">
        <v>86</v>
      </c>
      <c r="G237" s="10" t="s">
        <v>87</v>
      </c>
      <c r="H237" s="10" t="s">
        <v>19</v>
      </c>
      <c r="I237" s="10" t="s">
        <v>88</v>
      </c>
      <c r="J237" s="10">
        <v>65.052382162575697</v>
      </c>
      <c r="K237" s="10">
        <v>0</v>
      </c>
      <c r="L237" s="10">
        <v>0</v>
      </c>
      <c r="M237" s="10">
        <v>0</v>
      </c>
      <c r="N237" s="10">
        <v>0</v>
      </c>
      <c r="O237" s="10">
        <v>0</v>
      </c>
      <c r="P237" s="10">
        <v>0</v>
      </c>
      <c r="Q237" s="10">
        <v>160.57553426088</v>
      </c>
      <c r="R237" s="10">
        <v>0</v>
      </c>
      <c r="S237" s="10">
        <v>0</v>
      </c>
      <c r="T237" s="10">
        <v>0</v>
      </c>
      <c r="U237" s="10">
        <v>0</v>
      </c>
      <c r="V237" s="10">
        <v>0</v>
      </c>
      <c r="W237" s="10">
        <v>0</v>
      </c>
      <c r="X237" s="10">
        <v>0.28333374645449599</v>
      </c>
      <c r="Y237" s="10">
        <v>2468.4035991115702</v>
      </c>
      <c r="Z237" s="10">
        <v>37.168542977768801</v>
      </c>
    </row>
    <row r="238" spans="1:26" x14ac:dyDescent="0.35">
      <c r="A238" s="10" t="s">
        <v>42</v>
      </c>
      <c r="B238" s="10" t="s">
        <v>20</v>
      </c>
      <c r="C238" s="10">
        <v>2025</v>
      </c>
      <c r="D238" s="10" t="s">
        <v>84</v>
      </c>
      <c r="E238" s="10" t="s">
        <v>85</v>
      </c>
      <c r="F238" s="10" t="s">
        <v>86</v>
      </c>
      <c r="G238" s="10" t="s">
        <v>87</v>
      </c>
      <c r="H238" s="10" t="s">
        <v>19</v>
      </c>
      <c r="I238" s="10" t="s">
        <v>88</v>
      </c>
      <c r="J238" s="10">
        <v>7.3086351359653801</v>
      </c>
      <c r="K238" s="10">
        <v>412.69670022255701</v>
      </c>
      <c r="L238" s="10">
        <v>38.660922995625199</v>
      </c>
      <c r="M238" s="10">
        <v>8.25144906850492</v>
      </c>
      <c r="N238" s="10">
        <v>0</v>
      </c>
      <c r="O238" s="10">
        <v>0</v>
      </c>
      <c r="P238" s="10">
        <v>46.912372064130103</v>
      </c>
      <c r="Q238" s="10">
        <v>18.040661274210098</v>
      </c>
      <c r="R238" s="10">
        <v>0</v>
      </c>
      <c r="S238" s="10">
        <v>1486.5504889949</v>
      </c>
      <c r="T238" s="10">
        <v>0</v>
      </c>
      <c r="U238" s="10">
        <v>0</v>
      </c>
      <c r="V238" s="10">
        <v>0</v>
      </c>
      <c r="W238" s="10">
        <v>2.6003687642643798</v>
      </c>
      <c r="X238" s="10">
        <v>0.28333374645449599</v>
      </c>
      <c r="Y238" s="10">
        <v>2468.4035991115702</v>
      </c>
      <c r="Z238" s="10">
        <v>37.168542977768801</v>
      </c>
    </row>
    <row r="239" spans="1:26" x14ac:dyDescent="0.35">
      <c r="A239" s="10" t="s">
        <v>42</v>
      </c>
      <c r="B239" s="10" t="s">
        <v>24</v>
      </c>
      <c r="C239" s="10">
        <v>2025</v>
      </c>
      <c r="D239" s="10" t="s">
        <v>84</v>
      </c>
      <c r="E239" s="10" t="s">
        <v>85</v>
      </c>
      <c r="F239" s="10" t="s">
        <v>86</v>
      </c>
      <c r="G239" s="10" t="s">
        <v>87</v>
      </c>
      <c r="H239" s="10" t="s">
        <v>19</v>
      </c>
      <c r="I239" s="10" t="s">
        <v>88</v>
      </c>
      <c r="J239" s="10">
        <v>2.7599793257542098</v>
      </c>
      <c r="K239" s="10">
        <v>0</v>
      </c>
      <c r="L239" s="10">
        <v>0</v>
      </c>
      <c r="M239" s="10">
        <v>0</v>
      </c>
      <c r="N239" s="10">
        <v>0</v>
      </c>
      <c r="O239" s="10">
        <v>0</v>
      </c>
      <c r="P239" s="10">
        <v>0</v>
      </c>
      <c r="Q239" s="10">
        <v>18.018018018017901</v>
      </c>
      <c r="R239" s="10">
        <v>0</v>
      </c>
      <c r="S239" s="10">
        <v>0</v>
      </c>
      <c r="T239" s="10">
        <v>0</v>
      </c>
      <c r="U239" s="10">
        <v>0</v>
      </c>
      <c r="V239" s="10">
        <v>0</v>
      </c>
      <c r="W239" s="10">
        <v>0</v>
      </c>
      <c r="X239" s="10">
        <v>0.749347600928297</v>
      </c>
      <c r="Y239" s="10">
        <v>6528.3162992873204</v>
      </c>
      <c r="Z239" s="10">
        <v>37.168542977768801</v>
      </c>
    </row>
    <row r="240" spans="1:26" x14ac:dyDescent="0.35">
      <c r="A240" s="10" t="s">
        <v>42</v>
      </c>
      <c r="B240" s="10" t="s">
        <v>89</v>
      </c>
      <c r="C240" s="10">
        <v>2025</v>
      </c>
      <c r="D240" s="10" t="s">
        <v>84</v>
      </c>
      <c r="E240" s="10" t="s">
        <v>85</v>
      </c>
      <c r="F240" s="10" t="s">
        <v>86</v>
      </c>
      <c r="G240" s="10" t="s">
        <v>87</v>
      </c>
      <c r="H240" s="10" t="s">
        <v>19</v>
      </c>
      <c r="I240" s="10" t="s">
        <v>88</v>
      </c>
      <c r="J240" s="10">
        <v>1038.5975076118</v>
      </c>
      <c r="K240" s="10">
        <v>0</v>
      </c>
      <c r="L240" s="10">
        <v>0</v>
      </c>
      <c r="M240" s="10">
        <v>0</v>
      </c>
      <c r="N240" s="10">
        <v>0</v>
      </c>
      <c r="O240" s="10">
        <v>0</v>
      </c>
      <c r="P240" s="10">
        <v>0</v>
      </c>
      <c r="Q240" s="10">
        <v>241.885858471288</v>
      </c>
      <c r="R240" s="10">
        <v>0</v>
      </c>
      <c r="S240" s="10">
        <v>227.37270696301201</v>
      </c>
      <c r="T240" s="10">
        <v>0</v>
      </c>
      <c r="U240" s="10">
        <v>0</v>
      </c>
      <c r="V240" s="10">
        <v>0</v>
      </c>
      <c r="W240" s="10">
        <v>0</v>
      </c>
      <c r="X240" s="10">
        <v>2.6732854575119602E-2</v>
      </c>
      <c r="Y240" s="10">
        <v>232.89662905844199</v>
      </c>
      <c r="Z240" s="10">
        <v>37.168542977768801</v>
      </c>
    </row>
    <row r="241" spans="1:26" x14ac:dyDescent="0.35">
      <c r="A241" s="10" t="s">
        <v>42</v>
      </c>
      <c r="B241" s="10" t="s">
        <v>90</v>
      </c>
      <c r="C241" s="10">
        <v>2025</v>
      </c>
      <c r="D241" s="10" t="s">
        <v>84</v>
      </c>
      <c r="E241" s="10" t="s">
        <v>85</v>
      </c>
      <c r="F241" s="10" t="s">
        <v>86</v>
      </c>
      <c r="G241" s="10" t="s">
        <v>87</v>
      </c>
      <c r="H241" s="10" t="s">
        <v>19</v>
      </c>
      <c r="I241" s="10" t="s">
        <v>88</v>
      </c>
      <c r="J241" s="10">
        <v>1041.35748693755</v>
      </c>
      <c r="K241" s="10">
        <v>0</v>
      </c>
      <c r="L241" s="10">
        <v>0</v>
      </c>
      <c r="M241" s="10">
        <v>0</v>
      </c>
      <c r="N241" s="10">
        <v>0</v>
      </c>
      <c r="O241" s="10">
        <v>0</v>
      </c>
      <c r="P241" s="10">
        <v>0</v>
      </c>
      <c r="Q241" s="10">
        <v>241.86321521508501</v>
      </c>
      <c r="R241" s="10">
        <v>0</v>
      </c>
      <c r="S241" s="10">
        <v>0</v>
      </c>
      <c r="T241" s="10">
        <v>0</v>
      </c>
      <c r="U241" s="10">
        <v>0</v>
      </c>
      <c r="V241" s="10">
        <v>0</v>
      </c>
      <c r="W241" s="10">
        <v>0</v>
      </c>
      <c r="X241" s="10">
        <v>2.66595068390354E-2</v>
      </c>
      <c r="Y241" s="10">
        <v>232.257623581677</v>
      </c>
      <c r="Z241" s="10">
        <v>37.168542977768801</v>
      </c>
    </row>
    <row r="242" spans="1:26" x14ac:dyDescent="0.35">
      <c r="A242" s="10" t="s">
        <v>42</v>
      </c>
      <c r="B242" s="10" t="s">
        <v>91</v>
      </c>
      <c r="C242" s="10">
        <v>2025</v>
      </c>
      <c r="D242" s="10" t="s">
        <v>84</v>
      </c>
      <c r="E242" s="10" t="s">
        <v>85</v>
      </c>
      <c r="F242" s="10" t="s">
        <v>86</v>
      </c>
      <c r="G242" s="10" t="s">
        <v>87</v>
      </c>
      <c r="H242" s="10" t="s">
        <v>19</v>
      </c>
      <c r="I242" s="10" t="s">
        <v>88</v>
      </c>
      <c r="J242" s="10">
        <v>251.59173547938499</v>
      </c>
      <c r="K242" s="10">
        <v>115.922256904512</v>
      </c>
      <c r="L242" s="10">
        <v>9.4758166039198795</v>
      </c>
      <c r="M242" s="10">
        <v>0.249497487635719</v>
      </c>
      <c r="N242" s="10">
        <v>0</v>
      </c>
      <c r="O242" s="10">
        <v>0</v>
      </c>
      <c r="P242" s="10">
        <v>9.7253140915555996</v>
      </c>
      <c r="Q242" s="10">
        <v>1051.1432445437299</v>
      </c>
      <c r="R242" s="10">
        <v>0</v>
      </c>
      <c r="S242" s="10">
        <v>0</v>
      </c>
      <c r="T242" s="10">
        <v>0</v>
      </c>
      <c r="U242" s="10">
        <v>0</v>
      </c>
      <c r="V242" s="10">
        <v>0</v>
      </c>
      <c r="W242" s="10">
        <v>9.2521301373886602E-3</v>
      </c>
      <c r="X242" s="10">
        <v>0.47956520576850598</v>
      </c>
      <c r="Y242" s="10">
        <v>4177.9720726552296</v>
      </c>
      <c r="Z242" s="10">
        <v>37.168542977768801</v>
      </c>
    </row>
    <row r="243" spans="1:26" x14ac:dyDescent="0.35">
      <c r="A243" s="10" t="s">
        <v>42</v>
      </c>
      <c r="B243" s="10" t="s">
        <v>92</v>
      </c>
      <c r="C243" s="10">
        <v>2025</v>
      </c>
      <c r="D243" s="10" t="s">
        <v>84</v>
      </c>
      <c r="E243" s="10" t="s">
        <v>85</v>
      </c>
      <c r="F243" s="10" t="s">
        <v>86</v>
      </c>
      <c r="G243" s="10" t="s">
        <v>87</v>
      </c>
      <c r="H243" s="10" t="s">
        <v>19</v>
      </c>
      <c r="I243" s="10" t="s">
        <v>88</v>
      </c>
      <c r="J243" s="10">
        <v>1156.77556366679</v>
      </c>
      <c r="K243" s="10">
        <v>636.22656001673897</v>
      </c>
      <c r="L243" s="10">
        <v>54.590315849647503</v>
      </c>
      <c r="M243" s="10">
        <v>10.526657629367801</v>
      </c>
      <c r="N243" s="10">
        <v>0</v>
      </c>
      <c r="O243" s="10">
        <v>0</v>
      </c>
      <c r="P243" s="10">
        <v>65.1169734790153</v>
      </c>
      <c r="Q243" s="10">
        <v>1751.9377479489201</v>
      </c>
      <c r="R243" s="10">
        <v>0</v>
      </c>
      <c r="S243" s="10">
        <v>0</v>
      </c>
      <c r="T243" s="10">
        <v>0</v>
      </c>
      <c r="U243" s="10">
        <v>0</v>
      </c>
      <c r="V243" s="10">
        <v>0</v>
      </c>
      <c r="W243" s="10">
        <v>3.7168542977768802E-2</v>
      </c>
      <c r="X243" s="10">
        <v>0.17384079430670299</v>
      </c>
      <c r="Y243" s="10">
        <v>1514.501</v>
      </c>
      <c r="Z243" s="10">
        <v>37.168542977768801</v>
      </c>
    </row>
    <row r="244" spans="1:26" x14ac:dyDescent="0.35">
      <c r="A244" s="10" t="s">
        <v>42</v>
      </c>
      <c r="B244" s="10" t="s">
        <v>7</v>
      </c>
      <c r="C244" s="10">
        <v>2025</v>
      </c>
      <c r="D244" s="10" t="s">
        <v>84</v>
      </c>
      <c r="E244" s="10" t="s">
        <v>85</v>
      </c>
      <c r="F244" s="10" t="s">
        <v>86</v>
      </c>
      <c r="G244" s="10" t="s">
        <v>87</v>
      </c>
      <c r="H244" s="10" t="s">
        <v>19</v>
      </c>
      <c r="I244" s="10" t="s">
        <v>88</v>
      </c>
      <c r="J244" s="10">
        <v>0</v>
      </c>
      <c r="K244" s="10">
        <v>0</v>
      </c>
      <c r="L244" s="10">
        <v>0</v>
      </c>
      <c r="M244" s="10">
        <v>0</v>
      </c>
      <c r="N244" s="10">
        <v>0</v>
      </c>
      <c r="O244" s="10">
        <v>0</v>
      </c>
      <c r="P244" s="10">
        <v>0</v>
      </c>
      <c r="Q244" s="10">
        <v>0</v>
      </c>
      <c r="R244" s="10">
        <v>0</v>
      </c>
      <c r="S244" s="10">
        <v>0</v>
      </c>
      <c r="T244" s="10">
        <v>0</v>
      </c>
      <c r="U244" s="10">
        <v>0</v>
      </c>
      <c r="V244" s="10">
        <v>0</v>
      </c>
      <c r="W244" s="10">
        <v>0</v>
      </c>
      <c r="X244" s="10" t="s">
        <v>14</v>
      </c>
      <c r="Y244" s="10" t="s">
        <v>14</v>
      </c>
      <c r="Z244" s="10">
        <v>37.168542977768801</v>
      </c>
    </row>
    <row r="245" spans="1:26" x14ac:dyDescent="0.35">
      <c r="A245" s="10" t="s">
        <v>42</v>
      </c>
      <c r="B245" s="10" t="s">
        <v>8</v>
      </c>
      <c r="C245" s="10">
        <v>2025</v>
      </c>
      <c r="D245" s="10" t="s">
        <v>84</v>
      </c>
      <c r="E245" s="10" t="s">
        <v>85</v>
      </c>
      <c r="F245" s="10" t="s">
        <v>86</v>
      </c>
      <c r="G245" s="10" t="s">
        <v>87</v>
      </c>
      <c r="H245" s="10" t="s">
        <v>19</v>
      </c>
      <c r="I245" s="10" t="s">
        <v>88</v>
      </c>
      <c r="J245" s="10">
        <v>0</v>
      </c>
      <c r="K245" s="10">
        <v>0</v>
      </c>
      <c r="L245" s="10">
        <v>0</v>
      </c>
      <c r="M245" s="10">
        <v>0</v>
      </c>
      <c r="N245" s="10">
        <v>0</v>
      </c>
      <c r="O245" s="10">
        <v>0</v>
      </c>
      <c r="P245" s="10">
        <v>0</v>
      </c>
      <c r="Q245" s="10">
        <v>0</v>
      </c>
      <c r="R245" s="10">
        <v>0</v>
      </c>
      <c r="S245" s="10">
        <v>0</v>
      </c>
      <c r="T245" s="10">
        <v>0</v>
      </c>
      <c r="U245" s="10">
        <v>0</v>
      </c>
      <c r="V245" s="10">
        <v>0</v>
      </c>
      <c r="W245" s="10">
        <v>0</v>
      </c>
      <c r="X245" s="10" t="s">
        <v>14</v>
      </c>
      <c r="Y245" s="10" t="s">
        <v>14</v>
      </c>
      <c r="Z245" s="10">
        <v>37.168542977768801</v>
      </c>
    </row>
    <row r="246" spans="1:26" x14ac:dyDescent="0.35">
      <c r="A246" s="10" t="s">
        <v>42</v>
      </c>
      <c r="B246" s="10" t="s">
        <v>9</v>
      </c>
      <c r="C246" s="10">
        <v>2025</v>
      </c>
      <c r="D246" s="10" t="s">
        <v>84</v>
      </c>
      <c r="E246" s="10" t="s">
        <v>85</v>
      </c>
      <c r="F246" s="10" t="s">
        <v>86</v>
      </c>
      <c r="G246" s="10" t="s">
        <v>87</v>
      </c>
      <c r="H246" s="10" t="s">
        <v>19</v>
      </c>
      <c r="I246" s="10" t="s">
        <v>88</v>
      </c>
      <c r="J246" s="10">
        <v>72.759954975195498</v>
      </c>
      <c r="K246" s="10">
        <v>0</v>
      </c>
      <c r="L246" s="10">
        <v>0</v>
      </c>
      <c r="M246" s="10">
        <v>0</v>
      </c>
      <c r="N246" s="10">
        <v>3.7008997707028597E-2</v>
      </c>
      <c r="O246" s="10">
        <v>0</v>
      </c>
      <c r="P246" s="10">
        <v>3.7008997707028597E-2</v>
      </c>
      <c r="Q246" s="10">
        <v>17.745182494571601</v>
      </c>
      <c r="R246" s="10">
        <v>0</v>
      </c>
      <c r="S246" s="10">
        <v>0</v>
      </c>
      <c r="T246" s="10">
        <v>0</v>
      </c>
      <c r="U246" s="10">
        <v>0</v>
      </c>
      <c r="V246" s="10">
        <v>0</v>
      </c>
      <c r="W246" s="10">
        <v>2.0855799999999901E-3</v>
      </c>
      <c r="X246" s="10">
        <v>2.7994336695458099E-2</v>
      </c>
      <c r="Y246" s="10">
        <v>243.886661290831</v>
      </c>
      <c r="Z246" s="10">
        <v>37.168542977768801</v>
      </c>
    </row>
    <row r="247" spans="1:26" x14ac:dyDescent="0.35">
      <c r="A247" s="10" t="s">
        <v>42</v>
      </c>
      <c r="B247" s="10" t="s">
        <v>10</v>
      </c>
      <c r="C247" s="10">
        <v>2025</v>
      </c>
      <c r="D247" s="10" t="s">
        <v>84</v>
      </c>
      <c r="E247" s="10" t="s">
        <v>85</v>
      </c>
      <c r="F247" s="10" t="s">
        <v>86</v>
      </c>
      <c r="G247" s="10" t="s">
        <v>87</v>
      </c>
      <c r="H247" s="10" t="s">
        <v>19</v>
      </c>
      <c r="I247" s="10" t="s">
        <v>88</v>
      </c>
      <c r="J247" s="10">
        <v>61.118362179164201</v>
      </c>
      <c r="K247" s="10">
        <v>0</v>
      </c>
      <c r="L247" s="10">
        <v>0</v>
      </c>
      <c r="M247" s="10">
        <v>0</v>
      </c>
      <c r="N247" s="10">
        <v>0</v>
      </c>
      <c r="O247" s="10">
        <v>0</v>
      </c>
      <c r="P247" s="10">
        <v>0</v>
      </c>
      <c r="Q247" s="10">
        <v>17.7306305035763</v>
      </c>
      <c r="R247" s="10">
        <v>0</v>
      </c>
      <c r="S247" s="10">
        <v>0</v>
      </c>
      <c r="T247" s="10">
        <v>0</v>
      </c>
      <c r="U247" s="10">
        <v>0</v>
      </c>
      <c r="V247" s="10">
        <v>0</v>
      </c>
      <c r="W247" s="10">
        <v>0</v>
      </c>
      <c r="X247" s="10">
        <v>3.32992617313334E-2</v>
      </c>
      <c r="Y247" s="10">
        <v>290.10316820337698</v>
      </c>
      <c r="Z247" s="10">
        <v>37.168542977768801</v>
      </c>
    </row>
    <row r="248" spans="1:26" x14ac:dyDescent="0.35">
      <c r="A248" s="10" t="s">
        <v>42</v>
      </c>
      <c r="B248" s="10" t="s">
        <v>4</v>
      </c>
      <c r="C248" s="10">
        <v>2025</v>
      </c>
      <c r="D248" s="10" t="s">
        <v>84</v>
      </c>
      <c r="E248" s="10" t="s">
        <v>85</v>
      </c>
      <c r="F248" s="10" t="s">
        <v>86</v>
      </c>
      <c r="G248" s="10" t="s">
        <v>87</v>
      </c>
      <c r="H248" s="10" t="s">
        <v>19</v>
      </c>
      <c r="I248" s="10" t="s">
        <v>88</v>
      </c>
      <c r="J248" s="10">
        <v>72.759954975195498</v>
      </c>
      <c r="K248" s="10">
        <v>26.326715181400999</v>
      </c>
      <c r="L248" s="10">
        <v>2.6814340922836699</v>
      </c>
      <c r="M248" s="10">
        <v>0.36933680744959002</v>
      </c>
      <c r="N248" s="10">
        <v>0</v>
      </c>
      <c r="O248" s="10">
        <v>0</v>
      </c>
      <c r="P248" s="10">
        <v>3.0507708997332599</v>
      </c>
      <c r="Q248" s="10">
        <v>383.36390317289897</v>
      </c>
      <c r="R248" s="10">
        <v>0</v>
      </c>
      <c r="S248" s="10">
        <v>0</v>
      </c>
      <c r="T248" s="10">
        <v>0</v>
      </c>
      <c r="U248" s="10">
        <v>0</v>
      </c>
      <c r="V248" s="10">
        <v>0</v>
      </c>
      <c r="W248" s="10">
        <v>7.9578981601649192E-3</v>
      </c>
      <c r="X248" s="10">
        <v>0.60478488657921503</v>
      </c>
      <c r="Y248" s="10">
        <v>5268.8859318781197</v>
      </c>
      <c r="Z248" s="10">
        <v>37.168542977768801</v>
      </c>
    </row>
  </sheetData>
  <pageMargins left="0.7" right="0.7" top="0.75" bottom="0.75" header="0.3" footer="0.3"/>
  <pageSetup paperSize="9" orientation="portrait" horizontalDpi="4294967293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24"/>
  <sheetViews>
    <sheetView topLeftCell="A7" workbookViewId="0">
      <selection activeCell="B5" sqref="B5:B23"/>
    </sheetView>
  </sheetViews>
  <sheetFormatPr defaultRowHeight="14.5" x14ac:dyDescent="0.35"/>
  <cols>
    <col min="1" max="1" width="36.81640625" customWidth="1"/>
    <col min="2" max="2" width="21.90625" bestFit="1" customWidth="1"/>
    <col min="3" max="3" width="11.81640625" customWidth="1"/>
    <col min="4" max="4" width="10.453125" bestFit="1" customWidth="1"/>
    <col min="5" max="5" width="11.81640625" customWidth="1"/>
    <col min="6" max="6" width="10.453125" bestFit="1" customWidth="1"/>
    <col min="7" max="7" width="11.81640625" customWidth="1"/>
    <col min="8" max="8" width="10.453125" bestFit="1" customWidth="1"/>
    <col min="9" max="9" width="11.81640625" customWidth="1"/>
    <col min="10" max="10" width="10.453125" bestFit="1" customWidth="1"/>
    <col min="11" max="11" width="11.81640625" bestFit="1" customWidth="1"/>
    <col min="12" max="12" width="10.453125" bestFit="1" customWidth="1"/>
    <col min="13" max="14" width="11.81640625" bestFit="1" customWidth="1"/>
    <col min="15" max="19" width="18.90625" bestFit="1" customWidth="1"/>
    <col min="20" max="20" width="18.90625" customWidth="1"/>
    <col min="21" max="21" width="21.90625" bestFit="1" customWidth="1"/>
    <col min="22" max="27" width="22.36328125" bestFit="1" customWidth="1"/>
    <col min="28" max="28" width="25.453125" bestFit="1" customWidth="1"/>
    <col min="29" max="34" width="20.08984375" bestFit="1" customWidth="1"/>
    <col min="35" max="35" width="23.08984375" bestFit="1" customWidth="1"/>
    <col min="36" max="41" width="16.1796875" bestFit="1" customWidth="1"/>
    <col min="42" max="42" width="19.1796875" bestFit="1" customWidth="1"/>
    <col min="43" max="48" width="12.26953125" bestFit="1" customWidth="1"/>
    <col min="49" max="49" width="15.26953125" bestFit="1" customWidth="1"/>
    <col min="50" max="55" width="23.1796875" bestFit="1" customWidth="1"/>
    <col min="56" max="56" width="26.1796875" bestFit="1" customWidth="1"/>
    <col min="57" max="62" width="9.1796875" bestFit="1" customWidth="1"/>
    <col min="63" max="63" width="12.08984375" bestFit="1" customWidth="1"/>
    <col min="64" max="69" width="19.6328125" bestFit="1" customWidth="1"/>
    <col min="70" max="70" width="22.6328125" bestFit="1" customWidth="1"/>
    <col min="71" max="76" width="13.90625" bestFit="1" customWidth="1"/>
    <col min="77" max="77" width="17" bestFit="1" customWidth="1"/>
    <col min="78" max="78" width="15.90625" bestFit="1" customWidth="1"/>
    <col min="79" max="79" width="18.90625" bestFit="1" customWidth="1"/>
    <col min="80" max="80" width="15.90625" bestFit="1" customWidth="1"/>
    <col min="81" max="81" width="18.90625" bestFit="1" customWidth="1"/>
    <col min="82" max="82" width="15.90625" bestFit="1" customWidth="1"/>
    <col min="83" max="83" width="18.90625" bestFit="1" customWidth="1"/>
    <col min="84" max="84" width="15.90625" bestFit="1" customWidth="1"/>
    <col min="85" max="85" width="18.90625" bestFit="1" customWidth="1"/>
    <col min="86" max="86" width="17.08984375" bestFit="1" customWidth="1"/>
    <col min="87" max="87" width="20.08984375" bestFit="1" customWidth="1"/>
    <col min="88" max="88" width="16.6328125" bestFit="1" customWidth="1"/>
    <col min="89" max="89" width="19.6328125" bestFit="1" customWidth="1"/>
    <col min="90" max="95" width="13.81640625" bestFit="1" customWidth="1"/>
    <col min="96" max="96" width="16.81640625" bestFit="1" customWidth="1"/>
    <col min="97" max="97" width="8.54296875" customWidth="1"/>
    <col min="98" max="98" width="11.453125" bestFit="1" customWidth="1"/>
    <col min="99" max="99" width="10.7265625" bestFit="1" customWidth="1"/>
  </cols>
  <sheetData>
    <row r="3" spans="1:3" x14ac:dyDescent="0.35">
      <c r="A3" s="3" t="s">
        <v>93</v>
      </c>
      <c r="B3" s="3" t="s">
        <v>3</v>
      </c>
    </row>
    <row r="4" spans="1:3" x14ac:dyDescent="0.35">
      <c r="A4" s="3" t="s">
        <v>1</v>
      </c>
      <c r="B4" s="10" t="s">
        <v>25</v>
      </c>
      <c r="C4" s="10" t="s">
        <v>2</v>
      </c>
    </row>
    <row r="5" spans="1:3" x14ac:dyDescent="0.35">
      <c r="A5" s="4" t="s">
        <v>34</v>
      </c>
      <c r="B5" s="14">
        <v>1.21924856420354</v>
      </c>
      <c r="C5" s="5">
        <v>1.21924856420354</v>
      </c>
    </row>
    <row r="6" spans="1:3" x14ac:dyDescent="0.35">
      <c r="A6" s="4" t="s">
        <v>35</v>
      </c>
      <c r="B6" s="14">
        <v>1.30379602596208</v>
      </c>
      <c r="C6" s="5">
        <v>1.30379602596208</v>
      </c>
    </row>
    <row r="7" spans="1:3" x14ac:dyDescent="0.35">
      <c r="A7" s="4" t="s">
        <v>36</v>
      </c>
      <c r="B7" s="14">
        <v>1.38688353580136</v>
      </c>
      <c r="C7" s="5">
        <v>1.38688353580136</v>
      </c>
    </row>
    <row r="8" spans="1:3" x14ac:dyDescent="0.35">
      <c r="A8" s="4" t="s">
        <v>37</v>
      </c>
      <c r="B8" s="14">
        <v>1.2195549908610901</v>
      </c>
      <c r="C8" s="5">
        <v>1.2195549908610901</v>
      </c>
    </row>
    <row r="9" spans="1:3" x14ac:dyDescent="0.35">
      <c r="A9" s="4" t="s">
        <v>38</v>
      </c>
      <c r="B9" s="14">
        <v>1.30398340885688</v>
      </c>
      <c r="C9" s="5">
        <v>1.30398340885688</v>
      </c>
    </row>
    <row r="10" spans="1:3" x14ac:dyDescent="0.35">
      <c r="A10" s="4" t="s">
        <v>39</v>
      </c>
      <c r="B10" s="14">
        <v>1.3873882488788201</v>
      </c>
      <c r="C10" s="5">
        <v>1.3873882488788201</v>
      </c>
    </row>
    <row r="11" spans="1:3" x14ac:dyDescent="0.35">
      <c r="A11" s="4" t="s">
        <v>40</v>
      </c>
      <c r="B11" s="14">
        <v>1.21538959745467</v>
      </c>
      <c r="C11" s="5">
        <v>1.21538959745467</v>
      </c>
    </row>
    <row r="12" spans="1:3" x14ac:dyDescent="0.35">
      <c r="A12" s="4" t="s">
        <v>41</v>
      </c>
      <c r="B12" s="14">
        <v>1.29584642529659</v>
      </c>
      <c r="C12" s="5">
        <v>1.29584642529659</v>
      </c>
    </row>
    <row r="13" spans="1:3" x14ac:dyDescent="0.35">
      <c r="A13" s="4" t="s">
        <v>42</v>
      </c>
      <c r="B13" s="14">
        <v>1.3753639313050601</v>
      </c>
      <c r="C13" s="5">
        <v>1.3753639313050601</v>
      </c>
    </row>
    <row r="14" spans="1:3" x14ac:dyDescent="0.35">
      <c r="A14" s="4" t="s">
        <v>53</v>
      </c>
      <c r="B14" s="14">
        <v>1.2730986210547199</v>
      </c>
      <c r="C14" s="5">
        <v>1.2730986210547199</v>
      </c>
    </row>
    <row r="15" spans="1:3" x14ac:dyDescent="0.35">
      <c r="A15" s="4" t="s">
        <v>54</v>
      </c>
      <c r="B15" s="14">
        <v>1.41901109770788</v>
      </c>
      <c r="C15" s="5">
        <v>1.41901109770788</v>
      </c>
    </row>
    <row r="16" spans="1:3" x14ac:dyDescent="0.35">
      <c r="A16" s="4" t="s">
        <v>55</v>
      </c>
      <c r="B16" s="14">
        <v>1.5689958554157</v>
      </c>
      <c r="C16" s="5">
        <v>1.5689958554157</v>
      </c>
    </row>
    <row r="17" spans="1:3" x14ac:dyDescent="0.35">
      <c r="A17" s="4" t="s">
        <v>63</v>
      </c>
      <c r="B17" s="14">
        <v>1.1526253311696699</v>
      </c>
      <c r="C17" s="5">
        <v>1.1526253311696699</v>
      </c>
    </row>
    <row r="18" spans="1:3" x14ac:dyDescent="0.35">
      <c r="A18" s="4" t="s">
        <v>64</v>
      </c>
      <c r="B18" s="14">
        <v>1.1924806373546899</v>
      </c>
      <c r="C18" s="5">
        <v>1.1924806373546899</v>
      </c>
    </row>
    <row r="19" spans="1:3" x14ac:dyDescent="0.35">
      <c r="A19" s="4" t="s">
        <v>65</v>
      </c>
      <c r="B19" s="14">
        <v>1.2816498562326499</v>
      </c>
      <c r="C19" s="5">
        <v>1.2816498562326499</v>
      </c>
    </row>
    <row r="20" spans="1:3" x14ac:dyDescent="0.35">
      <c r="A20" s="4" t="s">
        <v>71</v>
      </c>
      <c r="B20" s="14">
        <v>1.5663072925672501</v>
      </c>
      <c r="C20" s="5">
        <v>1.5663072925672501</v>
      </c>
    </row>
    <row r="21" spans="1:3" x14ac:dyDescent="0.35">
      <c r="A21" s="4" t="s">
        <v>66</v>
      </c>
      <c r="B21" s="14">
        <v>1.16389699286675</v>
      </c>
      <c r="C21" s="5">
        <v>1.16389699286675</v>
      </c>
    </row>
    <row r="22" spans="1:3" x14ac:dyDescent="0.35">
      <c r="A22" s="4" t="s">
        <v>67</v>
      </c>
      <c r="B22" s="14">
        <v>1.2208194471998</v>
      </c>
      <c r="C22" s="5">
        <v>1.2208194471998</v>
      </c>
    </row>
    <row r="23" spans="1:3" x14ac:dyDescent="0.35">
      <c r="A23" s="4" t="s">
        <v>68</v>
      </c>
      <c r="B23" s="14">
        <v>1.3400581712536801</v>
      </c>
      <c r="C23" s="5">
        <v>1.3400581712536801</v>
      </c>
    </row>
    <row r="24" spans="1:3" x14ac:dyDescent="0.35">
      <c r="A24" s="4" t="s">
        <v>2</v>
      </c>
      <c r="B24" s="5">
        <v>24.886398031442884</v>
      </c>
      <c r="C24" s="5">
        <v>24.886398031442884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7"/>
  <sheetViews>
    <sheetView tabSelected="1" workbookViewId="0">
      <selection activeCell="E8" sqref="E8"/>
    </sheetView>
  </sheetViews>
  <sheetFormatPr defaultRowHeight="14.5" x14ac:dyDescent="0.35"/>
  <cols>
    <col min="1" max="1" width="29.26953125" customWidth="1"/>
    <col min="5" max="5" width="45.81640625" customWidth="1"/>
    <col min="6" max="6" width="53.6328125" customWidth="1"/>
    <col min="7" max="7" width="26" customWidth="1"/>
    <col min="8" max="8" width="29.90625" customWidth="1"/>
    <col min="9" max="9" width="23.6328125" customWidth="1"/>
    <col min="10" max="10" width="9.81640625" customWidth="1"/>
    <col min="11" max="11" width="12.26953125" customWidth="1"/>
  </cols>
  <sheetData>
    <row r="1" spans="1:12" x14ac:dyDescent="0.35">
      <c r="A1" t="s">
        <v>44</v>
      </c>
      <c r="B1" s="14">
        <f>1.13241299640851*1000</f>
        <v>1132.4129964085098</v>
      </c>
      <c r="E1" s="14"/>
    </row>
    <row r="3" spans="1:12" x14ac:dyDescent="0.35">
      <c r="A3" t="s">
        <v>26</v>
      </c>
      <c r="B3" s="6">
        <v>1369.1883284172</v>
      </c>
      <c r="C3" s="7">
        <f>(B3*100/$B$1)-100</f>
        <v>20.908920399150489</v>
      </c>
      <c r="F3" t="s">
        <v>52</v>
      </c>
    </row>
    <row r="4" spans="1:12" x14ac:dyDescent="0.35">
      <c r="A4" s="4" t="s">
        <v>34</v>
      </c>
      <c r="B4" s="6">
        <v>1219.2485642035399</v>
      </c>
      <c r="C4" s="7">
        <f>(B4*100/$B$1)-100</f>
        <v>7.6681889090316275</v>
      </c>
      <c r="E4" t="s">
        <v>47</v>
      </c>
      <c r="F4" s="9" t="s">
        <v>62</v>
      </c>
      <c r="G4" s="8" t="s">
        <v>57</v>
      </c>
      <c r="H4" t="s">
        <v>58</v>
      </c>
      <c r="I4" t="s">
        <v>59</v>
      </c>
    </row>
    <row r="5" spans="1:12" x14ac:dyDescent="0.35">
      <c r="A5" s="4" t="s">
        <v>35</v>
      </c>
      <c r="B5" s="6">
        <v>1303.79602596208</v>
      </c>
      <c r="C5" s="7">
        <f>(B5*100/$B$1)-100</f>
        <v>15.134322027133024</v>
      </c>
      <c r="E5" t="s">
        <v>45</v>
      </c>
      <c r="F5" t="s">
        <v>49</v>
      </c>
      <c r="G5" t="s">
        <v>48</v>
      </c>
      <c r="H5" t="s">
        <v>51</v>
      </c>
      <c r="I5" t="s">
        <v>43</v>
      </c>
      <c r="J5" t="s">
        <v>69</v>
      </c>
      <c r="K5" t="s">
        <v>70</v>
      </c>
      <c r="L5" t="s">
        <v>56</v>
      </c>
    </row>
    <row r="6" spans="1:12" x14ac:dyDescent="0.35">
      <c r="A6" s="4" t="s">
        <v>36</v>
      </c>
      <c r="B6" s="6">
        <v>1386.88353580136</v>
      </c>
      <c r="C6" s="7">
        <f>(B6*100/$B$1)-100</f>
        <v>22.471531163975783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 s="7">
        <f>$C$3</f>
        <v>20.908920399150489</v>
      </c>
    </row>
    <row r="7" spans="1:12" x14ac:dyDescent="0.35">
      <c r="A7" s="4" t="s">
        <v>37</v>
      </c>
      <c r="B7" s="6">
        <v>1219.5549908610901</v>
      </c>
      <c r="C7" s="7">
        <f>(B7*100/$B$1)-100</f>
        <v>7.6952485293752773</v>
      </c>
      <c r="E7">
        <v>20</v>
      </c>
      <c r="F7" s="7">
        <f>C4</f>
        <v>7.6681889090316275</v>
      </c>
      <c r="G7" s="7">
        <f>C7</f>
        <v>7.6952485293752773</v>
      </c>
      <c r="H7" s="7">
        <f>C10</f>
        <v>7.3274151135074845</v>
      </c>
      <c r="I7" s="7">
        <f>C13</f>
        <v>12.42352614217603</v>
      </c>
      <c r="J7" s="7">
        <f>C16</f>
        <v>1.784890744389557</v>
      </c>
      <c r="K7" s="7">
        <f>C20</f>
        <v>2.7802574288791106</v>
      </c>
      <c r="L7" s="7">
        <f t="shared" ref="L7:L10" si="0">$C$3</f>
        <v>20.908920399150489</v>
      </c>
    </row>
    <row r="8" spans="1:12" x14ac:dyDescent="0.35">
      <c r="A8" s="4" t="s">
        <v>38</v>
      </c>
      <c r="B8" s="6">
        <v>1303.98340885688</v>
      </c>
      <c r="C8" s="7">
        <f>(B8*100/$B$1)-100</f>
        <v>15.150869249338555</v>
      </c>
      <c r="E8">
        <v>40</v>
      </c>
      <c r="F8" s="7">
        <f t="shared" ref="F8:F9" si="1">C5</f>
        <v>15.134322027133024</v>
      </c>
      <c r="G8" s="7">
        <f t="shared" ref="G8:G9" si="2">C8</f>
        <v>15.150869249338555</v>
      </c>
      <c r="H8" s="7">
        <f t="shared" ref="H8:H9" si="3">C11</f>
        <v>14.432316602371699</v>
      </c>
      <c r="I8" s="7">
        <f t="shared" ref="I8:I9" si="4">C14</f>
        <v>25.308619930036727</v>
      </c>
      <c r="J8" s="7">
        <f t="shared" ref="J8:J10" si="5">C17</f>
        <v>5.3043934621632616</v>
      </c>
      <c r="K8" s="7">
        <f>C21</f>
        <v>7.806908881448237</v>
      </c>
      <c r="L8" s="7">
        <f t="shared" si="0"/>
        <v>20.908920399150489</v>
      </c>
    </row>
    <row r="9" spans="1:12" x14ac:dyDescent="0.35">
      <c r="A9" s="4" t="s">
        <v>39</v>
      </c>
      <c r="B9" s="6">
        <v>1387.3882488788201</v>
      </c>
      <c r="C9" s="7">
        <f>(B9*100/$B$1)-100</f>
        <v>22.516100864170042</v>
      </c>
      <c r="E9">
        <v>60</v>
      </c>
      <c r="F9" s="7">
        <f t="shared" si="1"/>
        <v>22.471531163975783</v>
      </c>
      <c r="G9" s="7">
        <f t="shared" si="2"/>
        <v>22.516100864170042</v>
      </c>
      <c r="H9" s="7">
        <f t="shared" si="3"/>
        <v>21.454269393505569</v>
      </c>
      <c r="I9" s="7">
        <f t="shared" si="4"/>
        <v>38.553324660863922</v>
      </c>
      <c r="J9" s="7">
        <f t="shared" si="5"/>
        <v>13.178660108763353</v>
      </c>
      <c r="K9" s="7">
        <f>C22</f>
        <v>18.336523468356916</v>
      </c>
      <c r="L9" s="7">
        <f t="shared" si="0"/>
        <v>20.908920399150489</v>
      </c>
    </row>
    <row r="10" spans="1:12" x14ac:dyDescent="0.35">
      <c r="A10" s="4" t="s">
        <v>40</v>
      </c>
      <c r="B10" s="6">
        <v>1215.3895974546699</v>
      </c>
      <c r="C10" s="7">
        <f>(B10*100/$B$1)-100</f>
        <v>7.3274151135074845</v>
      </c>
      <c r="E10">
        <v>80</v>
      </c>
      <c r="J10" s="11">
        <f t="shared" si="5"/>
        <v>38.315905728285713</v>
      </c>
      <c r="K10" s="7"/>
      <c r="L10" s="11">
        <f t="shared" si="0"/>
        <v>20.908920399150489</v>
      </c>
    </row>
    <row r="11" spans="1:12" x14ac:dyDescent="0.35">
      <c r="A11" s="4" t="s">
        <v>41</v>
      </c>
      <c r="B11" s="6">
        <v>1295.84642529659</v>
      </c>
      <c r="C11" s="7">
        <f>(B11*100/$B$1)-100</f>
        <v>14.432316602371699</v>
      </c>
    </row>
    <row r="12" spans="1:12" x14ac:dyDescent="0.35">
      <c r="A12" s="4" t="s">
        <v>42</v>
      </c>
      <c r="B12" s="6">
        <v>1375.3639313050601</v>
      </c>
      <c r="C12" s="7">
        <f>(B12*100/$B$1)-100</f>
        <v>21.454269393505569</v>
      </c>
      <c r="E12" t="s">
        <v>60</v>
      </c>
      <c r="F12" t="s">
        <v>61</v>
      </c>
    </row>
    <row r="13" spans="1:12" x14ac:dyDescent="0.35">
      <c r="A13" s="4" t="s">
        <v>53</v>
      </c>
      <c r="B13" s="5">
        <v>1273.0986210547198</v>
      </c>
      <c r="C13" s="7">
        <f>(B13*100/$B$1)-100</f>
        <v>12.42352614217603</v>
      </c>
      <c r="E13" t="s">
        <v>97</v>
      </c>
      <c r="F13" s="15">
        <v>0.58499999999999996</v>
      </c>
      <c r="G13">
        <v>0.64</v>
      </c>
    </row>
    <row r="14" spans="1:12" x14ac:dyDescent="0.35">
      <c r="A14" s="4" t="s">
        <v>54</v>
      </c>
      <c r="B14" s="5">
        <v>1419.01109770788</v>
      </c>
      <c r="C14" s="7">
        <f>(B14*100/$B$1)-100</f>
        <v>25.308619930036727</v>
      </c>
      <c r="E14" t="s">
        <v>96</v>
      </c>
      <c r="F14" s="15">
        <v>0.56000000000000005</v>
      </c>
      <c r="G14">
        <v>0.59</v>
      </c>
    </row>
    <row r="15" spans="1:12" x14ac:dyDescent="0.35">
      <c r="A15" s="4" t="s">
        <v>55</v>
      </c>
      <c r="B15" s="5">
        <v>1568.9958554156999</v>
      </c>
      <c r="C15" s="7">
        <f>(B15*100/$B$1)-100</f>
        <v>38.553324660863922</v>
      </c>
      <c r="E15" t="s">
        <v>95</v>
      </c>
      <c r="F15" s="15">
        <v>0.56000000000000005</v>
      </c>
      <c r="G15">
        <v>0.48</v>
      </c>
    </row>
    <row r="16" spans="1:12" x14ac:dyDescent="0.35">
      <c r="A16" t="s">
        <v>63</v>
      </c>
      <c r="B16">
        <v>1152.6253311696698</v>
      </c>
      <c r="C16" s="7">
        <f>(B16*100/$B$1)-100</f>
        <v>1.784890744389557</v>
      </c>
      <c r="E16" t="s">
        <v>94</v>
      </c>
      <c r="F16" s="15">
        <v>0.33</v>
      </c>
      <c r="G16">
        <v>0.47499999999999998</v>
      </c>
    </row>
    <row r="17" spans="1:7" x14ac:dyDescent="0.35">
      <c r="A17" t="s">
        <v>64</v>
      </c>
      <c r="B17">
        <v>1192.4806373546899</v>
      </c>
      <c r="C17" s="7">
        <f>(B17*100/$B$1)-100</f>
        <v>5.3043934621632616</v>
      </c>
      <c r="G17">
        <v>0.45500000000000002</v>
      </c>
    </row>
    <row r="18" spans="1:7" x14ac:dyDescent="0.35">
      <c r="A18" t="s">
        <v>65</v>
      </c>
      <c r="B18">
        <v>1281.6498562326499</v>
      </c>
      <c r="C18" s="7">
        <f>(B18*100/$B$1)-100</f>
        <v>13.178660108763353</v>
      </c>
      <c r="G18">
        <v>0.28000000000000003</v>
      </c>
    </row>
    <row r="19" spans="1:7" x14ac:dyDescent="0.35">
      <c r="A19" s="10" t="s">
        <v>71</v>
      </c>
      <c r="B19">
        <v>1566.30729256725</v>
      </c>
      <c r="C19" s="11">
        <f>(B19*100/$B$1)-100</f>
        <v>38.315905728285713</v>
      </c>
    </row>
    <row r="20" spans="1:7" x14ac:dyDescent="0.35">
      <c r="A20" t="s">
        <v>66</v>
      </c>
      <c r="B20">
        <v>1163.89699286675</v>
      </c>
      <c r="C20" s="7">
        <f>(B20*100/$B$1)-100</f>
        <v>2.7802574288791106</v>
      </c>
    </row>
    <row r="21" spans="1:7" x14ac:dyDescent="0.35">
      <c r="A21" t="s">
        <v>67</v>
      </c>
      <c r="B21">
        <v>1220.8194471997999</v>
      </c>
      <c r="C21" s="7">
        <f>(B21*100/$B$1)-100</f>
        <v>7.806908881448237</v>
      </c>
    </row>
    <row r="22" spans="1:7" x14ac:dyDescent="0.35">
      <c r="A22" t="s">
        <v>68</v>
      </c>
      <c r="B22">
        <v>1340.05817125368</v>
      </c>
      <c r="C22" s="7">
        <f>(B22*100/$B$1)-100</f>
        <v>18.336523468356916</v>
      </c>
    </row>
    <row r="29" spans="1:7" x14ac:dyDescent="0.35">
      <c r="F29" t="s">
        <v>19</v>
      </c>
    </row>
    <row r="30" spans="1:7" x14ac:dyDescent="0.35">
      <c r="F30" t="s">
        <v>45</v>
      </c>
      <c r="G30" t="s">
        <v>46</v>
      </c>
    </row>
    <row r="31" spans="1:7" x14ac:dyDescent="0.35">
      <c r="F31">
        <v>-60</v>
      </c>
      <c r="G31">
        <v>-25.490679905683876</v>
      </c>
    </row>
    <row r="32" spans="1:7" x14ac:dyDescent="0.35">
      <c r="F32">
        <v>-40</v>
      </c>
      <c r="G32">
        <v>-16.602660357655409</v>
      </c>
    </row>
    <row r="33" spans="6:7" x14ac:dyDescent="0.35">
      <c r="F33">
        <v>-20</v>
      </c>
      <c r="G33">
        <v>-8.166311009351503</v>
      </c>
    </row>
    <row r="34" spans="6:7" x14ac:dyDescent="0.35">
      <c r="F34">
        <v>0</v>
      </c>
      <c r="G34">
        <v>0</v>
      </c>
    </row>
    <row r="35" spans="6:7" x14ac:dyDescent="0.35">
      <c r="F35">
        <v>20</v>
      </c>
      <c r="G35">
        <v>7.985717096353838</v>
      </c>
    </row>
    <row r="36" spans="6:7" x14ac:dyDescent="0.35">
      <c r="F36">
        <v>40</v>
      </c>
      <c r="G36">
        <v>15.788240507616706</v>
      </c>
    </row>
    <row r="37" spans="6:7" x14ac:dyDescent="0.35">
      <c r="F37">
        <v>60</v>
      </c>
      <c r="G37">
        <v>23.404183857630585</v>
      </c>
    </row>
    <row r="39" spans="6:7" x14ac:dyDescent="0.35">
      <c r="F39" t="s">
        <v>50</v>
      </c>
    </row>
    <row r="40" spans="6:7" x14ac:dyDescent="0.35">
      <c r="F40" t="s">
        <v>45</v>
      </c>
      <c r="G40" t="s">
        <v>46</v>
      </c>
    </row>
    <row r="44" spans="6:7" x14ac:dyDescent="0.35">
      <c r="F44">
        <v>0</v>
      </c>
      <c r="G44">
        <v>0</v>
      </c>
    </row>
    <row r="45" spans="6:7" x14ac:dyDescent="0.35">
      <c r="F45">
        <v>20</v>
      </c>
      <c r="G45">
        <v>7.9091016654216446</v>
      </c>
    </row>
    <row r="46" spans="6:7" x14ac:dyDescent="0.35">
      <c r="F46">
        <v>40</v>
      </c>
      <c r="G46">
        <v>15.663308242944595</v>
      </c>
    </row>
    <row r="47" spans="6:7" x14ac:dyDescent="0.35">
      <c r="F47">
        <v>60</v>
      </c>
      <c r="G47">
        <v>23.338996851206943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Import</vt:lpstr>
      <vt:lpstr>All_Scenarios</vt:lpstr>
      <vt:lpstr>LCOA</vt:lpstr>
      <vt:lpstr>Sensitivities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2024-10-18T12:46:35Z</dcterms:modified>
</cp:coreProperties>
</file>