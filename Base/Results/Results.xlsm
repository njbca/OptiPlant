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pivotTables/pivotTable10.xml" ContentType="application/vnd.openxmlformats-officedocument.spreadsheetml.pivotTab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filterPrivacy="1" codeName="ThisWorkbook"/>
  <xr:revisionPtr revIDLastSave="0" documentId="13_ncr:1_{85F1873A-3F73-479A-9D6F-4AB4AB96588C}" xr6:coauthVersionLast="47" xr6:coauthVersionMax="47" xr10:uidLastSave="{00000000-0000-0000-0000-000000000000}"/>
  <bookViews>
    <workbookView xWindow="28680" yWindow="-120" windowWidth="29040" windowHeight="15840" tabRatio="1000" firstSheet="1" activeTab="1" xr2:uid="{00000000-000D-0000-FFFF-FFFF00000000}"/>
  </bookViews>
  <sheets>
    <sheet name="Import" sheetId="14" r:id="rId1"/>
    <sheet name="All_Scenarios" sheetId="225" r:id="rId2"/>
    <sheet name="Elec production" sheetId="425" r:id="rId3"/>
    <sheet name="Production cost" sheetId="367" r:id="rId4"/>
    <sheet name="Cost breakdown" sheetId="370" r:id="rId5"/>
    <sheet name="Electricity share" sheetId="369" r:id="rId6"/>
    <sheet name="Electricity consumption" sheetId="374" r:id="rId7"/>
    <sheet name="Installed capacities" sheetId="393" r:id="rId8"/>
    <sheet name="Ressources used" sheetId="478" r:id="rId9"/>
    <sheet name="Chart1" sheetId="480" r:id="rId10"/>
    <sheet name="Land use " sheetId="479" r:id="rId11"/>
    <sheet name="Emissions" sheetId="427" r:id="rId12"/>
    <sheet name="Emission total" sheetId="452" r:id="rId13"/>
  </sheets>
  <calcPr calcId="191029"/>
  <pivotCaches>
    <pivotCache cacheId="13" r:id="rId14"/>
    <pivotCache cacheId="14" r:id="rId15"/>
    <pivotCache cacheId="15" r:id="rId16"/>
    <pivotCache cacheId="16" r:id="rId17"/>
    <pivotCache cacheId="17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393" l="1"/>
  <c r="D20" i="393"/>
  <c r="E20" i="393"/>
  <c r="F20" i="393"/>
  <c r="G20" i="393"/>
  <c r="H20" i="393"/>
  <c r="B20" i="393"/>
  <c r="H24" i="393"/>
  <c r="K39" i="452" l="1"/>
  <c r="J39" i="452"/>
  <c r="K38" i="452"/>
  <c r="J38" i="452"/>
  <c r="K37" i="452"/>
  <c r="J37" i="452"/>
  <c r="J38" i="367" l="1"/>
  <c r="K38" i="367"/>
  <c r="J39" i="367"/>
  <c r="K39" i="367"/>
  <c r="K37" i="367"/>
  <c r="J37" i="36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pacities1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Capacities1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Capacities1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Capacities1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Capacities1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Capacities1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Capacities1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Capacities1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Capacities1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Capacities1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apacities1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000000-0015-0000-FFFF-FFFF0B000000}" name="Capacities1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0C000000}" name="Capacities1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00000000-0015-0000-FFFF-FFFF0D000000}" name="Capacities1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Capacities1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00000000-0015-0000-FFFF-FFFF0F000000}" name="Capacities1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00000000-0015-0000-FFFF-FFFF10000000}" name="Capacities1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00000000-0015-0000-FFFF-FFFF11000000}" name="Capacities1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apacities2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00000000-0015-0000-FFFF-FFFF13000000}" name="Capacities2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00000000-0015-0000-FFFF-FFFF14000000}" name="Capacities2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00000000-0015-0000-FFFF-FFFF15000000}" name="Capacities2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00000000-0015-0000-FFFF-FFFF16000000}" name="Capacities2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Capacities2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00000000-0015-0000-FFFF-FFFF18000000}" name="Capacities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00000000-0015-0000-FFFF-FFFF19000000}" name="Capacities2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00000000-0015-0000-FFFF-FFFF1A000000}" name="Capacities2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Capacities2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00000000-0015-0000-FFFF-FFFF1C000000}" name="Capacities2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00000000-0015-0000-FFFF-FFFF1D000000}" name="Capacities2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00000000-0015-0000-FFFF-FFFF1E000000}" name="Capacities2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Capacities2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00000000-0015-0000-FFFF-FFFF20000000}" name="Capacities2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00000000-0015-0000-FFFF-FFFF21000000}" name="Capacities2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00000000-0015-0000-FFFF-FFFF22000000}" name="Capacities2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Capacities2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xr16:uid="{00000000-0015-0000-FFFF-FFFF24000000}" name="Capacities2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xr16:uid="{00000000-0015-0000-FFFF-FFFF25000000}" name="Capacities2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xr16:uid="{00000000-0015-0000-FFFF-FFFF26000000}" name="Capacities2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Capacities2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xr16:uid="{00000000-0015-0000-FFFF-FFFF28000000}" name="Capacities2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xr16:uid="{00000000-0015-0000-FFFF-FFFF29000000}" name="Capacities2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xr16:uid="{00000000-0015-0000-FFFF-FFFF2A000000}" name="Capacities2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Capacities2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xr16:uid="{00000000-0015-0000-FFFF-FFFF2C000000}" name="Capacities2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xr16:uid="{00000000-0015-0000-FFFF-FFFF2D000000}" name="Capacities2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xr16:uid="{00000000-0015-0000-FFFF-FFFF2E000000}" name="Capacities2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Capacities2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xr16:uid="{00000000-0015-0000-FFFF-FFFF30000000}" name="Capacities2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xr16:uid="{00000000-0015-0000-FFFF-FFFF31000000}" name="Capacities2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xr16:uid="{00000000-0015-0000-FFFF-FFFF32000000}" name="Capacities2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Capacities3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xr16:uid="{00000000-0015-0000-FFFF-FFFF34000000}" name="Capacities3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xr16:uid="{00000000-0015-0000-FFFF-FFFF35000000}" name="Capacities3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xr16:uid="{00000000-0015-0000-FFFF-FFFF36000000}" name="Capacities3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Capacities3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xr16:uid="{00000000-0015-0000-FFFF-FFFF38000000}" name="Capacities3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xr16:uid="{00000000-0015-0000-FFFF-FFFF39000000}" name="Capacities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xr16:uid="{00000000-0015-0000-FFFF-FFFF3A000000}" name="Capacities3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xr16:uid="{00000000-0015-0000-FFFF-FFFF3B000000}" name="Capacities3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xr16:uid="{00000000-0015-0000-FFFF-FFFF3C000000}" name="Capacities3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xr16:uid="{00000000-0015-0000-FFFF-FFFF3D000000}" name="Capacities3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xr16:uid="{00000000-0015-0000-FFFF-FFFF3E000000}" name="Capacities3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xr16:uid="{00000000-0015-0000-FFFF-FFFF3F000000}" name="Capacities3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xr16:uid="{00000000-0015-0000-FFFF-FFFF40000000}" name="Capacities3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xr16:uid="{00000000-0015-0000-FFFF-FFFF41000000}" name="Capacities3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xr16:uid="{00000000-0015-0000-FFFF-FFFF42000000}" name="Capacities3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xr16:uid="{00000000-0015-0000-FFFF-FFFF43000000}" name="Capacities3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xr16:uid="{00000000-0015-0000-FFFF-FFFF44000000}" name="Capacities3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xr16:uid="{00000000-0015-0000-FFFF-FFFF45000000}" name="Capacities3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xr16:uid="{00000000-0015-0000-FFFF-FFFF46000000}" name="Capacities3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xr16:uid="{00000000-0015-0000-FFFF-FFFF47000000}" name="Capacities3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xr16:uid="{00000000-0015-0000-FFFF-FFFF48000000}" name="Capacities3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xr16:uid="{00000000-0015-0000-FFFF-FFFF49000000}" name="Capacities3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xr16:uid="{00000000-0015-0000-FFFF-FFFF4A000000}" name="Capacities3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xr16:uid="{00000000-0015-0000-FFFF-FFFF4B000000}" name="Capacities3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xr16:uid="{00000000-0015-0000-FFFF-FFFF4C000000}" name="Capacities3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xr16:uid="{00000000-0015-0000-FFFF-FFFF4D000000}" name="Capacities3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xr16:uid="{00000000-0015-0000-FFFF-FFFF4E000000}" name="Capacities3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xr16:uid="{00000000-0015-0000-FFFF-FFFF4F000000}" name="Capacities3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xr16:uid="{00000000-0015-0000-FFFF-FFFF50000000}" name="Capacities3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xr16:uid="{00000000-0015-0000-FFFF-FFFF51000000}" name="Capacities3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xr16:uid="{00000000-0015-0000-FFFF-FFFF52000000}" name="Capacities3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xr16:uid="{00000000-0015-0000-FFFF-FFFF53000000}" name="Capacities3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xr16:uid="{00000000-0015-0000-FFFF-FFFF54000000}" name="Capacities4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xr16:uid="{00000000-0015-0000-FFFF-FFFF55000000}" name="Capacities4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xr16:uid="{00000000-0015-0000-FFFF-FFFF56000000}" name="Capacities4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xr16:uid="{00000000-0015-0000-FFFF-FFFF57000000}" name="Capacities4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xr16:uid="{00000000-0015-0000-FFFF-FFFF58000000}" name="Capacities4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xr16:uid="{00000000-0015-0000-FFFF-FFFF59000000}" name="Capacities4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xr16:uid="{00000000-0015-0000-FFFF-FFFF5A000000}" name="Capacities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xr16:uid="{00000000-0015-0000-FFFF-FFFF5B000000}" name="Capacities4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xr16:uid="{00000000-0015-0000-FFFF-FFFF5C000000}" name="Capacities4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xr16:uid="{00000000-0015-0000-FFFF-FFFF5D000000}" name="Capacities4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xr16:uid="{00000000-0015-0000-FFFF-FFFF5E000000}" name="Capacities4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xr16:uid="{00000000-0015-0000-FFFF-FFFF5F000000}" name="Capacities4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xr16:uid="{00000000-0015-0000-FFFF-FFFF60000000}" name="Capacities43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xr16:uid="{00000000-0015-0000-FFFF-FFFF61000000}" name="Capacities43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xr16:uid="{00000000-0015-0000-FFFF-FFFF62000000}" name="Capacities43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xr16:uid="{00000000-0015-0000-FFFF-FFFF63000000}" name="Capacities44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xr16:uid="{00000000-0015-0000-FFFF-FFFF64000000}" name="Capacities44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xr16:uid="{00000000-0015-0000-FFFF-FFFF65000000}" name="Capacities44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xr16:uid="{00000000-0015-0000-FFFF-FFFF66000000}" name="Capacities45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xr16:uid="{00000000-0015-0000-FFFF-FFFF67000000}" name="Capacities4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xr16:uid="{00000000-0015-0000-FFFF-FFFF68000000}" name="Capacities45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xr16:uid="{00000000-0015-0000-FFFF-FFFF69000000}" name="Capacities4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xr16:uid="{00000000-0015-0000-FFFF-FFFF6A000000}" name="Capacities4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xr16:uid="{00000000-0015-0000-FFFF-FFFF6B000000}" name="Capacities4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xr16:uid="{00000000-0015-0000-FFFF-FFFF6C000000}" name="Capacities4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xr16:uid="{00000000-0015-0000-FFFF-FFFF6D000000}" name="Capacities4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xr16:uid="{00000000-0015-0000-FFFF-FFFF6E000000}" name="Capacities4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xr16:uid="{00000000-0015-0000-FFFF-FFFF6F000000}" name="Capacities4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xr16:uid="{00000000-0015-0000-FFFF-FFFF70000000}" name="Capacities4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xr16:uid="{00000000-0015-0000-FFFF-FFFF71000000}" name="Capacities4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xr16:uid="{00000000-0015-0000-FFFF-FFFF72000000}" name="Capacities49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xr16:uid="{00000000-0015-0000-FFFF-FFFF73000000}" name="Capacities4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xr16:uid="{00000000-0015-0000-FFFF-FFFF74000000}" name="Capacities4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xr16:uid="{00000000-0015-0000-FFFF-FFFF75000000}" name="Capacities5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xr16:uid="{00000000-0015-0000-FFFF-FFFF76000000}" name="Capacities50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xr16:uid="{00000000-0015-0000-FFFF-FFFF77000000}" name="Capacities50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xr16:uid="{00000000-0015-0000-FFFF-FFFF78000000}" name="Capacities51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xr16:uid="{00000000-0015-0000-FFFF-FFFF79000000}" name="Capacities51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xr16:uid="{00000000-0015-0000-FFFF-FFFF7A000000}" name="Capacities51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xr16:uid="{00000000-0015-0000-FFFF-FFFF7B000000}" name="Capacities5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xr16:uid="{00000000-0015-0000-FFFF-FFFF7C000000}" name="Capacities51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xr16:uid="{00000000-0015-0000-FFFF-FFFF7D000000}" name="Capacities51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xr16:uid="{00000000-0015-0000-FFFF-FFFF7E000000}" name="Capacities52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xr16:uid="{00000000-0015-0000-FFFF-FFFF7F000000}" name="Capacities52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xr16:uid="{00000000-0015-0000-FFFF-FFFF80000000}" name="Capacities52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xr16:uid="{00000000-0015-0000-FFFF-FFFF81000000}" name="Capacities58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xr16:uid="{00000000-0015-0000-FFFF-FFFF82000000}" name="Capacities5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xr16:uid="{00000000-0015-0000-FFFF-FFFF83000000}" name="Capacities5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xr16:uid="{00000000-0015-0000-FFFF-FFFF84000000}" name="Capacities591" type="6" refreshedVersion="6" background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xr16:uid="{00000000-0015-0000-FFFF-FFFF85000000}" name="Capacities59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xr16:uid="{00000000-0015-0000-FFFF-FFFF86000000}" name="Capacities59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xr16:uid="{00000000-0015-0000-FFFF-FFFF87000000}" name="Capacities60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xr16:uid="{00000000-0015-0000-FFFF-FFFF88000000}" name="Capacities60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xr16:uid="{00000000-0015-0000-FFFF-FFFF89000000}" name="Capacities60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xr16:uid="{00000000-0015-0000-FFFF-FFFF8A000000}" name="Capacities6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xr16:uid="{00000000-0015-0000-FFFF-FFFF8B000000}" name="Capacities6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xr16:uid="{00000000-0015-0000-FFFF-FFFF8C000000}" name="Capacities6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xr16:uid="{00000000-0015-0000-FFFF-FFFF8D000000}" name="Capacities7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xr16:uid="{00000000-0015-0000-FFFF-FFFF8E000000}" name="Capacities7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xr16:uid="{00000000-0015-0000-FFFF-FFFF8F000000}" name="Capacities7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xr16:uid="{00000000-0015-0000-FFFF-FFFF90000000}" name="Capacities8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xr16:uid="{00000000-0015-0000-FFFF-FFFF91000000}" name="Capacities811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xr16:uid="{00000000-0015-0000-FFFF-FFFF92000000}" name="Capacities812" type="6" refreshedVersion="6" background="1" saveData="1">
    <textPr prompt="0" codePage="437" sourceFile="C:\Users\njbca\Documents\Models\Brisbane study case\Results\csv files\Capacities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xr16:uid="{00000000-0015-0000-FFFF-FFFF93000000}" name="Csv filesBought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49" xr16:uid="{00000000-0015-0000-FFFF-FFFF94000000}" name="Csv filesBought1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0" xr16:uid="{00000000-0015-0000-FFFF-FFFF95000000}" name="csv filesBought2" type="6" refreshedVersion="0" background="1">
    <textPr prompt="0" sourceFile="C:\Users\njbca\Documents\Models\Brisbane study case\Results\csv filesBought.csv" thousands=" ">
      <textFields>
        <textField/>
      </textFields>
    </textPr>
  </connection>
  <connection id="151" xr16:uid="{00000000-0015-0000-FFFF-FFFF96000000}" name="Hourly resultsFlows" type="6" refreshedVersion="0" background="1">
    <textPr prompt="0" sourceFile="C:\Users\njbca\Documents\Models\Brisbane study case\Results\Csv files\Hourly resultsFlows.csv" thousands=" ">
      <textFields>
        <textField/>
      </textFields>
    </textPr>
  </connection>
  <connection id="152" xr16:uid="{00000000-0015-0000-FFFF-FFFF97000000}" name="How to combines csvs docs" type="6" refreshedVersion="0" background="1">
    <textPr prompt="0" sourceFile="C:\Users\njbca\Documents\Models\Brisbane study case\Results\csv files\How to combines csvs docs.csv" thousands=" ">
      <textFields>
        <textField/>
      </textFields>
    </textPr>
  </connection>
  <connection id="153" xr16:uid="{00000000-0015-0000-FFFF-FFFF98000000}" name="Main resultsResults_Benchmark_case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4" xr16:uid="{00000000-0015-0000-FFFF-FFFF99000000}" name="Main resultsResults_Benchmark_case1" type="6" refreshedVersion="0" background="1">
    <textPr prompt="0" sourceFile="C:\Users\njbca\Documents\Models\Brisbane study case\Results\Csv files\Main resultsResults_Benchmark_case.csv" thousands=" ">
      <textFields>
        <textField/>
      </textFields>
    </textPr>
  </connection>
  <connection id="155" xr16:uid="{00000000-0015-0000-FFFF-FFFF9A000000}" name="Results_Test_case1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xr16:uid="{00000000-0015-0000-FFFF-FFFF9B000000}" name="Results_Test_case1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xr16:uid="{00000000-0015-0000-FFFF-FFFF9C000000}" name="Results_Test_case11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xr16:uid="{00000000-0015-0000-FFFF-FFFF9D000000}" name="Results_Test_case1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xr16:uid="{00000000-0015-0000-FFFF-FFFF9E000000}" name="Results_Test_case1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xr16:uid="{00000000-0015-0000-FFFF-FFFF9F000000}" name="Results_Test_case11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xr16:uid="{00000000-0015-0000-FFFF-FFFFA0000000}" name="Results_Test_case1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xr16:uid="{00000000-0015-0000-FFFF-FFFFA1000000}" name="Results_Test_case1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xr16:uid="{00000000-0015-0000-FFFF-FFFFA2000000}" name="Results_Test_case1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xr16:uid="{00000000-0015-0000-FFFF-FFFFA3000000}" name="Results_Test_case1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xr16:uid="{00000000-0015-0000-FFFF-FFFFA4000000}" name="Results_Test_case1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xr16:uid="{00000000-0015-0000-FFFF-FFFFA5000000}" name="Results_Test_case1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xr16:uid="{00000000-0015-0000-FFFF-FFFFA6000000}" name="Results_Test_case1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xr16:uid="{00000000-0015-0000-FFFF-FFFFA7000000}" name="Results_Test_case1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xr16:uid="{00000000-0015-0000-FFFF-FFFFA8000000}" name="Results_Test_case1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xr16:uid="{00000000-0015-0000-FFFF-FFFFA9000000}" name="Results_Test_case1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xr16:uid="{00000000-0015-0000-FFFF-FFFFAA000000}" name="Results_Test_case1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xr16:uid="{00000000-0015-0000-FFFF-FFFFAB000000}" name="Results_Test_case1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xr16:uid="{00000000-0015-0000-FFFF-FFFFAC000000}" name="Results_Test_case1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xr16:uid="{00000000-0015-0000-FFFF-FFFFAD000000}" name="Results_Test_case1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xr16:uid="{00000000-0015-0000-FFFF-FFFFAE000000}" name="Results_Test_case1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xr16:uid="{00000000-0015-0000-FFFF-FFFFAF000000}" name="Results_Test_case1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xr16:uid="{00000000-0015-0000-FFFF-FFFFB0000000}" name="Results_Test_case20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xr16:uid="{00000000-0015-0000-FFFF-FFFFB1000000}" name="Results_Test_case20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xr16:uid="{00000000-0015-0000-FFFF-FFFFB2000000}" name="Results_Test_case21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xr16:uid="{00000000-0015-0000-FFFF-FFFFB3000000}" name="Results_Test_case21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xr16:uid="{00000000-0015-0000-FFFF-FFFFB4000000}" name="Results_Test_case214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xr16:uid="{00000000-0015-0000-FFFF-FFFFB5000000}" name="Results_Test_case22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xr16:uid="{00000000-0015-0000-FFFF-FFFFB6000000}" name="Results_Test_case22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xr16:uid="{00000000-0015-0000-FFFF-FFFFB7000000}" name="Results_Test_case2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xr16:uid="{00000000-0015-0000-FFFF-FFFFB8000000}" name="Results_Test_case23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xr16:uid="{00000000-0015-0000-FFFF-FFFFB9000000}" name="Results_Test_case2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xr16:uid="{00000000-0015-0000-FFFF-FFFFBA000000}" name="Results_Test_case2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xr16:uid="{00000000-0015-0000-FFFF-FFFFBB000000}" name="Results_Test_case2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xr16:uid="{00000000-0015-0000-FFFF-FFFFBC000000}" name="Results_Test_case2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xr16:uid="{00000000-0015-0000-FFFF-FFFFBD000000}" name="Results_Test_case2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xr16:uid="{00000000-0015-0000-FFFF-FFFFBE000000}" name="Results_Test_case2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xr16:uid="{00000000-0015-0000-FFFF-FFFFBF000000}" name="Results_Test_case2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xr16:uid="{00000000-0015-0000-FFFF-FFFFC0000000}" name="Results_Test_case2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xr16:uid="{00000000-0015-0000-FFFF-FFFFC1000000}" name="Results_Test_case2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xr16:uid="{00000000-0015-0000-FFFF-FFFFC2000000}" name="Results_Test_case2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xr16:uid="{00000000-0015-0000-FFFF-FFFFC3000000}" name="Results_Test_case29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xr16:uid="{00000000-0015-0000-FFFF-FFFFC4000000}" name="Results_Test_case30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xr16:uid="{00000000-0015-0000-FFFF-FFFFC5000000}" name="Results_Test_case3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xr16:uid="{00000000-0015-0000-FFFF-FFFFC6000000}" name="Results_Test_case341" type="6" refreshedVersion="6" background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xr16:uid="{00000000-0015-0000-FFFF-FFFFC7000000}" name="Results_Test_case35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xr16:uid="{00000000-0015-0000-FFFF-FFFFC8000000}" name="Results_Test_case36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xr16:uid="{00000000-0015-0000-FFFF-FFFFC9000000}" name="Results_Test_case4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xr16:uid="{00000000-0015-0000-FFFF-FFFFCA000000}" name="Results_Test_case4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xr16:uid="{00000000-0015-0000-FFFF-FFFFCB000000}" name="Results_Test_case5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xr16:uid="{00000000-0015-0000-FFFF-FFFFCC000000}" name="Results_Test_case5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xr16:uid="{00000000-0015-0000-FFFF-FFFFCD000000}" name="Results_Test_case6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xr16:uid="{00000000-0015-0000-FFFF-FFFFCE000000}" name="Results_Test_case6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xr16:uid="{00000000-0015-0000-FFFF-FFFFCF000000}" name="Results_Test_case7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xr16:uid="{00000000-0015-0000-FFFF-FFFFD0000000}" name="Results_Test_case7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xr16:uid="{00000000-0015-0000-FFFF-FFFFD1000000}" name="Results_Test_case8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xr16:uid="{00000000-0015-0000-FFFF-FFFFD2000000}" name="Results_Test_case8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xr16:uid="{00000000-0015-0000-FFFF-FFFFD3000000}" name="Results_Test_case91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xr16:uid="{00000000-0015-0000-FFFF-FFFFD4000000}" name="Results_Test_case93" type="6" refreshedVersion="6" background="1" saveData="1">
    <textPr prompt="0" codePage="437" sourceFile="C:\Users\njbca\Documents\Models\Brisbane study case\Results\csv files\Results_Test_case.csv" thousands=" " tab="0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xr16:uid="{00000000-0015-0000-FFFF-FFFFD5000000}" name="Sold" type="6" refreshedVersion="0" background="1">
    <textPr prompt="0" sourceFile="C:\Users\njbca\Documents\Models\Brisbane study case\Results\Sold.csv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<sst xmlns="http://schemas.openxmlformats.org/spreadsheetml/2006/main" count="2362" uniqueCount="142">
  <si>
    <t xml:space="preserve">Main results folder: </t>
  </si>
  <si>
    <t>Desalination plant</t>
  </si>
  <si>
    <t>Row Labels</t>
  </si>
  <si>
    <t>Grand Total</t>
  </si>
  <si>
    <t>Column Labels</t>
  </si>
  <si>
    <t>Batteries</t>
  </si>
  <si>
    <t>Scenario</t>
  </si>
  <si>
    <t>Type of unit</t>
  </si>
  <si>
    <t>Total investment(MEuros)</t>
  </si>
  <si>
    <t>Annualised investment(MEuros)</t>
  </si>
  <si>
    <t>Fixed O&amp;M(MEuros)</t>
  </si>
  <si>
    <t>Variable O&amp;M(MEuros)</t>
  </si>
  <si>
    <t>Fuel cost(MEuros)</t>
  </si>
  <si>
    <t>Cost per unit(MEuros)</t>
  </si>
  <si>
    <t>Production(kton or GWh)</t>
  </si>
  <si>
    <t>Sale (MEuros)</t>
  </si>
  <si>
    <t>Electricity consumption(GWh)</t>
  </si>
  <si>
    <t>Heat from district heating</t>
  </si>
  <si>
    <t>Heat sent to district heating</t>
  </si>
  <si>
    <t>Sale of oxygen</t>
  </si>
  <si>
    <t>Electricity from the grid</t>
  </si>
  <si>
    <t>Electricity to the grid</t>
  </si>
  <si>
    <t>Charge batteries</t>
  </si>
  <si>
    <t>Discharge batteries</t>
  </si>
  <si>
    <t xml:space="preserve">Hourly results folder </t>
  </si>
  <si>
    <t>Flows, sold or bought</t>
  </si>
  <si>
    <t>Electrolyser</t>
  </si>
  <si>
    <t>NaN</t>
  </si>
  <si>
    <t>Solar fixed</t>
  </si>
  <si>
    <t>Solar tracking</t>
  </si>
  <si>
    <t>Load average</t>
  </si>
  <si>
    <t>Full load hours</t>
  </si>
  <si>
    <t>Installed capacity(MW or t/h)</t>
  </si>
  <si>
    <t>Location</t>
  </si>
  <si>
    <t>Fuel</t>
  </si>
  <si>
    <t>AEC</t>
  </si>
  <si>
    <t>Electrolyser AEC</t>
  </si>
  <si>
    <t>Sum of Production(kton or GWh)</t>
  </si>
  <si>
    <t>CO2 capture</t>
  </si>
  <si>
    <t>Av electricity cost(Euros/MWh)</t>
  </si>
  <si>
    <t>MeOH</t>
  </si>
  <si>
    <t>Sum of Cost per unit(MEuros)</t>
  </si>
  <si>
    <t>NH3 plant + ASU - AEC</t>
  </si>
  <si>
    <t>NH3</t>
  </si>
  <si>
    <t>None</t>
  </si>
  <si>
    <t>H2 pipeline to NH3 plant</t>
  </si>
  <si>
    <t>Sum of Installed capacity(MW or t/h)</t>
  </si>
  <si>
    <t>Grid</t>
  </si>
  <si>
    <t>SI</t>
  </si>
  <si>
    <t>SI_O2</t>
  </si>
  <si>
    <t>SI_Heat</t>
  </si>
  <si>
    <t>SI_O2_Heat</t>
  </si>
  <si>
    <t>Heat sale</t>
  </si>
  <si>
    <t>O2 sale</t>
  </si>
  <si>
    <t>O2 and Heat sale</t>
  </si>
  <si>
    <t>H2 pipes compressor</t>
  </si>
  <si>
    <t>H2 pipes valve</t>
  </si>
  <si>
    <t>H2 buried pipes</t>
  </si>
  <si>
    <t>SOEC</t>
  </si>
  <si>
    <t>Electrolyser SOEC</t>
  </si>
  <si>
    <t>H2 storage (buried pipes)</t>
  </si>
  <si>
    <t>CO2 tax level upstream (Eur/kgCO2)</t>
  </si>
  <si>
    <t>CO2 tax level operational(Eur/kgCO2)</t>
  </si>
  <si>
    <t>CO2 tax infrastructure (MEuros)</t>
  </si>
  <si>
    <t>CO2 tax process (MEuros)</t>
  </si>
  <si>
    <t>CO2e infrastructure (t CO2e)</t>
  </si>
  <si>
    <t>CO2e process (t CO2e)</t>
  </si>
  <si>
    <r>
      <t>C:\Users\njbca\Documents\Models\OptiPlant-UserCO2</t>
    </r>
    <r>
      <rPr>
        <sz val="11"/>
        <color rgb="FFFF0000"/>
        <rFont val="Calibri"/>
        <family val="2"/>
        <scheme val="minor"/>
      </rPr>
      <t>\ConfPapEmi\</t>
    </r>
    <r>
      <rPr>
        <sz val="11"/>
        <color theme="1"/>
        <rFont val="Calibri"/>
        <family val="2"/>
        <scheme val="minor"/>
      </rPr>
      <t>Results</t>
    </r>
    <r>
      <rPr>
        <sz val="11"/>
        <color rgb="FFFF0000"/>
        <rFont val="Calibri"/>
        <family val="2"/>
        <scheme val="minor"/>
      </rPr>
      <t>\Results_main\</t>
    </r>
    <r>
      <rPr>
        <sz val="11"/>
        <color theme="1"/>
        <rFont val="Calibri"/>
        <family val="2"/>
        <scheme val="minor"/>
      </rPr>
      <t>Hourly results\Flows\</t>
    </r>
  </si>
  <si>
    <t>CO2 capture PS</t>
  </si>
  <si>
    <t>MeOH plant CCU - AEC</t>
  </si>
  <si>
    <t>Production cost fuel (Euros/kgfuel)</t>
  </si>
  <si>
    <t>Production cost fuel (Euros/GJfuel)</t>
  </si>
  <si>
    <t>Production cost fuel (Euros/MWhfuel)</t>
  </si>
  <si>
    <t>Production cost per unit (Euros/kg or kWh output)</t>
  </si>
  <si>
    <t>CO2e inf+proc per unit(t CO2e)</t>
  </si>
  <si>
    <t>CO2e per unit (kgCO2e/GJfuel)</t>
  </si>
  <si>
    <t>Sum of CO2e per unit (kgCO2e/GJfuel)</t>
  </si>
  <si>
    <t>CO2 capture Point Source</t>
  </si>
  <si>
    <t>Local R.E. and grid connection</t>
  </si>
  <si>
    <t>Wind onshore (SP198-HH100 turbine)</t>
  </si>
  <si>
    <t>(All)</t>
  </si>
  <si>
    <t>Arica, North Chile</t>
  </si>
  <si>
    <t>Esbjerg, Denmark</t>
  </si>
  <si>
    <t>Ceduna, South Australia</t>
  </si>
  <si>
    <t xml:space="preserve">NH3 plant </t>
  </si>
  <si>
    <t xml:space="preserve">MeOH plant CCU </t>
  </si>
  <si>
    <t xml:space="preserve">Sum of CO2e total system (kg CO2e/GJfuel) </t>
  </si>
  <si>
    <t>Diesel generator</t>
  </si>
  <si>
    <t>PS</t>
  </si>
  <si>
    <t>Biomass</t>
  </si>
  <si>
    <t>Bio-eMeOH</t>
  </si>
  <si>
    <t>Bio-eMeOH plant - AEC</t>
  </si>
  <si>
    <t>Conservative tech risk</t>
  </si>
  <si>
    <t>Weight costs vs emissions</t>
  </si>
  <si>
    <t>CO2e total system (kg CO2e/GJfuel)</t>
  </si>
  <si>
    <t>Land use per unit (km2)</t>
  </si>
  <si>
    <t>Land use per unit (km2/GJfuel)</t>
  </si>
  <si>
    <t>Land use total system (km2/GJfuel)</t>
  </si>
  <si>
    <t>Bornholm</t>
  </si>
  <si>
    <t>C1.0_E0.0</t>
  </si>
  <si>
    <t>Spillage</t>
  </si>
  <si>
    <t>NH3 plant with AEC layout (t NH3/h)</t>
  </si>
  <si>
    <t>Electrolyser AEC (t H2/h)</t>
  </si>
  <si>
    <t>Batteries (MWh)</t>
  </si>
  <si>
    <t>H2 storage (buried pipes) (t H2)</t>
  </si>
  <si>
    <t>Behind-the-meter_large</t>
  </si>
  <si>
    <t>Wind offshore (SP379-HH100)</t>
  </si>
  <si>
    <t>Semi-islanded_large</t>
  </si>
  <si>
    <t>NH3 plant + ASU - SOEC</t>
  </si>
  <si>
    <t>Behind-the-meter_small</t>
  </si>
  <si>
    <t>CO2 capture DAC</t>
  </si>
  <si>
    <t>DAC</t>
  </si>
  <si>
    <t>Semi-islanded_small</t>
  </si>
  <si>
    <t>NH3 plant AEC layout</t>
  </si>
  <si>
    <t>NH3 plant SOEC layout</t>
  </si>
  <si>
    <t>Bio-eMeOH plant AEC layout</t>
  </si>
  <si>
    <t>Bio-eMeOH plant SOEC layout</t>
  </si>
  <si>
    <t xml:space="preserve"> </t>
  </si>
  <si>
    <t>Sum of Production cost fuel (Euros/kgfuel)</t>
  </si>
  <si>
    <t>Sum of Electricity consumption(GWh)</t>
  </si>
  <si>
    <t>Sum of Land use per unit (km2)</t>
  </si>
  <si>
    <r>
      <t>C:\Users\njbca\Documents\Models\OptiPlant-World</t>
    </r>
    <r>
      <rPr>
        <sz val="11"/>
        <color rgb="FFFF0000"/>
        <rFont val="Calibri"/>
        <family val="2"/>
        <scheme val="minor"/>
      </rPr>
      <t>\Base\</t>
    </r>
    <r>
      <rPr>
        <sz val="11"/>
        <color theme="1"/>
        <rFont val="Calibri"/>
        <family val="2"/>
        <scheme val="minor"/>
      </rPr>
      <t>Results</t>
    </r>
    <r>
      <rPr>
        <sz val="11"/>
        <color rgb="FFFF0000"/>
        <rFont val="Calibri"/>
        <family val="2"/>
        <scheme val="minor"/>
      </rPr>
      <t>\Results_bornholm</t>
    </r>
    <r>
      <rPr>
        <sz val="11"/>
        <color theme="5"/>
        <rFont val="Calibri"/>
        <family val="2"/>
        <scheme val="minor"/>
      </rPr>
      <t>\</t>
    </r>
    <r>
      <rPr>
        <sz val="11"/>
        <color theme="1"/>
        <rFont val="Calibri"/>
        <family val="2"/>
        <scheme val="minor"/>
      </rPr>
      <t>Main results\</t>
    </r>
  </si>
  <si>
    <t>Year data</t>
  </si>
  <si>
    <t>Profile</t>
  </si>
  <si>
    <t>Ammonia-AEC</t>
  </si>
  <si>
    <t>Waste water plant</t>
  </si>
  <si>
    <t>OFF_SP379-HH100</t>
  </si>
  <si>
    <t>OFF_SP379-HH150</t>
  </si>
  <si>
    <t>OFF_SP450-HH100</t>
  </si>
  <si>
    <t>OFF_SP450-HH150</t>
  </si>
  <si>
    <t>AmmoniaFlex-AEC</t>
  </si>
  <si>
    <t>3 to 7 scen</t>
  </si>
  <si>
    <t>1 to 5 scen</t>
  </si>
  <si>
    <t>3 to 7</t>
  </si>
  <si>
    <t>1 to 5</t>
  </si>
  <si>
    <t>NH3 plant with AEC layout (kt NH3)</t>
  </si>
  <si>
    <t>Electrolyser AEC (kt H2)</t>
  </si>
  <si>
    <t>Heat sent to district heating (GWhth)</t>
  </si>
  <si>
    <t>Sale of oxygen (kt O2)</t>
  </si>
  <si>
    <t>Grid (GWh)</t>
  </si>
  <si>
    <t>Curtailment (GWh)</t>
  </si>
  <si>
    <t>Waste water plant (t H2O / 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</si>
</sst>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0" applyNumberFormat="1"/>
    <xf numFmtId="0" fontId="2" fillId="0" borderId="1" xfId="0" applyFont="1" applyBorder="1" applyAlignment="1">
      <alignment horizontal="left"/>
    </xf>
    <xf numFmtId="1" fontId="2" fillId="0" borderId="1" xfId="0" applyNumberFormat="1" applyFont="1" applyBorder="1"/>
    <xf numFmtId="164" fontId="2" fillId="0" borderId="1" xfId="0" applyNumberFormat="1" applyFont="1" applyBorder="1"/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/>
    <xf numFmtId="11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2" fontId="0" fillId="0" borderId="0" xfId="0" applyNumberFormat="1"/>
    <xf numFmtId="16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101"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71" formatCode="0.000000000"/>
    </dxf>
    <dxf>
      <numFmt numFmtId="170" formatCode="0.00000000"/>
    </dxf>
    <dxf>
      <numFmt numFmtId="169" formatCode="0.0000000"/>
    </dxf>
    <dxf>
      <numFmt numFmtId="168" formatCode="0.00000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2" formatCode="0.00"/>
    </dxf>
    <dxf>
      <numFmt numFmtId="2" formatCode="0.00"/>
    </dxf>
    <dxf>
      <numFmt numFmtId="165" formatCode="0.000"/>
    </dxf>
    <dxf>
      <numFmt numFmtId="165" formatCode="0.000"/>
    </dxf>
    <dxf>
      <numFmt numFmtId="166" formatCode="0.0000"/>
    </dxf>
    <dxf>
      <numFmt numFmtId="166" formatCode="0.0000"/>
    </dxf>
    <dxf>
      <numFmt numFmtId="167" formatCode="0.00000"/>
    </dxf>
    <dxf>
      <numFmt numFmtId="167" formatCode="0.00000"/>
    </dxf>
    <dxf>
      <numFmt numFmtId="168" formatCode="0.000000"/>
    </dxf>
    <dxf>
      <numFmt numFmtId="168" formatCode="0.000000"/>
    </dxf>
    <dxf>
      <numFmt numFmtId="169" formatCode="0.0000000"/>
    </dxf>
    <dxf>
      <numFmt numFmtId="169" formatCode="0.0000000"/>
    </dxf>
    <dxf>
      <numFmt numFmtId="170" formatCode="0.00000000"/>
    </dxf>
    <dxf>
      <numFmt numFmtId="170" formatCode="0.00000000"/>
    </dxf>
    <dxf>
      <numFmt numFmtId="171" formatCode="0.000000000"/>
    </dxf>
    <dxf>
      <numFmt numFmtId="171" formatCode="0.000000000"/>
    </dxf>
    <dxf>
      <numFmt numFmtId="172" formatCode="0.0000000000"/>
    </dxf>
    <dxf>
      <numFmt numFmtId="172" formatCode="0.00000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2" formatCode="0.00"/>
    </dxf>
    <dxf>
      <numFmt numFmtId="164" formatCode="0.0"/>
    </dxf>
    <dxf>
      <numFmt numFmtId="2" formatCode="0.00"/>
    </dxf>
    <dxf>
      <numFmt numFmtId="164" formatCode="0.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71" formatCode="0.000000000"/>
    </dxf>
    <dxf>
      <numFmt numFmtId="165" formatCode="0.000"/>
    </dxf>
    <dxf>
      <numFmt numFmtId="2" formatCode="0.00"/>
    </dxf>
    <dxf>
      <numFmt numFmtId="164" formatCode="0.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71" formatCode="0.000000000"/>
    </dxf>
    <dxf>
      <numFmt numFmtId="170" formatCode="0.00000000"/>
    </dxf>
    <dxf>
      <numFmt numFmtId="169" formatCode="0.0000000"/>
    </dxf>
    <dxf>
      <numFmt numFmtId="168" formatCode="0.00000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" formatCode="0"/>
    </dxf>
    <dxf>
      <numFmt numFmtId="164" formatCode="0.0"/>
    </dxf>
    <dxf>
      <numFmt numFmtId="2" formatCode="0.00"/>
    </dxf>
    <dxf>
      <numFmt numFmtId="165" formatCode="0.000"/>
    </dxf>
    <dxf>
      <numFmt numFmtId="166" formatCode="0.0000"/>
    </dxf>
    <dxf>
      <numFmt numFmtId="167" formatCode="0.00000"/>
    </dxf>
    <dxf>
      <numFmt numFmtId="168" formatCode="0.000000"/>
    </dxf>
    <dxf>
      <numFmt numFmtId="169" formatCode="0.0000000"/>
    </dxf>
    <dxf>
      <numFmt numFmtId="170" formatCode="0.00000000"/>
    </dxf>
    <dxf>
      <numFmt numFmtId="169" formatCode="0.0000000"/>
    </dxf>
    <dxf>
      <numFmt numFmtId="168" formatCode="0.000000"/>
    </dxf>
  </dxfs>
  <tableStyles count="0" defaultTableStyle="TableStyleMedium2" defaultPivotStyle="PivotStyleLight16"/>
  <colors>
    <mruColors>
      <color rgb="FF000000"/>
      <color rgb="FFCCFF66"/>
      <color rgb="FFFF9933"/>
      <color rgb="FFFFFF66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alcChain" Target="calcChain.xml"/><Relationship Id="rId10" Type="http://schemas.openxmlformats.org/officeDocument/2006/relationships/chartsheet" Target="chartsheets/sheet1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[Results.xlsm]Elec production!PivotTable2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'Elec production'!$B$3:$B$6</c:f>
              <c:strCache>
                <c:ptCount val="1"/>
                <c:pt idx="0">
                  <c:v>Behind-the-meter_large - Bornholm - AEC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'Elec production'!$A$7:$A$9</c:f>
              <c:strCache>
                <c:ptCount val="2"/>
                <c:pt idx="0">
                  <c:v>Grid</c:v>
                </c:pt>
                <c:pt idx="1">
                  <c:v>Spillage</c:v>
                </c:pt>
              </c:strCache>
            </c:strRef>
          </c:cat>
          <c:val>
            <c:numRef>
              <c:f>'Elec production'!$B$7:$B$9</c:f>
              <c:numCache>
                <c:formatCode>0</c:formatCode>
                <c:ptCount val="2"/>
                <c:pt idx="0">
                  <c:v>0</c:v>
                </c:pt>
                <c:pt idx="1">
                  <c:v>416.65211679011264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1E4-400D-873F-8F6312F222FD}"/>
            </c:ext>
          </c:extLst>
        </c:ser>
        <c:ser>
          <c:idx val="1"/>
          <c:order val="1"/>
          <c:tx>
            <c:strRef>
              <c:f>'Elec production'!$C$3:$C$6</c:f>
              <c:strCache>
                <c:ptCount val="1"/>
                <c:pt idx="0">
                  <c:v>Behind-the-meter_large - Bornholm - SOEC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'Elec production'!$A$7:$A$9</c:f>
              <c:strCache>
                <c:ptCount val="2"/>
                <c:pt idx="0">
                  <c:v>Grid</c:v>
                </c:pt>
                <c:pt idx="1">
                  <c:v>Spillage</c:v>
                </c:pt>
              </c:strCache>
            </c:strRef>
          </c:cat>
          <c:val>
            <c:numRef>
              <c:f>'Elec production'!$C$7:$C$9</c:f>
              <c:numCache>
                <c:formatCode>General</c:formatCode>
                <c:ptCount val="2"/>
                <c:pt idx="0">
                  <c:v>0</c:v>
                </c:pt>
                <c:pt idx="1">
                  <c:v>317.88904623735198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E-458A-A14C-75005AE04B16}"/>
            </c:ext>
          </c:extLst>
        </c:ser>
        <c:ser>
          <c:idx val="2"/>
          <c:order val="2"/>
          <c:tx>
            <c:strRef>
              <c:f>'Elec production'!$D$3:$D$6</c:f>
              <c:strCache>
                <c:ptCount val="1"/>
                <c:pt idx="0">
                  <c:v>Semi-islanded_large - Bornholm - AEC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'Elec production'!$A$7:$A$9</c:f>
              <c:strCache>
                <c:ptCount val="2"/>
                <c:pt idx="0">
                  <c:v>Grid</c:v>
                </c:pt>
                <c:pt idx="1">
                  <c:v>Spillage</c:v>
                </c:pt>
              </c:strCache>
            </c:strRef>
          </c:cat>
          <c:val>
            <c:numRef>
              <c:f>'Elec production'!$D$7:$D$9</c:f>
              <c:numCache>
                <c:formatCode>0</c:formatCode>
                <c:ptCount val="2"/>
                <c:pt idx="0">
                  <c:v>13969.40776285159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1E-458A-A14C-75005AE04B16}"/>
            </c:ext>
          </c:extLst>
        </c:ser>
        <c:ser>
          <c:idx val="3"/>
          <c:order val="3"/>
          <c:tx>
            <c:strRef>
              <c:f>'Elec production'!$E$3:$E$6</c:f>
              <c:strCache>
                <c:ptCount val="1"/>
                <c:pt idx="0">
                  <c:v>Semi-islanded_large - Bornholm - SOEC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'Elec production'!$A$7:$A$9</c:f>
              <c:strCache>
                <c:ptCount val="2"/>
                <c:pt idx="0">
                  <c:v>Grid</c:v>
                </c:pt>
                <c:pt idx="1">
                  <c:v>Spillage</c:v>
                </c:pt>
              </c:strCache>
            </c:strRef>
          </c:cat>
          <c:val>
            <c:numRef>
              <c:f>'Elec production'!$E$7:$E$9</c:f>
              <c:numCache>
                <c:formatCode>General</c:formatCode>
                <c:ptCount val="2"/>
                <c:pt idx="0">
                  <c:v>5503.6486169504697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1E-458A-A14C-75005AE04B16}"/>
            </c:ext>
          </c:extLst>
        </c:ser>
        <c:ser>
          <c:idx val="4"/>
          <c:order val="4"/>
          <c:tx>
            <c:strRef>
              <c:f>'Elec production'!$F$3:$F$6</c:f>
              <c:strCache>
                <c:ptCount val="1"/>
                <c:pt idx="0">
                  <c:v>Behind-the-meter_small - Bornholm - AEC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'Elec production'!$A$7:$A$9</c:f>
              <c:strCache>
                <c:ptCount val="2"/>
                <c:pt idx="0">
                  <c:v>Grid</c:v>
                </c:pt>
                <c:pt idx="1">
                  <c:v>Spillage</c:v>
                </c:pt>
              </c:strCache>
            </c:strRef>
          </c:cat>
          <c:val>
            <c:numRef>
              <c:f>'Elec production'!$F$7:$F$9</c:f>
              <c:numCache>
                <c:formatCode>0</c:formatCode>
                <c:ptCount val="2"/>
                <c:pt idx="0">
                  <c:v>0</c:v>
                </c:pt>
                <c:pt idx="1">
                  <c:v>179.79229392754169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1E-458A-A14C-75005AE04B16}"/>
            </c:ext>
          </c:extLst>
        </c:ser>
        <c:ser>
          <c:idx val="5"/>
          <c:order val="5"/>
          <c:tx>
            <c:strRef>
              <c:f>'Elec production'!$G$3:$G$6</c:f>
              <c:strCache>
                <c:ptCount val="1"/>
                <c:pt idx="0">
                  <c:v>Behind-the-meter_small - Bornholm - SOEC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'Elec production'!$A$7:$A$9</c:f>
              <c:strCache>
                <c:ptCount val="2"/>
                <c:pt idx="0">
                  <c:v>Grid</c:v>
                </c:pt>
                <c:pt idx="1">
                  <c:v>Spillage</c:v>
                </c:pt>
              </c:strCache>
            </c:strRef>
          </c:cat>
          <c:val>
            <c:numRef>
              <c:f>'Elec production'!$G$7:$G$9</c:f>
              <c:numCache>
                <c:formatCode>General</c:formatCode>
                <c:ptCount val="2"/>
                <c:pt idx="0">
                  <c:v>0</c:v>
                </c:pt>
                <c:pt idx="1">
                  <c:v>84.405264079973591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1E-458A-A14C-75005AE04B16}"/>
            </c:ext>
          </c:extLst>
        </c:ser>
        <c:ser>
          <c:idx val="6"/>
          <c:order val="6"/>
          <c:tx>
            <c:strRef>
              <c:f>'Elec production'!$H$3:$H$6</c:f>
              <c:strCache>
                <c:ptCount val="1"/>
                <c:pt idx="0">
                  <c:v>Semi-islanded_small - Bornholm - AEC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'Elec production'!$A$7:$A$9</c:f>
              <c:strCache>
                <c:ptCount val="2"/>
                <c:pt idx="0">
                  <c:v>Grid</c:v>
                </c:pt>
                <c:pt idx="1">
                  <c:v>Spillage</c:v>
                </c:pt>
              </c:strCache>
            </c:strRef>
          </c:cat>
          <c:val>
            <c:numRef>
              <c:f>'Elec production'!$H$7:$H$9</c:f>
              <c:numCache>
                <c:formatCode>0</c:formatCode>
                <c:ptCount val="2"/>
                <c:pt idx="0">
                  <c:v>1167.94178182223</c:v>
                </c:pt>
                <c:pt idx="1">
                  <c:v>2.0919885487341108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1E-458A-A14C-75005AE04B16}"/>
            </c:ext>
          </c:extLst>
        </c:ser>
        <c:ser>
          <c:idx val="7"/>
          <c:order val="7"/>
          <c:tx>
            <c:strRef>
              <c:f>'Elec production'!$I$3:$I$6</c:f>
              <c:strCache>
                <c:ptCount val="1"/>
                <c:pt idx="0">
                  <c:v>Semi-islanded_small - Bornholm - SOEC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'Elec production'!$A$7:$A$9</c:f>
              <c:strCache>
                <c:ptCount val="2"/>
                <c:pt idx="0">
                  <c:v>Grid</c:v>
                </c:pt>
                <c:pt idx="1">
                  <c:v>Spillage</c:v>
                </c:pt>
              </c:strCache>
            </c:strRef>
          </c:cat>
          <c:val>
            <c:numRef>
              <c:f>'Elec production'!$I$7:$I$9</c:f>
              <c:numCache>
                <c:formatCode>General</c:formatCode>
                <c:ptCount val="2"/>
                <c:pt idx="0">
                  <c:v>462.60033213672699</c:v>
                </c:pt>
                <c:pt idx="1">
                  <c:v>0.80629711272872107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1E-458A-A14C-75005AE04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3133240"/>
        <c:axId val="463138488"/>
      </c:barChart>
      <c:catAx>
        <c:axId val="463133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63138488"/>
        <c:crosses val="autoZero"/>
        <c:auto val="1"/>
        <c:lblAlgn val="ctr"/>
        <c:lblOffset val="100"/>
        <c:noMultiLvlLbl val="0"/>
      </c:catAx>
      <c:valAx>
        <c:axId val="46313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63133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[Results.xlsm]Production cost!PivotTable1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noFill/>
            <a:round/>
          </a:ln>
          <a:effectLst/>
        </c:spPr>
      </c:pivotFmt>
      <c:pivotFmt>
        <c:idx val="59"/>
        <c:spPr>
          <a:solidFill>
            <a:schemeClr val="accent1"/>
          </a:solidFill>
          <a:ln w="28575" cap="rnd">
            <a:solidFill>
              <a:srgbClr val="000000"/>
            </a:solidFill>
            <a:round/>
          </a:ln>
          <a:effectLst/>
        </c:spPr>
        <c:marker>
          <c:spPr>
            <a:solidFill>
              <a:srgbClr val="000000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0000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>
            <a:noFill/>
          </a:ln>
        </c:spPr>
        <c:marker>
          <c:symbol val="circle"/>
          <c:size val="5"/>
        </c:marker>
      </c:pivotFmt>
      <c:pivotFmt>
        <c:idx val="79"/>
        <c:marker>
          <c:symbol val="circle"/>
          <c:size val="5"/>
          <c:spPr>
            <a:solidFill>
              <a:schemeClr val="tx1"/>
            </a:solidFill>
            <a:ln>
              <a:solidFill>
                <a:schemeClr val="tx1"/>
              </a:solidFill>
            </a:ln>
          </c:spPr>
        </c:marker>
      </c:pivotFmt>
      <c:pivotFmt>
        <c:idx val="80"/>
        <c:marker>
          <c:spPr>
            <a:solidFill>
              <a:schemeClr val="tx1"/>
            </a:solidFill>
            <a:ln>
              <a:solidFill>
                <a:schemeClr val="tx1"/>
              </a:solidFill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>
            <a:noFill/>
          </a:ln>
        </c:spPr>
        <c:marker>
          <c:symbol val="circle"/>
          <c:size val="5"/>
          <c:spPr>
            <a:solidFill>
              <a:schemeClr val="tx1"/>
            </a:solidFill>
            <a:ln>
              <a:solidFill>
                <a:schemeClr val="tx1"/>
              </a:solidFill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19050">
            <a:noFill/>
          </a:ln>
        </c:spPr>
        <c:marker>
          <c:symbol val="circle"/>
          <c:size val="5"/>
          <c:spPr>
            <a:solidFill>
              <a:schemeClr val="tx1"/>
            </a:solidFill>
            <a:ln>
              <a:solidFill>
                <a:schemeClr val="tx1"/>
              </a:solidFill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19050">
            <a:noFill/>
          </a:ln>
        </c:spPr>
        <c:marker>
          <c:symbol val="circle"/>
          <c:size val="5"/>
          <c:spPr>
            <a:solidFill>
              <a:schemeClr val="tx1"/>
            </a:solidFill>
            <a:ln>
              <a:solidFill>
                <a:schemeClr val="tx1"/>
              </a:solidFill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19050">
            <a:noFill/>
          </a:ln>
        </c:spPr>
        <c:marker>
          <c:symbol val="circle"/>
          <c:size val="5"/>
          <c:spPr>
            <a:solidFill>
              <a:schemeClr val="tx1"/>
            </a:solidFill>
            <a:ln>
              <a:solidFill>
                <a:schemeClr val="tx1"/>
              </a:solidFill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19050">
            <a:noFill/>
          </a:ln>
        </c:spPr>
        <c:marker>
          <c:symbol val="circle"/>
          <c:size val="5"/>
          <c:spPr>
            <a:solidFill>
              <a:schemeClr val="tx1"/>
            </a:solidFill>
            <a:ln>
              <a:solidFill>
                <a:schemeClr val="tx1"/>
              </a:solidFill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'Production cost'!$B$4:$B$5</c:f>
              <c:strCache>
                <c:ptCount val="1"/>
                <c:pt idx="0">
                  <c:v>NH3 plant + ASU - AEC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'Production cost'!$A$6:$A$20</c:f>
              <c:multiLvlStrCache>
                <c:ptCount val="7"/>
                <c:lvl>
                  <c:pt idx="0">
                    <c:v>AmmoniaFlex-AEC</c:v>
                  </c:pt>
                  <c:pt idx="1">
                    <c:v>AmmoniaFlex-AEC</c:v>
                  </c:pt>
                  <c:pt idx="2">
                    <c:v>AmmoniaFlex-AEC</c:v>
                  </c:pt>
                  <c:pt idx="3">
                    <c:v>AmmoniaFlex-AEC</c:v>
                  </c:pt>
                  <c:pt idx="4">
                    <c:v>AmmoniaFlex-AEC</c:v>
                  </c:pt>
                  <c:pt idx="5">
                    <c:v>AmmoniaFlex-AEC</c:v>
                  </c:pt>
                  <c:pt idx="6">
                    <c:v>AmmoniaFlex-AEC</c:v>
                  </c:pt>
                </c:lvl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</c:lvl>
              </c:multiLvlStrCache>
            </c:multiLvlStrRef>
          </c:cat>
          <c:val>
            <c:numRef>
              <c:f>'Production cost'!$B$6:$B$20</c:f>
              <c:numCache>
                <c:formatCode>0.000</c:formatCode>
                <c:ptCount val="7"/>
                <c:pt idx="0">
                  <c:v>1.0235294198740099</c:v>
                </c:pt>
                <c:pt idx="1">
                  <c:v>1.2183418641430701</c:v>
                </c:pt>
                <c:pt idx="2">
                  <c:v>1.0645768397108299</c:v>
                </c:pt>
                <c:pt idx="3">
                  <c:v>1.2219433018860399</c:v>
                </c:pt>
                <c:pt idx="4">
                  <c:v>1.0785670811849899</c:v>
                </c:pt>
                <c:pt idx="5">
                  <c:v>1.0880856806941701</c:v>
                </c:pt>
                <c:pt idx="6">
                  <c:v>1.16723186985521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84-4C95-A2C0-3794B0C7BD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73424"/>
        <c:axId val="694866864"/>
      </c:line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Production cost [€/kg fuel]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73424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solidFill>
            <a:sysClr val="windowText" lastClr="000000"/>
          </a:solidFill>
        </a:defRPr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[Results.xlsm]Cost breakdown!PivotTable1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</c:pivotFmt>
      <c:pivotFmt>
        <c:idx val="74"/>
      </c:pivotFmt>
      <c:pivotFmt>
        <c:idx val="75"/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</c:pivotFmt>
      <c:pivotFmt>
        <c:idx val="78"/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</c:pivotFmt>
      <c:pivotFmt>
        <c:idx val="83"/>
      </c:pivotFmt>
      <c:pivotFmt>
        <c:idx val="84"/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pattFill prst="ltDn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pattFill prst="ltDnDiag">
            <a:fgClr>
              <a:schemeClr val="tx1"/>
            </a:fgClr>
            <a:bgClr>
              <a:schemeClr val="accent3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7"/>
        <c:spPr>
          <a:pattFill prst="openDmnd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9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97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9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02"/>
        <c:spPr>
          <a:pattFill prst="wd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4"/>
        <c:spPr>
          <a:pattFill prst="wd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20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pattFill prst="wdUpDiag">
            <a:fgClr>
              <a:schemeClr val="accent5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1"/>
        <c:spPr>
          <a:pattFill prst="wd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5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8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pattFill prst="wd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pattFill prst="wdUpDiag">
            <a:fgClr>
              <a:schemeClr val="accent5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pattFill prst="wdUpDiag">
            <a:fgClr>
              <a:schemeClr val="accent6">
                <a:lumMod val="20000"/>
                <a:lumOff val="8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'Cost breakdown'!$B$4:$B$5</c:f>
              <c:strCache>
                <c:ptCount val="1"/>
                <c:pt idx="0">
                  <c:v>Grid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breakdown'!$B$6:$B$34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16.704261422051999</c:v>
                </c:pt>
                <c:pt idx="7">
                  <c:v>15.8936383770316</c:v>
                </c:pt>
                <c:pt idx="8">
                  <c:v>15.185241184356</c:v>
                </c:pt>
                <c:pt idx="9">
                  <c:v>14.8192037716131</c:v>
                </c:pt>
                <c:pt idx="10">
                  <c:v>8.37746972300579</c:v>
                </c:pt>
                <c:pt idx="11">
                  <c:v>7.8082824710612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B-430C-ACD1-50BCE6789FF6}"/>
            </c:ext>
          </c:extLst>
        </c:ser>
        <c:ser>
          <c:idx val="1"/>
          <c:order val="1"/>
          <c:tx>
            <c:strRef>
              <c:f>'Cost breakdown'!$C$4:$C$5</c:f>
              <c:strCache>
                <c:ptCount val="1"/>
                <c:pt idx="0">
                  <c:v>Solar fixed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breakdown'!$C$6:$C$34</c:f>
              <c:numCache>
                <c:formatCode>General</c:formatCode>
                <c:ptCount val="12"/>
                <c:pt idx="0">
                  <c:v>5.8180563976619197</c:v>
                </c:pt>
                <c:pt idx="1">
                  <c:v>5.8425833454441598</c:v>
                </c:pt>
                <c:pt idx="2">
                  <c:v>5.3007482410549196</c:v>
                </c:pt>
                <c:pt idx="3">
                  <c:v>5.20896569366721</c:v>
                </c:pt>
                <c:pt idx="4">
                  <c:v>2.94088562448762</c:v>
                </c:pt>
                <c:pt idx="5">
                  <c:v>2.84600894802236</c:v>
                </c:pt>
                <c:pt idx="6">
                  <c:v>2.7266810275864199</c:v>
                </c:pt>
                <c:pt idx="7">
                  <c:v>2.5580652852542798</c:v>
                </c:pt>
                <c:pt idx="8">
                  <c:v>2.4727955539140298</c:v>
                </c:pt>
                <c:pt idx="9">
                  <c:v>2.3016787858513399</c:v>
                </c:pt>
                <c:pt idx="10">
                  <c:v>1.37084083862964</c:v>
                </c:pt>
                <c:pt idx="11">
                  <c:v>1.1926029875359101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30-448B-A3AC-6BBCA12B64B1}"/>
            </c:ext>
          </c:extLst>
        </c:ser>
        <c:ser>
          <c:idx val="2"/>
          <c:order val="2"/>
          <c:tx>
            <c:strRef>
              <c:f>'Cost breakdown'!$D$4:$D$5</c:f>
              <c:strCache>
                <c:ptCount val="1"/>
                <c:pt idx="0">
                  <c:v>Wind offshore (SP379-HH100)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breakdown'!$D$6:$D$34</c:f>
              <c:numCache>
                <c:formatCode>General</c:formatCode>
                <c:ptCount val="12"/>
                <c:pt idx="0">
                  <c:v>21.749185309711098</c:v>
                </c:pt>
                <c:pt idx="1">
                  <c:v>19.672193125583501</c:v>
                </c:pt>
                <c:pt idx="2">
                  <c:v>19.1685872565706</c:v>
                </c:pt>
                <c:pt idx="3">
                  <c:v>18.8002458681169</c:v>
                </c:pt>
                <c:pt idx="4">
                  <c:v>10.9016957081116</c:v>
                </c:pt>
                <c:pt idx="5">
                  <c:v>9.9374913468204493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30-448B-A3AC-6BBCA12B64B1}"/>
            </c:ext>
          </c:extLst>
        </c:ser>
        <c:ser>
          <c:idx val="3"/>
          <c:order val="3"/>
          <c:tx>
            <c:strRef>
              <c:f>'Cost breakdown'!$E$4:$E$5</c:f>
              <c:strCache>
                <c:ptCount val="1"/>
                <c:pt idx="0">
                  <c:v>Electrolyser AEC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breakdown'!$E$6:$E$34</c:f>
              <c:numCache>
                <c:formatCode>General</c:formatCode>
                <c:ptCount val="12"/>
                <c:pt idx="0">
                  <c:v>8.5670190155073591</c:v>
                </c:pt>
                <c:pt idx="1">
                  <c:v>8.7299652648550001</c:v>
                </c:pt>
                <c:pt idx="2">
                  <c:v>8.352258734146</c:v>
                </c:pt>
                <c:pt idx="4">
                  <c:v>4.4338745360243204</c:v>
                </c:pt>
                <c:pt idx="6">
                  <c:v>4.9430476836452604</c:v>
                </c:pt>
                <c:pt idx="7">
                  <c:v>4.8692784976389598</c:v>
                </c:pt>
                <c:pt idx="8">
                  <c:v>4.7342866462151401</c:v>
                </c:pt>
                <c:pt idx="10">
                  <c:v>2.5737376269380698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30-448B-A3AC-6BBCA12B64B1}"/>
            </c:ext>
          </c:extLst>
        </c:ser>
        <c:ser>
          <c:idx val="4"/>
          <c:order val="4"/>
          <c:tx>
            <c:strRef>
              <c:f>'Cost breakdown'!$F$4:$F$5</c:f>
              <c:strCache>
                <c:ptCount val="1"/>
                <c:pt idx="0">
                  <c:v>Electrolyser SOEC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breakdown'!$F$6:$F$34</c:f>
              <c:numCache>
                <c:formatCode>General</c:formatCode>
                <c:ptCount val="12"/>
                <c:pt idx="3">
                  <c:v>10.442986524987001</c:v>
                </c:pt>
                <c:pt idx="5">
                  <c:v>5.6777960730252603</c:v>
                </c:pt>
                <c:pt idx="9">
                  <c:v>6.1235893263295402</c:v>
                </c:pt>
                <c:pt idx="11">
                  <c:v>3.2671973984531699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30-448B-A3AC-6BBCA12B64B1}"/>
            </c:ext>
          </c:extLst>
        </c:ser>
        <c:ser>
          <c:idx val="5"/>
          <c:order val="5"/>
          <c:tx>
            <c:strRef>
              <c:f>'Cost breakdown'!$G$4:$G$5</c:f>
              <c:strCache>
                <c:ptCount val="1"/>
                <c:pt idx="0">
                  <c:v>NH3 plant AEC layout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breakdown'!$G$6:$G$34</c:f>
              <c:numCache>
                <c:formatCode>General</c:formatCode>
                <c:ptCount val="12"/>
                <c:pt idx="2">
                  <c:v>8.8079757797852007</c:v>
                </c:pt>
                <c:pt idx="8">
                  <c:v>6.2458494284425399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30-448B-A3AC-6BBCA12B64B1}"/>
            </c:ext>
          </c:extLst>
        </c:ser>
        <c:ser>
          <c:idx val="6"/>
          <c:order val="6"/>
          <c:tx>
            <c:strRef>
              <c:f>'Cost breakdown'!$H$4:$H$5</c:f>
              <c:strCache>
                <c:ptCount val="1"/>
                <c:pt idx="0">
                  <c:v>NH3 plant SOEC layout</c:v>
                </c:pt>
              </c:strCache>
            </c:strRef>
          </c:tx>
          <c:spPr>
            <a:pattFill prst="wdUpDiag">
              <a:fgClr>
                <a:schemeClr val="accent6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breakdown'!$H$6:$H$34</c:f>
              <c:numCache>
                <c:formatCode>General</c:formatCode>
                <c:ptCount val="12"/>
                <c:pt idx="3">
                  <c:v>11.6141513736815</c:v>
                </c:pt>
                <c:pt idx="9">
                  <c:v>8.2546061613664801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30-448B-A3AC-6BBCA12B64B1}"/>
            </c:ext>
          </c:extLst>
        </c:ser>
        <c:ser>
          <c:idx val="7"/>
          <c:order val="7"/>
          <c:tx>
            <c:strRef>
              <c:f>'Cost breakdown'!$I$4:$I$5</c:f>
              <c:strCache>
                <c:ptCount val="1"/>
                <c:pt idx="0">
                  <c:v>MeOH plant CCU 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breakdown'!$I$6:$I$34</c:f>
              <c:numCache>
                <c:formatCode>General</c:formatCode>
                <c:ptCount val="12"/>
                <c:pt idx="0">
                  <c:v>9.6262544896893605</c:v>
                </c:pt>
                <c:pt idx="1">
                  <c:v>10.462673965952201</c:v>
                </c:pt>
                <c:pt idx="6">
                  <c:v>7.8118932735173399</c:v>
                </c:pt>
                <c:pt idx="7">
                  <c:v>7.9065249383536296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930-448B-A3AC-6BBCA12B64B1}"/>
            </c:ext>
          </c:extLst>
        </c:ser>
        <c:ser>
          <c:idx val="8"/>
          <c:order val="8"/>
          <c:tx>
            <c:strRef>
              <c:f>'Cost breakdown'!$J$4:$J$5</c:f>
              <c:strCache>
                <c:ptCount val="1"/>
                <c:pt idx="0">
                  <c:v>CO2 capture Point Source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breakdown'!$J$6:$J$34</c:f>
              <c:numCache>
                <c:formatCode>General</c:formatCode>
                <c:ptCount val="12"/>
                <c:pt idx="1">
                  <c:v>3.2595427705966098</c:v>
                </c:pt>
                <c:pt idx="7">
                  <c:v>2.4114670941467802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930-448B-A3AC-6BBCA12B64B1}"/>
            </c:ext>
          </c:extLst>
        </c:ser>
        <c:ser>
          <c:idx val="9"/>
          <c:order val="9"/>
          <c:tx>
            <c:strRef>
              <c:f>'Cost breakdown'!$K$4:$K$5</c:f>
              <c:strCache>
                <c:ptCount val="1"/>
                <c:pt idx="0">
                  <c:v>CO2 capture DAC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breakdown'!$K$6:$K$34</c:f>
              <c:numCache>
                <c:formatCode>General</c:formatCode>
                <c:ptCount val="12"/>
                <c:pt idx="0">
                  <c:v>8.52278026675625</c:v>
                </c:pt>
                <c:pt idx="6">
                  <c:v>6.7142353086812996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30-448B-A3AC-6BBCA12B64B1}"/>
            </c:ext>
          </c:extLst>
        </c:ser>
        <c:ser>
          <c:idx val="10"/>
          <c:order val="10"/>
          <c:tx>
            <c:strRef>
              <c:f>'Cost breakdown'!$L$4:$L$5</c:f>
              <c:strCache>
                <c:ptCount val="1"/>
                <c:pt idx="0">
                  <c:v>Bio-eMeOH plant AEC layout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breakdown'!$L$6:$L$34</c:f>
              <c:numCache>
                <c:formatCode>General</c:formatCode>
                <c:ptCount val="12"/>
                <c:pt idx="4">
                  <c:v>8.1168780331215409</c:v>
                </c:pt>
                <c:pt idx="10">
                  <c:v>6.4626676692007097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930-448B-A3AC-6BBCA12B64B1}"/>
            </c:ext>
          </c:extLst>
        </c:ser>
        <c:ser>
          <c:idx val="11"/>
          <c:order val="11"/>
          <c:tx>
            <c:strRef>
              <c:f>'Cost breakdown'!$M$4:$M$5</c:f>
              <c:strCache>
                <c:ptCount val="1"/>
                <c:pt idx="0">
                  <c:v>Bio-eMeOH plant SOEC layout</c:v>
                </c:pt>
              </c:strCache>
            </c:strRef>
          </c:tx>
          <c:spPr>
            <a:pattFill prst="wdUpDiag">
              <a:fgClr>
                <a:schemeClr val="accent4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breakdown'!$M$6:$M$34</c:f>
              <c:numCache>
                <c:formatCode>General</c:formatCode>
                <c:ptCount val="12"/>
                <c:pt idx="5">
                  <c:v>8.0601148309636397</c:v>
                </c:pt>
                <c:pt idx="11">
                  <c:v>6.4656146852590997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930-448B-A3AC-6BBCA12B64B1}"/>
            </c:ext>
          </c:extLst>
        </c:ser>
        <c:ser>
          <c:idx val="12"/>
          <c:order val="12"/>
          <c:tx>
            <c:strRef>
              <c:f>'Cost breakdown'!$N$4:$N$5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breakdown'!$N$6:$N$34</c:f>
              <c:numCache>
                <c:formatCode>General</c:formatCode>
                <c:ptCount val="12"/>
                <c:pt idx="4">
                  <c:v>4.3375319225951303</c:v>
                </c:pt>
                <c:pt idx="5">
                  <c:v>4.33753192259549</c:v>
                </c:pt>
                <c:pt idx="10">
                  <c:v>4.33753192259607</c:v>
                </c:pt>
                <c:pt idx="11">
                  <c:v>4.3375319225956899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930-448B-A3AC-6BBCA12B64B1}"/>
            </c:ext>
          </c:extLst>
        </c:ser>
        <c:ser>
          <c:idx val="13"/>
          <c:order val="13"/>
          <c:tx>
            <c:strRef>
              <c:f>'Cost breakdown'!$O$4:$O$5</c:f>
              <c:strCache>
                <c:ptCount val="1"/>
                <c:pt idx="0">
                  <c:v>H2 storage (buried pipes)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breakdown'!$O$6:$O$34</c:f>
              <c:numCache>
                <c:formatCode>General</c:formatCode>
                <c:ptCount val="12"/>
                <c:pt idx="0">
                  <c:v>1.91305934196211</c:v>
                </c:pt>
                <c:pt idx="1">
                  <c:v>0.93446832700377302</c:v>
                </c:pt>
                <c:pt idx="2">
                  <c:v>0.69475959478372495</c:v>
                </c:pt>
                <c:pt idx="3">
                  <c:v>0.82228109342175404</c:v>
                </c:pt>
                <c:pt idx="4">
                  <c:v>1.01018409647768</c:v>
                </c:pt>
                <c:pt idx="5">
                  <c:v>0.98166384984142796</c:v>
                </c:pt>
                <c:pt idx="6">
                  <c:v>0.128000463463178</c:v>
                </c:pt>
                <c:pt idx="7">
                  <c:v>4.3266247415824598E-2</c:v>
                </c:pt>
                <c:pt idx="8">
                  <c:v>1.1991827458824499E-2</c:v>
                </c:pt>
                <c:pt idx="9">
                  <c:v>0</c:v>
                </c:pt>
                <c:pt idx="10">
                  <c:v>6.6582915117741906E-2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930-448B-A3AC-6BBCA12B64B1}"/>
            </c:ext>
          </c:extLst>
        </c:ser>
        <c:ser>
          <c:idx val="14"/>
          <c:order val="14"/>
          <c:tx>
            <c:strRef>
              <c:f>'Cost breakdown'!$P$4:$P$5</c:f>
              <c:strCache>
                <c:ptCount val="1"/>
                <c:pt idx="0">
                  <c:v>Charge batteries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breakdown'!$P$6:$P$34</c:f>
              <c:numCache>
                <c:formatCode>General</c:formatCode>
                <c:ptCount val="12"/>
                <c:pt idx="0">
                  <c:v>7.2602820524113299E-4</c:v>
                </c:pt>
                <c:pt idx="1">
                  <c:v>0</c:v>
                </c:pt>
                <c:pt idx="2">
                  <c:v>0</c:v>
                </c:pt>
                <c:pt idx="3">
                  <c:v>1.6023106607315101E-3</c:v>
                </c:pt>
                <c:pt idx="4">
                  <c:v>3.5505622108855097E-4</c:v>
                </c:pt>
                <c:pt idx="5">
                  <c:v>6.0473358050561698E-4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930-448B-A3AC-6BBCA12B64B1}"/>
            </c:ext>
          </c:extLst>
        </c:ser>
        <c:ser>
          <c:idx val="15"/>
          <c:order val="15"/>
          <c:tx>
            <c:strRef>
              <c:f>'Cost breakdown'!$Q$4:$Q$5</c:f>
              <c:strCache>
                <c:ptCount val="1"/>
                <c:pt idx="0">
                  <c:v>Batteries</c:v>
                </c:pt>
              </c:strCache>
            </c:strRef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breakdown'!$Q$6:$Q$34</c:f>
              <c:numCache>
                <c:formatCode>General</c:formatCode>
                <c:ptCount val="12"/>
                <c:pt idx="0">
                  <c:v>5.6740117336123101E-2</c:v>
                </c:pt>
                <c:pt idx="1">
                  <c:v>0</c:v>
                </c:pt>
                <c:pt idx="2">
                  <c:v>0</c:v>
                </c:pt>
                <c:pt idx="3">
                  <c:v>0.10903183296083099</c:v>
                </c:pt>
                <c:pt idx="4">
                  <c:v>2.77223581881159E-2</c:v>
                </c:pt>
                <c:pt idx="5">
                  <c:v>4.4237257533799097E-2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930-448B-A3AC-6BBCA12B64B1}"/>
            </c:ext>
          </c:extLst>
        </c:ser>
        <c:ser>
          <c:idx val="16"/>
          <c:order val="16"/>
          <c:tx>
            <c:strRef>
              <c:f>'Cost breakdown'!$R$4:$R$5</c:f>
              <c:strCache>
                <c:ptCount val="1"/>
                <c:pt idx="0">
                  <c:v>Desalination plant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'Cost breakdown'!$A$6:$A$34</c:f>
              <c:multiLvlStrCache>
                <c:ptCount val="12"/>
                <c:lvl>
                  <c:pt idx="0">
                    <c:v>AEC</c:v>
                  </c:pt>
                  <c:pt idx="1">
                    <c:v>AEC</c:v>
                  </c:pt>
                  <c:pt idx="2">
                    <c:v>AEC</c:v>
                  </c:pt>
                  <c:pt idx="3">
                    <c:v>SOEC</c:v>
                  </c:pt>
                  <c:pt idx="4">
                    <c:v>AEC</c:v>
                  </c:pt>
                  <c:pt idx="5">
                    <c:v>SOEC</c:v>
                  </c:pt>
                  <c:pt idx="6">
                    <c:v>AEC</c:v>
                  </c:pt>
                  <c:pt idx="7">
                    <c:v>AEC</c:v>
                  </c:pt>
                  <c:pt idx="8">
                    <c:v>AEC</c:v>
                  </c:pt>
                  <c:pt idx="9">
                    <c:v>SOEC</c:v>
                  </c:pt>
                  <c:pt idx="10">
                    <c:v>AEC</c:v>
                  </c:pt>
                  <c:pt idx="11">
                    <c:v>SOEC</c:v>
                  </c:pt>
                </c:lvl>
                <c:lvl>
                  <c:pt idx="0">
                    <c:v>DAC</c:v>
                  </c:pt>
                  <c:pt idx="1">
                    <c:v>PS</c:v>
                  </c:pt>
                  <c:pt idx="2">
                    <c:v> </c:v>
                  </c:pt>
                  <c:pt idx="4">
                    <c:v> </c:v>
                  </c:pt>
                  <c:pt idx="6">
                    <c:v>DAC</c:v>
                  </c:pt>
                  <c:pt idx="7">
                    <c:v>PS</c:v>
                  </c:pt>
                  <c:pt idx="8">
                    <c:v> </c:v>
                  </c:pt>
                  <c:pt idx="10">
                    <c:v> </c:v>
                  </c:pt>
                </c:lvl>
                <c:lvl>
                  <c:pt idx="0">
                    <c:v>MeOH</c:v>
                  </c:pt>
                  <c:pt idx="2">
                    <c:v>NH3</c:v>
                  </c:pt>
                  <c:pt idx="4">
                    <c:v>Bio-eMeOH</c:v>
                  </c:pt>
                  <c:pt idx="6">
                    <c:v>MeOH</c:v>
                  </c:pt>
                  <c:pt idx="8">
                    <c:v>NH3</c:v>
                  </c:pt>
                  <c:pt idx="10">
                    <c:v>Bio-eMeOH</c:v>
                  </c:pt>
                </c:lvl>
                <c:lvl>
                  <c:pt idx="0">
                    <c:v>Behind-the-meter_small</c:v>
                  </c:pt>
                  <c:pt idx="6">
                    <c:v>Semi-islanded_small</c:v>
                  </c:pt>
                </c:lvl>
              </c:multiLvlStrCache>
            </c:multiLvlStrRef>
          </c:cat>
          <c:val>
            <c:numRef>
              <c:f>'Cost breakdown'!$R$6:$R$34</c:f>
              <c:numCache>
                <c:formatCode>General</c:formatCode>
                <c:ptCount val="12"/>
                <c:pt idx="0">
                  <c:v>0.10291626485755501</c:v>
                </c:pt>
                <c:pt idx="1">
                  <c:v>0.104282401830673</c:v>
                </c:pt>
                <c:pt idx="2">
                  <c:v>0.10011757251933499</c:v>
                </c:pt>
                <c:pt idx="3">
                  <c:v>9.6115557170160001E-2</c:v>
                </c:pt>
                <c:pt idx="4">
                  <c:v>5.3361077537537299E-2</c:v>
                </c:pt>
                <c:pt idx="5">
                  <c:v>5.2088911527112702E-2</c:v>
                </c:pt>
                <c:pt idx="6">
                  <c:v>7.2321074717362696E-2</c:v>
                </c:pt>
                <c:pt idx="7">
                  <c:v>7.1697846671749804E-2</c:v>
                </c:pt>
                <c:pt idx="8">
                  <c:v>6.9582923267348898E-2</c:v>
                </c:pt>
                <c:pt idx="9">
                  <c:v>6.8613656669933798E-2</c:v>
                </c:pt>
                <c:pt idx="10">
                  <c:v>3.7656721943613601E-2</c:v>
                </c:pt>
                <c:pt idx="11">
                  <c:v>3.6735759006321998E-2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7-4A29-A86B-2BE9670AC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4873424"/>
        <c:axId val="694866864"/>
      </c:bar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73424"/>
        <c:crosses val="autoZero"/>
        <c:crossBetween val="between"/>
      </c:valAx>
      <c:spPr>
        <a:noFill/>
        <a:ln>
          <a:solidFill>
            <a:schemeClr val="bg1">
              <a:alpha val="97000"/>
            </a:schemeClr>
          </a:solidFill>
        </a:ln>
        <a:effectLst/>
      </c:spPr>
    </c:plotArea>
    <c:legend>
      <c:legendPos val="b"/>
      <c:legendEntry>
        <c:idx val="1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[Results.xlsm]Electricity share!PivotTable1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'Electricity share'!$B$4:$B$5</c:f>
              <c:strCache>
                <c:ptCount val="1"/>
                <c:pt idx="0">
                  <c:v>Grid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'Electricity share'!$A$6:$A$14</c:f>
              <c:multiLvlStrCache>
                <c:ptCount val="4"/>
                <c:lvl>
                  <c:pt idx="0">
                    <c:v>Bornholm</c:v>
                  </c:pt>
                  <c:pt idx="1">
                    <c:v>Bornholm</c:v>
                  </c:pt>
                  <c:pt idx="2">
                    <c:v>Bornholm</c:v>
                  </c:pt>
                  <c:pt idx="3">
                    <c:v>Bornholm</c:v>
                  </c:pt>
                </c:lvl>
                <c:lvl>
                  <c:pt idx="0">
                    <c:v>Behind-the-meter_large</c:v>
                  </c:pt>
                  <c:pt idx="1">
                    <c:v>Semi-islanded_large</c:v>
                  </c:pt>
                  <c:pt idx="2">
                    <c:v>Behind-the-meter_small</c:v>
                  </c:pt>
                  <c:pt idx="3">
                    <c:v>Semi-islanded_small</c:v>
                  </c:pt>
                </c:lvl>
              </c:multiLvlStrCache>
            </c:multiLvlStrRef>
          </c:cat>
          <c:val>
            <c:numRef>
              <c:f>'Electricity share'!$B$6:$B$14</c:f>
              <c:numCache>
                <c:formatCode>General</c:formatCode>
                <c:ptCount val="4"/>
                <c:pt idx="0">
                  <c:v>0</c:v>
                </c:pt>
                <c:pt idx="1">
                  <c:v>13967.877607748551</c:v>
                </c:pt>
                <c:pt idx="2">
                  <c:v>0</c:v>
                </c:pt>
                <c:pt idx="3">
                  <c:v>1396.7377761603821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C-4BD1-B8B8-A8BA8BA72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4873424"/>
        <c:axId val="694866864"/>
      </c:bar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 of the total power supply per source in the cheapest configuration</a:t>
                </a:r>
              </a:p>
            </c:rich>
          </c:tx>
          <c:layout>
            <c:manualLayout>
              <c:xMode val="edge"/>
              <c:yMode val="edge"/>
              <c:x val="1.5959815367906596E-2"/>
              <c:y val="0.13852927343619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[Results.xlsm]Electricity consumption!PivotTable1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'Electricity consumption'!$B$4:$B$9</c:f>
              <c:strCache>
                <c:ptCount val="1"/>
                <c:pt idx="0">
                  <c:v>Semi-islanded_large - Bornholm - NH3 - None - AEC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'Electricity consumption'!$A$10:$A$29</c:f>
              <c:strCache>
                <c:ptCount val="19"/>
                <c:pt idx="0">
                  <c:v>Batteries</c:v>
                </c:pt>
                <c:pt idx="1">
                  <c:v>Charge batteries</c:v>
                </c:pt>
                <c:pt idx="2">
                  <c:v>Desalination plant</c:v>
                </c:pt>
                <c:pt idx="3">
                  <c:v>Discharge batteries</c:v>
                </c:pt>
                <c:pt idx="4">
                  <c:v>Electricity from the grid</c:v>
                </c:pt>
                <c:pt idx="5">
                  <c:v>Electricity to the grid</c:v>
                </c:pt>
                <c:pt idx="6">
                  <c:v>Electrolyser AEC</c:v>
                </c:pt>
                <c:pt idx="7">
                  <c:v>Heat from district heating</c:v>
                </c:pt>
                <c:pt idx="8">
                  <c:v>Heat sent to district heating</c:v>
                </c:pt>
                <c:pt idx="9">
                  <c:v>Sale of oxygen</c:v>
                </c:pt>
                <c:pt idx="10">
                  <c:v>Solar fixed</c:v>
                </c:pt>
                <c:pt idx="11">
                  <c:v>NH3 plant + ASU - AEC</c:v>
                </c:pt>
                <c:pt idx="12">
                  <c:v>H2 pipeline to NH3 plant</c:v>
                </c:pt>
                <c:pt idx="13">
                  <c:v>H2 pipes compressor</c:v>
                </c:pt>
                <c:pt idx="14">
                  <c:v>H2 pipes valve</c:v>
                </c:pt>
                <c:pt idx="15">
                  <c:v>H2 buried pipes</c:v>
                </c:pt>
                <c:pt idx="16">
                  <c:v>Wind offshore (SP379-HH100)</c:v>
                </c:pt>
                <c:pt idx="17">
                  <c:v>Electrolyser SOEC</c:v>
                </c:pt>
                <c:pt idx="18">
                  <c:v>NH3 plant + ASU - SOEC</c:v>
                </c:pt>
              </c:strCache>
            </c:strRef>
          </c:cat>
          <c:val>
            <c:numRef>
              <c:f>'Electricity consumption'!$B$10:$B$29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4.5776804600227399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3626.7817864641602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161.80645161291201</c:v>
                </c:pt>
                <c:pt idx="12">
                  <c:v>0</c:v>
                </c:pt>
                <c:pt idx="13">
                  <c:v>0.31171687336659998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C-4DA1-BB92-EB451CA0AFD8}"/>
            </c:ext>
          </c:extLst>
        </c:ser>
        <c:ser>
          <c:idx val="1"/>
          <c:order val="1"/>
          <c:tx>
            <c:strRef>
              <c:f>'Electricity consumption'!$C$4:$C$9</c:f>
              <c:strCache>
                <c:ptCount val="1"/>
                <c:pt idx="0">
                  <c:v>Semi-islanded_large - Bornholm - NH3 - None - SOEC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'Electricity consumption'!$A$10:$A$29</c:f>
              <c:strCache>
                <c:ptCount val="19"/>
                <c:pt idx="0">
                  <c:v>Batteries</c:v>
                </c:pt>
                <c:pt idx="1">
                  <c:v>Charge batteries</c:v>
                </c:pt>
                <c:pt idx="2">
                  <c:v>Desalination plant</c:v>
                </c:pt>
                <c:pt idx="3">
                  <c:v>Discharge batteries</c:v>
                </c:pt>
                <c:pt idx="4">
                  <c:v>Electricity from the grid</c:v>
                </c:pt>
                <c:pt idx="5">
                  <c:v>Electricity to the grid</c:v>
                </c:pt>
                <c:pt idx="6">
                  <c:v>Electrolyser AEC</c:v>
                </c:pt>
                <c:pt idx="7">
                  <c:v>Heat from district heating</c:v>
                </c:pt>
                <c:pt idx="8">
                  <c:v>Heat sent to district heating</c:v>
                </c:pt>
                <c:pt idx="9">
                  <c:v>Sale of oxygen</c:v>
                </c:pt>
                <c:pt idx="10">
                  <c:v>Solar fixed</c:v>
                </c:pt>
                <c:pt idx="11">
                  <c:v>NH3 plant + ASU - AEC</c:v>
                </c:pt>
                <c:pt idx="12">
                  <c:v>H2 pipeline to NH3 plant</c:v>
                </c:pt>
                <c:pt idx="13">
                  <c:v>H2 pipes compressor</c:v>
                </c:pt>
                <c:pt idx="14">
                  <c:v>H2 pipes valve</c:v>
                </c:pt>
                <c:pt idx="15">
                  <c:v>H2 buried pipes</c:v>
                </c:pt>
                <c:pt idx="16">
                  <c:v>Wind offshore (SP379-HH100)</c:v>
                </c:pt>
                <c:pt idx="17">
                  <c:v>Electrolyser SOEC</c:v>
                </c:pt>
                <c:pt idx="18">
                  <c:v>NH3 plant + ASU - SOEC</c:v>
                </c:pt>
              </c:strCache>
            </c:strRef>
          </c:cat>
          <c:val>
            <c:numRef>
              <c:f>'Electricity consumption'!$C$10:$C$29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4.5776615894314796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-2.2655513021167399E-15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3258.72284397663</c:v>
                </c:pt>
                <c:pt idx="18">
                  <c:v>353.419354838679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7D-48EF-BFF4-8F190A7DB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4873424"/>
        <c:axId val="694866864"/>
      </c:bar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[Results.xlsm]Installed capacities!PivotTable1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'Installed capacities'!$B$3:$B$8</c:f>
              <c:strCache>
                <c:ptCount val="1"/>
                <c:pt idx="0">
                  <c:v>Ammonia-AEC - AEC - NH3 - None - 2015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capacities'!$B$9:$B$17</c:f>
              <c:numCache>
                <c:formatCode>General</c:formatCode>
                <c:ptCount val="9"/>
                <c:pt idx="0">
                  <c:v>85.175352370948104</c:v>
                </c:pt>
                <c:pt idx="1">
                  <c:v>184.685185489849</c:v>
                </c:pt>
                <c:pt idx="2">
                  <c:v>16.416460932431001</c:v>
                </c:pt>
                <c:pt idx="3">
                  <c:v>114.63251678103499</c:v>
                </c:pt>
                <c:pt idx="4">
                  <c:v>0</c:v>
                </c:pt>
                <c:pt idx="5">
                  <c:v>887.81644832931499</c:v>
                </c:pt>
                <c:pt idx="6">
                  <c:v>0</c:v>
                </c:pt>
                <c:pt idx="7">
                  <c:v>28.853831842444201</c:v>
                </c:pt>
                <c:pt idx="8">
                  <c:v>148.04475677727399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C5-49F8-89AE-2AF1BEA00020}"/>
            </c:ext>
          </c:extLst>
        </c:ser>
        <c:ser>
          <c:idx val="1"/>
          <c:order val="1"/>
          <c:tx>
            <c:strRef>
              <c:f>'Installed capacities'!$C$3:$C$8</c:f>
              <c:strCache>
                <c:ptCount val="1"/>
                <c:pt idx="0">
                  <c:v>Ammonia-AEC - AEC - NH3 - None - 2016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capacities'!$C$9:$C$17</c:f>
              <c:numCache>
                <c:formatCode>General</c:formatCode>
                <c:ptCount val="9"/>
                <c:pt idx="0">
                  <c:v>96.1614179459539</c:v>
                </c:pt>
                <c:pt idx="1">
                  <c:v>218.45764285069899</c:v>
                </c:pt>
                <c:pt idx="2">
                  <c:v>19.418457142284399</c:v>
                </c:pt>
                <c:pt idx="3">
                  <c:v>205.659810348126</c:v>
                </c:pt>
                <c:pt idx="4">
                  <c:v>0</c:v>
                </c:pt>
                <c:pt idx="5">
                  <c:v>1110.20583762563</c:v>
                </c:pt>
                <c:pt idx="6">
                  <c:v>0</c:v>
                </c:pt>
                <c:pt idx="7">
                  <c:v>0</c:v>
                </c:pt>
                <c:pt idx="8">
                  <c:v>277.037840184532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B-46A2-B74A-6B6A15A5D698}"/>
            </c:ext>
          </c:extLst>
        </c:ser>
        <c:ser>
          <c:idx val="2"/>
          <c:order val="2"/>
          <c:tx>
            <c:strRef>
              <c:f>'Installed capacities'!$D$3:$D$8</c:f>
              <c:strCache>
                <c:ptCount val="1"/>
                <c:pt idx="0">
                  <c:v>Ammonia-AEC - AEC - NH3 - None - 2017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capacities'!$D$9:$D$17</c:f>
              <c:numCache>
                <c:formatCode>General</c:formatCode>
                <c:ptCount val="9"/>
                <c:pt idx="0">
                  <c:v>83.628262974111394</c:v>
                </c:pt>
                <c:pt idx="1">
                  <c:v>193.27424532323101</c:v>
                </c:pt>
                <c:pt idx="2">
                  <c:v>17.179932917620501</c:v>
                </c:pt>
                <c:pt idx="3">
                  <c:v>195.16465100984399</c:v>
                </c:pt>
                <c:pt idx="4">
                  <c:v>0</c:v>
                </c:pt>
                <c:pt idx="5">
                  <c:v>958.27230622821298</c:v>
                </c:pt>
                <c:pt idx="6">
                  <c:v>0</c:v>
                </c:pt>
                <c:pt idx="7">
                  <c:v>0</c:v>
                </c:pt>
                <c:pt idx="8">
                  <c:v>113.89749548898099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B-46A2-B74A-6B6A15A5D698}"/>
            </c:ext>
          </c:extLst>
        </c:ser>
        <c:ser>
          <c:idx val="3"/>
          <c:order val="3"/>
          <c:tx>
            <c:strRef>
              <c:f>'Installed capacities'!$E$3:$E$8</c:f>
              <c:strCache>
                <c:ptCount val="1"/>
                <c:pt idx="0">
                  <c:v>Ammonia-AEC - AEC - NH3 - None - 2018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capacities'!$E$9:$E$17</c:f>
              <c:numCache>
                <c:formatCode>General</c:formatCode>
                <c:ptCount val="9"/>
                <c:pt idx="0">
                  <c:v>93.714204554132607</c:v>
                </c:pt>
                <c:pt idx="1">
                  <c:v>220.47583712286601</c:v>
                </c:pt>
                <c:pt idx="2">
                  <c:v>19.5978521886992</c:v>
                </c:pt>
                <c:pt idx="3">
                  <c:v>245.858007765178</c:v>
                </c:pt>
                <c:pt idx="4">
                  <c:v>0</c:v>
                </c:pt>
                <c:pt idx="5">
                  <c:v>1113.7365466259801</c:v>
                </c:pt>
                <c:pt idx="6">
                  <c:v>0</c:v>
                </c:pt>
                <c:pt idx="7">
                  <c:v>0</c:v>
                </c:pt>
                <c:pt idx="8">
                  <c:v>171.56889698673999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B-46A2-B74A-6B6A15A5D698}"/>
            </c:ext>
          </c:extLst>
        </c:ser>
        <c:ser>
          <c:idx val="4"/>
          <c:order val="4"/>
          <c:tx>
            <c:strRef>
              <c:f>'Installed capacities'!$F$3:$F$8</c:f>
              <c:strCache>
                <c:ptCount val="1"/>
                <c:pt idx="0">
                  <c:v>Ammonia-AEC - AEC - NH3 - None - 2019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capacities'!$F$9:$F$17</c:f>
              <c:numCache>
                <c:formatCode>General</c:formatCode>
                <c:ptCount val="9"/>
                <c:pt idx="0">
                  <c:v>84.841699480269796</c:v>
                </c:pt>
                <c:pt idx="1">
                  <c:v>195.31699761637501</c:v>
                </c:pt>
                <c:pt idx="2">
                  <c:v>17.361510899233298</c:v>
                </c:pt>
                <c:pt idx="3">
                  <c:v>151.58288150016901</c:v>
                </c:pt>
                <c:pt idx="4">
                  <c:v>0</c:v>
                </c:pt>
                <c:pt idx="5">
                  <c:v>977.78667610196896</c:v>
                </c:pt>
                <c:pt idx="6">
                  <c:v>0</c:v>
                </c:pt>
                <c:pt idx="7">
                  <c:v>0</c:v>
                </c:pt>
                <c:pt idx="8">
                  <c:v>72.121986174380297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B-46A2-B74A-6B6A15A5D698}"/>
            </c:ext>
          </c:extLst>
        </c:ser>
        <c:ser>
          <c:idx val="5"/>
          <c:order val="5"/>
          <c:tx>
            <c:strRef>
              <c:f>'Installed capacities'!$G$3:$G$8</c:f>
              <c:strCache>
                <c:ptCount val="1"/>
                <c:pt idx="0">
                  <c:v>Ammonia-AEC - AEC - NH3 - None - 2020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capacities'!$G$9:$G$17</c:f>
              <c:numCache>
                <c:formatCode>General</c:formatCode>
                <c:ptCount val="9"/>
                <c:pt idx="0">
                  <c:v>88.022694697406195</c:v>
                </c:pt>
                <c:pt idx="1">
                  <c:v>195.620209708255</c:v>
                </c:pt>
                <c:pt idx="2">
                  <c:v>17.388463085178198</c:v>
                </c:pt>
                <c:pt idx="3">
                  <c:v>144.54417045528501</c:v>
                </c:pt>
                <c:pt idx="4">
                  <c:v>0</c:v>
                </c:pt>
                <c:pt idx="5">
                  <c:v>981.01122236987601</c:v>
                </c:pt>
                <c:pt idx="6">
                  <c:v>0</c:v>
                </c:pt>
                <c:pt idx="7">
                  <c:v>0</c:v>
                </c:pt>
                <c:pt idx="8">
                  <c:v>237.080612144556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B-46A2-B74A-6B6A15A5D698}"/>
            </c:ext>
          </c:extLst>
        </c:ser>
        <c:ser>
          <c:idx val="6"/>
          <c:order val="6"/>
          <c:tx>
            <c:strRef>
              <c:f>'Installed capacities'!$H$3:$H$8</c:f>
              <c:strCache>
                <c:ptCount val="1"/>
                <c:pt idx="0">
                  <c:v>Ammonia-AEC - AEC - NH3 - None - 2021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capacities'!$H$9:$H$17</c:f>
              <c:numCache>
                <c:formatCode>General</c:formatCode>
                <c:ptCount val="9"/>
                <c:pt idx="0">
                  <c:v>75.460038673426297</c:v>
                </c:pt>
                <c:pt idx="1">
                  <c:v>215.12485472608799</c:v>
                </c:pt>
                <c:pt idx="2">
                  <c:v>19.1222093089856</c:v>
                </c:pt>
                <c:pt idx="3">
                  <c:v>494.029902908824</c:v>
                </c:pt>
                <c:pt idx="4">
                  <c:v>0</c:v>
                </c:pt>
                <c:pt idx="5">
                  <c:v>1069.6731890557</c:v>
                </c:pt>
                <c:pt idx="6">
                  <c:v>0</c:v>
                </c:pt>
                <c:pt idx="7">
                  <c:v>0</c:v>
                </c:pt>
                <c:pt idx="8">
                  <c:v>116.388580528137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B-46A2-B74A-6B6A15A5D698}"/>
            </c:ext>
          </c:extLst>
        </c:ser>
        <c:ser>
          <c:idx val="7"/>
          <c:order val="7"/>
          <c:tx>
            <c:strRef>
              <c:f>'Installed capacities'!$I$3:$I$8</c:f>
              <c:strCache>
                <c:ptCount val="1"/>
                <c:pt idx="0">
                  <c:v>AmmoniaFlex-AEC - AEC - NH3 - None - 2015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capacities'!$I$9:$I$17</c:f>
              <c:numCache>
                <c:formatCode>0</c:formatCode>
                <c:ptCount val="9"/>
                <c:pt idx="0">
                  <c:v>85.548933436373403</c:v>
                </c:pt>
                <c:pt idx="1">
                  <c:v>186.42419576188999</c:v>
                </c:pt>
                <c:pt idx="2">
                  <c:v>16.571039623279098</c:v>
                </c:pt>
                <c:pt idx="3">
                  <c:v>114.793616030363</c:v>
                </c:pt>
                <c:pt idx="4">
                  <c:v>0</c:v>
                </c:pt>
                <c:pt idx="5">
                  <c:v>911.612675393514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8A9-9FD5-D9BEA6D4C952}"/>
            </c:ext>
          </c:extLst>
        </c:ser>
        <c:ser>
          <c:idx val="8"/>
          <c:order val="8"/>
          <c:tx>
            <c:strRef>
              <c:f>'Installed capacities'!$J$3:$J$8</c:f>
              <c:strCache>
                <c:ptCount val="1"/>
                <c:pt idx="0">
                  <c:v>AmmoniaFlex-AEC - AEC - NH3 - None - 2016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capacities'!$J$9:$J$17</c:f>
              <c:numCache>
                <c:formatCode>0</c:formatCode>
                <c:ptCount val="9"/>
                <c:pt idx="0">
                  <c:v>104.98044729223901</c:v>
                </c:pt>
                <c:pt idx="1">
                  <c:v>219.16277013697399</c:v>
                </c:pt>
                <c:pt idx="2">
                  <c:v>19.481135123286599</c:v>
                </c:pt>
                <c:pt idx="3">
                  <c:v>46.356822244338197</c:v>
                </c:pt>
                <c:pt idx="4">
                  <c:v>0</c:v>
                </c:pt>
                <c:pt idx="5">
                  <c:v>1100.7232386042999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3-48A9-9FD5-D9BEA6D4C952}"/>
            </c:ext>
          </c:extLst>
        </c:ser>
        <c:ser>
          <c:idx val="9"/>
          <c:order val="9"/>
          <c:tx>
            <c:strRef>
              <c:f>'Installed capacities'!$K$3:$K$8</c:f>
              <c:strCache>
                <c:ptCount val="1"/>
                <c:pt idx="0">
                  <c:v>AmmoniaFlex-AEC - AEC - NH3 - None - 2017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capacities'!$K$9:$K$17</c:f>
              <c:numCache>
                <c:formatCode>0</c:formatCode>
                <c:ptCount val="9"/>
                <c:pt idx="0">
                  <c:v>85.342854176083307</c:v>
                </c:pt>
                <c:pt idx="1">
                  <c:v>194.60926039629399</c:v>
                </c:pt>
                <c:pt idx="2">
                  <c:v>17.298600924115</c:v>
                </c:pt>
                <c:pt idx="3">
                  <c:v>163.236923202496</c:v>
                </c:pt>
                <c:pt idx="4">
                  <c:v>0</c:v>
                </c:pt>
                <c:pt idx="5">
                  <c:v>955.59983846333398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3-48A9-9FD5-D9BEA6D4C952}"/>
            </c:ext>
          </c:extLst>
        </c:ser>
        <c:ser>
          <c:idx val="10"/>
          <c:order val="10"/>
          <c:tx>
            <c:strRef>
              <c:f>'Installed capacities'!$L$3:$L$8</c:f>
              <c:strCache>
                <c:ptCount val="1"/>
                <c:pt idx="0">
                  <c:v>AmmoniaFlex-AEC - AEC - NH3 - None - 2018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capacities'!$L$9:$L$17</c:f>
              <c:numCache>
                <c:formatCode>0</c:formatCode>
                <c:ptCount val="9"/>
                <c:pt idx="0">
                  <c:v>94.543189332053501</c:v>
                </c:pt>
                <c:pt idx="1">
                  <c:v>223.07407492446501</c:v>
                </c:pt>
                <c:pt idx="2">
                  <c:v>19.828806659952502</c:v>
                </c:pt>
                <c:pt idx="3">
                  <c:v>231.056453662244</c:v>
                </c:pt>
                <c:pt idx="4">
                  <c:v>0</c:v>
                </c:pt>
                <c:pt idx="5">
                  <c:v>1111.5858662482401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73-48A9-9FD5-D9BEA6D4C952}"/>
            </c:ext>
          </c:extLst>
        </c:ser>
        <c:ser>
          <c:idx val="11"/>
          <c:order val="11"/>
          <c:tx>
            <c:strRef>
              <c:f>'Installed capacities'!$M$3:$M$8</c:f>
              <c:strCache>
                <c:ptCount val="1"/>
                <c:pt idx="0">
                  <c:v>AmmoniaFlex-AEC - AEC - NH3 - None - 2019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capacities'!$M$9:$M$17</c:f>
              <c:numCache>
                <c:formatCode>0</c:formatCode>
                <c:ptCount val="9"/>
                <c:pt idx="0">
                  <c:v>84.863295535122504</c:v>
                </c:pt>
                <c:pt idx="1">
                  <c:v>196.36014127335099</c:v>
                </c:pt>
                <c:pt idx="2">
                  <c:v>17.454234779853401</c:v>
                </c:pt>
                <c:pt idx="3">
                  <c:v>156.31958116332399</c:v>
                </c:pt>
                <c:pt idx="4">
                  <c:v>0</c:v>
                </c:pt>
                <c:pt idx="5">
                  <c:v>977.49316410915299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73-48A9-9FD5-D9BEA6D4C952}"/>
            </c:ext>
          </c:extLst>
        </c:ser>
        <c:ser>
          <c:idx val="12"/>
          <c:order val="12"/>
          <c:tx>
            <c:strRef>
              <c:f>'Installed capacities'!$N$3:$N$8</c:f>
              <c:strCache>
                <c:ptCount val="1"/>
                <c:pt idx="0">
                  <c:v>AmmoniaFlex-AEC - AEC - NH3 - None - 2020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capacities'!$N$9:$N$17</c:f>
              <c:numCache>
                <c:formatCode>0</c:formatCode>
                <c:ptCount val="9"/>
                <c:pt idx="0">
                  <c:v>89.553952362204996</c:v>
                </c:pt>
                <c:pt idx="1">
                  <c:v>198.07843548337399</c:v>
                </c:pt>
                <c:pt idx="2">
                  <c:v>17.6069720429666</c:v>
                </c:pt>
                <c:pt idx="3">
                  <c:v>123.14769315655001</c:v>
                </c:pt>
                <c:pt idx="4">
                  <c:v>2.9356515357022799</c:v>
                </c:pt>
                <c:pt idx="5">
                  <c:v>974.38709462625798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73-48A9-9FD5-D9BEA6D4C952}"/>
            </c:ext>
          </c:extLst>
        </c:ser>
        <c:ser>
          <c:idx val="13"/>
          <c:order val="13"/>
          <c:tx>
            <c:strRef>
              <c:f>'Installed capacities'!$O$3:$O$8</c:f>
              <c:strCache>
                <c:ptCount val="1"/>
                <c:pt idx="0">
                  <c:v>AmmoniaFlex-AEC - AEC - NH3 - None - 2021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'Installed capacities'!$A$9:$A$17</c:f>
              <c:strCache>
                <c:ptCount val="9"/>
                <c:pt idx="0">
                  <c:v>NH3 plant with AEC layout (t NH3/h)</c:v>
                </c:pt>
                <c:pt idx="1">
                  <c:v>Waste water plant (t H2O / h)</c:v>
                </c:pt>
                <c:pt idx="2">
                  <c:v>Electrolyser AEC (t H2/h)</c:v>
                </c:pt>
                <c:pt idx="3">
                  <c:v>H2 storage (buried pipes) (t H2)</c:v>
                </c:pt>
                <c:pt idx="4">
                  <c:v>OFF_SP379-HH100</c:v>
                </c:pt>
                <c:pt idx="5">
                  <c:v>OFF_SP379-HH150</c:v>
                </c:pt>
                <c:pt idx="6">
                  <c:v>OFF_SP450-HH100</c:v>
                </c:pt>
                <c:pt idx="7">
                  <c:v>OFF_SP450-HH150</c:v>
                </c:pt>
                <c:pt idx="8">
                  <c:v>Batteries (MWh)</c:v>
                </c:pt>
              </c:strCache>
            </c:strRef>
          </c:cat>
          <c:val>
            <c:numRef>
              <c:f>'Installed capacities'!$O$9:$O$17</c:f>
              <c:numCache>
                <c:formatCode>0</c:formatCode>
                <c:ptCount val="9"/>
                <c:pt idx="0">
                  <c:v>77.448847781876495</c:v>
                </c:pt>
                <c:pt idx="1">
                  <c:v>216.30393657190501</c:v>
                </c:pt>
                <c:pt idx="2">
                  <c:v>19.227016584169299</c:v>
                </c:pt>
                <c:pt idx="3">
                  <c:v>464.413398576823</c:v>
                </c:pt>
                <c:pt idx="4">
                  <c:v>0</c:v>
                </c:pt>
                <c:pt idx="5">
                  <c:v>1067.8086867622601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73-48A9-9FD5-D9BEA6D4C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0972576"/>
        <c:axId val="420973232"/>
      </c:barChart>
      <c:catAx>
        <c:axId val="4209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20973232"/>
        <c:crosses val="autoZero"/>
        <c:auto val="1"/>
        <c:lblAlgn val="ctr"/>
        <c:lblOffset val="100"/>
        <c:noMultiLvlLbl val="0"/>
      </c:catAx>
      <c:valAx>
        <c:axId val="420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2097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[Results.xlsm]Ressources used!PivotTable1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'Ressources used'!$B$3:$B$7</c:f>
              <c:strCache>
                <c:ptCount val="1"/>
                <c:pt idx="0">
                  <c:v>Ammonia-AEC - AEC - NH3 - None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'Ressources used'!$A$8:$A$55</c:f>
              <c:multiLvlStrCache>
                <c:ptCount val="42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2017</c:v>
                  </c:pt>
                  <c:pt idx="17">
                    <c:v>2018</c:v>
                  </c:pt>
                  <c:pt idx="18">
                    <c:v>2019</c:v>
                  </c:pt>
                  <c:pt idx="19">
                    <c:v>2020</c:v>
                  </c:pt>
                  <c:pt idx="20">
                    <c:v>2021</c:v>
                  </c:pt>
                  <c:pt idx="21">
                    <c:v>2015</c:v>
                  </c:pt>
                  <c:pt idx="22">
                    <c:v>2016</c:v>
                  </c:pt>
                  <c:pt idx="23">
                    <c:v>2017</c:v>
                  </c:pt>
                  <c:pt idx="24">
                    <c:v>2018</c:v>
                  </c:pt>
                  <c:pt idx="25">
                    <c:v>2019</c:v>
                  </c:pt>
                  <c:pt idx="26">
                    <c:v>2020</c:v>
                  </c:pt>
                  <c:pt idx="27">
                    <c:v>2021</c:v>
                  </c:pt>
                  <c:pt idx="28">
                    <c:v>2015</c:v>
                  </c:pt>
                  <c:pt idx="29">
                    <c:v>2016</c:v>
                  </c:pt>
                  <c:pt idx="30">
                    <c:v>2017</c:v>
                  </c:pt>
                  <c:pt idx="31">
                    <c:v>2018</c:v>
                  </c:pt>
                  <c:pt idx="32">
                    <c:v>2019</c:v>
                  </c:pt>
                  <c:pt idx="33">
                    <c:v>2020</c:v>
                  </c:pt>
                  <c:pt idx="34">
                    <c:v>2021</c:v>
                  </c:pt>
                  <c:pt idx="35">
                    <c:v>2015</c:v>
                  </c:pt>
                  <c:pt idx="36">
                    <c:v>2016</c:v>
                  </c:pt>
                  <c:pt idx="37">
                    <c:v>2017</c:v>
                  </c:pt>
                  <c:pt idx="38">
                    <c:v>2018</c:v>
                  </c:pt>
                  <c:pt idx="39">
                    <c:v>2019</c:v>
                  </c:pt>
                  <c:pt idx="40">
                    <c:v>2020</c:v>
                  </c:pt>
                  <c:pt idx="41">
                    <c:v>2021</c:v>
                  </c:pt>
                </c:lvl>
                <c:lvl>
                  <c:pt idx="0">
                    <c:v>NH3 plant with AEC layout (kt NH3)</c:v>
                  </c:pt>
                  <c:pt idx="7">
                    <c:v>Electrolyser AEC (kt H2)</c:v>
                  </c:pt>
                  <c:pt idx="14">
                    <c:v>Heat sent to district heating (GWhth)</c:v>
                  </c:pt>
                  <c:pt idx="21">
                    <c:v>Sale of oxygen (kt O2)</c:v>
                  </c:pt>
                  <c:pt idx="28">
                    <c:v>Grid (GWh)</c:v>
                  </c:pt>
                  <c:pt idx="35">
                    <c:v>Curtailment (GWh)</c:v>
                  </c:pt>
                </c:lvl>
              </c:multiLvlStrCache>
            </c:multiLvlStrRef>
          </c:cat>
          <c:val>
            <c:numRef>
              <c:f>'Ressources used'!$B$8:$B$55</c:f>
              <c:numCache>
                <c:formatCode>General</c:formatCode>
                <c:ptCount val="42"/>
                <c:pt idx="0">
                  <c:v>425.80645161289902</c:v>
                </c:pt>
                <c:pt idx="1">
                  <c:v>425.80645161289601</c:v>
                </c:pt>
                <c:pt idx="2">
                  <c:v>425.80645161289601</c:v>
                </c:pt>
                <c:pt idx="3">
                  <c:v>425.80645161289402</c:v>
                </c:pt>
                <c:pt idx="4">
                  <c:v>425.80645161289902</c:v>
                </c:pt>
                <c:pt idx="5">
                  <c:v>425.80645161290403</c:v>
                </c:pt>
                <c:pt idx="6">
                  <c:v>425.806451612898</c:v>
                </c:pt>
                <c:pt idx="7">
                  <c:v>76.655478216829593</c:v>
                </c:pt>
                <c:pt idx="8">
                  <c:v>76.663670673245903</c:v>
                </c:pt>
                <c:pt idx="9">
                  <c:v>76.662726108918804</c:v>
                </c:pt>
                <c:pt idx="10">
                  <c:v>76.667288511018697</c:v>
                </c:pt>
                <c:pt idx="11">
                  <c:v>76.658803749648001</c:v>
                </c:pt>
                <c:pt idx="12">
                  <c:v>76.658170265660004</c:v>
                </c:pt>
                <c:pt idx="13">
                  <c:v>76.689623981594707</c:v>
                </c:pt>
                <c:pt idx="14">
                  <c:v>435.09649435872598</c:v>
                </c:pt>
                <c:pt idx="15">
                  <c:v>435.14299474136499</c:v>
                </c:pt>
                <c:pt idx="16">
                  <c:v>435.137633394224</c:v>
                </c:pt>
                <c:pt idx="17">
                  <c:v>435.16352958852298</c:v>
                </c:pt>
                <c:pt idx="18">
                  <c:v>435.11537008300797</c:v>
                </c:pt>
                <c:pt idx="19">
                  <c:v>435.11177442791899</c:v>
                </c:pt>
                <c:pt idx="20">
                  <c:v>435.29030571953399</c:v>
                </c:pt>
                <c:pt idx="21">
                  <c:v>594.84651096257505</c:v>
                </c:pt>
                <c:pt idx="22">
                  <c:v>594.910084424405</c:v>
                </c:pt>
                <c:pt idx="23">
                  <c:v>594.90275460524595</c:v>
                </c:pt>
                <c:pt idx="24">
                  <c:v>594.93815884551304</c:v>
                </c:pt>
                <c:pt idx="25">
                  <c:v>594.872317097277</c:v>
                </c:pt>
                <c:pt idx="26">
                  <c:v>594.86740126153802</c:v>
                </c:pt>
                <c:pt idx="27">
                  <c:v>595.111482097156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14.9660571671211</c:v>
                </c:pt>
                <c:pt idx="36">
                  <c:v>59.664578443712401</c:v>
                </c:pt>
                <c:pt idx="37">
                  <c:v>26.5669188975303</c:v>
                </c:pt>
                <c:pt idx="38">
                  <c:v>41.485602668865504</c:v>
                </c:pt>
                <c:pt idx="39">
                  <c:v>42.216611050744497</c:v>
                </c:pt>
                <c:pt idx="40">
                  <c:v>25.0487537431632</c:v>
                </c:pt>
                <c:pt idx="41">
                  <c:v>36.5967201301047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52-423E-8E5A-C3ACDFD0B570}"/>
            </c:ext>
          </c:extLst>
        </c:ser>
        <c:ser>
          <c:idx val="1"/>
          <c:order val="1"/>
          <c:tx>
            <c:strRef>
              <c:f>'Ressources used'!$C$3:$C$7</c:f>
              <c:strCache>
                <c:ptCount val="1"/>
                <c:pt idx="0">
                  <c:v>AmmoniaFlex-AEC - AEC - NH3 - None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'Ressources used'!$A$8:$A$55</c:f>
              <c:multiLvlStrCache>
                <c:ptCount val="42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  <c:pt idx="14">
                    <c:v>2015</c:v>
                  </c:pt>
                  <c:pt idx="15">
                    <c:v>2016</c:v>
                  </c:pt>
                  <c:pt idx="16">
                    <c:v>2017</c:v>
                  </c:pt>
                  <c:pt idx="17">
                    <c:v>2018</c:v>
                  </c:pt>
                  <c:pt idx="18">
                    <c:v>2019</c:v>
                  </c:pt>
                  <c:pt idx="19">
                    <c:v>2020</c:v>
                  </c:pt>
                  <c:pt idx="20">
                    <c:v>2021</c:v>
                  </c:pt>
                  <c:pt idx="21">
                    <c:v>2015</c:v>
                  </c:pt>
                  <c:pt idx="22">
                    <c:v>2016</c:v>
                  </c:pt>
                  <c:pt idx="23">
                    <c:v>2017</c:v>
                  </c:pt>
                  <c:pt idx="24">
                    <c:v>2018</c:v>
                  </c:pt>
                  <c:pt idx="25">
                    <c:v>2019</c:v>
                  </c:pt>
                  <c:pt idx="26">
                    <c:v>2020</c:v>
                  </c:pt>
                  <c:pt idx="27">
                    <c:v>2021</c:v>
                  </c:pt>
                  <c:pt idx="28">
                    <c:v>2015</c:v>
                  </c:pt>
                  <c:pt idx="29">
                    <c:v>2016</c:v>
                  </c:pt>
                  <c:pt idx="30">
                    <c:v>2017</c:v>
                  </c:pt>
                  <c:pt idx="31">
                    <c:v>2018</c:v>
                  </c:pt>
                  <c:pt idx="32">
                    <c:v>2019</c:v>
                  </c:pt>
                  <c:pt idx="33">
                    <c:v>2020</c:v>
                  </c:pt>
                  <c:pt idx="34">
                    <c:v>2021</c:v>
                  </c:pt>
                  <c:pt idx="35">
                    <c:v>2015</c:v>
                  </c:pt>
                  <c:pt idx="36">
                    <c:v>2016</c:v>
                  </c:pt>
                  <c:pt idx="37">
                    <c:v>2017</c:v>
                  </c:pt>
                  <c:pt idx="38">
                    <c:v>2018</c:v>
                  </c:pt>
                  <c:pt idx="39">
                    <c:v>2019</c:v>
                  </c:pt>
                  <c:pt idx="40">
                    <c:v>2020</c:v>
                  </c:pt>
                  <c:pt idx="41">
                    <c:v>2021</c:v>
                  </c:pt>
                </c:lvl>
                <c:lvl>
                  <c:pt idx="0">
                    <c:v>NH3 plant with AEC layout (kt NH3)</c:v>
                  </c:pt>
                  <c:pt idx="7">
                    <c:v>Electrolyser AEC (kt H2)</c:v>
                  </c:pt>
                  <c:pt idx="14">
                    <c:v>Heat sent to district heating (GWhth)</c:v>
                  </c:pt>
                  <c:pt idx="21">
                    <c:v>Sale of oxygen (kt O2)</c:v>
                  </c:pt>
                  <c:pt idx="28">
                    <c:v>Grid (GWh)</c:v>
                  </c:pt>
                  <c:pt idx="35">
                    <c:v>Curtailment (GWh)</c:v>
                  </c:pt>
                </c:lvl>
              </c:multiLvlStrCache>
            </c:multiLvlStrRef>
          </c:cat>
          <c:val>
            <c:numRef>
              <c:f>'Ressources used'!$C$8:$C$55</c:f>
              <c:numCache>
                <c:formatCode>General</c:formatCode>
                <c:ptCount val="42"/>
                <c:pt idx="0">
                  <c:v>425.80645161291199</c:v>
                </c:pt>
                <c:pt idx="1">
                  <c:v>425.80645161290499</c:v>
                </c:pt>
                <c:pt idx="2">
                  <c:v>425.80645161291397</c:v>
                </c:pt>
                <c:pt idx="3">
                  <c:v>425.80645161289402</c:v>
                </c:pt>
                <c:pt idx="4">
                  <c:v>425.80645161290403</c:v>
                </c:pt>
                <c:pt idx="5">
                  <c:v>425.80645161290698</c:v>
                </c:pt>
                <c:pt idx="6">
                  <c:v>425.80645161291</c:v>
                </c:pt>
                <c:pt idx="7">
                  <c:v>76.655492715764495</c:v>
                </c:pt>
                <c:pt idx="8">
                  <c:v>76.649333404321098</c:v>
                </c:pt>
                <c:pt idx="9">
                  <c:v>76.659852613407594</c:v>
                </c:pt>
                <c:pt idx="10">
                  <c:v>76.665956371144702</c:v>
                </c:pt>
                <c:pt idx="11">
                  <c:v>76.659230052625404</c:v>
                </c:pt>
                <c:pt idx="12">
                  <c:v>76.656244582712901</c:v>
                </c:pt>
                <c:pt idx="13">
                  <c:v>76.686958496194194</c:v>
                </c:pt>
                <c:pt idx="14">
                  <c:v>435.09657665466602</c:v>
                </c:pt>
                <c:pt idx="15">
                  <c:v>435.06161640294499</c:v>
                </c:pt>
                <c:pt idx="16">
                  <c:v>435.12132343371599</c:v>
                </c:pt>
                <c:pt idx="17">
                  <c:v>435.15596836261398</c:v>
                </c:pt>
                <c:pt idx="18">
                  <c:v>435.117789778705</c:v>
                </c:pt>
                <c:pt idx="19">
                  <c:v>435.10084425147198</c:v>
                </c:pt>
                <c:pt idx="20">
                  <c:v>435.27517642437698</c:v>
                </c:pt>
                <c:pt idx="21">
                  <c:v>594.84662347431004</c:v>
                </c:pt>
                <c:pt idx="22">
                  <c:v>594.79882721752006</c:v>
                </c:pt>
                <c:pt idx="23">
                  <c:v>594.88045628006103</c:v>
                </c:pt>
                <c:pt idx="24">
                  <c:v>594.927821440098</c:v>
                </c:pt>
                <c:pt idx="25">
                  <c:v>594.87562520836298</c:v>
                </c:pt>
                <c:pt idx="26">
                  <c:v>594.85245796185905</c:v>
                </c:pt>
                <c:pt idx="27">
                  <c:v>595.09079793044498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6.3992775593957001</c:v>
                </c:pt>
                <c:pt idx="36">
                  <c:v>43.5879847184911</c:v>
                </c:pt>
                <c:pt idx="37">
                  <c:v>19.661605116565902</c:v>
                </c:pt>
                <c:pt idx="38">
                  <c:v>40.411265441996498</c:v>
                </c:pt>
                <c:pt idx="39">
                  <c:v>51.248407635495703</c:v>
                </c:pt>
                <c:pt idx="40">
                  <c:v>19.9579598593225</c:v>
                </c:pt>
                <c:pt idx="41">
                  <c:v>37.925860320619996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2-423E-8E5A-C3ACDFD0B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20972576"/>
        <c:axId val="420973232"/>
      </c:barChart>
      <c:catAx>
        <c:axId val="4209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20973232"/>
        <c:crosses val="autoZero"/>
        <c:auto val="1"/>
        <c:lblAlgn val="ctr"/>
        <c:lblOffset val="100"/>
        <c:noMultiLvlLbl val="0"/>
      </c:catAx>
      <c:valAx>
        <c:axId val="420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2097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[Results.xlsm]Land use !PivotTable1</c:name>
    <c:fmtId val="10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</c:pivotFmt>
      <c:pivotFmt>
        <c:idx val="74"/>
      </c:pivotFmt>
      <c:pivotFmt>
        <c:idx val="75"/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</c:pivotFmt>
      <c:pivotFmt>
        <c:idx val="78"/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</c:pivotFmt>
      <c:pivotFmt>
        <c:idx val="83"/>
      </c:pivotFmt>
      <c:pivotFmt>
        <c:idx val="84"/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1"/>
        <c:spPr>
          <a:solidFill>
            <a:schemeClr val="bg2"/>
          </a:solidFill>
          <a:ln>
            <a:noFill/>
          </a:ln>
          <a:effectLst/>
        </c:spPr>
        <c:marker>
          <c:symbol val="none"/>
        </c:marker>
      </c:pivotFmt>
      <c:pivotFmt>
        <c:idx val="16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63"/>
        <c:spPr>
          <a:pattFill prst="ltDn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6"/>
        <c:spPr>
          <a:pattFill prst="ltDnDiag">
            <a:fgClr>
              <a:schemeClr val="tx1"/>
            </a:fgClr>
            <a:bgClr>
              <a:schemeClr val="accent3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7"/>
        <c:spPr>
          <a:pattFill prst="openDmnd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19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9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  <c:pivotFmt>
        <c:idx val="197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9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02"/>
        <c:spPr>
          <a:pattFill prst="wd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4"/>
        <c:spPr>
          <a:pattFill prst="wd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20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9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0"/>
        <c:spPr>
          <a:pattFill prst="wdUpDiag">
            <a:fgClr>
              <a:schemeClr val="accent5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1"/>
        <c:spPr>
          <a:pattFill prst="wd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2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1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5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7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18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8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9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32"/>
        <c:spPr>
          <a:pattFill prst="wd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33"/>
        <c:spPr>
          <a:pattFill prst="wdUpDiag">
            <a:fgClr>
              <a:schemeClr val="accent5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34"/>
        <c:spPr>
          <a:pattFill prst="wdUpDiag">
            <a:fgClr>
              <a:schemeClr val="accent6">
                <a:lumMod val="20000"/>
                <a:lumOff val="8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35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36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3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39"/>
        <c:spPr>
          <a:pattFill prst="wdUpDiag">
            <a:fgClr>
              <a:schemeClr val="accent5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4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41"/>
        <c:spPr>
          <a:pattFill prst="wdUpDiag">
            <a:fgClr>
              <a:schemeClr val="accent6">
                <a:lumMod val="20000"/>
                <a:lumOff val="8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pattFill prst="wd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use '!$B$4:$B$5</c:f>
              <c:strCache>
                <c:ptCount val="1"/>
                <c:pt idx="0">
                  <c:v>H2 storage (buried pipes)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'!$B$6:$B$22</c:f>
              <c:numCache>
                <c:formatCode>General</c:formatCode>
                <c:ptCount val="14"/>
                <c:pt idx="0">
                  <c:v>0.114632516781035</c:v>
                </c:pt>
                <c:pt idx="1">
                  <c:v>0.205659810348126</c:v>
                </c:pt>
                <c:pt idx="2">
                  <c:v>0.19516465100984401</c:v>
                </c:pt>
                <c:pt idx="3">
                  <c:v>0.24585800776517799</c:v>
                </c:pt>
                <c:pt idx="4">
                  <c:v>0.15158288150016899</c:v>
                </c:pt>
                <c:pt idx="5">
                  <c:v>0.144544170455285</c:v>
                </c:pt>
                <c:pt idx="6">
                  <c:v>0.49402990290882398</c:v>
                </c:pt>
                <c:pt idx="7">
                  <c:v>0.114793616030363</c:v>
                </c:pt>
                <c:pt idx="8">
                  <c:v>4.6356822244338201E-2</c:v>
                </c:pt>
                <c:pt idx="9">
                  <c:v>0.163236923202496</c:v>
                </c:pt>
                <c:pt idx="10">
                  <c:v>0.231056453662244</c:v>
                </c:pt>
                <c:pt idx="11">
                  <c:v>0.15631958116332401</c:v>
                </c:pt>
                <c:pt idx="12">
                  <c:v>0.12314769315655</c:v>
                </c:pt>
                <c:pt idx="13">
                  <c:v>0.46441339857682301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34-40B8-AD91-956B773ACA39}"/>
            </c:ext>
          </c:extLst>
        </c:ser>
        <c:ser>
          <c:idx val="1"/>
          <c:order val="1"/>
          <c:tx>
            <c:strRef>
              <c:f>'Land use '!$C$4:$C$5</c:f>
              <c:strCache>
                <c:ptCount val="1"/>
                <c:pt idx="0">
                  <c:v>Electrolyser AEC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'!$C$6:$C$22</c:f>
              <c:numCache>
                <c:formatCode>General</c:formatCode>
                <c:ptCount val="14"/>
                <c:pt idx="0">
                  <c:v>7.7649860210398996E-3</c:v>
                </c:pt>
                <c:pt idx="1">
                  <c:v>9.1849302283005304E-3</c:v>
                </c:pt>
                <c:pt idx="2">
                  <c:v>8.1261082700345103E-3</c:v>
                </c:pt>
                <c:pt idx="3">
                  <c:v>9.26978408525473E-3</c:v>
                </c:pt>
                <c:pt idx="4">
                  <c:v>8.2119946553373905E-3</c:v>
                </c:pt>
                <c:pt idx="5">
                  <c:v>8.2247430392893197E-3</c:v>
                </c:pt>
                <c:pt idx="6">
                  <c:v>9.0448050031502001E-3</c:v>
                </c:pt>
                <c:pt idx="7">
                  <c:v>7.8381017418110398E-3</c:v>
                </c:pt>
                <c:pt idx="8">
                  <c:v>9.2145769133145598E-3</c:v>
                </c:pt>
                <c:pt idx="9">
                  <c:v>8.1822382371064296E-3</c:v>
                </c:pt>
                <c:pt idx="10">
                  <c:v>9.3790255501575402E-3</c:v>
                </c:pt>
                <c:pt idx="11">
                  <c:v>8.2558530508706901E-3</c:v>
                </c:pt>
                <c:pt idx="12">
                  <c:v>8.3280977763232206E-3</c:v>
                </c:pt>
                <c:pt idx="13">
                  <c:v>9.0943788443121204E-3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E-45DD-9628-A94D4CD2F0ED}"/>
            </c:ext>
          </c:extLst>
        </c:ser>
        <c:ser>
          <c:idx val="2"/>
          <c:order val="2"/>
          <c:tx>
            <c:strRef>
              <c:f>'Land use '!$D$4:$D$5</c:f>
              <c:strCache>
                <c:ptCount val="1"/>
                <c:pt idx="0">
                  <c:v>NH3 plant AEC layout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'!$D$6:$D$22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9E-45DD-9628-A94D4CD2F0ED}"/>
            </c:ext>
          </c:extLst>
        </c:ser>
        <c:ser>
          <c:idx val="3"/>
          <c:order val="3"/>
          <c:tx>
            <c:strRef>
              <c:f>'Land use '!$E$4:$E$5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'!$E$6:$E$22</c:f>
              <c:numCache>
                <c:formatCode>General</c:formatCode>
                <c:ptCount val="14"/>
                <c:pt idx="0">
                  <c:v>2.5661091174727499E-3</c:v>
                </c:pt>
                <c:pt idx="1">
                  <c:v>4.8019892298652202E-3</c:v>
                </c:pt>
                <c:pt idx="2">
                  <c:v>1.9742232551423402E-3</c:v>
                </c:pt>
                <c:pt idx="3">
                  <c:v>2.9738608811034901E-3</c:v>
                </c:pt>
                <c:pt idx="4">
                  <c:v>1.2501144270225899E-3</c:v>
                </c:pt>
                <c:pt idx="5">
                  <c:v>4.1093972771723102E-3</c:v>
                </c:pt>
                <c:pt idx="6">
                  <c:v>2.0174020624877101E-3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9E-45DD-9628-A94D4CD2F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4873424"/>
        <c:axId val="694866864"/>
      </c:bar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Land</a:t>
                </a:r>
                <a:r>
                  <a:rPr lang="en-US" baseline="0"/>
                  <a:t> use</a:t>
                </a:r>
                <a:r>
                  <a:rPr lang="en-US"/>
                  <a:t> (km2)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73424"/>
        <c:crosses val="autoZero"/>
        <c:crossBetween val="between"/>
      </c:valAx>
      <c:spPr>
        <a:noFill/>
        <a:ln>
          <a:solidFill>
            <a:schemeClr val="bg1">
              <a:alpha val="97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</a:defRPr>
      </a:pPr>
      <a:endParaRPr lang="da-DK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[Results.xlsm]Land use !PivotTable1</c:name>
    <c:fmtId val="1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'Land use '!$B$4:$B$5</c:f>
              <c:strCache>
                <c:ptCount val="1"/>
                <c:pt idx="0">
                  <c:v>H2 storage (buried pipes)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'!$B$6:$B$22</c:f>
              <c:numCache>
                <c:formatCode>General</c:formatCode>
                <c:ptCount val="14"/>
                <c:pt idx="0">
                  <c:v>0.114632516781035</c:v>
                </c:pt>
                <c:pt idx="1">
                  <c:v>0.205659810348126</c:v>
                </c:pt>
                <c:pt idx="2">
                  <c:v>0.19516465100984401</c:v>
                </c:pt>
                <c:pt idx="3">
                  <c:v>0.24585800776517799</c:v>
                </c:pt>
                <c:pt idx="4">
                  <c:v>0.15158288150016899</c:v>
                </c:pt>
                <c:pt idx="5">
                  <c:v>0.144544170455285</c:v>
                </c:pt>
                <c:pt idx="6">
                  <c:v>0.49402990290882398</c:v>
                </c:pt>
                <c:pt idx="7">
                  <c:v>0.114793616030363</c:v>
                </c:pt>
                <c:pt idx="8">
                  <c:v>4.6356822244338201E-2</c:v>
                </c:pt>
                <c:pt idx="9">
                  <c:v>0.163236923202496</c:v>
                </c:pt>
                <c:pt idx="10">
                  <c:v>0.231056453662244</c:v>
                </c:pt>
                <c:pt idx="11">
                  <c:v>0.15631958116332401</c:v>
                </c:pt>
                <c:pt idx="12">
                  <c:v>0.12314769315655</c:v>
                </c:pt>
                <c:pt idx="13">
                  <c:v>0.46441339857682301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0-46F4-A1E1-1CB264392C2A}"/>
            </c:ext>
          </c:extLst>
        </c:ser>
        <c:ser>
          <c:idx val="1"/>
          <c:order val="1"/>
          <c:tx>
            <c:strRef>
              <c:f>'Land use '!$C$4:$C$5</c:f>
              <c:strCache>
                <c:ptCount val="1"/>
                <c:pt idx="0">
                  <c:v>Electrolyser AEC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'!$C$6:$C$22</c:f>
              <c:numCache>
                <c:formatCode>General</c:formatCode>
                <c:ptCount val="14"/>
                <c:pt idx="0">
                  <c:v>7.7649860210398996E-3</c:v>
                </c:pt>
                <c:pt idx="1">
                  <c:v>9.1849302283005304E-3</c:v>
                </c:pt>
                <c:pt idx="2">
                  <c:v>8.1261082700345103E-3</c:v>
                </c:pt>
                <c:pt idx="3">
                  <c:v>9.26978408525473E-3</c:v>
                </c:pt>
                <c:pt idx="4">
                  <c:v>8.2119946553373905E-3</c:v>
                </c:pt>
                <c:pt idx="5">
                  <c:v>8.2247430392893197E-3</c:v>
                </c:pt>
                <c:pt idx="6">
                  <c:v>9.0448050031502001E-3</c:v>
                </c:pt>
                <c:pt idx="7">
                  <c:v>7.8381017418110398E-3</c:v>
                </c:pt>
                <c:pt idx="8">
                  <c:v>9.2145769133145598E-3</c:v>
                </c:pt>
                <c:pt idx="9">
                  <c:v>8.1822382371064296E-3</c:v>
                </c:pt>
                <c:pt idx="10">
                  <c:v>9.3790255501575402E-3</c:v>
                </c:pt>
                <c:pt idx="11">
                  <c:v>8.2558530508706901E-3</c:v>
                </c:pt>
                <c:pt idx="12">
                  <c:v>8.3280977763232206E-3</c:v>
                </c:pt>
                <c:pt idx="13">
                  <c:v>9.0943788443121204E-3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0-46F4-A1E1-1CB264392C2A}"/>
            </c:ext>
          </c:extLst>
        </c:ser>
        <c:ser>
          <c:idx val="2"/>
          <c:order val="2"/>
          <c:tx>
            <c:strRef>
              <c:f>'Land use '!$D$4:$D$5</c:f>
              <c:strCache>
                <c:ptCount val="1"/>
                <c:pt idx="0">
                  <c:v>NH3 plant AEC layout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'!$D$6:$D$22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60-46F4-A1E1-1CB264392C2A}"/>
            </c:ext>
          </c:extLst>
        </c:ser>
        <c:ser>
          <c:idx val="3"/>
          <c:order val="3"/>
          <c:tx>
            <c:strRef>
              <c:f>'Land use '!$E$4:$E$5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'Land use '!$A$6:$A$22</c:f>
              <c:multiLvlStrCache>
                <c:ptCount val="14"/>
                <c:lvl>
                  <c:pt idx="0">
                    <c:v>2015</c:v>
                  </c:pt>
                  <c:pt idx="1">
                    <c:v>2016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2019</c:v>
                  </c:pt>
                  <c:pt idx="5">
                    <c:v>2020</c:v>
                  </c:pt>
                  <c:pt idx="6">
                    <c:v>2021</c:v>
                  </c:pt>
                  <c:pt idx="7">
                    <c:v>2015</c:v>
                  </c:pt>
                  <c:pt idx="8">
                    <c:v>2016</c:v>
                  </c:pt>
                  <c:pt idx="9">
                    <c:v>2017</c:v>
                  </c:pt>
                  <c:pt idx="10">
                    <c:v>2018</c:v>
                  </c:pt>
                  <c:pt idx="11">
                    <c:v>2019</c:v>
                  </c:pt>
                  <c:pt idx="12">
                    <c:v>2020</c:v>
                  </c:pt>
                  <c:pt idx="13">
                    <c:v>2021</c:v>
                  </c:pt>
                </c:lvl>
                <c:lvl>
                  <c:pt idx="0">
                    <c:v>Ammonia-AEC</c:v>
                  </c:pt>
                  <c:pt idx="7">
                    <c:v>AmmoniaFlex-AEC</c:v>
                  </c:pt>
                </c:lvl>
              </c:multiLvlStrCache>
            </c:multiLvlStrRef>
          </c:cat>
          <c:val>
            <c:numRef>
              <c:f>'Land use '!$E$6:$E$22</c:f>
              <c:numCache>
                <c:formatCode>General</c:formatCode>
                <c:ptCount val="14"/>
                <c:pt idx="0">
                  <c:v>2.5661091174727499E-3</c:v>
                </c:pt>
                <c:pt idx="1">
                  <c:v>4.8019892298652202E-3</c:v>
                </c:pt>
                <c:pt idx="2">
                  <c:v>1.9742232551423402E-3</c:v>
                </c:pt>
                <c:pt idx="3">
                  <c:v>2.9738608811034901E-3</c:v>
                </c:pt>
                <c:pt idx="4">
                  <c:v>1.2501144270225899E-3</c:v>
                </c:pt>
                <c:pt idx="5">
                  <c:v>4.1093972771723102E-3</c:v>
                </c:pt>
                <c:pt idx="6">
                  <c:v>2.0174020624877101E-3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60-46F4-A1E1-1CB264392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9002648"/>
        <c:axId val="358998712"/>
      </c:barChart>
      <c:catAx>
        <c:axId val="35900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58998712"/>
        <c:crosses val="autoZero"/>
        <c:auto val="1"/>
        <c:lblAlgn val="ctr"/>
        <c:lblOffset val="100"/>
        <c:noMultiLvlLbl val="0"/>
      </c:catAx>
      <c:valAx>
        <c:axId val="35899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59002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[Results.xlsm]Emissions!PivotTable1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11"/>
        <c:spPr>
          <a:solidFill>
            <a:srgbClr val="000000"/>
          </a:solidFill>
          <a:ln>
            <a:noFill/>
          </a:ln>
          <a:effectLst/>
        </c:spPr>
        <c:marker>
          <c:symbol val="none"/>
        </c:marker>
      </c:pivotFmt>
      <c:pivotFmt>
        <c:idx val="11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2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9"/>
        <c:spPr>
          <a:solidFill>
            <a:srgbClr val="000000"/>
          </a:solidFill>
          <a:ln>
            <a:noFill/>
          </a:ln>
          <a:effectLst/>
        </c:spPr>
        <c:marker>
          <c:symbol val="none"/>
        </c:marker>
      </c:pivotFmt>
      <c:pivotFmt>
        <c:idx val="130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9"/>
        <c:spPr>
          <a:solidFill>
            <a:srgbClr val="000000"/>
          </a:solidFill>
          <a:ln>
            <a:noFill/>
          </a:ln>
          <a:effectLst/>
        </c:spPr>
        <c:marker>
          <c:symbol val="none"/>
        </c:marker>
      </c:pivotFmt>
      <c:pivotFmt>
        <c:idx val="140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4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9"/>
        <c:spPr>
          <a:solidFill>
            <a:srgbClr val="000000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pattFill prst="ltUpDiag">
            <a:fgClr>
              <a:schemeClr val="tx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Emissions!$B$3:$B$4</c:f>
              <c:strCache>
                <c:ptCount val="1"/>
                <c:pt idx="0">
                  <c:v>Electricity from the grid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Emissions!$B$5:$B$35</c:f>
              <c:numCache>
                <c:formatCode>General</c:formatCode>
                <c:ptCount val="18"/>
                <c:pt idx="0">
                  <c:v>108.98404920496399</c:v>
                </c:pt>
                <c:pt idx="1">
                  <c:v>109.6197593343</c:v>
                </c:pt>
                <c:pt idx="2">
                  <c:v>108.594406181528</c:v>
                </c:pt>
                <c:pt idx="3">
                  <c:v>108.98631722121701</c:v>
                </c:pt>
                <c:pt idx="4">
                  <c:v>57.236045972765602</c:v>
                </c:pt>
                <c:pt idx="5">
                  <c:v>57.395336251213202</c:v>
                </c:pt>
                <c:pt idx="6">
                  <c:v>168.10952726235999</c:v>
                </c:pt>
                <c:pt idx="7">
                  <c:v>165.52127776516099</c:v>
                </c:pt>
                <c:pt idx="8">
                  <c:v>166.22731078350901</c:v>
                </c:pt>
                <c:pt idx="9">
                  <c:v>164.56955720325999</c:v>
                </c:pt>
                <c:pt idx="10">
                  <c:v>87.585785355623699</c:v>
                </c:pt>
                <c:pt idx="11">
                  <c:v>86.700973139434097</c:v>
                </c:pt>
                <c:pt idx="12">
                  <c:v>74.354495150199696</c:v>
                </c:pt>
                <c:pt idx="13">
                  <c:v>73.489162239189199</c:v>
                </c:pt>
                <c:pt idx="14">
                  <c:v>75.547391366921204</c:v>
                </c:pt>
                <c:pt idx="15">
                  <c:v>72.958857863571396</c:v>
                </c:pt>
                <c:pt idx="16">
                  <c:v>39.789682423090902</c:v>
                </c:pt>
                <c:pt idx="17">
                  <c:v>38.441518935322499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9F-4429-B43F-DE0F291FC5F3}"/>
            </c:ext>
          </c:extLst>
        </c:ser>
        <c:ser>
          <c:idx val="1"/>
          <c:order val="1"/>
          <c:tx>
            <c:strRef>
              <c:f>Emissions!$C$3:$C$4</c:f>
              <c:strCache>
                <c:ptCount val="1"/>
                <c:pt idx="0">
                  <c:v>Solar tracking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Emissions!$C$5:$C$35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9.2501182202011396</c:v>
                </c:pt>
                <c:pt idx="7">
                  <c:v>9.48812067649048</c:v>
                </c:pt>
                <c:pt idx="8">
                  <c:v>9.2929046596548996</c:v>
                </c:pt>
                <c:pt idx="9">
                  <c:v>9.4261512304497899</c:v>
                </c:pt>
                <c:pt idx="10">
                  <c:v>4.8929849035826596</c:v>
                </c:pt>
                <c:pt idx="11">
                  <c:v>4.9617263420759601</c:v>
                </c:pt>
                <c:pt idx="12">
                  <c:v>12.7177756525471</c:v>
                </c:pt>
                <c:pt idx="13">
                  <c:v>12.8858017063584</c:v>
                </c:pt>
                <c:pt idx="14">
                  <c:v>12.4975003329969</c:v>
                </c:pt>
                <c:pt idx="15">
                  <c:v>12.749574547211701</c:v>
                </c:pt>
                <c:pt idx="16">
                  <c:v>6.5757386525225501</c:v>
                </c:pt>
                <c:pt idx="17">
                  <c:v>6.69864861513887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9F-4429-B43F-DE0F291FC5F3}"/>
            </c:ext>
          </c:extLst>
        </c:ser>
        <c:ser>
          <c:idx val="2"/>
          <c:order val="2"/>
          <c:tx>
            <c:strRef>
              <c:f>Emissions!$D$3:$D$4</c:f>
              <c:strCache>
                <c:ptCount val="1"/>
                <c:pt idx="0">
                  <c:v>Wind onshore (SP198-HH100 turbine)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Emissions!$D$5:$D$35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6.9152075177696795E-2</c:v>
                </c:pt>
                <c:pt idx="13">
                  <c:v>0.15041848210677899</c:v>
                </c:pt>
                <c:pt idx="14">
                  <c:v>8.9127676567345895E-2</c:v>
                </c:pt>
                <c:pt idx="15">
                  <c:v>0.18686605720069499</c:v>
                </c:pt>
                <c:pt idx="16">
                  <c:v>5.7543335978828401E-2</c:v>
                </c:pt>
                <c:pt idx="17">
                  <c:v>0.10556981298116901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49F-4429-B43F-DE0F291FC5F3}"/>
            </c:ext>
          </c:extLst>
        </c:ser>
        <c:ser>
          <c:idx val="3"/>
          <c:order val="3"/>
          <c:tx>
            <c:strRef>
              <c:f>Emissions!$E$3:$E$4</c:f>
              <c:strCache>
                <c:ptCount val="1"/>
                <c:pt idx="0">
                  <c:v>Electrolyser AEC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Emissions!$E$5:$E$35</c:f>
              <c:numCache>
                <c:formatCode>General</c:formatCode>
                <c:ptCount val="18"/>
                <c:pt idx="0">
                  <c:v>0.150342364410565</c:v>
                </c:pt>
                <c:pt idx="1">
                  <c:v>0.148808609037066</c:v>
                </c:pt>
                <c:pt idx="2">
                  <c:v>0.147077352360444</c:v>
                </c:pt>
                <c:pt idx="3">
                  <c:v>0.14637227640366099</c:v>
                </c:pt>
                <c:pt idx="4">
                  <c:v>7.6489815434021904E-2</c:v>
                </c:pt>
                <c:pt idx="5">
                  <c:v>7.6216256423831605E-2</c:v>
                </c:pt>
                <c:pt idx="6">
                  <c:v>0.162963694988811</c:v>
                </c:pt>
                <c:pt idx="7">
                  <c:v>0.167133101869189</c:v>
                </c:pt>
                <c:pt idx="8">
                  <c:v>0.16215218635541401</c:v>
                </c:pt>
                <c:pt idx="9">
                  <c:v>0.164589032215744</c:v>
                </c:pt>
                <c:pt idx="10">
                  <c:v>8.45088421074396E-2</c:v>
                </c:pt>
                <c:pt idx="11">
                  <c:v>8.5767460160817294E-2</c:v>
                </c:pt>
                <c:pt idx="12">
                  <c:v>0.212710309752254</c:v>
                </c:pt>
                <c:pt idx="13">
                  <c:v>0.21605544127144999</c:v>
                </c:pt>
                <c:pt idx="14">
                  <c:v>0.207535955250646</c:v>
                </c:pt>
                <c:pt idx="15">
                  <c:v>0.21258398070219101</c:v>
                </c:pt>
                <c:pt idx="16">
                  <c:v>0.108406153067583</c:v>
                </c:pt>
                <c:pt idx="17">
                  <c:v>0.11077822979360601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49F-4429-B43F-DE0F291FC5F3}"/>
            </c:ext>
          </c:extLst>
        </c:ser>
        <c:ser>
          <c:idx val="4"/>
          <c:order val="4"/>
          <c:tx>
            <c:strRef>
              <c:f>Emissions!$F$3:$F$4</c:f>
              <c:strCache>
                <c:ptCount val="1"/>
                <c:pt idx="0">
                  <c:v>NH3 plant 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Emissions!$F$5:$F$35</c:f>
              <c:numCache>
                <c:formatCode>General</c:formatCode>
                <c:ptCount val="18"/>
                <c:pt idx="0">
                  <c:v>0.156549984466094</c:v>
                </c:pt>
                <c:pt idx="1">
                  <c:v>0.15495290049819499</c:v>
                </c:pt>
                <c:pt idx="6">
                  <c:v>0.16127794685149099</c:v>
                </c:pt>
                <c:pt idx="7">
                  <c:v>0.154874294080663</c:v>
                </c:pt>
                <c:pt idx="12">
                  <c:v>0.17061961481775101</c:v>
                </c:pt>
                <c:pt idx="13">
                  <c:v>0.15495602768473599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49F-4429-B43F-DE0F291FC5F3}"/>
            </c:ext>
          </c:extLst>
        </c:ser>
        <c:ser>
          <c:idx val="5"/>
          <c:order val="5"/>
          <c:tx>
            <c:strRef>
              <c:f>Emissions!$G$3:$G$4</c:f>
              <c:strCache>
                <c:ptCount val="1"/>
                <c:pt idx="0">
                  <c:v>H2 buried pipes</c:v>
                </c:pt>
              </c:strCache>
            </c:strRef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Emissions!$G$5:$G$35</c:f>
              <c:numCache>
                <c:formatCode>General</c:formatCode>
                <c:ptCount val="18"/>
                <c:pt idx="0">
                  <c:v>0</c:v>
                </c:pt>
                <c:pt idx="1">
                  <c:v>-7.12541490721435E-19</c:v>
                </c:pt>
                <c:pt idx="2">
                  <c:v>-1.25835141849247E-20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1.1017852284303101E-5</c:v>
                </c:pt>
                <c:pt idx="7">
                  <c:v>2.5430282843913501E-5</c:v>
                </c:pt>
                <c:pt idx="8">
                  <c:v>1.7178207454370699E-5</c:v>
                </c:pt>
                <c:pt idx="9">
                  <c:v>2.5193242412549199E-5</c:v>
                </c:pt>
                <c:pt idx="10">
                  <c:v>9.1086041403565599E-6</c:v>
                </c:pt>
                <c:pt idx="11">
                  <c:v>1.32187552453867E-5</c:v>
                </c:pt>
                <c:pt idx="12">
                  <c:v>5.0958496661306302E-5</c:v>
                </c:pt>
                <c:pt idx="13">
                  <c:v>8.8705906246381905E-5</c:v>
                </c:pt>
                <c:pt idx="14">
                  <c:v>6.2053539380010705E-5</c:v>
                </c:pt>
                <c:pt idx="15">
                  <c:v>8.7509872854005903E-5</c:v>
                </c:pt>
                <c:pt idx="16">
                  <c:v>3.4002377660940502E-5</c:v>
                </c:pt>
                <c:pt idx="17">
                  <c:v>4.5665328824149303E-5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49F-4429-B43F-DE0F291FC5F3}"/>
            </c:ext>
          </c:extLst>
        </c:ser>
        <c:ser>
          <c:idx val="6"/>
          <c:order val="6"/>
          <c:tx>
            <c:strRef>
              <c:f>Emissions!$H$3:$H$4</c:f>
              <c:strCache>
                <c:ptCount val="1"/>
                <c:pt idx="0">
                  <c:v>Batteries</c:v>
                </c:pt>
              </c:strCache>
            </c:strRef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Emissions!$H$5:$H$35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8.3919287142918201E-5</c:v>
                </c:pt>
                <c:pt idx="13">
                  <c:v>3.4361912495637101E-5</c:v>
                </c:pt>
                <c:pt idx="14">
                  <c:v>1.74360539955726E-4</c:v>
                </c:pt>
                <c:pt idx="15">
                  <c:v>8.7227885114985398E-5</c:v>
                </c:pt>
                <c:pt idx="16">
                  <c:v>1.2683589862846301E-4</c:v>
                </c:pt>
                <c:pt idx="17">
                  <c:v>3.2263442283476598E-4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E-436F-8452-687C8EA9916E}"/>
            </c:ext>
          </c:extLst>
        </c:ser>
        <c:ser>
          <c:idx val="7"/>
          <c:order val="7"/>
          <c:tx>
            <c:strRef>
              <c:f>Emissions!$I$3:$I$4</c:f>
              <c:strCache>
                <c:ptCount val="1"/>
                <c:pt idx="0">
                  <c:v>Diesel generator</c:v>
                </c:pt>
              </c:strCache>
            </c:strRef>
          </c:tx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Emissions!$I$5:$I$35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4.7759593876973198E-2</c:v>
                </c:pt>
                <c:pt idx="13">
                  <c:v>0.113451578682638</c:v>
                </c:pt>
                <c:pt idx="14">
                  <c:v>5.1300701734927102E-2</c:v>
                </c:pt>
                <c:pt idx="15">
                  <c:v>0.14134519880944099</c:v>
                </c:pt>
                <c:pt idx="16">
                  <c:v>3.2716342038949603E-2</c:v>
                </c:pt>
                <c:pt idx="17">
                  <c:v>0.100456613345145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E-436F-8452-687C8EA9916E}"/>
            </c:ext>
          </c:extLst>
        </c:ser>
        <c:ser>
          <c:idx val="8"/>
          <c:order val="8"/>
          <c:tx>
            <c:strRef>
              <c:f>Emissions!$J$3:$J$4</c:f>
              <c:strCache>
                <c:ptCount val="1"/>
                <c:pt idx="0">
                  <c:v>CO2 capture PS</c:v>
                </c:pt>
              </c:strCache>
            </c:strRef>
          </c:tx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Emissions!$J$5:$J$35</c:f>
              <c:numCache>
                <c:formatCode>General</c:formatCode>
                <c:ptCount val="18"/>
                <c:pt idx="2">
                  <c:v>2.0836180904520399E-2</c:v>
                </c:pt>
                <c:pt idx="3">
                  <c:v>2.0836180904518699E-2</c:v>
                </c:pt>
                <c:pt idx="8">
                  <c:v>2.0836180904525901E-2</c:v>
                </c:pt>
                <c:pt idx="9">
                  <c:v>2.0836180904518699E-2</c:v>
                </c:pt>
                <c:pt idx="14">
                  <c:v>2.08361809045257E-2</c:v>
                </c:pt>
                <c:pt idx="15">
                  <c:v>2.0836180904518602E-2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1E-436F-8452-687C8EA9916E}"/>
            </c:ext>
          </c:extLst>
        </c:ser>
        <c:ser>
          <c:idx val="9"/>
          <c:order val="9"/>
          <c:tx>
            <c:strRef>
              <c:f>Emissions!$K$3:$K$4</c:f>
              <c:strCache>
                <c:ptCount val="1"/>
                <c:pt idx="0">
                  <c:v>MeOH plant CCU - AEC</c:v>
                </c:pt>
              </c:strCache>
            </c:strRef>
          </c:tx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Emissions!$K$5:$K$35</c:f>
              <c:numCache>
                <c:formatCode>General</c:formatCode>
                <c:ptCount val="18"/>
                <c:pt idx="2">
                  <c:v>0.11830655639976299</c:v>
                </c:pt>
                <c:pt idx="3">
                  <c:v>0.117739405121143</c:v>
                </c:pt>
                <c:pt idx="8">
                  <c:v>0.11898163538768899</c:v>
                </c:pt>
                <c:pt idx="9">
                  <c:v>0.117739405121143</c:v>
                </c:pt>
                <c:pt idx="14">
                  <c:v>0.121949064041824</c:v>
                </c:pt>
                <c:pt idx="15">
                  <c:v>0.117750095627474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1E-436F-8452-687C8EA9916E}"/>
            </c:ext>
          </c:extLst>
        </c:ser>
        <c:ser>
          <c:idx val="10"/>
          <c:order val="10"/>
          <c:tx>
            <c:strRef>
              <c:f>Emissions!$L$3:$L$4</c:f>
              <c:strCache>
                <c:ptCount val="1"/>
                <c:pt idx="0">
                  <c:v>Biomass</c:v>
                </c:pt>
              </c:strCache>
            </c:strRef>
          </c:tx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Emissions!$L$5:$L$35</c:f>
              <c:numCache>
                <c:formatCode>General</c:formatCode>
                <c:ptCount val="18"/>
                <c:pt idx="4">
                  <c:v>1.8215264448971001E-2</c:v>
                </c:pt>
                <c:pt idx="5">
                  <c:v>1.8150119178522502E-2</c:v>
                </c:pt>
                <c:pt idx="10">
                  <c:v>1.82953757667393E-2</c:v>
                </c:pt>
                <c:pt idx="11">
                  <c:v>1.8150119178522502E-2</c:v>
                </c:pt>
                <c:pt idx="16">
                  <c:v>1.8624937108324802E-2</c:v>
                </c:pt>
                <c:pt idx="17">
                  <c:v>1.8151690987791898E-2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1E-436F-8452-687C8EA9916E}"/>
            </c:ext>
          </c:extLst>
        </c:ser>
        <c:ser>
          <c:idx val="11"/>
          <c:order val="11"/>
          <c:tx>
            <c:strRef>
              <c:f>Emissions!$M$3:$M$4</c:f>
              <c:strCache>
                <c:ptCount val="1"/>
                <c:pt idx="0">
                  <c:v>Bio-eMeOH plant - AEC</c:v>
                </c:pt>
              </c:strCache>
            </c:strRef>
          </c:tx>
          <c:invertIfNegative val="0"/>
          <c:cat>
            <c:multiLvlStrRef>
              <c:f>Emissions!$A$5:$A$35</c:f>
              <c:multiLvlStrCache>
                <c:ptCount val="18"/>
                <c:lvl>
                  <c:pt idx="0">
                    <c:v>Local R.E. and grid connection</c:v>
                  </c:pt>
                  <c:pt idx="1">
                    <c:v>Conservative tech risk</c:v>
                  </c:pt>
                  <c:pt idx="2">
                    <c:v>Local R.E. and grid connection</c:v>
                  </c:pt>
                  <c:pt idx="3">
                    <c:v>Conservative tech risk</c:v>
                  </c:pt>
                  <c:pt idx="4">
                    <c:v>Local R.E. and grid connection</c:v>
                  </c:pt>
                  <c:pt idx="5">
                    <c:v>Conservative tech risk</c:v>
                  </c:pt>
                  <c:pt idx="6">
                    <c:v>Local R.E. and grid connection</c:v>
                  </c:pt>
                  <c:pt idx="7">
                    <c:v>Conservative tech risk</c:v>
                  </c:pt>
                  <c:pt idx="8">
                    <c:v>Local R.E. and grid connection</c:v>
                  </c:pt>
                  <c:pt idx="9">
                    <c:v>Conservative tech risk</c:v>
                  </c:pt>
                  <c:pt idx="10">
                    <c:v>Local R.E. and grid connection</c:v>
                  </c:pt>
                  <c:pt idx="11">
                    <c:v>Conservative tech risk</c:v>
                  </c:pt>
                  <c:pt idx="12">
                    <c:v>Local R.E. and grid connection</c:v>
                  </c:pt>
                  <c:pt idx="13">
                    <c:v>Conservative tech risk</c:v>
                  </c:pt>
                  <c:pt idx="14">
                    <c:v>Local R.E. and grid connection</c:v>
                  </c:pt>
                  <c:pt idx="15">
                    <c:v>Conservative tech risk</c:v>
                  </c:pt>
                  <c:pt idx="16">
                    <c:v>Local R.E. and grid connection</c:v>
                  </c:pt>
                  <c:pt idx="17">
                    <c:v>Conservative tech risk</c:v>
                  </c:pt>
                </c:lvl>
                <c:lvl>
                  <c:pt idx="0">
                    <c:v>NH3</c:v>
                  </c:pt>
                  <c:pt idx="2">
                    <c:v>MeOH</c:v>
                  </c:pt>
                  <c:pt idx="4">
                    <c:v>Bio-eMeOH</c:v>
                  </c:pt>
                  <c:pt idx="6">
                    <c:v>NH3</c:v>
                  </c:pt>
                  <c:pt idx="8">
                    <c:v>MeOH</c:v>
                  </c:pt>
                  <c:pt idx="10">
                    <c:v>Bio-eMeOH</c:v>
                  </c:pt>
                  <c:pt idx="12">
                    <c:v>NH3</c:v>
                  </c:pt>
                  <c:pt idx="14">
                    <c:v>MeOH</c:v>
                  </c:pt>
                  <c:pt idx="16">
                    <c:v>Bio-eMeOH</c:v>
                  </c:pt>
                </c:lvl>
                <c:lvl>
                  <c:pt idx="0">
                    <c:v>Esbjerg, Denmark</c:v>
                  </c:pt>
                  <c:pt idx="6">
                    <c:v>Arica, North Chile</c:v>
                  </c:pt>
                  <c:pt idx="12">
                    <c:v>Ceduna, South Australia</c:v>
                  </c:pt>
                </c:lvl>
              </c:multiLvlStrCache>
            </c:multiLvlStrRef>
          </c:cat>
          <c:val>
            <c:numRef>
              <c:f>Emissions!$M$5:$M$35</c:f>
              <c:numCache>
                <c:formatCode>General</c:formatCode>
                <c:ptCount val="18"/>
                <c:pt idx="4">
                  <c:v>0.118162000990274</c:v>
                </c:pt>
                <c:pt idx="5">
                  <c:v>0.117739405121143</c:v>
                </c:pt>
                <c:pt idx="10">
                  <c:v>0.118681681263704</c:v>
                </c:pt>
                <c:pt idx="11">
                  <c:v>0.117739405121143</c:v>
                </c:pt>
                <c:pt idx="16">
                  <c:v>0.120819538096904</c:v>
                </c:pt>
                <c:pt idx="17">
                  <c:v>0.117749601411675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1E-436F-8452-687C8EA99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19138216"/>
        <c:axId val="519133296"/>
      </c:barChart>
      <c:catAx>
        <c:axId val="519138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19133296"/>
        <c:crosses val="autoZero"/>
        <c:auto val="1"/>
        <c:lblAlgn val="ctr"/>
        <c:lblOffset val="100"/>
        <c:noMultiLvlLbl val="0"/>
      </c:catAx>
      <c:valAx>
        <c:axId val="519133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Emissions</a:t>
                </a:r>
                <a:r>
                  <a:rPr lang="en-US" baseline="0"/>
                  <a:t> in kgCO2e/GJ fuel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19138216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txPr>
    <a:bodyPr/>
    <a:lstStyle/>
    <a:p>
      <a:pPr>
        <a:defRPr sz="1400">
          <a:solidFill>
            <a:sysClr val="windowText" lastClr="000000"/>
          </a:solidFill>
        </a:defRPr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[Results.xlsm]Emission total!PivotTable1</c:name>
    <c:fmtId val="9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noFill/>
            <a:round/>
          </a:ln>
          <a:effectLst/>
        </c:spPr>
      </c:pivotFmt>
      <c:pivotFmt>
        <c:idx val="59"/>
        <c:spPr>
          <a:solidFill>
            <a:schemeClr val="accent1"/>
          </a:solidFill>
          <a:ln w="28575" cap="rnd">
            <a:solidFill>
              <a:srgbClr val="000000"/>
            </a:solidFill>
            <a:round/>
          </a:ln>
          <a:effectLst/>
        </c:spPr>
        <c:marker>
          <c:spPr>
            <a:solidFill>
              <a:srgbClr val="000000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rgbClr val="000000"/>
            </a:solidFill>
            <a:ln w="9525">
              <a:solidFill>
                <a:srgbClr val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5400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'Emission total'!$B$4:$B$5</c:f>
              <c:strCache>
                <c:ptCount val="1"/>
                <c:pt idx="0">
                  <c:v>NH3 plant + ASU - AEC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'Emission total'!$A$6:$A$9</c:f>
              <c:multiLvlStrCache>
                <c:ptCount val="1"/>
                <c:lvl>
                  <c:pt idx="0">
                    <c:v>NH3</c:v>
                  </c:pt>
                </c:lvl>
                <c:lvl>
                  <c:pt idx="0">
                    <c:v>Esbjerg, Denmark</c:v>
                  </c:pt>
                </c:lvl>
                <c:lvl>
                  <c:pt idx="0">
                    <c:v>Local R.E. and grid connection</c:v>
                  </c:pt>
                </c:lvl>
              </c:multiLvlStrCache>
            </c:multiLvlStrRef>
          </c:cat>
          <c:val>
            <c:numRef>
              <c:f>'Emission total'!$B$6:$B$9</c:f>
              <c:numCache>
                <c:formatCode>0</c:formatCode>
                <c:ptCount val="1"/>
                <c:pt idx="0">
                  <c:v>109.29094155384099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24-43C4-A511-961502FDDD5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73424"/>
        <c:axId val="694866864"/>
      </c:lineChart>
      <c:catAx>
        <c:axId val="6948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66864"/>
        <c:crosses val="autoZero"/>
        <c:auto val="1"/>
        <c:lblAlgn val="ctr"/>
        <c:lblOffset val="100"/>
        <c:noMultiLvlLbl val="0"/>
      </c:catAx>
      <c:valAx>
        <c:axId val="694866864"/>
        <c:scaling>
          <c:orientation val="minMax"/>
          <c:min val="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94873424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solidFill>
            <a:sysClr val="windowText" lastClr="000000"/>
          </a:solidFill>
        </a:defRPr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'Emission total'!$J$36</c:f>
              <c:strCache>
                <c:ptCount val="1"/>
                <c:pt idx="0">
                  <c:v>MeOH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'Emission total'!$I$37:$I$39</c:f>
              <c:strCache>
                <c:ptCount val="3"/>
                <c:pt idx="0">
                  <c:v>Heat sale</c:v>
                </c:pt>
                <c:pt idx="1">
                  <c:v>O2 sale</c:v>
                </c:pt>
                <c:pt idx="2">
                  <c:v>O2 and Heat sale</c:v>
                </c:pt>
              </c:strCache>
            </c:strRef>
          </c:cat>
          <c:val>
            <c:numRef>
              <c:f>'Emission total'!$J$37:$J$39</c:f>
              <c:numCache>
                <c:formatCode>0.0</c:formatCode>
                <c:ptCount val="3"/>
                <c:pt idx="0">
                  <c:v>-5.3353180460122918</c:v>
                </c:pt>
                <c:pt idx="1">
                  <c:v>-15.002057495758217</c:v>
                </c:pt>
                <c:pt idx="2">
                  <c:v>-20.337375541769898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B-4D08-BB82-7355F39B6667}"/>
            </c:ext>
          </c:extLst>
        </c:ser>
        <c:ser>
          <c:idx val="1"/>
          <c:order val="1"/>
          <c:tx>
            <c:strRef>
              <c:f>'Emission total'!$K$36</c:f>
              <c:strCache>
                <c:ptCount val="1"/>
                <c:pt idx="0">
                  <c:v>NH3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'Emission total'!$I$37:$I$39</c:f>
              <c:strCache>
                <c:ptCount val="3"/>
                <c:pt idx="0">
                  <c:v>Heat sale</c:v>
                </c:pt>
                <c:pt idx="1">
                  <c:v>O2 sale</c:v>
                </c:pt>
                <c:pt idx="2">
                  <c:v>O2 and Heat sale</c:v>
                </c:pt>
              </c:strCache>
            </c:strRef>
          </c:cat>
          <c:val>
            <c:numRef>
              <c:f>'Emission total'!$K$37:$K$39</c:f>
              <c:numCache>
                <c:formatCode>0.0</c:formatCode>
                <c:ptCount val="3"/>
                <c:pt idx="0">
                  <c:v>-6.9355475986463953</c:v>
                </c:pt>
                <c:pt idx="1">
                  <c:v>-16.550514913252176</c:v>
                </c:pt>
                <c:pt idx="2">
                  <c:v>-23.486062511893905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B-4D08-BB82-7355F39B66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35921760"/>
        <c:axId val="547731016"/>
      </c:barChart>
      <c:catAx>
        <c:axId val="435921760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547731016"/>
        <c:crosses val="max"/>
        <c:auto val="1"/>
        <c:lblAlgn val="ctr"/>
        <c:lblOffset val="100"/>
        <c:noMultiLvlLbl val="0"/>
      </c:catAx>
      <c:valAx>
        <c:axId val="54773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Fuel production cost variation (%)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3592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/>
  <sheetViews>
    <sheetView zoomScale="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8</xdr:row>
          <xdr:rowOff>6350</xdr:rowOff>
        </xdr:from>
        <xdr:to>
          <xdr:col>4</xdr:col>
          <xdr:colOff>152400</xdr:colOff>
          <xdr:row>13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7</xdr:row>
          <xdr:rowOff>152400</xdr:rowOff>
        </xdr:from>
        <xdr:to>
          <xdr:col>9</xdr:col>
          <xdr:colOff>69850</xdr:colOff>
          <xdr:row>13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HOURLY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1501775</xdr:colOff>
      <xdr:row>22</xdr:row>
      <xdr:rowOff>28575</xdr:rowOff>
    </xdr:from>
    <xdr:to>
      <xdr:col>7</xdr:col>
      <xdr:colOff>688975</xdr:colOff>
      <xdr:row>37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754530</xdr:colOff>
      <xdr:row>0</xdr:row>
      <xdr:rowOff>171824</xdr:rowOff>
    </xdr:from>
    <xdr:to>
      <xdr:col>16</xdr:col>
      <xdr:colOff>500529</xdr:colOff>
      <xdr:row>26</xdr:row>
      <xdr:rowOff>74706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149224</xdr:rowOff>
    </xdr:from>
    <xdr:to>
      <xdr:col>8</xdr:col>
      <xdr:colOff>139700</xdr:colOff>
      <xdr:row>82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1212850</xdr:colOff>
      <xdr:row>12</xdr:row>
      <xdr:rowOff>165100</xdr:rowOff>
    </xdr:from>
    <xdr:to>
      <xdr:col>8</xdr:col>
      <xdr:colOff>50800</xdr:colOff>
      <xdr:row>49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177800</xdr:colOff>
      <xdr:row>44</xdr:row>
      <xdr:rowOff>69850</xdr:rowOff>
    </xdr:from>
    <xdr:to>
      <xdr:col>13</xdr:col>
      <xdr:colOff>215900</xdr:colOff>
      <xdr:row>68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1225550</xdr:colOff>
      <xdr:row>53</xdr:row>
      <xdr:rowOff>161925</xdr:rowOff>
    </xdr:from>
    <xdr:to>
      <xdr:col>7</xdr:col>
      <xdr:colOff>1085850</xdr:colOff>
      <xdr:row>68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1225550</xdr:colOff>
      <xdr:row>53</xdr:row>
      <xdr:rowOff>161925</xdr:rowOff>
    </xdr:from>
    <xdr:to>
      <xdr:col>7</xdr:col>
      <xdr:colOff>1085850</xdr:colOff>
      <xdr:row>68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12993077" cy="94395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1025524</xdr:colOff>
      <xdr:row>3</xdr:row>
      <xdr:rowOff>69850</xdr:rowOff>
    </xdr:from>
    <xdr:to>
      <xdr:col>13</xdr:col>
      <xdr:colOff>558800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50800</xdr:rowOff>
    </xdr:from>
    <xdr:to>
      <xdr:col>7</xdr:col>
      <xdr:colOff>454025</xdr:colOff>
      <xdr:row>50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225513</xdr:colOff>
      <xdr:row>7</xdr:row>
      <xdr:rowOff>82177</xdr:rowOff>
    </xdr:from>
    <xdr:to>
      <xdr:col>11</xdr:col>
      <xdr:colOff>579391</xdr:colOff>
      <xdr:row>31</xdr:row>
      <xdr:rowOff>127871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359984</xdr:colOff>
      <xdr:row>37</xdr:row>
      <xdr:rowOff>11271</xdr:rowOff>
    </xdr:from>
    <xdr:to>
      <xdr:col>7</xdr:col>
      <xdr:colOff>422088</xdr:colOff>
      <xdr:row>52</xdr:row>
      <xdr:rowOff>21210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721.680855092593" missingItemsLimit="0" createdVersion="6" refreshedVersion="6" minRefreshableVersion="3" recordCount="553" xr:uid="{00000000-000A-0000-FFFF-FFFF00000000}">
  <cacheSource type="worksheet">
    <worksheetSource ref="A1:AH1048576" sheet="All_Scenarios"/>
  </cacheSource>
  <cacheFields count="34">
    <cacheField name="Scenario" numFmtId="0">
      <sharedItems containsBlank="1" count="3">
        <s v="Local R.E. and grid connection"/>
        <s v="Conservative tech risk"/>
        <m/>
      </sharedItems>
    </cacheField>
    <cacheField name="Type of unit" numFmtId="0">
      <sharedItems containsBlank="1" count="37">
        <s v="NH3 plant + ASU - AEC"/>
        <s v="Desalination plant"/>
        <s v="Electrolyser AEC"/>
        <s v="H2 pipeline to NH3 plant"/>
        <s v="Heat from district heating"/>
        <s v="Heat sent to district heating"/>
        <s v="Sale of oxygen"/>
        <s v="H2 pipes compressor"/>
        <s v="H2 pipes valve"/>
        <s v="H2 buried pipes"/>
        <s v="Solar fixed"/>
        <s v="Solar tracking"/>
        <s v="ON_SP198-HH100"/>
        <s v="ON_SP198-HH150"/>
        <s v="ON_SP237-HH100"/>
        <s v="ON_SP237-HH150"/>
        <s v="ON_SP277-HH100"/>
        <s v="ON_SP277-HH150"/>
        <s v="ON_SP321-HH100"/>
        <s v="ON_SP321-HH150"/>
        <s v="OFF_SP379-HH100"/>
        <s v="OFF_SP379-HH150"/>
        <s v="OFF_SP450-HH100"/>
        <s v="OFF_SP450-HH150"/>
        <s v="Electricity from the grid"/>
        <s v="Electricity to the grid"/>
        <s v="Diesel generator"/>
        <s v="Charge batteries"/>
        <s v="Discharge batteries"/>
        <s v="Batteries"/>
        <s v="CO2 capture PS"/>
        <s v="MeOH plant CCU - AEC"/>
        <s v="H2 pipeline to MeOH CCU plant"/>
        <s v="Biomass"/>
        <s v="Bio-eMeOH plant - AEC"/>
        <s v="H2 pipeline to BioMeOH plant"/>
        <m/>
      </sharedItems>
    </cacheField>
    <cacheField name="Year" numFmtId="0">
      <sharedItems containsString="0" containsBlank="1" containsNumber="1" containsInteger="1" minValue="2020" maxValue="2020"/>
    </cacheField>
    <cacheField name="Location" numFmtId="0">
      <sharedItems containsBlank="1" count="4">
        <s v="Esbjerg, Denmark"/>
        <s v="Arica, North Chile"/>
        <s v="Ceduna, South Australia"/>
        <m/>
      </sharedItems>
    </cacheField>
    <cacheField name="Fuel" numFmtId="0">
      <sharedItems containsBlank="1" count="4">
        <s v="NH3"/>
        <s v="MeOH"/>
        <s v="Bio-eMeOH"/>
        <m/>
      </sharedItems>
    </cacheField>
    <cacheField name="Electrolyser" numFmtId="0">
      <sharedItems containsBlank="1" count="2">
        <s v="AEC"/>
        <m/>
      </sharedItems>
    </cacheField>
    <cacheField name="CO2 capture" numFmtId="0">
      <sharedItems containsBlank="1"/>
    </cacheField>
    <cacheField name="Turbine" numFmtId="0">
      <sharedItems containsBlank="1"/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(Eur/kgCO2)" numFmtId="0">
      <sharedItems containsString="0" containsBlank="1" containsNumber="1" containsInteger="1" minValue="0" maxValue="0"/>
    </cacheField>
    <cacheField name="Installed capacity(MW or t/h)" numFmtId="0">
      <sharedItems containsString="0" containsBlank="1" containsNumber="1" minValue="-8.5632424228466493E-12" maxValue="512.10455328816204"/>
    </cacheField>
    <cacheField name="Total investment(MEuros)" numFmtId="0">
      <sharedItems containsString="0" containsBlank="1" containsNumber="1" minValue="-1.89831741718027E-13" maxValue="380.54138923385602"/>
    </cacheField>
    <cacheField name="Annualised investment(MEuros)" numFmtId="0">
      <sharedItems containsString="0" containsBlank="1" containsNumber="1" minValue="-1.5517389137829099E-14" maxValue="35.648652722167398"/>
    </cacheField>
    <cacheField name="Fixed O&amp;M(MEuros)" numFmtId="0">
      <sharedItems containsString="0" containsBlank="1" containsNumber="1" minValue="-4.08571605633715E-16" maxValue="14.6828144438648"/>
    </cacheField>
    <cacheField name="Variable O&amp;M(MEuros)" numFmtId="0">
      <sharedItems containsString="0" containsBlank="1" containsNumber="1" minValue="-1.3764294811228799E-16" maxValue="4.8912048525923"/>
    </cacheField>
    <cacheField name="CO2 tax infrastructure (MEuros)" numFmtId="0">
      <sharedItems containsString="0" containsBlank="1" containsNumber="1" containsInteger="1" minValue="0" maxValue="0"/>
    </cacheField>
    <cacheField name="CO2 tax process (MEuros)" numFmtId="0">
      <sharedItems containsString="0" containsBlank="1" containsNumber="1" containsInteger="1" minValue="0" maxValue="0"/>
    </cacheField>
    <cacheField name="Fuel cost(MEuros)" numFmtId="0">
      <sharedItems containsString="0" containsBlank="1" containsNumber="1" minValue="0" maxValue="108.947932844094"/>
    </cacheField>
    <cacheField name="Cost per unit(MEuros)" numFmtId="0">
      <sharedItems containsString="0" containsBlank="1" containsNumber="1" minValue="-1.5925960743462799E-14" maxValue="110.35605951783501"/>
    </cacheField>
    <cacheField name="Production(kton or GWh)" numFmtId="0">
      <sharedItems containsString="0" containsBlank="1" containsNumber="1" minValue="-1.7192343476522199E-12" maxValue="1959.6355320176201"/>
    </cacheField>
    <cacheField name="Sale (MEuros)" numFmtId="0">
      <sharedItems containsString="0" containsBlank="1" containsNumber="1" containsInteger="1" minValue="0" maxValue="0"/>
    </cacheField>
    <cacheField name="Electricity consumption(GWh)" numFmtId="0">
      <sharedItems containsString="0" containsBlank="1" containsNumber="1" minValue="-3.3083181116240398E-15" maxValue="1884.1409593661299"/>
    </cacheField>
    <cacheField name="Production cost fuel (Euros/kgfuel)" numFmtId="0">
      <sharedItems containsString="0" containsBlank="1" containsNumber="1" minValue="0" maxValue="0.994692434466946"/>
    </cacheField>
    <cacheField name="Production cost fuel (Euros/GJfuel)" numFmtId="0">
      <sharedItems containsString="0" containsBlank="1" containsNumber="1" minValue="0" maxValue="49.984544445575096"/>
    </cacheField>
    <cacheField name="Production cost fuel (Euros/MWhfuel)" numFmtId="0">
      <sharedItems containsString="0" containsBlank="1" containsNumber="1" minValue="0" maxValue="179.94436000407001"/>
    </cacheField>
    <cacheField name="Production cost per unit (Euros/kg or kWh output)" numFmtId="0">
      <sharedItems containsString="0" containsBlank="1" containsNumber="1" minValue="0" maxValue="3.52325403070917"/>
    </cacheField>
    <cacheField name="Load average" numFmtId="0">
      <sharedItems containsBlank="1" containsMixedTypes="1" containsNumber="1" minValue="-0.121254471423847" maxValue="1.3038587075547099"/>
    </cacheField>
    <cacheField name="Full load hours" numFmtId="0">
      <sharedItems containsBlank="1" containsMixedTypes="1" containsNumber="1" minValue="-956.09150717703301" maxValue="10280.925909068899"/>
    </cacheField>
    <cacheField name="CO2e infrastructure (t CO2e)" numFmtId="0">
      <sharedItems containsString="0" containsBlank="1" containsNumber="1" minValue="-2.5651493665969199E-15" maxValue="46388.886142886702"/>
    </cacheField>
    <cacheField name="CO2e process (t CO2e)" numFmtId="0">
      <sharedItems containsString="0" containsBlank="1" containsNumber="1" minValue="0" maxValue="605194.29814444797"/>
    </cacheField>
    <cacheField name="CO2e inf+proc per unit(t CO2e)" numFmtId="0">
      <sharedItems containsString="0" containsBlank="1" containsNumber="1" minValue="-2.5651493665969199E-15" maxValue="605194.29814444797"/>
    </cacheField>
    <cacheField name="CO2e per unit (kgCO2e/GJfuel)" numFmtId="0">
      <sharedItems containsString="0" containsBlank="1" containsNumber="1" minValue="-7.12541490721435E-19" maxValue="168.10952726235999"/>
    </cacheField>
    <cacheField name="CO2e total system (kg CO2e/GJfuel) " numFmtId="0">
      <sharedItems containsString="0" containsBlank="1" containsNumber="1" minValue="0" maxValue="177.68389814225401"/>
    </cacheField>
    <cacheField name="Av electricity cost(Euros/MWh)" numFmtId="0">
      <sharedItems containsString="0" containsBlank="1" containsNumber="1" minValue="44.668984235026301" maxValue="56.3286741231560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875.90709479167" missingItemsLimit="0" createdVersion="6" refreshedVersion="6" minRefreshableVersion="3" recordCount="425" xr:uid="{00000000-000A-0000-FFFF-FFFF01000000}">
  <cacheSource type="worksheet">
    <worksheetSource ref="A1:Z1048576" sheet="All_Scenarios"/>
  </cacheSource>
  <cacheFields count="26">
    <cacheField name="Scenario" numFmtId="0">
      <sharedItems containsBlank="1" count="5">
        <s v="Behind-the-meter_large"/>
        <s v="Semi-islanded_large"/>
        <s v="Behind-the-meter_small"/>
        <s v="Semi-islanded_small"/>
        <m/>
      </sharedItems>
    </cacheField>
    <cacheField name="Type of unit" numFmtId="0">
      <sharedItems containsBlank="1" count="28">
        <s v="NH3 plant + ASU - AEC"/>
        <s v="Desalination plant"/>
        <s v="Electrolyser AEC"/>
        <s v="H2 pipeline to NH3 plant"/>
        <s v="Heat from district heating"/>
        <s v="Heat sent to district heating"/>
        <s v="Sale of oxygen"/>
        <s v="H2 pipes compressor"/>
        <s v="H2 pipes valve"/>
        <s v="H2 buried pipes"/>
        <s v="Solar fixed"/>
        <s v="Wind offshore (SP379-HH100)"/>
        <s v="Electricity from the grid"/>
        <s v="Electricity to the grid"/>
        <s v="Charge batteries"/>
        <s v="Discharge batteries"/>
        <s v="Batteries"/>
        <s v="Biomass"/>
        <s v="Bio-eMeOH plant - SOEC"/>
        <s v="Electrolyser SOEC"/>
        <s v="H2 pipeline to BioMeOH plant"/>
        <s v="NH3 plant + ASU - SOEC"/>
        <s v="CO2 capture PS"/>
        <s v="MeOH plant CCU - AEC"/>
        <s v="H2 pipeline to MeOH CCU plant"/>
        <s v="CO2 capture DAC"/>
        <s v="Bio-eMeOH plant - AEC"/>
        <m/>
      </sharedItems>
    </cacheField>
    <cacheField name="Year" numFmtId="0">
      <sharedItems containsString="0" containsBlank="1" containsNumber="1" containsInteger="1" minValue="2030" maxValue="2030"/>
    </cacheField>
    <cacheField name="Location" numFmtId="0">
      <sharedItems containsBlank="1" count="2">
        <s v="Bornholm"/>
        <m/>
      </sharedItems>
    </cacheField>
    <cacheField name="Fuel" numFmtId="0">
      <sharedItems containsBlank="1" count="4">
        <s v="NH3"/>
        <s v="Bio-eMeOH"/>
        <s v="MeOH"/>
        <m/>
      </sharedItems>
    </cacheField>
    <cacheField name="Electrolyser" numFmtId="0">
      <sharedItems containsBlank="1" count="3">
        <s v="AEC"/>
        <s v="SOEC"/>
        <m/>
      </sharedItems>
    </cacheField>
    <cacheField name="CO2 capture" numFmtId="0">
      <sharedItems containsBlank="1" count="4">
        <s v="None"/>
        <s v="PS"/>
        <s v="DAC"/>
        <m/>
      </sharedItems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(Eur/kgCO2)" numFmtId="0">
      <sharedItems containsString="0" containsBlank="1" containsNumber="1" containsInteger="1" minValue="0" maxValue="0"/>
    </cacheField>
    <cacheField name="Weight costs vs emissions" numFmtId="0">
      <sharedItems containsBlank="1"/>
    </cacheField>
    <cacheField name="Installed capacity(MW or t/h)" numFmtId="0">
      <sharedItems containsString="0" containsBlank="1" containsNumber="1" minValue="-5.9415015130070897E-12" maxValue="1276.8006177780001"/>
    </cacheField>
    <cacheField name="Total investment(MEuros)" numFmtId="0">
      <sharedItems containsString="0" containsBlank="1" containsNumber="1" minValue="0" maxValue="2551.2140167046"/>
    </cacheField>
    <cacheField name="Annualised investment(MEuros)" numFmtId="0">
      <sharedItems containsString="0" containsBlank="1" containsNumber="1" minValue="0" maxValue="233.30366484568901"/>
    </cacheField>
    <cacheField name="Fixed O&amp;M(MEuros)" numFmtId="0">
      <sharedItems containsString="0" containsBlank="1" containsNumber="1" minValue="0" maxValue="79.761105854434007"/>
    </cacheField>
    <cacheField name="Variable O&amp;M(MEuros)" numFmtId="0">
      <sharedItems containsString="0" containsBlank="1" containsNumber="1" minValue="0" maxValue="12.5003330618785"/>
    </cacheField>
    <cacheField name="CO2 tax infrastructure (MEuros)" numFmtId="0">
      <sharedItems containsString="0" containsBlank="1" containsNumber="1" containsInteger="1" minValue="0" maxValue="0"/>
    </cacheField>
    <cacheField name="CO2 tax process (MEuros)" numFmtId="0">
      <sharedItems containsString="0" containsBlank="1" containsNumber="1" containsInteger="1" minValue="0" maxValue="0"/>
    </cacheField>
    <cacheField name="Fuel cost(MEuros)" numFmtId="0">
      <sharedItems containsString="0" containsBlank="1" containsNumber="1" minValue="0" maxValue="102.097999549421"/>
    </cacheField>
    <cacheField name="Cost per unit(MEuros)" numFmtId="0">
      <sharedItems containsString="0" containsBlank="1" containsNumber="1" minValue="0" maxValue="293.806220941785"/>
    </cacheField>
    <cacheField name="Production(kton or GWh)" numFmtId="0">
      <sharedItems containsString="0" containsBlank="1" containsNumber="1" minValue="-2.23211659431399E-11" maxValue="4439.7750130716104"/>
    </cacheField>
    <cacheField name="Sale (MEuros)" numFmtId="0">
      <sharedItems containsString="0" containsBlank="1" containsNumber="1" containsInteger="1" minValue="0" maxValue="0"/>
    </cacheField>
    <cacheField name="Electricity consumption(GWh)" numFmtId="0">
      <sharedItems containsString="0" containsBlank="1" containsNumber="1" minValue="-3.2705584089853801E-14" maxValue="3748.4702525641101"/>
    </cacheField>
    <cacheField name="Production cost fuel (Euros/kgfuel)" numFmtId="0">
      <sharedItems containsString="0" containsBlank="1" containsNumber="1" minValue="0" maxValue="1.5317855984001401"/>
    </cacheField>
    <cacheField name="Production cost fuel (Euros/GJfuel)" numFmtId="0">
      <sharedItems containsString="0" containsBlank="1" containsNumber="1" minValue="0" maxValue="76.974150673374098"/>
    </cacheField>
    <cacheField name="Production cost fuel (Euros/MWhfuel)" numFmtId="0">
      <sharedItems containsString="0" containsBlank="1" containsNumber="1" minValue="0" maxValue="277.10694242414598"/>
    </cacheField>
    <cacheField name="Production cost per unit (Euros/kg or kWh output)" numFmtId="0">
      <sharedItems containsString="0" containsBlank="1" containsNumber="1" minValue="0" maxValue="1.62613951713146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879.763698958333" missingItemsLimit="0" createdVersion="6" refreshedVersion="6" minRefreshableVersion="3" recordCount="425" xr:uid="{00000000-000A-0000-FFFF-FFFF02000000}">
  <cacheSource type="worksheet">
    <worksheetSource ref="A1:AC1048576" sheet="All_Scenarios"/>
  </cacheSource>
  <cacheFields count="29">
    <cacheField name="Scenario" numFmtId="0">
      <sharedItems containsBlank="1" count="5">
        <s v="Behind-the-meter_large"/>
        <s v="Semi-islanded_large"/>
        <s v="Behind-the-meter_small"/>
        <s v="Semi-islanded_small"/>
        <m/>
      </sharedItems>
    </cacheField>
    <cacheField name="Type of unit" numFmtId="0">
      <sharedItems containsBlank="1" count="28">
        <s v="NH3 plant + ASU - AEC"/>
        <s v="Desalination plant"/>
        <s v="Electrolyser AEC"/>
        <s v="H2 pipeline to NH3 plant"/>
        <s v="Heat from district heating"/>
        <s v="Heat sent to district heating"/>
        <s v="Sale of oxygen"/>
        <s v="H2 pipes compressor"/>
        <s v="H2 pipes valve"/>
        <s v="H2 buried pipes"/>
        <s v="Solar fixed"/>
        <s v="Wind offshore (SP379-HH100)"/>
        <s v="Electricity from the grid"/>
        <s v="Electricity to the grid"/>
        <s v="Charge batteries"/>
        <s v="Discharge batteries"/>
        <s v="Batteries"/>
        <s v="Biomass"/>
        <s v="Bio-eMeOH plant - SOEC"/>
        <s v="Electrolyser SOEC"/>
        <s v="H2 pipeline to BioMeOH plant"/>
        <s v="NH3 plant + ASU - SOEC"/>
        <s v="CO2 capture PS"/>
        <s v="MeOH plant CCU - AEC"/>
        <s v="H2 pipeline to MeOH CCU plant"/>
        <s v="CO2 capture DAC"/>
        <s v="Bio-eMeOH plant - AEC"/>
        <m/>
      </sharedItems>
    </cacheField>
    <cacheField name="Year" numFmtId="0">
      <sharedItems containsString="0" containsBlank="1" containsNumber="1" containsInteger="1" minValue="2030" maxValue="2030"/>
    </cacheField>
    <cacheField name="Location" numFmtId="0">
      <sharedItems containsBlank="1" count="2">
        <s v="Bornholm"/>
        <m/>
      </sharedItems>
    </cacheField>
    <cacheField name="Fuel" numFmtId="0">
      <sharedItems containsBlank="1" count="4">
        <s v="NH3"/>
        <s v="Bio-eMeOH"/>
        <s v="MeOH"/>
        <m/>
      </sharedItems>
    </cacheField>
    <cacheField name="Electrolyser" numFmtId="0">
      <sharedItems containsBlank="1" count="3">
        <s v="AEC"/>
        <s v="SOEC"/>
        <m/>
      </sharedItems>
    </cacheField>
    <cacheField name="CO2 capture" numFmtId="0">
      <sharedItems containsBlank="1" count="4">
        <s v="None"/>
        <s v="PS"/>
        <s v="DAC"/>
        <m/>
      </sharedItems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(Eur/kgCO2)" numFmtId="0">
      <sharedItems containsString="0" containsBlank="1" containsNumber="1" containsInteger="1" minValue="0" maxValue="0"/>
    </cacheField>
    <cacheField name="Weight costs vs emissions" numFmtId="0">
      <sharedItems containsBlank="1"/>
    </cacheField>
    <cacheField name="Installed capacity(MW or t/h)" numFmtId="0">
      <sharedItems containsString="0" containsBlank="1" containsNumber="1" minValue="-3.8198777474462899E-13" maxValue="1276.8006177780001"/>
    </cacheField>
    <cacheField name="Total investment(MEuros)" numFmtId="0">
      <sharedItems containsString="0" containsBlank="1" containsNumber="1" minValue="0" maxValue="2551.2140167046"/>
    </cacheField>
    <cacheField name="Annualised investment(MEuros)" numFmtId="0">
      <sharedItems containsString="0" containsBlank="1" containsNumber="1" minValue="0" maxValue="233.30366484568901"/>
    </cacheField>
    <cacheField name="Fixed O&amp;M(MEuros)" numFmtId="0">
      <sharedItems containsString="0" containsBlank="1" containsNumber="1" minValue="0" maxValue="79.761105854434007"/>
    </cacheField>
    <cacheField name="Variable O&amp;M(MEuros)" numFmtId="0">
      <sharedItems containsString="0" containsBlank="1" containsNumber="1" minValue="0" maxValue="12.5003330618785"/>
    </cacheField>
    <cacheField name="CO2 tax infrastructure (MEuros)" numFmtId="0">
      <sharedItems containsString="0" containsBlank="1" containsNumber="1" containsInteger="1" minValue="0" maxValue="0"/>
    </cacheField>
    <cacheField name="CO2 tax process (MEuros)" numFmtId="0">
      <sharedItems containsString="0" containsBlank="1" containsNumber="1" containsInteger="1" minValue="0" maxValue="0"/>
    </cacheField>
    <cacheField name="Fuel cost(MEuros)" numFmtId="0">
      <sharedItems containsString="0" containsBlank="1" containsNumber="1" minValue="0" maxValue="198.42727112911899"/>
    </cacheField>
    <cacheField name="Cost per unit(MEuros)" numFmtId="0">
      <sharedItems containsString="0" containsBlank="1" containsNumber="1" minValue="0" maxValue="293.806220941785"/>
    </cacheField>
    <cacheField name="Production(kton or GWh)" numFmtId="0">
      <sharedItems containsString="0" containsBlank="1" containsNumber="1" minValue="-3.3472961149527701E-12" maxValue="4439.7750130716104"/>
    </cacheField>
    <cacheField name="Sale (MEuros)" numFmtId="0">
      <sharedItems containsString="0" containsBlank="1" containsNumber="1" containsInteger="1" minValue="0" maxValue="0"/>
    </cacheField>
    <cacheField name="Electricity consumption(GWh)" numFmtId="0">
      <sharedItems containsString="0" containsBlank="1" containsNumber="1" minValue="-2.3842148948460799E-14" maxValue="3748.4702525641101"/>
    </cacheField>
    <cacheField name="Production cost fuel (Euros/kgfuel)" numFmtId="0">
      <sharedItems containsString="0" containsBlank="1" containsNumber="1" minValue="0" maxValue="1.5317855984001401"/>
    </cacheField>
    <cacheField name="Production cost fuel (Euros/GJfuel)" numFmtId="0">
      <sharedItems containsString="0" containsBlank="1" containsNumber="1" minValue="0" maxValue="76.974150673374098"/>
    </cacheField>
    <cacheField name="Production cost fuel (Euros/MWhfuel)" numFmtId="0">
      <sharedItems containsString="0" containsBlank="1" containsNumber="1" minValue="0" maxValue="277.10694242414598"/>
    </cacheField>
    <cacheField name="Production cost per unit (Euros/kg or kWh output)" numFmtId="0">
      <sharedItems containsString="0" containsBlank="1" containsNumber="1" minValue="0" maxValue="1.6261395171314601"/>
    </cacheField>
    <cacheField name="Load average" numFmtId="0">
      <sharedItems containsBlank="1" containsMixedTypes="1" containsNumber="1" minValue="-0.18985415345592899" maxValue="0.99999923483763897"/>
    </cacheField>
    <cacheField name="Full load hours" numFmtId="0">
      <sharedItems containsBlank="1" containsMixedTypes="1" containsNumber="1" minValue="-1497" maxValue="7884.9939666947803"/>
    </cacheField>
    <cacheField name="CO2e infrastructure (t CO2e)" numFmtId="0">
      <sharedItems containsString="0" containsBlank="1" containsNumber="1" minValue="0" maxValue="45587.540425460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964.429912615742" missingItemsLimit="0" createdVersion="6" refreshedVersion="6" minRefreshableVersion="3" recordCount="267" xr:uid="{00000000-000A-0000-FFFF-FFFF0C000000}">
  <cacheSource type="worksheet">
    <worksheetSource ref="A1:AK1048576" sheet="All_Scenarios"/>
  </cacheSource>
  <cacheFields count="37">
    <cacheField name="Scenario" numFmtId="0">
      <sharedItems containsBlank="1" count="3">
        <s v="Ammonia-AEC"/>
        <s v="AmmoniaFlex-AEC"/>
        <m/>
      </sharedItems>
    </cacheField>
    <cacheField name="Type of unit" numFmtId="0">
      <sharedItems containsBlank="1" count="20">
        <s v="NH3 plant + ASU - AEC"/>
        <s v="Waste water plant"/>
        <s v="Electrolyser AEC"/>
        <s v="H2 pipeline to NH3 plant"/>
        <s v="Heat from district heating"/>
        <s v="Heat sent to district heating"/>
        <s v="Sale of oxygen"/>
        <s v="H2 pipes compressor"/>
        <s v="H2 pipes valve"/>
        <s v="H2 buried pipes"/>
        <s v="OFF_SP379-HH100"/>
        <s v="OFF_SP379-HH150"/>
        <s v="OFF_SP450-HH100"/>
        <s v="OFF_SP450-HH150"/>
        <s v="Electricity from the grid"/>
        <s v="Electricity to the grid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30" maxValue="2030"/>
    </cacheField>
    <cacheField name="Location" numFmtId="0">
      <sharedItems containsBlank="1"/>
    </cacheField>
    <cacheField name="Profile" numFmtId="0">
      <sharedItems containsString="0" containsBlank="1" containsNumber="1" containsInteger="1" minValue="2015" maxValue="2021" count="8">
        <n v="2015"/>
        <n v="2017"/>
        <n v="2018"/>
        <n v="2019"/>
        <n v="2020"/>
        <n v="2021"/>
        <n v="2016"/>
        <m/>
      </sharedItems>
    </cacheField>
    <cacheField name="Fuel" numFmtId="0">
      <sharedItems containsBlank="1" count="2">
        <s v="NH3"/>
        <m/>
      </sharedItems>
    </cacheField>
    <cacheField name="Electrolyser" numFmtId="0">
      <sharedItems containsBlank="1" count="2">
        <s v="AEC"/>
        <m/>
      </sharedItems>
    </cacheField>
    <cacheField name="CO2 capture" numFmtId="0">
      <sharedItems containsBlank="1" count="2">
        <s v="None"/>
        <m/>
      </sharedItems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(Eur/kgCO2)" numFmtId="0">
      <sharedItems containsString="0" containsBlank="1" containsNumber="1" containsInteger="1" minValue="0" maxValue="0"/>
    </cacheField>
    <cacheField name="Weight costs vs emissions" numFmtId="0">
      <sharedItems containsBlank="1"/>
    </cacheField>
    <cacheField name="Installed capacity(MW or t/h)" numFmtId="0">
      <sharedItems containsString="0" containsBlank="1" containsNumber="1" minValue="0" maxValue="1113.7365466259801"/>
    </cacheField>
    <cacheField name="Total investment(MEuros)" numFmtId="0">
      <sharedItems containsString="0" containsBlank="1" containsNumber="1" minValue="0" maxValue="2557.8250508025199"/>
    </cacheField>
    <cacheField name="Annualised investment(MEuros)" numFmtId="0">
      <sharedItems containsString="0" containsBlank="1" containsNumber="1" minValue="0" maxValue="227.20503431645699"/>
    </cacheField>
    <cacheField name="Fixed O&amp;M(MEuros)" numFmtId="0">
      <sharedItems containsString="0" containsBlank="1" containsNumber="1" minValue="0" maxValue="78.997965733250794"/>
    </cacheField>
    <cacheField name="Variable O&amp;M(MEuros)" numFmtId="0">
      <sharedItems containsString="0" containsBlank="1" containsNumber="1" minValue="0" maxValue="11.532872882304099"/>
    </cacheField>
    <cacheField name="CO2 tax infrastructure (MEuros)" numFmtId="0">
      <sharedItems containsString="0" containsBlank="1" containsNumber="1" containsInteger="1" minValue="0" maxValue="0"/>
    </cacheField>
    <cacheField name="CO2 tax process (MEuros)" numFmtId="0">
      <sharedItems containsString="0" containsBlank="1" containsNumber="1" containsInteger="1" minValue="0" maxValue="0"/>
    </cacheField>
    <cacheField name="Fuel cost(MEuros)" numFmtId="0">
      <sharedItems containsString="0" containsBlank="1" containsNumber="1" minValue="0" maxValue="5.6079287536539402E-2"/>
    </cacheField>
    <cacheField name="Cost per unit(MEuros)" numFmtId="0">
      <sharedItems containsString="0" containsBlank="1" containsNumber="1" minValue="0" maxValue="280.53715865945202"/>
    </cacheField>
    <cacheField name="Production(kton or GWh)" numFmtId="0">
      <sharedItems containsString="0" containsBlank="1" containsNumber="1" minValue="0" maxValue="4096.1597261705201"/>
    </cacheField>
    <cacheField name="Sale (MEuros)" numFmtId="0">
      <sharedItems containsString="0" containsBlank="1" containsNumber="1" containsInteger="1" minValue="0" maxValue="0"/>
    </cacheField>
    <cacheField name="Electricity consumption(GWh)" numFmtId="0">
      <sharedItems containsString="0" containsBlank="1" containsNumber="1" minValue="0" maxValue="3819.1432742829802"/>
    </cacheField>
    <cacheField name="Production cost fuel (Euros/kgfuel)" numFmtId="0">
      <sharedItems containsString="0" containsBlank="1" containsNumber="1" minValue="0" maxValue="1.22930679643823"/>
    </cacheField>
    <cacheField name="Production cost fuel (Euros/GJfuel)" numFmtId="0">
      <sharedItems containsString="0" containsBlank="1" containsNumber="1" minValue="0" maxValue="66.091763249367602"/>
    </cacheField>
    <cacheField name="Production cost fuel (Euros/MWhfuel)" numFmtId="0">
      <sharedItems containsString="0" containsBlank="1" containsNumber="1" minValue="0" maxValue="237.93034769772299"/>
    </cacheField>
    <cacheField name="Production cost per unit (Euros/kg or kWh output)" numFmtId="0">
      <sharedItems containsString="0" containsBlank="1" containsNumber="1" minValue="0" maxValue="1.9422919503031599"/>
    </cacheField>
    <cacheField name="Load average" numFmtId="0">
      <sharedItems containsBlank="1" containsMixedTypes="1" containsNumber="1" minValue="8.5310470752539204E-4" maxValue="0.71563820259837196"/>
    </cacheField>
    <cacheField name="Full load hours" numFmtId="0">
      <sharedItems containsBlank="1" containsMixedTypes="1" containsNumber="1" minValue="6.7267306188377098" maxValue="5642.8072274881597"/>
    </cacheField>
    <cacheField name="CO2e infrastructure (t CO2e)" numFmtId="0">
      <sharedItems containsString="0" containsBlank="1" containsNumber="1" minValue="0" maxValue="39765.417666372901"/>
    </cacheField>
    <cacheField name="CO2e process (t CO2e)" numFmtId="0">
      <sharedItems containsString="0" containsBlank="1" containsNumber="1" containsInteger="1" minValue="0" maxValue="0"/>
    </cacheField>
    <cacheField name="CO2e inf+proc per unit(t CO2e)" numFmtId="0">
      <sharedItems containsString="0" containsBlank="1" containsNumber="1" minValue="0" maxValue="39765.417666372901"/>
    </cacheField>
    <cacheField name="CO2e per unit (kgCO2e/GJfuel)" numFmtId="0">
      <sharedItems containsString="0" containsBlank="1" containsNumber="1" minValue="0" maxValue="5.0208860689865702"/>
    </cacheField>
    <cacheField name="CO2e total system (kg CO2e/GJfuel)" numFmtId="0">
      <sharedItems containsString="0" containsBlank="1" containsNumber="1" minValue="0" maxValue="5.4144665686079199"/>
    </cacheField>
    <cacheField name="Land use per unit (km2)" numFmtId="0">
      <sharedItems containsString="0" containsBlank="1" containsNumber="1" minValue="0" maxValue="191.51813655780401"/>
    </cacheField>
    <cacheField name="Land use per unit (km2/GJfuel)" numFmtId="0">
      <sharedItems containsString="0" containsBlank="1" containsNumber="1" minValue="0" maxValue="2.4181582898713101E-2"/>
    </cacheField>
    <cacheField name="Land use total system (km2/GJfuel)" numFmtId="0">
      <sharedItems containsString="0" containsBlank="1" containsNumber="1" minValue="0" maxValue="2.421417149122969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964.443335300923" missingItemsLimit="0" createdVersion="6" refreshedVersion="6" minRefreshableVersion="3" recordCount="267" xr:uid="{00000000-000A-0000-FFFF-FFFF14000000}">
  <cacheSource type="worksheet">
    <worksheetSource ref="A1:AB1048576" sheet="All_Scenarios"/>
  </cacheSource>
  <cacheFields count="28">
    <cacheField name="Scenario" numFmtId="0">
      <sharedItems containsBlank="1" count="3">
        <s v="Ammonia-AEC"/>
        <s v="AmmoniaFlex-AEC"/>
        <m/>
      </sharedItems>
    </cacheField>
    <cacheField name="Type of unit" numFmtId="0">
      <sharedItems containsBlank="1" count="20">
        <s v="NH3 plant + ASU - AEC"/>
        <s v="Waste water plant"/>
        <s v="Electrolyser AEC"/>
        <s v="H2 pipeline to NH3 plant"/>
        <s v="Heat from district heating"/>
        <s v="Heat sent to district heating"/>
        <s v="Sale of oxygen"/>
        <s v="H2 pipes compressor"/>
        <s v="H2 pipes valve"/>
        <s v="H2 buried pipes"/>
        <s v="OFF_SP379-HH100"/>
        <s v="OFF_SP379-HH150"/>
        <s v="OFF_SP450-HH100"/>
        <s v="OFF_SP450-HH150"/>
        <s v="Electricity from the grid"/>
        <s v="Electricity to the grid"/>
        <s v="Charge batteries"/>
        <s v="Discharge batteries"/>
        <s v="Batteries"/>
        <m/>
      </sharedItems>
    </cacheField>
    <cacheField name="Year data" numFmtId="0">
      <sharedItems containsString="0" containsBlank="1" containsNumber="1" containsInteger="1" minValue="2030" maxValue="2030"/>
    </cacheField>
    <cacheField name="Location" numFmtId="0">
      <sharedItems containsBlank="1"/>
    </cacheField>
    <cacheField name="Profile" numFmtId="0">
      <sharedItems containsString="0" containsBlank="1" containsNumber="1" containsInteger="1" minValue="2015" maxValue="2021" count="8">
        <n v="2015"/>
        <n v="2017"/>
        <n v="2018"/>
        <n v="2019"/>
        <n v="2020"/>
        <n v="2021"/>
        <n v="2016"/>
        <m/>
      </sharedItems>
    </cacheField>
    <cacheField name="Fuel" numFmtId="0">
      <sharedItems containsBlank="1" count="2">
        <s v="NH3"/>
        <m/>
      </sharedItems>
    </cacheField>
    <cacheField name="Electrolyser" numFmtId="0">
      <sharedItems containsBlank="1" count="2">
        <s v="AEC"/>
        <m/>
      </sharedItems>
    </cacheField>
    <cacheField name="CO2 capture" numFmtId="0">
      <sharedItems containsBlank="1" count="2">
        <s v="None"/>
        <m/>
      </sharedItems>
    </cacheField>
    <cacheField name="CO2 tax level upstream (Eur/kgCO2)" numFmtId="0">
      <sharedItems containsString="0" containsBlank="1" containsNumber="1" containsInteger="1" minValue="0" maxValue="0"/>
    </cacheField>
    <cacheField name="CO2 tax level operational(Eur/kgCO2)" numFmtId="0">
      <sharedItems containsString="0" containsBlank="1" containsNumber="1" containsInteger="1" minValue="0" maxValue="0"/>
    </cacheField>
    <cacheField name="Weight costs vs emissions" numFmtId="0">
      <sharedItems containsBlank="1"/>
    </cacheField>
    <cacheField name="Installed capacity(MW or t/h)" numFmtId="0">
      <sharedItems containsString="0" containsBlank="1" containsNumber="1" minValue="0" maxValue="1113.7365466259801"/>
    </cacheField>
    <cacheField name="Total investment(MEuros)" numFmtId="0">
      <sharedItems containsString="0" containsBlank="1" containsNumber="1" minValue="0" maxValue="2557.8250508025199"/>
    </cacheField>
    <cacheField name="Annualised investment(MEuros)" numFmtId="0">
      <sharedItems containsString="0" containsBlank="1" containsNumber="1" minValue="0" maxValue="227.20503431645699"/>
    </cacheField>
    <cacheField name="Fixed O&amp;M(MEuros)" numFmtId="0">
      <sharedItems containsString="0" containsBlank="1" containsNumber="1" minValue="0" maxValue="78.997965733250794"/>
    </cacheField>
    <cacheField name="Variable O&amp;M(MEuros)" numFmtId="0">
      <sharedItems containsString="0" containsBlank="1" containsNumber="1" minValue="0" maxValue="11.532872882304099"/>
    </cacheField>
    <cacheField name="CO2 tax infrastructure (MEuros)" numFmtId="0">
      <sharedItems containsString="0" containsBlank="1" containsNumber="1" containsInteger="1" minValue="0" maxValue="0"/>
    </cacheField>
    <cacheField name="CO2 tax process (MEuros)" numFmtId="0">
      <sharedItems containsString="0" containsBlank="1" containsNumber="1" containsInteger="1" minValue="0" maxValue="0"/>
    </cacheField>
    <cacheField name="Fuel cost(MEuros)" numFmtId="0">
      <sharedItems containsString="0" containsBlank="1" containsNumber="1" minValue="0" maxValue="5.6079287536539402E-2"/>
    </cacheField>
    <cacheField name="Cost per unit(MEuros)" numFmtId="0">
      <sharedItems containsString="0" containsBlank="1" containsNumber="1" minValue="0" maxValue="280.53715865945202"/>
    </cacheField>
    <cacheField name="Production(kton or GWh)" numFmtId="0">
      <sharedItems containsString="0" containsBlank="1" containsNumber="1" minValue="0" maxValue="4096.1597261705201"/>
    </cacheField>
    <cacheField name="Sale (MEuros)" numFmtId="0">
      <sharedItems containsString="0" containsBlank="1" containsNumber="1" containsInteger="1" minValue="0" maxValue="0"/>
    </cacheField>
    <cacheField name="Electricity consumption(GWh)" numFmtId="0">
      <sharedItems containsString="0" containsBlank="1" containsNumber="1" minValue="0" maxValue="3819.1432742829802"/>
    </cacheField>
    <cacheField name="Production cost fuel (Euros/kgfuel)" numFmtId="0">
      <sharedItems containsString="0" containsBlank="1" containsNumber="1" minValue="0" maxValue="1.22930679643823"/>
    </cacheField>
    <cacheField name="Production cost fuel (Euros/GJfuel)" numFmtId="0">
      <sharedItems containsString="0" containsBlank="1" containsNumber="1" minValue="0" maxValue="66.091763249367602"/>
    </cacheField>
    <cacheField name="Production cost fuel (Euros/MWhfuel)" numFmtId="0">
      <sharedItems containsString="0" containsBlank="1" containsNumber="1" minValue="0" maxValue="237.93034769772299"/>
    </cacheField>
    <cacheField name="Production cost per unit (Euros/kg or kWh output)" numFmtId="0">
      <sharedItems containsString="0" containsBlank="1" containsNumber="1" minValue="0" maxValue="1.9422919503031599"/>
    </cacheField>
    <cacheField name="Load average" numFmtId="0">
      <sharedItems containsBlank="1" containsMixedTypes="1" containsNumber="1" minValue="8.5310470752539204E-4" maxValue="0.715638202598371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3">
  <r>
    <x v="0"/>
    <x v="0"/>
    <n v="2020"/>
    <x v="0"/>
    <x v="0"/>
    <x v="0"/>
    <s v="None"/>
    <s v="ALL"/>
    <n v="0"/>
    <n v="0"/>
    <n v="24.811987167240201"/>
    <n v="104.011850205071"/>
    <n v="9.7437031341472693"/>
    <n v="10.818026404916701"/>
    <n v="0"/>
    <n v="0"/>
    <n v="0"/>
    <n v="0"/>
    <n v="20.561729539064"/>
    <n v="193.54838709676599"/>
    <n v="0"/>
    <n v="73.548387096782207"/>
    <n v="0.82989055734306505"/>
    <n v="44.617771900164797"/>
    <n v="160.623978840593"/>
    <n v="0.106235602618501"/>
    <n v="0.98929613189600296"/>
    <n v="7800.5999999999804"/>
    <n v="563.57994407791705"/>
    <n v="0"/>
    <n v="563.57994407791705"/>
    <n v="0.156549984466094"/>
    <n v="109.29094155384099"/>
    <n v="55.9460817707511"/>
  </r>
  <r>
    <x v="0"/>
    <x v="1"/>
    <n v="2020"/>
    <x v="0"/>
    <x v="0"/>
    <x v="0"/>
    <s v="None"/>
    <s v="ALL"/>
    <n v="0"/>
    <n v="0"/>
    <n v="69.992023501618107"/>
    <n v="1.82995486036912"/>
    <n v="0.18638494457525501"/>
    <n v="0"/>
    <n v="0.141382387510288"/>
    <n v="0"/>
    <n v="0"/>
    <n v="0"/>
    <n v="0.32776733208554298"/>
    <n v="545.97977852676297"/>
    <n v="0"/>
    <n v="2.1839191141068302"/>
    <n v="0"/>
    <n v="0"/>
    <n v="0"/>
    <n v="6.0032870259402204E-4"/>
    <n v="0.98929613189600296"/>
    <n v="7800.5999999999804"/>
    <n v="0"/>
    <n v="0"/>
    <n v="0"/>
    <n v="0"/>
    <n v="0"/>
    <n v="55.9460817707511"/>
  </r>
  <r>
    <x v="0"/>
    <x v="2"/>
    <n v="2020"/>
    <x v="0"/>
    <x v="0"/>
    <x v="0"/>
    <s v="None"/>
    <s v="ALL"/>
    <n v="0"/>
    <n v="0"/>
    <n v="4.68946557460841"/>
    <n v="264.80005260141297"/>
    <n v="24.806145620597299"/>
    <n v="5.2944066337329003"/>
    <n v="0"/>
    <n v="0"/>
    <n v="0"/>
    <n v="0"/>
    <n v="30.1005522543302"/>
    <n v="36.580645161286498"/>
    <n v="0"/>
    <n v="1883.9032258063301"/>
    <n v="0"/>
    <n v="0"/>
    <n v="0"/>
    <n v="0.82285460307260405"/>
    <n v="0.98929613189600296"/>
    <n v="7800.5999999999804"/>
    <n v="541.23251187801395"/>
    <n v="0"/>
    <n v="541.23251187801395"/>
    <n v="0.150342364410565"/>
    <n v="0"/>
    <n v="55.9460817707511"/>
  </r>
  <r>
    <x v="0"/>
    <x v="3"/>
    <n v="2020"/>
    <x v="0"/>
    <x v="0"/>
    <x v="0"/>
    <s v="None"/>
    <s v="ALL"/>
    <n v="0"/>
    <n v="0"/>
    <n v="4.68946557460609"/>
    <n v="0"/>
    <n v="0"/>
    <n v="0"/>
    <n v="0"/>
    <n v="0"/>
    <n v="0"/>
    <n v="0"/>
    <n v="0"/>
    <n v="36.580645161286498"/>
    <n v="0"/>
    <n v="0"/>
    <n v="0"/>
    <n v="0"/>
    <n v="0"/>
    <n v="0"/>
    <n v="0.98929613189667198"/>
    <n v="7800.60000000526"/>
    <n v="0"/>
    <n v="0"/>
    <n v="0"/>
    <n v="0"/>
    <n v="0"/>
    <n v="55.9460817707511"/>
  </r>
  <r>
    <x v="0"/>
    <x v="4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5"/>
    <n v="2020"/>
    <x v="0"/>
    <x v="0"/>
    <x v="0"/>
    <s v="None"/>
    <s v="ALL"/>
    <n v="0"/>
    <n v="0"/>
    <n v="33.154521612481602"/>
    <n v="0"/>
    <n v="0"/>
    <n v="0"/>
    <n v="0"/>
    <n v="0"/>
    <n v="0"/>
    <n v="0"/>
    <n v="0"/>
    <n v="258.62516129036902"/>
    <n v="0"/>
    <n v="0"/>
    <n v="0"/>
    <n v="0"/>
    <n v="0"/>
    <n v="0"/>
    <n v="0.98929613189600296"/>
    <n v="7800.5999999999804"/>
    <n v="0"/>
    <n v="0"/>
    <n v="0"/>
    <n v="0"/>
    <n v="0"/>
    <n v="55.9460817707511"/>
  </r>
  <r>
    <x v="0"/>
    <x v="6"/>
    <n v="2020"/>
    <x v="0"/>
    <x v="0"/>
    <x v="0"/>
    <s v="None"/>
    <s v="ALL"/>
    <n v="0"/>
    <n v="0"/>
    <n v="36.390252858961396"/>
    <n v="0"/>
    <n v="0"/>
    <n v="0"/>
    <n v="0"/>
    <n v="0"/>
    <n v="0"/>
    <n v="0"/>
    <n v="0"/>
    <n v="283.86580645163099"/>
    <n v="0"/>
    <n v="0"/>
    <n v="0"/>
    <n v="0"/>
    <n v="0"/>
    <n v="0"/>
    <n v="0.98929613189600296"/>
    <n v="7800.5999999999804"/>
    <n v="0"/>
    <n v="0"/>
    <n v="0"/>
    <n v="0"/>
    <n v="0"/>
    <n v="55.9460817707511"/>
  </r>
  <r>
    <x v="0"/>
    <x v="7"/>
    <n v="2020"/>
    <x v="0"/>
    <x v="0"/>
    <x v="0"/>
    <s v="None"/>
    <s v="ALL"/>
    <n v="0"/>
    <n v="0"/>
    <n v="2.0008883439004401E-14"/>
    <n v="0"/>
    <n v="0"/>
    <n v="0"/>
    <n v="0"/>
    <n v="0"/>
    <n v="0"/>
    <n v="0"/>
    <n v="0"/>
    <n v="5.6717128720708998E-15"/>
    <n v="0"/>
    <n v="5.3314100997471002E-15"/>
    <n v="0"/>
    <n v="0"/>
    <n v="0"/>
    <n v="0"/>
    <n v="3.5949237633300997E-2"/>
    <n v="283.45973873857798"/>
    <n v="0"/>
    <n v="0"/>
    <n v="0"/>
    <n v="0"/>
    <n v="0"/>
    <n v="55.9460817707511"/>
  </r>
  <r>
    <x v="0"/>
    <x v="8"/>
    <n v="2020"/>
    <x v="0"/>
    <x v="0"/>
    <x v="0"/>
    <s v="None"/>
    <s v="ALL"/>
    <n v="0"/>
    <n v="0"/>
    <n v="3.0922819860279502E-13"/>
    <n v="0"/>
    <n v="0"/>
    <n v="0"/>
    <n v="0"/>
    <n v="0"/>
    <n v="0"/>
    <n v="0"/>
    <n v="0"/>
    <n v="5.4760502807389799E-15"/>
    <n v="0"/>
    <n v="0"/>
    <n v="0"/>
    <n v="0"/>
    <n v="0"/>
    <n v="0"/>
    <n v="2.2458804722139802E-3"/>
    <n v="17.7087675234072"/>
    <n v="0"/>
    <n v="0"/>
    <n v="0"/>
    <n v="0"/>
    <n v="0"/>
    <n v="55.9460817707511"/>
  </r>
  <r>
    <x v="0"/>
    <x v="9"/>
    <n v="2020"/>
    <x v="0"/>
    <x v="0"/>
    <x v="0"/>
    <s v="None"/>
    <s v="ALL"/>
    <n v="0"/>
    <n v="0"/>
    <n v="0"/>
    <n v="0"/>
    <n v="0"/>
    <n v="0"/>
    <n v="0"/>
    <n v="0"/>
    <n v="0"/>
    <n v="0"/>
    <n v="0"/>
    <n v="3.4027805510412101E-14"/>
    <n v="0"/>
    <n v="0"/>
    <n v="0"/>
    <n v="0"/>
    <n v="0"/>
    <n v="0"/>
    <s v="NaN"/>
    <s v="NaN"/>
    <n v="0"/>
    <n v="0"/>
    <n v="0"/>
    <n v="0"/>
    <n v="0"/>
    <n v="55.9460817707511"/>
  </r>
  <r>
    <x v="0"/>
    <x v="10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11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12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13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14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15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16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17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18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19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20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21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22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23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24"/>
    <n v="2020"/>
    <x v="0"/>
    <x v="0"/>
    <x v="0"/>
    <s v="None"/>
    <s v="ALL"/>
    <n v="0"/>
    <n v="0"/>
    <n v="251.216000309891"/>
    <n v="16.580256020452801"/>
    <n v="1.4226400938067101"/>
    <n v="0"/>
    <n v="0"/>
    <n v="0"/>
    <n v="0"/>
    <n v="108.21128962132001"/>
    <n v="109.633929715127"/>
    <n v="1959.6355320176201"/>
    <n v="0"/>
    <n v="0"/>
    <n v="0"/>
    <n v="0"/>
    <n v="0"/>
    <n v="5.5946081770751097E-2"/>
    <n v="0.98929613189600296"/>
    <n v="7800.5999999999804"/>
    <n v="0"/>
    <n v="392342.57713785802"/>
    <n v="392342.57713785802"/>
    <n v="108.98404920496399"/>
    <n v="0"/>
    <n v="55.9460817707511"/>
  </r>
  <r>
    <x v="0"/>
    <x v="25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26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5.9460817707511"/>
  </r>
  <r>
    <x v="0"/>
    <x v="27"/>
    <n v="2020"/>
    <x v="0"/>
    <x v="0"/>
    <x v="0"/>
    <s v="None"/>
    <s v="ALL"/>
    <n v="0"/>
    <n v="0"/>
    <n v="8.1154911850507397E-13"/>
    <n v="0"/>
    <n v="0"/>
    <n v="0"/>
    <n v="-6.0141277686281103E-17"/>
    <n v="0"/>
    <n v="0"/>
    <n v="0"/>
    <n v="-6.0141277686281103E-17"/>
    <n v="-2.8836715775123099E-14"/>
    <n v="0"/>
    <n v="-1.1534686310049201E-15"/>
    <n v="0"/>
    <n v="0"/>
    <n v="0"/>
    <n v="2.0855799999999901E-3"/>
    <n v="-4.5063953372953096E-3"/>
    <n v="-35.532927234573499"/>
    <n v="0"/>
    <n v="0"/>
    <n v="0"/>
    <n v="0"/>
    <n v="0"/>
    <n v="55.9460817707511"/>
  </r>
  <r>
    <x v="0"/>
    <x v="28"/>
    <n v="2020"/>
    <x v="0"/>
    <x v="0"/>
    <x v="0"/>
    <s v="None"/>
    <s v="ALL"/>
    <n v="0"/>
    <n v="0"/>
    <n v="9.3537939966680807E-12"/>
    <n v="0"/>
    <n v="0"/>
    <n v="0"/>
    <n v="0"/>
    <n v="0"/>
    <n v="0"/>
    <n v="0"/>
    <n v="0"/>
    <n v="-2.8836715775122998E-14"/>
    <n v="0"/>
    <n v="-1.4418357887561499E-15"/>
    <n v="0"/>
    <n v="0"/>
    <n v="0"/>
    <n v="0"/>
    <n v="-3.9098158083448201E-4"/>
    <n v="-3.0828897648798899"/>
    <n v="0"/>
    <n v="0"/>
    <n v="0"/>
    <n v="0"/>
    <n v="0"/>
    <n v="55.9460817707511"/>
  </r>
  <r>
    <x v="0"/>
    <x v="29"/>
    <n v="2020"/>
    <x v="0"/>
    <x v="0"/>
    <x v="0"/>
    <s v="None"/>
    <s v="ALL"/>
    <n v="0"/>
    <n v="0"/>
    <n v="0"/>
    <n v="0"/>
    <n v="0"/>
    <n v="0"/>
    <n v="0"/>
    <n v="0"/>
    <n v="0"/>
    <n v="0"/>
    <n v="0"/>
    <n v="3.43678747733272E-14"/>
    <n v="0"/>
    <n v="0"/>
    <n v="0"/>
    <n v="0"/>
    <n v="0"/>
    <n v="0"/>
    <s v="NaN"/>
    <s v="NaN"/>
    <n v="0"/>
    <n v="0"/>
    <n v="0"/>
    <n v="0"/>
    <n v="0"/>
    <n v="55.9460817707511"/>
  </r>
  <r>
    <x v="1"/>
    <x v="0"/>
    <n v="2020"/>
    <x v="0"/>
    <x v="0"/>
    <x v="0"/>
    <s v="None"/>
    <s v="ALL"/>
    <n v="0"/>
    <n v="0"/>
    <n v="24.558861451183098"/>
    <n v="102.950747203359"/>
    <n v="9.6443003004985499"/>
    <n v="10.7076635927158"/>
    <n v="0"/>
    <n v="0"/>
    <n v="0"/>
    <n v="0"/>
    <n v="20.3519638932144"/>
    <n v="193.54838709675499"/>
    <n v="0"/>
    <n v="73.548387096772302"/>
    <n v="0.83094137655507105"/>
    <n v="44.674267556724203"/>
    <n v="160.82736320420699"/>
    <n v="0.105151813448284"/>
    <n v="0.99949270767279597"/>
    <n v="7880.99999999999"/>
    <n v="557.830441793452"/>
    <n v="0"/>
    <n v="557.830441793452"/>
    <n v="0.15495290049819499"/>
    <n v="109.92352084383501"/>
    <n v="56.314583867652502"/>
  </r>
  <r>
    <x v="1"/>
    <x v="1"/>
    <n v="2020"/>
    <x v="0"/>
    <x v="0"/>
    <x v="0"/>
    <s v="None"/>
    <s v="ALL"/>
    <n v="0"/>
    <n v="0"/>
    <n v="69.277982302597295"/>
    <n v="1.8112861164568701"/>
    <n v="0.18448349177183801"/>
    <n v="0"/>
    <n v="0.14138238751024701"/>
    <n v="0"/>
    <n v="0"/>
    <n v="0"/>
    <n v="0.32586587928208499"/>
    <n v="545.97977852674796"/>
    <n v="0"/>
    <n v="2.1839191141069101"/>
    <n v="0"/>
    <n v="0"/>
    <n v="0"/>
    <n v="5.9684605931998105E-4"/>
    <n v="0.99949270767278198"/>
    <n v="7880.99999999989"/>
    <n v="0"/>
    <n v="0"/>
    <n v="0"/>
    <n v="0"/>
    <n v="0"/>
    <n v="56.314583867652502"/>
  </r>
  <r>
    <x v="1"/>
    <x v="2"/>
    <n v="2020"/>
    <x v="0"/>
    <x v="0"/>
    <x v="0"/>
    <s v="None"/>
    <s v="ALL"/>
    <n v="0"/>
    <n v="0"/>
    <n v="4.6416248142735999"/>
    <n v="262.09862838758698"/>
    <n v="24.553079498544701"/>
    <n v="5.2403944153149"/>
    <n v="0"/>
    <n v="0"/>
    <n v="0"/>
    <n v="0"/>
    <n v="29.7934739138596"/>
    <n v="36.580645161283798"/>
    <n v="0"/>
    <n v="1883.9032258065999"/>
    <n v="0"/>
    <n v="0"/>
    <n v="0"/>
    <n v="0.81446004526438298"/>
    <n v="0.99949270767279597"/>
    <n v="7881"/>
    <n v="535.71099253338696"/>
    <n v="0"/>
    <n v="535.71099253338696"/>
    <n v="0.148808609037066"/>
    <n v="0"/>
    <n v="56.314583867652502"/>
  </r>
  <r>
    <x v="1"/>
    <x v="3"/>
    <n v="2020"/>
    <x v="0"/>
    <x v="0"/>
    <x v="0"/>
    <s v="None"/>
    <s v="ALL"/>
    <n v="0"/>
    <n v="0"/>
    <n v="4.6416248142717702"/>
    <n v="0"/>
    <n v="0"/>
    <n v="0"/>
    <n v="0"/>
    <n v="0"/>
    <n v="0"/>
    <n v="0"/>
    <n v="0"/>
    <n v="36.580645161283698"/>
    <n v="0"/>
    <n v="0"/>
    <n v="0"/>
    <n v="0"/>
    <n v="0"/>
    <n v="0"/>
    <n v="0.99949270767302101"/>
    <n v="7881.0000000017699"/>
    <n v="0"/>
    <n v="0"/>
    <n v="0"/>
    <n v="0"/>
    <n v="0"/>
    <n v="56.314583867652502"/>
  </r>
  <r>
    <x v="1"/>
    <x v="4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5"/>
    <n v="2020"/>
    <x v="0"/>
    <x v="0"/>
    <x v="0"/>
    <s v="None"/>
    <s v="ALL"/>
    <n v="0"/>
    <n v="0"/>
    <n v="32.8162874369173"/>
    <n v="0"/>
    <n v="0"/>
    <n v="0"/>
    <n v="0"/>
    <n v="0"/>
    <n v="0"/>
    <n v="0"/>
    <n v="0"/>
    <n v="258.62516129028597"/>
    <n v="0"/>
    <n v="0"/>
    <n v="0"/>
    <n v="0"/>
    <n v="0"/>
    <n v="0"/>
    <n v="0.99949270767278198"/>
    <n v="7880.99999999989"/>
    <n v="0"/>
    <n v="0"/>
    <n v="0"/>
    <n v="0"/>
    <n v="0"/>
    <n v="56.314583867652502"/>
  </r>
  <r>
    <x v="1"/>
    <x v="6"/>
    <n v="2020"/>
    <x v="0"/>
    <x v="0"/>
    <x v="0"/>
    <s v="None"/>
    <s v="ALL"/>
    <n v="0"/>
    <n v="0"/>
    <n v="36.019008558766402"/>
    <n v="0"/>
    <n v="0"/>
    <n v="0"/>
    <n v="0"/>
    <n v="0"/>
    <n v="0"/>
    <n v="0"/>
    <n v="0"/>
    <n v="283.86580645156403"/>
    <n v="0"/>
    <n v="0"/>
    <n v="0"/>
    <n v="0"/>
    <n v="0"/>
    <n v="0"/>
    <n v="0.99949270767278198"/>
    <n v="7880.99999999989"/>
    <n v="0"/>
    <n v="0"/>
    <n v="0"/>
    <n v="0"/>
    <n v="0"/>
    <n v="56.314583867652502"/>
  </r>
  <r>
    <x v="1"/>
    <x v="7"/>
    <n v="2020"/>
    <x v="0"/>
    <x v="0"/>
    <x v="0"/>
    <s v="None"/>
    <s v="ALL"/>
    <n v="0"/>
    <n v="0"/>
    <n v="4.12001099903136E-13"/>
    <n v="0"/>
    <n v="0"/>
    <n v="0"/>
    <n v="0"/>
    <n v="0"/>
    <n v="0"/>
    <n v="0"/>
    <n v="0"/>
    <n v="-6.0087451136454301E-16"/>
    <n v="0"/>
    <n v="-5.6482204068270902E-16"/>
    <n v="0"/>
    <n v="0"/>
    <n v="0"/>
    <n v="0"/>
    <n v="-1.8496250938353299E-4"/>
    <n v="-1.45842938648915"/>
    <n v="0"/>
    <n v="0"/>
    <n v="0"/>
    <n v="0"/>
    <n v="0"/>
    <n v="56.314583867652502"/>
  </r>
  <r>
    <x v="1"/>
    <x v="8"/>
    <n v="2020"/>
    <x v="0"/>
    <x v="0"/>
    <x v="0"/>
    <s v="None"/>
    <s v="ALL"/>
    <n v="0"/>
    <n v="0"/>
    <n v="3.4742697607725799E-13"/>
    <n v="0"/>
    <n v="0"/>
    <n v="0"/>
    <n v="0"/>
    <n v="0"/>
    <n v="0"/>
    <n v="0"/>
    <n v="0"/>
    <n v="-5.9245849115541203E-15"/>
    <n v="0"/>
    <n v="0"/>
    <n v="0"/>
    <n v="0"/>
    <n v="0"/>
    <n v="0"/>
    <n v="-2.1626821421810399E-3"/>
    <n v="-17.052748691097499"/>
    <n v="0"/>
    <n v="0"/>
    <n v="0"/>
    <n v="0"/>
    <n v="0"/>
    <n v="56.314583867652502"/>
  </r>
  <r>
    <x v="1"/>
    <x v="9"/>
    <n v="2020"/>
    <x v="0"/>
    <x v="0"/>
    <x v="0"/>
    <s v="None"/>
    <s v="ALL"/>
    <n v="0"/>
    <n v="0"/>
    <n v="-4.12001099903136E-13"/>
    <n v="-1.89831741718027E-13"/>
    <n v="-1.5517389137829099E-14"/>
    <n v="-4.08571605633715E-16"/>
    <n v="0"/>
    <n v="0"/>
    <n v="0"/>
    <n v="0"/>
    <n v="-1.5925960743462799E-14"/>
    <n v="-1.7192343476522199E-12"/>
    <n v="0"/>
    <n v="0"/>
    <n v="0"/>
    <n v="0"/>
    <n v="0"/>
    <n v="9.2634030754511296E-3"/>
    <n v="0.52921848596630605"/>
    <n v="4172.8877618443203"/>
    <n v="-2.5651493665969199E-15"/>
    <n v="0"/>
    <n v="-2.5651493665969199E-15"/>
    <n v="-7.12541490721435E-19"/>
    <n v="0"/>
    <n v="56.314583867652502"/>
  </r>
  <r>
    <x v="1"/>
    <x v="10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11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12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13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14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15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16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17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18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19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20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21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22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23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24"/>
    <n v="2020"/>
    <x v="0"/>
    <x v="0"/>
    <x v="0"/>
    <s v="None"/>
    <s v="ALL"/>
    <n v="0"/>
    <n v="0"/>
    <n v="248.653157215753"/>
    <n v="16.411108376239699"/>
    <n v="1.4081266737404801"/>
    <n v="0"/>
    <n v="0"/>
    <n v="0"/>
    <n v="0"/>
    <n v="108.947932844094"/>
    <n v="110.35605951783501"/>
    <n v="1959.6355320175701"/>
    <n v="0"/>
    <n v="0"/>
    <n v="0"/>
    <n v="0"/>
    <n v="0"/>
    <n v="5.63145838676525E-2"/>
    <n v="0.99949270767279597"/>
    <n v="7881"/>
    <n v="0"/>
    <n v="394631.13360344397"/>
    <n v="394631.13360344397"/>
    <n v="109.6197593343"/>
    <n v="0"/>
    <n v="56.314583867652502"/>
  </r>
  <r>
    <x v="1"/>
    <x v="25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26"/>
    <n v="2020"/>
    <x v="0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14583867652502"/>
  </r>
  <r>
    <x v="1"/>
    <x v="27"/>
    <n v="2020"/>
    <x v="0"/>
    <x v="0"/>
    <x v="0"/>
    <s v="None"/>
    <s v="ALL"/>
    <n v="0"/>
    <n v="0"/>
    <n v="1.8480847621468899E-11"/>
    <n v="0"/>
    <n v="0"/>
    <n v="0"/>
    <n v="-1.3764294811228799E-16"/>
    <n v="0"/>
    <n v="0"/>
    <n v="0"/>
    <n v="-1.3764294811228799E-16"/>
    <n v="-6.5997443450881196E-14"/>
    <n v="0"/>
    <n v="-2.6398977380352399E-15"/>
    <n v="0"/>
    <n v="0"/>
    <n v="0"/>
    <n v="2.0855799999999901E-3"/>
    <n v="-4.5290125977215601E-4"/>
    <n v="-3.57112643330345"/>
    <n v="0"/>
    <n v="0"/>
    <n v="0"/>
    <n v="0"/>
    <n v="0"/>
    <n v="56.314583867652502"/>
  </r>
  <r>
    <x v="1"/>
    <x v="28"/>
    <n v="2020"/>
    <x v="0"/>
    <x v="0"/>
    <x v="0"/>
    <s v="None"/>
    <s v="ALL"/>
    <n v="0"/>
    <n v="0"/>
    <n v="-2.5850184963354301E-12"/>
    <n v="0"/>
    <n v="0"/>
    <n v="0"/>
    <n v="0"/>
    <n v="0"/>
    <n v="0"/>
    <n v="0"/>
    <n v="0"/>
    <n v="-6.5997443450881095E-14"/>
    <n v="0"/>
    <n v="-3.2998721725440501E-15"/>
    <n v="0"/>
    <n v="0"/>
    <n v="0"/>
    <n v="0"/>
    <n v="3.2378875359251802E-3"/>
    <n v="25.530743220769999"/>
    <n v="0"/>
    <n v="0"/>
    <n v="0"/>
    <n v="0"/>
    <n v="0"/>
    <n v="56.314583867652502"/>
  </r>
  <r>
    <x v="1"/>
    <x v="29"/>
    <n v="2020"/>
    <x v="0"/>
    <x v="0"/>
    <x v="0"/>
    <s v="None"/>
    <s v="ALL"/>
    <n v="0"/>
    <n v="0"/>
    <n v="0"/>
    <n v="0"/>
    <n v="0"/>
    <n v="0"/>
    <n v="0"/>
    <n v="0"/>
    <n v="0"/>
    <n v="0"/>
    <n v="0"/>
    <n v="-1.9744910326881499E-13"/>
    <n v="0"/>
    <n v="0"/>
    <n v="0"/>
    <n v="0"/>
    <n v="0"/>
    <n v="0"/>
    <s v="NaN"/>
    <s v="NaN"/>
    <n v="0"/>
    <n v="0"/>
    <n v="0"/>
    <n v="0"/>
    <n v="0"/>
    <n v="56.314583867652502"/>
  </r>
  <r>
    <x v="1"/>
    <x v="0"/>
    <n v="2020"/>
    <x v="1"/>
    <x v="0"/>
    <x v="0"/>
    <s v="None"/>
    <s v="ALL"/>
    <n v="0"/>
    <n v="0"/>
    <n v="24.546402929204"/>
    <n v="102.898521079223"/>
    <n v="9.6394078209548599"/>
    <n v="10.7022316771329"/>
    <n v="0"/>
    <n v="0"/>
    <n v="0"/>
    <n v="0"/>
    <n v="20.341639498087801"/>
    <n v="193.54838709679501"/>
    <n v="0"/>
    <n v="73.548387096789"/>
    <n v="0.75975676844168005"/>
    <n v="40.847138088262298"/>
    <n v="147.04969711774399"/>
    <n v="0.105098470740108"/>
    <n v="1"/>
    <n v="7885"/>
    <n v="557.54745869044905"/>
    <n v="0"/>
    <n v="557.54745869044905"/>
    <n v="0.154874294080663"/>
    <n v="175.331431267884"/>
    <n v="46.388134441448798"/>
  </r>
  <r>
    <x v="1"/>
    <x v="1"/>
    <n v="2020"/>
    <x v="1"/>
    <x v="0"/>
    <x v="0"/>
    <s v="None"/>
    <s v="ALL"/>
    <n v="0"/>
    <n v="0"/>
    <n v="77.808966486537003"/>
    <n v="2.03433033192767"/>
    <n v="0.207201037782766"/>
    <n v="0"/>
    <n v="0.141387502277423"/>
    <n v="0"/>
    <n v="0"/>
    <n v="0"/>
    <n v="0.34858854006019002"/>
    <n v="545.99953034647001"/>
    <n v="0"/>
    <n v="2.1839981213861202"/>
    <n v="0"/>
    <n v="0"/>
    <n v="0"/>
    <n v="6.38441098729498E-4"/>
    <n v="0.88994040439238198"/>
    <n v="7017.1800886339297"/>
    <n v="0"/>
    <n v="0"/>
    <n v="0"/>
    <n v="0"/>
    <n v="0"/>
    <n v="46.388134441448798"/>
  </r>
  <r>
    <x v="1"/>
    <x v="2"/>
    <n v="2020"/>
    <x v="1"/>
    <x v="0"/>
    <x v="0"/>
    <s v="None"/>
    <s v="ALL"/>
    <n v="0"/>
    <n v="0"/>
    <n v="5.2132007545979802"/>
    <n v="294.37380700988399"/>
    <n v="27.576578825565601"/>
    <n v="5.8857036519411201"/>
    <n v="0"/>
    <n v="0"/>
    <n v="0"/>
    <n v="0"/>
    <n v="33.462282477506697"/>
    <n v="36.581968533215402"/>
    <n v="0"/>
    <n v="1883.97137946052"/>
    <n v="0"/>
    <n v="0"/>
    <n v="0"/>
    <n v="0.91472066209678904"/>
    <n v="0.88994040439238198"/>
    <n v="7017.1800886339297"/>
    <n v="601.67916672914998"/>
    <n v="0"/>
    <n v="601.67916672914998"/>
    <n v="0.167133101869189"/>
    <n v="0"/>
    <n v="46.388134441448798"/>
  </r>
  <r>
    <x v="1"/>
    <x v="3"/>
    <n v="2020"/>
    <x v="1"/>
    <x v="0"/>
    <x v="0"/>
    <s v="None"/>
    <s v="ALL"/>
    <n v="0"/>
    <n v="0"/>
    <n v="4.6392701536195702"/>
    <n v="0"/>
    <n v="0"/>
    <n v="0"/>
    <n v="0"/>
    <n v="0"/>
    <n v="0"/>
    <n v="0"/>
    <n v="0"/>
    <n v="36.580645161288601"/>
    <n v="0"/>
    <n v="0"/>
    <n v="0"/>
    <n v="0"/>
    <n v="0"/>
    <n v="0"/>
    <n v="1"/>
    <n v="7885"/>
    <n v="0"/>
    <n v="0"/>
    <n v="0"/>
    <n v="0"/>
    <n v="0"/>
    <n v="46.388134441448798"/>
  </r>
  <r>
    <x v="1"/>
    <x v="4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5"/>
    <n v="2020"/>
    <x v="1"/>
    <x v="0"/>
    <x v="0"/>
    <s v="None"/>
    <s v="ALL"/>
    <n v="0"/>
    <n v="0"/>
    <n v="36.857329335007698"/>
    <n v="0"/>
    <n v="0"/>
    <n v="0"/>
    <n v="0"/>
    <n v="0"/>
    <n v="0"/>
    <n v="0"/>
    <n v="0"/>
    <n v="258.63451752983298"/>
    <n v="0"/>
    <n v="0"/>
    <n v="0"/>
    <n v="0"/>
    <n v="0"/>
    <n v="0"/>
    <n v="0.88994040439238198"/>
    <n v="7017.1800886339297"/>
    <n v="0"/>
    <n v="0"/>
    <n v="0"/>
    <n v="0"/>
    <n v="0"/>
    <n v="46.388134441448798"/>
  </r>
  <r>
    <x v="1"/>
    <x v="6"/>
    <n v="2020"/>
    <x v="1"/>
    <x v="0"/>
    <x v="0"/>
    <s v="None"/>
    <s v="ALL"/>
    <n v="0"/>
    <n v="0"/>
    <n v="40.454437855680297"/>
    <n v="0"/>
    <n v="0"/>
    <n v="0"/>
    <n v="0"/>
    <n v="0"/>
    <n v="0"/>
    <n v="0"/>
    <n v="0"/>
    <n v="283.876075817772"/>
    <n v="0"/>
    <n v="0"/>
    <n v="0"/>
    <n v="0"/>
    <n v="0"/>
    <n v="0"/>
    <n v="0.88994040439238198"/>
    <n v="7017.1800886339297"/>
    <n v="0"/>
    <n v="0"/>
    <n v="0"/>
    <n v="0"/>
    <n v="0"/>
    <n v="46.388134441448798"/>
  </r>
  <r>
    <x v="1"/>
    <x v="7"/>
    <n v="2020"/>
    <x v="1"/>
    <x v="0"/>
    <x v="0"/>
    <s v="None"/>
    <s v="ALL"/>
    <n v="0"/>
    <n v="0"/>
    <n v="0.57393060097840898"/>
    <n v="0"/>
    <n v="0"/>
    <n v="0"/>
    <n v="0"/>
    <n v="0"/>
    <n v="0"/>
    <n v="0"/>
    <n v="0"/>
    <n v="3.1086718742755899"/>
    <n v="0"/>
    <n v="2.9221515618190499"/>
    <n v="0"/>
    <n v="0"/>
    <n v="0"/>
    <n v="0"/>
    <n v="0.68693209027582203"/>
    <n v="5416.4595318248603"/>
    <n v="0"/>
    <n v="0"/>
    <n v="0"/>
    <n v="0"/>
    <n v="0"/>
    <n v="46.388134441448798"/>
  </r>
  <r>
    <x v="1"/>
    <x v="8"/>
    <n v="2020"/>
    <x v="1"/>
    <x v="0"/>
    <x v="0"/>
    <s v="None"/>
    <s v="ALL"/>
    <n v="0"/>
    <n v="0"/>
    <n v="4.6392701536195702"/>
    <n v="0"/>
    <n v="0"/>
    <n v="0"/>
    <n v="0"/>
    <n v="0"/>
    <n v="0"/>
    <n v="0"/>
    <n v="0"/>
    <n v="3.1073485023490299"/>
    <n v="0"/>
    <n v="0"/>
    <n v="0"/>
    <n v="0"/>
    <n v="0"/>
    <n v="0"/>
    <n v="8.4945153062452095E-2"/>
    <n v="669.79253189743497"/>
    <n v="0"/>
    <n v="0"/>
    <n v="0"/>
    <n v="0"/>
    <n v="0"/>
    <n v="46.388134441448798"/>
  </r>
  <r>
    <x v="1"/>
    <x v="9"/>
    <n v="2020"/>
    <x v="1"/>
    <x v="0"/>
    <x v="0"/>
    <s v="None"/>
    <s v="ALL"/>
    <n v="0"/>
    <n v="0"/>
    <n v="14.7041325157561"/>
    <n v="6.7750088205466303"/>
    <n v="0.55380858506163799"/>
    <n v="1.45817354197011E-2"/>
    <n v="0"/>
    <n v="0"/>
    <n v="0"/>
    <n v="0"/>
    <n v="0.56839032048133897"/>
    <n v="61.3105592751836"/>
    <n v="0"/>
    <n v="0"/>
    <n v="0"/>
    <n v="0"/>
    <n v="0"/>
    <n v="9.2706758379123601E-3"/>
    <n v="0.52880331878690001"/>
    <n v="4169.61416863471"/>
    <n v="9.1549018238098995E-2"/>
    <n v="0"/>
    <n v="9.1549018238098995E-2"/>
    <n v="2.5430282843913501E-5"/>
    <n v="0"/>
    <n v="46.388134441448798"/>
  </r>
  <r>
    <x v="1"/>
    <x v="10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11"/>
    <n v="2020"/>
    <x v="1"/>
    <x v="0"/>
    <x v="0"/>
    <s v="None"/>
    <s v="ALL"/>
    <n v="0"/>
    <n v="0"/>
    <n v="377.07469906056701"/>
    <n v="243.79002976868901"/>
    <n v="20.9179804214988"/>
    <n v="4.2073440621370501"/>
    <n v="0"/>
    <n v="0"/>
    <n v="0"/>
    <n v="0"/>
    <n v="25.125324483635801"/>
    <n v="909.96835308863103"/>
    <n v="0"/>
    <n v="0"/>
    <n v="0"/>
    <n v="0"/>
    <n v="0"/>
    <n v="2.76112069154438E-2"/>
    <n v="0.30605339251743702"/>
    <n v="2413.2309999999902"/>
    <n v="34157.234435369501"/>
    <n v="0"/>
    <n v="34157.234435369501"/>
    <n v="9.48812067649048"/>
    <n v="0"/>
    <n v="46.388134441448798"/>
  </r>
  <r>
    <x v="1"/>
    <x v="12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13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14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15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16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17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18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19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20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21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22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23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24"/>
    <n v="2020"/>
    <x v="1"/>
    <x v="0"/>
    <x v="0"/>
    <s v="None"/>
    <s v="ALL"/>
    <n v="0"/>
    <n v="0"/>
    <n v="278.65820260575902"/>
    <n v="18.3914413719801"/>
    <n v="1.57804570969224"/>
    <n v="0"/>
    <n v="0"/>
    <n v="0"/>
    <n v="0"/>
    <n v="65.625426088272704"/>
    <n v="67.203471797964994"/>
    <n v="1080.38537407274"/>
    <n v="0"/>
    <n v="0"/>
    <n v="0"/>
    <n v="0"/>
    <n v="0"/>
    <n v="6.2203241001520498E-2"/>
    <n v="0.491705614230035"/>
    <n v="3877.0987682038299"/>
    <n v="0"/>
    <n v="595876.59995464596"/>
    <n v="595876.59995464596"/>
    <n v="165.52127776516099"/>
    <n v="0"/>
    <n v="46.388134441448798"/>
  </r>
  <r>
    <x v="1"/>
    <x v="25"/>
    <n v="2020"/>
    <x v="1"/>
    <x v="0"/>
    <x v="0"/>
    <s v="None"/>
    <s v="ALL"/>
    <n v="0"/>
    <n v="0"/>
    <n v="45.626038586328697"/>
    <n v="0"/>
    <n v="0"/>
    <n v="0"/>
    <n v="0"/>
    <n v="0"/>
    <n v="0"/>
    <n v="0"/>
    <n v="0"/>
    <n v="27.727810920719801"/>
    <n v="0"/>
    <n v="0"/>
    <n v="0"/>
    <n v="0"/>
    <n v="0"/>
    <n v="0"/>
    <n v="7.7072797497078599E-2"/>
    <n v="607.71900826446495"/>
    <n v="0"/>
    <n v="0"/>
    <n v="0"/>
    <n v="0"/>
    <n v="0"/>
    <n v="46.388134441448798"/>
  </r>
  <r>
    <x v="1"/>
    <x v="26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88134441448798"/>
  </r>
  <r>
    <x v="1"/>
    <x v="27"/>
    <n v="2020"/>
    <x v="1"/>
    <x v="0"/>
    <x v="0"/>
    <s v="None"/>
    <s v="ALL"/>
    <n v="0"/>
    <n v="0"/>
    <n v="4.7661020429446702E-14"/>
    <n v="0"/>
    <n v="0"/>
    <n v="0"/>
    <n v="-5.2643012952491697E-18"/>
    <n v="0"/>
    <n v="0"/>
    <n v="0"/>
    <n v="-5.2643012952491697E-18"/>
    <n v="-2.5241425863544801E-15"/>
    <n v="0"/>
    <n v="-1.00965703454179E-16"/>
    <n v="0"/>
    <n v="0"/>
    <n v="0"/>
    <n v="2.0855799999999901E-3"/>
    <n v="-6.7165901783453399E-3"/>
    <n v="-52.960313556252999"/>
    <n v="0"/>
    <n v="0"/>
    <n v="0"/>
    <n v="0"/>
    <n v="0"/>
    <n v="46.388134441448798"/>
  </r>
  <r>
    <x v="1"/>
    <x v="28"/>
    <n v="2020"/>
    <x v="1"/>
    <x v="0"/>
    <x v="0"/>
    <s v="None"/>
    <s v="ALL"/>
    <n v="0"/>
    <n v="0"/>
    <n v="7.35254664170114E-13"/>
    <n v="0"/>
    <n v="0"/>
    <n v="0"/>
    <n v="0"/>
    <n v="0"/>
    <n v="0"/>
    <n v="0"/>
    <n v="0"/>
    <n v="-2.5241425863544899E-15"/>
    <n v="0"/>
    <n v="-1.2620712931772301E-16"/>
    <n v="0"/>
    <n v="0"/>
    <n v="0"/>
    <n v="0"/>
    <n v="-4.35385938105758E-4"/>
    <n v="-3.4330181219639"/>
    <n v="0"/>
    <n v="0"/>
    <n v="0"/>
    <n v="0"/>
    <n v="0"/>
    <n v="46.388134441448798"/>
  </r>
  <r>
    <x v="1"/>
    <x v="29"/>
    <n v="2020"/>
    <x v="1"/>
    <x v="0"/>
    <x v="0"/>
    <s v="None"/>
    <s v="ALL"/>
    <n v="0"/>
    <n v="0"/>
    <n v="0"/>
    <n v="0"/>
    <n v="0"/>
    <n v="0"/>
    <n v="0"/>
    <n v="0"/>
    <n v="0"/>
    <n v="0"/>
    <n v="0"/>
    <n v="-1.4335323104014101E-14"/>
    <n v="0"/>
    <n v="0"/>
    <n v="0"/>
    <n v="0"/>
    <n v="0"/>
    <n v="0"/>
    <s v="NaN"/>
    <s v="NaN"/>
    <n v="0"/>
    <n v="0"/>
    <n v="0"/>
    <n v="0"/>
    <n v="0"/>
    <n v="46.388134441448798"/>
  </r>
  <r>
    <x v="1"/>
    <x v="0"/>
    <n v="2020"/>
    <x v="2"/>
    <x v="0"/>
    <x v="0"/>
    <s v="None"/>
    <s v="ALL"/>
    <n v="0"/>
    <n v="0"/>
    <n v="24.559357086571499"/>
    <n v="102.95282490690801"/>
    <n v="9.6444949372301991"/>
    <n v="10.7078796897452"/>
    <n v="0"/>
    <n v="0"/>
    <n v="0"/>
    <n v="0"/>
    <n v="20.352374626975401"/>
    <n v="193.54838709675801"/>
    <n v="0"/>
    <n v="73.548387096769105"/>
    <n v="0.81737006722174799"/>
    <n v="43.944627269986398"/>
    <n v="158.20065817195101"/>
    <n v="0.10515393557271401"/>
    <n v="0.99947253678824399"/>
    <n v="7880.8409525753004"/>
    <n v="557.84169966500497"/>
    <n v="0"/>
    <n v="557.84169966500497"/>
    <n v="0.15495602768473599"/>
    <n v="87.009968543111995"/>
    <n v="45.779005806866799"/>
  </r>
  <r>
    <x v="1"/>
    <x v="1"/>
    <n v="2020"/>
    <x v="2"/>
    <x v="0"/>
    <x v="0"/>
    <s v="None"/>
    <s v="ALL"/>
    <n v="0"/>
    <n v="0"/>
    <n v="100.584805769227"/>
    <n v="2.62980901234305"/>
    <n v="0.26785185669016798"/>
    <n v="0"/>
    <n v="0.14140022883979"/>
    <n v="0"/>
    <n v="0"/>
    <n v="0"/>
    <n v="0.40925208552995801"/>
    <n v="546.04867681955795"/>
    <n v="0"/>
    <n v="2.1841947072782602"/>
    <n v="0"/>
    <n v="0"/>
    <n v="0"/>
    <n v="7.4947912686765001E-4"/>
    <n v="0.68848943414417596"/>
    <n v="5428.7391882268203"/>
    <n v="0"/>
    <n v="0"/>
    <n v="0"/>
    <n v="0"/>
    <n v="0"/>
    <n v="45.779005806866799"/>
  </r>
  <r>
    <x v="1"/>
    <x v="2"/>
    <n v="2020"/>
    <x v="2"/>
    <x v="0"/>
    <x v="0"/>
    <s v="None"/>
    <s v="ALL"/>
    <n v="0"/>
    <n v="0"/>
    <n v="6.7391819865382603"/>
    <n v="380.54138923385602"/>
    <n v="35.648652722167398"/>
    <n v="7.6085364628016903"/>
    <n v="0"/>
    <n v="0"/>
    <n v="0"/>
    <n v="0"/>
    <n v="43.257189184969"/>
    <n v="36.585261346911402"/>
    <n v="0"/>
    <n v="1884.1409593661299"/>
    <n v="0"/>
    <n v="0"/>
    <n v="0"/>
    <n v="1.18236654850685"/>
    <n v="0.68848943414417596"/>
    <n v="5428.7391882268203"/>
    <n v="777.79958857715701"/>
    <n v="0"/>
    <n v="777.79958857715701"/>
    <n v="0.21605544127144999"/>
    <n v="0"/>
    <n v="45.779005806866799"/>
  </r>
  <r>
    <x v="1"/>
    <x v="3"/>
    <n v="2020"/>
    <x v="2"/>
    <x v="0"/>
    <x v="0"/>
    <s v="None"/>
    <s v="ALL"/>
    <n v="0"/>
    <n v="0"/>
    <n v="4.6417184893620203"/>
    <n v="0"/>
    <n v="0"/>
    <n v="0"/>
    <n v="0"/>
    <n v="0"/>
    <n v="0"/>
    <n v="0"/>
    <n v="0"/>
    <n v="36.580645161297397"/>
    <n v="0"/>
    <n v="0"/>
    <n v="0"/>
    <n v="0"/>
    <n v="0"/>
    <n v="0"/>
    <n v="0.99947253678824399"/>
    <n v="7880.8409525753004"/>
    <n v="0"/>
    <n v="0"/>
    <n v="0"/>
    <n v="0"/>
    <n v="0"/>
    <n v="45.779005806866799"/>
  </r>
  <r>
    <x v="1"/>
    <x v="4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5"/>
    <n v="2020"/>
    <x v="2"/>
    <x v="0"/>
    <x v="0"/>
    <s v="None"/>
    <s v="ALL"/>
    <n v="0"/>
    <n v="0"/>
    <n v="47.646016644825501"/>
    <n v="0"/>
    <n v="0"/>
    <n v="0"/>
    <n v="0"/>
    <n v="0"/>
    <n v="0"/>
    <n v="0"/>
    <n v="0"/>
    <n v="258.65779772268598"/>
    <n v="0"/>
    <n v="0"/>
    <n v="0"/>
    <n v="0"/>
    <n v="0"/>
    <n v="0"/>
    <n v="0.68848943414417596"/>
    <n v="5428.7391882268203"/>
    <n v="0"/>
    <n v="0"/>
    <n v="0"/>
    <n v="0"/>
    <n v="0"/>
    <n v="45.779005806866799"/>
  </r>
  <r>
    <x v="1"/>
    <x v="6"/>
    <n v="2020"/>
    <x v="2"/>
    <x v="0"/>
    <x v="0"/>
    <s v="None"/>
    <s v="ALL"/>
    <n v="0"/>
    <n v="0"/>
    <n v="52.296052215536903"/>
    <n v="0"/>
    <n v="0"/>
    <n v="0"/>
    <n v="0"/>
    <n v="0"/>
    <n v="0"/>
    <n v="0"/>
    <n v="0"/>
    <n v="283.90162805205"/>
    <n v="0"/>
    <n v="0"/>
    <n v="0"/>
    <n v="0"/>
    <n v="0"/>
    <n v="0"/>
    <n v="0.68848943414417596"/>
    <n v="5428.7391882268203"/>
    <n v="0"/>
    <n v="0"/>
    <n v="0"/>
    <n v="0"/>
    <n v="0"/>
    <n v="45.779005806866799"/>
  </r>
  <r>
    <x v="1"/>
    <x v="7"/>
    <n v="2020"/>
    <x v="2"/>
    <x v="0"/>
    <x v="0"/>
    <s v="None"/>
    <s v="ALL"/>
    <n v="0"/>
    <n v="0"/>
    <n v="11.362075727153"/>
    <n v="0"/>
    <n v="0"/>
    <n v="0"/>
    <n v="0"/>
    <n v="0"/>
    <n v="0"/>
    <n v="0"/>
    <n v="0"/>
    <n v="9.9180057112642892"/>
    <n v="0"/>
    <n v="9.3229253685895497"/>
    <n v="0"/>
    <n v="0"/>
    <n v="0"/>
    <n v="0"/>
    <n v="0.11070442407063499"/>
    <n v="872.90438379696195"/>
    <n v="0"/>
    <n v="0"/>
    <n v="0"/>
    <n v="0"/>
    <n v="0"/>
    <n v="45.779005806866799"/>
  </r>
  <r>
    <x v="1"/>
    <x v="8"/>
    <n v="2020"/>
    <x v="2"/>
    <x v="0"/>
    <x v="0"/>
    <s v="None"/>
    <s v="ALL"/>
    <n v="0"/>
    <n v="0"/>
    <n v="9.2646122299767804"/>
    <n v="0"/>
    <n v="0"/>
    <n v="0"/>
    <n v="0"/>
    <n v="0"/>
    <n v="0"/>
    <n v="0"/>
    <n v="0"/>
    <n v="9.91338952564214"/>
    <n v="0"/>
    <n v="0"/>
    <n v="0"/>
    <n v="0"/>
    <n v="0"/>
    <n v="0"/>
    <n v="0.135704180544824"/>
    <n v="1070.0274635959399"/>
    <n v="0"/>
    <n v="0"/>
    <n v="0"/>
    <n v="0"/>
    <n v="0"/>
    <n v="45.779005806866799"/>
  </r>
  <r>
    <x v="1"/>
    <x v="9"/>
    <n v="2020"/>
    <x v="2"/>
    <x v="0"/>
    <x v="0"/>
    <s v="None"/>
    <s v="ALL"/>
    <n v="0"/>
    <n v="0"/>
    <n v="51.290951358370997"/>
    <n v="23.6325840708272"/>
    <n v="1.93179496769409"/>
    <n v="5.0864005838570099E-2"/>
    <n v="0"/>
    <n v="0"/>
    <n v="0"/>
    <n v="0"/>
    <n v="1.9826589735326601"/>
    <n v="223.88242731353199"/>
    <n v="0"/>
    <n v="0"/>
    <n v="0"/>
    <n v="0"/>
    <n v="0"/>
    <n v="8.8558043492894395E-3"/>
    <n v="0.55357638415750399"/>
    <n v="4364.9497890819202"/>
    <n v="0.319341262486948"/>
    <n v="0"/>
    <n v="0.319341262486948"/>
    <n v="8.8705906246381905E-5"/>
    <n v="0"/>
    <n v="45.779005806866799"/>
  </r>
  <r>
    <x v="1"/>
    <x v="10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11"/>
    <n v="2020"/>
    <x v="2"/>
    <x v="0"/>
    <x v="0"/>
    <s v="None"/>
    <s v="ALL"/>
    <n v="0"/>
    <n v="0"/>
    <n v="512.10455328816204"/>
    <n v="331.090854416485"/>
    <n v="28.408676175119101"/>
    <n v="5.7139873262199803"/>
    <n v="0"/>
    <n v="0"/>
    <n v="0"/>
    <n v="0"/>
    <n v="34.122663501339098"/>
    <n v="1029.3337368410801"/>
    <n v="0"/>
    <n v="0"/>
    <n v="0"/>
    <n v="0"/>
    <n v="0"/>
    <n v="3.3150242997045901E-2"/>
    <n v="0.25491528218135701"/>
    <n v="2010.0070000000001"/>
    <n v="46388.886142886702"/>
    <n v="0"/>
    <n v="46388.886142886702"/>
    <n v="12.8858017063584"/>
    <n v="0"/>
    <n v="45.779005806866799"/>
  </r>
  <r>
    <x v="1"/>
    <x v="12"/>
    <n v="2020"/>
    <x v="2"/>
    <x v="0"/>
    <x v="0"/>
    <s v="None"/>
    <s v="ALL"/>
    <n v="0"/>
    <n v="0"/>
    <n v="9.8237428346286304"/>
    <n v="17.276827444195401"/>
    <n v="1.5799329782782701"/>
    <n v="0.14341741106731301"/>
    <n v="4.2792578016457798E-2"/>
    <n v="0"/>
    <n v="0"/>
    <n v="0"/>
    <n v="1.7661429673620399"/>
    <n v="27.357747335806199"/>
    <n v="0"/>
    <n v="0"/>
    <n v="0"/>
    <n v="0"/>
    <n v="0"/>
    <n v="6.4557324317799106E-2"/>
    <n v="0.353184512936013"/>
    <n v="2784.8598845004599"/>
    <n v="541.50653558436204"/>
    <n v="0"/>
    <n v="541.50653558436204"/>
    <n v="0.15041848210677899"/>
    <n v="0"/>
    <n v="45.779005806866799"/>
  </r>
  <r>
    <x v="1"/>
    <x v="13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14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15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16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17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18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19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20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21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22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23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779005806866799"/>
  </r>
  <r>
    <x v="1"/>
    <x v="24"/>
    <n v="2020"/>
    <x v="2"/>
    <x v="0"/>
    <x v="0"/>
    <s v="None"/>
    <s v="ALL"/>
    <n v="0"/>
    <n v="0"/>
    <n v="357.300626458605"/>
    <n v="23.5818413462679"/>
    <n v="2.0233989718618002"/>
    <n v="0"/>
    <n v="0"/>
    <n v="0"/>
    <n v="0"/>
    <n v="54.0482248885099"/>
    <n v="56.071623860371702"/>
    <n v="952.09898010355096"/>
    <n v="0"/>
    <n v="0"/>
    <n v="0"/>
    <n v="0"/>
    <n v="0"/>
    <n v="5.88926414502337E-2"/>
    <n v="0.33794546635143802"/>
    <n v="2664.70000218108"/>
    <n v="0"/>
    <n v="264560.98406105902"/>
    <n v="264560.98406105902"/>
    <n v="73.489162239189199"/>
    <n v="0"/>
    <n v="45.779005806866799"/>
  </r>
  <r>
    <x v="1"/>
    <x v="25"/>
    <n v="2020"/>
    <x v="2"/>
    <x v="0"/>
    <x v="0"/>
    <s v="None"/>
    <s v="ALL"/>
    <n v="0"/>
    <n v="0"/>
    <n v="255.69631382052"/>
    <n v="0"/>
    <n v="0"/>
    <n v="0"/>
    <n v="0"/>
    <n v="0"/>
    <n v="0"/>
    <n v="0"/>
    <n v="0"/>
    <n v="39.662601098639499"/>
    <n v="0"/>
    <n v="0"/>
    <n v="0"/>
    <n v="0"/>
    <n v="0"/>
    <n v="0"/>
    <n v="1.9672294951813399E-2"/>
    <n v="155.116045695049"/>
    <n v="0"/>
    <n v="0"/>
    <n v="0"/>
    <n v="0"/>
    <n v="0"/>
    <n v="45.779005806866799"/>
  </r>
  <r>
    <x v="1"/>
    <x v="26"/>
    <n v="2020"/>
    <x v="2"/>
    <x v="0"/>
    <x v="0"/>
    <s v="None"/>
    <s v="ALL"/>
    <n v="0"/>
    <n v="0"/>
    <n v="5.3678554356113803"/>
    <n v="1.8411744144147"/>
    <n v="0.16570569729732301"/>
    <n v="4.7237127833380202E-2"/>
    <n v="4.3932839356685598E-4"/>
    <n v="0"/>
    <n v="0"/>
    <n v="2.19664196783428E-2"/>
    <n v="0.23534857320261299"/>
    <n v="7.3221398927809406E-2"/>
    <n v="0"/>
    <n v="0"/>
    <n v="0"/>
    <n v="0"/>
    <n v="0"/>
    <n v="3.2142048178381302"/>
    <n v="1.7299578159633E-3"/>
    <n v="13.640717378870599"/>
    <n v="354.27845875035098"/>
    <n v="54.147224507114998"/>
    <n v="408.42568325746601"/>
    <n v="0.113451578682638"/>
    <n v="0"/>
    <n v="45.779005806866799"/>
  </r>
  <r>
    <x v="1"/>
    <x v="27"/>
    <n v="2020"/>
    <x v="2"/>
    <x v="0"/>
    <x v="0"/>
    <s v="None"/>
    <s v="ALL"/>
    <n v="0"/>
    <n v="0"/>
    <n v="7.8649866892598799E-2"/>
    <n v="0"/>
    <n v="0"/>
    <n v="0"/>
    <n v="1.06668115635497E-4"/>
    <n v="0"/>
    <n v="0"/>
    <n v="0"/>
    <n v="1.06668115635497E-4"/>
    <n v="5.1145540154535998E-2"/>
    <n v="0"/>
    <n v="2.0458216061814E-3"/>
    <n v="0"/>
    <n v="0"/>
    <n v="0"/>
    <n v="2.0855799999999901E-3"/>
    <n v="8.2472294983370595E-2"/>
    <n v="650.29404594387699"/>
    <n v="0"/>
    <n v="0"/>
    <n v="0"/>
    <n v="0"/>
    <n v="0"/>
    <n v="45.779005806866799"/>
  </r>
  <r>
    <x v="1"/>
    <x v="28"/>
    <n v="2020"/>
    <x v="2"/>
    <x v="0"/>
    <x v="0"/>
    <s v="None"/>
    <s v="ALL"/>
    <n v="0"/>
    <n v="0"/>
    <n v="7.8649866892598799E-2"/>
    <n v="0"/>
    <n v="0"/>
    <n v="0"/>
    <n v="0"/>
    <n v="0"/>
    <n v="0"/>
    <n v="0"/>
    <n v="0"/>
    <n v="5.1129810181157503E-2"/>
    <n v="0"/>
    <n v="2.5564905090579102E-3"/>
    <n v="0"/>
    <n v="0"/>
    <n v="0"/>
    <n v="0"/>
    <n v="8.2446930367010507E-2"/>
    <n v="650.09404594387695"/>
    <n v="0"/>
    <n v="0"/>
    <n v="0"/>
    <n v="0"/>
    <n v="0"/>
    <n v="45.779005806866799"/>
  </r>
  <r>
    <x v="1"/>
    <x v="29"/>
    <n v="2020"/>
    <x v="2"/>
    <x v="0"/>
    <x v="0"/>
    <s v="None"/>
    <s v="ALL"/>
    <n v="0"/>
    <n v="0"/>
    <n v="7.8649866892598799E-2"/>
    <n v="2.8457860445934E-2"/>
    <n v="2.89849594479934E-3"/>
    <n v="3.99234589333521E-4"/>
    <n v="0"/>
    <n v="0"/>
    <n v="0"/>
    <n v="0"/>
    <n v="3.2977305341328599E-3"/>
    <n v="0.35188654413106801"/>
    <n v="0"/>
    <n v="0"/>
    <n v="0"/>
    <n v="0"/>
    <n v="0"/>
    <n v="9.3715732787569995E-3"/>
    <n v="0.56741781943379099"/>
    <n v="4474.0895062354402"/>
    <n v="0.123702884984283"/>
    <n v="0"/>
    <n v="0.123702884984283"/>
    <n v="3.4361912495637101E-5"/>
    <n v="0"/>
    <n v="45.779005806866799"/>
  </r>
  <r>
    <x v="1"/>
    <x v="30"/>
    <n v="2020"/>
    <x v="0"/>
    <x v="1"/>
    <x v="0"/>
    <s v="PS"/>
    <s v="ALL"/>
    <n v="0"/>
    <n v="0"/>
    <n v="33.496588841480701"/>
    <n v="90.440789871997893"/>
    <n v="9.2115942161734097"/>
    <n v="2.7132236961599299"/>
    <n v="0.66030150753771799"/>
    <n v="0"/>
    <n v="0"/>
    <n v="0"/>
    <n v="12.585119419871001"/>
    <n v="264.12060301503197"/>
    <n v="0"/>
    <n v="34.335678391960897"/>
    <n v="0"/>
    <n v="0"/>
    <n v="0"/>
    <n v="4.76491393560644E-2"/>
    <n v="1"/>
    <n v="7885"/>
    <n v="0"/>
    <n v="75.010251256269299"/>
    <n v="75.010251256269299"/>
    <n v="2.0836180904518699E-2"/>
    <n v="0"/>
    <n v="56.328674123146897"/>
  </r>
  <r>
    <x v="1"/>
    <x v="31"/>
    <n v="2020"/>
    <x v="0"/>
    <x v="1"/>
    <x v="0"/>
    <s v="PS"/>
    <s v="ALL"/>
    <n v="0"/>
    <n v="0"/>
    <n v="22.942869069507299"/>
    <n v="95.616056455785895"/>
    <n v="8.9571954265420803"/>
    <n v="14.175966430803999"/>
    <n v="4.8912048525922502"/>
    <n v="0"/>
    <n v="0"/>
    <n v="0"/>
    <n v="28.024366709938398"/>
    <n v="180.90452261306899"/>
    <n v="0"/>
    <n v="57.165829145721098"/>
    <n v="0.994692434466946"/>
    <n v="49.984544445575096"/>
    <n v="179.94436000407001"/>
    <n v="0.15491247153548901"/>
    <n v="1"/>
    <n v="7885"/>
    <n v="423.86185843612401"/>
    <n v="0"/>
    <n v="423.86185843612401"/>
    <n v="0.117739405121143"/>
    <n v="109.271265083646"/>
    <n v="56.328674123146897"/>
  </r>
  <r>
    <x v="1"/>
    <x v="1"/>
    <n v="2020"/>
    <x v="0"/>
    <x v="1"/>
    <x v="0"/>
    <s v="PS"/>
    <s v="ALL"/>
    <n v="0"/>
    <n v="0"/>
    <n v="68.143745445253103"/>
    <n v="1.78163127657559"/>
    <n v="0.18146308082763399"/>
    <n v="0"/>
    <n v="0.13913822262914199"/>
    <n v="0"/>
    <n v="0"/>
    <n v="0"/>
    <n v="0.32060130345677601"/>
    <n v="537.31343283580804"/>
    <n v="0"/>
    <n v="2.14925373134299"/>
    <n v="0"/>
    <n v="0"/>
    <n v="0"/>
    <n v="5.9667464810012505E-4"/>
    <n v="1"/>
    <n v="7885"/>
    <n v="0"/>
    <n v="0"/>
    <n v="0"/>
    <n v="0"/>
    <n v="0"/>
    <n v="56.328674123146897"/>
  </r>
  <r>
    <x v="1"/>
    <x v="2"/>
    <n v="2020"/>
    <x v="0"/>
    <x v="1"/>
    <x v="0"/>
    <s v="PS"/>
    <s v="ALL"/>
    <n v="0"/>
    <n v="0"/>
    <n v="4.5656309448319501"/>
    <n v="257.80748256182602"/>
    <n v="24.151090196853399"/>
    <n v="5.1545973367152804"/>
    <n v="0"/>
    <n v="0"/>
    <n v="0"/>
    <n v="0"/>
    <n v="29.305687533568701"/>
    <n v="36.000000000004"/>
    <n v="0"/>
    <n v="1853.99999999989"/>
    <n v="0"/>
    <n v="0"/>
    <n v="0"/>
    <n v="0.81404687593237302"/>
    <n v="1"/>
    <n v="7885"/>
    <n v="526.94019505319295"/>
    <n v="0"/>
    <n v="526.94019505319295"/>
    <n v="0.14637227640366099"/>
    <n v="0"/>
    <n v="56.328674123146897"/>
  </r>
  <r>
    <x v="1"/>
    <x v="32"/>
    <n v="2020"/>
    <x v="0"/>
    <x v="1"/>
    <x v="0"/>
    <s v="PS"/>
    <s v="ALL"/>
    <n v="0"/>
    <n v="0"/>
    <n v="4.5656309448319599"/>
    <n v="0"/>
    <n v="0"/>
    <n v="0"/>
    <n v="0"/>
    <n v="0"/>
    <n v="0"/>
    <n v="0"/>
    <n v="0"/>
    <n v="36.000000000004"/>
    <n v="0"/>
    <n v="0"/>
    <n v="0"/>
    <n v="0"/>
    <n v="0"/>
    <n v="0"/>
    <n v="1"/>
    <n v="7885"/>
    <n v="0"/>
    <n v="0"/>
    <n v="0"/>
    <n v="0"/>
    <n v="0"/>
    <n v="56.328674123146897"/>
  </r>
  <r>
    <x v="1"/>
    <x v="4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5"/>
    <n v="2020"/>
    <x v="0"/>
    <x v="1"/>
    <x v="0"/>
    <s v="PS"/>
    <s v="ALL"/>
    <n v="0"/>
    <n v="0"/>
    <n v="47.880161747227298"/>
    <n v="0"/>
    <n v="0"/>
    <n v="0"/>
    <n v="0"/>
    <n v="0"/>
    <n v="0"/>
    <n v="0"/>
    <n v="0"/>
    <n v="377.53507537683998"/>
    <n v="0"/>
    <n v="0"/>
    <n v="0"/>
    <n v="0"/>
    <n v="0"/>
    <n v="0"/>
    <n v="0.999999999999999"/>
    <n v="7884.99999999999"/>
    <n v="0"/>
    <n v="0"/>
    <n v="0"/>
    <n v="0"/>
    <n v="0"/>
    <n v="56.328674123146897"/>
  </r>
  <r>
    <x v="1"/>
    <x v="6"/>
    <n v="2020"/>
    <x v="0"/>
    <x v="1"/>
    <x v="0"/>
    <s v="PS"/>
    <s v="ALL"/>
    <n v="0"/>
    <n v="0"/>
    <n v="35.4292961318964"/>
    <n v="0"/>
    <n v="0"/>
    <n v="0"/>
    <n v="0"/>
    <n v="0"/>
    <n v="0"/>
    <n v="0"/>
    <n v="0"/>
    <n v="279.36000000004702"/>
    <n v="0"/>
    <n v="0"/>
    <n v="0"/>
    <n v="0"/>
    <n v="0"/>
    <n v="0"/>
    <n v="0.999999999999999"/>
    <n v="7884.99999999999"/>
    <n v="0"/>
    <n v="0"/>
    <n v="0"/>
    <n v="0"/>
    <n v="0"/>
    <n v="56.328674123146897"/>
  </r>
  <r>
    <x v="1"/>
    <x v="7"/>
    <n v="2020"/>
    <x v="0"/>
    <x v="1"/>
    <x v="0"/>
    <s v="PS"/>
    <s v="ALL"/>
    <n v="0"/>
    <n v="0"/>
    <n v="6.1845639720559099E-14"/>
    <n v="0"/>
    <n v="0"/>
    <n v="0"/>
    <n v="0"/>
    <n v="0"/>
    <n v="0"/>
    <n v="0"/>
    <n v="0"/>
    <n v="7.8619335795897796E-16"/>
    <n v="0"/>
    <n v="7.3902175648144696E-16"/>
    <n v="0"/>
    <n v="0"/>
    <n v="0"/>
    <n v="0"/>
    <n v="1.6121987742104601E-3"/>
    <n v="12.712187334649499"/>
    <n v="0"/>
    <n v="0"/>
    <n v="0"/>
    <n v="0"/>
    <n v="0"/>
    <n v="56.328674123146897"/>
  </r>
  <r>
    <x v="1"/>
    <x v="8"/>
    <n v="2020"/>
    <x v="0"/>
    <x v="1"/>
    <x v="0"/>
    <s v="PS"/>
    <s v="ALL"/>
    <n v="0"/>
    <n v="0"/>
    <n v="-1.35514710564166E-13"/>
    <n v="0"/>
    <n v="0"/>
    <n v="0"/>
    <n v="0"/>
    <n v="0"/>
    <n v="0"/>
    <n v="0"/>
    <n v="0"/>
    <n v="9.0403773356229095E-16"/>
    <n v="0"/>
    <n v="0"/>
    <n v="0"/>
    <n v="0"/>
    <n v="0"/>
    <n v="0"/>
    <n v="-8.460546530879E-4"/>
    <n v="-6.6711409395980903"/>
    <n v="0"/>
    <n v="0"/>
    <n v="0"/>
    <n v="0"/>
    <n v="0"/>
    <n v="56.328674123146897"/>
  </r>
  <r>
    <x v="1"/>
    <x v="9"/>
    <n v="2020"/>
    <x v="0"/>
    <x v="1"/>
    <x v="0"/>
    <s v="PS"/>
    <s v="ALL"/>
    <n v="0"/>
    <n v="0"/>
    <n v="0"/>
    <n v="0"/>
    <n v="0"/>
    <n v="0"/>
    <n v="0"/>
    <n v="0"/>
    <n v="0"/>
    <n v="0"/>
    <n v="0"/>
    <n v="-1.2448903591802E-14"/>
    <n v="0"/>
    <n v="0"/>
    <n v="0"/>
    <n v="0"/>
    <n v="0"/>
    <n v="0"/>
    <s v="NaN"/>
    <s v="NaN"/>
    <n v="0"/>
    <n v="0"/>
    <n v="0"/>
    <n v="0"/>
    <n v="0"/>
    <n v="56.328674123146897"/>
  </r>
  <r>
    <x v="1"/>
    <x v="10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11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12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13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14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15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16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17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18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19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20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21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22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23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24"/>
    <n v="2020"/>
    <x v="0"/>
    <x v="1"/>
    <x v="0"/>
    <s v="PS"/>
    <s v="ALL"/>
    <n v="0"/>
    <n v="0"/>
    <n v="247.00707181598401"/>
    <n v="16.3024667398549"/>
    <n v="1.3988048666714501"/>
    <n v="0"/>
    <n v="0"/>
    <n v="0"/>
    <n v="0"/>
    <n v="108.309780170545"/>
    <n v="109.708585037216"/>
    <n v="1947.65076126892"/>
    <n v="0"/>
    <n v="0"/>
    <n v="0"/>
    <n v="0"/>
    <n v="0"/>
    <n v="5.6328674123146898E-2"/>
    <n v="1"/>
    <n v="7885"/>
    <n v="0"/>
    <n v="392350.74199638999"/>
    <n v="392350.74199638999"/>
    <n v="108.98631722121701"/>
    <n v="0"/>
    <n v="56.328674123146897"/>
  </r>
  <r>
    <x v="1"/>
    <x v="25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26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46897"/>
  </r>
  <r>
    <x v="1"/>
    <x v="27"/>
    <n v="2020"/>
    <x v="0"/>
    <x v="1"/>
    <x v="0"/>
    <s v="PS"/>
    <s v="ALL"/>
    <n v="0"/>
    <n v="0"/>
    <n v="-2.9943364027601E-12"/>
    <n v="0"/>
    <n v="0"/>
    <n v="0"/>
    <n v="1.2481331561124699E-16"/>
    <n v="0"/>
    <n v="0"/>
    <n v="0"/>
    <n v="1.2481331561124699E-16"/>
    <n v="5.9845853724741004E-14"/>
    <n v="0"/>
    <n v="2.3938341489896701E-15"/>
    <n v="0"/>
    <n v="0"/>
    <n v="0"/>
    <n v="2.08558000000002E-3"/>
    <n v="-2.5347304315509302E-3"/>
    <n v="-19.986349452778999"/>
    <n v="0"/>
    <n v="0"/>
    <n v="0"/>
    <n v="0"/>
    <n v="0"/>
    <n v="56.328674123146897"/>
  </r>
  <r>
    <x v="1"/>
    <x v="28"/>
    <n v="2020"/>
    <x v="0"/>
    <x v="1"/>
    <x v="0"/>
    <s v="PS"/>
    <s v="ALL"/>
    <n v="0"/>
    <n v="0"/>
    <n v="-3.8058855212651704E-12"/>
    <n v="0"/>
    <n v="0"/>
    <n v="0"/>
    <n v="0"/>
    <n v="0"/>
    <n v="0"/>
    <n v="0"/>
    <n v="0"/>
    <n v="5.9845853724740802E-14"/>
    <n v="0"/>
    <n v="2.9922926862370501E-15"/>
    <n v="0"/>
    <n v="0"/>
    <n v="0"/>
    <n v="0"/>
    <n v="-1.9942364424702101E-3"/>
    <n v="-15.7245543488776"/>
    <n v="0"/>
    <n v="0"/>
    <n v="0"/>
    <n v="0"/>
    <n v="0"/>
    <n v="56.328674123146897"/>
  </r>
  <r>
    <x v="1"/>
    <x v="29"/>
    <n v="2020"/>
    <x v="0"/>
    <x v="1"/>
    <x v="0"/>
    <s v="PS"/>
    <s v="ALL"/>
    <n v="0"/>
    <n v="0"/>
    <n v="0"/>
    <n v="0"/>
    <n v="0"/>
    <n v="0"/>
    <n v="0"/>
    <n v="0"/>
    <n v="0"/>
    <n v="0"/>
    <n v="0"/>
    <n v="-1.14120876922957E-13"/>
    <n v="0"/>
    <n v="0"/>
    <n v="0"/>
    <n v="0"/>
    <n v="0"/>
    <n v="0"/>
    <s v="NaN"/>
    <s v="NaN"/>
    <n v="0"/>
    <n v="0"/>
    <n v="0"/>
    <n v="0"/>
    <n v="0"/>
    <n v="56.328674123146897"/>
  </r>
  <r>
    <x v="1"/>
    <x v="30"/>
    <n v="2020"/>
    <x v="1"/>
    <x v="1"/>
    <x v="0"/>
    <s v="PS"/>
    <s v="ALL"/>
    <n v="0"/>
    <n v="0"/>
    <n v="33.496588841480701"/>
    <n v="90.440789871997893"/>
    <n v="9.2115942161734097"/>
    <n v="2.7132236961599299"/>
    <n v="0.66030150753771799"/>
    <n v="0"/>
    <n v="0"/>
    <n v="0"/>
    <n v="12.585119419871001"/>
    <n v="264.12060301503197"/>
    <n v="0"/>
    <n v="34.335678391960897"/>
    <n v="0"/>
    <n v="0"/>
    <n v="0"/>
    <n v="4.76491393560644E-2"/>
    <n v="1"/>
    <n v="7885"/>
    <n v="0"/>
    <n v="75.010251256269299"/>
    <n v="75.010251256269299"/>
    <n v="2.0836180904518699E-2"/>
    <n v="0"/>
    <n v="46.398654770886999"/>
  </r>
  <r>
    <x v="1"/>
    <x v="31"/>
    <n v="2020"/>
    <x v="1"/>
    <x v="1"/>
    <x v="0"/>
    <s v="PS"/>
    <s v="ALL"/>
    <n v="0"/>
    <n v="0"/>
    <n v="22.942869069507299"/>
    <n v="95.616056455785895"/>
    <n v="8.9571954265420803"/>
    <n v="14.175966430804101"/>
    <n v="4.8912048525922502"/>
    <n v="0"/>
    <n v="0"/>
    <n v="0"/>
    <n v="28.024366709938398"/>
    <n v="180.90452261306899"/>
    <n v="0"/>
    <n v="57.165829145721098"/>
    <n v="0.91900708568429801"/>
    <n v="46.181260587150597"/>
    <n v="166.25253811374199"/>
    <n v="0.15491247153548901"/>
    <n v="1"/>
    <n v="7885"/>
    <n v="423.86185843612401"/>
    <n v="0"/>
    <n v="423.86185843612401"/>
    <n v="0.117739405121143"/>
    <n v="174.29889824519401"/>
    <n v="46.398654770886999"/>
  </r>
  <r>
    <x v="1"/>
    <x v="1"/>
    <n v="2020"/>
    <x v="1"/>
    <x v="1"/>
    <x v="0"/>
    <s v="PS"/>
    <s v="ALL"/>
    <n v="0"/>
    <n v="0"/>
    <n v="76.624572562223904"/>
    <n v="2.0033641259236701"/>
    <n v="0.20404706130238601"/>
    <n v="0"/>
    <n v="0.139143289720599"/>
    <n v="0"/>
    <n v="0"/>
    <n v="0"/>
    <n v="0.34319035102298601"/>
    <n v="537.33300054517497"/>
    <n v="0"/>
    <n v="2.14933200218083"/>
    <n v="0"/>
    <n v="0"/>
    <n v="0"/>
    <n v="6.3869211582908E-4"/>
    <n v="0.88935213344418196"/>
    <n v="7012.5415722073703"/>
    <n v="0"/>
    <n v="0"/>
    <n v="0"/>
    <n v="0"/>
    <n v="0"/>
    <n v="46.398654770886999"/>
  </r>
  <r>
    <x v="1"/>
    <x v="2"/>
    <n v="2020"/>
    <x v="1"/>
    <x v="1"/>
    <x v="0"/>
    <s v="PS"/>
    <s v="ALL"/>
    <n v="0"/>
    <n v="0"/>
    <n v="5.1338463616689998"/>
    <n v="289.89290250436301"/>
    <n v="27.156813162439999"/>
    <n v="5.7961125423243098"/>
    <n v="0"/>
    <n v="0"/>
    <n v="0"/>
    <n v="0"/>
    <n v="32.952925704764297"/>
    <n v="36.001311036532499"/>
    <n v="0"/>
    <n v="1854.06751838132"/>
    <n v="0"/>
    <n v="0"/>
    <n v="0"/>
    <n v="0.91532571331430601"/>
    <n v="0.88935213344418196"/>
    <n v="7012.5415722073703"/>
    <n v="592.52051597669299"/>
    <n v="0"/>
    <n v="592.52051597669299"/>
    <n v="0.164589032215744"/>
    <n v="0"/>
    <n v="46.398654770886999"/>
  </r>
  <r>
    <x v="1"/>
    <x v="32"/>
    <n v="2020"/>
    <x v="1"/>
    <x v="1"/>
    <x v="0"/>
    <s v="PS"/>
    <s v="ALL"/>
    <n v="0"/>
    <n v="0"/>
    <n v="4.5656309448319599"/>
    <n v="0"/>
    <n v="0"/>
    <n v="0"/>
    <n v="0"/>
    <n v="0"/>
    <n v="0"/>
    <n v="0"/>
    <n v="0"/>
    <n v="36.000000000004"/>
    <n v="0"/>
    <n v="0"/>
    <n v="0"/>
    <n v="0"/>
    <n v="0"/>
    <n v="0"/>
    <n v="1"/>
    <n v="7885"/>
    <n v="0"/>
    <n v="0"/>
    <n v="0"/>
    <n v="0"/>
    <n v="0"/>
    <n v="46.398654770886999"/>
  </r>
  <r>
    <x v="1"/>
    <x v="4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5"/>
    <n v="2020"/>
    <x v="1"/>
    <x v="1"/>
    <x v="0"/>
    <s v="PS"/>
    <s v="ALL"/>
    <n v="0"/>
    <n v="0"/>
    <n v="51.897444744264902"/>
    <n v="0"/>
    <n v="0"/>
    <n v="0"/>
    <n v="0"/>
    <n v="0"/>
    <n v="0"/>
    <n v="0"/>
    <n v="0"/>
    <n v="377.544344405152"/>
    <n v="0"/>
    <n v="0"/>
    <n v="0"/>
    <n v="0"/>
    <n v="0"/>
    <n v="0"/>
    <n v="0.92261454316100999"/>
    <n v="7274.8156728245604"/>
    <n v="0"/>
    <n v="0"/>
    <n v="0"/>
    <n v="0"/>
    <n v="0"/>
    <n v="46.398654770886999"/>
  </r>
  <r>
    <x v="1"/>
    <x v="6"/>
    <n v="2020"/>
    <x v="1"/>
    <x v="1"/>
    <x v="0"/>
    <s v="PS"/>
    <s v="ALL"/>
    <n v="0"/>
    <n v="0"/>
    <n v="39.838647766551603"/>
    <n v="0"/>
    <n v="0"/>
    <n v="0"/>
    <n v="0"/>
    <n v="0"/>
    <n v="0"/>
    <n v="0"/>
    <n v="0"/>
    <n v="279.37017364348401"/>
    <n v="0"/>
    <n v="0"/>
    <n v="0"/>
    <n v="0"/>
    <n v="0"/>
    <n v="0"/>
    <n v="0.88935213344418196"/>
    <n v="7012.5415722073703"/>
    <n v="0"/>
    <n v="0"/>
    <n v="0"/>
    <n v="0"/>
    <n v="0"/>
    <n v="46.398654770886999"/>
  </r>
  <r>
    <x v="1"/>
    <x v="7"/>
    <n v="2020"/>
    <x v="1"/>
    <x v="1"/>
    <x v="0"/>
    <s v="PS"/>
    <s v="ALL"/>
    <n v="0"/>
    <n v="0"/>
    <n v="0.56821541683706001"/>
    <n v="0"/>
    <n v="0"/>
    <n v="0"/>
    <n v="0"/>
    <n v="0"/>
    <n v="0"/>
    <n v="0"/>
    <n v="0"/>
    <n v="3.0769776114769698"/>
    <n v="0"/>
    <n v="2.8923589547882398"/>
    <n v="0"/>
    <n v="0"/>
    <n v="0"/>
    <n v="0"/>
    <n v="0.68676732759570902"/>
    <n v="5415.1603780921696"/>
    <n v="0"/>
    <n v="0"/>
    <n v="0"/>
    <n v="0"/>
    <n v="0"/>
    <n v="46.398654770886999"/>
  </r>
  <r>
    <x v="1"/>
    <x v="8"/>
    <n v="2020"/>
    <x v="1"/>
    <x v="1"/>
    <x v="0"/>
    <s v="PS"/>
    <s v="ALL"/>
    <n v="0"/>
    <n v="0"/>
    <n v="4.5656309448319599"/>
    <n v="0"/>
    <n v="0"/>
    <n v="0"/>
    <n v="0"/>
    <n v="0"/>
    <n v="0"/>
    <n v="0"/>
    <n v="0"/>
    <n v="3.07566657494836"/>
    <n v="0"/>
    <n v="0"/>
    <n v="0"/>
    <n v="0"/>
    <n v="0"/>
    <n v="0"/>
    <n v="8.5435182637454907E-2"/>
    <n v="673.65641509633201"/>
    <n v="0"/>
    <n v="0"/>
    <n v="0"/>
    <n v="0"/>
    <n v="0"/>
    <n v="46.398654770886999"/>
  </r>
  <r>
    <x v="1"/>
    <x v="9"/>
    <n v="2020"/>
    <x v="1"/>
    <x v="1"/>
    <x v="0"/>
    <s v="PS"/>
    <s v="ALL"/>
    <n v="0"/>
    <n v="0"/>
    <n v="14.567072541402"/>
    <n v="6.7118576938685903"/>
    <n v="0.54864643147084902"/>
    <n v="1.44458163316134E-2"/>
    <n v="0"/>
    <n v="0"/>
    <n v="0"/>
    <n v="0"/>
    <n v="0.56309224780246203"/>
    <n v="60.739978322535698"/>
    <n v="0"/>
    <n v="0"/>
    <n v="0"/>
    <n v="0"/>
    <n v="0"/>
    <n v="9.2705375166975308E-3"/>
    <n v="0.52881120880597798"/>
    <n v="4169.6763814351398"/>
    <n v="9.0695672685179404E-2"/>
    <n v="0"/>
    <n v="9.0695672685179404E-2"/>
    <n v="2.5193242412549199E-5"/>
    <n v="0"/>
    <n v="46.398654770886999"/>
  </r>
  <r>
    <x v="1"/>
    <x v="10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11"/>
    <n v="2020"/>
    <x v="1"/>
    <x v="1"/>
    <x v="0"/>
    <s v="PS"/>
    <s v="ALL"/>
    <n v="0"/>
    <n v="0"/>
    <n v="374.611923658168"/>
    <n v="242.19777208033"/>
    <n v="20.781359513815801"/>
    <n v="4.1798647762250596"/>
    <n v="0"/>
    <n v="0"/>
    <n v="0"/>
    <n v="0"/>
    <n v="24.961224290040899"/>
    <n v="904.02510714152299"/>
    <n v="0"/>
    <n v="0"/>
    <n v="0"/>
    <n v="0"/>
    <n v="0"/>
    <n v="2.76112069154438E-2"/>
    <n v="0.30605339251743702"/>
    <n v="2413.2309999999902"/>
    <n v="33934.144429619999"/>
    <n v="0"/>
    <n v="33934.144429619999"/>
    <n v="9.4261512304497899"/>
    <n v="0"/>
    <n v="46.398654770886999"/>
  </r>
  <r>
    <x v="1"/>
    <x v="12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13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14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15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16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17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18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19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20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21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22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23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24"/>
    <n v="2020"/>
    <x v="1"/>
    <x v="1"/>
    <x v="0"/>
    <s v="PS"/>
    <s v="ALL"/>
    <n v="0"/>
    <n v="0"/>
    <n v="276.838211583386"/>
    <n v="18.2713219645035"/>
    <n v="1.56773907239365"/>
    <n v="0"/>
    <n v="0"/>
    <n v="0"/>
    <n v="0"/>
    <n v="65.254880317854898"/>
    <n v="66.822619390248505"/>
    <n v="1074.1323229286099"/>
    <n v="0"/>
    <n v="0"/>
    <n v="0"/>
    <n v="0"/>
    <n v="0"/>
    <n v="6.2210789084213597E-2"/>
    <n v="0.49207358578360799"/>
    <n v="3880.0002239037399"/>
    <n v="0"/>
    <n v="592450.40593175194"/>
    <n v="592450.40593175194"/>
    <n v="164.56955720325999"/>
    <n v="0"/>
    <n v="46.398654770886999"/>
  </r>
  <r>
    <x v="1"/>
    <x v="25"/>
    <n v="2020"/>
    <x v="1"/>
    <x v="1"/>
    <x v="0"/>
    <s v="PS"/>
    <s v="ALL"/>
    <n v="0"/>
    <n v="0"/>
    <n v="45.328042762638297"/>
    <n v="0"/>
    <n v="0"/>
    <n v="0"/>
    <n v="0"/>
    <n v="0"/>
    <n v="0"/>
    <n v="0"/>
    <n v="0"/>
    <n v="27.546713194279601"/>
    <n v="0"/>
    <n v="0"/>
    <n v="0"/>
    <n v="0"/>
    <n v="0"/>
    <n v="0"/>
    <n v="7.7072797497078002E-2"/>
    <n v="607.71900826445994"/>
    <n v="0"/>
    <n v="0"/>
    <n v="0"/>
    <n v="0"/>
    <n v="0"/>
    <n v="46.398654770886999"/>
  </r>
  <r>
    <x v="1"/>
    <x v="26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98654770886999"/>
  </r>
  <r>
    <x v="1"/>
    <x v="27"/>
    <n v="2020"/>
    <x v="1"/>
    <x v="1"/>
    <x v="0"/>
    <s v="PS"/>
    <s v="ALL"/>
    <n v="0"/>
    <n v="0"/>
    <n v="3.6073708123204998E-15"/>
    <n v="0"/>
    <n v="0"/>
    <n v="0"/>
    <n v="-7.1931166109584304E-18"/>
    <n v="0"/>
    <n v="0"/>
    <n v="0"/>
    <n v="-7.1931166109584304E-18"/>
    <n v="-3.44897659689796E-15"/>
    <n v="0"/>
    <n v="-1.37959063875918E-16"/>
    <n v="0"/>
    <n v="0"/>
    <n v="0"/>
    <n v="2.0855799999999901E-3"/>
    <n v="-0.121254471423847"/>
    <n v="-956.09150717703301"/>
    <n v="0"/>
    <n v="0"/>
    <n v="0"/>
    <n v="0"/>
    <n v="0"/>
    <n v="46.398654770886999"/>
  </r>
  <r>
    <x v="1"/>
    <x v="28"/>
    <n v="2020"/>
    <x v="1"/>
    <x v="1"/>
    <x v="0"/>
    <s v="PS"/>
    <s v="ALL"/>
    <n v="0"/>
    <n v="0"/>
    <n v="6.8862551288770103E-13"/>
    <n v="0"/>
    <n v="0"/>
    <n v="0"/>
    <n v="0"/>
    <n v="0"/>
    <n v="0"/>
    <n v="0"/>
    <n v="0"/>
    <n v="-3.4489765968979801E-15"/>
    <n v="0"/>
    <n v="-1.72448829844898E-16"/>
    <n v="0"/>
    <n v="0"/>
    <n v="0"/>
    <n v="0"/>
    <n v="-6.3519261614849597E-4"/>
    <n v="-5.00849377833089"/>
    <n v="0"/>
    <n v="0"/>
    <n v="0"/>
    <n v="0"/>
    <n v="0"/>
    <n v="46.398654770886999"/>
  </r>
  <r>
    <x v="1"/>
    <x v="29"/>
    <n v="2020"/>
    <x v="1"/>
    <x v="1"/>
    <x v="0"/>
    <s v="PS"/>
    <s v="ALL"/>
    <n v="0"/>
    <n v="0"/>
    <n v="0"/>
    <n v="0"/>
    <n v="0"/>
    <n v="0"/>
    <n v="0"/>
    <n v="0"/>
    <n v="0"/>
    <n v="0"/>
    <n v="0"/>
    <n v="-6.7624286737146197E-15"/>
    <n v="0"/>
    <n v="0"/>
    <n v="0"/>
    <n v="0"/>
    <n v="0"/>
    <n v="0"/>
    <s v="NaN"/>
    <s v="NaN"/>
    <n v="0"/>
    <n v="0"/>
    <n v="0"/>
    <n v="0"/>
    <n v="0"/>
    <n v="46.398654770886999"/>
  </r>
  <r>
    <x v="1"/>
    <x v="30"/>
    <n v="2020"/>
    <x v="2"/>
    <x v="1"/>
    <x v="0"/>
    <s v="PS"/>
    <s v="ALL"/>
    <n v="0"/>
    <n v="0"/>
    <n v="33.499630265843599"/>
    <n v="90.449001717777705"/>
    <n v="9.2124306108045992"/>
    <n v="2.7134700515333301"/>
    <n v="0.66030150753763395"/>
    <n v="0"/>
    <n v="0"/>
    <n v="0"/>
    <n v="12.5862021698755"/>
    <n v="264.12060301503902"/>
    <n v="0"/>
    <n v="34.335678391964599"/>
    <n v="0"/>
    <n v="0"/>
    <n v="0"/>
    <n v="4.7653238809086298E-2"/>
    <n v="0.99990921021101498"/>
    <n v="7884.28412251385"/>
    <n v="0"/>
    <n v="75.010251256271204"/>
    <n v="75.010251256271204"/>
    <n v="2.0836180904518602E-2"/>
    <n v="0"/>
    <n v="45.923351003095398"/>
  </r>
  <r>
    <x v="1"/>
    <x v="31"/>
    <n v="2020"/>
    <x v="2"/>
    <x v="1"/>
    <x v="0"/>
    <s v="PS"/>
    <s v="ALL"/>
    <n v="0"/>
    <n v="0"/>
    <n v="22.9449522368791"/>
    <n v="95.624738205589296"/>
    <n v="8.9580087222636902"/>
    <n v="14.177253580665001"/>
    <n v="4.8912048525920699"/>
    <n v="0"/>
    <n v="0"/>
    <n v="0"/>
    <n v="28.026467155520798"/>
    <n v="180.90452261307499"/>
    <n v="0"/>
    <n v="57.165829145737398"/>
    <n v="0.98129319873704302"/>
    <n v="49.311216016936797"/>
    <n v="177.520377660972"/>
    <n v="0.154924082331898"/>
    <n v="0.99990921021101498"/>
    <n v="7884.28412251386"/>
    <n v="423.90034425892998"/>
    <n v="0"/>
    <n v="423.90034425892998"/>
    <n v="0.117750095627474"/>
    <n v="86.387988661785499"/>
    <n v="45.923351003095398"/>
  </r>
  <r>
    <x v="1"/>
    <x v="1"/>
    <n v="2020"/>
    <x v="2"/>
    <x v="1"/>
    <x v="0"/>
    <s v="PS"/>
    <s v="ALL"/>
    <n v="0"/>
    <n v="0"/>
    <n v="98.968664166698602"/>
    <n v="2.58755468059731"/>
    <n v="0.263548159669518"/>
    <n v="0"/>
    <n v="0.139155823401685"/>
    <n v="0"/>
    <n v="0"/>
    <n v="0"/>
    <n v="0.40270398307120298"/>
    <n v="537.38140216392799"/>
    <n v="0"/>
    <n v="2.1495256086557402"/>
    <n v="0"/>
    <n v="0"/>
    <n v="0"/>
    <n v="7.4938206169695195E-4"/>
    <n v="0.68862569883859104"/>
    <n v="5429.8136353422897"/>
    <n v="0"/>
    <n v="0"/>
    <n v="0"/>
    <n v="0"/>
    <n v="0"/>
    <n v="45.923351003095398"/>
  </r>
  <r>
    <x v="1"/>
    <x v="2"/>
    <n v="2020"/>
    <x v="2"/>
    <x v="1"/>
    <x v="0"/>
    <s v="PS"/>
    <s v="ALL"/>
    <n v="0"/>
    <n v="0"/>
    <n v="6.6309004991688099"/>
    <n v="374.42705848656499"/>
    <n v="35.075869683041297"/>
    <n v="7.4862866635615797"/>
    <n v="0"/>
    <n v="0"/>
    <n v="0"/>
    <n v="0"/>
    <n v="42.562156346602798"/>
    <n v="36.004553944985602"/>
    <n v="0"/>
    <n v="1854.2345281666001"/>
    <n v="0"/>
    <n v="0"/>
    <n v="0"/>
    <n v="1.1821325827737501"/>
    <n v="0.68862569883859204"/>
    <n v="5429.8136353422997"/>
    <n v="765.30233052792903"/>
    <n v="0"/>
    <n v="765.30233052792903"/>
    <n v="0.21258398070219101"/>
    <n v="0"/>
    <n v="45.923351003095398"/>
  </r>
  <r>
    <x v="1"/>
    <x v="32"/>
    <n v="2020"/>
    <x v="2"/>
    <x v="1"/>
    <x v="0"/>
    <s v="PS"/>
    <s v="ALL"/>
    <n v="0"/>
    <n v="0"/>
    <n v="4.5660454951389502"/>
    <n v="0"/>
    <n v="0"/>
    <n v="0"/>
    <n v="0"/>
    <n v="0"/>
    <n v="0"/>
    <n v="0"/>
    <n v="0"/>
    <n v="35.9999999999946"/>
    <n v="0"/>
    <n v="0"/>
    <n v="0"/>
    <n v="0"/>
    <n v="0"/>
    <n v="0"/>
    <n v="0.99990921021101498"/>
    <n v="7884.28412251385"/>
    <n v="0"/>
    <n v="0"/>
    <n v="0"/>
    <n v="0"/>
    <n v="0"/>
    <n v="45.923351003095398"/>
  </r>
  <r>
    <x v="1"/>
    <x v="4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5"/>
    <n v="2020"/>
    <x v="2"/>
    <x v="1"/>
    <x v="0"/>
    <s v="PS"/>
    <s v="ALL"/>
    <n v="0"/>
    <n v="0"/>
    <n v="62.483034050201297"/>
    <n v="0"/>
    <n v="0"/>
    <n v="0"/>
    <n v="0"/>
    <n v="0"/>
    <n v="0"/>
    <n v="0"/>
    <n v="0"/>
    <n v="377.56727176795101"/>
    <n v="0"/>
    <n v="0"/>
    <n v="0"/>
    <n v="0"/>
    <n v="0"/>
    <n v="0"/>
    <n v="0.76635595118970201"/>
    <n v="6042.7166751307996"/>
    <n v="0"/>
    <n v="0"/>
    <n v="0"/>
    <n v="0"/>
    <n v="0"/>
    <n v="45.923351003095398"/>
  </r>
  <r>
    <x v="1"/>
    <x v="6"/>
    <n v="2020"/>
    <x v="2"/>
    <x v="1"/>
    <x v="0"/>
    <s v="PS"/>
    <s v="ALL"/>
    <n v="0"/>
    <n v="0"/>
    <n v="51.455787873549902"/>
    <n v="0"/>
    <n v="0"/>
    <n v="0"/>
    <n v="0"/>
    <n v="0"/>
    <n v="0"/>
    <n v="0"/>
    <n v="0"/>
    <n v="279.39533861305802"/>
    <n v="0"/>
    <n v="0"/>
    <n v="0"/>
    <n v="0"/>
    <n v="0"/>
    <n v="0"/>
    <n v="0.68862569883859204"/>
    <n v="5429.8136353422997"/>
    <n v="0"/>
    <n v="0"/>
    <n v="0"/>
    <n v="0"/>
    <n v="0"/>
    <n v="45.923351003095398"/>
  </r>
  <r>
    <x v="1"/>
    <x v="7"/>
    <n v="2020"/>
    <x v="2"/>
    <x v="1"/>
    <x v="0"/>
    <s v="PS"/>
    <s v="ALL"/>
    <n v="0"/>
    <n v="0"/>
    <n v="10.9699347206161"/>
    <n v="0"/>
    <n v="0"/>
    <n v="0"/>
    <n v="0"/>
    <n v="0"/>
    <n v="0"/>
    <n v="0"/>
    <n v="0"/>
    <n v="9.7702915958436396"/>
    <n v="0"/>
    <n v="9.1840741000924595"/>
    <n v="0"/>
    <n v="0"/>
    <n v="0"/>
    <n v="0"/>
    <n v="0.11295404410651699"/>
    <n v="890.64263777989095"/>
    <n v="0"/>
    <n v="0"/>
    <n v="0"/>
    <n v="0"/>
    <n v="0"/>
    <n v="45.923351003095398"/>
  </r>
  <r>
    <x v="1"/>
    <x v="8"/>
    <n v="2020"/>
    <x v="2"/>
    <x v="1"/>
    <x v="0"/>
    <s v="PS"/>
    <s v="ALL"/>
    <n v="0"/>
    <n v="0"/>
    <n v="8.9050797165862505"/>
    <n v="0"/>
    <n v="0"/>
    <n v="0"/>
    <n v="0"/>
    <n v="0"/>
    <n v="0"/>
    <n v="0"/>
    <n v="0"/>
    <n v="9.7657376508582203"/>
    <n v="0"/>
    <n v="0"/>
    <n v="0"/>
    <n v="0"/>
    <n v="0"/>
    <n v="0"/>
    <n v="0.13908027601751699"/>
    <n v="1096.6479763981199"/>
    <n v="0"/>
    <n v="0"/>
    <n v="0"/>
    <n v="0"/>
    <n v="0"/>
    <n v="45.923351003095398"/>
  </r>
  <r>
    <x v="1"/>
    <x v="9"/>
    <n v="2020"/>
    <x v="2"/>
    <x v="1"/>
    <x v="0"/>
    <s v="PS"/>
    <s v="ALL"/>
    <n v="0"/>
    <n v="0"/>
    <n v="50.599388720136503"/>
    <n v="23.313942833815901"/>
    <n v="1.9057483222526299"/>
    <n v="5.0178199762891701E-2"/>
    <n v="0"/>
    <n v="0"/>
    <n v="0"/>
    <n v="0"/>
    <n v="1.95592652201552"/>
    <n v="220.737840041753"/>
    <n v="0"/>
    <n v="0"/>
    <n v="0"/>
    <n v="0"/>
    <n v="0"/>
    <n v="8.8608573937551793E-3"/>
    <n v="0.553260698444481"/>
    <n v="4362.4606072347297"/>
    <n v="0.31503554227443797"/>
    <n v="0"/>
    <n v="0.31503554227443797"/>
    <n v="8.7509872854005903E-5"/>
    <n v="0"/>
    <n v="45.923351003095398"/>
  </r>
  <r>
    <x v="1"/>
    <x v="10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11"/>
    <n v="2020"/>
    <x v="2"/>
    <x v="1"/>
    <x v="0"/>
    <s v="PS"/>
    <s v="ALL"/>
    <n v="0"/>
    <n v="0"/>
    <n v="506.69064501381501"/>
    <n v="327.59060138265301"/>
    <n v="28.1083430380279"/>
    <n v="5.6535797335393303"/>
    <n v="0"/>
    <n v="0"/>
    <n v="0"/>
    <n v="0"/>
    <n v="33.761922771567299"/>
    <n v="1018.45174331228"/>
    <n v="0"/>
    <n v="0"/>
    <n v="0"/>
    <n v="0"/>
    <n v="0"/>
    <n v="3.3150242997045901E-2"/>
    <n v="0.25491528218135701"/>
    <n v="2010.0070000000001"/>
    <n v="45898.468369964903"/>
    <n v="0"/>
    <n v="45898.468369964903"/>
    <n v="12.749574547211701"/>
    <n v="0"/>
    <n v="45.923351003095398"/>
  </r>
  <r>
    <x v="1"/>
    <x v="12"/>
    <n v="2020"/>
    <x v="2"/>
    <x v="1"/>
    <x v="0"/>
    <s v="PS"/>
    <s v="ALL"/>
    <n v="0"/>
    <n v="0"/>
    <n v="12.2041125847669"/>
    <n v="21.463137908426599"/>
    <n v="1.96276310036602"/>
    <n v="0.17816857187176699"/>
    <n v="5.3161554480473598E-2"/>
    <n v="0"/>
    <n v="0"/>
    <n v="0"/>
    <n v="2.1940932267182598"/>
    <n v="33.986743563244701"/>
    <n v="0"/>
    <n v="0"/>
    <n v="0"/>
    <n v="0"/>
    <n v="0"/>
    <n v="6.4557324317799106E-2"/>
    <n v="0.353184512936013"/>
    <n v="2784.8598845004599"/>
    <n v="672.71780592254004"/>
    <n v="0"/>
    <n v="672.71780592254004"/>
    <n v="0.18686605720069499"/>
    <n v="0"/>
    <n v="45.923351003095398"/>
  </r>
  <r>
    <x v="1"/>
    <x v="13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14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15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16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17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18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19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20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21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22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23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923351003095398"/>
  </r>
  <r>
    <x v="1"/>
    <x v="24"/>
    <n v="2020"/>
    <x v="2"/>
    <x v="1"/>
    <x v="0"/>
    <s v="PS"/>
    <s v="ALL"/>
    <n v="0"/>
    <n v="0"/>
    <n v="353.60738028659199"/>
    <n v="23.3380870989151"/>
    <n v="2.0024840616884001"/>
    <n v="0"/>
    <n v="0"/>
    <n v="0"/>
    <n v="0"/>
    <n v="53.726659768377203"/>
    <n v="55.729143830065603"/>
    <n v="944.04386525446205"/>
    <n v="0"/>
    <n v="0"/>
    <n v="0"/>
    <n v="0"/>
    <n v="0"/>
    <n v="5.9032366907065398E-2"/>
    <n v="0.33858612410678901"/>
    <n v="2669.7515885820299"/>
    <n v="0"/>
    <n v="262651.88830887101"/>
    <n v="262651.88830887101"/>
    <n v="72.958857863571396"/>
    <n v="0"/>
    <n v="45.923351003095398"/>
  </r>
  <r>
    <x v="1"/>
    <x v="25"/>
    <n v="2020"/>
    <x v="2"/>
    <x v="1"/>
    <x v="0"/>
    <s v="PS"/>
    <s v="ALL"/>
    <n v="0"/>
    <n v="0"/>
    <n v="251.54430789518699"/>
    <n v="0"/>
    <n v="0"/>
    <n v="0"/>
    <n v="0"/>
    <n v="0"/>
    <n v="0"/>
    <n v="0"/>
    <n v="0"/>
    <n v="39.492913334627403"/>
    <n v="0"/>
    <n v="0"/>
    <n v="0"/>
    <n v="0"/>
    <n v="0"/>
    <n v="0"/>
    <n v="1.9911454249562199E-2"/>
    <n v="157.001816757798"/>
    <n v="0"/>
    <n v="0"/>
    <n v="0"/>
    <n v="0"/>
    <n v="0"/>
    <n v="45.923351003095398"/>
  </r>
  <r>
    <x v="1"/>
    <x v="26"/>
    <n v="2020"/>
    <x v="2"/>
    <x v="1"/>
    <x v="0"/>
    <s v="PS"/>
    <s v="ALL"/>
    <n v="0"/>
    <n v="0"/>
    <n v="6.6801786918337402"/>
    <n v="2.2913012912989701"/>
    <n v="0.206217116216907"/>
    <n v="5.87855724881369E-2"/>
    <n v="5.51325939578005E-4"/>
    <n v="0"/>
    <n v="0"/>
    <n v="2.7566296978900201E-2"/>
    <n v="0.29312031162352298"/>
    <n v="9.1887656596334202E-2"/>
    <n v="0"/>
    <n v="0"/>
    <n v="0"/>
    <n v="0"/>
    <n v="0"/>
    <n v="3.1899857116958699"/>
    <n v="1.74448563827412E-3"/>
    <n v="13.755269257791401"/>
    <n v="440.89179366102701"/>
    <n v="67.9509220529891"/>
    <n v="508.84271571401598"/>
    <n v="0.14134519880944099"/>
    <n v="0"/>
    <n v="45.923351003095398"/>
  </r>
  <r>
    <x v="1"/>
    <x v="27"/>
    <n v="2020"/>
    <x v="2"/>
    <x v="1"/>
    <x v="0"/>
    <s v="PS"/>
    <s v="ALL"/>
    <n v="0"/>
    <n v="0"/>
    <n v="0.199653076774713"/>
    <n v="0"/>
    <n v="0"/>
    <n v="0"/>
    <n v="2.7003869059070502E-4"/>
    <n v="0"/>
    <n v="0"/>
    <n v="0"/>
    <n v="2.7003869059070502E-4"/>
    <n v="0.12947894139314201"/>
    <n v="0"/>
    <n v="5.1791576557256597E-3"/>
    <n v="0"/>
    <n v="0"/>
    <n v="0"/>
    <n v="2.0855799999999502E-3"/>
    <n v="8.2247259301311895E-2"/>
    <n v="648.51963959084503"/>
    <n v="0"/>
    <n v="0"/>
    <n v="0"/>
    <n v="0"/>
    <n v="0"/>
    <n v="45.923351003095398"/>
  </r>
  <r>
    <x v="1"/>
    <x v="28"/>
    <n v="2020"/>
    <x v="2"/>
    <x v="1"/>
    <x v="0"/>
    <s v="PS"/>
    <s v="ALL"/>
    <n v="0"/>
    <n v="0"/>
    <n v="0.199653076774713"/>
    <n v="0"/>
    <n v="0"/>
    <n v="0"/>
    <n v="0"/>
    <n v="0"/>
    <n v="0"/>
    <n v="0"/>
    <n v="0"/>
    <n v="0.12943901077778699"/>
    <n v="0"/>
    <n v="6.4719505388892602E-3"/>
    <n v="0"/>
    <n v="0"/>
    <n v="0"/>
    <n v="0"/>
    <n v="8.2221894684951904E-2"/>
    <n v="648.31963959084499"/>
    <n v="0"/>
    <n v="0"/>
    <n v="0"/>
    <n v="0"/>
    <n v="0"/>
    <n v="45.923351003095398"/>
  </r>
  <r>
    <x v="1"/>
    <x v="29"/>
    <n v="2020"/>
    <x v="2"/>
    <x v="1"/>
    <x v="0"/>
    <s v="PS"/>
    <s v="ALL"/>
    <n v="0"/>
    <n v="0"/>
    <n v="0.199653076774713"/>
    <n v="7.2240419735418698E-2"/>
    <n v="7.3578463163639102E-3"/>
    <n v="1.01345898301612E-3"/>
    <n v="0"/>
    <n v="0"/>
    <n v="0"/>
    <n v="0"/>
    <n v="8.3713052993800406E-3"/>
    <n v="0.89572390381683598"/>
    <n v="0"/>
    <n v="0"/>
    <n v="0"/>
    <n v="0"/>
    <n v="0"/>
    <n v="9.3458545247128502E-3"/>
    <n v="0.56897929027638405"/>
    <n v="4486.4017038292805"/>
    <n v="0.31402038641396401"/>
    <n v="0"/>
    <n v="0.31402038641396401"/>
    <n v="8.7227885114985398E-5"/>
    <n v="0"/>
    <n v="45.923351003095398"/>
  </r>
  <r>
    <x v="1"/>
    <x v="33"/>
    <n v="2020"/>
    <x v="0"/>
    <x v="2"/>
    <x v="0"/>
    <s v="None"/>
    <s v="ALL"/>
    <n v="0"/>
    <n v="0"/>
    <n v="18.351038638278698"/>
    <n v="0"/>
    <n v="0"/>
    <n v="0"/>
    <n v="0"/>
    <n v="0"/>
    <n v="0"/>
    <n v="18.049908768806102"/>
    <n v="18.049908768806102"/>
    <n v="144.69793966282"/>
    <n v="0"/>
    <n v="0"/>
    <n v="0"/>
    <n v="0"/>
    <n v="0"/>
    <n v="0.124741988800024"/>
    <n v="1"/>
    <n v="7885"/>
    <n v="65.3404290426827"/>
    <n v="0"/>
    <n v="65.3404290426827"/>
    <n v="1.8150119178522502E-2"/>
    <n v="0"/>
    <n v="56.328674123156098"/>
  </r>
  <r>
    <x v="1"/>
    <x v="34"/>
    <n v="2020"/>
    <x v="0"/>
    <x v="2"/>
    <x v="0"/>
    <s v="None"/>
    <s v="ALL"/>
    <n v="0"/>
    <n v="0"/>
    <n v="22.942869069507299"/>
    <n v="93.721620148937504"/>
    <n v="8.7797269463248"/>
    <n v="13.2631981201011"/>
    <n v="0"/>
    <n v="0"/>
    <n v="0"/>
    <n v="0"/>
    <n v="22.042925066425902"/>
    <n v="180.90452261306899"/>
    <n v="0"/>
    <n v="59.189427135676603"/>
    <n v="0.62626952067895203"/>
    <n v="31.4708301848719"/>
    <n v="113.29498866553899"/>
    <n v="0.121848391339407"/>
    <n v="0.999999999999999"/>
    <n v="7884.99999999999"/>
    <n v="423.86185843612401"/>
    <n v="0"/>
    <n v="423.86185843612401"/>
    <n v="0.117739405121143"/>
    <n v="57.607442031936699"/>
    <n v="56.328674123156098"/>
  </r>
  <r>
    <x v="1"/>
    <x v="1"/>
    <n v="2020"/>
    <x v="0"/>
    <x v="2"/>
    <x v="0"/>
    <s v="None"/>
    <s v="ALL"/>
    <n v="0"/>
    <n v="0"/>
    <n v="35.482546996897"/>
    <n v="0.92769798738203801"/>
    <n v="9.4488089135651904E-2"/>
    <n v="0"/>
    <n v="7.2449474140945394E-2"/>
    <n v="0"/>
    <n v="0"/>
    <n v="0"/>
    <n v="0.16693756327659701"/>
    <n v="279.779883070501"/>
    <n v="0"/>
    <n v="1.11911953228228"/>
    <n v="0"/>
    <n v="0"/>
    <n v="0"/>
    <n v="5.9667464810016701E-4"/>
    <n v="1"/>
    <n v="7885"/>
    <n v="0"/>
    <n v="0"/>
    <n v="0"/>
    <n v="0"/>
    <n v="0"/>
    <n v="56.328674123156098"/>
  </r>
  <r>
    <x v="1"/>
    <x v="2"/>
    <n v="2020"/>
    <x v="0"/>
    <x v="2"/>
    <x v="0"/>
    <s v="None"/>
    <s v="ALL"/>
    <n v="0"/>
    <n v="0"/>
    <n v="2.3773306487921002"/>
    <n v="134.240729745343"/>
    <n v="12.575507661588899"/>
    <n v="2.6840063024862801"/>
    <n v="0"/>
    <n v="0"/>
    <n v="0"/>
    <n v="0"/>
    <n v="15.2595139640752"/>
    <n v="18.7452521657274"/>
    <n v="0"/>
    <n v="965.38048653501505"/>
    <n v="0"/>
    <n v="0"/>
    <n v="0"/>
    <n v="0.81404687593239"/>
    <n v="1"/>
    <n v="7885"/>
    <n v="274.37852312579997"/>
    <n v="0"/>
    <n v="274.37852312579997"/>
    <n v="7.6216256423831605E-2"/>
    <n v="0"/>
    <n v="56.328674123156098"/>
  </r>
  <r>
    <x v="1"/>
    <x v="35"/>
    <n v="2020"/>
    <x v="0"/>
    <x v="2"/>
    <x v="0"/>
    <s v="None"/>
    <s v="ALL"/>
    <n v="0"/>
    <n v="0"/>
    <n v="2.3773306487921002"/>
    <n v="0"/>
    <n v="0"/>
    <n v="0"/>
    <n v="0"/>
    <n v="0"/>
    <n v="0"/>
    <n v="0"/>
    <n v="0"/>
    <n v="18.7452521657274"/>
    <n v="0"/>
    <n v="0"/>
    <n v="0"/>
    <n v="0"/>
    <n v="0"/>
    <n v="0"/>
    <n v="1"/>
    <n v="7885"/>
    <n v="0"/>
    <n v="0"/>
    <n v="0"/>
    <n v="0"/>
    <n v="0"/>
    <n v="56.328674123156098"/>
  </r>
  <r>
    <x v="1"/>
    <x v="4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5"/>
    <n v="2020"/>
    <x v="0"/>
    <x v="2"/>
    <x v="0"/>
    <s v="None"/>
    <s v="ALL"/>
    <n v="0"/>
    <n v="0"/>
    <n v="30.1025237981444"/>
    <n v="0"/>
    <n v="0"/>
    <n v="0"/>
    <n v="0"/>
    <n v="0"/>
    <n v="0"/>
    <n v="0"/>
    <n v="0"/>
    <n v="237.358400148333"/>
    <n v="0"/>
    <n v="0"/>
    <n v="0"/>
    <n v="0"/>
    <n v="0"/>
    <n v="0"/>
    <n v="0.999999999999999"/>
    <n v="7884.99999999999"/>
    <n v="0"/>
    <n v="0"/>
    <n v="0"/>
    <n v="0"/>
    <n v="0"/>
    <n v="56.328674123156098"/>
  </r>
  <r>
    <x v="1"/>
    <x v="6"/>
    <n v="2020"/>
    <x v="0"/>
    <x v="2"/>
    <x v="0"/>
    <s v="None"/>
    <s v="ALL"/>
    <n v="0"/>
    <n v="0"/>
    <n v="18.4480858346273"/>
    <n v="0"/>
    <n v="0"/>
    <n v="0"/>
    <n v="0"/>
    <n v="0"/>
    <n v="0"/>
    <n v="0"/>
    <n v="0"/>
    <n v="145.46315680601799"/>
    <n v="0"/>
    <n v="0"/>
    <n v="0"/>
    <n v="0"/>
    <n v="0"/>
    <n v="0"/>
    <n v="0.999999999999997"/>
    <n v="7884.99999999997"/>
    <n v="0"/>
    <n v="0"/>
    <n v="0"/>
    <n v="0"/>
    <n v="0"/>
    <n v="56.328674123156098"/>
  </r>
  <r>
    <x v="1"/>
    <x v="7"/>
    <n v="2020"/>
    <x v="0"/>
    <x v="2"/>
    <x v="0"/>
    <s v="None"/>
    <s v="ALL"/>
    <n v="0"/>
    <n v="0"/>
    <n v="3.7289282772690003E-14"/>
    <n v="0"/>
    <n v="0"/>
    <n v="0"/>
    <n v="0"/>
    <n v="0"/>
    <n v="0"/>
    <n v="0"/>
    <n v="0"/>
    <n v="2.1506978533678099E-16"/>
    <n v="0"/>
    <n v="2.0216559821654501E-16"/>
    <n v="0"/>
    <n v="0"/>
    <n v="0"/>
    <n v="0"/>
    <n v="7.3146520797771799E-4"/>
    <n v="5.7676031649043003"/>
    <n v="0"/>
    <n v="0"/>
    <n v="0"/>
    <n v="0"/>
    <n v="0"/>
    <n v="56.328674123156098"/>
  </r>
  <r>
    <x v="1"/>
    <x v="8"/>
    <n v="2020"/>
    <x v="0"/>
    <x v="2"/>
    <x v="0"/>
    <s v="None"/>
    <s v="ALL"/>
    <n v="0"/>
    <n v="0"/>
    <n v="-8.0490281106904094E-14"/>
    <n v="0"/>
    <n v="0"/>
    <n v="0"/>
    <n v="0"/>
    <n v="0"/>
    <n v="0"/>
    <n v="0"/>
    <n v="0"/>
    <n v="3.8017014655012499E-16"/>
    <n v="0"/>
    <n v="0"/>
    <n v="0"/>
    <n v="0"/>
    <n v="0"/>
    <n v="0"/>
    <n v="-5.99008339033276E-4"/>
    <n v="-4.7231807532773802"/>
    <n v="0"/>
    <n v="0"/>
    <n v="0"/>
    <n v="0"/>
    <n v="0"/>
    <n v="56.328674123156098"/>
  </r>
  <r>
    <x v="1"/>
    <x v="9"/>
    <n v="2020"/>
    <x v="0"/>
    <x v="2"/>
    <x v="0"/>
    <s v="None"/>
    <s v="ALL"/>
    <n v="0"/>
    <n v="0"/>
    <n v="0"/>
    <n v="0"/>
    <n v="0"/>
    <n v="0"/>
    <n v="0"/>
    <n v="0"/>
    <n v="0"/>
    <n v="0"/>
    <n v="0"/>
    <n v="-2.55731130849862E-14"/>
    <n v="0"/>
    <n v="0"/>
    <n v="0"/>
    <n v="0"/>
    <n v="0"/>
    <n v="0"/>
    <s v="NaN"/>
    <s v="NaN"/>
    <n v="0"/>
    <n v="0"/>
    <n v="0"/>
    <n v="0"/>
    <n v="0"/>
    <n v="56.328674123156098"/>
  </r>
  <r>
    <x v="1"/>
    <x v="10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11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12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13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14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15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16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17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18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19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20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21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22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23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24"/>
    <n v="2020"/>
    <x v="0"/>
    <x v="2"/>
    <x v="0"/>
    <s v="None"/>
    <s v="ALL"/>
    <n v="0"/>
    <n v="0"/>
    <n v="130.08104416015701"/>
    <n v="8.5853489145703801"/>
    <n v="0.73665096426262699"/>
    <n v="0"/>
    <n v="0"/>
    <n v="0"/>
    <n v="0"/>
    <n v="57.039052338705602"/>
    <n v="57.775703302968303"/>
    <n v="1025.6890332026701"/>
    <n v="0"/>
    <n v="0"/>
    <n v="0"/>
    <n v="0"/>
    <n v="0"/>
    <n v="5.6328674123156099E-2"/>
    <n v="0.999999999999999"/>
    <n v="7884.99999999999"/>
    <n v="0"/>
    <n v="206623.21050437199"/>
    <n v="206623.21050437199"/>
    <n v="57.395336251213202"/>
    <n v="0"/>
    <n v="56.328674123156098"/>
  </r>
  <r>
    <x v="1"/>
    <x v="25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26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328674123156098"/>
  </r>
  <r>
    <x v="1"/>
    <x v="27"/>
    <n v="2020"/>
    <x v="0"/>
    <x v="2"/>
    <x v="0"/>
    <s v="None"/>
    <s v="ALL"/>
    <n v="0"/>
    <n v="0"/>
    <n v="-8.5632424228466493E-12"/>
    <n v="0"/>
    <n v="0"/>
    <n v="0"/>
    <n v="2.05528647322037E-16"/>
    <n v="0"/>
    <n v="0"/>
    <n v="0"/>
    <n v="2.05528647322037E-16"/>
    <n v="9.85474771152574E-14"/>
    <n v="0"/>
    <n v="3.9418990846102796E-15"/>
    <n v="0"/>
    <n v="0"/>
    <n v="0"/>
    <n v="2.0855799999999801E-3"/>
    <n v="-1.4595049555194901E-3"/>
    <n v="-11.508196574271199"/>
    <n v="0"/>
    <n v="0"/>
    <n v="0"/>
    <n v="0"/>
    <n v="0"/>
    <n v="56.328674123156098"/>
  </r>
  <r>
    <x v="1"/>
    <x v="28"/>
    <n v="2020"/>
    <x v="0"/>
    <x v="2"/>
    <x v="0"/>
    <s v="None"/>
    <s v="ALL"/>
    <n v="0"/>
    <n v="0"/>
    <n v="3.9366760144108202E-12"/>
    <n v="0"/>
    <n v="0"/>
    <n v="0"/>
    <n v="0"/>
    <n v="0"/>
    <n v="0"/>
    <n v="0"/>
    <n v="0"/>
    <n v="9.8547477115257097E-14"/>
    <n v="0"/>
    <n v="4.9273738557628698E-15"/>
    <n v="0"/>
    <n v="0"/>
    <n v="0"/>
    <n v="0"/>
    <n v="3.1747836768146799E-3"/>
    <n v="25.033169291683802"/>
    <n v="0"/>
    <n v="0"/>
    <n v="0"/>
    <n v="0"/>
    <n v="0"/>
    <n v="56.328674123156098"/>
  </r>
  <r>
    <x v="1"/>
    <x v="29"/>
    <n v="2020"/>
    <x v="0"/>
    <x v="2"/>
    <x v="0"/>
    <s v="None"/>
    <s v="ALL"/>
    <n v="0"/>
    <n v="0"/>
    <n v="0"/>
    <n v="0"/>
    <n v="0"/>
    <n v="0"/>
    <n v="0"/>
    <n v="0"/>
    <n v="0"/>
    <n v="0"/>
    <n v="0"/>
    <n v="-1.63127148970791E-13"/>
    <n v="0"/>
    <n v="0"/>
    <n v="0"/>
    <n v="0"/>
    <n v="0"/>
    <n v="0"/>
    <s v="NaN"/>
    <s v="NaN"/>
    <n v="0"/>
    <n v="0"/>
    <n v="0"/>
    <n v="0"/>
    <n v="0"/>
    <n v="56.328674123156098"/>
  </r>
  <r>
    <x v="1"/>
    <x v="33"/>
    <n v="2020"/>
    <x v="1"/>
    <x v="2"/>
    <x v="0"/>
    <s v="None"/>
    <s v="ALL"/>
    <n v="0"/>
    <n v="0"/>
    <n v="18.351038638278698"/>
    <n v="0"/>
    <n v="0"/>
    <n v="0"/>
    <n v="0"/>
    <n v="0"/>
    <n v="0"/>
    <n v="18.049908768806102"/>
    <n v="18.049908768806102"/>
    <n v="144.69793966282"/>
    <n v="0"/>
    <n v="0"/>
    <n v="0"/>
    <n v="0"/>
    <n v="0"/>
    <n v="0.124741988800024"/>
    <n v="1"/>
    <n v="7885"/>
    <n v="65.3404290426827"/>
    <n v="0"/>
    <n v="65.3404290426827"/>
    <n v="1.8150119178522502E-2"/>
    <n v="0"/>
    <n v="46.4106517921334"/>
  </r>
  <r>
    <x v="1"/>
    <x v="34"/>
    <n v="2020"/>
    <x v="1"/>
    <x v="2"/>
    <x v="0"/>
    <s v="None"/>
    <s v="ALL"/>
    <n v="0"/>
    <n v="0"/>
    <n v="22.942869069507299"/>
    <n v="93.721620148937504"/>
    <n v="8.7797269463248"/>
    <n v="13.2631981201011"/>
    <n v="0"/>
    <n v="0"/>
    <n v="0"/>
    <n v="0"/>
    <n v="22.042925066425902"/>
    <n v="180.90452261306899"/>
    <n v="0"/>
    <n v="59.189427135676702"/>
    <n v="0.58642380056103505"/>
    <n v="29.468532691509299"/>
    <n v="106.086717689433"/>
    <n v="0.121848391339407"/>
    <n v="1"/>
    <n v="7885"/>
    <n v="423.86185843612401"/>
    <n v="0"/>
    <n v="423.86185843612401"/>
    <n v="0.117739405121143"/>
    <n v="91.884369684725797"/>
    <n v="46.4106517921334"/>
  </r>
  <r>
    <x v="1"/>
    <x v="1"/>
    <n v="2020"/>
    <x v="1"/>
    <x v="2"/>
    <x v="0"/>
    <s v="None"/>
    <s v="ALL"/>
    <n v="0"/>
    <n v="0"/>
    <n v="39.929118520824098"/>
    <n v="1.043954451549"/>
    <n v="0.106329066801026"/>
    <n v="0"/>
    <n v="7.2452132815879394E-2"/>
    <n v="0"/>
    <n v="0"/>
    <n v="0"/>
    <n v="0.178781199616906"/>
    <n v="279.79015013964499"/>
    <n v="0"/>
    <n v="1.11916060055852"/>
    <n v="0"/>
    <n v="0"/>
    <n v="0"/>
    <n v="6.3898317909931804E-4"/>
    <n v="0.88867098530454303"/>
    <n v="7007.1707191263204"/>
    <n v="0"/>
    <n v="0"/>
    <n v="0"/>
    <n v="0"/>
    <n v="0"/>
    <n v="46.4106517921334"/>
  </r>
  <r>
    <x v="1"/>
    <x v="2"/>
    <n v="2020"/>
    <x v="1"/>
    <x v="2"/>
    <x v="0"/>
    <s v="None"/>
    <s v="ALL"/>
    <n v="0"/>
    <n v="0"/>
    <n v="2.6752509408952099"/>
    <n v="151.06339487952999"/>
    <n v="14.1514343917597"/>
    <n v="3.0203583122706998"/>
    <n v="0"/>
    <n v="0"/>
    <n v="0"/>
    <n v="0"/>
    <n v="17.171792704030398"/>
    <n v="18.7459400593563"/>
    <n v="0"/>
    <n v="965.41591305684904"/>
    <n v="0"/>
    <n v="0"/>
    <n v="0"/>
    <n v="0.916027291758022"/>
    <n v="0.88867098530454303"/>
    <n v="7007.1707191263204"/>
    <n v="308.76285657894903"/>
    <n v="0"/>
    <n v="308.76285657894903"/>
    <n v="8.5767460160817294E-2"/>
    <n v="0"/>
    <n v="46.4106517921334"/>
  </r>
  <r>
    <x v="1"/>
    <x v="35"/>
    <n v="2020"/>
    <x v="1"/>
    <x v="2"/>
    <x v="0"/>
    <s v="None"/>
    <s v="ALL"/>
    <n v="0"/>
    <n v="0"/>
    <n v="2.3773306487921002"/>
    <n v="0"/>
    <n v="0"/>
    <n v="0"/>
    <n v="0"/>
    <n v="0"/>
    <n v="0"/>
    <n v="0"/>
    <n v="0"/>
    <n v="18.7452521657274"/>
    <n v="0"/>
    <n v="0"/>
    <n v="0"/>
    <n v="0"/>
    <n v="0"/>
    <n v="0"/>
    <n v="1"/>
    <n v="7885"/>
    <n v="0"/>
    <n v="0"/>
    <n v="0"/>
    <n v="0"/>
    <n v="0"/>
    <n v="46.4106517921334"/>
  </r>
  <r>
    <x v="1"/>
    <x v="4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5"/>
    <n v="2020"/>
    <x v="1"/>
    <x v="2"/>
    <x v="0"/>
    <s v="None"/>
    <s v="ALL"/>
    <n v="0"/>
    <n v="0"/>
    <n v="32.208820263312802"/>
    <n v="0"/>
    <n v="0"/>
    <n v="0"/>
    <n v="0"/>
    <n v="0"/>
    <n v="0"/>
    <n v="0"/>
    <n v="0"/>
    <n v="237.36326355635401"/>
    <n v="0"/>
    <n v="0"/>
    <n v="0"/>
    <n v="0"/>
    <n v="0"/>
    <n v="0"/>
    <n v="0.93462412918051196"/>
    <n v="7369.5112585883298"/>
    <n v="0"/>
    <n v="0"/>
    <n v="0"/>
    <n v="0"/>
    <n v="0"/>
    <n v="46.4106517921334"/>
  </r>
  <r>
    <x v="1"/>
    <x v="6"/>
    <n v="2020"/>
    <x v="1"/>
    <x v="2"/>
    <x v="0"/>
    <s v="None"/>
    <s v="ALL"/>
    <n v="0"/>
    <n v="0"/>
    <n v="20.759947301346799"/>
    <n v="0"/>
    <n v="0"/>
    <n v="0"/>
    <n v="0"/>
    <n v="0"/>
    <n v="0"/>
    <n v="0"/>
    <n v="0"/>
    <n v="145.468494860601"/>
    <n v="0"/>
    <n v="0"/>
    <n v="0"/>
    <n v="0"/>
    <n v="0"/>
    <n v="0"/>
    <n v="0.88867098530454303"/>
    <n v="7007.1707191263204"/>
    <n v="0"/>
    <n v="0"/>
    <n v="0"/>
    <n v="0"/>
    <n v="0"/>
    <n v="46.4106517921334"/>
  </r>
  <r>
    <x v="1"/>
    <x v="7"/>
    <n v="2020"/>
    <x v="1"/>
    <x v="2"/>
    <x v="0"/>
    <s v="None"/>
    <s v="ALL"/>
    <n v="0"/>
    <n v="0"/>
    <n v="0.29792029210311499"/>
    <n v="0"/>
    <n v="0"/>
    <n v="0"/>
    <n v="0"/>
    <n v="0"/>
    <n v="0"/>
    <n v="0"/>
    <n v="0"/>
    <n v="1.6128260654236899"/>
    <n v="0"/>
    <n v="1.5160565014983201"/>
    <n v="0"/>
    <n v="0"/>
    <n v="0"/>
    <n v="0"/>
    <n v="0.68657146709235395"/>
    <n v="5413.61601802321"/>
    <n v="0"/>
    <n v="0"/>
    <n v="0"/>
    <n v="0"/>
    <n v="0"/>
    <n v="46.4106517921334"/>
  </r>
  <r>
    <x v="1"/>
    <x v="8"/>
    <n v="2020"/>
    <x v="1"/>
    <x v="2"/>
    <x v="0"/>
    <s v="None"/>
    <s v="ALL"/>
    <n v="0"/>
    <n v="0"/>
    <n v="2.3773306487921002"/>
    <n v="0"/>
    <n v="0"/>
    <n v="0"/>
    <n v="0"/>
    <n v="0"/>
    <n v="0"/>
    <n v="0"/>
    <n v="0"/>
    <n v="1.6121381717929399"/>
    <n v="0"/>
    <n v="0"/>
    <n v="0"/>
    <n v="0"/>
    <n v="0"/>
    <n v="0"/>
    <n v="8.6002479856771702E-2"/>
    <n v="678.12955367064501"/>
    <n v="0"/>
    <n v="0"/>
    <n v="0"/>
    <n v="0"/>
    <n v="0"/>
    <n v="46.4106517921334"/>
  </r>
  <r>
    <x v="1"/>
    <x v="9"/>
    <n v="2020"/>
    <x v="1"/>
    <x v="2"/>
    <x v="0"/>
    <s v="None"/>
    <s v="ALL"/>
    <n v="0"/>
    <n v="0"/>
    <n v="7.6432625627684203"/>
    <n v="3.52167468737253"/>
    <n v="0.28787175446124502"/>
    <n v="7.5796400987389297E-3"/>
    <n v="0"/>
    <n v="0"/>
    <n v="0"/>
    <n v="0"/>
    <n v="0.29545139455998398"/>
    <n v="31.8857415592358"/>
    <n v="0"/>
    <n v="0"/>
    <n v="0"/>
    <n v="0"/>
    <n v="0"/>
    <n v="9.2659408284768308E-3"/>
    <n v="0.52907354377006199"/>
    <n v="4171.7448926269399"/>
    <n v="4.7587518883393402E-2"/>
    <n v="0"/>
    <n v="4.7587518883393402E-2"/>
    <n v="1.32187552453867E-5"/>
    <n v="0"/>
    <n v="46.4106517921334"/>
  </r>
  <r>
    <x v="1"/>
    <x v="10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11"/>
    <n v="2020"/>
    <x v="1"/>
    <x v="2"/>
    <x v="0"/>
    <s v="None"/>
    <s v="ALL"/>
    <n v="0"/>
    <n v="0"/>
    <n v="197.18778154822701"/>
    <n v="127.487776966818"/>
    <n v="10.938867455336901"/>
    <n v="2.2001922799112199"/>
    <n v="0"/>
    <n v="0"/>
    <n v="0"/>
    <n v="0"/>
    <n v="13.1390597352481"/>
    <n v="475.85966725340899"/>
    <n v="0"/>
    <n v="0"/>
    <n v="0"/>
    <n v="0"/>
    <n v="0"/>
    <n v="2.76112069154438E-2"/>
    <n v="0.30605339251743702"/>
    <n v="2413.2309999999902"/>
    <n v="17862.214831473801"/>
    <n v="0"/>
    <n v="17862.214831473801"/>
    <n v="4.9617263420759601"/>
    <n v="0"/>
    <n v="46.4106517921334"/>
  </r>
  <r>
    <x v="1"/>
    <x v="12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13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14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15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16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17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18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19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20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21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22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23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24"/>
    <n v="2020"/>
    <x v="1"/>
    <x v="2"/>
    <x v="0"/>
    <s v="None"/>
    <s v="ALL"/>
    <n v="0"/>
    <n v="0"/>
    <n v="145.72177056413901"/>
    <n v="9.6176368572332205"/>
    <n v="0.82522463970972704"/>
    <n v="0"/>
    <n v="0"/>
    <n v="0"/>
    <n v="0"/>
    <n v="34.383574181086999"/>
    <n v="35.208798820796702"/>
    <n v="565.88089636952702"/>
    <n v="0"/>
    <n v="0"/>
    <n v="0"/>
    <n v="0"/>
    <n v="0"/>
    <n v="6.2219451207281902E-2"/>
    <n v="0.492491677338255"/>
    <n v="3883.2968758121401"/>
    <n v="0"/>
    <n v="312123.50330196897"/>
    <n v="312123.50330196897"/>
    <n v="86.700973139434097"/>
    <n v="0"/>
    <n v="46.4106517921334"/>
  </r>
  <r>
    <x v="1"/>
    <x v="25"/>
    <n v="2020"/>
    <x v="1"/>
    <x v="2"/>
    <x v="0"/>
    <s v="None"/>
    <s v="ALL"/>
    <n v="0"/>
    <n v="0"/>
    <n v="23.859721567335399"/>
    <n v="0"/>
    <n v="0"/>
    <n v="0"/>
    <n v="0"/>
    <n v="0"/>
    <n v="0"/>
    <n v="0"/>
    <n v="0"/>
    <n v="14.5000063283673"/>
    <n v="0"/>
    <n v="0"/>
    <n v="0"/>
    <n v="0"/>
    <n v="0"/>
    <n v="0"/>
    <n v="7.7072797497078405E-2"/>
    <n v="607.71900826446301"/>
    <n v="0"/>
    <n v="0"/>
    <n v="0"/>
    <n v="0"/>
    <n v="0"/>
    <n v="46.4106517921334"/>
  </r>
  <r>
    <x v="1"/>
    <x v="26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106517921334"/>
  </r>
  <r>
    <x v="1"/>
    <x v="27"/>
    <n v="2020"/>
    <x v="1"/>
    <x v="2"/>
    <x v="0"/>
    <s v="None"/>
    <s v="ALL"/>
    <n v="0"/>
    <n v="0"/>
    <n v="-1.6100078535321001E-13"/>
    <n v="0"/>
    <n v="0"/>
    <n v="0"/>
    <n v="4.1355840903773201E-18"/>
    <n v="0"/>
    <n v="0"/>
    <n v="0"/>
    <n v="4.1355840903773201E-18"/>
    <n v="1.9829419587727599E-15"/>
    <n v="0"/>
    <n v="7.9317678350910904E-17"/>
    <n v="0"/>
    <n v="0"/>
    <n v="0"/>
    <n v="2.0855800000000001E-3"/>
    <n v="-1.5619974131935799E-3"/>
    <n v="-12.3163496030314"/>
    <n v="0"/>
    <n v="0"/>
    <n v="0"/>
    <n v="0"/>
    <n v="0"/>
    <n v="46.4106517921334"/>
  </r>
  <r>
    <x v="1"/>
    <x v="28"/>
    <n v="2020"/>
    <x v="1"/>
    <x v="2"/>
    <x v="0"/>
    <s v="None"/>
    <s v="ALL"/>
    <n v="0"/>
    <n v="0"/>
    <n v="-6.577612049272E-14"/>
    <n v="0"/>
    <n v="0"/>
    <n v="0"/>
    <n v="0"/>
    <n v="0"/>
    <n v="0"/>
    <n v="0"/>
    <n v="0"/>
    <n v="2.0816038093919399E-15"/>
    <n v="0"/>
    <n v="1.04080190469597E-16"/>
    <n v="0"/>
    <n v="0"/>
    <n v="0"/>
    <n v="0"/>
    <n v="-4.0135448581947496E-3"/>
    <n v="-31.6468012068656"/>
    <n v="0"/>
    <n v="0"/>
    <n v="0"/>
    <n v="0"/>
    <n v="0"/>
    <n v="46.4106517921334"/>
  </r>
  <r>
    <x v="1"/>
    <x v="29"/>
    <n v="2020"/>
    <x v="1"/>
    <x v="2"/>
    <x v="0"/>
    <s v="None"/>
    <s v="ALL"/>
    <n v="0"/>
    <n v="0"/>
    <n v="0"/>
    <n v="0"/>
    <n v="0"/>
    <n v="0"/>
    <n v="0"/>
    <n v="0"/>
    <n v="0"/>
    <n v="0"/>
    <n v="0"/>
    <n v="-1.10429617994331E-14"/>
    <n v="0"/>
    <n v="0"/>
    <n v="0"/>
    <n v="0"/>
    <n v="0"/>
    <n v="0"/>
    <s v="NaN"/>
    <s v="NaN"/>
    <n v="0"/>
    <n v="0"/>
    <n v="0"/>
    <n v="0"/>
    <n v="0"/>
    <n v="46.4106517921334"/>
  </r>
  <r>
    <x v="1"/>
    <x v="33"/>
    <n v="2020"/>
    <x v="2"/>
    <x v="2"/>
    <x v="0"/>
    <s v="None"/>
    <s v="ALL"/>
    <n v="0"/>
    <n v="0"/>
    <n v="18.352627847271599"/>
    <n v="0"/>
    <n v="0"/>
    <n v="0"/>
    <n v="0"/>
    <n v="0"/>
    <n v="0"/>
    <n v="18.0499087688051"/>
    <n v="18.0499087688051"/>
    <n v="144.69793966282199"/>
    <n v="0"/>
    <n v="0"/>
    <n v="0"/>
    <n v="0"/>
    <n v="0"/>
    <n v="0.124741988800015"/>
    <n v="0.99991340700600895"/>
    <n v="7884.31721424238"/>
    <n v="65.346087556049795"/>
    <n v="0"/>
    <n v="65.346087556049795"/>
    <n v="1.8151690987791898E-2"/>
    <n v="0"/>
    <n v="46.019015892304601"/>
  </r>
  <r>
    <x v="1"/>
    <x v="34"/>
    <n v="2020"/>
    <x v="2"/>
    <x v="2"/>
    <x v="0"/>
    <s v="None"/>
    <s v="ALL"/>
    <n v="0"/>
    <n v="0"/>
    <n v="22.9448559332792"/>
    <n v="93.729736487445805"/>
    <n v="8.7804872750066298"/>
    <n v="13.264346719596899"/>
    <n v="0"/>
    <n v="0"/>
    <n v="0"/>
    <n v="0"/>
    <n v="22.044833994603501"/>
    <n v="180.904522613061"/>
    <n v="0"/>
    <n v="59.189427135683403"/>
    <n v="0.619838068160947"/>
    <n v="31.147641616127999"/>
    <n v="112.13150981806"/>
    <n v="0.121858943470171"/>
    <n v="0.99991340700600895"/>
    <n v="7884.31721424238"/>
    <n v="423.89856508202303"/>
    <n v="0"/>
    <n v="423.89856508202303"/>
    <n v="0.117749601411675"/>
    <n v="45.5932417987324"/>
    <n v="46.019015892304601"/>
  </r>
  <r>
    <x v="1"/>
    <x v="1"/>
    <n v="2020"/>
    <x v="2"/>
    <x v="2"/>
    <x v="0"/>
    <s v="None"/>
    <s v="ALL"/>
    <n v="0"/>
    <n v="0"/>
    <n v="51.572904906616202"/>
    <n v="1.3483834767976799"/>
    <n v="0.13733583545248301"/>
    <n v="0"/>
    <n v="7.2458658762518197E-2"/>
    <n v="0"/>
    <n v="0"/>
    <n v="0"/>
    <n v="0.20979449421500099"/>
    <n v="279.81535154535101"/>
    <n v="0"/>
    <n v="1.11926140618128"/>
    <n v="0"/>
    <n v="0"/>
    <n v="0"/>
    <n v="7.4976048689379701E-4"/>
    <n v="0.68809475212678395"/>
    <n v="5425.6271205196899"/>
    <n v="0"/>
    <n v="0"/>
    <n v="0"/>
    <n v="0"/>
    <n v="0"/>
    <n v="46.019015892304601"/>
  </r>
  <r>
    <x v="1"/>
    <x v="2"/>
    <n v="2020"/>
    <x v="2"/>
    <x v="2"/>
    <x v="0"/>
    <s v="None"/>
    <s v="ALL"/>
    <n v="0"/>
    <n v="0"/>
    <n v="3.4553846287432801"/>
    <n v="195.11520383124699"/>
    <n v="18.278154069387099"/>
    <n v="3.9011292458511702"/>
    <n v="0"/>
    <n v="0"/>
    <n v="0"/>
    <n v="0"/>
    <n v="22.179283315238301"/>
    <n v="18.747628553535598"/>
    <n v="0"/>
    <n v="965.50287050709505"/>
    <n v="0"/>
    <n v="0"/>
    <n v="0"/>
    <n v="1.18304473826666"/>
    <n v="0.68809475212678395"/>
    <n v="5425.6271205196899"/>
    <n v="398.80162725697699"/>
    <n v="0"/>
    <n v="398.80162725697699"/>
    <n v="0.11077822979360601"/>
    <n v="0"/>
    <n v="46.019015892304601"/>
  </r>
  <r>
    <x v="1"/>
    <x v="35"/>
    <n v="2020"/>
    <x v="2"/>
    <x v="2"/>
    <x v="0"/>
    <s v="None"/>
    <s v="ALL"/>
    <n v="0"/>
    <n v="0"/>
    <n v="2.37753652679827"/>
    <n v="0"/>
    <n v="0"/>
    <n v="0"/>
    <n v="0"/>
    <n v="0"/>
    <n v="0"/>
    <n v="0"/>
    <n v="0"/>
    <n v="18.745252165729699"/>
    <n v="0"/>
    <n v="0"/>
    <n v="0"/>
    <n v="0"/>
    <n v="0"/>
    <n v="0"/>
    <n v="0.99991340700600895"/>
    <n v="7884.31721424238"/>
    <n v="0"/>
    <n v="0"/>
    <n v="0"/>
    <n v="0"/>
    <n v="0"/>
    <n v="46.019015892304601"/>
  </r>
  <r>
    <x v="1"/>
    <x v="4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5"/>
    <n v="2020"/>
    <x v="2"/>
    <x v="2"/>
    <x v="0"/>
    <s v="None"/>
    <s v="ALL"/>
    <n v="0"/>
    <n v="0"/>
    <n v="37.725516772296103"/>
    <n v="0"/>
    <n v="0"/>
    <n v="0"/>
    <n v="0"/>
    <n v="0"/>
    <n v="0"/>
    <n v="0"/>
    <n v="0"/>
    <n v="237.37520121020299"/>
    <n v="0"/>
    <n v="0"/>
    <n v="0"/>
    <n v="0"/>
    <n v="0"/>
    <n v="0"/>
    <n v="0.797991840437553"/>
    <n v="6292.1656618501102"/>
    <n v="0"/>
    <n v="0"/>
    <n v="0"/>
    <n v="0"/>
    <n v="0"/>
    <n v="46.019015892304601"/>
  </r>
  <r>
    <x v="1"/>
    <x v="6"/>
    <n v="2020"/>
    <x v="2"/>
    <x v="2"/>
    <x v="0"/>
    <s v="None"/>
    <s v="ALL"/>
    <n v="0"/>
    <n v="0"/>
    <n v="26.813784719047899"/>
    <n v="0"/>
    <n v="0"/>
    <n v="0"/>
    <n v="0"/>
    <n v="0"/>
    <n v="0"/>
    <n v="0"/>
    <n v="0"/>
    <n v="145.48159757545"/>
    <n v="0"/>
    <n v="0"/>
    <n v="0"/>
    <n v="0"/>
    <n v="0"/>
    <n v="0"/>
    <n v="0.68809475212678395"/>
    <n v="5425.6271205196899"/>
    <n v="0"/>
    <n v="0"/>
    <n v="0"/>
    <n v="0"/>
    <n v="0"/>
    <n v="46.019015892304601"/>
  </r>
  <r>
    <x v="1"/>
    <x v="7"/>
    <n v="2020"/>
    <x v="2"/>
    <x v="2"/>
    <x v="0"/>
    <s v="None"/>
    <s v="ALL"/>
    <n v="0"/>
    <n v="0"/>
    <n v="5.87000799658587"/>
    <n v="0"/>
    <n v="0"/>
    <n v="0"/>
    <n v="0"/>
    <n v="0"/>
    <n v="0"/>
    <n v="0"/>
    <n v="0"/>
    <n v="5.1000622839176701"/>
    <n v="0"/>
    <n v="4.7940585468825097"/>
    <n v="0"/>
    <n v="0"/>
    <n v="0"/>
    <n v="0"/>
    <n v="0.110188200186291"/>
    <n v="868.83395846890505"/>
    <n v="0"/>
    <n v="0"/>
    <n v="0"/>
    <n v="0"/>
    <n v="0"/>
    <n v="46.019015892304601"/>
  </r>
  <r>
    <x v="1"/>
    <x v="8"/>
    <n v="2020"/>
    <x v="2"/>
    <x v="2"/>
    <x v="0"/>
    <s v="None"/>
    <s v="ALL"/>
    <n v="0"/>
    <n v="0"/>
    <n v="4.7921598946408599"/>
    <n v="0"/>
    <n v="0"/>
    <n v="0"/>
    <n v="0"/>
    <n v="0"/>
    <n v="0"/>
    <n v="0"/>
    <n v="0"/>
    <n v="5.0976858961069498"/>
    <n v="0"/>
    <n v="0"/>
    <n v="0"/>
    <n v="0"/>
    <n v="0"/>
    <n v="0"/>
    <n v="0.134908736271553"/>
    <n v="1063.7553855011899"/>
    <n v="0"/>
    <n v="0"/>
    <n v="0"/>
    <n v="0"/>
    <n v="0"/>
    <n v="46.019015892304601"/>
  </r>
  <r>
    <x v="1"/>
    <x v="9"/>
    <n v="2020"/>
    <x v="2"/>
    <x v="2"/>
    <x v="0"/>
    <s v="None"/>
    <s v="ALL"/>
    <n v="0"/>
    <n v="0"/>
    <n v="26.404309009346701"/>
    <n v="12.165928608646199"/>
    <n v="0.99447777666091097"/>
    <n v="2.6184519726121801E-2"/>
    <n v="0"/>
    <n v="0"/>
    <n v="0"/>
    <n v="0"/>
    <n v="1.02066229638703"/>
    <n v="115.183217333271"/>
    <n v="0"/>
    <n v="0"/>
    <n v="0"/>
    <n v="0"/>
    <n v="0"/>
    <n v="8.8612066932793002E-3"/>
    <n v="0.55323888948489197"/>
    <n v="4362.2886435883702"/>
    <n v="0.16439518376693399"/>
    <n v="0"/>
    <n v="0.16439518376693399"/>
    <n v="4.5665328824149303E-5"/>
    <n v="0"/>
    <n v="46.019015892304601"/>
  </r>
  <r>
    <x v="1"/>
    <x v="10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11"/>
    <n v="2020"/>
    <x v="2"/>
    <x v="2"/>
    <x v="0"/>
    <s v="None"/>
    <s v="ALL"/>
    <n v="0"/>
    <n v="0"/>
    <n v="266.21614509227902"/>
    <n v="172.116671043282"/>
    <n v="14.7681722608302"/>
    <n v="2.9704006131663201"/>
    <n v="0"/>
    <n v="0"/>
    <n v="0"/>
    <n v="0"/>
    <n v="17.7385728739965"/>
    <n v="535.09631514849798"/>
    <n v="0"/>
    <n v="0"/>
    <n v="0"/>
    <n v="0"/>
    <n v="0"/>
    <n v="3.3150242997045901E-2"/>
    <n v="0.25491528218135701"/>
    <n v="2010.0070000000001"/>
    <n v="24115.135014499399"/>
    <n v="0"/>
    <n v="24115.135014499399"/>
    <n v="6.69864861513887"/>
    <n v="0"/>
    <n v="46.019015892304601"/>
  </r>
  <r>
    <x v="1"/>
    <x v="12"/>
    <n v="2020"/>
    <x v="2"/>
    <x v="2"/>
    <x v="0"/>
    <s v="None"/>
    <s v="ALL"/>
    <n v="0"/>
    <n v="0"/>
    <n v="6.8947025611566604"/>
    <n v="12.1255806909219"/>
    <n v="1.1088612695960101"/>
    <n v="0.10065617637247901"/>
    <n v="3.00335729685988E-2"/>
    <n v="0"/>
    <n v="0"/>
    <n v="0"/>
    <n v="1.23955101893709"/>
    <n v="19.200780578127802"/>
    <n v="0"/>
    <n v="0"/>
    <n v="0"/>
    <n v="0"/>
    <n v="0"/>
    <n v="6.4557324317799106E-2"/>
    <n v="0.353184512936013"/>
    <n v="2784.8598845004599"/>
    <n v="380.05132673220203"/>
    <n v="0"/>
    <n v="380.05132673220203"/>
    <n v="0.10556981298116901"/>
    <n v="0"/>
    <n v="46.019015892304601"/>
  </r>
  <r>
    <x v="1"/>
    <x v="13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14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15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16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17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18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19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20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21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22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23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019015892304601"/>
  </r>
  <r>
    <x v="1"/>
    <x v="24"/>
    <n v="2020"/>
    <x v="2"/>
    <x v="2"/>
    <x v="0"/>
    <s v="None"/>
    <s v="ALL"/>
    <n v="0"/>
    <n v="0"/>
    <n v="185.770454672949"/>
    <n v="12.2608500084146"/>
    <n v="1.0520209570108101"/>
    <n v="0"/>
    <n v="0"/>
    <n v="0"/>
    <n v="0"/>
    <n v="28.3568844353989"/>
    <n v="29.4089053924097"/>
    <n v="497.16018442426798"/>
    <n v="0"/>
    <n v="0"/>
    <n v="0"/>
    <n v="0"/>
    <n v="0"/>
    <n v="5.91537824503513E-2"/>
    <n v="0.33940481465896499"/>
    <n v="2676.2069635859398"/>
    <n v="0"/>
    <n v="138389.46816715799"/>
    <n v="138389.46816715799"/>
    <n v="38.441518935322499"/>
    <n v="0"/>
    <n v="46.019015892304601"/>
  </r>
  <r>
    <x v="1"/>
    <x v="25"/>
    <n v="2020"/>
    <x v="2"/>
    <x v="2"/>
    <x v="0"/>
    <s v="None"/>
    <s v="ALL"/>
    <n v="0"/>
    <n v="0"/>
    <n v="131.51410163265101"/>
    <n v="0"/>
    <n v="0"/>
    <n v="0"/>
    <n v="0"/>
    <n v="0"/>
    <n v="0"/>
    <n v="0"/>
    <n v="0"/>
    <n v="20.876013355102199"/>
    <n v="0"/>
    <n v="0"/>
    <n v="0"/>
    <n v="0"/>
    <n v="0"/>
    <n v="0"/>
    <n v="2.0131379955023999E-2"/>
    <n v="158.735930945364"/>
    <n v="0"/>
    <n v="0"/>
    <n v="0"/>
    <n v="0"/>
    <n v="0"/>
    <n v="46.019015892304601"/>
  </r>
  <r>
    <x v="1"/>
    <x v="26"/>
    <n v="2020"/>
    <x v="2"/>
    <x v="2"/>
    <x v="0"/>
    <s v="None"/>
    <s v="ALL"/>
    <n v="0"/>
    <n v="0"/>
    <n v="4.7246476240815802"/>
    <n v="1.6205541350599799"/>
    <n v="0.14584987215539799"/>
    <n v="4.1576899091917897E-2"/>
    <n v="4.0419525235808098E-4"/>
    <n v="0"/>
    <n v="0"/>
    <n v="2.0209762617904001E-2"/>
    <n v="0.20804072911757801"/>
    <n v="6.7365875393013502E-2"/>
    <n v="0"/>
    <n v="0"/>
    <n v="0"/>
    <n v="0"/>
    <n v="0"/>
    <n v="3.08822126787287"/>
    <n v="1.80829314804558E-3"/>
    <n v="14.258391472339399"/>
    <n v="311.82674318938399"/>
    <n v="49.817064853133502"/>
    <n v="361.643808042518"/>
    <n v="0.100456613345145"/>
    <n v="0"/>
    <n v="46.019015892304601"/>
  </r>
  <r>
    <x v="1"/>
    <x v="27"/>
    <n v="2020"/>
    <x v="2"/>
    <x v="2"/>
    <x v="0"/>
    <s v="None"/>
    <s v="ALL"/>
    <n v="0"/>
    <n v="0"/>
    <n v="0.73846746493368798"/>
    <n v="0"/>
    <n v="0"/>
    <n v="0"/>
    <n v="9.9354172780074797E-4"/>
    <n v="0"/>
    <n v="0"/>
    <n v="0"/>
    <n v="9.9354172780074797E-4"/>
    <n v="0.47638629436451402"/>
    <n v="0"/>
    <n v="1.9055451774580599E-2"/>
    <n v="0"/>
    <n v="0"/>
    <n v="0"/>
    <n v="2.0855800000000001E-3"/>
    <n v="8.1813730256128703E-2"/>
    <n v="645.101263069575"/>
    <n v="0"/>
    <n v="0"/>
    <n v="0"/>
    <n v="0"/>
    <n v="0"/>
    <n v="46.019015892304601"/>
  </r>
  <r>
    <x v="1"/>
    <x v="28"/>
    <n v="2020"/>
    <x v="2"/>
    <x v="2"/>
    <x v="0"/>
    <s v="None"/>
    <s v="ALL"/>
    <n v="0"/>
    <n v="0"/>
    <n v="0.73846746493368798"/>
    <n v="0"/>
    <n v="0"/>
    <n v="0"/>
    <n v="0"/>
    <n v="0"/>
    <n v="0"/>
    <n v="0"/>
    <n v="0"/>
    <n v="0.47623860087152797"/>
    <n v="0"/>
    <n v="2.3811930043576499E-2"/>
    <n v="0"/>
    <n v="0"/>
    <n v="0"/>
    <n v="0"/>
    <n v="8.1788365639768504E-2"/>
    <n v="644.90126306957404"/>
    <n v="0"/>
    <n v="0"/>
    <n v="0"/>
    <n v="0"/>
    <n v="0"/>
    <n v="46.019015892304601"/>
  </r>
  <r>
    <x v="1"/>
    <x v="29"/>
    <n v="2020"/>
    <x v="2"/>
    <x v="2"/>
    <x v="0"/>
    <s v="None"/>
    <s v="ALL"/>
    <n v="0"/>
    <n v="0"/>
    <n v="0.73846746493368798"/>
    <n v="0.26719948667736598"/>
    <n v="2.7214857914501699E-2"/>
    <n v="3.74853469874989E-3"/>
    <n v="0"/>
    <n v="0"/>
    <n v="0"/>
    <n v="0"/>
    <n v="3.0963392613251602E-2"/>
    <n v="3.31998226498715"/>
    <n v="0"/>
    <n v="0"/>
    <n v="0"/>
    <n v="0"/>
    <n v="0"/>
    <n v="9.3263728965646692E-3"/>
    <n v="0.57016781695015095"/>
    <n v="4495.7732366519404"/>
    <n v="1.1614839222051301"/>
    <n v="0"/>
    <n v="1.1614839222051301"/>
    <n v="3.2263442283476598E-4"/>
    <n v="0"/>
    <n v="46.019015892304601"/>
  </r>
  <r>
    <x v="0"/>
    <x v="0"/>
    <n v="2020"/>
    <x v="1"/>
    <x v="0"/>
    <x v="0"/>
    <s v="None"/>
    <s v="ALL"/>
    <n v="0"/>
    <n v="0"/>
    <n v="25.561333405974"/>
    <n v="107.153109637843"/>
    <n v="10.0379724824948"/>
    <n v="11.144741365004601"/>
    <n v="0"/>
    <n v="0"/>
    <n v="0"/>
    <n v="0"/>
    <n v="21.1827138474995"/>
    <n v="193.54838709675801"/>
    <n v="0"/>
    <n v="73.548387096769403"/>
    <n v="0.75704246512080098"/>
    <n v="40.701207802193601"/>
    <n v="146.52434808789701"/>
    <n v="0.109444021545423"/>
    <n v="0.96029430622219103"/>
    <n v="7571.9206045619703"/>
    <n v="580.60060866532103"/>
    <n v="0"/>
    <n v="580.60060866532103"/>
    <n v="0.16127794685149099"/>
    <n v="177.68389814225401"/>
    <n v="46.351636309830504"/>
  </r>
  <r>
    <x v="0"/>
    <x v="1"/>
    <n v="2020"/>
    <x v="1"/>
    <x v="0"/>
    <x v="0"/>
    <s v="None"/>
    <s v="ALL"/>
    <n v="0"/>
    <n v="0"/>
    <n v="75.867895348633496"/>
    <n v="1.9835806552442099"/>
    <n v="0.20203207111549501"/>
    <n v="0"/>
    <n v="0.14138460351976601"/>
    <n v="0"/>
    <n v="0"/>
    <n v="0"/>
    <n v="0.34341667463526099"/>
    <n v="545.988336144134"/>
    <n v="0"/>
    <n v="2.1839533445766901"/>
    <n v="0"/>
    <n v="0"/>
    <n v="0"/>
    <n v="6.2898170510478297E-4"/>
    <n v="0.91269071191375295"/>
    <n v="7196.5662634399396"/>
    <n v="0"/>
    <n v="0"/>
    <n v="0"/>
    <n v="0"/>
    <n v="0"/>
    <n v="46.351636309830504"/>
  </r>
  <r>
    <x v="0"/>
    <x v="2"/>
    <n v="2020"/>
    <x v="1"/>
    <x v="0"/>
    <x v="0"/>
    <s v="None"/>
    <s v="ALL"/>
    <n v="0"/>
    <n v="0"/>
    <n v="5.08314898835844"/>
    <n v="287.03017392563601"/>
    <n v="26.888636244427602"/>
    <n v="5.7388752078566796"/>
    <n v="0"/>
    <n v="0"/>
    <n v="0"/>
    <n v="0"/>
    <n v="32.627511452284303"/>
    <n v="36.581218521660603"/>
    <n v="0"/>
    <n v="1883.9327538653799"/>
    <n v="0"/>
    <n v="0"/>
    <n v="0"/>
    <n v="0.89191975474968899"/>
    <n v="0.91269071191375295"/>
    <n v="7196.5662634399396"/>
    <n v="586.66930195967097"/>
    <n v="0"/>
    <n v="586.66930195967097"/>
    <n v="0.162963694988811"/>
    <n v="0"/>
    <n v="46.351636309830504"/>
  </r>
  <r>
    <x v="0"/>
    <x v="3"/>
    <n v="2020"/>
    <x v="1"/>
    <x v="0"/>
    <x v="0"/>
    <s v="None"/>
    <s v="ALL"/>
    <n v="0"/>
    <n v="0"/>
    <n v="4.8310920137290898"/>
    <n v="0"/>
    <n v="0"/>
    <n v="0"/>
    <n v="0"/>
    <n v="0"/>
    <n v="0"/>
    <n v="0"/>
    <n v="0"/>
    <n v="36.580645161288302"/>
    <n v="0"/>
    <n v="0"/>
    <n v="0"/>
    <n v="0"/>
    <n v="0"/>
    <n v="0"/>
    <n v="0.96029430622219103"/>
    <n v="7571.9206045619703"/>
    <n v="0"/>
    <n v="0"/>
    <n v="0"/>
    <n v="0"/>
    <n v="0"/>
    <n v="46.351636309830504"/>
  </r>
  <r>
    <x v="0"/>
    <x v="4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5"/>
    <n v="2020"/>
    <x v="1"/>
    <x v="0"/>
    <x v="0"/>
    <s v="None"/>
    <s v="ALL"/>
    <n v="0"/>
    <n v="0"/>
    <n v="35.937863347694197"/>
    <n v="0"/>
    <n v="0"/>
    <n v="0"/>
    <n v="0"/>
    <n v="0"/>
    <n v="0"/>
    <n v="0"/>
    <n v="0"/>
    <n v="258.62921494809098"/>
    <n v="0"/>
    <n v="0"/>
    <n v="0"/>
    <n v="0"/>
    <n v="0"/>
    <n v="0"/>
    <n v="0.91269071191375295"/>
    <n v="7196.5662634399396"/>
    <n v="0"/>
    <n v="0"/>
    <n v="0"/>
    <n v="0"/>
    <n v="0"/>
    <n v="46.351636309830504"/>
  </r>
  <r>
    <x v="0"/>
    <x v="6"/>
    <n v="2020"/>
    <x v="1"/>
    <x v="0"/>
    <x v="0"/>
    <s v="None"/>
    <s v="ALL"/>
    <n v="0"/>
    <n v="0"/>
    <n v="39.445236149661497"/>
    <n v="0"/>
    <n v="0"/>
    <n v="0"/>
    <n v="0"/>
    <n v="0"/>
    <n v="0"/>
    <n v="0"/>
    <n v="0"/>
    <n v="283.870255728107"/>
    <n v="0"/>
    <n v="0"/>
    <n v="0"/>
    <n v="0"/>
    <n v="0"/>
    <n v="0"/>
    <n v="0.91269071191375295"/>
    <n v="7196.5662634399396"/>
    <n v="0"/>
    <n v="0"/>
    <n v="0"/>
    <n v="0"/>
    <n v="0"/>
    <n v="46.351636309830504"/>
  </r>
  <r>
    <x v="0"/>
    <x v="7"/>
    <n v="2020"/>
    <x v="1"/>
    <x v="0"/>
    <x v="0"/>
    <s v="None"/>
    <s v="ALL"/>
    <n v="0"/>
    <n v="0"/>
    <n v="3.1507121828667999"/>
    <n v="0"/>
    <n v="0"/>
    <n v="0"/>
    <n v="0"/>
    <n v="0"/>
    <n v="0"/>
    <n v="0"/>
    <n v="0"/>
    <n v="1.4879711742236399"/>
    <n v="0"/>
    <n v="1.39869290376999"/>
    <n v="0"/>
    <n v="0"/>
    <n v="0"/>
    <n v="0"/>
    <n v="5.9894106155449302E-2"/>
    <n v="472.26502703571703"/>
    <n v="0"/>
    <n v="0"/>
    <n v="0"/>
    <n v="0"/>
    <n v="0"/>
    <n v="46.351636309830504"/>
  </r>
  <r>
    <x v="0"/>
    <x v="8"/>
    <n v="2020"/>
    <x v="1"/>
    <x v="0"/>
    <x v="0"/>
    <s v="None"/>
    <s v="ALL"/>
    <n v="0"/>
    <n v="0"/>
    <n v="4.8310920137290898"/>
    <n v="0"/>
    <n v="0"/>
    <n v="0"/>
    <n v="0"/>
    <n v="0"/>
    <n v="0"/>
    <n v="0"/>
    <n v="0"/>
    <n v="1.4873978138525901"/>
    <n v="0"/>
    <n v="0"/>
    <n v="0"/>
    <n v="0"/>
    <n v="0"/>
    <n v="0"/>
    <n v="3.9046322049056101E-2"/>
    <n v="307.88024935680698"/>
    <n v="0"/>
    <n v="0"/>
    <n v="0"/>
    <n v="0"/>
    <n v="0"/>
    <n v="46.351636309830504"/>
  </r>
  <r>
    <x v="0"/>
    <x v="9"/>
    <n v="2020"/>
    <x v="1"/>
    <x v="0"/>
    <x v="0"/>
    <s v="None"/>
    <s v="ALL"/>
    <n v="0"/>
    <n v="0"/>
    <n v="6.3706707873350696"/>
    <n v="2.9353211235511201"/>
    <n v="0.23994153826123299"/>
    <n v="6.3176413683294604E-3"/>
    <n v="0"/>
    <n v="0"/>
    <n v="0"/>
    <n v="0"/>
    <n v="0.24625917962956201"/>
    <n v="27.3339648276913"/>
    <n v="0"/>
    <n v="0"/>
    <n v="0"/>
    <n v="0"/>
    <n v="0"/>
    <n v="9.0092740362379999E-3"/>
    <n v="0.54414641299258104"/>
    <n v="4290.5944664464996"/>
    <n v="3.9664268223487897E-2"/>
    <n v="0"/>
    <n v="3.9664268223487897E-2"/>
    <n v="1.1017852284303101E-5"/>
    <n v="0"/>
    <n v="46.351636309830504"/>
  </r>
  <r>
    <x v="0"/>
    <x v="10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11"/>
    <n v="2020"/>
    <x v="1"/>
    <x v="0"/>
    <x v="0"/>
    <s v="None"/>
    <s v="ALL"/>
    <n v="0"/>
    <n v="0"/>
    <n v="367.61606044902197"/>
    <n v="237.67473803889399"/>
    <n v="20.3932684273415"/>
    <n v="4.1018059629293004"/>
    <n v="0"/>
    <n v="0"/>
    <n v="0"/>
    <n v="0"/>
    <n v="24.495074390270801"/>
    <n v="887.14247317345598"/>
    <n v="0"/>
    <n v="0"/>
    <n v="0"/>
    <n v="0"/>
    <n v="0"/>
    <n v="2.7611206915443699E-2"/>
    <n v="0.30605339251743702"/>
    <n v="2413.2309999999902"/>
    <n v="33300.425592721302"/>
    <n v="0"/>
    <n v="33300.425592721302"/>
    <n v="9.2501182202011396"/>
    <n v="0"/>
    <n v="46.351636309830504"/>
  </r>
  <r>
    <x v="0"/>
    <x v="12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13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14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15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16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17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18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19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20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21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22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23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24"/>
    <n v="2020"/>
    <x v="1"/>
    <x v="0"/>
    <x v="0"/>
    <s v="None"/>
    <s v="ALL"/>
    <n v="0"/>
    <n v="0"/>
    <n v="272.03588473227597"/>
    <n v="17.954368392330199"/>
    <n v="1.5405434211870099"/>
    <n v="0"/>
    <n v="0"/>
    <n v="0"/>
    <n v="0"/>
    <n v="66.088829122345402"/>
    <n v="67.629372543532497"/>
    <n v="1100.3698191221399"/>
    <n v="0"/>
    <n v="0"/>
    <n v="0"/>
    <n v="0"/>
    <n v="0"/>
    <n v="6.1460584767297502E-2"/>
    <n v="0.51299221688750796"/>
    <n v="4044.9436301579999"/>
    <n v="0"/>
    <n v="605194.29814444797"/>
    <n v="605194.29814444797"/>
    <n v="168.10952726235999"/>
    <n v="0"/>
    <n v="46.351636309830504"/>
  </r>
  <r>
    <x v="0"/>
    <x v="25"/>
    <n v="2020"/>
    <x v="1"/>
    <x v="0"/>
    <x v="0"/>
    <s v="None"/>
    <s v="ALL"/>
    <n v="0"/>
    <n v="0"/>
    <n v="44.1139272538828"/>
    <n v="0"/>
    <n v="0"/>
    <n v="0"/>
    <n v="0"/>
    <n v="0"/>
    <n v="0"/>
    <n v="0"/>
    <n v="0"/>
    <n v="26.448505085065602"/>
    <n v="0"/>
    <n v="0"/>
    <n v="0"/>
    <n v="0"/>
    <n v="0"/>
    <n v="0"/>
    <n v="7.6036778693722704E-2"/>
    <n v="599.55000000000302"/>
    <n v="0"/>
    <n v="0"/>
    <n v="0"/>
    <n v="0"/>
    <n v="0"/>
    <n v="46.351636309830504"/>
  </r>
  <r>
    <x v="0"/>
    <x v="26"/>
    <n v="2020"/>
    <x v="1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351636309830504"/>
  </r>
  <r>
    <x v="0"/>
    <x v="27"/>
    <n v="2020"/>
    <x v="1"/>
    <x v="0"/>
    <x v="0"/>
    <s v="None"/>
    <s v="ALL"/>
    <n v="0"/>
    <n v="0"/>
    <n v="1.87690985560613E-12"/>
    <n v="0"/>
    <n v="0"/>
    <n v="0"/>
    <n v="1.13304902011367E-17"/>
    <n v="0"/>
    <n v="0"/>
    <n v="0"/>
    <n v="1.13304902011367E-17"/>
    <n v="5.4327765902706997E-15"/>
    <n v="0"/>
    <n v="2.1731106361082899E-16"/>
    <n v="0"/>
    <n v="0"/>
    <n v="0"/>
    <n v="2.0855799999999901E-3"/>
    <n v="3.6709353294505601E-4"/>
    <n v="2.8945325072717698"/>
    <n v="0"/>
    <n v="0"/>
    <n v="0"/>
    <n v="0"/>
    <n v="0"/>
    <n v="46.351636309830504"/>
  </r>
  <r>
    <x v="0"/>
    <x v="28"/>
    <n v="2020"/>
    <x v="1"/>
    <x v="0"/>
    <x v="0"/>
    <s v="None"/>
    <s v="ALL"/>
    <n v="0"/>
    <n v="0"/>
    <n v="3.1497237566662399E-13"/>
    <n v="0"/>
    <n v="0"/>
    <n v="0"/>
    <n v="0"/>
    <n v="0"/>
    <n v="0"/>
    <n v="0"/>
    <n v="0"/>
    <n v="5.4327765902707502E-15"/>
    <n v="0"/>
    <n v="2.71638829513535E-16"/>
    <n v="0"/>
    <n v="0"/>
    <n v="0"/>
    <n v="0"/>
    <n v="2.1874980891756399E-3"/>
    <n v="17.248422433149901"/>
    <n v="0"/>
    <n v="0"/>
    <n v="0"/>
    <n v="0"/>
    <n v="0"/>
    <n v="46.351636309830504"/>
  </r>
  <r>
    <x v="0"/>
    <x v="29"/>
    <n v="2020"/>
    <x v="1"/>
    <x v="0"/>
    <x v="0"/>
    <s v="None"/>
    <s v="ALL"/>
    <n v="0"/>
    <n v="0"/>
    <n v="0"/>
    <n v="0"/>
    <n v="0"/>
    <n v="0"/>
    <n v="0"/>
    <n v="0"/>
    <n v="0"/>
    <n v="0"/>
    <n v="0"/>
    <n v="9.0769061088814996E-14"/>
    <n v="0"/>
    <n v="0"/>
    <n v="0"/>
    <n v="0"/>
    <n v="0"/>
    <n v="0"/>
    <s v="NaN"/>
    <s v="NaN"/>
    <n v="0"/>
    <n v="0"/>
    <n v="0"/>
    <n v="0"/>
    <n v="0"/>
    <n v="46.351636309830504"/>
  </r>
  <r>
    <x v="0"/>
    <x v="0"/>
    <n v="2020"/>
    <x v="2"/>
    <x v="0"/>
    <x v="0"/>
    <s v="None"/>
    <s v="ALL"/>
    <n v="0"/>
    <n v="0"/>
    <n v="27.041917045059002"/>
    <n v="113.359716252887"/>
    <n v="10.619399812248"/>
    <n v="11.790275831645699"/>
    <n v="0"/>
    <n v="0"/>
    <n v="0"/>
    <n v="0"/>
    <n v="22.409675643893699"/>
    <n v="193.54838709676099"/>
    <n v="0"/>
    <n v="73.548387096778896"/>
    <n v="0.80695952670070903"/>
    <n v="43.384920790360702"/>
    <n v="156.18571484529801"/>
    <n v="0.115783324160125"/>
    <n v="0.90771681934765702"/>
    <n v="7157.3471205562701"/>
    <n v="614.23061334386296"/>
    <n v="0"/>
    <n v="614.23061334386296"/>
    <n v="0.17061961481775101"/>
    <n v="87.572647274155301"/>
    <n v="44.668984235026301"/>
  </r>
  <r>
    <x v="0"/>
    <x v="1"/>
    <n v="2020"/>
    <x v="2"/>
    <x v="0"/>
    <x v="0"/>
    <s v="None"/>
    <s v="ALL"/>
    <n v="0"/>
    <n v="0"/>
    <n v="99.027476770011404"/>
    <n v="2.5890923473755998"/>
    <n v="0.26370477442731999"/>
    <n v="0"/>
    <n v="0.14139263674133401"/>
    <n v="0"/>
    <n v="0"/>
    <n v="0"/>
    <n v="0.405097411168655"/>
    <n v="546.01935822970802"/>
    <n v="0"/>
    <n v="2.1840774329188899"/>
    <n v="0"/>
    <n v="0"/>
    <n v="0"/>
    <n v="7.4191034633287203E-4"/>
    <n v="0.69927923029350603"/>
    <n v="5513.8167308642896"/>
    <n v="0"/>
    <n v="0"/>
    <n v="0"/>
    <n v="0"/>
    <n v="0"/>
    <n v="44.668984235026301"/>
  </r>
  <r>
    <x v="0"/>
    <x v="2"/>
    <n v="2020"/>
    <x v="2"/>
    <x v="0"/>
    <x v="0"/>
    <s v="None"/>
    <s v="ALL"/>
    <n v="0"/>
    <n v="0"/>
    <n v="6.6348409435907598"/>
    <n v="374.649563561739"/>
    <n v="35.0967136868164"/>
    <n v="7.4907354253139697"/>
    <n v="0"/>
    <n v="0"/>
    <n v="0"/>
    <n v="0"/>
    <n v="42.5874491121304"/>
    <n v="36.5832970013929"/>
    <n v="0"/>
    <n v="1884.0397955718399"/>
    <n v="0"/>
    <n v="0"/>
    <n v="0"/>
    <n v="1.1641227719445"/>
    <n v="0.69927923029350603"/>
    <n v="5513.8167308642896"/>
    <n v="765.75711510806502"/>
    <n v="0"/>
    <n v="765.75711510806502"/>
    <n v="0.212710309752254"/>
    <n v="0"/>
    <n v="44.668984235026301"/>
  </r>
  <r>
    <x v="0"/>
    <x v="3"/>
    <n v="2020"/>
    <x v="2"/>
    <x v="0"/>
    <x v="0"/>
    <s v="None"/>
    <s v="ALL"/>
    <n v="0"/>
    <n v="0"/>
    <n v="5.1109223215161599"/>
    <n v="0"/>
    <n v="0"/>
    <n v="0"/>
    <n v="0"/>
    <n v="0"/>
    <n v="0"/>
    <n v="0"/>
    <n v="0"/>
    <n v="36.580645161292502"/>
    <n v="0"/>
    <n v="0"/>
    <n v="0"/>
    <n v="0"/>
    <n v="0"/>
    <n v="0"/>
    <n v="0.90771681934765702"/>
    <n v="7157.3471205562701"/>
    <n v="0"/>
    <n v="0"/>
    <n v="0"/>
    <n v="0"/>
    <n v="0"/>
    <n v="44.668984235026301"/>
  </r>
  <r>
    <x v="0"/>
    <x v="4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5"/>
    <n v="2020"/>
    <x v="2"/>
    <x v="0"/>
    <x v="0"/>
    <s v="None"/>
    <s v="ALL"/>
    <n v="0"/>
    <n v="0"/>
    <n v="46.9083254711867"/>
    <n v="0"/>
    <n v="0"/>
    <n v="0"/>
    <n v="0"/>
    <n v="0"/>
    <n v="0"/>
    <n v="0"/>
    <n v="0"/>
    <n v="258.64390979987502"/>
    <n v="0"/>
    <n v="0"/>
    <n v="0"/>
    <n v="0"/>
    <n v="0"/>
    <n v="0"/>
    <n v="0.69927923029350603"/>
    <n v="5513.8167308642896"/>
    <n v="0"/>
    <n v="0"/>
    <n v="0"/>
    <n v="0"/>
    <n v="0"/>
    <n v="44.668984235026301"/>
  </r>
  <r>
    <x v="0"/>
    <x v="6"/>
    <n v="2020"/>
    <x v="2"/>
    <x v="0"/>
    <x v="0"/>
    <s v="None"/>
    <s v="ALL"/>
    <n v="0"/>
    <n v="0"/>
    <n v="51.486365722264303"/>
    <n v="0"/>
    <n v="0"/>
    <n v="0"/>
    <n v="0"/>
    <n v="0"/>
    <n v="0"/>
    <n v="0"/>
    <n v="0"/>
    <n v="283.88638473082398"/>
    <n v="0"/>
    <n v="0"/>
    <n v="0"/>
    <n v="0"/>
    <n v="0"/>
    <n v="0"/>
    <n v="0.69927923029350603"/>
    <n v="5513.8167308642896"/>
    <n v="0"/>
    <n v="0"/>
    <n v="0"/>
    <n v="0"/>
    <n v="0"/>
    <n v="44.668984235026301"/>
  </r>
  <r>
    <x v="0"/>
    <x v="7"/>
    <n v="2020"/>
    <x v="2"/>
    <x v="0"/>
    <x v="0"/>
    <s v="None"/>
    <s v="ALL"/>
    <n v="0"/>
    <n v="0"/>
    <n v="10.526141844108"/>
    <n v="0"/>
    <n v="0"/>
    <n v="0"/>
    <n v="0"/>
    <n v="0"/>
    <n v="0"/>
    <n v="0"/>
    <n v="0"/>
    <n v="7.4477645756194004"/>
    <n v="0"/>
    <n v="7.0008987010817698"/>
    <n v="0"/>
    <n v="0"/>
    <n v="0"/>
    <n v="0"/>
    <n v="8.9733586151150305E-2"/>
    <n v="707.54932680182003"/>
    <n v="0"/>
    <n v="0"/>
    <n v="0"/>
    <n v="0"/>
    <n v="0"/>
    <n v="44.668984235026301"/>
  </r>
  <r>
    <x v="0"/>
    <x v="8"/>
    <n v="2020"/>
    <x v="2"/>
    <x v="0"/>
    <x v="0"/>
    <s v="None"/>
    <s v="ALL"/>
    <n v="0"/>
    <n v="0"/>
    <n v="9.0022232220334093"/>
    <n v="0"/>
    <n v="0"/>
    <n v="0"/>
    <n v="0"/>
    <n v="0"/>
    <n v="0"/>
    <n v="0"/>
    <n v="0"/>
    <n v="7.4451127355155302"/>
    <n v="0"/>
    <n v="0"/>
    <n v="0"/>
    <n v="0"/>
    <n v="0"/>
    <n v="0"/>
    <n v="0.104886550598089"/>
    <n v="827.03045146593399"/>
    <n v="0"/>
    <n v="0"/>
    <n v="0"/>
    <n v="0"/>
    <n v="0"/>
    <n v="44.668984235026301"/>
  </r>
  <r>
    <x v="0"/>
    <x v="9"/>
    <n v="2020"/>
    <x v="2"/>
    <x v="0"/>
    <x v="0"/>
    <s v="None"/>
    <s v="ALL"/>
    <n v="0"/>
    <n v="0"/>
    <n v="29.464890041156899"/>
    <n v="13.576107921454501"/>
    <n v="1.1097498642102399"/>
    <n v="2.9219624502863299E-2"/>
    <n v="0"/>
    <n v="0"/>
    <n v="0"/>
    <n v="0"/>
    <n v="1.1389694887131001"/>
    <n v="126.836771486861"/>
    <n v="0"/>
    <n v="0"/>
    <n v="0"/>
    <n v="0"/>
    <n v="0"/>
    <n v="8.9798051098383003E-3"/>
    <n v="0.54593213221464199"/>
    <n v="4304.6748625124501"/>
    <n v="0.18345058798069"/>
    <n v="0"/>
    <n v="0.18345058798069"/>
    <n v="5.0958496661306302E-5"/>
    <n v="0"/>
    <n v="44.668984235026301"/>
  </r>
  <r>
    <x v="0"/>
    <x v="10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11"/>
    <n v="2020"/>
    <x v="2"/>
    <x v="0"/>
    <x v="0"/>
    <s v="None"/>
    <s v="ALL"/>
    <n v="0"/>
    <n v="0"/>
    <n v="505.426900691252"/>
    <n v="326.77355301853498"/>
    <n v="28.0382376210827"/>
    <n v="5.6394790601585898"/>
    <n v="0"/>
    <n v="0"/>
    <n v="0"/>
    <n v="0"/>
    <n v="33.6777166812413"/>
    <n v="1015.91160837772"/>
    <n v="0"/>
    <n v="0"/>
    <n v="0"/>
    <n v="0"/>
    <n v="0"/>
    <n v="3.3150242997045901E-2"/>
    <n v="0.25491528218135701"/>
    <n v="2010.0070000000001"/>
    <n v="45783.992349166598"/>
    <n v="0"/>
    <n v="45783.992349166598"/>
    <n v="12.7177756525471"/>
    <n v="0"/>
    <n v="44.668984235026301"/>
  </r>
  <r>
    <x v="0"/>
    <x v="12"/>
    <n v="2020"/>
    <x v="2"/>
    <x v="0"/>
    <x v="0"/>
    <s v="None"/>
    <s v="ALL"/>
    <n v="0"/>
    <n v="0"/>
    <n v="4.51628146695671"/>
    <n v="7.9426972903835003"/>
    <n v="0.72634454595855102"/>
    <n v="6.5933464112989101E-2"/>
    <n v="1.96730849201158E-2"/>
    <n v="0"/>
    <n v="0"/>
    <n v="0"/>
    <n v="0.81195109499165696"/>
    <n v="12.5772110844406"/>
    <n v="0"/>
    <n v="0"/>
    <n v="0"/>
    <n v="0"/>
    <n v="0"/>
    <n v="6.4557324317799494E-2"/>
    <n v="0.353184512936013"/>
    <n v="2784.8598845004599"/>
    <n v="248.94747063969101"/>
    <n v="0"/>
    <n v="248.94747063969101"/>
    <n v="6.9152075177696795E-2"/>
    <n v="0"/>
    <n v="44.668984235026301"/>
  </r>
  <r>
    <x v="0"/>
    <x v="13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14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15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16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17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18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19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20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21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22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23"/>
    <n v="2020"/>
    <x v="2"/>
    <x v="0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4.668984235026301"/>
  </r>
  <r>
    <x v="0"/>
    <x v="24"/>
    <n v="2020"/>
    <x v="2"/>
    <x v="0"/>
    <x v="0"/>
    <s v="None"/>
    <s v="ALL"/>
    <n v="0"/>
    <n v="0"/>
    <n v="353.20845219970499"/>
    <n v="23.311757845180502"/>
    <n v="2.0002249257645199"/>
    <n v="0"/>
    <n v="0"/>
    <n v="0"/>
    <n v="0"/>
    <n v="53.046896254882597"/>
    <n v="55.047121180647103"/>
    <n v="975.96215452420097"/>
    <n v="0"/>
    <n v="0"/>
    <n v="0"/>
    <n v="0"/>
    <n v="0"/>
    <n v="5.64029260002233E-2"/>
    <n v="0.35042912304887602"/>
    <n v="2763.13363524039"/>
    <n v="0"/>
    <n v="267676.182540701"/>
    <n v="267676.182540701"/>
    <n v="74.354495150199696"/>
    <n v="0"/>
    <n v="44.668984235026301"/>
  </r>
  <r>
    <x v="0"/>
    <x v="25"/>
    <n v="2020"/>
    <x v="2"/>
    <x v="0"/>
    <x v="0"/>
    <s v="None"/>
    <s v="ALL"/>
    <n v="0"/>
    <n v="0"/>
    <n v="195.63654662817299"/>
    <n v="0"/>
    <n v="0"/>
    <n v="0"/>
    <n v="0"/>
    <n v="0"/>
    <n v="0"/>
    <n v="0"/>
    <n v="0"/>
    <n v="37.694874946825799"/>
    <n v="0"/>
    <n v="0"/>
    <n v="0"/>
    <n v="0"/>
    <n v="0"/>
    <n v="0"/>
    <n v="2.4436028396787601E-2"/>
    <n v="192.67808390867"/>
    <n v="0"/>
    <n v="0"/>
    <n v="0"/>
    <n v="0"/>
    <n v="0"/>
    <n v="44.668984235026301"/>
  </r>
  <r>
    <x v="0"/>
    <x v="26"/>
    <n v="2020"/>
    <x v="2"/>
    <x v="0"/>
    <x v="0"/>
    <s v="None"/>
    <s v="ALL"/>
    <n v="0"/>
    <n v="0"/>
    <n v="2.2876748285060602"/>
    <n v="0.78467246617757802"/>
    <n v="7.0620521955981994E-2"/>
    <n v="2.01315384908533E-2"/>
    <n v="1.69963482967075E-4"/>
    <n v="0"/>
    <n v="0"/>
    <n v="8.4981741483537796E-3"/>
    <n v="9.9420198078156205E-2"/>
    <n v="2.8327247161179198E-2"/>
    <n v="0"/>
    <n v="0"/>
    <n v="0"/>
    <n v="0"/>
    <n v="0"/>
    <n v="3.5097020727946102"/>
    <n v="1.5703931079498201E-3"/>
    <n v="12.382549656184301"/>
    <n v="150.986538681399"/>
    <n v="20.947999275691998"/>
    <n v="171.934537957092"/>
    <n v="4.7759593876973198E-2"/>
    <n v="0"/>
    <n v="44.668984235026301"/>
  </r>
  <r>
    <x v="0"/>
    <x v="27"/>
    <n v="2020"/>
    <x v="2"/>
    <x v="0"/>
    <x v="0"/>
    <s v="None"/>
    <s v="ALL"/>
    <n v="0"/>
    <n v="0"/>
    <n v="0.19208013419946901"/>
    <n v="0"/>
    <n v="0"/>
    <n v="0"/>
    <n v="2.6025695364280399E-4"/>
    <n v="0"/>
    <n v="0"/>
    <n v="0"/>
    <n v="2.6025695364280399E-4"/>
    <n v="0.124788765543784"/>
    <n v="0"/>
    <n v="4.9915506217513396E-3"/>
    <n v="0"/>
    <n v="0"/>
    <n v="0"/>
    <n v="2.0855799999999801E-3"/>
    <n v="8.2393194311057405E-2"/>
    <n v="649.67033714268803"/>
    <n v="0"/>
    <n v="0"/>
    <n v="0"/>
    <n v="0"/>
    <n v="0"/>
    <n v="44.668984235026301"/>
  </r>
  <r>
    <x v="0"/>
    <x v="28"/>
    <n v="2020"/>
    <x v="2"/>
    <x v="0"/>
    <x v="0"/>
    <s v="None"/>
    <s v="ALL"/>
    <n v="0"/>
    <n v="0"/>
    <n v="0.19208013419946901"/>
    <n v="0"/>
    <n v="0"/>
    <n v="0"/>
    <n v="0"/>
    <n v="0"/>
    <n v="0"/>
    <n v="0"/>
    <n v="0"/>
    <n v="0.124750349516944"/>
    <n v="0"/>
    <n v="6.2375174758471904E-3"/>
    <n v="0"/>
    <n v="0"/>
    <n v="0"/>
    <n v="0"/>
    <n v="8.2367829694697206E-2"/>
    <n v="649.47033714268696"/>
    <n v="0"/>
    <n v="0"/>
    <n v="0"/>
    <n v="0"/>
    <n v="0"/>
    <n v="44.668984235026301"/>
  </r>
  <r>
    <x v="0"/>
    <x v="29"/>
    <n v="2020"/>
    <x v="2"/>
    <x v="0"/>
    <x v="0"/>
    <s v="None"/>
    <s v="ALL"/>
    <n v="0"/>
    <n v="0"/>
    <n v="0.19208013419946901"/>
    <n v="6.9500303935023502E-2"/>
    <n v="7.07875946966245E-3"/>
    <n v="9.7501796920992402E-4"/>
    <n v="0"/>
    <n v="0"/>
    <n v="0"/>
    <n v="0"/>
    <n v="8.0537774388723792E-3"/>
    <n v="0.85221775660175103"/>
    <n v="0"/>
    <n v="0"/>
    <n v="0"/>
    <n v="0"/>
    <n v="0"/>
    <n v="9.4503750672681394E-3"/>
    <n v="0.56268641579266399"/>
    <n v="4436.7823885251601"/>
    <n v="0.30210943371448501"/>
    <n v="0"/>
    <n v="0.30210943371448501"/>
    <n v="8.3919287142918201E-5"/>
    <n v="0"/>
    <n v="44.668984235026301"/>
  </r>
  <r>
    <x v="0"/>
    <x v="30"/>
    <n v="2020"/>
    <x v="0"/>
    <x v="1"/>
    <x v="0"/>
    <s v="PS"/>
    <s v="ALL"/>
    <n v="0"/>
    <n v="0"/>
    <n v="33.6579420704293"/>
    <n v="90.876443590159099"/>
    <n v="9.2559665096501504"/>
    <n v="2.7262933077047702"/>
    <n v="0.66030150753779504"/>
    <n v="0"/>
    <n v="0"/>
    <n v="0"/>
    <n v="12.6425613248927"/>
    <n v="264.120603015048"/>
    <n v="0"/>
    <n v="34.335678391963498"/>
    <n v="0"/>
    <n v="0"/>
    <n v="0"/>
    <n v="4.7866622976672497E-2"/>
    <n v="0.99520608750792905"/>
    <n v="7847.2000000000198"/>
    <n v="0"/>
    <n v="75.010251256273705"/>
    <n v="75.010251256273705"/>
    <n v="2.0836180904520399E-2"/>
    <n v="0"/>
    <n v="56.120200002666003"/>
  </r>
  <r>
    <x v="0"/>
    <x v="31"/>
    <n v="2020"/>
    <x v="0"/>
    <x v="1"/>
    <x v="0"/>
    <s v="PS"/>
    <s v="ALL"/>
    <n v="0"/>
    <n v="0"/>
    <n v="23.053384979745999"/>
    <n v="96.0766394578784"/>
    <n v="9.0003422798301909"/>
    <n v="14.244252129025501"/>
    <n v="4.8912048525923"/>
    <n v="0"/>
    <n v="0"/>
    <n v="0"/>
    <n v="28.135799261448"/>
    <n v="180.90452261306501"/>
    <n v="0"/>
    <n v="57.1658291457234"/>
    <n v="0.99416662905461195"/>
    <n v="49.958122063045799"/>
    <n v="179.849239426964"/>
    <n v="0.15552844591744799"/>
    <n v="0.99520608750792905"/>
    <n v="7847.2000000000198"/>
    <n v="425.90360303914798"/>
    <n v="0"/>
    <n v="425.90360303914798"/>
    <n v="0.11830655639976299"/>
    <n v="108.88062627119299"/>
    <n v="56.120200002666003"/>
  </r>
  <r>
    <x v="0"/>
    <x v="1"/>
    <n v="2020"/>
    <x v="0"/>
    <x v="1"/>
    <x v="0"/>
    <s v="PS"/>
    <s v="ALL"/>
    <n v="0"/>
    <n v="0"/>
    <n v="68.471994193574005"/>
    <n v="1.79021340297155"/>
    <n v="0.18233718935746199"/>
    <n v="0"/>
    <n v="0.139138222629131"/>
    <n v="0"/>
    <n v="0"/>
    <n v="0"/>
    <n v="0.32147541198659302"/>
    <n v="537.31343283574995"/>
    <n v="0"/>
    <n v="2.1492537313430198"/>
    <n v="0"/>
    <n v="0"/>
    <n v="0"/>
    <n v="5.9830146119735003E-4"/>
    <n v="0.99520608750792605"/>
    <n v="7847.1999999999898"/>
    <n v="0"/>
    <n v="0"/>
    <n v="0"/>
    <n v="0"/>
    <n v="0"/>
    <n v="56.120200002666003"/>
  </r>
  <r>
    <x v="0"/>
    <x v="2"/>
    <n v="2020"/>
    <x v="0"/>
    <x v="1"/>
    <x v="0"/>
    <s v="PS"/>
    <s v="ALL"/>
    <n v="0"/>
    <n v="0"/>
    <n v="4.5876236109694597"/>
    <n v="259.04934244061201"/>
    <n v="24.267426114051801"/>
    <n v="5.1794270567845198"/>
    <n v="0"/>
    <n v="0"/>
    <n v="0"/>
    <n v="0"/>
    <n v="29.446853170836299"/>
    <n v="35.999999999998799"/>
    <n v="0"/>
    <n v="1853.9999999997899"/>
    <n v="0"/>
    <n v="0"/>
    <n v="0"/>
    <n v="0.81796814363436898"/>
    <n v="0.99520608750792605"/>
    <n v="7847.1999999999898"/>
    <n v="529.47846849760197"/>
    <n v="0"/>
    <n v="529.47846849760197"/>
    <n v="0.147077352360444"/>
    <n v="0"/>
    <n v="56.120200002666003"/>
  </r>
  <r>
    <x v="0"/>
    <x v="32"/>
    <n v="2020"/>
    <x v="0"/>
    <x v="1"/>
    <x v="0"/>
    <s v="PS"/>
    <s v="ALL"/>
    <n v="0"/>
    <n v="0"/>
    <n v="4.5876236109694704"/>
    <n v="0"/>
    <n v="0"/>
    <n v="0"/>
    <n v="0"/>
    <n v="0"/>
    <n v="0"/>
    <n v="0"/>
    <n v="0"/>
    <n v="35.999999999998799"/>
    <n v="0"/>
    <n v="0"/>
    <n v="0"/>
    <n v="0"/>
    <n v="0"/>
    <n v="0"/>
    <n v="0.99520608750792505"/>
    <n v="7847.1999999999898"/>
    <n v="0"/>
    <n v="0"/>
    <n v="0"/>
    <n v="0"/>
    <n v="0"/>
    <n v="56.120200002666003"/>
  </r>
  <r>
    <x v="0"/>
    <x v="4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5"/>
    <n v="2020"/>
    <x v="0"/>
    <x v="1"/>
    <x v="0"/>
    <s v="PS"/>
    <s v="ALL"/>
    <n v="0"/>
    <n v="0"/>
    <n v="48.110800715781501"/>
    <n v="0"/>
    <n v="0"/>
    <n v="0"/>
    <n v="0"/>
    <n v="0"/>
    <n v="0"/>
    <n v="0"/>
    <n v="0"/>
    <n v="377.535075376902"/>
    <n v="0"/>
    <n v="0"/>
    <n v="0"/>
    <n v="0"/>
    <n v="0"/>
    <n v="0"/>
    <n v="0.99520608750792705"/>
    <n v="7847.2"/>
    <n v="0"/>
    <n v="0"/>
    <n v="0"/>
    <n v="0"/>
    <n v="0"/>
    <n v="56.120200002666003"/>
  </r>
  <r>
    <x v="0"/>
    <x v="6"/>
    <n v="2020"/>
    <x v="0"/>
    <x v="1"/>
    <x v="0"/>
    <s v="PS"/>
    <s v="ALL"/>
    <n v="0"/>
    <n v="0"/>
    <n v="35.599959221122703"/>
    <n v="0"/>
    <n v="0"/>
    <n v="0"/>
    <n v="0"/>
    <n v="0"/>
    <n v="0"/>
    <n v="0"/>
    <n v="0"/>
    <n v="279.36000000000797"/>
    <n v="0"/>
    <n v="0"/>
    <n v="0"/>
    <n v="0"/>
    <n v="0"/>
    <n v="0"/>
    <n v="0.99520608750792605"/>
    <n v="7847.1999999999898"/>
    <n v="0"/>
    <n v="0"/>
    <n v="0"/>
    <n v="0"/>
    <n v="0"/>
    <n v="56.120200002666003"/>
  </r>
  <r>
    <x v="0"/>
    <x v="7"/>
    <n v="2020"/>
    <x v="0"/>
    <x v="1"/>
    <x v="0"/>
    <s v="PS"/>
    <s v="ALL"/>
    <n v="0"/>
    <n v="0"/>
    <n v="-4.4608803297637598E-15"/>
    <n v="0"/>
    <n v="0"/>
    <n v="0"/>
    <n v="0"/>
    <n v="0"/>
    <n v="0"/>
    <n v="0"/>
    <n v="0"/>
    <n v="-3.5194873527916301E-15"/>
    <n v="0"/>
    <n v="-3.3083181116240398E-15"/>
    <n v="0"/>
    <n v="0"/>
    <n v="0"/>
    <n v="0"/>
    <n v="0.10005922585775601"/>
    <n v="788.96699588840704"/>
    <n v="0"/>
    <n v="0"/>
    <n v="0"/>
    <n v="0"/>
    <n v="0"/>
    <n v="56.120200002666003"/>
  </r>
  <r>
    <x v="0"/>
    <x v="8"/>
    <n v="2020"/>
    <x v="0"/>
    <x v="1"/>
    <x v="0"/>
    <s v="PS"/>
    <s v="ALL"/>
    <n v="0"/>
    <n v="0"/>
    <n v="-1.6254489310085699E-13"/>
    <n v="0"/>
    <n v="0"/>
    <n v="0"/>
    <n v="0"/>
    <n v="0"/>
    <n v="0"/>
    <n v="0"/>
    <n v="0"/>
    <n v="-3.4689315565467301E-15"/>
    <n v="0"/>
    <n v="0"/>
    <n v="0"/>
    <n v="0"/>
    <n v="0"/>
    <n v="0"/>
    <n v="2.7065789774436198E-3"/>
    <n v="21.341375237143001"/>
    <n v="0"/>
    <n v="0"/>
    <n v="0"/>
    <n v="0"/>
    <n v="0"/>
    <n v="56.120200002666003"/>
  </r>
  <r>
    <x v="0"/>
    <x v="9"/>
    <n v="2020"/>
    <x v="0"/>
    <x v="1"/>
    <x v="0"/>
    <s v="PS"/>
    <s v="ALL"/>
    <n v="0"/>
    <n v="0"/>
    <n v="-7.2759576141834197E-15"/>
    <n v="-3.3524369398326998E-15"/>
    <n v="-2.7403777726850499E-16"/>
    <n v="-7.2153925939728897E-18"/>
    <n v="0"/>
    <n v="0"/>
    <n v="0"/>
    <n v="0"/>
    <n v="-2.8125316986247798E-16"/>
    <n v="-7.4803581148945496E-14"/>
    <n v="0"/>
    <n v="0"/>
    <n v="0"/>
    <n v="0"/>
    <n v="0"/>
    <n v="3.7598891061439901E-3"/>
    <n v="1.3038587075547099"/>
    <n v="10280.925909068899"/>
    <n v="-4.5300651065729301E-17"/>
    <n v="0"/>
    <n v="-4.5300651065729301E-17"/>
    <n v="-1.25835141849247E-20"/>
    <n v="0"/>
    <n v="56.120200002666003"/>
  </r>
  <r>
    <x v="0"/>
    <x v="10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11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12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13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14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15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16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17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18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19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20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21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22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23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24"/>
    <n v="2020"/>
    <x v="0"/>
    <x v="1"/>
    <x v="0"/>
    <s v="PS"/>
    <s v="ALL"/>
    <n v="0"/>
    <n v="0"/>
    <n v="248.19690606445701"/>
    <n v="16.380995800254201"/>
    <n v="1.40554291641659"/>
    <n v="0"/>
    <n v="0"/>
    <n v="0"/>
    <n v="0"/>
    <n v="107.897007341361"/>
    <n v="109.302550257777"/>
    <n v="1947.6507612692999"/>
    <n v="0"/>
    <n v="0"/>
    <n v="0"/>
    <n v="0"/>
    <n v="0"/>
    <n v="5.6120200002666001E-2"/>
    <n v="0.99520608750792605"/>
    <n v="7847.1999999999898"/>
    <n v="0"/>
    <n v="390939.862253503"/>
    <n v="390939.862253503"/>
    <n v="108.594406181528"/>
    <n v="0"/>
    <n v="56.120200002666003"/>
  </r>
  <r>
    <x v="0"/>
    <x v="25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26"/>
    <n v="2020"/>
    <x v="0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20200002666003"/>
  </r>
  <r>
    <x v="0"/>
    <x v="27"/>
    <n v="2020"/>
    <x v="0"/>
    <x v="1"/>
    <x v="0"/>
    <s v="PS"/>
    <s v="ALL"/>
    <n v="0"/>
    <n v="0"/>
    <n v="0"/>
    <n v="0"/>
    <n v="0"/>
    <n v="0"/>
    <n v="1.1573192514695099E-16"/>
    <n v="0"/>
    <n v="0"/>
    <n v="0"/>
    <n v="1.1573192514695099E-16"/>
    <n v="5.5491482056287097E-14"/>
    <n v="0"/>
    <n v="2.21965928225148E-15"/>
    <n v="0"/>
    <n v="0"/>
    <n v="0"/>
    <n v="2.0855800000000001E-3"/>
    <s v="NaN"/>
    <s v="NaN"/>
    <n v="0"/>
    <n v="0"/>
    <n v="0"/>
    <n v="0"/>
    <n v="0"/>
    <n v="56.120200002666003"/>
  </r>
  <r>
    <x v="0"/>
    <x v="28"/>
    <n v="2020"/>
    <x v="0"/>
    <x v="1"/>
    <x v="0"/>
    <s v="PS"/>
    <s v="ALL"/>
    <n v="0"/>
    <n v="0"/>
    <n v="1.0899207762137099E-12"/>
    <n v="0"/>
    <n v="0"/>
    <n v="0"/>
    <n v="0"/>
    <n v="0"/>
    <n v="0"/>
    <n v="0"/>
    <n v="0"/>
    <n v="5.5491482056287097E-14"/>
    <n v="0"/>
    <n v="2.7745741028143501E-15"/>
    <n v="0"/>
    <n v="0"/>
    <n v="0"/>
    <n v="0"/>
    <n v="6.4569837750272103E-3"/>
    <n v="50.913317066089498"/>
    <n v="0"/>
    <n v="0"/>
    <n v="0"/>
    <n v="0"/>
    <n v="0"/>
    <n v="56.120200002666003"/>
  </r>
  <r>
    <x v="0"/>
    <x v="29"/>
    <n v="2020"/>
    <x v="0"/>
    <x v="1"/>
    <x v="0"/>
    <s v="PS"/>
    <s v="ALL"/>
    <n v="0"/>
    <n v="0"/>
    <n v="0"/>
    <n v="0"/>
    <n v="0"/>
    <n v="0"/>
    <n v="0"/>
    <n v="0"/>
    <n v="0"/>
    <n v="0"/>
    <n v="0"/>
    <n v="3.0178593736816299E-13"/>
    <n v="0"/>
    <n v="0"/>
    <n v="0"/>
    <n v="0"/>
    <n v="0"/>
    <n v="0"/>
    <s v="NaN"/>
    <s v="NaN"/>
    <n v="0"/>
    <n v="0"/>
    <n v="0"/>
    <n v="0"/>
    <n v="0"/>
    <n v="56.120200002666003"/>
  </r>
  <r>
    <x v="0"/>
    <x v="30"/>
    <n v="2020"/>
    <x v="1"/>
    <x v="1"/>
    <x v="0"/>
    <s v="PS"/>
    <s v="ALL"/>
    <n v="0"/>
    <n v="0"/>
    <n v="33.850000483418299"/>
    <n v="91.395001305229499"/>
    <n v="9.3087827583323506"/>
    <n v="2.7418500391568799"/>
    <n v="0.66030150753767103"/>
    <n v="0"/>
    <n v="0"/>
    <n v="0"/>
    <n v="12.7109343050269"/>
    <n v="264.12060301510098"/>
    <n v="0"/>
    <n v="34.335678391963597"/>
    <n v="0"/>
    <n v="0"/>
    <n v="0"/>
    <n v="4.8125493278160299E-2"/>
    <n v="0.989559478969253"/>
    <n v="7802.6764916725597"/>
    <n v="0"/>
    <n v="75.010251256288697"/>
    <n v="75.010251256288697"/>
    <n v="2.0836180904525901E-2"/>
    <n v="0"/>
    <n v="46.481063725598602"/>
  </r>
  <r>
    <x v="0"/>
    <x v="31"/>
    <n v="2020"/>
    <x v="1"/>
    <x v="1"/>
    <x v="0"/>
    <s v="PS"/>
    <s v="ALL"/>
    <n v="0"/>
    <n v="0"/>
    <n v="23.184931837957699"/>
    <n v="96.624870447788396"/>
    <n v="9.0516998896034107"/>
    <n v="14.325532453663"/>
    <n v="4.89120485259118"/>
    <n v="0"/>
    <n v="0"/>
    <n v="0"/>
    <n v="28.268437195857601"/>
    <n v="180.90452261305401"/>
    <n v="0"/>
    <n v="57.165829145733397"/>
    <n v="0.91798218274435905"/>
    <n v="46.1297579268522"/>
    <n v="166.06712853666801"/>
    <n v="0.15626163894377801"/>
    <n v="0.989559478969253"/>
    <n v="7802.6764916725597"/>
    <n v="428.33388739565697"/>
    <n v="0"/>
    <n v="428.33388739565697"/>
    <n v="0.11898163538768899"/>
    <n v="175.82220262401901"/>
    <n v="46.481063725598602"/>
  </r>
  <r>
    <x v="0"/>
    <x v="1"/>
    <n v="2020"/>
    <x v="1"/>
    <x v="1"/>
    <x v="0"/>
    <s v="PS"/>
    <s v="ALL"/>
    <n v="0"/>
    <n v="0"/>
    <n v="75.490096771612698"/>
    <n v="1.9737030390863599"/>
    <n v="0.20102601409191101"/>
    <n v="0"/>
    <n v="0.139141677664712"/>
    <n v="0"/>
    <n v="0"/>
    <n v="0"/>
    <n v="0.34016769175662298"/>
    <n v="537.32677522993799"/>
    <n v="0"/>
    <n v="2.14930710092024"/>
    <n v="0"/>
    <n v="0"/>
    <n v="0"/>
    <n v="6.3307415047585396E-4"/>
    <n v="0.90270698387065196"/>
    <n v="7117.8445678200897"/>
    <n v="0"/>
    <n v="0"/>
    <n v="0"/>
    <n v="0"/>
    <n v="0"/>
    <n v="46.481063725598602"/>
  </r>
  <r>
    <x v="0"/>
    <x v="2"/>
    <n v="2020"/>
    <x v="1"/>
    <x v="1"/>
    <x v="0"/>
    <s v="PS"/>
    <s v="ALL"/>
    <n v="0"/>
    <n v="0"/>
    <n v="5.0578364836980496"/>
    <n v="285.60085272497798"/>
    <n v="26.7547391794769"/>
    <n v="5.7102973900951"/>
    <n v="0"/>
    <n v="0"/>
    <n v="0"/>
    <n v="0"/>
    <n v="32.465036569572"/>
    <n v="36.000893940411203"/>
    <n v="0"/>
    <n v="1854.04603793095"/>
    <n v="0"/>
    <n v="0"/>
    <n v="0"/>
    <n v="0.90178417856257098"/>
    <n v="0.90270698387065196"/>
    <n v="7117.8445678200897"/>
    <n v="583.74787087945401"/>
    <n v="0"/>
    <n v="583.74787087945401"/>
    <n v="0.16215218635541401"/>
    <n v="0"/>
    <n v="46.481063725598602"/>
  </r>
  <r>
    <x v="0"/>
    <x v="32"/>
    <n v="2020"/>
    <x v="1"/>
    <x v="1"/>
    <x v="0"/>
    <s v="PS"/>
    <s v="ALL"/>
    <n v="0"/>
    <n v="0"/>
    <n v="4.6138014357535901"/>
    <n v="0"/>
    <n v="0"/>
    <n v="0"/>
    <n v="0"/>
    <n v="0"/>
    <n v="0"/>
    <n v="0"/>
    <n v="0"/>
    <n v="36.000000000000497"/>
    <n v="0"/>
    <n v="0"/>
    <n v="0"/>
    <n v="0"/>
    <n v="0"/>
    <n v="0"/>
    <n v="0.989559478969253"/>
    <n v="7802.6764916725597"/>
    <n v="0"/>
    <n v="0"/>
    <n v="0"/>
    <n v="0"/>
    <n v="0"/>
    <n v="46.481063725598602"/>
  </r>
  <r>
    <x v="0"/>
    <x v="4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5"/>
    <n v="2020"/>
    <x v="1"/>
    <x v="1"/>
    <x v="0"/>
    <s v="PS"/>
    <s v="ALL"/>
    <n v="0"/>
    <n v="0"/>
    <n v="51.524657589556497"/>
    <n v="0"/>
    <n v="0"/>
    <n v="0"/>
    <n v="0"/>
    <n v="0"/>
    <n v="0"/>
    <n v="0"/>
    <n v="0"/>
    <n v="377.54139553558201"/>
    <n v="0"/>
    <n v="0"/>
    <n v="0"/>
    <n v="0"/>
    <n v="0"/>
    <n v="0"/>
    <n v="0.92928251305713405"/>
    <n v="7327.3926154555002"/>
    <n v="0"/>
    <n v="0"/>
    <n v="0"/>
    <n v="0"/>
    <n v="0"/>
    <n v="46.481063725598602"/>
  </r>
  <r>
    <x v="0"/>
    <x v="6"/>
    <n v="2020"/>
    <x v="1"/>
    <x v="1"/>
    <x v="0"/>
    <s v="PS"/>
    <s v="ALL"/>
    <n v="0"/>
    <n v="0"/>
    <n v="39.248811113496799"/>
    <n v="0"/>
    <n v="0"/>
    <n v="0"/>
    <n v="0"/>
    <n v="0"/>
    <n v="0"/>
    <n v="0"/>
    <n v="0"/>
    <n v="279.36693697760001"/>
    <n v="0"/>
    <n v="0"/>
    <n v="0"/>
    <n v="0"/>
    <n v="0"/>
    <n v="0"/>
    <n v="0.90270698387065196"/>
    <n v="7117.8445678200897"/>
    <n v="0"/>
    <n v="0"/>
    <n v="0"/>
    <n v="0"/>
    <n v="0"/>
    <n v="46.481063725598602"/>
  </r>
  <r>
    <x v="0"/>
    <x v="7"/>
    <n v="2020"/>
    <x v="1"/>
    <x v="1"/>
    <x v="0"/>
    <s v="PS"/>
    <s v="ALL"/>
    <n v="0"/>
    <n v="0"/>
    <n v="3.2123159093966098"/>
    <n v="0"/>
    <n v="0"/>
    <n v="0"/>
    <n v="0"/>
    <n v="0"/>
    <n v="0"/>
    <n v="0"/>
    <n v="0"/>
    <n v="2.4096165533593399"/>
    <n v="0"/>
    <n v="2.2650395601577999"/>
    <n v="0"/>
    <n v="0"/>
    <n v="0"/>
    <n v="0"/>
    <n v="9.5132298900464804E-2"/>
    <n v="750.118176830165"/>
    <n v="0"/>
    <n v="0"/>
    <n v="0"/>
    <n v="0"/>
    <n v="0"/>
    <n v="46.481063725598602"/>
  </r>
  <r>
    <x v="0"/>
    <x v="8"/>
    <n v="2020"/>
    <x v="1"/>
    <x v="1"/>
    <x v="0"/>
    <s v="PS"/>
    <s v="ALL"/>
    <n v="0"/>
    <n v="0"/>
    <n v="4.6138014357535901"/>
    <n v="0"/>
    <n v="0"/>
    <n v="0"/>
    <n v="0"/>
    <n v="0"/>
    <n v="0"/>
    <n v="0"/>
    <n v="0"/>
    <n v="2.4087226129483299"/>
    <n v="0"/>
    <n v="0"/>
    <n v="0"/>
    <n v="0"/>
    <n v="0"/>
    <n v="0"/>
    <n v="6.6210397051405995E-2"/>
    <n v="522.06898075033598"/>
    <n v="0"/>
    <n v="0"/>
    <n v="0"/>
    <n v="0"/>
    <n v="0"/>
    <n v="46.481063725598602"/>
  </r>
  <r>
    <x v="0"/>
    <x v="9"/>
    <n v="2020"/>
    <x v="1"/>
    <x v="1"/>
    <x v="0"/>
    <s v="PS"/>
    <s v="ALL"/>
    <n v="0"/>
    <n v="0"/>
    <n v="9.9326712306948597"/>
    <n v="4.5765321502263996"/>
    <n v="0.37409881842803"/>
    <n v="9.8499917449514397E-3"/>
    <n v="0"/>
    <n v="0"/>
    <n v="0"/>
    <n v="0"/>
    <n v="0.38394881017298199"/>
    <n v="42.516831391978499"/>
    <n v="0"/>
    <n v="0"/>
    <n v="0"/>
    <n v="0"/>
    <n v="0"/>
    <n v="9.03051327210193E-3"/>
    <n v="0.54286661264658198"/>
    <n v="4280.5032407182998"/>
    <n v="6.1841546835730697E-2"/>
    <n v="0"/>
    <n v="6.1841546835730697E-2"/>
    <n v="1.7178207454370699E-5"/>
    <n v="0"/>
    <n v="46.481063725598602"/>
  </r>
  <r>
    <x v="0"/>
    <x v="10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11"/>
    <n v="2020"/>
    <x v="1"/>
    <x v="1"/>
    <x v="0"/>
    <s v="PS"/>
    <s v="ALL"/>
    <n v="0"/>
    <n v="0"/>
    <n v="369.31646923713402"/>
    <n v="238.77410299259"/>
    <n v="20.4875975293122"/>
    <n v="4.1207788742269598"/>
    <n v="0"/>
    <n v="0"/>
    <n v="0"/>
    <n v="0"/>
    <n v="24.6083764035392"/>
    <n v="891.24595237360097"/>
    <n v="0"/>
    <n v="0"/>
    <n v="0"/>
    <n v="0"/>
    <n v="0"/>
    <n v="2.7611206915443699E-2"/>
    <n v="0.30605339251743702"/>
    <n v="2413.2309999999902"/>
    <n v="33454.456774755599"/>
    <n v="0"/>
    <n v="33454.456774755599"/>
    <n v="9.2929046596548996"/>
    <n v="0"/>
    <n v="46.481063725598602"/>
  </r>
  <r>
    <x v="0"/>
    <x v="12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13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14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15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16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17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18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19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20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21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22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23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24"/>
    <n v="2020"/>
    <x v="1"/>
    <x v="1"/>
    <x v="0"/>
    <s v="PS"/>
    <s v="ALL"/>
    <n v="0"/>
    <n v="0"/>
    <n v="272.92487076624298"/>
    <n v="18.013041470571999"/>
    <n v="1.54557776284198"/>
    <n v="0"/>
    <n v="0"/>
    <n v="0"/>
    <n v="0"/>
    <n v="65.744649797861797"/>
    <n v="67.290227560703698"/>
    <n v="1085.87325700523"/>
    <n v="0"/>
    <n v="0"/>
    <n v="0"/>
    <n v="0"/>
    <n v="0"/>
    <n v="6.1968767649997598E-2"/>
    <n v="0.50458498894561998"/>
    <n v="3978.65263783621"/>
    <n v="0"/>
    <n v="598418.31882059702"/>
    <n v="598418.31882059702"/>
    <n v="166.22731078350901"/>
    <n v="0"/>
    <n v="46.481063725598602"/>
  </r>
  <r>
    <x v="0"/>
    <x v="25"/>
    <n v="2020"/>
    <x v="1"/>
    <x v="1"/>
    <x v="0"/>
    <s v="PS"/>
    <s v="ALL"/>
    <n v="0"/>
    <n v="0"/>
    <n v="44.687292777692498"/>
    <n v="0"/>
    <n v="0"/>
    <n v="0"/>
    <n v="0"/>
    <n v="0"/>
    <n v="0"/>
    <n v="0"/>
    <n v="0"/>
    <n v="27.1573172488824"/>
    <n v="0"/>
    <n v="0"/>
    <n v="0"/>
    <n v="0"/>
    <n v="0"/>
    <n v="0"/>
    <n v="7.7072797497076406E-2"/>
    <n v="607.71900826444698"/>
    <n v="0"/>
    <n v="0"/>
    <n v="0"/>
    <n v="0"/>
    <n v="0"/>
    <n v="46.481063725598602"/>
  </r>
  <r>
    <x v="0"/>
    <x v="26"/>
    <n v="2020"/>
    <x v="1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481063725598602"/>
  </r>
  <r>
    <x v="0"/>
    <x v="27"/>
    <n v="2020"/>
    <x v="1"/>
    <x v="1"/>
    <x v="0"/>
    <s v="PS"/>
    <s v="ALL"/>
    <n v="0"/>
    <n v="0"/>
    <n v="0"/>
    <n v="0"/>
    <n v="0"/>
    <n v="0"/>
    <n v="-1.0249412913932201E-18"/>
    <n v="0"/>
    <n v="0"/>
    <n v="0"/>
    <n v="-1.0249412913932201E-18"/>
    <n v="-4.9144184897880695E-16"/>
    <n v="0"/>
    <n v="-1.96576739591522E-17"/>
    <n v="0"/>
    <n v="0"/>
    <n v="0"/>
    <n v="2.0855799999999901E-3"/>
    <s v="NaN"/>
    <s v="NaN"/>
    <n v="0"/>
    <n v="0"/>
    <n v="0"/>
    <n v="0"/>
    <n v="0"/>
    <n v="46.481063725598602"/>
  </r>
  <r>
    <x v="0"/>
    <x v="28"/>
    <n v="2020"/>
    <x v="1"/>
    <x v="1"/>
    <x v="0"/>
    <s v="PS"/>
    <s v="ALL"/>
    <n v="0"/>
    <n v="0"/>
    <n v="5.5968904724487901E-14"/>
    <n v="0"/>
    <n v="0"/>
    <n v="0"/>
    <n v="0"/>
    <n v="0"/>
    <n v="0"/>
    <n v="0"/>
    <n v="0"/>
    <n v="-4.9144184897880695E-16"/>
    <n v="0"/>
    <n v="-2.45720924489403E-17"/>
    <n v="0"/>
    <n v="0"/>
    <n v="0"/>
    <n v="0"/>
    <n v="-1.1135856618996699E-3"/>
    <n v="-8.7806229440789405"/>
    <n v="0"/>
    <n v="0"/>
    <n v="0"/>
    <n v="0"/>
    <n v="0"/>
    <n v="46.481063725598602"/>
  </r>
  <r>
    <x v="0"/>
    <x v="29"/>
    <n v="2020"/>
    <x v="1"/>
    <x v="1"/>
    <x v="0"/>
    <s v="PS"/>
    <s v="ALL"/>
    <n v="0"/>
    <n v="0"/>
    <n v="0"/>
    <n v="0"/>
    <n v="0"/>
    <n v="0"/>
    <n v="0"/>
    <n v="0"/>
    <n v="0"/>
    <n v="0"/>
    <n v="0"/>
    <n v="1.4283364594544401E-15"/>
    <n v="0"/>
    <n v="0"/>
    <n v="0"/>
    <n v="0"/>
    <n v="0"/>
    <n v="0"/>
    <s v="NaN"/>
    <s v="NaN"/>
    <n v="0"/>
    <n v="0"/>
    <n v="0"/>
    <n v="0"/>
    <n v="0"/>
    <n v="46.481063725598602"/>
  </r>
  <r>
    <x v="0"/>
    <x v="30"/>
    <n v="2020"/>
    <x v="2"/>
    <x v="1"/>
    <x v="0"/>
    <s v="PS"/>
    <s v="ALL"/>
    <n v="0"/>
    <n v="0"/>
    <n v="34.694227082336297"/>
    <n v="93.674413122308096"/>
    <n v="9.5409458867194008"/>
    <n v="2.8102323936692399"/>
    <n v="0.66030150753761196"/>
    <n v="0"/>
    <n v="0"/>
    <n v="0"/>
    <n v="13.0114797879262"/>
    <n v="264.120603015104"/>
    <n v="0"/>
    <n v="34.335678391962198"/>
    <n v="0"/>
    <n v="0"/>
    <n v="0"/>
    <n v="4.92634033066408E-2"/>
    <n v="0.96548018671770197"/>
    <n v="7612.8112722690803"/>
    <n v="0"/>
    <n v="75.010251256289493"/>
    <n v="75.010251256289493"/>
    <n v="2.08361809045257E-2"/>
    <n v="0"/>
    <n v="45.653633644479697"/>
  </r>
  <r>
    <x v="0"/>
    <x v="31"/>
    <n v="2020"/>
    <x v="2"/>
    <x v="1"/>
    <x v="0"/>
    <s v="PS"/>
    <s v="ALL"/>
    <n v="0"/>
    <n v="0"/>
    <n v="23.763169234476901"/>
    <n v="99.034716373462402"/>
    <n v="9.2774513136239207"/>
    <n v="14.6828144438648"/>
    <n v="4.8912048525914997"/>
    <n v="0"/>
    <n v="0"/>
    <n v="0"/>
    <n v="28.851470610080199"/>
    <n v="180.904522613057"/>
    <n v="0"/>
    <n v="57.165829145728502"/>
    <n v="0.97474001978117597"/>
    <n v="48.981910541767597"/>
    <n v="176.33487795036299"/>
    <n v="0.159484518094616"/>
    <n v="0.96548018671770197"/>
    <n v="7612.8112722690803"/>
    <n v="439.01663055055002"/>
    <n v="0"/>
    <n v="439.01663055055002"/>
    <n v="0.121949064041824"/>
    <n v="88.535877692496697"/>
    <n v="45.653633644479697"/>
  </r>
  <r>
    <x v="0"/>
    <x v="1"/>
    <n v="2020"/>
    <x v="2"/>
    <x v="1"/>
    <x v="0"/>
    <s v="PS"/>
    <s v="ALL"/>
    <n v="0"/>
    <n v="0"/>
    <n v="96.618551359653694"/>
    <n v="2.5261105311283698"/>
    <n v="0.25728993732684602"/>
    <n v="0"/>
    <n v="0.13915070339499"/>
    <n v="0"/>
    <n v="0"/>
    <n v="0"/>
    <n v="0.39644064072183599"/>
    <n v="537.36163011050803"/>
    <n v="0"/>
    <n v="2.1494465204418201"/>
    <n v="0"/>
    <n v="0"/>
    <n v="0"/>
    <n v="7.3775390446152397E-4"/>
    <n v="0.70534961467681401"/>
    <n v="5561.6817117266801"/>
    <n v="0"/>
    <n v="0"/>
    <n v="0"/>
    <n v="0"/>
    <n v="0"/>
    <n v="45.653633644479697"/>
  </r>
  <r>
    <x v="0"/>
    <x v="2"/>
    <n v="2020"/>
    <x v="2"/>
    <x v="1"/>
    <x v="0"/>
    <s v="PS"/>
    <s v="ALL"/>
    <n v="0"/>
    <n v="0"/>
    <n v="6.4734429410967902"/>
    <n v="365.53590255491298"/>
    <n v="34.242957051003401"/>
    <n v="7.3085170804982802"/>
    <n v="0"/>
    <n v="0"/>
    <n v="0"/>
    <n v="0"/>
    <n v="41.551474131501699"/>
    <n v="36.003229217403003"/>
    <n v="0"/>
    <n v="1854.1663046962001"/>
    <n v="0"/>
    <n v="0"/>
    <n v="0"/>
    <n v="1.1541040910690501"/>
    <n v="0.70534961467681401"/>
    <n v="5561.6817117266801"/>
    <n v="747.12943890229599"/>
    <n v="0"/>
    <n v="747.12943890229599"/>
    <n v="0.207535955250646"/>
    <n v="0"/>
    <n v="45.653633644479697"/>
  </r>
  <r>
    <x v="0"/>
    <x v="32"/>
    <n v="2020"/>
    <x v="2"/>
    <x v="1"/>
    <x v="0"/>
    <s v="PS"/>
    <s v="ALL"/>
    <n v="0"/>
    <n v="0"/>
    <n v="4.7288706776609102"/>
    <n v="0"/>
    <n v="0"/>
    <n v="0"/>
    <n v="0"/>
    <n v="0"/>
    <n v="0"/>
    <n v="0"/>
    <n v="0"/>
    <n v="35.999999999999297"/>
    <n v="0"/>
    <n v="0"/>
    <n v="0"/>
    <n v="0"/>
    <n v="0"/>
    <n v="0"/>
    <n v="0.96548018671770197"/>
    <n v="7612.8112722690803"/>
    <n v="0"/>
    <n v="0"/>
    <n v="0"/>
    <n v="0"/>
    <n v="0"/>
    <n v="45.653633644479697"/>
  </r>
  <r>
    <x v="0"/>
    <x v="4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5"/>
    <n v="2020"/>
    <x v="2"/>
    <x v="1"/>
    <x v="0"/>
    <s v="PS"/>
    <s v="ALL"/>
    <n v="0"/>
    <n v="0"/>
    <n v="61.926196672998699"/>
    <n v="0"/>
    <n v="0"/>
    <n v="0"/>
    <n v="0"/>
    <n v="0"/>
    <n v="0"/>
    <n v="0"/>
    <n v="0"/>
    <n v="377.55790594390902"/>
    <n v="0"/>
    <n v="0"/>
    <n v="0"/>
    <n v="0"/>
    <n v="0"/>
    <n v="0"/>
    <n v="0.77322780604378005"/>
    <n v="6096.9012506551999"/>
    <n v="0"/>
    <n v="0"/>
    <n v="0"/>
    <n v="0"/>
    <n v="0"/>
    <n v="45.653633644479697"/>
  </r>
  <r>
    <x v="0"/>
    <x v="6"/>
    <n v="2020"/>
    <x v="2"/>
    <x v="1"/>
    <x v="0"/>
    <s v="PS"/>
    <s v="ALL"/>
    <n v="0"/>
    <n v="0"/>
    <n v="50.233917222911103"/>
    <n v="0"/>
    <n v="0"/>
    <n v="0"/>
    <n v="0"/>
    <n v="0"/>
    <n v="0"/>
    <n v="0"/>
    <n v="0"/>
    <n v="279.38505872706997"/>
    <n v="0"/>
    <n v="0"/>
    <n v="0"/>
    <n v="0"/>
    <n v="0"/>
    <n v="0"/>
    <n v="0.70534961467681401"/>
    <n v="5561.6817117266801"/>
    <n v="0"/>
    <n v="0"/>
    <n v="0"/>
    <n v="0"/>
    <n v="0"/>
    <n v="45.653633644479697"/>
  </r>
  <r>
    <x v="0"/>
    <x v="7"/>
    <n v="2020"/>
    <x v="2"/>
    <x v="1"/>
    <x v="0"/>
    <s v="PS"/>
    <s v="ALL"/>
    <n v="0"/>
    <n v="0"/>
    <n v="4.37031376935595"/>
    <n v="0"/>
    <n v="0"/>
    <n v="0"/>
    <n v="0"/>
    <n v="0"/>
    <n v="0"/>
    <n v="0"/>
    <n v="0"/>
    <n v="8.4490353980315493"/>
    <n v="0"/>
    <n v="7.9420932741505199"/>
    <n v="0"/>
    <n v="0"/>
    <n v="0"/>
    <n v="0"/>
    <n v="0.24518438811802301"/>
    <n v="1933.27890031061"/>
    <n v="0"/>
    <n v="0"/>
    <n v="0"/>
    <n v="0"/>
    <n v="0"/>
    <n v="45.653633644479697"/>
  </r>
  <r>
    <x v="0"/>
    <x v="8"/>
    <n v="2020"/>
    <x v="2"/>
    <x v="1"/>
    <x v="0"/>
    <s v="PS"/>
    <s v="ALL"/>
    <n v="0"/>
    <n v="0"/>
    <n v="4.7288706776609102"/>
    <n v="0"/>
    <n v="0"/>
    <n v="0"/>
    <n v="0"/>
    <n v="0"/>
    <n v="0"/>
    <n v="0"/>
    <n v="0"/>
    <n v="8.4458061806282103"/>
    <n v="0"/>
    <n v="0"/>
    <n v="0"/>
    <n v="0"/>
    <n v="0"/>
    <n v="0"/>
    <n v="0.22650718134039999"/>
    <n v="1786.0091248690501"/>
    <n v="0"/>
    <n v="0"/>
    <n v="0"/>
    <n v="0"/>
    <n v="0"/>
    <n v="45.653633644479697"/>
  </r>
  <r>
    <x v="0"/>
    <x v="9"/>
    <n v="2020"/>
    <x v="2"/>
    <x v="1"/>
    <x v="0"/>
    <s v="PS"/>
    <s v="ALL"/>
    <n v="0"/>
    <n v="0"/>
    <n v="35.880193378722602"/>
    <n v="16.531993734637801"/>
    <n v="1.35137241897921"/>
    <n v="3.5581526900388002E-2"/>
    <n v="0"/>
    <n v="0"/>
    <n v="0"/>
    <n v="0"/>
    <n v="1.3869539458796001"/>
    <n v="157.25547624517799"/>
    <n v="0"/>
    <n v="0"/>
    <n v="0"/>
    <n v="0"/>
    <n v="0"/>
    <n v="8.8197497409705002E-3"/>
    <n v="0.55583937123668203"/>
    <n v="4382.7934422012404"/>
    <n v="0.22339274176802901"/>
    <n v="0"/>
    <n v="0.22339274176802901"/>
    <n v="6.2053539380010705E-5"/>
    <n v="0"/>
    <n v="45.653633644479697"/>
  </r>
  <r>
    <x v="0"/>
    <x v="10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11"/>
    <n v="2020"/>
    <x v="2"/>
    <x v="1"/>
    <x v="0"/>
    <s v="PS"/>
    <s v="ALL"/>
    <n v="0"/>
    <n v="0"/>
    <n v="496.67276985103899"/>
    <n v="321.11374655723802"/>
    <n v="27.552607749921801"/>
    <n v="5.5418017551007202"/>
    <n v="0"/>
    <n v="0"/>
    <n v="0"/>
    <n v="0"/>
    <n v="33.094409505022497"/>
    <n v="998.31574410997803"/>
    <n v="0"/>
    <n v="0"/>
    <n v="0"/>
    <n v="0"/>
    <n v="0"/>
    <n v="3.3150242997045901E-2"/>
    <n v="0.25491528218135701"/>
    <n v="2010.0070000000001"/>
    <n v="44991.001198787097"/>
    <n v="0"/>
    <n v="44991.001198787097"/>
    <n v="12.4975003329969"/>
    <n v="0"/>
    <n v="45.653633644479697"/>
  </r>
  <r>
    <x v="0"/>
    <x v="12"/>
    <n v="2020"/>
    <x v="2"/>
    <x v="1"/>
    <x v="0"/>
    <s v="PS"/>
    <s v="ALL"/>
    <n v="0"/>
    <n v="0"/>
    <n v="5.8208762765206403"/>
    <n v="10.2370630722297"/>
    <n v="0.93615992871216902"/>
    <n v="8.4979322013501404E-2"/>
    <n v="2.53559469522265E-2"/>
    <n v="0"/>
    <n v="0"/>
    <n v="0"/>
    <n v="1.04649519767789"/>
    <n v="16.210324835122801"/>
    <n v="0"/>
    <n v="0"/>
    <n v="0"/>
    <n v="0"/>
    <n v="0"/>
    <n v="6.4557324317799106E-2"/>
    <n v="0.353184512936013"/>
    <n v="2784.8598845004599"/>
    <n v="320.85963564243201"/>
    <n v="0"/>
    <n v="320.85963564243201"/>
    <n v="8.9127676567345895E-2"/>
    <n v="0"/>
    <n v="45.653633644479697"/>
  </r>
  <r>
    <x v="0"/>
    <x v="13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14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15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16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17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18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19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20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21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22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23"/>
    <n v="2020"/>
    <x v="2"/>
    <x v="1"/>
    <x v="0"/>
    <s v="PS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653633644479697"/>
  </r>
  <r>
    <x v="0"/>
    <x v="24"/>
    <n v="2020"/>
    <x v="2"/>
    <x v="1"/>
    <x v="0"/>
    <s v="PS"/>
    <s v="ALL"/>
    <n v="0"/>
    <n v="0"/>
    <n v="346.66646835130098"/>
    <n v="22.879986911185899"/>
    <n v="1.96317757008537"/>
    <n v="0"/>
    <n v="0"/>
    <n v="0"/>
    <n v="0"/>
    <n v="54.908903372947201"/>
    <n v="56.8720809430325"/>
    <n v="979.02796783720203"/>
    <n v="0"/>
    <n v="0"/>
    <n v="0"/>
    <n v="0"/>
    <n v="0"/>
    <n v="5.80903537093738E-2"/>
    <n v="0.35816369734540399"/>
    <n v="2824.1207535685098"/>
    <n v="0"/>
    <n v="271970.60892090498"/>
    <n v="271970.60892090498"/>
    <n v="75.547391366921204"/>
    <n v="0"/>
    <n v="45.653633644479697"/>
  </r>
  <r>
    <x v="0"/>
    <x v="25"/>
    <n v="2020"/>
    <x v="2"/>
    <x v="1"/>
    <x v="0"/>
    <s v="PS"/>
    <s v="ALL"/>
    <n v="0"/>
    <n v="0"/>
    <n v="138.4026735816"/>
    <n v="0"/>
    <n v="0"/>
    <n v="0"/>
    <n v="0"/>
    <n v="0"/>
    <n v="0"/>
    <n v="0"/>
    <n v="0"/>
    <n v="37.801945931718301"/>
    <n v="0"/>
    <n v="0"/>
    <n v="0"/>
    <n v="0"/>
    <n v="0"/>
    <n v="0"/>
    <n v="3.4639210046072497E-2"/>
    <n v="273.13017121328102"/>
    <n v="0"/>
    <n v="0"/>
    <n v="0"/>
    <n v="0"/>
    <n v="0"/>
    <n v="45.653633644479697"/>
  </r>
  <r>
    <x v="0"/>
    <x v="26"/>
    <n v="2020"/>
    <x v="2"/>
    <x v="1"/>
    <x v="0"/>
    <s v="PS"/>
    <s v="ALL"/>
    <n v="0"/>
    <n v="0"/>
    <n v="2.4585549322478601"/>
    <n v="0.84328434176101696"/>
    <n v="7.5895590758491505E-2"/>
    <n v="2.1635283403781101E-2"/>
    <n v="1.8188966099287E-4"/>
    <n v="0"/>
    <n v="0"/>
    <n v="9.0944830496434998E-3"/>
    <n v="0.106807246872909"/>
    <n v="3.03149434988116E-2"/>
    <n v="0"/>
    <n v="0"/>
    <n v="0"/>
    <n v="0"/>
    <n v="0"/>
    <n v="3.52325403070917"/>
    <n v="1.5637781807152501E-3"/>
    <n v="12.3303909549398"/>
    <n v="162.26462552835801"/>
    <n v="22.4179007173712"/>
    <n v="184.68252624573"/>
    <n v="5.1300701734927102E-2"/>
    <n v="0"/>
    <n v="45.653633644479697"/>
  </r>
  <r>
    <x v="0"/>
    <x v="27"/>
    <n v="2020"/>
    <x v="2"/>
    <x v="1"/>
    <x v="0"/>
    <s v="PS"/>
    <s v="ALL"/>
    <n v="0"/>
    <n v="0"/>
    <n v="0.39908818406371299"/>
    <n v="0"/>
    <n v="0"/>
    <n v="0"/>
    <n v="5.3247032781094902E-4"/>
    <n v="0"/>
    <n v="0"/>
    <n v="0"/>
    <n v="5.3247032781094902E-4"/>
    <n v="0.25531043058092401"/>
    <n v="0"/>
    <n v="1.02124172232367E-2"/>
    <n v="0"/>
    <n v="0"/>
    <n v="0"/>
    <n v="2.0855799999999398E-3"/>
    <n v="8.1133085155471393E-2"/>
    <n v="639.73437645089098"/>
    <n v="0"/>
    <n v="0"/>
    <n v="0"/>
    <n v="0"/>
    <n v="0"/>
    <n v="45.653633644479697"/>
  </r>
  <r>
    <x v="0"/>
    <x v="28"/>
    <n v="2020"/>
    <x v="2"/>
    <x v="1"/>
    <x v="0"/>
    <s v="PS"/>
    <s v="ALL"/>
    <n v="0"/>
    <n v="0"/>
    <n v="0.39908818406371299"/>
    <n v="0"/>
    <n v="0"/>
    <n v="0"/>
    <n v="0"/>
    <n v="0"/>
    <n v="0"/>
    <n v="0"/>
    <n v="0"/>
    <n v="0.25523061294411098"/>
    <n v="0"/>
    <n v="1.27615306472051E-2"/>
    <n v="0"/>
    <n v="0"/>
    <n v="0"/>
    <n v="0"/>
    <n v="8.1107720539111194E-2"/>
    <n v="639.53437645089195"/>
    <n v="0"/>
    <n v="0"/>
    <n v="0"/>
    <n v="0"/>
    <n v="0"/>
    <n v="45.653633644479697"/>
  </r>
  <r>
    <x v="0"/>
    <x v="29"/>
    <n v="2020"/>
    <x v="2"/>
    <x v="1"/>
    <x v="0"/>
    <s v="PS"/>
    <s v="ALL"/>
    <n v="0"/>
    <n v="0"/>
    <n v="0.39908818406371299"/>
    <n v="0.14440197162971999"/>
    <n v="1.4707659768905E-2"/>
    <n v="2.0258115311258102E-3"/>
    <n v="0"/>
    <n v="0"/>
    <n v="0"/>
    <n v="0"/>
    <n v="1.6733471300030799E-2"/>
    <n v="1.7865423780082501"/>
    <n v="0"/>
    <n v="0"/>
    <n v="0"/>
    <n v="0"/>
    <n v="0"/>
    <n v="9.3664004313663892E-3"/>
    <n v="0.56773119123638505"/>
    <n v="4476.5604428989"/>
    <n v="0.62769794384058697"/>
    <n v="0"/>
    <n v="0.62769794384058697"/>
    <n v="1.74360539955726E-4"/>
    <n v="0"/>
    <n v="45.653633644479697"/>
  </r>
  <r>
    <x v="0"/>
    <x v="33"/>
    <n v="2020"/>
    <x v="0"/>
    <x v="2"/>
    <x v="0"/>
    <s v="None"/>
    <s v="ALL"/>
    <n v="0"/>
    <n v="0"/>
    <n v="18.416905058398701"/>
    <n v="0"/>
    <n v="0"/>
    <n v="0"/>
    <n v="0"/>
    <n v="0"/>
    <n v="0"/>
    <n v="18.0499087688011"/>
    <n v="18.0499087688011"/>
    <n v="144.69793966283501"/>
    <n v="0"/>
    <n v="0"/>
    <n v="0"/>
    <n v="0"/>
    <n v="0"/>
    <n v="0.124741988799976"/>
    <n v="0.99642358909320705"/>
    <n v="7856.7999999999402"/>
    <n v="65.574952016285394"/>
    <n v="0"/>
    <n v="65.574952016285394"/>
    <n v="1.8215264448971001E-2"/>
    <n v="0"/>
    <n v="56.162445201727103"/>
  </r>
  <r>
    <x v="0"/>
    <x v="34"/>
    <n v="2020"/>
    <x v="0"/>
    <x v="2"/>
    <x v="0"/>
    <s v="None"/>
    <s v="ALL"/>
    <n v="0"/>
    <n v="0"/>
    <n v="23.0252167056647"/>
    <n v="94.058010242640407"/>
    <n v="8.8112395595880599"/>
    <n v="13.3108030212043"/>
    <n v="0"/>
    <n v="0"/>
    <n v="0"/>
    <n v="0"/>
    <n v="22.122042580792399"/>
    <n v="180.90452261303699"/>
    <n v="0"/>
    <n v="59.189427135686699"/>
    <n v="0.62606901517029001"/>
    <n v="31.460754531170299"/>
    <n v="113.258716312213"/>
    <n v="0.122285735377177"/>
    <n v="0.99642358909320705"/>
    <n v="7856.7999999999402"/>
    <n v="425.38320356492"/>
    <n v="0"/>
    <n v="425.38320356492"/>
    <n v="0.118162000990274"/>
    <n v="57.448913053638897"/>
    <n v="56.162445201727103"/>
  </r>
  <r>
    <x v="0"/>
    <x v="1"/>
    <n v="2020"/>
    <x v="0"/>
    <x v="2"/>
    <x v="0"/>
    <s v="None"/>
    <s v="ALL"/>
    <n v="0"/>
    <n v="0"/>
    <n v="35.609902641092397"/>
    <n v="0.93102772509258502"/>
    <n v="9.4827230276272795E-2"/>
    <n v="0"/>
    <n v="7.2449474140957898E-2"/>
    <n v="0"/>
    <n v="0"/>
    <n v="0"/>
    <n v="0.16727670441723"/>
    <n v="279.779883070518"/>
    <n v="0"/>
    <n v="1.1191195322822201"/>
    <n v="0"/>
    <n v="0"/>
    <n v="0"/>
    <n v="5.9788681938603998E-4"/>
    <n v="0.99642358909321405"/>
    <n v="7856.7999999999902"/>
    <n v="0"/>
    <n v="0"/>
    <n v="0"/>
    <n v="0"/>
    <n v="0"/>
    <n v="56.162445201727103"/>
  </r>
  <r>
    <x v="0"/>
    <x v="2"/>
    <n v="2020"/>
    <x v="0"/>
    <x v="2"/>
    <x v="0"/>
    <s v="None"/>
    <s v="ALL"/>
    <n v="0"/>
    <n v="0"/>
    <n v="2.3858634769531899"/>
    <n v="134.72255295311501"/>
    <n v="12.620644271412001"/>
    <n v="2.6936398654801499"/>
    <n v="0"/>
    <n v="0"/>
    <n v="0"/>
    <n v="0"/>
    <n v="15.3142841368921"/>
    <n v="18.745252165724899"/>
    <n v="0"/>
    <n v="965.38048653476505"/>
    <n v="0"/>
    <n v="0"/>
    <n v="0"/>
    <n v="0.816968691671901"/>
    <n v="0.99642358909321405"/>
    <n v="7856.7999999999902"/>
    <n v="275.36333556243602"/>
    <n v="0"/>
    <n v="275.36333556243602"/>
    <n v="7.6489815434021904E-2"/>
    <n v="0"/>
    <n v="56.162445201727103"/>
  </r>
  <r>
    <x v="0"/>
    <x v="35"/>
    <n v="2020"/>
    <x v="0"/>
    <x v="2"/>
    <x v="0"/>
    <s v="None"/>
    <s v="ALL"/>
    <n v="0"/>
    <n v="0"/>
    <n v="2.3858634769531601"/>
    <n v="0"/>
    <n v="0"/>
    <n v="0"/>
    <n v="0"/>
    <n v="0"/>
    <n v="0"/>
    <n v="0"/>
    <n v="0"/>
    <n v="18.7452521657247"/>
    <n v="0"/>
    <n v="0"/>
    <n v="0"/>
    <n v="0"/>
    <n v="0"/>
    <n v="0"/>
    <n v="0.99642358909320705"/>
    <n v="7856.7999999999402"/>
    <n v="0"/>
    <n v="0"/>
    <n v="0"/>
    <n v="0"/>
    <n v="0"/>
    <n v="56.162445201727103"/>
  </r>
  <r>
    <x v="0"/>
    <x v="4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5"/>
    <n v="2020"/>
    <x v="0"/>
    <x v="2"/>
    <x v="0"/>
    <s v="None"/>
    <s v="ALL"/>
    <n v="0"/>
    <n v="0"/>
    <n v="30.2105692073578"/>
    <n v="0"/>
    <n v="0"/>
    <n v="0"/>
    <n v="0"/>
    <n v="0"/>
    <n v="0"/>
    <n v="0"/>
    <n v="0"/>
    <n v="237.35840014840201"/>
    <n v="0"/>
    <n v="0"/>
    <n v="0"/>
    <n v="0"/>
    <n v="0"/>
    <n v="0"/>
    <n v="0.99642358909321105"/>
    <n v="7856.7999999999602"/>
    <n v="0"/>
    <n v="0"/>
    <n v="0"/>
    <n v="0"/>
    <n v="0"/>
    <n v="56.162445201727103"/>
  </r>
  <r>
    <x v="0"/>
    <x v="6"/>
    <n v="2020"/>
    <x v="0"/>
    <x v="2"/>
    <x v="0"/>
    <s v="None"/>
    <s v="ALL"/>
    <n v="0"/>
    <n v="0"/>
    <n v="18.514300581157102"/>
    <n v="0"/>
    <n v="0"/>
    <n v="0"/>
    <n v="0"/>
    <n v="0"/>
    <n v="0"/>
    <n v="0"/>
    <n v="0"/>
    <n v="145.46315680603499"/>
    <n v="0"/>
    <n v="0"/>
    <n v="0"/>
    <n v="0"/>
    <n v="0"/>
    <n v="0"/>
    <n v="0.99642358909321305"/>
    <n v="7856.7999999999802"/>
    <n v="0"/>
    <n v="0"/>
    <n v="0"/>
    <n v="0"/>
    <n v="0"/>
    <n v="56.162445201727103"/>
  </r>
  <r>
    <x v="0"/>
    <x v="7"/>
    <n v="2020"/>
    <x v="0"/>
    <x v="2"/>
    <x v="0"/>
    <s v="None"/>
    <s v="ALL"/>
    <n v="0"/>
    <n v="0"/>
    <n v="4.9567461246624601E-14"/>
    <n v="0"/>
    <n v="0"/>
    <n v="0"/>
    <n v="0"/>
    <n v="0"/>
    <n v="0"/>
    <n v="0"/>
    <n v="0"/>
    <n v="3.1836822733790002E-15"/>
    <n v="0"/>
    <n v="2.9926613369756999E-15"/>
    <n v="0"/>
    <n v="0"/>
    <n v="0"/>
    <n v="0"/>
    <n v="8.1457550423206897E-3"/>
    <n v="64.229278508698698"/>
    <n v="0"/>
    <n v="0"/>
    <n v="0"/>
    <n v="0"/>
    <n v="0"/>
    <n v="56.162445201727103"/>
  </r>
  <r>
    <x v="0"/>
    <x v="8"/>
    <n v="2020"/>
    <x v="0"/>
    <x v="2"/>
    <x v="0"/>
    <s v="None"/>
    <s v="ALL"/>
    <n v="0"/>
    <n v="0"/>
    <n v="-7.2304828790947796E-14"/>
    <n v="0"/>
    <n v="0"/>
    <n v="0"/>
    <n v="0"/>
    <n v="0"/>
    <n v="0"/>
    <n v="0"/>
    <n v="0"/>
    <n v="3.1984420122372099E-15"/>
    <n v="0"/>
    <n v="0"/>
    <n v="0"/>
    <n v="0"/>
    <n v="0"/>
    <n v="0"/>
    <n v="-5.6100855189927298E-3"/>
    <n v="-44.2355243172576"/>
    <n v="0"/>
    <n v="0"/>
    <n v="0"/>
    <n v="0"/>
    <n v="0"/>
    <n v="56.162445201727103"/>
  </r>
  <r>
    <x v="0"/>
    <x v="9"/>
    <n v="2020"/>
    <x v="0"/>
    <x v="2"/>
    <x v="0"/>
    <s v="None"/>
    <s v="ALL"/>
    <n v="0"/>
    <n v="0"/>
    <n v="0"/>
    <n v="0"/>
    <n v="0"/>
    <n v="0"/>
    <n v="0"/>
    <n v="0"/>
    <n v="0"/>
    <n v="0"/>
    <n v="0"/>
    <n v="5.5417106429522598E-14"/>
    <n v="0"/>
    <n v="0"/>
    <n v="0"/>
    <n v="0"/>
    <n v="0"/>
    <n v="0"/>
    <s v="NaN"/>
    <s v="NaN"/>
    <n v="0"/>
    <n v="0"/>
    <n v="0"/>
    <n v="0"/>
    <n v="0"/>
    <n v="56.162445201727103"/>
  </r>
  <r>
    <x v="0"/>
    <x v="10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11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12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13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14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15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16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17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18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19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20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21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22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23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24"/>
    <n v="2020"/>
    <x v="0"/>
    <x v="2"/>
    <x v="0"/>
    <s v="None"/>
    <s v="ALL"/>
    <n v="0"/>
    <n v="0"/>
    <n v="130.54793722671599"/>
    <n v="8.6161638569633006"/>
    <n v="0.73929498691718898"/>
    <n v="0"/>
    <n v="0"/>
    <n v="0"/>
    <n v="0"/>
    <n v="56.865909134358802"/>
    <n v="57.605204121276003"/>
    <n v="1025.689033203"/>
    <n v="0"/>
    <n v="0"/>
    <n v="0"/>
    <n v="0"/>
    <n v="0"/>
    <n v="5.6162445201727099E-2"/>
    <n v="0.99642358909321205"/>
    <n v="7856.7999999999702"/>
    <n v="0"/>
    <n v="206049.765501924"/>
    <n v="206049.765501924"/>
    <n v="57.236045972765602"/>
    <n v="0"/>
    <n v="56.162445201727103"/>
  </r>
  <r>
    <x v="0"/>
    <x v="25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26"/>
    <n v="2020"/>
    <x v="0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56.162445201727103"/>
  </r>
  <r>
    <x v="0"/>
    <x v="27"/>
    <n v="2020"/>
    <x v="0"/>
    <x v="2"/>
    <x v="0"/>
    <s v="None"/>
    <s v="ALL"/>
    <n v="0"/>
    <n v="0"/>
    <n v="-5.5968904724487905E-13"/>
    <n v="0"/>
    <n v="0"/>
    <n v="0"/>
    <n v="7.6991204692518696E-17"/>
    <n v="0"/>
    <n v="0"/>
    <n v="0"/>
    <n v="7.6991204692518696E-17"/>
    <n v="3.6915968072439799E-14"/>
    <n v="0"/>
    <n v="1.4766387228975801E-15"/>
    <n v="0"/>
    <n v="0"/>
    <n v="0"/>
    <n v="2.0855799999999901E-3"/>
    <n v="-8.3649963522719993E-3"/>
    <n v="-65.957996237664702"/>
    <n v="0"/>
    <n v="0"/>
    <n v="0"/>
    <n v="0"/>
    <n v="0"/>
    <n v="56.162445201727103"/>
  </r>
  <r>
    <x v="0"/>
    <x v="28"/>
    <n v="2020"/>
    <x v="0"/>
    <x v="2"/>
    <x v="0"/>
    <s v="None"/>
    <s v="ALL"/>
    <n v="0"/>
    <n v="0"/>
    <n v="-5.5968904724487905E-13"/>
    <n v="0"/>
    <n v="0"/>
    <n v="0"/>
    <n v="0"/>
    <n v="0"/>
    <n v="0"/>
    <n v="0"/>
    <n v="0"/>
    <n v="3.6915968072439698E-14"/>
    <n v="0"/>
    <n v="1.8457984036219799E-15"/>
    <n v="0"/>
    <n v="0"/>
    <n v="0"/>
    <n v="0"/>
    <n v="-8.3649963522719507E-3"/>
    <n v="-65.957996237664304"/>
    <n v="0"/>
    <n v="0"/>
    <n v="0"/>
    <n v="0"/>
    <n v="0"/>
    <n v="56.162445201727103"/>
  </r>
  <r>
    <x v="0"/>
    <x v="29"/>
    <n v="2020"/>
    <x v="0"/>
    <x v="2"/>
    <x v="0"/>
    <s v="None"/>
    <s v="ALL"/>
    <n v="0"/>
    <n v="0"/>
    <n v="0"/>
    <n v="0"/>
    <n v="0"/>
    <n v="0"/>
    <n v="0"/>
    <n v="0"/>
    <n v="0"/>
    <n v="0"/>
    <n v="0"/>
    <n v="-3.3683297660237601E-13"/>
    <n v="0"/>
    <n v="0"/>
    <n v="0"/>
    <n v="0"/>
    <n v="0"/>
    <n v="0"/>
    <s v="NaN"/>
    <s v="NaN"/>
    <n v="0"/>
    <n v="0"/>
    <n v="0"/>
    <n v="0"/>
    <n v="0"/>
    <n v="56.162445201727103"/>
  </r>
  <r>
    <x v="0"/>
    <x v="33"/>
    <n v="2020"/>
    <x v="1"/>
    <x v="2"/>
    <x v="0"/>
    <s v="None"/>
    <s v="ALL"/>
    <n v="0"/>
    <n v="0"/>
    <n v="18.497903198044199"/>
    <n v="0"/>
    <n v="0"/>
    <n v="0"/>
    <n v="0"/>
    <n v="0"/>
    <n v="0"/>
    <n v="18.0499087688011"/>
    <n v="18.0499087688011"/>
    <n v="144.697939662832"/>
    <n v="0"/>
    <n v="0"/>
    <n v="0"/>
    <n v="0"/>
    <n v="0"/>
    <n v="0.124741988799979"/>
    <n v="0.99206047527694896"/>
    <n v="7822.3968475587399"/>
    <n v="65.863352760265897"/>
    <n v="0"/>
    <n v="65.863352760265897"/>
    <n v="1.82953757667393E-2"/>
    <n v="0"/>
    <n v="46.531583224357703"/>
  </r>
  <r>
    <x v="0"/>
    <x v="34"/>
    <n v="2020"/>
    <x v="1"/>
    <x v="2"/>
    <x v="0"/>
    <s v="None"/>
    <s v="ALL"/>
    <n v="0"/>
    <n v="0"/>
    <n v="23.126482347865402"/>
    <n v="94.471680391030304"/>
    <n v="8.8499916740194795"/>
    <n v="13.369344360179699"/>
    <n v="0"/>
    <n v="0"/>
    <n v="0"/>
    <n v="0"/>
    <n v="22.219336034199198"/>
    <n v="180.90452261307701"/>
    <n v="0"/>
    <n v="59.189427135670599"/>
    <n v="0.58605427121242604"/>
    <n v="29.449963377508801"/>
    <n v="106.01986815903101"/>
    <n v="0.12282355196681501"/>
    <n v="0.99206047527694896"/>
    <n v="7822.3968475587399"/>
    <n v="427.25405254936402"/>
    <n v="0"/>
    <n v="427.25405254936402"/>
    <n v="0.118681681263704"/>
    <n v="92.700265266948406"/>
    <n v="46.531583224357703"/>
  </r>
  <r>
    <x v="0"/>
    <x v="1"/>
    <n v="2020"/>
    <x v="1"/>
    <x v="2"/>
    <x v="0"/>
    <s v="None"/>
    <s v="ALL"/>
    <n v="0"/>
    <n v="0"/>
    <n v="39.343167749617997"/>
    <n v="1.02863465640576"/>
    <n v="0.10476871182696899"/>
    <n v="0"/>
    <n v="7.2451306145322802E-2"/>
    <n v="0"/>
    <n v="0"/>
    <n v="0"/>
    <n v="0.177220017972292"/>
    <n v="279.78695776602302"/>
    <n v="0"/>
    <n v="1.1191478310640299"/>
    <n v="0"/>
    <n v="0"/>
    <n v="0"/>
    <n v="6.3341057562981795E-4"/>
    <n v="0.90189596469207101"/>
    <n v="7111.4496815969796"/>
    <n v="0"/>
    <n v="0"/>
    <n v="0"/>
    <n v="0"/>
    <n v="0"/>
    <n v="46.531583224357703"/>
  </r>
  <r>
    <x v="0"/>
    <x v="2"/>
    <n v="2020"/>
    <x v="1"/>
    <x v="2"/>
    <x v="0"/>
    <s v="None"/>
    <s v="ALL"/>
    <n v="0"/>
    <n v="0"/>
    <n v="2.6359922392244002"/>
    <n v="148.84657377228399"/>
    <n v="13.9437652970563"/>
    <n v="2.97603523808435"/>
    <n v="0"/>
    <n v="0"/>
    <n v="0"/>
    <n v="0"/>
    <n v="16.919800535140599"/>
    <n v="18.745726170323501"/>
    <n v="0"/>
    <n v="965.40489777179801"/>
    <n v="0"/>
    <n v="0"/>
    <n v="0"/>
    <n v="0.90259509721882303"/>
    <n v="0.90189596469207101"/>
    <n v="7111.4496815969796"/>
    <n v="304.231831586802"/>
    <n v="0"/>
    <n v="304.231831586802"/>
    <n v="8.45088421074396E-2"/>
    <n v="0"/>
    <n v="46.531583224357703"/>
  </r>
  <r>
    <x v="0"/>
    <x v="35"/>
    <n v="2020"/>
    <x v="1"/>
    <x v="2"/>
    <x v="0"/>
    <s v="None"/>
    <s v="ALL"/>
    <n v="0"/>
    <n v="0"/>
    <n v="2.39635658111309"/>
    <n v="0"/>
    <n v="0"/>
    <n v="0"/>
    <n v="0"/>
    <n v="0"/>
    <n v="0"/>
    <n v="0"/>
    <n v="0"/>
    <n v="18.745252165724601"/>
    <n v="0"/>
    <n v="0"/>
    <n v="0"/>
    <n v="0"/>
    <n v="0"/>
    <n v="0"/>
    <n v="0.99206047527694896"/>
    <n v="7822.3968475587399"/>
    <n v="0"/>
    <n v="0"/>
    <n v="0"/>
    <n v="0"/>
    <n v="0"/>
    <n v="46.531583224357703"/>
  </r>
  <r>
    <x v="0"/>
    <x v="4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5"/>
    <n v="2020"/>
    <x v="1"/>
    <x v="2"/>
    <x v="0"/>
    <s v="None"/>
    <s v="ALL"/>
    <n v="0"/>
    <n v="0"/>
    <n v="32.037660363363599"/>
    <n v="0"/>
    <n v="0"/>
    <n v="0"/>
    <n v="0"/>
    <n v="0"/>
    <n v="0"/>
    <n v="0"/>
    <n v="0"/>
    <n v="237.36175136090199"/>
    <n v="0"/>
    <n v="0"/>
    <n v="0"/>
    <n v="0"/>
    <n v="0"/>
    <n v="0"/>
    <n v="0.93961133453011503"/>
    <n v="7408.8353727699596"/>
    <n v="0"/>
    <n v="0"/>
    <n v="0"/>
    <n v="0"/>
    <n v="0"/>
    <n v="46.531583224357703"/>
  </r>
  <r>
    <x v="0"/>
    <x v="6"/>
    <n v="2020"/>
    <x v="1"/>
    <x v="2"/>
    <x v="0"/>
    <s v="None"/>
    <s v="ALL"/>
    <n v="0"/>
    <n v="0"/>
    <n v="20.455299776381501"/>
    <n v="0"/>
    <n v="0"/>
    <n v="0"/>
    <n v="0"/>
    <n v="0"/>
    <n v="0"/>
    <n v="0"/>
    <n v="0"/>
    <n v="145.46683508170099"/>
    <n v="0"/>
    <n v="0"/>
    <n v="0"/>
    <n v="0"/>
    <n v="0"/>
    <n v="0"/>
    <n v="0.90189596469207001"/>
    <n v="7111.4496815969696"/>
    <n v="0"/>
    <n v="0"/>
    <n v="0"/>
    <n v="0"/>
    <n v="0"/>
    <n v="46.531583224357703"/>
  </r>
  <r>
    <x v="0"/>
    <x v="7"/>
    <n v="2020"/>
    <x v="1"/>
    <x v="2"/>
    <x v="0"/>
    <s v="None"/>
    <s v="ALL"/>
    <n v="0"/>
    <n v="0"/>
    <n v="1.43781394866787"/>
    <n v="0"/>
    <n v="0"/>
    <n v="0"/>
    <n v="0"/>
    <n v="0"/>
    <n v="0"/>
    <n v="0"/>
    <n v="0"/>
    <n v="1.29366829932575"/>
    <n v="0"/>
    <n v="1.2160482013662"/>
    <n v="0"/>
    <n v="0"/>
    <n v="0"/>
    <n v="0"/>
    <n v="0.114108644376825"/>
    <n v="899.74666091127096"/>
    <n v="0"/>
    <n v="0"/>
    <n v="0"/>
    <n v="0"/>
    <n v="0"/>
    <n v="46.531583224357703"/>
  </r>
  <r>
    <x v="0"/>
    <x v="8"/>
    <n v="2020"/>
    <x v="1"/>
    <x v="2"/>
    <x v="0"/>
    <s v="None"/>
    <s v="ALL"/>
    <n v="0"/>
    <n v="0"/>
    <n v="2.39635658111309"/>
    <n v="0"/>
    <n v="0"/>
    <n v="0"/>
    <n v="0"/>
    <n v="0"/>
    <n v="0"/>
    <n v="0"/>
    <n v="0"/>
    <n v="1.29319429472717"/>
    <n v="0"/>
    <n v="0"/>
    <n v="0"/>
    <n v="0"/>
    <n v="0"/>
    <n v="0"/>
    <n v="6.8440100741788107E-2"/>
    <n v="539.65019434899898"/>
    <n v="0"/>
    <n v="0"/>
    <n v="0"/>
    <n v="0"/>
    <n v="0"/>
    <n v="46.531583224357703"/>
  </r>
  <r>
    <x v="0"/>
    <x v="9"/>
    <n v="2020"/>
    <x v="1"/>
    <x v="2"/>
    <x v="0"/>
    <s v="None"/>
    <s v="ALL"/>
    <n v="0"/>
    <n v="0"/>
    <n v="5.2667177606881204"/>
    <n v="2.4266687780293501"/>
    <n v="0.19836284172767399"/>
    <n v="5.2228776389428499E-3"/>
    <n v="0"/>
    <n v="0"/>
    <n v="0"/>
    <n v="0"/>
    <n v="0.20358571936661701"/>
    <n v="22.597398218683299"/>
    <n v="0"/>
    <n v="0"/>
    <n v="0"/>
    <n v="0"/>
    <n v="0"/>
    <n v="9.0092548441392806E-3"/>
    <n v="0.54414757216853304"/>
    <n v="4290.6036065488797"/>
    <n v="3.2790974905285798E-2"/>
    <n v="0"/>
    <n v="3.2790974905285798E-2"/>
    <n v="9.1086041403565599E-6"/>
    <n v="0"/>
    <n v="46.531583224357703"/>
  </r>
  <r>
    <x v="0"/>
    <x v="10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11"/>
    <n v="2020"/>
    <x v="1"/>
    <x v="2"/>
    <x v="0"/>
    <s v="None"/>
    <s v="ALL"/>
    <n v="0"/>
    <n v="0"/>
    <n v="194.45587518693901"/>
    <n v="125.721518093436"/>
    <n v="10.7873166779414"/>
    <n v="2.1697100703222101"/>
    <n v="0"/>
    <n v="0"/>
    <n v="0"/>
    <n v="0"/>
    <n v="12.957026748263599"/>
    <n v="469.26694613325202"/>
    <n v="0"/>
    <n v="0"/>
    <n v="0"/>
    <n v="0"/>
    <n v="0"/>
    <n v="2.76112069154438E-2"/>
    <n v="0.30605339251743702"/>
    <n v="2413.2309999999902"/>
    <n v="17614.745652898699"/>
    <n v="0"/>
    <n v="17614.745652898699"/>
    <n v="4.8929849035826596"/>
    <n v="0"/>
    <n v="46.531583224357703"/>
  </r>
  <r>
    <x v="0"/>
    <x v="12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13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14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15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16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17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18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19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20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21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22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23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24"/>
    <n v="2020"/>
    <x v="1"/>
    <x v="2"/>
    <x v="0"/>
    <s v="None"/>
    <s v="ALL"/>
    <n v="0"/>
    <n v="0"/>
    <n v="143.70289176314799"/>
    <n v="9.4843908563678099"/>
    <n v="0.81379169784581995"/>
    <n v="0"/>
    <n v="0"/>
    <n v="0"/>
    <n v="0"/>
    <n v="34.679198637471302"/>
    <n v="35.492990335317103"/>
    <n v="571.96169313253495"/>
    <n v="0"/>
    <n v="0"/>
    <n v="0"/>
    <n v="0"/>
    <n v="0"/>
    <n v="6.20548382198957E-2"/>
    <n v="0.504777208761229"/>
    <n v="3980.1682910822901"/>
    <n v="0"/>
    <n v="315308.82728026598"/>
    <n v="315308.82728026598"/>
    <n v="87.585785355623699"/>
    <n v="0"/>
    <n v="46.531583224357703"/>
  </r>
  <r>
    <x v="0"/>
    <x v="25"/>
    <n v="2020"/>
    <x v="1"/>
    <x v="2"/>
    <x v="0"/>
    <s v="None"/>
    <s v="ALL"/>
    <n v="0"/>
    <n v="0"/>
    <n v="23.529160897618901"/>
    <n v="0"/>
    <n v="0"/>
    <n v="0"/>
    <n v="0"/>
    <n v="0"/>
    <n v="0"/>
    <n v="0"/>
    <n v="0"/>
    <n v="14.299118325995201"/>
    <n v="0"/>
    <n v="0"/>
    <n v="0"/>
    <n v="0"/>
    <n v="0"/>
    <n v="0"/>
    <n v="7.7072797497074394E-2"/>
    <n v="607.71900826443198"/>
    <n v="0"/>
    <n v="0"/>
    <n v="0"/>
    <n v="0"/>
    <n v="0"/>
    <n v="46.531583224357703"/>
  </r>
  <r>
    <x v="0"/>
    <x v="26"/>
    <n v="2020"/>
    <x v="1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6.531583224357703"/>
  </r>
  <r>
    <x v="0"/>
    <x v="27"/>
    <n v="2020"/>
    <x v="1"/>
    <x v="2"/>
    <x v="0"/>
    <s v="None"/>
    <s v="ALL"/>
    <n v="0"/>
    <n v="0"/>
    <n v="1.8381366604252799E-13"/>
    <n v="0"/>
    <n v="0"/>
    <n v="0"/>
    <n v="3.3616368758772802E-18"/>
    <n v="0"/>
    <n v="0"/>
    <n v="0"/>
    <n v="3.3616368758772802E-18"/>
    <n v="1.61184748409425E-15"/>
    <n v="0"/>
    <n v="6.4473899363770001E-17"/>
    <n v="0"/>
    <n v="0"/>
    <n v="0"/>
    <n v="2.0855799999999901E-3"/>
    <n v="1.1121015631043599E-3"/>
    <n v="8.7689208250779398"/>
    <n v="0"/>
    <n v="0"/>
    <n v="0"/>
    <n v="0"/>
    <n v="0"/>
    <n v="46.531583224357703"/>
  </r>
  <r>
    <x v="0"/>
    <x v="28"/>
    <n v="2020"/>
    <x v="1"/>
    <x v="2"/>
    <x v="0"/>
    <s v="None"/>
    <s v="ALL"/>
    <n v="0"/>
    <n v="0"/>
    <n v="-7.6589027517720299E-13"/>
    <n v="0"/>
    <n v="0"/>
    <n v="0"/>
    <n v="0"/>
    <n v="0"/>
    <n v="0"/>
    <n v="0"/>
    <n v="0"/>
    <n v="1.6118474840942601E-15"/>
    <n v="0"/>
    <n v="8.0592374204712699E-17"/>
    <n v="0"/>
    <n v="0"/>
    <n v="0"/>
    <n v="0"/>
    <n v="-2.6690437514504799E-4"/>
    <n v="-2.10454099801871"/>
    <n v="0"/>
    <n v="0"/>
    <n v="0"/>
    <n v="0"/>
    <n v="0"/>
    <n v="46.531583224357703"/>
  </r>
  <r>
    <x v="0"/>
    <x v="29"/>
    <n v="2020"/>
    <x v="1"/>
    <x v="2"/>
    <x v="0"/>
    <s v="None"/>
    <s v="ALL"/>
    <n v="0"/>
    <n v="0"/>
    <n v="0"/>
    <n v="0"/>
    <n v="0"/>
    <n v="0"/>
    <n v="0"/>
    <n v="0"/>
    <n v="0"/>
    <n v="0"/>
    <n v="0"/>
    <n v="2.7240860706923098E-15"/>
    <n v="0"/>
    <n v="0"/>
    <n v="0"/>
    <n v="0"/>
    <n v="0"/>
    <n v="0"/>
    <s v="NaN"/>
    <s v="NaN"/>
    <n v="0"/>
    <n v="0"/>
    <n v="0"/>
    <n v="0"/>
    <n v="0"/>
    <n v="46.531583224357703"/>
  </r>
  <r>
    <x v="0"/>
    <x v="33"/>
    <n v="2020"/>
    <x v="2"/>
    <x v="2"/>
    <x v="0"/>
    <s v="None"/>
    <s v="ALL"/>
    <n v="0"/>
    <n v="0"/>
    <n v="18.8311127408377"/>
    <n v="0"/>
    <n v="0"/>
    <n v="0"/>
    <n v="0"/>
    <n v="0"/>
    <n v="0"/>
    <n v="18.049908768805999"/>
    <n v="18.049908768805999"/>
    <n v="144.697939662853"/>
    <n v="0"/>
    <n v="0"/>
    <n v="0"/>
    <n v="0"/>
    <n v="0"/>
    <n v="0.124741988799994"/>
    <n v="0.97450633379100104"/>
    <n v="7683.9824419420402"/>
    <n v="67.049773589974507"/>
    <n v="0"/>
    <n v="67.049773589974507"/>
    <n v="1.8624937108324802E-2"/>
    <n v="0"/>
    <n v="45.852553354456198"/>
  </r>
  <r>
    <x v="0"/>
    <x v="34"/>
    <n v="2020"/>
    <x v="2"/>
    <x v="2"/>
    <x v="0"/>
    <s v="None"/>
    <s v="ALL"/>
    <n v="0"/>
    <n v="0"/>
    <n v="23.543068191517602"/>
    <n v="96.173433562349402"/>
    <n v="9.0094098333564592"/>
    <n v="13.610171283859099"/>
    <n v="0"/>
    <n v="0"/>
    <n v="0"/>
    <n v="0"/>
    <n v="22.619581117215599"/>
    <n v="180.904522613079"/>
    <n v="0"/>
    <n v="59.1894271356704"/>
    <n v="0.61671266041486195"/>
    <n v="30.9905859504955"/>
    <n v="111.56610942178401"/>
    <n v="0.125036017842376"/>
    <n v="0.97450633379100104"/>
    <n v="7683.9824419420402"/>
    <n v="434.95033714889001"/>
    <n v="0"/>
    <n v="434.95033714889001"/>
    <n v="0.120819538096904"/>
    <n v="46.7036922201804"/>
    <n v="45.852553354456198"/>
  </r>
  <r>
    <x v="0"/>
    <x v="1"/>
    <n v="2020"/>
    <x v="2"/>
    <x v="2"/>
    <x v="0"/>
    <s v="None"/>
    <s v="ALL"/>
    <n v="0"/>
    <n v="0"/>
    <n v="50.468582444975702"/>
    <n v="1.3195107545217299"/>
    <n v="0.13439508491394001"/>
    <n v="0"/>
    <n v="7.2456313004908499E-2"/>
    <n v="0"/>
    <n v="0"/>
    <n v="0"/>
    <n v="0.20685139791884899"/>
    <n v="279.80629287650697"/>
    <n v="0"/>
    <n v="1.1192251715060599"/>
    <n v="0"/>
    <n v="0"/>
    <n v="0"/>
    <n v="7.3926642532712002E-4"/>
    <n v="0.70312845439184202"/>
    <n v="5544.1678628796699"/>
    <n v="0"/>
    <n v="0"/>
    <n v="0"/>
    <n v="0"/>
    <n v="0"/>
    <n v="45.852553354456198"/>
  </r>
  <r>
    <x v="0"/>
    <x v="2"/>
    <n v="2020"/>
    <x v="2"/>
    <x v="2"/>
    <x v="0"/>
    <s v="None"/>
    <s v="ALL"/>
    <n v="0"/>
    <n v="0"/>
    <n v="3.3813950238133699"/>
    <n v="190.93723280967001"/>
    <n v="17.886766845171199"/>
    <n v="3.8175949818852999"/>
    <n v="0"/>
    <n v="0"/>
    <n v="0"/>
    <n v="0"/>
    <n v="21.704361827056498"/>
    <n v="18.747021622726798"/>
    <n v="0"/>
    <n v="965.47161357047196"/>
    <n v="0"/>
    <n v="0"/>
    <n v="0"/>
    <n v="1.15774986895756"/>
    <n v="0.70312845439184202"/>
    <n v="5544.1678628796699"/>
    <n v="390.26215104333102"/>
    <n v="0"/>
    <n v="390.26215104333102"/>
    <n v="0.108406153067583"/>
    <n v="0"/>
    <n v="45.852553354456198"/>
  </r>
  <r>
    <x v="0"/>
    <x v="35"/>
    <n v="2020"/>
    <x v="2"/>
    <x v="2"/>
    <x v="0"/>
    <s v="None"/>
    <s v="ALL"/>
    <n v="0"/>
    <n v="0"/>
    <n v="2.4395230347491599"/>
    <n v="0"/>
    <n v="0"/>
    <n v="0"/>
    <n v="0"/>
    <n v="0"/>
    <n v="0"/>
    <n v="0"/>
    <n v="0"/>
    <n v="18.745252165726399"/>
    <n v="0"/>
    <n v="0"/>
    <n v="0"/>
    <n v="0"/>
    <n v="0"/>
    <n v="0"/>
    <n v="0.97450633379100104"/>
    <n v="7683.9824419420402"/>
    <n v="0"/>
    <n v="0"/>
    <n v="0"/>
    <n v="0"/>
    <n v="0"/>
    <n v="45.852553354456198"/>
  </r>
  <r>
    <x v="0"/>
    <x v="4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5"/>
    <n v="2020"/>
    <x v="2"/>
    <x v="2"/>
    <x v="0"/>
    <s v="None"/>
    <s v="ALL"/>
    <n v="0"/>
    <n v="0"/>
    <n v="37.549058715572002"/>
    <n v="0"/>
    <n v="0"/>
    <n v="0"/>
    <n v="0"/>
    <n v="0"/>
    <n v="0"/>
    <n v="0"/>
    <n v="0"/>
    <n v="237.37091020937001"/>
    <n v="0"/>
    <n v="0"/>
    <n v="0"/>
    <n v="0"/>
    <n v="0"/>
    <n v="0"/>
    <n v="0.80172743052406703"/>
    <n v="6321.6207896822698"/>
    <n v="0"/>
    <n v="0"/>
    <n v="0"/>
    <n v="0"/>
    <n v="0"/>
    <n v="45.852553354456198"/>
  </r>
  <r>
    <x v="0"/>
    <x v="6"/>
    <n v="2020"/>
    <x v="2"/>
    <x v="2"/>
    <x v="0"/>
    <s v="None"/>
    <s v="ALL"/>
    <n v="0"/>
    <n v="0"/>
    <n v="26.2396253847918"/>
    <n v="0"/>
    <n v="0"/>
    <n v="0"/>
    <n v="0"/>
    <n v="0"/>
    <n v="0"/>
    <n v="0"/>
    <n v="0"/>
    <n v="145.476887792361"/>
    <n v="0"/>
    <n v="0"/>
    <n v="0"/>
    <n v="0"/>
    <n v="0"/>
    <n v="0"/>
    <n v="0.70312845439184202"/>
    <n v="5544.1678628796699"/>
    <n v="0"/>
    <n v="0"/>
    <n v="0"/>
    <n v="0"/>
    <n v="0"/>
    <n v="45.852553354456198"/>
  </r>
  <r>
    <x v="0"/>
    <x v="7"/>
    <n v="2020"/>
    <x v="2"/>
    <x v="2"/>
    <x v="0"/>
    <s v="None"/>
    <s v="ALL"/>
    <n v="0"/>
    <n v="0"/>
    <n v="5.72226285376661"/>
    <n v="0"/>
    <n v="0"/>
    <n v="0"/>
    <n v="0"/>
    <n v="0"/>
    <n v="0"/>
    <n v="0"/>
    <n v="0"/>
    <n v="4.5388517169609601"/>
    <n v="0"/>
    <n v="4.2665206139429399"/>
    <n v="0"/>
    <n v="0"/>
    <n v="0"/>
    <n v="0"/>
    <n v="0.100595022859401"/>
    <n v="793.19175524638297"/>
    <n v="0"/>
    <n v="0"/>
    <n v="0"/>
    <n v="0"/>
    <n v="0"/>
    <n v="45.852553354456198"/>
  </r>
  <r>
    <x v="0"/>
    <x v="8"/>
    <n v="2020"/>
    <x v="2"/>
    <x v="2"/>
    <x v="0"/>
    <s v="None"/>
    <s v="ALL"/>
    <n v="0"/>
    <n v="0"/>
    <n v="4.7803908647024"/>
    <n v="0"/>
    <n v="0"/>
    <n v="0"/>
    <n v="0"/>
    <n v="0"/>
    <n v="0"/>
    <n v="0"/>
    <n v="0"/>
    <n v="4.5370822599592397"/>
    <n v="0"/>
    <n v="0"/>
    <n v="0"/>
    <n v="0"/>
    <n v="0"/>
    <n v="0"/>
    <n v="0.12036813952617501"/>
    <n v="949.10278016389395"/>
    <n v="0"/>
    <n v="0"/>
    <n v="0"/>
    <n v="0"/>
    <n v="0"/>
    <n v="45.852553354456198"/>
  </r>
  <r>
    <x v="0"/>
    <x v="9"/>
    <n v="2020"/>
    <x v="2"/>
    <x v="2"/>
    <x v="0"/>
    <s v="None"/>
    <s v="ALL"/>
    <n v="0"/>
    <n v="0"/>
    <n v="19.660633349852802"/>
    <n v="9.0587434668489006"/>
    <n v="0.74048758233309098"/>
    <n v="1.9496978375576401E-2"/>
    <n v="0"/>
    <n v="0"/>
    <n v="0"/>
    <n v="0"/>
    <n v="0.75998456070866705"/>
    <n v="86.099663530753205"/>
    <n v="0"/>
    <n v="0"/>
    <n v="0"/>
    <n v="0"/>
    <n v="0"/>
    <n v="8.8268005883346407E-3"/>
    <n v="0.55539536680650403"/>
    <n v="4379.2924672692798"/>
    <n v="0.122408559579395"/>
    <n v="0"/>
    <n v="0.122408559579395"/>
    <n v="3.4002377660940502E-5"/>
    <n v="0"/>
    <n v="45.852553354456198"/>
  </r>
  <r>
    <x v="0"/>
    <x v="10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11"/>
    <n v="2020"/>
    <x v="2"/>
    <x v="2"/>
    <x v="0"/>
    <s v="None"/>
    <s v="ALL"/>
    <n v="0"/>
    <n v="0"/>
    <n v="261.33148576457"/>
    <n v="168.95859322506999"/>
    <n v="14.497198874291"/>
    <n v="2.9158983024326601"/>
    <n v="0"/>
    <n v="0"/>
    <n v="0"/>
    <n v="0"/>
    <n v="17.4130971767236"/>
    <n v="525.27811570718598"/>
    <n v="0"/>
    <n v="0"/>
    <n v="0"/>
    <n v="0"/>
    <n v="0"/>
    <n v="3.3150242997045901E-2"/>
    <n v="0.25491528218135701"/>
    <n v="2010.0070000000001"/>
    <n v="23672.659149083"/>
    <n v="0"/>
    <n v="23672.659149083"/>
    <n v="6.5757386525225501"/>
    <n v="0"/>
    <n v="45.852553354456198"/>
  </r>
  <r>
    <x v="0"/>
    <x v="12"/>
    <n v="2020"/>
    <x v="2"/>
    <x v="2"/>
    <x v="0"/>
    <s v="None"/>
    <s v="ALL"/>
    <n v="0"/>
    <n v="0"/>
    <n v="3.7581215192787401"/>
    <n v="6.6093359828215599"/>
    <n v="0.60441119282518296"/>
    <n v="5.4865041547241498E-2"/>
    <n v="1.6370512849967499E-2"/>
    <n v="0"/>
    <n v="0"/>
    <n v="0"/>
    <n v="0.67564674722239204"/>
    <n v="10.465841860117299"/>
    <n v="0"/>
    <n v="0"/>
    <n v="0"/>
    <n v="0"/>
    <n v="0"/>
    <n v="6.4557324317798995E-2"/>
    <n v="0.353184512936013"/>
    <n v="2784.8598845004599"/>
    <n v="207.15600952379799"/>
    <n v="0"/>
    <n v="207.15600952379799"/>
    <n v="5.7543335978828401E-2"/>
    <n v="0"/>
    <n v="45.852553354456198"/>
  </r>
  <r>
    <x v="0"/>
    <x v="13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14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15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16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17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18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19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20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21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22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23"/>
    <n v="2020"/>
    <x v="2"/>
    <x v="2"/>
    <x v="0"/>
    <s v="None"/>
    <s v="ALL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45.852553354456198"/>
  </r>
  <r>
    <x v="0"/>
    <x v="24"/>
    <n v="2020"/>
    <x v="2"/>
    <x v="2"/>
    <x v="0"/>
    <s v="None"/>
    <s v="ALL"/>
    <n v="0"/>
    <n v="0"/>
    <n v="182.44031269850299"/>
    <n v="12.0410606381012"/>
    <n v="1.03316231152218"/>
    <n v="0"/>
    <n v="0"/>
    <n v="0"/>
    <n v="0"/>
    <n v="29.022882107936901"/>
    <n v="30.056044419459099"/>
    <n v="514.24747848706704"/>
    <n v="0"/>
    <n v="0"/>
    <n v="0"/>
    <n v="0"/>
    <n v="0"/>
    <n v="5.8446653949349399E-2"/>
    <n v="0.35747828462585501"/>
    <n v="2818.7162742748701"/>
    <n v="0"/>
    <n v="143242.85672313799"/>
    <n v="143242.85672313799"/>
    <n v="39.789682423090902"/>
    <n v="0"/>
    <n v="45.852553354456198"/>
  </r>
  <r>
    <x v="0"/>
    <x v="25"/>
    <n v="2020"/>
    <x v="2"/>
    <x v="2"/>
    <x v="0"/>
    <s v="None"/>
    <s v="ALL"/>
    <n v="0"/>
    <n v="0"/>
    <n v="117.222906970773"/>
    <n v="0"/>
    <n v="0"/>
    <n v="0"/>
    <n v="0"/>
    <n v="0"/>
    <n v="0"/>
    <n v="0"/>
    <n v="0"/>
    <n v="19.947468017022"/>
    <n v="0"/>
    <n v="0"/>
    <n v="0"/>
    <n v="0"/>
    <n v="0"/>
    <n v="0"/>
    <n v="2.1581100771320302E-2"/>
    <n v="170.16697958186001"/>
    <n v="0"/>
    <n v="0"/>
    <n v="0"/>
    <n v="0"/>
    <n v="0"/>
    <n v="45.852553354456198"/>
  </r>
  <r>
    <x v="0"/>
    <x v="26"/>
    <n v="2020"/>
    <x v="2"/>
    <x v="2"/>
    <x v="0"/>
    <s v="None"/>
    <s v="ALL"/>
    <n v="0"/>
    <n v="0"/>
    <n v="1.56446918663503"/>
    <n v="0.53661293101581498"/>
    <n v="4.8295163791423401E-2"/>
    <n v="1.37673288423882E-2"/>
    <n v="1.17840689836232E-4"/>
    <n v="0"/>
    <n v="0"/>
    <n v="5.8920344918116097E-3"/>
    <n v="6.80723678154595E-2"/>
    <n v="1.9640114972705298E-2"/>
    <n v="0"/>
    <n v="0"/>
    <n v="0"/>
    <n v="0"/>
    <n v="0"/>
    <n v="3.4659862180064702"/>
    <n v="1.5921182270899701E-3"/>
    <n v="12.5538522206044"/>
    <n v="103.25496631791199"/>
    <n v="14.523865022315601"/>
    <n v="117.778831340227"/>
    <n v="3.2716342038949603E-2"/>
    <n v="0"/>
    <n v="45.852553354456198"/>
  </r>
  <r>
    <x v="0"/>
    <x v="27"/>
    <n v="2020"/>
    <x v="2"/>
    <x v="2"/>
    <x v="0"/>
    <s v="None"/>
    <s v="ALL"/>
    <n v="0"/>
    <n v="0"/>
    <n v="0.290310574116034"/>
    <n v="0"/>
    <n v="0"/>
    <n v="0"/>
    <n v="3.8853200778968602E-4"/>
    <n v="0"/>
    <n v="0"/>
    <n v="0"/>
    <n v="3.8853200778968602E-4"/>
    <n v="0.18629446378930101"/>
    <n v="0"/>
    <n v="7.4517785515719999E-3"/>
    <n v="0"/>
    <n v="0"/>
    <n v="0"/>
    <n v="2.0855799999999701E-3"/>
    <n v="8.1383318854791595E-2"/>
    <n v="641.707469170031"/>
    <n v="0"/>
    <n v="0"/>
    <n v="0"/>
    <n v="0"/>
    <n v="0"/>
    <n v="45.852553354456198"/>
  </r>
  <r>
    <x v="0"/>
    <x v="28"/>
    <n v="2020"/>
    <x v="2"/>
    <x v="2"/>
    <x v="0"/>
    <s v="None"/>
    <s v="ALL"/>
    <n v="0"/>
    <n v="0"/>
    <n v="0.290310574116034"/>
    <n v="0"/>
    <n v="0"/>
    <n v="0"/>
    <n v="0"/>
    <n v="0"/>
    <n v="0"/>
    <n v="0"/>
    <n v="0"/>
    <n v="0.186236401674478"/>
    <n v="0"/>
    <n v="9.3118200837237902E-3"/>
    <n v="0"/>
    <n v="0"/>
    <n v="0"/>
    <n v="0"/>
    <n v="8.1357954238431396E-2"/>
    <n v="641.50746917003198"/>
    <n v="0"/>
    <n v="0"/>
    <n v="0"/>
    <n v="0"/>
    <n v="0"/>
    <n v="45.852553354456198"/>
  </r>
  <r>
    <x v="0"/>
    <x v="29"/>
    <n v="2020"/>
    <x v="2"/>
    <x v="2"/>
    <x v="0"/>
    <s v="None"/>
    <s v="ALL"/>
    <n v="0"/>
    <n v="0"/>
    <n v="0.290310574116034"/>
    <n v="0.105042997917019"/>
    <n v="1.0698861359254E-2"/>
    <n v="1.4736455052703999E-3"/>
    <n v="0"/>
    <n v="0"/>
    <n v="0"/>
    <n v="0"/>
    <n v="1.21725068645244E-2"/>
    <n v="1.29514836489552"/>
    <n v="0"/>
    <n v="0"/>
    <n v="0"/>
    <n v="0"/>
    <n v="0"/>
    <n v="9.3985424330179698E-3"/>
    <n v="0.56578961178233"/>
    <n v="4461.2510889036703"/>
    <n v="0.456609235062503"/>
    <n v="0"/>
    <n v="0.456609235062503"/>
    <n v="1.2683589862846301E-4"/>
    <n v="0"/>
    <n v="45.852553354456198"/>
  </r>
  <r>
    <x v="2"/>
    <x v="36"/>
    <m/>
    <x v="3"/>
    <x v="3"/>
    <x v="1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5">
  <r>
    <x v="0"/>
    <x v="0"/>
    <n v="2030"/>
    <x v="0"/>
    <x v="0"/>
    <x v="0"/>
    <x v="0"/>
    <n v="0"/>
    <n v="0"/>
    <s v="C1.0_E0.0"/>
    <n v="107.278137852355"/>
    <n v="449.70995387707501"/>
    <n v="42.128279406721298"/>
    <n v="46.773268103627103"/>
    <n v="4.4402670967743203E-2"/>
    <n v="0"/>
    <n v="0"/>
    <n v="0"/>
    <n v="88.945950181316107"/>
    <n v="425.80645161290499"/>
    <n v="0"/>
    <n v="161.80645161289999"/>
    <n v="1.04448922046364"/>
    <n v="56.155334433529099"/>
    <n v="202.15920396070399"/>
    <n v="0.20888821633490801"/>
  </r>
  <r>
    <x v="0"/>
    <x v="1"/>
    <n v="2030"/>
    <x v="0"/>
    <x v="0"/>
    <x v="0"/>
    <x v="0"/>
    <n v="0"/>
    <n v="0"/>
    <s v="C1.0_E0.0"/>
    <n v="305.89768778425099"/>
    <n v="7.9977536372201801"/>
    <n v="0.81458887357426202"/>
    <n v="0"/>
    <n v="0.296372143409245"/>
    <n v="0"/>
    <n v="0"/>
    <n v="0"/>
    <n v="1.1109610169835"/>
    <n v="1144.50746001379"/>
    <n v="0"/>
    <n v="4.5780298400553896"/>
    <n v="0"/>
    <n v="0"/>
    <n v="0"/>
    <n v="9.7068918796747302E-4"/>
  </r>
  <r>
    <x v="0"/>
    <x v="2"/>
    <n v="2030"/>
    <x v="0"/>
    <x v="0"/>
    <x v="0"/>
    <x v="0"/>
    <n v="0"/>
    <n v="0"/>
    <s v="C1.0_E0.0"/>
    <n v="20.495145081544798"/>
    <n v="849.21712773407398"/>
    <n v="79.553623676147296"/>
    <n v="16.984342554681401"/>
    <n v="0"/>
    <n v="0"/>
    <n v="0"/>
    <n v="0"/>
    <n v="96.5379662308288"/>
    <n v="76.681999820927402"/>
    <n v="0"/>
    <n v="3627.0585915298898"/>
    <n v="0"/>
    <n v="0"/>
    <n v="0"/>
    <n v="1.25893907900511"/>
  </r>
  <r>
    <x v="0"/>
    <x v="3"/>
    <n v="2030"/>
    <x v="0"/>
    <x v="0"/>
    <x v="0"/>
    <x v="0"/>
    <n v="0"/>
    <n v="0"/>
    <s v="C1.0_E0.0"/>
    <n v="19.317791930196101"/>
    <n v="0"/>
    <n v="0"/>
    <n v="0"/>
    <n v="0"/>
    <n v="0"/>
    <n v="0"/>
    <n v="0"/>
    <n v="0"/>
    <n v="76.675831622973305"/>
    <n v="0"/>
    <n v="0"/>
    <n v="0"/>
    <n v="0"/>
    <n v="0"/>
    <n v="0"/>
  </r>
  <r>
    <x v="0"/>
    <x v="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"/>
    <n v="2030"/>
    <x v="0"/>
    <x v="0"/>
    <x v="0"/>
    <x v="0"/>
    <n v="0"/>
    <n v="0"/>
    <s v="C1.0_E0.0"/>
    <n v="116.330443482848"/>
    <n v="0"/>
    <n v="0"/>
    <n v="0"/>
    <n v="0"/>
    <n v="0"/>
    <n v="0"/>
    <n v="0"/>
    <n v="0"/>
    <n v="435.24703098359402"/>
    <n v="0"/>
    <n v="0"/>
    <n v="0"/>
    <n v="0"/>
    <n v="0"/>
    <n v="0"/>
  </r>
  <r>
    <x v="0"/>
    <x v="6"/>
    <n v="2030"/>
    <x v="0"/>
    <x v="0"/>
    <x v="0"/>
    <x v="0"/>
    <n v="0"/>
    <n v="0"/>
    <s v="C1.0_E0.0"/>
    <n v="159.04232583278801"/>
    <n v="0"/>
    <n v="0"/>
    <n v="0"/>
    <n v="0"/>
    <n v="0"/>
    <n v="0"/>
    <n v="0"/>
    <n v="0"/>
    <n v="595.05231861040204"/>
    <n v="0"/>
    <n v="0"/>
    <n v="0"/>
    <n v="0"/>
    <n v="0"/>
    <n v="0"/>
  </r>
  <r>
    <x v="0"/>
    <x v="7"/>
    <n v="2030"/>
    <x v="0"/>
    <x v="0"/>
    <x v="0"/>
    <x v="0"/>
    <n v="0"/>
    <n v="0"/>
    <s v="C1.0_E0.0"/>
    <n v="411.16178704672899"/>
    <n v="0"/>
    <n v="0"/>
    <n v="0"/>
    <n v="0"/>
    <n v="0"/>
    <n v="0"/>
    <n v="0"/>
    <n v="0"/>
    <n v="6.4596962866475103"/>
    <n v="0"/>
    <n v="6.0721145094487303"/>
    <n v="0"/>
    <n v="0"/>
    <n v="0"/>
    <n v="0"/>
  </r>
  <r>
    <x v="0"/>
    <x v="8"/>
    <n v="2030"/>
    <x v="0"/>
    <x v="0"/>
    <x v="0"/>
    <x v="0"/>
    <n v="0"/>
    <n v="0"/>
    <s v="C1.0_E0.0"/>
    <n v="417.22817403903798"/>
    <n v="0"/>
    <n v="0"/>
    <n v="0"/>
    <n v="0"/>
    <n v="0"/>
    <n v="0"/>
    <n v="0"/>
    <n v="0"/>
    <n v="6.4535280886914803"/>
    <n v="0"/>
    <n v="0"/>
    <n v="0"/>
    <n v="0"/>
    <n v="0"/>
    <n v="0"/>
  </r>
  <r>
    <x v="0"/>
    <x v="9"/>
    <n v="2030"/>
    <x v="0"/>
    <x v="0"/>
    <x v="0"/>
    <x v="0"/>
    <n v="0"/>
    <n v="0"/>
    <s v="C1.0_E0.0"/>
    <n v="68.535532846441697"/>
    <n v="31.578118536265599"/>
    <n v="2.5812856645206401"/>
    <n v="6.7965043551136695E-2"/>
    <n v="0"/>
    <n v="0"/>
    <n v="0"/>
    <n v="0"/>
    <n v="2.6492507080717802"/>
    <n v="324.83048061213401"/>
    <n v="0"/>
    <n v="0"/>
    <n v="0"/>
    <n v="0"/>
    <n v="0"/>
    <n v="8.1557946873684391E-3"/>
  </r>
  <r>
    <x v="0"/>
    <x v="10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1"/>
    <n v="2030"/>
    <x v="0"/>
    <x v="0"/>
    <x v="0"/>
    <x v="0"/>
    <n v="0"/>
    <n v="0"/>
    <s v="C1.0_E0.0"/>
    <n v="1110.35896909289"/>
    <n v="2218.6419132951901"/>
    <n v="202.890579137153"/>
    <n v="41.744731432850998"/>
    <n v="10.8708100063894"/>
    <n v="0"/>
    <n v="0"/>
    <n v="0"/>
    <n v="255.50612057639299"/>
    <n v="3861.0131745532599"/>
    <n v="0"/>
    <n v="0"/>
    <n v="0"/>
    <n v="0"/>
    <n v="0"/>
    <n v="6.6175925599103194E-2"/>
  </r>
  <r>
    <x v="0"/>
    <x v="12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3"/>
    <n v="2030"/>
    <x v="0"/>
    <x v="0"/>
    <x v="0"/>
    <x v="0"/>
    <n v="0"/>
    <n v="0"/>
    <s v="C1.0_E0.0"/>
    <n v="322.22673310612203"/>
    <n v="0"/>
    <n v="0"/>
    <n v="0"/>
    <n v="0"/>
    <n v="0"/>
    <n v="0"/>
    <n v="0"/>
    <n v="0"/>
    <n v="61.497987060985601"/>
    <n v="0"/>
    <n v="0"/>
    <n v="0"/>
    <n v="0"/>
    <n v="0"/>
    <n v="0"/>
  </r>
  <r>
    <x v="0"/>
    <x v="1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5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6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7"/>
    <n v="2030"/>
    <x v="0"/>
    <x v="1"/>
    <x v="1"/>
    <x v="0"/>
    <n v="0"/>
    <n v="0"/>
    <s v="C1.0_E0.0"/>
    <n v="65.020816843009399"/>
    <n v="0"/>
    <n v="0"/>
    <n v="0"/>
    <n v="0"/>
    <n v="0"/>
    <n v="0"/>
    <n v="43.375319225953803"/>
    <n v="43.375319225953803"/>
    <n v="318.33546725820099"/>
    <n v="0"/>
    <n v="0"/>
    <n v="0"/>
    <n v="0"/>
    <n v="0"/>
    <n v="0.13625663392000201"/>
  </r>
  <r>
    <x v="0"/>
    <x v="18"/>
    <n v="2030"/>
    <x v="0"/>
    <x v="1"/>
    <x v="1"/>
    <x v="0"/>
    <n v="0"/>
    <n v="0"/>
    <s v="C1.0_E0.0"/>
    <n v="81.290444482520201"/>
    <n v="332.07146571109502"/>
    <n v="31.108049465812901"/>
    <n v="46.993742028354802"/>
    <n v="0"/>
    <n v="0"/>
    <n v="0"/>
    <n v="0"/>
    <n v="78.101791494167699"/>
    <n v="397.98994974872301"/>
    <n v="0"/>
    <n v="131.78561608040201"/>
    <n v="0.83485596690792496"/>
    <n v="41.952561151151997"/>
    <n v="151.02922014414699"/>
    <n v="0.196240612466416"/>
  </r>
  <r>
    <x v="0"/>
    <x v="1"/>
    <n v="2030"/>
    <x v="0"/>
    <x v="1"/>
    <x v="1"/>
    <x v="0"/>
    <n v="0"/>
    <n v="0"/>
    <s v="C1.0_E0.0"/>
    <n v="160.374127013237"/>
    <n v="4.1930122680128603"/>
    <n v="0.42706756111967797"/>
    <n v="0"/>
    <n v="0.15946303700631301"/>
    <n v="0"/>
    <n v="0"/>
    <n v="0"/>
    <n v="0.58653059812599195"/>
    <n v="615.80225911507603"/>
    <n v="0"/>
    <n v="2.46320903646036"/>
    <n v="0"/>
    <n v="0"/>
    <n v="0"/>
    <n v="9.5246581097128697E-4"/>
  </r>
  <r>
    <x v="0"/>
    <x v="19"/>
    <n v="2030"/>
    <x v="0"/>
    <x v="1"/>
    <x v="1"/>
    <x v="0"/>
    <n v="0"/>
    <n v="0"/>
    <s v="C1.0_E0.0"/>
    <n v="10.7450665098869"/>
    <n v="620.46102987382199"/>
    <n v="58.124031727906299"/>
    <n v="8.9684542872460096"/>
    <n v="0"/>
    <n v="0"/>
    <n v="0"/>
    <n v="0"/>
    <n v="67.092486015152303"/>
    <n v="41.2587513607102"/>
    <n v="0"/>
    <n v="1753.49693283026"/>
    <n v="0"/>
    <n v="0"/>
    <n v="0"/>
    <n v="1.6261395171314601"/>
  </r>
  <r>
    <x v="0"/>
    <x v="20"/>
    <n v="2030"/>
    <x v="0"/>
    <x v="1"/>
    <x v="1"/>
    <x v="0"/>
    <n v="0"/>
    <n v="0"/>
    <s v="C1.0_E0.0"/>
    <n v="8.4232823949240299"/>
    <n v="0"/>
    <n v="0"/>
    <n v="0"/>
    <n v="0"/>
    <n v="0"/>
    <n v="0"/>
    <n v="0"/>
    <n v="0"/>
    <n v="41.239554764593301"/>
    <n v="0"/>
    <n v="0"/>
    <n v="0"/>
    <n v="0"/>
    <n v="0"/>
    <n v="0"/>
  </r>
  <r>
    <x v="0"/>
    <x v="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"/>
    <n v="2030"/>
    <x v="0"/>
    <x v="1"/>
    <x v="1"/>
    <x v="0"/>
    <n v="0"/>
    <n v="0"/>
    <s v="C1.0_E0.0"/>
    <n v="13.779218082453999"/>
    <n v="0"/>
    <n v="0"/>
    <n v="0"/>
    <n v="0"/>
    <n v="0"/>
    <n v="0"/>
    <n v="0"/>
    <n v="0"/>
    <n v="67.461684422111702"/>
    <n v="0"/>
    <n v="0"/>
    <n v="0"/>
    <n v="0"/>
    <n v="0"/>
    <n v="0"/>
  </r>
  <r>
    <x v="0"/>
    <x v="6"/>
    <n v="2030"/>
    <x v="0"/>
    <x v="1"/>
    <x v="1"/>
    <x v="0"/>
    <n v="0"/>
    <n v="0"/>
    <s v="C1.0_E0.0"/>
    <n v="83.3817161167226"/>
    <n v="0"/>
    <n v="0"/>
    <n v="0"/>
    <n v="0"/>
    <n v="0"/>
    <n v="0"/>
    <n v="0"/>
    <n v="0"/>
    <n v="320.16791055911102"/>
    <n v="0"/>
    <n v="0"/>
    <n v="0"/>
    <n v="0"/>
    <n v="0"/>
    <n v="0"/>
  </r>
  <r>
    <x v="0"/>
    <x v="7"/>
    <n v="2030"/>
    <x v="0"/>
    <x v="1"/>
    <x v="1"/>
    <x v="0"/>
    <n v="0"/>
    <n v="0"/>
    <s v="C1.0_E0.0"/>
    <n v="541.88714035539795"/>
    <n v="0"/>
    <n v="0"/>
    <n v="0"/>
    <n v="0"/>
    <n v="0"/>
    <n v="0"/>
    <n v="0"/>
    <n v="0"/>
    <n v="19.241328691449201"/>
    <n v="0"/>
    <n v="18.086848969962102"/>
    <n v="0"/>
    <n v="0"/>
    <n v="0"/>
    <n v="0"/>
  </r>
  <r>
    <x v="0"/>
    <x v="8"/>
    <n v="2030"/>
    <x v="0"/>
    <x v="1"/>
    <x v="1"/>
    <x v="0"/>
    <n v="0"/>
    <n v="0"/>
    <s v="C1.0_E0.0"/>
    <n v="550.310422750322"/>
    <n v="0"/>
    <n v="0"/>
    <n v="0"/>
    <n v="0"/>
    <n v="0"/>
    <n v="0"/>
    <n v="0"/>
    <n v="0"/>
    <n v="19.222132095334501"/>
    <n v="0"/>
    <n v="0"/>
    <n v="0"/>
    <n v="0"/>
    <n v="0"/>
    <n v="0"/>
  </r>
  <r>
    <x v="0"/>
    <x v="9"/>
    <n v="2030"/>
    <x v="0"/>
    <x v="1"/>
    <x v="1"/>
    <x v="0"/>
    <n v="0"/>
    <n v="0"/>
    <s v="C1.0_E0.0"/>
    <n v="213.295512389945"/>
    <n v="98.2770643746871"/>
    <n v="8.0334481337200092"/>
    <n v="0.21152004203900099"/>
    <n v="0"/>
    <n v="0"/>
    <n v="0"/>
    <n v="0"/>
    <n v="8.2449681757590092"/>
    <n v="924.51587373836196"/>
    <n v="0"/>
    <n v="0"/>
    <n v="0"/>
    <n v="0"/>
    <n v="0"/>
    <n v="8.9181466862431995E-3"/>
  </r>
  <r>
    <x v="0"/>
    <x v="10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1"/>
    <n v="2030"/>
    <x v="0"/>
    <x v="1"/>
    <x v="1"/>
    <x v="0"/>
    <n v="0"/>
    <n v="0"/>
    <s v="C1.0_E0.0"/>
    <n v="583.58977113370997"/>
    <n v="1166.0884114489099"/>
    <n v="106.63656523670601"/>
    <n v="21.9404705514631"/>
    <n v="5.7135518334666804"/>
    <n v="0"/>
    <n v="0"/>
    <n v="0"/>
    <n v="134.29058762163601"/>
    <n v="2029.29670277942"/>
    <n v="0"/>
    <n v="0"/>
    <n v="0"/>
    <n v="0"/>
    <n v="0"/>
    <n v="6.6175925599103194E-2"/>
  </r>
  <r>
    <x v="0"/>
    <x v="12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3"/>
    <n v="2030"/>
    <x v="0"/>
    <x v="1"/>
    <x v="1"/>
    <x v="0"/>
    <n v="0"/>
    <n v="0"/>
    <s v="C1.0_E0.0"/>
    <n v="527.49274027641604"/>
    <n v="0"/>
    <n v="0"/>
    <n v="0"/>
    <n v="0"/>
    <n v="0"/>
    <n v="0"/>
    <n v="0"/>
    <n v="0"/>
    <n v="123.204244478357"/>
    <n v="0"/>
    <n v="0"/>
    <n v="0"/>
    <n v="0"/>
    <n v="0"/>
    <n v="0"/>
  </r>
  <r>
    <x v="0"/>
    <x v="14"/>
    <n v="2030"/>
    <x v="0"/>
    <x v="1"/>
    <x v="1"/>
    <x v="0"/>
    <n v="0"/>
    <n v="0"/>
    <s v="C1.0_E0.0"/>
    <n v="24.326639228475699"/>
    <n v="0"/>
    <n v="0"/>
    <n v="0"/>
    <n v="5.9605631068893597E-3"/>
    <n v="0"/>
    <n v="0"/>
    <n v="0"/>
    <n v="5.9605631068893597E-3"/>
    <n v="3.1755424853248102"/>
    <n v="0"/>
    <n v="0.111143986986368"/>
    <n v="0"/>
    <n v="0"/>
    <n v="0"/>
    <n v="1.8770219999999999E-3"/>
  </r>
  <r>
    <x v="0"/>
    <x v="15"/>
    <n v="2030"/>
    <x v="0"/>
    <x v="1"/>
    <x v="1"/>
    <x v="0"/>
    <n v="0"/>
    <n v="0"/>
    <s v="C1.0_E0.0"/>
    <n v="24.326639228475699"/>
    <n v="0"/>
    <n v="0"/>
    <n v="0"/>
    <n v="0"/>
    <n v="0"/>
    <n v="0"/>
    <n v="0"/>
    <n v="0"/>
    <n v="3.1694608255176902"/>
    <n v="0"/>
    <n v="0.14262573714829599"/>
    <n v="0"/>
    <n v="0"/>
    <n v="0"/>
    <n v="0"/>
  </r>
  <r>
    <x v="0"/>
    <x v="16"/>
    <n v="2030"/>
    <x v="0"/>
    <x v="1"/>
    <x v="1"/>
    <x v="0"/>
    <n v="0"/>
    <n v="0"/>
    <s v="C1.0_E0.0"/>
    <n v="30.408299035594698"/>
    <n v="4.40105070506924"/>
    <n v="0.41228505659668901"/>
    <n v="0.15435556673458201"/>
    <n v="0"/>
    <n v="0"/>
    <n v="0"/>
    <n v="0"/>
    <n v="0.56664062333127196"/>
    <n v="157.074383910134"/>
    <n v="0"/>
    <n v="0"/>
    <n v="0"/>
    <n v="0"/>
    <n v="0"/>
    <n v="3.60746678882699E-3"/>
  </r>
  <r>
    <x v="1"/>
    <x v="21"/>
    <n v="2030"/>
    <x v="0"/>
    <x v="0"/>
    <x v="1"/>
    <x v="0"/>
    <n v="0"/>
    <n v="0"/>
    <s v="C1.0_E0.0"/>
    <n v="57.022200434496298"/>
    <n v="239.037064221408"/>
    <n v="22.3927003244284"/>
    <n v="47.214381959762903"/>
    <n v="4.4402670967733399E-2"/>
    <n v="0"/>
    <n v="0"/>
    <n v="0"/>
    <n v="69.651484955159106"/>
    <n v="425.80645161290897"/>
    <n v="0"/>
    <n v="353.41935483865501"/>
    <n v="0.51696966299555602"/>
    <n v="27.7940679029869"/>
    <n v="100.058644450752"/>
    <n v="0.16357545709165899"/>
  </r>
  <r>
    <x v="1"/>
    <x v="1"/>
    <n v="2030"/>
    <x v="0"/>
    <x v="0"/>
    <x v="1"/>
    <x v="0"/>
    <n v="0"/>
    <n v="0"/>
    <s v="C1.0_E0.0"/>
    <n v="153.25527342593199"/>
    <n v="4.0068884774634199"/>
    <n v="0.40811044193767998"/>
    <n v="0"/>
    <n v="0.296349088620805"/>
    <n v="0"/>
    <n v="0"/>
    <n v="0"/>
    <n v="0.70445953055848598"/>
    <n v="1144.41842878077"/>
    <n v="0"/>
    <n v="4.5776737151236304"/>
    <n v="0"/>
    <n v="0"/>
    <n v="0"/>
    <n v="6.1556115564216402E-4"/>
  </r>
  <r>
    <x v="1"/>
    <x v="19"/>
    <n v="2030"/>
    <x v="0"/>
    <x v="0"/>
    <x v="1"/>
    <x v="0"/>
    <n v="0"/>
    <n v="0"/>
    <s v="C1.0_E0.0"/>
    <n v="10.268103319537399"/>
    <n v="592.91936021325205"/>
    <n v="55.543961741051604"/>
    <n v="8.5703532084474396"/>
    <n v="0"/>
    <n v="0"/>
    <n v="0"/>
    <n v="0"/>
    <n v="64.114314949499004"/>
    <n v="76.676034728325803"/>
    <n v="0"/>
    <n v="3258.7314759535502"/>
    <n v="0"/>
    <n v="0"/>
    <n v="0"/>
    <n v="0.83617149969563698"/>
  </r>
  <r>
    <x v="1"/>
    <x v="3"/>
    <n v="2030"/>
    <x v="0"/>
    <x v="0"/>
    <x v="1"/>
    <x v="0"/>
    <n v="0"/>
    <n v="0"/>
    <s v="C1.0_E0.0"/>
    <n v="10.2681033195414"/>
    <n v="0"/>
    <n v="0"/>
    <n v="0"/>
    <n v="0"/>
    <n v="0"/>
    <n v="0"/>
    <n v="0"/>
    <n v="0"/>
    <n v="76.675831622985598"/>
    <n v="0"/>
    <n v="0"/>
    <n v="0"/>
    <n v="0"/>
    <n v="0"/>
    <n v="0"/>
  </r>
  <r>
    <x v="1"/>
    <x v="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6"/>
    <n v="2030"/>
    <x v="0"/>
    <x v="0"/>
    <x v="1"/>
    <x v="0"/>
    <n v="0"/>
    <n v="0"/>
    <s v="C1.0_E0.0"/>
    <n v="79.680481759610501"/>
    <n v="0"/>
    <n v="0"/>
    <n v="0"/>
    <n v="0"/>
    <n v="0"/>
    <n v="0"/>
    <n v="0"/>
    <n v="0"/>
    <n v="595.00602949173799"/>
    <n v="0"/>
    <n v="0"/>
    <n v="0"/>
    <n v="0"/>
    <n v="0"/>
    <n v="0"/>
  </r>
  <r>
    <x v="1"/>
    <x v="7"/>
    <n v="2030"/>
    <x v="0"/>
    <x v="0"/>
    <x v="1"/>
    <x v="0"/>
    <n v="0"/>
    <n v="0"/>
    <s v="C1.0_E0.0"/>
    <n v="2.0536206639074299"/>
    <n v="0"/>
    <n v="0"/>
    <n v="0"/>
    <n v="0"/>
    <n v="0"/>
    <n v="0"/>
    <n v="0"/>
    <n v="0"/>
    <n v="0.16449275845320499"/>
    <n v="0"/>
    <n v="0.154623192945994"/>
    <n v="0"/>
    <n v="0"/>
    <n v="0"/>
    <n v="0"/>
  </r>
  <r>
    <x v="1"/>
    <x v="8"/>
    <n v="2030"/>
    <x v="0"/>
    <x v="0"/>
    <x v="1"/>
    <x v="0"/>
    <n v="0"/>
    <n v="0"/>
    <s v="C1.0_E0.0"/>
    <n v="1.0268103319537101"/>
    <n v="0"/>
    <n v="0"/>
    <n v="0"/>
    <n v="0"/>
    <n v="0"/>
    <n v="0"/>
    <n v="0"/>
    <n v="0"/>
    <n v="0.16428965311129101"/>
    <n v="0"/>
    <n v="0"/>
    <n v="0"/>
    <n v="0"/>
    <n v="0"/>
    <n v="0"/>
  </r>
  <r>
    <x v="1"/>
    <x v="9"/>
    <n v="2030"/>
    <x v="0"/>
    <x v="0"/>
    <x v="1"/>
    <x v="0"/>
    <n v="0"/>
    <n v="0"/>
    <s v="C1.0_E0.0"/>
    <n v="2.2567260042938799"/>
    <n v="1.0397987482950599"/>
    <n v="8.4996121598508903E-2"/>
    <n v="2.2379410328430701E-3"/>
    <n v="0"/>
    <n v="0"/>
    <n v="0"/>
    <n v="0"/>
    <n v="8.7234062631352E-2"/>
    <n v="3.8141490389680399"/>
    <n v="0"/>
    <n v="0"/>
    <n v="0"/>
    <n v="0"/>
    <n v="0"/>
    <n v="2.2871173029713001E-2"/>
  </r>
  <r>
    <x v="1"/>
    <x v="10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2"/>
    <n v="2030"/>
    <x v="0"/>
    <x v="0"/>
    <x v="1"/>
    <x v="0"/>
    <n v="0"/>
    <n v="0"/>
    <s v="C1.0_E0.0"/>
    <n v="484.33583853469298"/>
    <n v="31.966165343289699"/>
    <n v="0"/>
    <n v="0"/>
    <n v="0"/>
    <n v="0"/>
    <n v="0"/>
    <n v="85.571524293855504"/>
    <n v="85.571524293855504"/>
    <n v="3616.8831277003901"/>
    <n v="0"/>
    <n v="0"/>
    <n v="0"/>
    <n v="0"/>
    <n v="0"/>
    <n v="2.3658913288763499E-2"/>
  </r>
  <r>
    <x v="1"/>
    <x v="13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6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7"/>
    <n v="2030"/>
    <x v="0"/>
    <x v="1"/>
    <x v="1"/>
    <x v="0"/>
    <n v="0"/>
    <n v="0"/>
    <s v="C1.0_E0.0"/>
    <n v="41.267237134851598"/>
    <n v="0"/>
    <n v="0"/>
    <n v="0"/>
    <n v="0"/>
    <n v="0"/>
    <n v="0"/>
    <n v="43.375319225952197"/>
    <n v="43.375319225952197"/>
    <n v="318.33546725822703"/>
    <n v="0"/>
    <n v="0"/>
    <n v="0"/>
    <n v="0"/>
    <n v="0"/>
    <n v="0.13625663391998599"/>
  </r>
  <r>
    <x v="1"/>
    <x v="18"/>
    <n v="2030"/>
    <x v="0"/>
    <x v="1"/>
    <x v="1"/>
    <x v="0"/>
    <n v="0"/>
    <n v="0"/>
    <s v="C1.0_E0.0"/>
    <n v="51.593200641531404"/>
    <n v="210.75822462065599"/>
    <n v="19.743573157623501"/>
    <n v="29.825861782397102"/>
    <n v="0"/>
    <n v="0"/>
    <n v="0"/>
    <n v="0"/>
    <n v="49.569434940020599"/>
    <n v="397.98994974870902"/>
    <n v="0"/>
    <n v="131.785616080419"/>
    <n v="0.43676890752625103"/>
    <n v="21.948186307851799"/>
    <n v="79.013470708266595"/>
    <n v="0.12454946405385001"/>
  </r>
  <r>
    <x v="1"/>
    <x v="1"/>
    <n v="2030"/>
    <x v="0"/>
    <x v="1"/>
    <x v="1"/>
    <x v="0"/>
    <n v="0"/>
    <n v="0"/>
    <s v="C1.0_E0.0"/>
    <n v="79.792033025047999"/>
    <n v="2.0861779864036101"/>
    <n v="0.21248183591344"/>
    <n v="0"/>
    <n v="0.159388843110082"/>
    <n v="0"/>
    <n v="0"/>
    <n v="0"/>
    <n v="0.371870679023522"/>
    <n v="615.51574275513406"/>
    <n v="0"/>
    <n v="2.4620629710210702"/>
    <n v="0"/>
    <n v="0"/>
    <n v="0"/>
    <n v="6.0416111756780996E-4"/>
  </r>
  <r>
    <x v="1"/>
    <x v="19"/>
    <n v="2030"/>
    <x v="0"/>
    <x v="1"/>
    <x v="1"/>
    <x v="0"/>
    <n v="0"/>
    <n v="0"/>
    <s v="C1.0_E0.0"/>
    <n v="5.3460662126782097"/>
    <n v="308.70220719805201"/>
    <n v="28.918845860961198"/>
    <n v="4.4621362185965197"/>
    <n v="0"/>
    <n v="0"/>
    <n v="0"/>
    <n v="0"/>
    <n v="33.380982079557697"/>
    <n v="41.239554764592"/>
    <n v="0"/>
    <n v="1752.6810774953699"/>
    <n v="0"/>
    <n v="0"/>
    <n v="0"/>
    <n v="0.80944089406654696"/>
  </r>
  <r>
    <x v="1"/>
    <x v="20"/>
    <n v="2030"/>
    <x v="0"/>
    <x v="1"/>
    <x v="1"/>
    <x v="0"/>
    <n v="0"/>
    <n v="0"/>
    <s v="C1.0_E0.0"/>
    <n v="5.3460662126781999"/>
    <n v="0"/>
    <n v="0"/>
    <n v="0"/>
    <n v="0"/>
    <n v="0"/>
    <n v="0"/>
    <n v="0"/>
    <n v="0"/>
    <n v="41.239554764587801"/>
    <n v="0"/>
    <n v="0"/>
    <n v="0"/>
    <n v="0"/>
    <n v="0"/>
    <n v="0"/>
  </r>
  <r>
    <x v="1"/>
    <x v="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5"/>
    <n v="2030"/>
    <x v="0"/>
    <x v="1"/>
    <x v="1"/>
    <x v="0"/>
    <n v="0"/>
    <n v="0"/>
    <s v="C1.0_E0.0"/>
    <n v="8.7453570679434307"/>
    <n v="0"/>
    <n v="0"/>
    <n v="0"/>
    <n v="0"/>
    <n v="0"/>
    <n v="0"/>
    <n v="0"/>
    <n v="0"/>
    <n v="67.461684422103303"/>
    <n v="0"/>
    <n v="0"/>
    <n v="0"/>
    <n v="0"/>
    <n v="0"/>
    <n v="0"/>
  </r>
  <r>
    <x v="1"/>
    <x v="6"/>
    <n v="2030"/>
    <x v="0"/>
    <x v="1"/>
    <x v="1"/>
    <x v="0"/>
    <n v="0"/>
    <n v="0"/>
    <s v="C1.0_E0.0"/>
    <n v="41.485473810382899"/>
    <n v="0"/>
    <n v="0"/>
    <n v="0"/>
    <n v="0"/>
    <n v="0"/>
    <n v="0"/>
    <n v="0"/>
    <n v="0"/>
    <n v="320.018944973266"/>
    <n v="0"/>
    <n v="0"/>
    <n v="0"/>
    <n v="0"/>
    <n v="0"/>
    <n v="0"/>
  </r>
  <r>
    <x v="1"/>
    <x v="7"/>
    <n v="2030"/>
    <x v="0"/>
    <x v="1"/>
    <x v="1"/>
    <x v="0"/>
    <n v="0"/>
    <n v="0"/>
    <s v="C1.0_E0.0"/>
    <n v="9.0949470177292794E-15"/>
    <n v="0"/>
    <n v="0"/>
    <n v="0"/>
    <n v="0"/>
    <n v="0"/>
    <n v="0"/>
    <n v="0"/>
    <n v="0"/>
    <n v="2.9145418019605698E-14"/>
    <n v="0"/>
    <n v="2.7396692938430799E-14"/>
    <n v="0"/>
    <n v="0"/>
    <n v="0"/>
    <n v="0"/>
  </r>
  <r>
    <x v="1"/>
    <x v="8"/>
    <n v="2030"/>
    <x v="0"/>
    <x v="1"/>
    <x v="1"/>
    <x v="0"/>
    <n v="0"/>
    <n v="0"/>
    <s v="C1.0_E0.0"/>
    <n v="-1.8229605070172801E-13"/>
    <n v="0"/>
    <n v="0"/>
    <n v="0"/>
    <n v="0"/>
    <n v="0"/>
    <n v="0"/>
    <n v="0"/>
    <n v="0"/>
    <n v="-6.4304004700736597E-14"/>
    <n v="0"/>
    <n v="0"/>
    <n v="0"/>
    <n v="0"/>
    <n v="0"/>
    <n v="0"/>
  </r>
  <r>
    <x v="1"/>
    <x v="9"/>
    <n v="2030"/>
    <x v="0"/>
    <x v="1"/>
    <x v="1"/>
    <x v="0"/>
    <n v="0"/>
    <n v="0"/>
    <s v="C1.0_E0.0"/>
    <n v="2.0032533044146E-13"/>
    <n v="9.2300982683983699E-14"/>
    <n v="7.5449461357146105E-15"/>
    <n v="1.98657823794195E-16"/>
    <n v="0"/>
    <n v="0"/>
    <n v="0"/>
    <n v="0"/>
    <n v="7.7436039595088094E-15"/>
    <n v="3.6629981738735498E-11"/>
    <n v="0"/>
    <n v="0"/>
    <n v="0"/>
    <n v="0"/>
    <n v="0"/>
    <n v="2.1140070488542099E-4"/>
  </r>
  <r>
    <x v="1"/>
    <x v="10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2"/>
    <n v="2030"/>
    <x v="0"/>
    <x v="1"/>
    <x v="1"/>
    <x v="0"/>
    <n v="0"/>
    <n v="0"/>
    <s v="C1.0_E0.0"/>
    <n v="244.61093551295301"/>
    <n v="16.144321743854899"/>
    <n v="0"/>
    <n v="0"/>
    <n v="0"/>
    <n v="0"/>
    <n v="0"/>
    <n v="47.132028633627201"/>
    <n v="47.132028633627201"/>
    <n v="1886.9287565470199"/>
    <n v="0"/>
    <n v="0"/>
    <n v="0"/>
    <n v="0"/>
    <n v="0"/>
    <n v="2.4978170728542099E-2"/>
  </r>
  <r>
    <x v="1"/>
    <x v="13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5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6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-2.8119642953365897E-17"/>
    <n v="0"/>
    <n v="0"/>
    <n v="0"/>
    <n v="0"/>
    <n v="0"/>
    <n v="0"/>
  </r>
  <r>
    <x v="2"/>
    <x v="0"/>
    <n v="2030"/>
    <x v="0"/>
    <x v="0"/>
    <x v="0"/>
    <x v="0"/>
    <n v="0"/>
    <n v="0"/>
    <s v="C1.0_E0.0"/>
    <n v="7.8403967380758299"/>
    <n v="57.484977808047397"/>
    <n v="5.3851225348873601"/>
    <n v="3.4184129778010601"/>
    <n v="4.4402670967743198E-3"/>
    <n v="0"/>
    <n v="0"/>
    <n v="0"/>
    <n v="8.8079757797852007"/>
    <n v="42.580645161290903"/>
    <n v="0"/>
    <n v="16.1806451612924"/>
    <n v="0.99633171404904497"/>
    <n v="53.566221185432497"/>
    <n v="192.83839626755699"/>
    <n v="0.20685397664646701"/>
  </r>
  <r>
    <x v="2"/>
    <x v="1"/>
    <n v="2030"/>
    <x v="0"/>
    <x v="0"/>
    <x v="0"/>
    <x v="0"/>
    <n v="0"/>
    <n v="0"/>
    <s v="C1.0_E0.0"/>
    <n v="26.465614869512098"/>
    <n v="0.69194856985383901"/>
    <n v="7.0476490231633604E-2"/>
    <n v="0"/>
    <n v="2.9641082287701501E-2"/>
    <n v="0"/>
    <n v="0"/>
    <n v="0"/>
    <n v="0.10011757251933499"/>
    <n v="114.465682944816"/>
    <n v="0"/>
    <n v="0.45786273177925901"/>
    <n v="0"/>
    <n v="0"/>
    <n v="0"/>
    <n v="8.7465142341047102E-4"/>
  </r>
  <r>
    <x v="2"/>
    <x v="2"/>
    <n v="2030"/>
    <x v="0"/>
    <x v="0"/>
    <x v="0"/>
    <x v="0"/>
    <n v="0"/>
    <n v="0"/>
    <s v="C1.0_E0.0"/>
    <n v="1.77319619625731"/>
    <n v="73.472452851800696"/>
    <n v="6.8828096771099903"/>
    <n v="1.4694490570360099"/>
    <n v="0"/>
    <n v="0"/>
    <n v="0"/>
    <n v="0"/>
    <n v="8.352258734146"/>
    <n v="7.6692007573025496"/>
    <n v="0"/>
    <n v="362.75319582040999"/>
    <n v="0"/>
    <n v="0"/>
    <n v="0"/>
    <n v="1.08906507972073"/>
  </r>
  <r>
    <x v="2"/>
    <x v="3"/>
    <n v="2030"/>
    <x v="0"/>
    <x v="0"/>
    <x v="0"/>
    <x v="0"/>
    <n v="0"/>
    <n v="0"/>
    <s v="C1.0_E0.0"/>
    <n v="1.41183614731257"/>
    <n v="0"/>
    <n v="0"/>
    <n v="0"/>
    <n v="0"/>
    <n v="0"/>
    <n v="0"/>
    <n v="0"/>
    <n v="0"/>
    <n v="7.6675831622983104"/>
    <n v="0"/>
    <n v="0"/>
    <n v="0"/>
    <n v="0"/>
    <n v="0"/>
    <n v="0"/>
  </r>
  <r>
    <x v="2"/>
    <x v="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5"/>
    <n v="2030"/>
    <x v="0"/>
    <x v="0"/>
    <x v="0"/>
    <x v="0"/>
    <n v="0"/>
    <n v="0"/>
    <s v="C1.0_E0.0"/>
    <n v="10.064661609956399"/>
    <n v="0"/>
    <n v="0"/>
    <n v="0"/>
    <n v="0"/>
    <n v="0"/>
    <n v="0"/>
    <n v="0"/>
    <n v="0"/>
    <n v="43.530383498449503"/>
    <n v="0"/>
    <n v="0"/>
    <n v="0"/>
    <n v="0"/>
    <n v="0"/>
    <n v="0"/>
  </r>
  <r>
    <x v="2"/>
    <x v="6"/>
    <n v="2030"/>
    <x v="0"/>
    <x v="0"/>
    <x v="0"/>
    <x v="0"/>
    <n v="0"/>
    <n v="0"/>
    <s v="C1.0_E0.0"/>
    <n v="13.7600024829567"/>
    <n v="0"/>
    <n v="0"/>
    <n v="0"/>
    <n v="0"/>
    <n v="0"/>
    <n v="0"/>
    <n v="0"/>
    <n v="0"/>
    <n v="59.512997876670802"/>
    <n v="0"/>
    <n v="0"/>
    <n v="0"/>
    <n v="0"/>
    <n v="0"/>
    <n v="0"/>
  </r>
  <r>
    <x v="2"/>
    <x v="7"/>
    <n v="2030"/>
    <x v="0"/>
    <x v="0"/>
    <x v="0"/>
    <x v="0"/>
    <n v="0"/>
    <n v="0"/>
    <s v="C1.0_E0.0"/>
    <n v="86.124200346097695"/>
    <n v="0"/>
    <n v="0"/>
    <n v="0"/>
    <n v="0"/>
    <n v="0"/>
    <n v="0"/>
    <n v="0"/>
    <n v="0"/>
    <n v="1.8210552587859501"/>
    <n v="0"/>
    <n v="1.71179194325878"/>
    <n v="0"/>
    <n v="0"/>
    <n v="0"/>
    <n v="0"/>
  </r>
  <r>
    <x v="2"/>
    <x v="8"/>
    <n v="2030"/>
    <x v="0"/>
    <x v="0"/>
    <x v="0"/>
    <x v="0"/>
    <n v="0"/>
    <n v="0"/>
    <s v="C1.0_E0.0"/>
    <n v="87.536036493410293"/>
    <n v="0"/>
    <n v="0"/>
    <n v="0"/>
    <n v="0"/>
    <n v="0"/>
    <n v="0"/>
    <n v="0"/>
    <n v="0"/>
    <n v="1.8194376637808201"/>
    <n v="0"/>
    <n v="0"/>
    <n v="0"/>
    <n v="0"/>
    <n v="0"/>
    <n v="0"/>
  </r>
  <r>
    <x v="2"/>
    <x v="9"/>
    <n v="2030"/>
    <x v="0"/>
    <x v="0"/>
    <x v="0"/>
    <x v="0"/>
    <n v="0"/>
    <n v="0"/>
    <s v="C1.0_E0.0"/>
    <n v="17.973277834220799"/>
    <n v="8.2812852598070901"/>
    <n v="0.67693592638828903"/>
    <n v="1.7823668395436101E-2"/>
    <n v="0"/>
    <n v="0"/>
    <n v="0"/>
    <n v="0"/>
    <n v="0.69475959478372495"/>
    <n v="79.224300020217399"/>
    <n v="0"/>
    <n v="0"/>
    <n v="0"/>
    <n v="0"/>
    <n v="0"/>
    <n v="8.7695264534546503E-3"/>
  </r>
  <r>
    <x v="2"/>
    <x v="10"/>
    <n v="2030"/>
    <x v="0"/>
    <x v="0"/>
    <x v="0"/>
    <x v="0"/>
    <n v="0"/>
    <n v="0"/>
    <s v="C1.0_E0.0"/>
    <n v="129.950010585147"/>
    <n v="51.494017184472703"/>
    <n v="4.3182965974038003"/>
    <n v="0.98245164365112403"/>
    <n v="0"/>
    <n v="0"/>
    <n v="0"/>
    <n v="0"/>
    <n v="5.3007482410549196"/>
    <n v="134.35998701117799"/>
    <n v="0"/>
    <n v="0"/>
    <n v="0"/>
    <n v="0"/>
    <n v="0"/>
    <n v="3.9451836510031001E-2"/>
  </r>
  <r>
    <x v="2"/>
    <x v="11"/>
    <n v="2030"/>
    <x v="0"/>
    <x v="0"/>
    <x v="0"/>
    <x v="0"/>
    <n v="0"/>
    <n v="0"/>
    <s v="C1.0_E0.0"/>
    <n v="83.301381341310602"/>
    <n v="166.44701508576199"/>
    <n v="15.2212626490247"/>
    <n v="3.1317743980753798"/>
    <n v="0.81555020947052004"/>
    <n v="0"/>
    <n v="0"/>
    <n v="0"/>
    <n v="19.1685872565706"/>
    <n v="289.66103734906198"/>
    <n v="0"/>
    <n v="0"/>
    <n v="0"/>
    <n v="0"/>
    <n v="0"/>
    <n v="6.6175925599103402E-2"/>
  </r>
  <r>
    <x v="2"/>
    <x v="12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3"/>
    <n v="2030"/>
    <x v="0"/>
    <x v="0"/>
    <x v="0"/>
    <x v="0"/>
    <n v="0"/>
    <n v="0"/>
    <s v="C1.0_E0.0"/>
    <n v="128.17245468707"/>
    <n v="0"/>
    <n v="0"/>
    <n v="0"/>
    <n v="0"/>
    <n v="0"/>
    <n v="0"/>
    <n v="0"/>
    <n v="0"/>
    <n v="42.9175287035061"/>
    <n v="0"/>
    <n v="0"/>
    <n v="0"/>
    <n v="0"/>
    <n v="0"/>
    <n v="0"/>
  </r>
  <r>
    <x v="2"/>
    <x v="1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5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6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2"/>
    <n v="2030"/>
    <x v="0"/>
    <x v="2"/>
    <x v="0"/>
    <x v="1"/>
    <n v="0"/>
    <n v="0"/>
    <s v="C1.0_E0.0"/>
    <n v="10.2693253788196"/>
    <n v="23.619448371285198"/>
    <n v="2.4056929877997599"/>
    <n v="0.70858345113855703"/>
    <n v="0.145266331658293"/>
    <n v="0"/>
    <n v="0"/>
    <n v="0"/>
    <n v="3.2595427705966098"/>
    <n v="58.106532663315797"/>
    <n v="0"/>
    <n v="6.3917185929641596"/>
    <n v="0"/>
    <n v="0"/>
    <n v="0"/>
    <n v="5.6095977873662599E-2"/>
  </r>
  <r>
    <x v="2"/>
    <x v="23"/>
    <n v="2030"/>
    <x v="0"/>
    <x v="2"/>
    <x v="0"/>
    <x v="1"/>
    <n v="0"/>
    <n v="0"/>
    <s v="C1.0_E0.0"/>
    <n v="7.0337845060408704"/>
    <n v="53.806913983089601"/>
    <n v="5.0405660064901099"/>
    <n v="4.3460428918921803"/>
    <n v="1.0760650675699801"/>
    <n v="0"/>
    <n v="0"/>
    <n v="0"/>
    <n v="10.462673965952201"/>
    <n v="39.798994974872301"/>
    <n v="0"/>
    <n v="12.576482412059599"/>
    <n v="1.23133031957735"/>
    <n v="61.875895456148498"/>
    <n v="222.753223642134"/>
    <n v="0.26288789384149103"/>
  </r>
  <r>
    <x v="2"/>
    <x v="1"/>
    <n v="2030"/>
    <x v="0"/>
    <x v="2"/>
    <x v="0"/>
    <x v="1"/>
    <n v="0"/>
    <n v="0"/>
    <s v="C1.0_E0.0"/>
    <n v="27.662445079593699"/>
    <n v="0.723239924931248"/>
    <n v="7.3663583863337198E-2"/>
    <n v="0"/>
    <n v="3.06188179673367E-2"/>
    <n v="0"/>
    <n v="0"/>
    <n v="0"/>
    <n v="0.104282401830673"/>
    <n v="118.241428419382"/>
    <n v="0"/>
    <n v="0.47296571367752299"/>
    <n v="0"/>
    <n v="0"/>
    <n v="0"/>
    <n v="8.81944706053465E-4"/>
  </r>
  <r>
    <x v="2"/>
    <x v="2"/>
    <n v="2030"/>
    <x v="0"/>
    <x v="2"/>
    <x v="0"/>
    <x v="1"/>
    <n v="0"/>
    <n v="0"/>
    <s v="C1.0_E0.0"/>
    <n v="1.8533838203327799"/>
    <n v="76.795030151266104"/>
    <n v="7.19406466182968"/>
    <n v="1.5359006030253199"/>
    <n v="0"/>
    <n v="0"/>
    <n v="0"/>
    <n v="0"/>
    <n v="8.7299652648550001"/>
    <n v="7.9221757040983096"/>
    <n v="0"/>
    <n v="374.71891080388298"/>
    <n v="0"/>
    <n v="0"/>
    <n v="0"/>
    <n v="1.10196562042152"/>
  </r>
  <r>
    <x v="2"/>
    <x v="24"/>
    <n v="2030"/>
    <x v="0"/>
    <x v="2"/>
    <x v="0"/>
    <x v="1"/>
    <n v="0"/>
    <n v="0"/>
    <s v="C1.0_E0.0"/>
    <n v="1.39972311670213"/>
    <n v="0"/>
    <n v="0"/>
    <n v="0"/>
    <n v="0"/>
    <n v="0"/>
    <n v="0"/>
    <n v="0"/>
    <n v="0"/>
    <n v="7.91999999999988"/>
    <n v="0"/>
    <n v="0"/>
    <n v="0"/>
    <n v="0"/>
    <n v="0"/>
    <n v="0"/>
  </r>
  <r>
    <x v="2"/>
    <x v="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5"/>
    <n v="2030"/>
    <x v="0"/>
    <x v="2"/>
    <x v="0"/>
    <x v="1"/>
    <n v="0"/>
    <n v="0"/>
    <s v="C1.0_E0.0"/>
    <n v="15.302780028316599"/>
    <n v="0"/>
    <n v="0"/>
    <n v="0"/>
    <n v="0"/>
    <n v="0"/>
    <n v="0"/>
    <n v="0"/>
    <n v="0"/>
    <n v="72.029585879375205"/>
    <n v="0"/>
    <n v="0"/>
    <n v="0"/>
    <n v="0"/>
    <n v="0"/>
    <n v="0"/>
  </r>
  <r>
    <x v="2"/>
    <x v="6"/>
    <n v="2030"/>
    <x v="0"/>
    <x v="2"/>
    <x v="0"/>
    <x v="1"/>
    <n v="0"/>
    <n v="0"/>
    <s v="C1.0_E0.0"/>
    <n v="14.3822584457823"/>
    <n v="0"/>
    <n v="0"/>
    <n v="0"/>
    <n v="0"/>
    <n v="0"/>
    <n v="0"/>
    <n v="0"/>
    <n v="0"/>
    <n v="61.476083463804699"/>
    <n v="0"/>
    <n v="0"/>
    <n v="0"/>
    <n v="0"/>
    <n v="0"/>
    <n v="0"/>
  </r>
  <r>
    <x v="2"/>
    <x v="7"/>
    <n v="2030"/>
    <x v="0"/>
    <x v="2"/>
    <x v="0"/>
    <x v="1"/>
    <n v="0"/>
    <n v="0"/>
    <s v="C1.0_E0.0"/>
    <n v="83.826666644970402"/>
    <n v="0"/>
    <n v="0"/>
    <n v="0"/>
    <n v="0"/>
    <n v="0"/>
    <n v="0"/>
    <n v="0"/>
    <n v="0"/>
    <n v="1.6453825200865499"/>
    <n v="0"/>
    <n v="1.54665956888133"/>
    <n v="0"/>
    <n v="0"/>
    <n v="0"/>
    <n v="0"/>
  </r>
  <r>
    <x v="2"/>
    <x v="8"/>
    <n v="2030"/>
    <x v="0"/>
    <x v="2"/>
    <x v="0"/>
    <x v="1"/>
    <n v="0"/>
    <n v="0"/>
    <s v="C1.0_E0.0"/>
    <n v="85.226389761672493"/>
    <n v="0"/>
    <n v="0"/>
    <n v="0"/>
    <n v="0"/>
    <n v="0"/>
    <n v="0"/>
    <n v="0"/>
    <n v="0"/>
    <n v="1.6432068159875599"/>
    <n v="0"/>
    <n v="0"/>
    <n v="0"/>
    <n v="0"/>
    <n v="0"/>
    <n v="0"/>
  </r>
  <r>
    <x v="2"/>
    <x v="9"/>
    <n v="2030"/>
    <x v="0"/>
    <x v="2"/>
    <x v="0"/>
    <x v="1"/>
    <n v="0"/>
    <n v="0"/>
    <s v="C1.0_E0.0"/>
    <n v="24.174489988506998"/>
    <n v="11.138527398937001"/>
    <n v="0.910495065300581"/>
    <n v="2.3973261703191098E-2"/>
    <n v="0"/>
    <n v="0"/>
    <n v="0"/>
    <n v="0"/>
    <n v="0.93446832700377302"/>
    <n v="107.82760273978"/>
    <n v="0"/>
    <n v="0"/>
    <n v="0"/>
    <n v="0"/>
    <n v="0"/>
    <n v="8.6663183012509505E-3"/>
  </r>
  <r>
    <x v="2"/>
    <x v="10"/>
    <n v="2030"/>
    <x v="0"/>
    <x v="2"/>
    <x v="0"/>
    <x v="1"/>
    <n v="0"/>
    <n v="0"/>
    <s v="C1.0_E0.0"/>
    <n v="143.233319723552"/>
    <n v="56.757663920318699"/>
    <n v="4.7597068627538697"/>
    <n v="1.0828764826902899"/>
    <n v="0"/>
    <n v="0"/>
    <n v="0"/>
    <n v="0"/>
    <n v="5.8425833454441598"/>
    <n v="148.09407779935901"/>
    <n v="0"/>
    <n v="0"/>
    <n v="0"/>
    <n v="0"/>
    <n v="0"/>
    <n v="3.9451836510031202E-2"/>
  </r>
  <r>
    <x v="2"/>
    <x v="11"/>
    <n v="2030"/>
    <x v="0"/>
    <x v="2"/>
    <x v="0"/>
    <x v="1"/>
    <n v="0"/>
    <n v="0"/>
    <s v="C1.0_E0.0"/>
    <n v="85.489913233559705"/>
    <n v="170.81998699834401"/>
    <n v="15.621162605199499"/>
    <n v="3.2140538037605602"/>
    <n v="0.83697671662342799"/>
    <n v="0"/>
    <n v="0"/>
    <n v="0"/>
    <n v="19.672193125583501"/>
    <n v="297.27114426413198"/>
    <n v="0"/>
    <n v="0"/>
    <n v="0"/>
    <n v="0"/>
    <n v="0"/>
    <n v="6.6175925599103194E-2"/>
  </r>
  <r>
    <x v="2"/>
    <x v="12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3"/>
    <n v="2030"/>
    <x v="0"/>
    <x v="2"/>
    <x v="0"/>
    <x v="1"/>
    <n v="0"/>
    <n v="0"/>
    <s v="C1.0_E0.0"/>
    <n v="143.69433311440901"/>
    <n v="0"/>
    <n v="0"/>
    <n v="0"/>
    <n v="0"/>
    <n v="0"/>
    <n v="0"/>
    <n v="0"/>
    <n v="0"/>
    <n v="49.6584849720291"/>
    <n v="0"/>
    <n v="0"/>
    <n v="0"/>
    <n v="0"/>
    <n v="0"/>
    <n v="0"/>
  </r>
  <r>
    <x v="2"/>
    <x v="1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5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6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5"/>
    <n v="2030"/>
    <x v="0"/>
    <x v="2"/>
    <x v="0"/>
    <x v="2"/>
    <n v="0"/>
    <n v="0"/>
    <s v="C1.0_E0.0"/>
    <n v="9.3542490346452691"/>
    <n v="56.125494207871597"/>
    <n v="5.7165055563626703"/>
    <n v="2.8062747103935801"/>
    <n v="0"/>
    <n v="0"/>
    <n v="0"/>
    <n v="0"/>
    <n v="8.52278026675625"/>
    <n v="58.106532663315299"/>
    <n v="0"/>
    <n v="27.310070351759901"/>
    <n v="0"/>
    <n v="0"/>
    <n v="0"/>
    <n v="0.14667507896469201"/>
  </r>
  <r>
    <x v="2"/>
    <x v="23"/>
    <n v="2030"/>
    <x v="0"/>
    <x v="2"/>
    <x v="0"/>
    <x v="2"/>
    <n v="0"/>
    <n v="0"/>
    <s v="C1.0_E0.0"/>
    <n v="6.4070198867433401"/>
    <n v="49.0123016475507"/>
    <n v="4.5914125768693097"/>
    <n v="3.9587768452499899"/>
    <n v="1.0760650675700401"/>
    <n v="0"/>
    <n v="0"/>
    <n v="0"/>
    <n v="9.6262544896893605"/>
    <n v="39.798994974877303"/>
    <n v="0"/>
    <n v="12.5764824120592"/>
    <n v="1.41603418044286"/>
    <n v="71.157496504666398"/>
    <n v="256.16698741679897"/>
    <n v="0.24187179841515599"/>
  </r>
  <r>
    <x v="2"/>
    <x v="1"/>
    <n v="2030"/>
    <x v="0"/>
    <x v="2"/>
    <x v="0"/>
    <x v="2"/>
    <n v="0"/>
    <n v="0"/>
    <s v="C1.0_E0.0"/>
    <n v="27.1461209549547"/>
    <n v="0.70974053179844099"/>
    <n v="7.2288640854988803E-2"/>
    <n v="0"/>
    <n v="3.0627624002566502E-2"/>
    <n v="0"/>
    <n v="0"/>
    <n v="0"/>
    <n v="0.10291626485755501"/>
    <n v="118.275434898188"/>
    <n v="0"/>
    <n v="0.47310173959275298"/>
    <n v="0"/>
    <n v="0"/>
    <n v="0"/>
    <n v="8.7014065893011201E-4"/>
  </r>
  <r>
    <x v="2"/>
    <x v="2"/>
    <n v="2030"/>
    <x v="0"/>
    <x v="2"/>
    <x v="0"/>
    <x v="2"/>
    <n v="0"/>
    <n v="0"/>
    <s v="C1.0_E0.0"/>
    <n v="1.8187901039819601"/>
    <n v="75.361638178669693"/>
    <n v="7.0597862519339598"/>
    <n v="1.50723276357339"/>
    <n v="0"/>
    <n v="0"/>
    <n v="0"/>
    <n v="0"/>
    <n v="8.5670190155073591"/>
    <n v="7.9244541381785396"/>
    <n v="0"/>
    <n v="374.826680735845"/>
    <n v="0"/>
    <n v="0"/>
    <n v="0"/>
    <n v="1.0810863267203501"/>
  </r>
  <r>
    <x v="2"/>
    <x v="24"/>
    <n v="2030"/>
    <x v="0"/>
    <x v="2"/>
    <x v="0"/>
    <x v="2"/>
    <n v="0"/>
    <n v="0"/>
    <s v="C1.0_E0.0"/>
    <n v="1.27499695746192"/>
    <n v="0"/>
    <n v="0"/>
    <n v="0"/>
    <n v="0"/>
    <n v="0"/>
    <n v="0"/>
    <n v="0"/>
    <n v="0"/>
    <n v="7.9200000000006403"/>
    <n v="0"/>
    <n v="0"/>
    <n v="0"/>
    <n v="0"/>
    <n v="0"/>
    <n v="0"/>
  </r>
  <r>
    <x v="2"/>
    <x v="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5"/>
    <n v="2030"/>
    <x v="0"/>
    <x v="2"/>
    <x v="0"/>
    <x v="2"/>
    <n v="0"/>
    <n v="0"/>
    <s v="C1.0_E0.0"/>
    <n v="14.6802261531871"/>
    <n v="0"/>
    <n v="0"/>
    <n v="0"/>
    <n v="0"/>
    <n v="0"/>
    <n v="0"/>
    <n v="0"/>
    <n v="0"/>
    <n v="72.042518271216593"/>
    <n v="0"/>
    <n v="0"/>
    <n v="0"/>
    <n v="0"/>
    <n v="0"/>
    <n v="0"/>
  </r>
  <r>
    <x v="2"/>
    <x v="6"/>
    <n v="2030"/>
    <x v="0"/>
    <x v="2"/>
    <x v="0"/>
    <x v="2"/>
    <n v="0"/>
    <n v="0"/>
    <s v="C1.0_E0.0"/>
    <n v="14.113811206899999"/>
    <n v="0"/>
    <n v="0"/>
    <n v="0"/>
    <n v="0"/>
    <n v="0"/>
    <n v="0"/>
    <n v="0"/>
    <n v="0"/>
    <n v="61.493764112265502"/>
    <n v="0"/>
    <n v="0"/>
    <n v="0"/>
    <n v="0"/>
    <n v="0"/>
    <n v="0"/>
  </r>
  <r>
    <x v="2"/>
    <x v="7"/>
    <n v="2030"/>
    <x v="0"/>
    <x v="2"/>
    <x v="0"/>
    <x v="2"/>
    <n v="0"/>
    <n v="0"/>
    <s v="C1.0_E0.0"/>
    <n v="88.792201045442297"/>
    <n v="0"/>
    <n v="0"/>
    <n v="0"/>
    <n v="0"/>
    <n v="0"/>
    <n v="0"/>
    <n v="0"/>
    <n v="0"/>
    <n v="2.5338128593196898"/>
    <n v="0"/>
    <n v="2.3817840877604599"/>
    <n v="0"/>
    <n v="0"/>
    <n v="0"/>
    <n v="0"/>
  </r>
  <r>
    <x v="2"/>
    <x v="8"/>
    <n v="2030"/>
    <x v="0"/>
    <x v="2"/>
    <x v="0"/>
    <x v="2"/>
    <n v="0"/>
    <n v="0"/>
    <s v="C1.0_E0.0"/>
    <n v="90.067198002904206"/>
    <n v="0"/>
    <n v="0"/>
    <n v="0"/>
    <n v="0"/>
    <n v="0"/>
    <n v="0"/>
    <n v="0"/>
    <n v="0"/>
    <n v="2.5293587211411701"/>
    <n v="0"/>
    <n v="0"/>
    <n v="0"/>
    <n v="0"/>
    <n v="0"/>
    <n v="0"/>
  </r>
  <r>
    <x v="2"/>
    <x v="9"/>
    <n v="2030"/>
    <x v="0"/>
    <x v="2"/>
    <x v="0"/>
    <x v="2"/>
    <n v="0"/>
    <n v="0"/>
    <s v="C1.0_E0.0"/>
    <n v="49.490424205138702"/>
    <n v="22.8029814178512"/>
    <n v="1.8639808757013601"/>
    <n v="4.9078466260748098E-2"/>
    <n v="0"/>
    <n v="0"/>
    <n v="0"/>
    <n v="0"/>
    <n v="1.91305934196211"/>
    <n v="208.34621146912599"/>
    <n v="0"/>
    <n v="0"/>
    <n v="0"/>
    <n v="0"/>
    <n v="0"/>
    <n v="9.1821172483647594E-3"/>
  </r>
  <r>
    <x v="2"/>
    <x v="10"/>
    <n v="2030"/>
    <x v="0"/>
    <x v="2"/>
    <x v="0"/>
    <x v="2"/>
    <n v="0"/>
    <n v="0"/>
    <s v="C1.0_E0.0"/>
    <n v="142.63203156969499"/>
    <n v="56.519397356213702"/>
    <n v="4.7397257902078396"/>
    <n v="1.0783306074540699"/>
    <n v="0"/>
    <n v="0"/>
    <n v="0"/>
    <n v="0"/>
    <n v="5.8180563976619197"/>
    <n v="147.47238436371899"/>
    <n v="0"/>
    <n v="0"/>
    <n v="0"/>
    <n v="0"/>
    <n v="0"/>
    <n v="3.9451836510031001E-2"/>
  </r>
  <r>
    <x v="2"/>
    <x v="11"/>
    <n v="2030"/>
    <x v="0"/>
    <x v="2"/>
    <x v="0"/>
    <x v="2"/>
    <n v="0"/>
    <n v="0"/>
    <s v="C1.0_E0.0"/>
    <n v="94.515947111650206"/>
    <n v="188.85517888688599"/>
    <n v="17.270446568144799"/>
    <n v="3.5533939366659699"/>
    <n v="0.92534480490041404"/>
    <n v="0"/>
    <n v="0"/>
    <n v="0"/>
    <n v="21.749185309711098"/>
    <n v="328.65706241071098"/>
    <n v="0"/>
    <n v="0"/>
    <n v="0"/>
    <n v="0"/>
    <n v="0"/>
    <n v="6.6175925599103499E-2"/>
  </r>
  <r>
    <x v="2"/>
    <x v="12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3"/>
    <n v="2030"/>
    <x v="0"/>
    <x v="2"/>
    <x v="0"/>
    <x v="2"/>
    <n v="0"/>
    <n v="0"/>
    <s v="C1.0_E0.0"/>
    <n v="210.23062248740101"/>
    <n v="0"/>
    <n v="0"/>
    <n v="0"/>
    <n v="0"/>
    <n v="0"/>
    <n v="0"/>
    <n v="0"/>
    <n v="0"/>
    <n v="58.529802035761598"/>
    <n v="0"/>
    <n v="0"/>
    <n v="0"/>
    <n v="0"/>
    <n v="0"/>
    <n v="0"/>
  </r>
  <r>
    <x v="2"/>
    <x v="14"/>
    <n v="2030"/>
    <x v="0"/>
    <x v="2"/>
    <x v="0"/>
    <x v="2"/>
    <n v="0"/>
    <n v="0"/>
    <s v="C1.0_E0.0"/>
    <n v="3.0449113322093502"/>
    <n v="0"/>
    <n v="0"/>
    <n v="0"/>
    <n v="7.2602820524113299E-4"/>
    <n v="0"/>
    <n v="0"/>
    <n v="0"/>
    <n v="7.2602820524113299E-4"/>
    <n v="0.38679791991842999"/>
    <n v="0"/>
    <n v="1.3537927197145E-2"/>
    <n v="0"/>
    <n v="0"/>
    <n v="0"/>
    <n v="1.8770219999999999E-3"/>
  </r>
  <r>
    <x v="2"/>
    <x v="15"/>
    <n v="2030"/>
    <x v="0"/>
    <x v="2"/>
    <x v="0"/>
    <x v="2"/>
    <n v="0"/>
    <n v="0"/>
    <s v="C1.0_E0.0"/>
    <n v="2.4359290657674801"/>
    <n v="0"/>
    <n v="0"/>
    <n v="0"/>
    <n v="0"/>
    <n v="0"/>
    <n v="0"/>
    <n v="0"/>
    <n v="0"/>
    <n v="0.38618893765198797"/>
    <n v="0"/>
    <n v="1.73785021943395E-2"/>
    <n v="0"/>
    <n v="0"/>
    <n v="0"/>
    <n v="0"/>
  </r>
  <r>
    <x v="2"/>
    <x v="16"/>
    <n v="2030"/>
    <x v="0"/>
    <x v="2"/>
    <x v="0"/>
    <x v="2"/>
    <n v="0"/>
    <n v="0"/>
    <s v="C1.0_E0.0"/>
    <n v="3.0449113322093502"/>
    <n v="0.44069578340461701"/>
    <n v="4.1283842922695199E-2"/>
    <n v="1.54562744134279E-2"/>
    <n v="0"/>
    <n v="0"/>
    <n v="0"/>
    <n v="0"/>
    <n v="5.6740117336123101E-2"/>
    <n v="13.5069784199887"/>
    <n v="0"/>
    <n v="0"/>
    <n v="0"/>
    <n v="0"/>
    <n v="0"/>
    <n v="4.2008001769037002E-3"/>
  </r>
  <r>
    <x v="2"/>
    <x v="17"/>
    <n v="2030"/>
    <x v="0"/>
    <x v="1"/>
    <x v="0"/>
    <x v="0"/>
    <n v="0"/>
    <n v="0"/>
    <s v="C1.0_E0.0"/>
    <n v="5.0706175965208597"/>
    <n v="0"/>
    <n v="0"/>
    <n v="0"/>
    <n v="0"/>
    <n v="0"/>
    <n v="0"/>
    <n v="4.3375319225951303"/>
    <n v="4.3375319225951303"/>
    <n v="31.8335467258219"/>
    <n v="0"/>
    <n v="0"/>
    <n v="0"/>
    <n v="0"/>
    <n v="0"/>
    <n v="0.13625663391998699"/>
  </r>
  <r>
    <x v="2"/>
    <x v="26"/>
    <n v="2030"/>
    <x v="0"/>
    <x v="1"/>
    <x v="0"/>
    <x v="0"/>
    <n v="0"/>
    <n v="0"/>
    <s v="C1.0_E0.0"/>
    <n v="6.3393967999093999"/>
    <n v="47.525099818448801"/>
    <n v="4.4520933253152002"/>
    <n v="3.6647847078063398"/>
    <n v="0"/>
    <n v="0"/>
    <n v="0"/>
    <n v="0"/>
    <n v="8.1168780331215409"/>
    <n v="39.798994974872301"/>
    <n v="0"/>
    <n v="13.0216739698499"/>
    <n v="0.79958020128026397"/>
    <n v="40.179909612073502"/>
    <n v="144.647674603464"/>
    <n v="0.20394680916556401"/>
  </r>
  <r>
    <x v="2"/>
    <x v="1"/>
    <n v="2030"/>
    <x v="0"/>
    <x v="1"/>
    <x v="0"/>
    <x v="0"/>
    <n v="0"/>
    <n v="0"/>
    <s v="C1.0_E0.0"/>
    <n v="14.049518769146999"/>
    <n v="0.36732735919334297"/>
    <n v="3.74131028950168E-2"/>
    <n v="0"/>
    <n v="1.5947974642520402E-2"/>
    <n v="0"/>
    <n v="0"/>
    <n v="0"/>
    <n v="5.3361077537537299E-2"/>
    <n v="61.586678628133399"/>
    <n v="0"/>
    <n v="0.24634671451253801"/>
    <n v="0"/>
    <n v="0"/>
    <n v="0"/>
    <n v="8.6643863131078802E-4"/>
  </r>
  <r>
    <x v="2"/>
    <x v="2"/>
    <n v="2030"/>
    <x v="0"/>
    <x v="1"/>
    <x v="0"/>
    <x v="0"/>
    <n v="0"/>
    <n v="0"/>
    <s v="C1.0_E0.0"/>
    <n v="0.94131775753285096"/>
    <n v="39.0035376259397"/>
    <n v="3.6538037835055301"/>
    <n v="0.78007075251879399"/>
    <n v="0"/>
    <n v="0"/>
    <n v="0"/>
    <n v="0"/>
    <n v="4.4338745360243204"/>
    <n v="4.1263074680850096"/>
    <n v="0"/>
    <n v="195.17434324042301"/>
    <n v="0"/>
    <n v="0"/>
    <n v="0"/>
    <n v="1.0745380877014601"/>
  </r>
  <r>
    <x v="2"/>
    <x v="20"/>
    <n v="2030"/>
    <x v="0"/>
    <x v="1"/>
    <x v="0"/>
    <x v="0"/>
    <n v="0"/>
    <n v="0"/>
    <s v="C1.0_E0.0"/>
    <n v="0.65688568686073301"/>
    <n v="0"/>
    <n v="0"/>
    <n v="0"/>
    <n v="0"/>
    <n v="0"/>
    <n v="0"/>
    <n v="0"/>
    <n v="0"/>
    <n v="4.12395547645969"/>
    <n v="0"/>
    <n v="0"/>
    <n v="0"/>
    <n v="0"/>
    <n v="0"/>
    <n v="0"/>
  </r>
  <r>
    <x v="2"/>
    <x v="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5"/>
    <n v="2030"/>
    <x v="0"/>
    <x v="1"/>
    <x v="0"/>
    <x v="0"/>
    <n v="0"/>
    <n v="0"/>
    <s v="C1.0_E0.0"/>
    <n v="9.0164352129871599"/>
    <n v="0"/>
    <n v="0"/>
    <n v="0"/>
    <n v="0"/>
    <n v="0"/>
    <n v="0"/>
    <n v="0"/>
    <n v="0"/>
    <n v="46.4834040029194"/>
    <n v="0"/>
    <n v="0"/>
    <n v="0"/>
    <n v="0"/>
    <n v="0"/>
    <n v="0"/>
  </r>
  <r>
    <x v="2"/>
    <x v="6"/>
    <n v="2030"/>
    <x v="0"/>
    <x v="1"/>
    <x v="0"/>
    <x v="0"/>
    <n v="0"/>
    <n v="0"/>
    <s v="C1.0_E0.0"/>
    <n v="7.3046257984549197"/>
    <n v="0"/>
    <n v="0"/>
    <n v="0"/>
    <n v="0"/>
    <n v="0"/>
    <n v="0"/>
    <n v="0"/>
    <n v="0"/>
    <n v="32.020145952339497"/>
    <n v="0"/>
    <n v="0"/>
    <n v="0"/>
    <n v="0"/>
    <n v="0"/>
    <n v="0"/>
  </r>
  <r>
    <x v="2"/>
    <x v="7"/>
    <n v="2030"/>
    <x v="0"/>
    <x v="1"/>
    <x v="0"/>
    <x v="0"/>
    <n v="0"/>
    <n v="0"/>
    <s v="C1.0_E0.0"/>
    <n v="55.037939834827903"/>
    <n v="0"/>
    <n v="0"/>
    <n v="0"/>
    <n v="0"/>
    <n v="0"/>
    <n v="0"/>
    <n v="0"/>
    <n v="0"/>
    <n v="2.2739645608321202"/>
    <n v="0"/>
    <n v="2.1375266871821701"/>
    <n v="0"/>
    <n v="0"/>
    <n v="0"/>
    <n v="0"/>
  </r>
  <r>
    <x v="2"/>
    <x v="8"/>
    <n v="2030"/>
    <x v="0"/>
    <x v="1"/>
    <x v="0"/>
    <x v="0"/>
    <n v="0"/>
    <n v="0"/>
    <s v="C1.0_E0.0"/>
    <n v="55.6948255216886"/>
    <n v="0"/>
    <n v="0"/>
    <n v="0"/>
    <n v="0"/>
    <n v="0"/>
    <n v="0"/>
    <n v="0"/>
    <n v="0"/>
    <n v="2.27161256920661"/>
    <n v="0"/>
    <n v="0"/>
    <n v="0"/>
    <n v="0"/>
    <n v="0"/>
    <n v="0"/>
  </r>
  <r>
    <x v="2"/>
    <x v="9"/>
    <n v="2030"/>
    <x v="0"/>
    <x v="1"/>
    <x v="0"/>
    <x v="0"/>
    <n v="0"/>
    <n v="0"/>
    <s v="C1.0_E0.0"/>
    <n v="26.133240283434699"/>
    <n v="12.0410322227452"/>
    <n v="0.98426838910330305"/>
    <n v="2.5915707374385401E-2"/>
    <n v="0"/>
    <n v="0"/>
    <n v="0"/>
    <n v="0"/>
    <n v="1.01018409647768"/>
    <n v="112.18388572109301"/>
    <n v="0"/>
    <n v="0"/>
    <n v="0"/>
    <n v="0"/>
    <n v="0"/>
    <n v="9.0047165863835505E-3"/>
  </r>
  <r>
    <x v="2"/>
    <x v="10"/>
    <n v="2030"/>
    <x v="0"/>
    <x v="1"/>
    <x v="0"/>
    <x v="0"/>
    <n v="0"/>
    <n v="0"/>
    <s v="C1.0_E0.0"/>
    <n v="72.097013601200203"/>
    <n v="28.569177029014298"/>
    <n v="2.3958157995919498"/>
    <n v="0.54506982489566802"/>
    <n v="0"/>
    <n v="0"/>
    <n v="0"/>
    <n v="0"/>
    <n v="2.94088562448762"/>
    <n v="74.543693897237802"/>
    <n v="0"/>
    <n v="0"/>
    <n v="0"/>
    <n v="0"/>
    <n v="0"/>
    <n v="3.9451836510031001E-2"/>
  </r>
  <r>
    <x v="2"/>
    <x v="11"/>
    <n v="2030"/>
    <x v="0"/>
    <x v="1"/>
    <x v="0"/>
    <x v="0"/>
    <n v="0"/>
    <n v="0"/>
    <s v="C1.0_E0.0"/>
    <n v="47.375755933032998"/>
    <n v="94.662933981556606"/>
    <n v="8.6567450940357098"/>
    <n v="1.7811250801787299"/>
    <n v="0.46382553389721398"/>
    <n v="0"/>
    <n v="0"/>
    <n v="0"/>
    <n v="10.9016957081116"/>
    <n v="164.738091827451"/>
    <n v="0"/>
    <n v="0"/>
    <n v="0"/>
    <n v="0"/>
    <n v="0"/>
    <n v="6.6175925599103194E-2"/>
  </r>
  <r>
    <x v="2"/>
    <x v="12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3"/>
    <n v="2030"/>
    <x v="0"/>
    <x v="1"/>
    <x v="0"/>
    <x v="0"/>
    <n v="0"/>
    <n v="0"/>
    <s v="C1.0_E0.0"/>
    <n v="78.013047746993394"/>
    <n v="0"/>
    <n v="0"/>
    <n v="0"/>
    <n v="0"/>
    <n v="0"/>
    <n v="0"/>
    <n v="0"/>
    <n v="0"/>
    <n v="28.6864782162449"/>
    <n v="0"/>
    <n v="0"/>
    <n v="0"/>
    <n v="0"/>
    <n v="0"/>
    <n v="0"/>
  </r>
  <r>
    <x v="2"/>
    <x v="14"/>
    <n v="2030"/>
    <x v="0"/>
    <x v="1"/>
    <x v="0"/>
    <x v="0"/>
    <n v="0"/>
    <n v="0"/>
    <s v="C1.0_E0.0"/>
    <n v="1.29048954860795"/>
    <n v="0"/>
    <n v="0"/>
    <n v="0"/>
    <n v="3.5505622108855097E-4"/>
    <n v="0"/>
    <n v="0"/>
    <n v="0"/>
    <n v="3.5505622108855097E-4"/>
    <n v="0.18915932849404499"/>
    <n v="0"/>
    <n v="6.6205764972915998E-3"/>
    <n v="0"/>
    <n v="0"/>
    <n v="0"/>
    <n v="1.8770219999999999E-3"/>
  </r>
  <r>
    <x v="2"/>
    <x v="15"/>
    <n v="2030"/>
    <x v="0"/>
    <x v="1"/>
    <x v="0"/>
    <x v="0"/>
    <n v="0"/>
    <n v="0"/>
    <s v="C1.0_E0.0"/>
    <n v="1.1901578856809401"/>
    <n v="0"/>
    <n v="0"/>
    <n v="0"/>
    <n v="0"/>
    <n v="0"/>
    <n v="0"/>
    <n v="0"/>
    <n v="0"/>
    <n v="0.18886178902262499"/>
    <n v="0"/>
    <n v="8.4987805060181398E-3"/>
    <n v="0"/>
    <n v="0"/>
    <n v="0"/>
    <n v="0"/>
  </r>
  <r>
    <x v="2"/>
    <x v="16"/>
    <n v="2030"/>
    <x v="0"/>
    <x v="1"/>
    <x v="0"/>
    <x v="0"/>
    <n v="0"/>
    <n v="0"/>
    <s v="C1.0_E0.0"/>
    <n v="1.48769735710117"/>
    <n v="0.215317255816762"/>
    <n v="2.0170657633734601E-2"/>
    <n v="7.5517005543812698E-3"/>
    <n v="0"/>
    <n v="0"/>
    <n v="0"/>
    <n v="0"/>
    <n v="2.77223581881159E-2"/>
    <n v="8.1410231098706092"/>
    <n v="0"/>
    <n v="0"/>
    <n v="0"/>
    <n v="0"/>
    <n v="0"/>
    <n v="3.40526710389801E-3"/>
  </r>
  <r>
    <x v="3"/>
    <x v="0"/>
    <n v="2030"/>
    <x v="0"/>
    <x v="0"/>
    <x v="0"/>
    <x v="0"/>
    <n v="0"/>
    <n v="0"/>
    <s v="C1.0_E0.0"/>
    <n v="6.1561455898912598"/>
    <n v="45.136222622435497"/>
    <n v="4.2283062262875797"/>
    <n v="2.68407947719259"/>
    <n v="4.4402670967749599E-3"/>
    <n v="0"/>
    <n v="0"/>
    <n v="0"/>
    <n v="6.9168259705769497"/>
    <n v="42.580645161290199"/>
    <n v="0"/>
    <n v="16.1806451612924"/>
    <n v="0.47431933811890797"/>
    <n v="25.501039683812198"/>
    <n v="91.803742861724103"/>
    <n v="0.16244060991506501"/>
  </r>
  <r>
    <x v="3"/>
    <x v="1"/>
    <n v="2030"/>
    <x v="0"/>
    <x v="0"/>
    <x v="0"/>
    <x v="0"/>
    <n v="0"/>
    <n v="0"/>
    <s v="C1.0_E0.0"/>
    <n v="16.545516806414199"/>
    <n v="0.43258570594857398"/>
    <n v="4.4059809656184099E-2"/>
    <n v="0"/>
    <n v="2.9634957485082901E-2"/>
    <n v="0"/>
    <n v="0"/>
    <n v="0"/>
    <n v="7.3694767141267103E-2"/>
    <n v="114.442030646698"/>
    <n v="0"/>
    <n v="0.457768122586929"/>
    <n v="0"/>
    <n v="0"/>
    <n v="0"/>
    <n v="6.4394844031363699E-4"/>
  </r>
  <r>
    <x v="3"/>
    <x v="2"/>
    <n v="2030"/>
    <x v="0"/>
    <x v="0"/>
    <x v="0"/>
    <x v="0"/>
    <n v="0"/>
    <n v="0"/>
    <s v="C1.0_E0.0"/>
    <n v="1.10854962603087"/>
    <n v="45.932796553673597"/>
    <n v="4.3029282995905902"/>
    <n v="0.91865593107347199"/>
    <n v="0"/>
    <n v="0"/>
    <n v="0"/>
    <n v="0"/>
    <n v="5.2215842306640603"/>
    <n v="7.6676160533306703"/>
    <n v="0"/>
    <n v="362.67823932255499"/>
    <n v="0"/>
    <n v="0"/>
    <n v="0"/>
    <n v="0.680991874703468"/>
  </r>
  <r>
    <x v="3"/>
    <x v="3"/>
    <n v="2030"/>
    <x v="0"/>
    <x v="0"/>
    <x v="0"/>
    <x v="0"/>
    <n v="0"/>
    <n v="0"/>
    <s v="C1.0_E0.0"/>
    <n v="1.1085496260308401"/>
    <n v="0"/>
    <n v="0"/>
    <n v="0"/>
    <n v="0"/>
    <n v="0"/>
    <n v="0"/>
    <n v="0"/>
    <n v="0"/>
    <n v="7.6675831622976904"/>
    <n v="0"/>
    <n v="0"/>
    <n v="0"/>
    <n v="0"/>
    <n v="0"/>
    <n v="0"/>
  </r>
  <r>
    <x v="3"/>
    <x v="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5"/>
    <n v="2030"/>
    <x v="0"/>
    <x v="0"/>
    <x v="0"/>
    <x v="0"/>
    <n v="0"/>
    <n v="0"/>
    <s v="C1.0_E0.0"/>
    <n v="6.2921276773512496"/>
    <n v="0"/>
    <n v="0"/>
    <n v="0"/>
    <n v="0"/>
    <n v="0"/>
    <n v="0"/>
    <n v="0"/>
    <n v="0"/>
    <n v="43.5213887187018"/>
    <n v="0"/>
    <n v="0"/>
    <n v="0"/>
    <n v="0"/>
    <n v="0"/>
    <n v="0"/>
  </r>
  <r>
    <x v="3"/>
    <x v="6"/>
    <n v="2030"/>
    <x v="0"/>
    <x v="0"/>
    <x v="0"/>
    <x v="0"/>
    <n v="0"/>
    <n v="0"/>
    <s v="C1.0_E0.0"/>
    <n v="8.6023450979995992"/>
    <n v="0"/>
    <n v="0"/>
    <n v="0"/>
    <n v="0"/>
    <n v="0"/>
    <n v="0"/>
    <n v="0"/>
    <n v="0"/>
    <n v="59.500700573833399"/>
    <n v="0"/>
    <n v="0"/>
    <n v="0"/>
    <n v="0"/>
    <n v="0"/>
    <n v="0"/>
  </r>
  <r>
    <x v="3"/>
    <x v="7"/>
    <n v="2030"/>
    <x v="0"/>
    <x v="0"/>
    <x v="0"/>
    <x v="0"/>
    <n v="0"/>
    <n v="0"/>
    <s v="C1.0_E0.0"/>
    <n v="0.33256488781139398"/>
    <n v="0"/>
    <n v="0"/>
    <n v="0"/>
    <n v="0"/>
    <n v="0"/>
    <n v="0"/>
    <n v="0"/>
    <n v="0"/>
    <n v="3.9940677570089497E-2"/>
    <n v="0"/>
    <n v="3.7544236915894397E-2"/>
    <n v="0"/>
    <n v="0"/>
    <n v="0"/>
    <n v="0"/>
  </r>
  <r>
    <x v="3"/>
    <x v="8"/>
    <n v="2030"/>
    <x v="0"/>
    <x v="0"/>
    <x v="0"/>
    <x v="0"/>
    <n v="0"/>
    <n v="0"/>
    <s v="C1.0_E0.0"/>
    <n v="0.110854962603084"/>
    <n v="0"/>
    <n v="0"/>
    <n v="0"/>
    <n v="0"/>
    <n v="0"/>
    <n v="0"/>
    <n v="0"/>
    <n v="0"/>
    <n v="3.9907786537126101E-2"/>
    <n v="0"/>
    <n v="0"/>
    <n v="0"/>
    <n v="0"/>
    <n v="0"/>
    <n v="0"/>
  </r>
  <r>
    <x v="3"/>
    <x v="9"/>
    <n v="2030"/>
    <x v="0"/>
    <x v="0"/>
    <x v="0"/>
    <x v="0"/>
    <n v="0"/>
    <n v="0"/>
    <s v="C1.0_E0.0"/>
    <n v="0.36545592066950799"/>
    <n v="0.16838579789754901"/>
    <n v="1.37643363939698E-2"/>
    <n v="3.6241386814596599E-4"/>
    <n v="0"/>
    <n v="0"/>
    <n v="0"/>
    <n v="0"/>
    <n v="1.41267502621158E-2"/>
    <n v="0.58921970820778502"/>
    <n v="0"/>
    <n v="0"/>
    <n v="0"/>
    <n v="0"/>
    <n v="0"/>
    <n v="2.3975352598243599E-2"/>
  </r>
  <r>
    <x v="3"/>
    <x v="10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1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2"/>
    <n v="2030"/>
    <x v="0"/>
    <x v="0"/>
    <x v="0"/>
    <x v="0"/>
    <n v="0"/>
    <n v="0"/>
    <s v="C1.0_E0.0"/>
    <n v="54.839914702590498"/>
    <n v="3.6194343703709699"/>
    <n v="0"/>
    <n v="0"/>
    <n v="0"/>
    <n v="0"/>
    <n v="0"/>
    <n v="7.9705917109342099"/>
    <n v="7.9705917109342099"/>
    <n v="379.354196843343"/>
    <n v="0"/>
    <n v="0"/>
    <n v="0"/>
    <n v="0"/>
    <n v="0"/>
    <n v="2.1010949074133201E-2"/>
  </r>
  <r>
    <x v="3"/>
    <x v="13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5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6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2"/>
    <n v="2030"/>
    <x v="0"/>
    <x v="2"/>
    <x v="0"/>
    <x v="1"/>
    <n v="0"/>
    <n v="0"/>
    <s v="C1.0_E0.0"/>
    <n v="7.8019639604010296"/>
    <n v="17.944517108922302"/>
    <n v="1.8276887038085601"/>
    <n v="0.53833551326767104"/>
    <n v="0.145266331658296"/>
    <n v="0"/>
    <n v="0"/>
    <n v="0"/>
    <n v="2.5112905487345301"/>
    <n v="58.106532663315001"/>
    <n v="0"/>
    <n v="6.39171859296503"/>
    <n v="0"/>
    <n v="0"/>
    <n v="0"/>
    <n v="4.3218730039970302E-2"/>
  </r>
  <r>
    <x v="3"/>
    <x v="23"/>
    <n v="2030"/>
    <x v="0"/>
    <x v="2"/>
    <x v="0"/>
    <x v="1"/>
    <n v="0"/>
    <n v="0"/>
    <s v="C1.0_E0.0"/>
    <n v="5.3438109317817304"/>
    <n v="40.878985544884003"/>
    <n v="3.8294934547277899"/>
    <n v="3.3018400685633398"/>
    <n v="1.07606506757007"/>
    <n v="0"/>
    <n v="0"/>
    <n v="0"/>
    <n v="8.2073985908611995"/>
    <n v="39.7989949748725"/>
    <n v="0"/>
    <n v="12.5764824120582"/>
    <n v="0.63051024217016804"/>
    <n v="31.683931767345101"/>
    <n v="114.062154362442"/>
    <n v="0.206221252472406"/>
  </r>
  <r>
    <x v="3"/>
    <x v="1"/>
    <n v="2030"/>
    <x v="0"/>
    <x v="2"/>
    <x v="0"/>
    <x v="1"/>
    <n v="0"/>
    <n v="0"/>
    <s v="C1.0_E0.0"/>
    <n v="15.8719160511127"/>
    <n v="0.41497428518312401"/>
    <n v="4.2266047550709201E-2"/>
    <n v="0"/>
    <n v="3.0610490276296701E-2"/>
    <n v="0"/>
    <n v="0"/>
    <n v="0"/>
    <n v="7.2876537827005997E-2"/>
    <n v="118.209269173892"/>
    <n v="0"/>
    <n v="0.47283707669543201"/>
    <n v="0"/>
    <n v="0"/>
    <n v="0"/>
    <n v="6.1650442758258504E-4"/>
  </r>
  <r>
    <x v="3"/>
    <x v="2"/>
    <n v="2030"/>
    <x v="0"/>
    <x v="2"/>
    <x v="0"/>
    <x v="1"/>
    <n v="0"/>
    <n v="0"/>
    <s v="C1.0_E0.0"/>
    <n v="1.0634183754245501"/>
    <n v="44.0627814423651"/>
    <n v="4.1277475671544801"/>
    <n v="0.88125562884730202"/>
    <n v="0"/>
    <n v="0"/>
    <n v="0"/>
    <n v="0"/>
    <n v="5.00900319600178"/>
    <n v="7.9200210346479603"/>
    <n v="0"/>
    <n v="374.61699493894599"/>
    <n v="0"/>
    <n v="0"/>
    <n v="0"/>
    <n v="0.632448218772241"/>
  </r>
  <r>
    <x v="3"/>
    <x v="24"/>
    <n v="2030"/>
    <x v="0"/>
    <x v="2"/>
    <x v="0"/>
    <x v="1"/>
    <n v="0"/>
    <n v="0"/>
    <s v="C1.0_E0.0"/>
    <n v="1.0634183754245199"/>
    <n v="0"/>
    <n v="0"/>
    <n v="0"/>
    <n v="0"/>
    <n v="0"/>
    <n v="0"/>
    <n v="0"/>
    <n v="0"/>
    <n v="7.9199999999979003"/>
    <n v="0"/>
    <n v="0"/>
    <n v="0"/>
    <n v="0"/>
    <n v="0"/>
    <n v="0"/>
  </r>
  <r>
    <x v="3"/>
    <x v="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5"/>
    <n v="2030"/>
    <x v="0"/>
    <x v="2"/>
    <x v="0"/>
    <x v="1"/>
    <n v="0"/>
    <n v="0"/>
    <s v="C1.0_E0.0"/>
    <n v="9.6697541325212093"/>
    <n v="0"/>
    <n v="0"/>
    <n v="0"/>
    <n v="0"/>
    <n v="0"/>
    <n v="0"/>
    <n v="0"/>
    <n v="0"/>
    <n v="72.017355975592395"/>
    <n v="0"/>
    <n v="0"/>
    <n v="0"/>
    <n v="0"/>
    <n v="0"/>
    <n v="0"/>
  </r>
  <r>
    <x v="3"/>
    <x v="6"/>
    <n v="2030"/>
    <x v="0"/>
    <x v="2"/>
    <x v="0"/>
    <x v="1"/>
    <n v="0"/>
    <n v="0"/>
    <s v="C1.0_E0.0"/>
    <n v="8.2521265932945305"/>
    <n v="0"/>
    <n v="0"/>
    <n v="0"/>
    <n v="0"/>
    <n v="0"/>
    <n v="0"/>
    <n v="0"/>
    <n v="0"/>
    <n v="61.459363228871297"/>
    <n v="0"/>
    <n v="0"/>
    <n v="0"/>
    <n v="0"/>
    <n v="0"/>
    <n v="0"/>
  </r>
  <r>
    <x v="3"/>
    <x v="7"/>
    <n v="2030"/>
    <x v="0"/>
    <x v="2"/>
    <x v="0"/>
    <x v="1"/>
    <n v="0"/>
    <n v="0"/>
    <s v="C1.0_E0.0"/>
    <n v="0.212683675083505"/>
    <n v="0"/>
    <n v="0"/>
    <n v="0"/>
    <n v="0"/>
    <n v="0"/>
    <n v="0"/>
    <n v="0"/>
    <n v="0"/>
    <n v="1.7567437843691601E-2"/>
    <n v="0"/>
    <n v="1.6513391573069199E-2"/>
    <n v="0"/>
    <n v="0"/>
    <n v="0"/>
    <n v="0"/>
  </r>
  <r>
    <x v="3"/>
    <x v="8"/>
    <n v="2030"/>
    <x v="0"/>
    <x v="2"/>
    <x v="0"/>
    <x v="1"/>
    <n v="0"/>
    <n v="0"/>
    <s v="C1.0_E0.0"/>
    <n v="0.10634183754245601"/>
    <n v="0"/>
    <n v="0"/>
    <n v="0"/>
    <n v="0"/>
    <n v="0"/>
    <n v="0"/>
    <n v="0"/>
    <n v="0"/>
    <n v="1.7546403194501899E-2"/>
    <n v="0"/>
    <n v="0"/>
    <n v="0"/>
    <n v="0"/>
    <n v="0"/>
    <n v="0"/>
  </r>
  <r>
    <x v="3"/>
    <x v="9"/>
    <n v="2030"/>
    <x v="0"/>
    <x v="2"/>
    <x v="0"/>
    <x v="1"/>
    <n v="0"/>
    <n v="0"/>
    <s v="C1.0_E0.0"/>
    <n v="0.233718324269135"/>
    <n v="0.10768698573343401"/>
    <n v="8.8026420006600894E-3"/>
    <n v="2.3177285457517499E-4"/>
    <n v="0"/>
    <n v="0"/>
    <n v="0"/>
    <n v="0"/>
    <n v="9.0344148552352604E-3"/>
    <n v="0.40671078494428697"/>
    <n v="0"/>
    <n v="0"/>
    <n v="0"/>
    <n v="0"/>
    <n v="0"/>
    <n v="2.2213364360310298E-2"/>
  </r>
  <r>
    <x v="3"/>
    <x v="10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1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2"/>
    <n v="2030"/>
    <x v="0"/>
    <x v="2"/>
    <x v="0"/>
    <x v="1"/>
    <n v="0"/>
    <n v="0"/>
    <s v="C1.0_E0.0"/>
    <n v="52.910037111872903"/>
    <n v="3.4920624493836101"/>
    <n v="0"/>
    <n v="0"/>
    <n v="0"/>
    <n v="0"/>
    <n v="0"/>
    <n v="9.2840706714515502"/>
    <n v="9.2840706714515502"/>
    <n v="394.07454641224399"/>
    <n v="0"/>
    <n v="0"/>
    <n v="0"/>
    <n v="0"/>
    <n v="0"/>
    <n v="2.3559173653756899E-2"/>
  </r>
  <r>
    <x v="3"/>
    <x v="13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5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6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5"/>
    <n v="2030"/>
    <x v="0"/>
    <x v="2"/>
    <x v="0"/>
    <x v="2"/>
    <n v="0"/>
    <n v="0"/>
    <s v="C1.0_E0.0"/>
    <n v="7.5220759972164899"/>
    <n v="45.132455983298897"/>
    <n v="4.5968403315126203"/>
    <n v="2.2566227991649401"/>
    <n v="0"/>
    <n v="0"/>
    <n v="0"/>
    <n v="0"/>
    <n v="6.8534631306775697"/>
    <n v="58.106532663307"/>
    <n v="0"/>
    <n v="27.3100703517547"/>
    <n v="0"/>
    <n v="0"/>
    <n v="0"/>
    <n v="0.117946516795096"/>
  </r>
  <r>
    <x v="3"/>
    <x v="23"/>
    <n v="2030"/>
    <x v="0"/>
    <x v="2"/>
    <x v="0"/>
    <x v="2"/>
    <n v="0"/>
    <n v="0"/>
    <s v="C1.0_E0.0"/>
    <n v="5.15210684741169"/>
    <n v="39.4124912033177"/>
    <n v="3.6921140553232301"/>
    <n v="3.1833897275687302"/>
    <n v="1.07606506757013"/>
    <n v="0"/>
    <n v="0"/>
    <n v="0"/>
    <n v="7.9515688504620998"/>
    <n v="39.798994974871"/>
    <n v="0"/>
    <n v="12.5764824120585"/>
    <n v="0.75622178365477599"/>
    <n v="38.0010946560189"/>
    <n v="136.803940761668"/>
    <n v="0.19979320722753699"/>
  </r>
  <r>
    <x v="3"/>
    <x v="1"/>
    <n v="2030"/>
    <x v="0"/>
    <x v="2"/>
    <x v="0"/>
    <x v="2"/>
    <n v="0"/>
    <n v="0"/>
    <s v="C1.0_E0.0"/>
    <n v="15.302526307979299"/>
    <n v="0.40008748129086102"/>
    <n v="4.07497936919652E-2"/>
    <n v="0"/>
    <n v="3.06104089784115E-2"/>
    <n v="0"/>
    <n v="0"/>
    <n v="0"/>
    <n v="7.1360202670376696E-2"/>
    <n v="118.208955223893"/>
    <n v="0"/>
    <n v="0.47283582089544801"/>
    <n v="0"/>
    <n v="0"/>
    <n v="0"/>
    <n v="6.036784821862E-4"/>
  </r>
  <r>
    <x v="3"/>
    <x v="2"/>
    <n v="2030"/>
    <x v="0"/>
    <x v="2"/>
    <x v="0"/>
    <x v="2"/>
    <n v="0"/>
    <n v="0"/>
    <s v="C1.0_E0.0"/>
    <n v="1.02526926263461"/>
    <n v="42.482071481046297"/>
    <n v="3.9796685879428502"/>
    <n v="0.84964142962092604"/>
    <n v="0"/>
    <n v="0"/>
    <n v="0"/>
    <n v="0"/>
    <n v="4.8293100175637704"/>
    <n v="7.9199999999986197"/>
    <n v="0"/>
    <n v="374.61599999995502"/>
    <n v="0"/>
    <n v="0"/>
    <n v="0"/>
    <n v="0.609761365854118"/>
  </r>
  <r>
    <x v="3"/>
    <x v="24"/>
    <n v="2030"/>
    <x v="0"/>
    <x v="2"/>
    <x v="0"/>
    <x v="2"/>
    <n v="0"/>
    <n v="0"/>
    <s v="C1.0_E0.0"/>
    <n v="1.0252692626286699"/>
    <n v="0"/>
    <n v="0"/>
    <n v="0"/>
    <n v="0"/>
    <n v="0"/>
    <n v="0"/>
    <n v="0"/>
    <n v="0"/>
    <n v="7.92000000000023"/>
    <n v="0"/>
    <n v="0"/>
    <n v="0"/>
    <n v="0"/>
    <n v="0"/>
    <n v="0"/>
  </r>
  <r>
    <x v="3"/>
    <x v="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5"/>
    <n v="2030"/>
    <x v="0"/>
    <x v="2"/>
    <x v="0"/>
    <x v="2"/>
    <n v="0"/>
    <n v="0"/>
    <s v="C1.0_E0.0"/>
    <n v="9.3228609909326803"/>
    <n v="0"/>
    <n v="0"/>
    <n v="0"/>
    <n v="0"/>
    <n v="0"/>
    <n v="0"/>
    <n v="0"/>
    <n v="0"/>
    <n v="72.017236582911494"/>
    <n v="0"/>
    <n v="0"/>
    <n v="0"/>
    <n v="0"/>
    <n v="0"/>
    <n v="0"/>
  </r>
  <r>
    <x v="3"/>
    <x v="6"/>
    <n v="2030"/>
    <x v="0"/>
    <x v="2"/>
    <x v="0"/>
    <x v="2"/>
    <n v="0"/>
    <n v="0"/>
    <s v="C1.0_E0.0"/>
    <n v="7.9560894780421902"/>
    <n v="0"/>
    <n v="0"/>
    <n v="0"/>
    <n v="0"/>
    <n v="0"/>
    <n v="0"/>
    <n v="0"/>
    <n v="0"/>
    <n v="61.4592000000045"/>
    <n v="0"/>
    <n v="0"/>
    <n v="0"/>
    <n v="0"/>
    <n v="0"/>
    <n v="0"/>
  </r>
  <r>
    <x v="3"/>
    <x v="7"/>
    <n v="2030"/>
    <x v="0"/>
    <x v="2"/>
    <x v="0"/>
    <x v="2"/>
    <n v="0"/>
    <n v="0"/>
    <s v="C1.0_E0.0"/>
    <n v="-3.08546077576466E-13"/>
    <n v="0"/>
    <n v="0"/>
    <n v="0"/>
    <n v="0"/>
    <n v="0"/>
    <n v="0"/>
    <n v="0"/>
    <n v="0"/>
    <n v="-3.4793174563674197E-14"/>
    <n v="0"/>
    <n v="-3.2705584089853801E-14"/>
    <n v="0"/>
    <n v="0"/>
    <n v="0"/>
    <n v="0"/>
  </r>
  <r>
    <x v="3"/>
    <x v="8"/>
    <n v="2030"/>
    <x v="0"/>
    <x v="2"/>
    <x v="0"/>
    <x v="2"/>
    <n v="0"/>
    <n v="0"/>
    <s v="C1.0_E0.0"/>
    <n v="-5.9415015130070897E-12"/>
    <n v="0"/>
    <n v="0"/>
    <n v="0"/>
    <n v="0"/>
    <n v="0"/>
    <n v="0"/>
    <n v="0"/>
    <n v="0"/>
    <n v="-2.3894244804978301E-14"/>
    <n v="0"/>
    <n v="0"/>
    <n v="0"/>
    <n v="0"/>
    <n v="0"/>
    <n v="0"/>
  </r>
  <r>
    <x v="3"/>
    <x v="9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-2.23211659431399E-11"/>
    <n v="0"/>
    <n v="0"/>
    <n v="0"/>
    <n v="0"/>
    <n v="0"/>
    <n v="0"/>
  </r>
  <r>
    <x v="3"/>
    <x v="10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1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2"/>
    <n v="2030"/>
    <x v="0"/>
    <x v="2"/>
    <x v="0"/>
    <x v="2"/>
    <n v="0"/>
    <n v="0"/>
    <s v="C1.0_E0.0"/>
    <n v="53.719887710293797"/>
    <n v="3.5455125888793901"/>
    <n v="0"/>
    <n v="0"/>
    <n v="0"/>
    <n v="0"/>
    <n v="0"/>
    <n v="10.3911647661816"/>
    <n v="10.3911647661816"/>
    <n v="414.97538858474599"/>
    <n v="0"/>
    <n v="0"/>
    <n v="0"/>
    <n v="0"/>
    <n v="0"/>
    <n v="2.5040436257244499E-2"/>
  </r>
  <r>
    <x v="3"/>
    <x v="13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5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6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2"/>
    <n v="2030"/>
    <x v="0"/>
    <x v="2"/>
    <x v="0"/>
    <x v="1"/>
    <n v="0"/>
    <n v="0"/>
    <s v="C1.0_E0.0"/>
    <n v="130.94130355526201"/>
    <n v="301.164998177104"/>
    <n v="30.6743202845581"/>
    <n v="9.0349499453131195"/>
    <n v="1.4526633165829499"/>
    <n v="0"/>
    <n v="0"/>
    <n v="0"/>
    <n v="41.1619335464542"/>
    <n v="581.06532663313999"/>
    <n v="0"/>
    <n v="63.917185929647701"/>
    <n v="0"/>
    <n v="0"/>
    <n v="0"/>
    <n v="7.0838736472124894E-2"/>
  </r>
  <r>
    <x v="0"/>
    <x v="23"/>
    <n v="2030"/>
    <x v="0"/>
    <x v="2"/>
    <x v="0"/>
    <x v="1"/>
    <n v="0"/>
    <n v="0"/>
    <s v="C1.0_E0.0"/>
    <n v="89.685824352919596"/>
    <n v="373.77212146539102"/>
    <n v="35.014515982541702"/>
    <n v="55.415180703608499"/>
    <n v="10.7606506757008"/>
    <n v="0"/>
    <n v="0"/>
    <n v="0"/>
    <n v="101.190347361851"/>
    <n v="397.989949748745"/>
    <n v="0"/>
    <n v="125.76482412060101"/>
    <n v="1.3133914495668899"/>
    <n v="65.999570329994597"/>
    <n v="237.59845318798"/>
    <n v="0.25425352430566001"/>
  </r>
  <r>
    <x v="0"/>
    <x v="1"/>
    <n v="2030"/>
    <x v="0"/>
    <x v="2"/>
    <x v="0"/>
    <x v="1"/>
    <n v="0"/>
    <n v="0"/>
    <s v="C1.0_E0.0"/>
    <n v="316.88799227496003"/>
    <n v="8.2850972531572697"/>
    <n v="0.84385545554868602"/>
    <n v="0"/>
    <n v="0.30619841995413999"/>
    <n v="0"/>
    <n v="0"/>
    <n v="0"/>
    <n v="1.15005387550282"/>
    <n v="1182.4538293332701"/>
    <n v="0"/>
    <n v="4.7298153173329096"/>
    <n v="0"/>
    <n v="0"/>
    <n v="0"/>
    <n v="9.7259939202132403E-4"/>
  </r>
  <r>
    <x v="0"/>
    <x v="2"/>
    <n v="2030"/>
    <x v="0"/>
    <x v="2"/>
    <x v="0"/>
    <x v="1"/>
    <n v="0"/>
    <n v="0"/>
    <s v="C1.0_E0.0"/>
    <n v="21.2314954824223"/>
    <n v="879.72783502358197"/>
    <n v="82.411829483040407"/>
    <n v="17.5945567004716"/>
    <n v="0"/>
    <n v="0"/>
    <n v="0"/>
    <n v="0"/>
    <n v="100.00638618351201"/>
    <n v="79.224406565325296"/>
    <n v="0"/>
    <n v="3747.3144305400301"/>
    <n v="0"/>
    <n v="0"/>
    <n v="0"/>
    <n v="1.2623178956986001"/>
  </r>
  <r>
    <x v="0"/>
    <x v="24"/>
    <n v="2030"/>
    <x v="0"/>
    <x v="2"/>
    <x v="0"/>
    <x v="1"/>
    <n v="0"/>
    <n v="0"/>
    <s v="C1.0_E0.0"/>
    <n v="17.847479046231001"/>
    <n v="0"/>
    <n v="0"/>
    <n v="0"/>
    <n v="0"/>
    <n v="0"/>
    <n v="0"/>
    <n v="0"/>
    <n v="0"/>
    <n v="79.199999999998298"/>
    <n v="0"/>
    <n v="0"/>
    <n v="0"/>
    <n v="0"/>
    <n v="0"/>
    <n v="0"/>
  </r>
  <r>
    <x v="0"/>
    <x v="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"/>
    <n v="2030"/>
    <x v="0"/>
    <x v="2"/>
    <x v="0"/>
    <x v="1"/>
    <n v="0"/>
    <n v="0"/>
    <s v="C1.0_E0.0"/>
    <n v="181.496328918214"/>
    <n v="0"/>
    <n v="0"/>
    <n v="0"/>
    <n v="0"/>
    <n v="0"/>
    <n v="0"/>
    <n v="0"/>
    <n v="0"/>
    <n v="720.31089749394903"/>
    <n v="0"/>
    <n v="0"/>
    <n v="0"/>
    <n v="0"/>
    <n v="0"/>
    <n v="0"/>
  </r>
  <r>
    <x v="0"/>
    <x v="6"/>
    <n v="2030"/>
    <x v="0"/>
    <x v="2"/>
    <x v="0"/>
    <x v="1"/>
    <n v="0"/>
    <n v="0"/>
    <s v="C1.0_E0.0"/>
    <n v="164.756404943597"/>
    <n v="0"/>
    <n v="0"/>
    <n v="0"/>
    <n v="0"/>
    <n v="0"/>
    <n v="0"/>
    <n v="0"/>
    <n v="0"/>
    <n v="614.78139494693096"/>
    <n v="0"/>
    <n v="0"/>
    <n v="0"/>
    <n v="0"/>
    <n v="0"/>
    <n v="0"/>
  </r>
  <r>
    <x v="0"/>
    <x v="7"/>
    <n v="2030"/>
    <x v="0"/>
    <x v="2"/>
    <x v="0"/>
    <x v="1"/>
    <n v="0"/>
    <n v="0"/>
    <s v="C1.0_E0.0"/>
    <n v="1134.7563536257501"/>
    <n v="0"/>
    <n v="0"/>
    <n v="0"/>
    <n v="0"/>
    <n v="0"/>
    <n v="0"/>
    <n v="0"/>
    <n v="0"/>
    <n v="23.096801421355199"/>
    <n v="0"/>
    <n v="21.710993336073901"/>
    <n v="0"/>
    <n v="0"/>
    <n v="0"/>
    <n v="0"/>
  </r>
  <r>
    <x v="0"/>
    <x v="8"/>
    <n v="2030"/>
    <x v="0"/>
    <x v="2"/>
    <x v="0"/>
    <x v="1"/>
    <n v="0"/>
    <n v="0"/>
    <s v="C1.0_E0.0"/>
    <n v="1152.6038326719799"/>
    <n v="0"/>
    <n v="0"/>
    <n v="0"/>
    <n v="0"/>
    <n v="0"/>
    <n v="0"/>
    <n v="0"/>
    <n v="0"/>
    <n v="23.072394856027099"/>
    <n v="0"/>
    <n v="0"/>
    <n v="0"/>
    <n v="0"/>
    <n v="0"/>
    <n v="0"/>
  </r>
  <r>
    <x v="0"/>
    <x v="9"/>
    <n v="2030"/>
    <x v="0"/>
    <x v="2"/>
    <x v="0"/>
    <x v="1"/>
    <n v="0"/>
    <n v="0"/>
    <s v="C1.0_E0.0"/>
    <n v="271.18405919518398"/>
    <n v="124.949526336918"/>
    <n v="10.213731408719701"/>
    <n v="0.268926724986156"/>
    <n v="0"/>
    <n v="0"/>
    <n v="0"/>
    <n v="0"/>
    <n v="10.4826581337059"/>
    <n v="1241.80618685639"/>
    <n v="0"/>
    <n v="0"/>
    <n v="0"/>
    <n v="0"/>
    <n v="0"/>
    <n v="8.4414607083272194E-3"/>
  </r>
  <r>
    <x v="0"/>
    <x v="10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1"/>
    <n v="2030"/>
    <x v="0"/>
    <x v="2"/>
    <x v="0"/>
    <x v="1"/>
    <n v="0"/>
    <n v="0"/>
    <s v="C1.0_E0.0"/>
    <n v="1167.8055118892701"/>
    <n v="2333.42759177362"/>
    <n v="213.38751090589901"/>
    <n v="43.904474873965"/>
    <n v="11.433232132608101"/>
    <n v="0"/>
    <n v="0"/>
    <n v="0"/>
    <n v="268.72521791247198"/>
    <n v="4060.77006826354"/>
    <n v="0"/>
    <n v="0"/>
    <n v="0"/>
    <n v="0"/>
    <n v="0"/>
    <n v="6.6175925599103E-2"/>
  </r>
  <r>
    <x v="0"/>
    <x v="12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3"/>
    <n v="2030"/>
    <x v="0"/>
    <x v="2"/>
    <x v="0"/>
    <x v="1"/>
    <n v="0"/>
    <n v="0"/>
    <s v="C1.0_E0.0"/>
    <n v="1066.6709724082"/>
    <n v="0"/>
    <n v="0"/>
    <n v="0"/>
    <n v="0"/>
    <n v="0"/>
    <n v="0"/>
    <n v="0"/>
    <n v="0"/>
    <n v="97.332819019850106"/>
    <n v="0"/>
    <n v="0"/>
    <n v="0"/>
    <n v="0"/>
    <n v="0"/>
    <n v="0"/>
  </r>
  <r>
    <x v="0"/>
    <x v="1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5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6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7"/>
    <n v="2030"/>
    <x v="0"/>
    <x v="1"/>
    <x v="0"/>
    <x v="0"/>
    <n v="0"/>
    <n v="0"/>
    <s v="C1.0_E0.0"/>
    <n v="4.1305843641664604"/>
    <n v="0"/>
    <n v="0"/>
    <n v="0"/>
    <n v="0"/>
    <n v="0"/>
    <n v="0"/>
    <n v="4.3375319225957503"/>
    <n v="4.3375319225957503"/>
    <n v="31.833546725813399"/>
    <n v="0"/>
    <n v="0"/>
    <n v="0"/>
    <n v="0"/>
    <n v="0"/>
    <n v="0.136256633920043"/>
  </r>
  <r>
    <x v="3"/>
    <x v="26"/>
    <n v="2030"/>
    <x v="0"/>
    <x v="1"/>
    <x v="0"/>
    <x v="0"/>
    <n v="0"/>
    <n v="0"/>
    <s v="C1.0_E0.0"/>
    <n v="5.1641467339046496"/>
    <n v="38.714501829171297"/>
    <n v="3.6267272629619498"/>
    <n v="2.9853764603522399"/>
    <n v="0"/>
    <n v="0"/>
    <n v="0"/>
    <n v="0"/>
    <n v="6.6121037233141902"/>
    <n v="39.798994974873203"/>
    <n v="0"/>
    <n v="13.021673969850401"/>
    <n v="0.469923643064876"/>
    <n v="23.614253420345499"/>
    <n v="85.011312313243906"/>
    <n v="0.166137454664086"/>
  </r>
  <r>
    <x v="3"/>
    <x v="1"/>
    <n v="2030"/>
    <x v="0"/>
    <x v="1"/>
    <x v="0"/>
    <x v="0"/>
    <n v="0"/>
    <n v="0"/>
    <s v="C1.0_E0.0"/>
    <n v="7.9866680418005398"/>
    <n v="0.20881296567900701"/>
    <n v="2.1268061785319599E-2"/>
    <n v="0"/>
    <n v="1.59389047653525E-2"/>
    <n v="0"/>
    <n v="0"/>
    <n v="0"/>
    <n v="3.7206966550672099E-2"/>
    <n v="61.551653264554297"/>
    <n v="0"/>
    <n v="0.24620661305816599"/>
    <n v="0"/>
    <n v="0"/>
    <n v="0"/>
    <n v="6.0448362598407301E-4"/>
  </r>
  <r>
    <x v="3"/>
    <x v="2"/>
    <n v="2030"/>
    <x v="0"/>
    <x v="1"/>
    <x v="0"/>
    <x v="0"/>
    <n v="0"/>
    <n v="0"/>
    <s v="C1.0_E0.0"/>
    <n v="0.53510675880063596"/>
    <n v="22.172169210402799"/>
    <n v="2.07706174056417"/>
    <n v="0.44344338420805501"/>
    <n v="0"/>
    <n v="0"/>
    <n v="0"/>
    <n v="0"/>
    <n v="2.5205051247722299"/>
    <n v="4.1239607687252597"/>
    <n v="0"/>
    <n v="195.06334436066501"/>
    <n v="0"/>
    <n v="0"/>
    <n v="0"/>
    <n v="0.61118552433546303"/>
  </r>
  <r>
    <x v="3"/>
    <x v="20"/>
    <n v="2030"/>
    <x v="0"/>
    <x v="1"/>
    <x v="0"/>
    <x v="0"/>
    <n v="0"/>
    <n v="0"/>
    <s v="C1.0_E0.0"/>
    <n v="0.53510675880062397"/>
    <n v="0"/>
    <n v="0"/>
    <n v="0"/>
    <n v="0"/>
    <n v="0"/>
    <n v="0"/>
    <n v="0"/>
    <n v="0"/>
    <n v="4.12395547645992"/>
    <n v="0"/>
    <n v="0"/>
    <n v="0"/>
    <n v="0"/>
    <n v="0"/>
    <n v="0"/>
  </r>
  <r>
    <x v="3"/>
    <x v="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5"/>
    <n v="2030"/>
    <x v="0"/>
    <x v="1"/>
    <x v="0"/>
    <x v="0"/>
    <n v="0"/>
    <n v="0"/>
    <s v="C1.0_E0.0"/>
    <n v="6.0297547273963898"/>
    <n v="0"/>
    <n v="0"/>
    <n v="0"/>
    <n v="0"/>
    <n v="0"/>
    <n v="0"/>
    <n v="0"/>
    <n v="0"/>
    <n v="46.4700841373541"/>
    <n v="0"/>
    <n v="0"/>
    <n v="0"/>
    <n v="0"/>
    <n v="0"/>
    <n v="0"/>
  </r>
  <r>
    <x v="3"/>
    <x v="6"/>
    <n v="2030"/>
    <x v="0"/>
    <x v="1"/>
    <x v="0"/>
    <x v="0"/>
    <n v="0"/>
    <n v="0"/>
    <s v="C1.0_E0.0"/>
    <n v="4.1524284482400402"/>
    <n v="0"/>
    <n v="0"/>
    <n v="0"/>
    <n v="0"/>
    <n v="0"/>
    <n v="0"/>
    <n v="0"/>
    <n v="0"/>
    <n v="32.001935565306702"/>
    <n v="0"/>
    <n v="0"/>
    <n v="0"/>
    <n v="0"/>
    <n v="0"/>
    <n v="0"/>
  </r>
  <r>
    <x v="3"/>
    <x v="7"/>
    <n v="2030"/>
    <x v="0"/>
    <x v="1"/>
    <x v="0"/>
    <x v="0"/>
    <n v="0"/>
    <n v="0"/>
    <s v="C1.0_E0.0"/>
    <n v="5.3510675878530499E-2"/>
    <n v="0"/>
    <n v="0"/>
    <n v="0"/>
    <n v="0"/>
    <n v="0"/>
    <n v="0"/>
    <n v="0"/>
    <n v="0"/>
    <n v="2.5738047068979198E-3"/>
    <n v="0"/>
    <n v="2.4193764244847299E-3"/>
    <n v="0"/>
    <n v="0"/>
    <n v="0"/>
    <n v="0"/>
  </r>
  <r>
    <x v="3"/>
    <x v="8"/>
    <n v="2030"/>
    <x v="0"/>
    <x v="1"/>
    <x v="0"/>
    <x v="0"/>
    <n v="0"/>
    <n v="0"/>
    <s v="C1.0_E0.0"/>
    <n v="5.3510675880062399E-2"/>
    <n v="0"/>
    <n v="0"/>
    <n v="0"/>
    <n v="0"/>
    <n v="0"/>
    <n v="0"/>
    <n v="0"/>
    <n v="0"/>
    <n v="2.5685124422483701E-3"/>
    <n v="0"/>
    <n v="0"/>
    <n v="0"/>
    <n v="0"/>
    <n v="0"/>
    <n v="0"/>
  </r>
  <r>
    <x v="3"/>
    <x v="9"/>
    <n v="2030"/>
    <x v="0"/>
    <x v="1"/>
    <x v="0"/>
    <x v="0"/>
    <n v="0"/>
    <n v="0"/>
    <s v="C1.0_E0.0"/>
    <n v="5.8802940527541099E-2"/>
    <n v="2.70937738299948E-2"/>
    <n v="2.2147225112481598E-3"/>
    <n v="5.8313465262519398E-5"/>
    <n v="0"/>
    <n v="0"/>
    <n v="0"/>
    <n v="0"/>
    <n v="2.2730359765106801E-3"/>
    <n v="8.9291677141059303E-2"/>
    <n v="0"/>
    <n v="0"/>
    <n v="0"/>
    <n v="0"/>
    <n v="0"/>
    <n v="2.5456302863701701E-2"/>
  </r>
  <r>
    <x v="3"/>
    <x v="10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1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2"/>
    <n v="2030"/>
    <x v="0"/>
    <x v="1"/>
    <x v="0"/>
    <x v="0"/>
    <n v="0"/>
    <n v="0"/>
    <s v="C1.0_E0.0"/>
    <n v="27.032132876393799"/>
    <n v="1.7841207698419901"/>
    <n v="0"/>
    <n v="0"/>
    <n v="0"/>
    <n v="0"/>
    <n v="0"/>
    <n v="5.1928679357042498"/>
    <n v="5.1928679357042498"/>
    <n v="208.33364432004899"/>
    <n v="0"/>
    <n v="0"/>
    <n v="0"/>
    <n v="0"/>
    <n v="0"/>
    <n v="2.4925728883841598E-2"/>
  </r>
  <r>
    <x v="3"/>
    <x v="13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5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6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1"/>
    <n v="2030"/>
    <x v="0"/>
    <x v="0"/>
    <x v="1"/>
    <x v="0"/>
    <n v="0"/>
    <n v="0"/>
    <s v="C1.0_E0.0"/>
    <n v="7.6639692754479398"/>
    <n v="56.191429903176498"/>
    <n v="5.2639445465138301"/>
    <n v="6.3457665600709001"/>
    <n v="4.4402670967744803E-3"/>
    <n v="0"/>
    <n v="0"/>
    <n v="0"/>
    <n v="11.6141513736815"/>
    <n v="42.580645161289198"/>
    <n v="0"/>
    <n v="35.341935483874003"/>
    <n v="1.10602786961703"/>
    <n v="59.463863957904998"/>
    <n v="214.069910248458"/>
    <n v="0.27275658529101099"/>
  </r>
  <r>
    <x v="2"/>
    <x v="1"/>
    <n v="2030"/>
    <x v="0"/>
    <x v="0"/>
    <x v="1"/>
    <x v="0"/>
    <n v="0"/>
    <n v="0"/>
    <s v="C1.0_E0.0"/>
    <n v="24.9623310571255"/>
    <n v="0.652644926647589"/>
    <n v="6.6473327356280004E-2"/>
    <n v="0"/>
    <n v="2.96422298138799E-2"/>
    <n v="0"/>
    <n v="0"/>
    <n v="0"/>
    <n v="9.6115557170160001E-2"/>
    <n v="114.470114374362"/>
    <n v="0"/>
    <n v="0.457880457497431"/>
    <n v="0"/>
    <n v="0"/>
    <n v="0"/>
    <n v="8.3965633908448796E-4"/>
  </r>
  <r>
    <x v="2"/>
    <x v="19"/>
    <n v="2030"/>
    <x v="0"/>
    <x v="0"/>
    <x v="1"/>
    <x v="0"/>
    <n v="0"/>
    <n v="0"/>
    <s v="C1.0_E0.0"/>
    <n v="1.6724761808274"/>
    <n v="96.575139171151505"/>
    <n v="9.0470411243273698"/>
    <n v="1.3959454006596199"/>
    <n v="0"/>
    <n v="0"/>
    <n v="0"/>
    <n v="0"/>
    <n v="10.442986524987001"/>
    <n v="7.6694976630820104"/>
    <n v="0"/>
    <n v="325.95365068098602"/>
    <n v="0"/>
    <n v="0"/>
    <n v="0"/>
    <n v="1.36162588265141"/>
  </r>
  <r>
    <x v="2"/>
    <x v="3"/>
    <n v="2030"/>
    <x v="0"/>
    <x v="0"/>
    <x v="1"/>
    <x v="0"/>
    <n v="0"/>
    <n v="0"/>
    <s v="C1.0_E0.0"/>
    <n v="1.3800664961791"/>
    <n v="0"/>
    <n v="0"/>
    <n v="0"/>
    <n v="0"/>
    <n v="0"/>
    <n v="0"/>
    <n v="0"/>
    <n v="0"/>
    <n v="7.6675831622978903"/>
    <n v="0"/>
    <n v="0"/>
    <n v="0"/>
    <n v="0"/>
    <n v="0"/>
    <n v="0"/>
  </r>
  <r>
    <x v="2"/>
    <x v="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6"/>
    <n v="2030"/>
    <x v="0"/>
    <x v="0"/>
    <x v="1"/>
    <x v="0"/>
    <n v="0"/>
    <n v="0"/>
    <s v="C1.0_E0.0"/>
    <n v="12.9784151632206"/>
    <n v="0"/>
    <n v="0"/>
    <n v="0"/>
    <n v="0"/>
    <n v="0"/>
    <n v="0"/>
    <n v="0"/>
    <n v="0"/>
    <n v="59.515301865515298"/>
    <n v="0"/>
    <n v="0"/>
    <n v="0"/>
    <n v="0"/>
    <n v="0"/>
    <n v="0"/>
  </r>
  <r>
    <x v="2"/>
    <x v="7"/>
    <n v="2030"/>
    <x v="0"/>
    <x v="0"/>
    <x v="1"/>
    <x v="0"/>
    <n v="0"/>
    <n v="0"/>
    <s v="C1.0_E0.0"/>
    <n v="75.802705762316506"/>
    <n v="0"/>
    <n v="0"/>
    <n v="0"/>
    <n v="0"/>
    <n v="0"/>
    <n v="0"/>
    <n v="0"/>
    <n v="0"/>
    <n v="1.8000277299660301"/>
    <n v="0"/>
    <n v="1.6920260661680999"/>
    <n v="0"/>
    <n v="0"/>
    <n v="0"/>
    <n v="0"/>
  </r>
  <r>
    <x v="2"/>
    <x v="8"/>
    <n v="2030"/>
    <x v="0"/>
    <x v="0"/>
    <x v="1"/>
    <x v="0"/>
    <n v="0"/>
    <n v="0"/>
    <s v="C1.0_E0.0"/>
    <n v="77.182772258495604"/>
    <n v="0"/>
    <n v="0"/>
    <n v="0"/>
    <n v="0"/>
    <n v="0"/>
    <n v="0"/>
    <n v="0"/>
    <n v="0"/>
    <n v="1.7981132291812001"/>
    <n v="0"/>
    <n v="0"/>
    <n v="0"/>
    <n v="0"/>
    <n v="0"/>
    <n v="0"/>
  </r>
  <r>
    <x v="2"/>
    <x v="9"/>
    <n v="2030"/>
    <x v="0"/>
    <x v="0"/>
    <x v="1"/>
    <x v="0"/>
    <n v="0"/>
    <n v="0"/>
    <s v="C1.0_E0.0"/>
    <n v="21.272230942699998"/>
    <n v="9.8012958000118093"/>
    <n v="0.80118593238040303"/>
    <n v="2.1095161041350299E-2"/>
    <n v="0"/>
    <n v="0"/>
    <n v="0"/>
    <n v="0"/>
    <n v="0.82228109342175404"/>
    <n v="94.919362601503494"/>
    <n v="0"/>
    <n v="0"/>
    <n v="0"/>
    <n v="0"/>
    <n v="0"/>
    <n v="8.6629436912035208E-3"/>
  </r>
  <r>
    <x v="2"/>
    <x v="10"/>
    <n v="2030"/>
    <x v="0"/>
    <x v="0"/>
    <x v="1"/>
    <x v="0"/>
    <n v="0"/>
    <n v="0"/>
    <s v="C1.0_E0.0"/>
    <n v="127.699923906405"/>
    <n v="50.602397387136897"/>
    <n v="4.2435252172020901"/>
    <n v="0.965440476465111"/>
    <n v="0"/>
    <n v="0"/>
    <n v="0"/>
    <n v="0"/>
    <n v="5.20896569366721"/>
    <n v="132.033541514418"/>
    <n v="0"/>
    <n v="0"/>
    <n v="0"/>
    <n v="0"/>
    <n v="0"/>
    <n v="3.9451836510030897E-2"/>
  </r>
  <r>
    <x v="2"/>
    <x v="11"/>
    <n v="2030"/>
    <x v="0"/>
    <x v="0"/>
    <x v="1"/>
    <x v="0"/>
    <n v="0"/>
    <n v="0"/>
    <s v="C1.0_E0.0"/>
    <n v="81.700671489683501"/>
    <n v="163.248588210582"/>
    <n v="14.9287726004303"/>
    <n v="3.07159457810898"/>
    <n v="0.79987868957762098"/>
    <n v="0"/>
    <n v="0"/>
    <n v="0"/>
    <n v="18.8002458681169"/>
    <n v="284.09494386235798"/>
    <n v="0"/>
    <n v="0"/>
    <n v="0"/>
    <n v="0"/>
    <n v="0"/>
    <n v="6.6175925599103597E-2"/>
  </r>
  <r>
    <x v="2"/>
    <x v="12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3"/>
    <n v="2030"/>
    <x v="0"/>
    <x v="0"/>
    <x v="1"/>
    <x v="0"/>
    <n v="0"/>
    <n v="0"/>
    <s v="C1.0_E0.0"/>
    <n v="129.34055475430799"/>
    <n v="0"/>
    <n v="0"/>
    <n v="0"/>
    <n v="0"/>
    <n v="0"/>
    <n v="0"/>
    <n v="0"/>
    <n v="0"/>
    <n v="52.6135835184228"/>
    <n v="0"/>
    <n v="0"/>
    <n v="0"/>
    <n v="0"/>
    <n v="0"/>
    <n v="0"/>
  </r>
  <r>
    <x v="2"/>
    <x v="14"/>
    <n v="2030"/>
    <x v="0"/>
    <x v="0"/>
    <x v="1"/>
    <x v="0"/>
    <n v="0"/>
    <n v="0"/>
    <s v="C1.0_E0.0"/>
    <n v="5.3696998390363602"/>
    <n v="0"/>
    <n v="0"/>
    <n v="0"/>
    <n v="1.6023106607315101E-3"/>
    <n v="0"/>
    <n v="0"/>
    <n v="0"/>
    <n v="1.6023106607315101E-3"/>
    <n v="0.85364511483163197"/>
    <n v="0"/>
    <n v="2.9877579019107099E-2"/>
    <n v="0"/>
    <n v="0"/>
    <n v="0"/>
    <n v="1.8770220000000101E-3"/>
  </r>
  <r>
    <x v="2"/>
    <x v="15"/>
    <n v="2030"/>
    <x v="0"/>
    <x v="0"/>
    <x v="1"/>
    <x v="0"/>
    <n v="0"/>
    <n v="0"/>
    <s v="C1.0_E0.0"/>
    <n v="4.6808823011387499"/>
    <n v="0"/>
    <n v="0"/>
    <n v="0"/>
    <n v="0"/>
    <n v="0"/>
    <n v="0"/>
    <n v="0"/>
    <n v="0"/>
    <n v="0.85247489425634804"/>
    <n v="0"/>
    <n v="3.8361370241535797E-2"/>
    <n v="0"/>
    <n v="0"/>
    <n v="0"/>
    <n v="0"/>
  </r>
  <r>
    <x v="2"/>
    <x v="16"/>
    <n v="2030"/>
    <x v="0"/>
    <x v="0"/>
    <x v="1"/>
    <x v="0"/>
    <n v="0"/>
    <n v="0"/>
    <s v="C1.0_E0.0"/>
    <n v="5.8511028764234396"/>
    <n v="0.84684119981762096"/>
    <n v="7.9331049649818505E-2"/>
    <n v="2.9700783311013002E-2"/>
    <n v="0"/>
    <n v="0"/>
    <n v="0"/>
    <n v="0"/>
    <n v="0.10903183296083099"/>
    <n v="30.378528689524799"/>
    <n v="0"/>
    <n v="0"/>
    <n v="0"/>
    <n v="0"/>
    <n v="0"/>
    <n v="3.5891084151955001E-3"/>
  </r>
  <r>
    <x v="2"/>
    <x v="17"/>
    <n v="2030"/>
    <x v="0"/>
    <x v="1"/>
    <x v="1"/>
    <x v="0"/>
    <n v="0"/>
    <n v="0"/>
    <s v="C1.0_E0.0"/>
    <n v="5.0351575969345399"/>
    <n v="0"/>
    <n v="0"/>
    <n v="0"/>
    <n v="0"/>
    <n v="0"/>
    <n v="0"/>
    <n v="4.33753192259549"/>
    <n v="4.33753192259549"/>
    <n v="31.8335467258199"/>
    <n v="0"/>
    <n v="0"/>
    <n v="0"/>
    <n v="0"/>
    <n v="0"/>
    <n v="0.136256633920007"/>
  </r>
  <r>
    <x v="2"/>
    <x v="18"/>
    <n v="2030"/>
    <x v="0"/>
    <x v="1"/>
    <x v="1"/>
    <x v="0"/>
    <n v="0"/>
    <n v="0"/>
    <s v="C1.0_E0.0"/>
    <n v="6.2950639344106198"/>
    <n v="47.192745822545398"/>
    <n v="4.4209588087659197"/>
    <n v="3.6391560221977199"/>
    <n v="0"/>
    <n v="0"/>
    <n v="0"/>
    <n v="0"/>
    <n v="8.0601148309636397"/>
    <n v="39.798994974871803"/>
    <n v="0"/>
    <n v="13.178561608039599"/>
    <n v="0.80247096425623499"/>
    <n v="40.3251740832279"/>
    <n v="145.17062669961999"/>
    <n v="0.20252056204063901"/>
  </r>
  <r>
    <x v="2"/>
    <x v="1"/>
    <n v="2030"/>
    <x v="0"/>
    <x v="1"/>
    <x v="1"/>
    <x v="0"/>
    <n v="0"/>
    <n v="0"/>
    <s v="C1.0_E0.0"/>
    <n v="13.5718862521351"/>
    <n v="0.35483956555274399"/>
    <n v="3.61411935293941E-2"/>
    <n v="0"/>
    <n v="1.5947717997718599E-2"/>
    <n v="0"/>
    <n v="0"/>
    <n v="0"/>
    <n v="5.2088911527112702E-2"/>
    <n v="61.585687536709202"/>
    <n v="0"/>
    <n v="0.246342750146826"/>
    <n v="0"/>
    <n v="0"/>
    <n v="0"/>
    <n v="8.4579572966631596E-4"/>
  </r>
  <r>
    <x v="2"/>
    <x v="19"/>
    <n v="2030"/>
    <x v="0"/>
    <x v="1"/>
    <x v="1"/>
    <x v="0"/>
    <n v="0"/>
    <n v="0"/>
    <s v="C1.0_E0.0"/>
    <n v="0.90931637889305605"/>
    <n v="52.5073880566474"/>
    <n v="4.9188280043546202"/>
    <n v="0.75896806867063904"/>
    <n v="0"/>
    <n v="0"/>
    <n v="0"/>
    <n v="0"/>
    <n v="5.6777960730252603"/>
    <n v="4.1262410649593901"/>
    <n v="0"/>
    <n v="175.36524526079799"/>
    <n v="0"/>
    <n v="0"/>
    <n v="0"/>
    <n v="1.3760214160151401"/>
  </r>
  <r>
    <x v="2"/>
    <x v="20"/>
    <n v="2030"/>
    <x v="0"/>
    <x v="1"/>
    <x v="1"/>
    <x v="0"/>
    <n v="0"/>
    <n v="0"/>
    <s v="C1.0_E0.0"/>
    <n v="0.65229193358690596"/>
    <n v="0"/>
    <n v="0"/>
    <n v="0"/>
    <n v="0"/>
    <n v="0"/>
    <n v="0"/>
    <n v="0"/>
    <n v="0"/>
    <n v="4.1239554764590798"/>
    <n v="0"/>
    <n v="0"/>
    <n v="0"/>
    <n v="0"/>
    <n v="0"/>
    <n v="0"/>
  </r>
  <r>
    <x v="2"/>
    <x v="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5"/>
    <n v="2030"/>
    <x v="0"/>
    <x v="1"/>
    <x v="1"/>
    <x v="0"/>
    <n v="0"/>
    <n v="0"/>
    <s v="C1.0_E0.0"/>
    <n v="1.0670511072661999"/>
    <n v="0"/>
    <n v="0"/>
    <n v="0"/>
    <n v="0"/>
    <n v="0"/>
    <n v="0"/>
    <n v="0"/>
    <n v="0"/>
    <n v="6.7461684422099202"/>
    <n v="0"/>
    <n v="0"/>
    <n v="0"/>
    <n v="0"/>
    <n v="0"/>
    <n v="0"/>
  </r>
  <r>
    <x v="2"/>
    <x v="6"/>
    <n v="2030"/>
    <x v="0"/>
    <x v="1"/>
    <x v="1"/>
    <x v="0"/>
    <n v="0"/>
    <n v="0"/>
    <s v="C1.0_E0.0"/>
    <n v="7.05629510021011"/>
    <n v="0"/>
    <n v="0"/>
    <n v="0"/>
    <n v="0"/>
    <n v="0"/>
    <n v="0"/>
    <n v="0"/>
    <n v="0"/>
    <n v="32.019630664084403"/>
    <n v="0"/>
    <n v="0"/>
    <n v="0"/>
    <n v="0"/>
    <n v="0"/>
    <n v="0"/>
  </r>
  <r>
    <x v="2"/>
    <x v="7"/>
    <n v="2030"/>
    <x v="0"/>
    <x v="1"/>
    <x v="1"/>
    <x v="0"/>
    <n v="0"/>
    <n v="0"/>
    <s v="C1.0_E0.0"/>
    <n v="45.693421182610201"/>
    <n v="0"/>
    <n v="0"/>
    <n v="0"/>
    <n v="0"/>
    <n v="0"/>
    <n v="0"/>
    <n v="0"/>
    <n v="0"/>
    <n v="1.8069523508498699"/>
    <n v="0"/>
    <n v="1.69853520979886"/>
    <n v="0"/>
    <n v="0"/>
    <n v="0"/>
    <n v="0"/>
  </r>
  <r>
    <x v="2"/>
    <x v="8"/>
    <n v="2030"/>
    <x v="0"/>
    <x v="1"/>
    <x v="1"/>
    <x v="0"/>
    <n v="0"/>
    <n v="0"/>
    <s v="C1.0_E0.0"/>
    <n v="46.345713116197103"/>
    <n v="0"/>
    <n v="0"/>
    <n v="0"/>
    <n v="0"/>
    <n v="0"/>
    <n v="0"/>
    <n v="0"/>
    <n v="0"/>
    <n v="1.8046667623497801"/>
    <n v="0"/>
    <n v="0"/>
    <n v="0"/>
    <n v="0"/>
    <n v="0"/>
    <n v="0"/>
  </r>
  <r>
    <x v="2"/>
    <x v="9"/>
    <n v="2030"/>
    <x v="0"/>
    <x v="1"/>
    <x v="1"/>
    <x v="0"/>
    <n v="0"/>
    <n v="0"/>
    <s v="C1.0_E0.0"/>
    <n v="25.395427778875401"/>
    <n v="11.701081108938"/>
    <n v="0.95647981342548305"/>
    <n v="2.51840364159455E-2"/>
    <n v="0"/>
    <n v="0"/>
    <n v="0"/>
    <n v="0"/>
    <n v="0.98166384984142796"/>
    <n v="104.804373017527"/>
    <n v="0"/>
    <n v="0"/>
    <n v="0"/>
    <n v="0"/>
    <n v="0"/>
    <n v="9.3666306240604794E-3"/>
  </r>
  <r>
    <x v="2"/>
    <x v="10"/>
    <n v="2030"/>
    <x v="0"/>
    <x v="1"/>
    <x v="1"/>
    <x v="0"/>
    <n v="0"/>
    <n v="0"/>
    <s v="C1.0_E0.0"/>
    <n v="69.771073082944099"/>
    <n v="27.647499374062001"/>
    <n v="2.3185237625961701"/>
    <n v="0.52748518542618394"/>
    <n v="0"/>
    <n v="0"/>
    <n v="0"/>
    <n v="0"/>
    <n v="2.84600894802236"/>
    <n v="72.138820389229295"/>
    <n v="0"/>
    <n v="0"/>
    <n v="0"/>
    <n v="0"/>
    <n v="0"/>
    <n v="3.9451836510030897E-2"/>
  </r>
  <r>
    <x v="2"/>
    <x v="11"/>
    <n v="2030"/>
    <x v="0"/>
    <x v="1"/>
    <x v="1"/>
    <x v="0"/>
    <n v="0"/>
    <n v="0"/>
    <s v="C1.0_E0.0"/>
    <n v="43.185590319062598"/>
    <n v="86.290437056172394"/>
    <n v="7.8910961897056398"/>
    <n v="1.6235928378289799"/>
    <n v="0.42280231928582601"/>
    <n v="0"/>
    <n v="0"/>
    <n v="0"/>
    <n v="9.9374913468204493"/>
    <n v="150.167772597881"/>
    <n v="0"/>
    <n v="0"/>
    <n v="0"/>
    <n v="0"/>
    <n v="0"/>
    <n v="6.6175925599103E-2"/>
  </r>
  <r>
    <x v="2"/>
    <x v="12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13"/>
    <n v="2030"/>
    <x v="0"/>
    <x v="1"/>
    <x v="1"/>
    <x v="0"/>
    <n v="0"/>
    <n v="0"/>
    <s v="C1.0_E0.0"/>
    <n v="75.007804273678701"/>
    <n v="0"/>
    <n v="0"/>
    <n v="0"/>
    <n v="0"/>
    <n v="0"/>
    <n v="0"/>
    <n v="0"/>
    <n v="0"/>
    <n v="31.791680561550798"/>
    <n v="0"/>
    <n v="0"/>
    <n v="0"/>
    <n v="0"/>
    <n v="0"/>
    <n v="0"/>
  </r>
  <r>
    <x v="2"/>
    <x v="14"/>
    <n v="2030"/>
    <x v="0"/>
    <x v="1"/>
    <x v="1"/>
    <x v="0"/>
    <n v="0"/>
    <n v="0"/>
    <s v="C1.0_E0.0"/>
    <n v="1.8991645854038299"/>
    <n v="0"/>
    <n v="0"/>
    <n v="0"/>
    <n v="6.0473358050561698E-4"/>
    <n v="0"/>
    <n v="0"/>
    <n v="0"/>
    <n v="6.0473358050561698E-4"/>
    <n v="0.32217714044141099"/>
    <n v="0"/>
    <n v="1.1276199915449399E-2"/>
    <n v="0"/>
    <n v="0"/>
    <n v="0"/>
    <n v="1.8770219999999899E-3"/>
  </r>
  <r>
    <x v="2"/>
    <x v="15"/>
    <n v="2030"/>
    <x v="0"/>
    <x v="1"/>
    <x v="1"/>
    <x v="0"/>
    <n v="0"/>
    <n v="0"/>
    <s v="C1.0_E0.0"/>
    <n v="1.8991645854038299"/>
    <n v="0"/>
    <n v="0"/>
    <n v="0"/>
    <n v="0"/>
    <n v="0"/>
    <n v="0"/>
    <n v="0"/>
    <n v="0"/>
    <n v="0.32170234929505998"/>
    <n v="0"/>
    <n v="1.4476605718277699E-2"/>
    <n v="0"/>
    <n v="0"/>
    <n v="0"/>
    <n v="0"/>
  </r>
  <r>
    <x v="2"/>
    <x v="16"/>
    <n v="2030"/>
    <x v="0"/>
    <x v="1"/>
    <x v="1"/>
    <x v="0"/>
    <n v="0"/>
    <n v="0"/>
    <s v="C1.0_E0.0"/>
    <n v="2.3739557317547799"/>
    <n v="0.34358710873017501"/>
    <n v="3.2186820843838601E-2"/>
    <n v="1.2050436689960401E-2"/>
    <n v="0"/>
    <n v="0"/>
    <n v="0"/>
    <n v="0"/>
    <n v="4.4237257533799097E-2"/>
    <n v="12.346683865530601"/>
    <n v="0"/>
    <n v="0"/>
    <n v="0"/>
    <n v="0"/>
    <n v="0"/>
    <n v="3.5829262347358099E-3"/>
  </r>
  <r>
    <x v="3"/>
    <x v="21"/>
    <n v="2030"/>
    <x v="0"/>
    <x v="0"/>
    <x v="1"/>
    <x v="0"/>
    <n v="0"/>
    <n v="0"/>
    <s v="C1.0_E0.0"/>
    <n v="5.5765287156084398"/>
    <n v="40.886531660560102"/>
    <n v="3.83020036563091"/>
    <n v="4.6173657765237897"/>
    <n v="4.44026709677392E-3"/>
    <n v="0"/>
    <n v="0"/>
    <n v="0"/>
    <n v="8.4520064092514797"/>
    <n v="42.580645161291997"/>
    <n v="0"/>
    <n v="35.341935483871403"/>
    <n v="0.55588761292587696"/>
    <n v="29.886430802466499"/>
    <n v="107.591150888879"/>
    <n v="0.19849408991423101"/>
  </r>
  <r>
    <x v="3"/>
    <x v="1"/>
    <n v="2030"/>
    <x v="0"/>
    <x v="0"/>
    <x v="1"/>
    <x v="0"/>
    <n v="0"/>
    <n v="0"/>
    <s v="C1.0_E0.0"/>
    <n v="14.9877140230143"/>
    <n v="0.39185665380289297"/>
    <n v="3.9911465731873298E-2"/>
    <n v="0"/>
    <n v="2.9634868747309501E-2"/>
    <n v="0"/>
    <n v="0"/>
    <n v="0"/>
    <n v="6.9546334479182806E-2"/>
    <n v="114.441687965927"/>
    <n v="0"/>
    <n v="0.45776675186369897"/>
    <n v="0"/>
    <n v="0"/>
    <n v="0"/>
    <n v="6.0770105470559399E-4"/>
  </r>
  <r>
    <x v="3"/>
    <x v="19"/>
    <n v="2030"/>
    <x v="0"/>
    <x v="0"/>
    <x v="1"/>
    <x v="0"/>
    <n v="0"/>
    <n v="0"/>
    <s v="C1.0_E0.0"/>
    <n v="1.0041768395453901"/>
    <n v="57.984992039507802"/>
    <n v="5.4319632575991799"/>
    <n v="0.83814409836247905"/>
    <n v="0"/>
    <n v="0"/>
    <n v="0"/>
    <n v="0"/>
    <n v="6.2701073559616596"/>
    <n v="7.6675930937160004"/>
    <n v="0"/>
    <n v="325.872706482909"/>
    <n v="0"/>
    <n v="0"/>
    <n v="0"/>
    <n v="0.81774127543366104"/>
  </r>
  <r>
    <x v="3"/>
    <x v="3"/>
    <n v="2030"/>
    <x v="0"/>
    <x v="0"/>
    <x v="1"/>
    <x v="0"/>
    <n v="0"/>
    <n v="0"/>
    <s v="C1.0_E0.0"/>
    <n v="1.0041768395453301"/>
    <n v="0"/>
    <n v="0"/>
    <n v="0"/>
    <n v="0"/>
    <n v="0"/>
    <n v="0"/>
    <n v="0"/>
    <n v="0"/>
    <n v="7.6675831622979098"/>
    <n v="0"/>
    <n v="0"/>
    <n v="0"/>
    <n v="0"/>
    <n v="0"/>
    <n v="0"/>
  </r>
  <r>
    <x v="3"/>
    <x v="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6"/>
    <n v="2030"/>
    <x v="0"/>
    <x v="0"/>
    <x v="1"/>
    <x v="0"/>
    <n v="0"/>
    <n v="0"/>
    <s v="C1.0_E0.0"/>
    <n v="7.7924122748456197"/>
    <n v="0"/>
    <n v="0"/>
    <n v="0"/>
    <n v="0"/>
    <n v="0"/>
    <n v="0"/>
    <n v="0"/>
    <n v="0"/>
    <n v="59.500522407243601"/>
    <n v="0"/>
    <n v="0"/>
    <n v="0"/>
    <n v="0"/>
    <n v="0"/>
    <n v="0"/>
  </r>
  <r>
    <x v="3"/>
    <x v="7"/>
    <n v="2030"/>
    <x v="0"/>
    <x v="0"/>
    <x v="1"/>
    <x v="0"/>
    <n v="0"/>
    <n v="0"/>
    <s v="C1.0_E0.0"/>
    <n v="0.11034910325617101"/>
    <n v="0"/>
    <n v="0"/>
    <n v="0"/>
    <n v="0"/>
    <n v="0"/>
    <n v="0"/>
    <n v="0"/>
    <n v="0"/>
    <n v="5.9345747727233599E-3"/>
    <n v="0"/>
    <n v="5.5785002863592403E-3"/>
    <n v="0"/>
    <n v="0"/>
    <n v="0"/>
    <n v="0"/>
  </r>
  <r>
    <x v="3"/>
    <x v="8"/>
    <n v="2030"/>
    <x v="0"/>
    <x v="0"/>
    <x v="1"/>
    <x v="0"/>
    <n v="0"/>
    <n v="0"/>
    <s v="C1.0_E0.0"/>
    <n v="0.10041768395523"/>
    <n v="0"/>
    <n v="0"/>
    <n v="0"/>
    <n v="0"/>
    <n v="0"/>
    <n v="0"/>
    <n v="0"/>
    <n v="0"/>
    <n v="5.9246433534471303E-3"/>
    <n v="0"/>
    <n v="0"/>
    <n v="0"/>
    <n v="0"/>
    <n v="0"/>
    <n v="0"/>
  </r>
  <r>
    <x v="3"/>
    <x v="9"/>
    <n v="2030"/>
    <x v="0"/>
    <x v="0"/>
    <x v="1"/>
    <x v="0"/>
    <n v="0"/>
    <n v="0"/>
    <s v="C1.0_E0.0"/>
    <n v="0.11034910324673999"/>
    <n v="5.0843947919741103E-2"/>
    <n v="4.1561296231799596E-3"/>
    <n v="1.0943055808433799E-4"/>
    <n v="0"/>
    <n v="0"/>
    <n v="0"/>
    <n v="0"/>
    <n v="4.2655601812643003E-3"/>
    <n v="0.16635899755113301"/>
    <n v="0"/>
    <n v="0"/>
    <n v="0"/>
    <n v="0"/>
    <n v="0"/>
    <n v="2.5640694185796498E-2"/>
  </r>
  <r>
    <x v="3"/>
    <x v="10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1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2"/>
    <n v="2030"/>
    <x v="0"/>
    <x v="0"/>
    <x v="1"/>
    <x v="0"/>
    <n v="0"/>
    <n v="0"/>
    <s v="C1.0_E0.0"/>
    <n v="47.365985370577199"/>
    <n v="3.1261550344581002"/>
    <n v="0"/>
    <n v="0"/>
    <n v="0"/>
    <n v="0"/>
    <n v="0"/>
    <n v="8.8741275356808806"/>
    <n v="8.8741275356808806"/>
    <n v="361.67798721900999"/>
    <n v="0"/>
    <n v="0"/>
    <n v="0"/>
    <n v="0"/>
    <n v="0"/>
    <n v="2.45359901605159E-2"/>
  </r>
  <r>
    <x v="3"/>
    <x v="13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6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7"/>
    <n v="2030"/>
    <x v="0"/>
    <x v="1"/>
    <x v="1"/>
    <x v="0"/>
    <n v="0"/>
    <n v="0"/>
    <s v="C1.0_E0.0"/>
    <n v="4.07584173794086"/>
    <n v="0"/>
    <n v="0"/>
    <n v="0"/>
    <n v="0"/>
    <n v="0"/>
    <n v="0"/>
    <n v="4.3375319225954003"/>
    <n v="4.3375319225954003"/>
    <n v="31.8335467258153"/>
    <n v="0"/>
    <n v="0"/>
    <n v="0"/>
    <n v="0"/>
    <n v="0"/>
    <n v="0.13625663392002299"/>
  </r>
  <r>
    <x v="3"/>
    <x v="18"/>
    <n v="2030"/>
    <x v="0"/>
    <x v="1"/>
    <x v="1"/>
    <x v="0"/>
    <n v="0"/>
    <n v="0"/>
    <s v="C1.0_E0.0"/>
    <n v="5.0957063076806302"/>
    <n v="38.201418614698802"/>
    <n v="3.5786622538781101"/>
    <n v="2.9458112721587599"/>
    <n v="0"/>
    <n v="0"/>
    <n v="0"/>
    <n v="0"/>
    <n v="6.5244735260368802"/>
    <n v="39.798994974869601"/>
    <n v="0"/>
    <n v="13.178561608040001"/>
    <n v="0.47792050123388702"/>
    <n v="24.0161055896425"/>
    <n v="86.457980122713295"/>
    <n v="0.16393563531331901"/>
  </r>
  <r>
    <x v="3"/>
    <x v="1"/>
    <n v="2030"/>
    <x v="0"/>
    <x v="1"/>
    <x v="1"/>
    <x v="0"/>
    <n v="0"/>
    <n v="0"/>
    <s v="C1.0_E0.0"/>
    <n v="7.8808207463866902"/>
    <n v="0.20604556786695399"/>
    <n v="2.0986196205469699E-2"/>
    <n v="0"/>
    <n v="1.5938884311009201E-2"/>
    <n v="0"/>
    <n v="0"/>
    <n v="0"/>
    <n v="3.69250805164789E-2"/>
    <n v="61.5515742755302"/>
    <n v="0"/>
    <n v="0.24620629710206901"/>
    <n v="0"/>
    <n v="0"/>
    <n v="0"/>
    <n v="5.9990472950678805E-4"/>
  </r>
  <r>
    <x v="3"/>
    <x v="19"/>
    <n v="2030"/>
    <x v="0"/>
    <x v="1"/>
    <x v="1"/>
    <x v="0"/>
    <n v="0"/>
    <n v="0"/>
    <s v="C1.0_E0.0"/>
    <n v="0.52801499000807495"/>
    <n v="30.489594846879399"/>
    <n v="2.8562280190448401"/>
    <n v="0.440711864976432"/>
    <n v="0"/>
    <n v="0"/>
    <n v="0"/>
    <n v="0"/>
    <n v="3.2969398840212798"/>
    <n v="4.1239554764594599"/>
    <n v="0"/>
    <n v="175.26810774955399"/>
    <n v="0"/>
    <n v="0"/>
    <n v="0"/>
    <n v="0.79946059137665504"/>
  </r>
  <r>
    <x v="3"/>
    <x v="20"/>
    <n v="2030"/>
    <x v="0"/>
    <x v="1"/>
    <x v="1"/>
    <x v="0"/>
    <n v="0"/>
    <n v="0"/>
    <s v="C1.0_E0.0"/>
    <n v="0.52801499000831098"/>
    <n v="0"/>
    <n v="0"/>
    <n v="0"/>
    <n v="0"/>
    <n v="0"/>
    <n v="0"/>
    <n v="0"/>
    <n v="0"/>
    <n v="4.12395547645907"/>
    <n v="0"/>
    <n v="0"/>
    <n v="0"/>
    <n v="0"/>
    <n v="0"/>
    <n v="0"/>
  </r>
  <r>
    <x v="3"/>
    <x v="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5"/>
    <n v="2030"/>
    <x v="0"/>
    <x v="1"/>
    <x v="1"/>
    <x v="0"/>
    <n v="0"/>
    <n v="0"/>
    <s v="C1.0_E0.0"/>
    <n v="0.86375279339010502"/>
    <n v="0"/>
    <n v="0"/>
    <n v="0"/>
    <n v="0"/>
    <n v="0"/>
    <n v="0"/>
    <n v="0"/>
    <n v="0"/>
    <n v="6.7461684422102097"/>
    <n v="0"/>
    <n v="0"/>
    <n v="0"/>
    <n v="0"/>
    <n v="0"/>
    <n v="0"/>
  </r>
  <r>
    <x v="3"/>
    <x v="6"/>
    <n v="2030"/>
    <x v="0"/>
    <x v="1"/>
    <x v="1"/>
    <x v="0"/>
    <n v="0"/>
    <n v="0"/>
    <s v="C1.0_E0.0"/>
    <n v="4.0973963224651602"/>
    <n v="0"/>
    <n v="0"/>
    <n v="0"/>
    <n v="0"/>
    <n v="0"/>
    <n v="0"/>
    <n v="0"/>
    <n v="0"/>
    <n v="32.001894497330298"/>
    <n v="0"/>
    <n v="0"/>
    <n v="0"/>
    <n v="0"/>
    <n v="0"/>
    <n v="0"/>
  </r>
  <r>
    <x v="3"/>
    <x v="7"/>
    <n v="2030"/>
    <x v="0"/>
    <x v="1"/>
    <x v="1"/>
    <x v="0"/>
    <n v="0"/>
    <n v="0"/>
    <s v="C1.0_E0.0"/>
    <n v="3.25826476910151E-13"/>
    <n v="0"/>
    <n v="0"/>
    <n v="0"/>
    <n v="0"/>
    <n v="0"/>
    <n v="0"/>
    <n v="0"/>
    <n v="0"/>
    <n v="3.8079406294855302E-15"/>
    <n v="0"/>
    <n v="3.5794641917162001E-15"/>
    <n v="0"/>
    <n v="0"/>
    <n v="0"/>
    <n v="0"/>
  </r>
  <r>
    <x v="3"/>
    <x v="8"/>
    <n v="2030"/>
    <x v="0"/>
    <x v="1"/>
    <x v="1"/>
    <x v="0"/>
    <n v="0"/>
    <n v="0"/>
    <s v="C1.0_E0.0"/>
    <n v="2.3601387511007398E-13"/>
    <n v="0"/>
    <n v="0"/>
    <n v="0"/>
    <n v="0"/>
    <n v="0"/>
    <n v="0"/>
    <n v="0"/>
    <n v="0"/>
    <n v="-3.2545131034567001E-15"/>
    <n v="0"/>
    <n v="0"/>
    <n v="0"/>
    <n v="0"/>
    <n v="0"/>
    <n v="0"/>
  </r>
  <r>
    <x v="3"/>
    <x v="9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-3.3267403978243202E-12"/>
    <n v="0"/>
    <n v="0"/>
    <n v="0"/>
    <n v="0"/>
    <n v="0"/>
    <n v="0"/>
  </r>
  <r>
    <x v="3"/>
    <x v="10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1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2"/>
    <n v="2030"/>
    <x v="0"/>
    <x v="1"/>
    <x v="1"/>
    <x v="0"/>
    <n v="0"/>
    <n v="0"/>
    <s v="C1.0_E0.0"/>
    <n v="24.159491396592401"/>
    <n v="1.5945264321751"/>
    <n v="0"/>
    <n v="0"/>
    <n v="0"/>
    <n v="0"/>
    <n v="0"/>
    <n v="4.8248852138335998"/>
    <n v="4.8248852138335998"/>
    <n v="188.69287565468099"/>
    <n v="0"/>
    <n v="0"/>
    <n v="0"/>
    <n v="0"/>
    <n v="0"/>
    <n v="2.5570044428510501E-2"/>
  </r>
  <r>
    <x v="3"/>
    <x v="13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5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16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5"/>
    <n v="2030"/>
    <x v="0"/>
    <x v="2"/>
    <x v="0"/>
    <x v="2"/>
    <n v="0"/>
    <n v="0"/>
    <s v="C1.0_E0.0"/>
    <n v="110.98745410673899"/>
    <n v="665.92472464043897"/>
    <n v="67.825904114577"/>
    <n v="33.296236232021897"/>
    <n v="0"/>
    <n v="0"/>
    <n v="0"/>
    <n v="0"/>
    <n v="101.122140346599"/>
    <n v="581.06532663314101"/>
    <n v="0"/>
    <n v="273.10070351759799"/>
    <n v="0"/>
    <n v="0"/>
    <n v="0"/>
    <n v="0.17402886682729701"/>
  </r>
  <r>
    <x v="0"/>
    <x v="23"/>
    <n v="2030"/>
    <x v="0"/>
    <x v="2"/>
    <x v="0"/>
    <x v="2"/>
    <n v="0"/>
    <n v="0"/>
    <s v="C1.0_E0.0"/>
    <n v="76.018804182698503"/>
    <n v="316.813832237518"/>
    <n v="29.678732990785701"/>
    <n v="46.970586500712002"/>
    <n v="10.7606506757011"/>
    <n v="0"/>
    <n v="0"/>
    <n v="0"/>
    <n v="87.409970167198907"/>
    <n v="397.98994974874802"/>
    <n v="0"/>
    <n v="125.76482412058699"/>
    <n v="1.5317855984001401"/>
    <n v="76.974150673374098"/>
    <n v="277.10694242414598"/>
    <n v="0.219628586657479"/>
  </r>
  <r>
    <x v="0"/>
    <x v="1"/>
    <n v="2030"/>
    <x v="0"/>
    <x v="2"/>
    <x v="0"/>
    <x v="2"/>
    <n v="0"/>
    <n v="0"/>
    <s v="C1.0_E0.0"/>
    <n v="333.109275071669"/>
    <n v="8.7092057988199798"/>
    <n v="0.88705184770520695"/>
    <n v="0"/>
    <n v="0.30629286382429"/>
    <n v="0"/>
    <n v="0"/>
    <n v="0"/>
    <n v="1.19334471152949"/>
    <n v="1182.8185455062601"/>
    <n v="0"/>
    <n v="4.7312741820250999"/>
    <n v="0"/>
    <n v="0"/>
    <n v="0"/>
    <n v="1.0088992230154099E-3"/>
  </r>
  <r>
    <x v="0"/>
    <x v="2"/>
    <n v="2030"/>
    <x v="0"/>
    <x v="2"/>
    <x v="0"/>
    <x v="2"/>
    <n v="0"/>
    <n v="0"/>
    <s v="C1.0_E0.0"/>
    <n v="22.318321429801799"/>
    <n v="924.76051011362699"/>
    <n v="86.630435502919696"/>
    <n v="18.495210202272499"/>
    <n v="0"/>
    <n v="0"/>
    <n v="0"/>
    <n v="0"/>
    <n v="105.125645705192"/>
    <n v="79.248842548924102"/>
    <n v="0"/>
    <n v="3748.4702525641101"/>
    <n v="0"/>
    <n v="0"/>
    <n v="0"/>
    <n v="1.3265259444047099"/>
  </r>
  <r>
    <x v="0"/>
    <x v="24"/>
    <n v="2030"/>
    <x v="0"/>
    <x v="2"/>
    <x v="0"/>
    <x v="2"/>
    <n v="0"/>
    <n v="0"/>
    <s v="C1.0_E0.0"/>
    <n v="15.127742032357"/>
    <n v="0"/>
    <n v="0"/>
    <n v="0"/>
    <n v="0"/>
    <n v="0"/>
    <n v="0"/>
    <n v="0"/>
    <n v="0"/>
    <n v="79.200000000000102"/>
    <n v="0"/>
    <n v="0"/>
    <n v="0"/>
    <n v="0"/>
    <n v="0"/>
    <n v="0"/>
  </r>
  <r>
    <x v="0"/>
    <x v="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"/>
    <n v="2030"/>
    <x v="0"/>
    <x v="2"/>
    <x v="0"/>
    <x v="2"/>
    <n v="0"/>
    <n v="0"/>
    <s v="C1.0_E0.0"/>
    <n v="178.37157927979001"/>
    <n v="0"/>
    <n v="0"/>
    <n v="0"/>
    <n v="0"/>
    <n v="0"/>
    <n v="0"/>
    <n v="0"/>
    <n v="0"/>
    <n v="720.44959613681306"/>
    <n v="0"/>
    <n v="0"/>
    <n v="0"/>
    <n v="0"/>
    <n v="0"/>
    <n v="0"/>
  </r>
  <r>
    <x v="0"/>
    <x v="6"/>
    <n v="2030"/>
    <x v="0"/>
    <x v="2"/>
    <x v="0"/>
    <x v="2"/>
    <n v="0"/>
    <n v="0"/>
    <s v="C1.0_E0.0"/>
    <n v="173.19017429526201"/>
    <n v="0"/>
    <n v="0"/>
    <n v="0"/>
    <n v="0"/>
    <n v="0"/>
    <n v="0"/>
    <n v="0"/>
    <n v="0"/>
    <n v="614.97101817963301"/>
    <n v="0"/>
    <n v="0"/>
    <n v="0"/>
    <n v="0"/>
    <n v="0"/>
    <n v="0"/>
  </r>
  <r>
    <x v="0"/>
    <x v="7"/>
    <n v="2030"/>
    <x v="0"/>
    <x v="2"/>
    <x v="0"/>
    <x v="2"/>
    <n v="0"/>
    <n v="0"/>
    <s v="C1.0_E0.0"/>
    <n v="1209.3346184438301"/>
    <n v="0"/>
    <n v="0"/>
    <n v="0"/>
    <n v="0"/>
    <n v="0"/>
    <n v="0"/>
    <n v="0"/>
    <n v="0"/>
    <n v="107.179331605689"/>
    <n v="0"/>
    <n v="100.748571709348"/>
    <n v="0"/>
    <n v="0"/>
    <n v="0"/>
    <n v="0"/>
  </r>
  <r>
    <x v="0"/>
    <x v="8"/>
    <n v="2030"/>
    <x v="0"/>
    <x v="2"/>
    <x v="0"/>
    <x v="2"/>
    <n v="0"/>
    <n v="0"/>
    <s v="C1.0_E0.0"/>
    <n v="1224.46236047619"/>
    <n v="0"/>
    <n v="0"/>
    <n v="0"/>
    <n v="0"/>
    <n v="0"/>
    <n v="0"/>
    <n v="0"/>
    <n v="0"/>
    <n v="107.130489056765"/>
    <n v="0"/>
    <n v="0"/>
    <n v="0"/>
    <n v="0"/>
    <n v="0"/>
    <n v="0"/>
  </r>
  <r>
    <x v="0"/>
    <x v="9"/>
    <n v="2030"/>
    <x v="0"/>
    <x v="2"/>
    <x v="0"/>
    <x v="2"/>
    <n v="0"/>
    <n v="0"/>
    <s v="C1.0_E0.0"/>
    <n v="542.69498806209299"/>
    <n v="250.04965964821801"/>
    <n v="20.439773861984499"/>
    <n v="0.53817759878317994"/>
    <n v="0"/>
    <n v="0"/>
    <n v="0"/>
    <n v="0"/>
    <n v="20.977951460767699"/>
    <n v="2483.6703609074002"/>
    <n v="0"/>
    <n v="0"/>
    <n v="0"/>
    <n v="0"/>
    <n v="0"/>
    <n v="8.4463509292366408E-3"/>
  </r>
  <r>
    <x v="0"/>
    <x v="10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1"/>
    <n v="2030"/>
    <x v="0"/>
    <x v="2"/>
    <x v="0"/>
    <x v="2"/>
    <n v="0"/>
    <n v="0"/>
    <s v="C1.0_E0.0"/>
    <n v="1276.8006177780001"/>
    <n v="2551.2140167046"/>
    <n v="233.30366484568901"/>
    <n v="48.002223034217401"/>
    <n v="12.5003330618785"/>
    <n v="0"/>
    <n v="0"/>
    <n v="0"/>
    <n v="293.806220941785"/>
    <n v="4439.7750130716104"/>
    <n v="0"/>
    <n v="0"/>
    <n v="0"/>
    <n v="0"/>
    <n v="0"/>
    <n v="6.6175925599103305E-2"/>
  </r>
  <r>
    <x v="0"/>
    <x v="12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3"/>
    <n v="2030"/>
    <x v="0"/>
    <x v="2"/>
    <x v="0"/>
    <x v="2"/>
    <n v="0"/>
    <n v="0"/>
    <s v="C1.0_E0.0"/>
    <n v="1136.7745413371999"/>
    <n v="0"/>
    <n v="0"/>
    <n v="0"/>
    <n v="0"/>
    <n v="0"/>
    <n v="0"/>
    <n v="0"/>
    <n v="0"/>
    <n v="186.95938697791601"/>
    <n v="0"/>
    <n v="0"/>
    <n v="0"/>
    <n v="0"/>
    <n v="0"/>
    <n v="0"/>
  </r>
  <r>
    <x v="0"/>
    <x v="1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5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6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7"/>
    <n v="2030"/>
    <x v="0"/>
    <x v="1"/>
    <x v="0"/>
    <x v="0"/>
    <n v="0"/>
    <n v="0"/>
    <s v="C1.0_E0.0"/>
    <n v="65.360424117294201"/>
    <n v="0"/>
    <n v="0"/>
    <n v="0"/>
    <n v="0"/>
    <n v="0"/>
    <n v="0"/>
    <n v="43.375319225953497"/>
    <n v="43.375319225953497"/>
    <n v="318.33546725819298"/>
    <n v="0"/>
    <n v="0"/>
    <n v="0"/>
    <n v="0"/>
    <n v="0"/>
    <n v="0.136256633920005"/>
  </r>
  <r>
    <x v="0"/>
    <x v="26"/>
    <n v="2030"/>
    <x v="0"/>
    <x v="1"/>
    <x v="0"/>
    <x v="0"/>
    <n v="0"/>
    <n v="0"/>
    <s v="C1.0_E0.0"/>
    <n v="81.7150289097317"/>
    <n v="333.80589309625401"/>
    <n v="31.270528505608802"/>
    <n v="47.239192907220598"/>
    <n v="0"/>
    <n v="0"/>
    <n v="0"/>
    <n v="0"/>
    <n v="78.509721412829506"/>
    <n v="397.98994974874699"/>
    <n v="0"/>
    <n v="130.21673969849101"/>
    <n v="0.82620346799688804"/>
    <n v="41.517762210898901"/>
    <n v="149.46394395923599"/>
    <n v="0.197265587893345"/>
  </r>
  <r>
    <x v="0"/>
    <x v="1"/>
    <n v="2030"/>
    <x v="0"/>
    <x v="1"/>
    <x v="0"/>
    <x v="0"/>
    <n v="0"/>
    <n v="0"/>
    <s v="C1.0_E0.0"/>
    <n v="167.76824963656699"/>
    <n v="4.3863330202327697"/>
    <n v="0.446757706744629"/>
    <n v="0"/>
    <n v="0.159471436240432"/>
    <n v="0"/>
    <n v="0"/>
    <n v="0"/>
    <n v="0.60622914298506103"/>
    <n v="615.834694640203"/>
    <n v="0"/>
    <n v="2.4633387785607499"/>
    <n v="0"/>
    <n v="0"/>
    <n v="0"/>
    <n v="9.84402386324216E-4"/>
  </r>
  <r>
    <x v="0"/>
    <x v="2"/>
    <n v="2030"/>
    <x v="0"/>
    <x v="1"/>
    <x v="0"/>
    <x v="0"/>
    <n v="0"/>
    <n v="0"/>
    <s v="C1.0_E0.0"/>
    <n v="11.2404727256499"/>
    <n v="465.74942136150798"/>
    <n v="43.630837137306798"/>
    <n v="9.3149884272301797"/>
    <n v="0"/>
    <n v="0"/>
    <n v="0"/>
    <n v="0"/>
    <n v="52.945825564536896"/>
    <n v="41.2609245408932"/>
    <n v="0"/>
    <n v="1951.6417307843799"/>
    <n v="0"/>
    <n v="0"/>
    <n v="0"/>
    <n v="1.28319532714452"/>
  </r>
  <r>
    <x v="0"/>
    <x v="20"/>
    <n v="2030"/>
    <x v="0"/>
    <x v="1"/>
    <x v="0"/>
    <x v="0"/>
    <n v="0"/>
    <n v="0"/>
    <s v="C1.0_E0.0"/>
    <n v="8.4672776584959699"/>
    <n v="0"/>
    <n v="0"/>
    <n v="0"/>
    <n v="0"/>
    <n v="0"/>
    <n v="0"/>
    <n v="0"/>
    <n v="0"/>
    <n v="41.239554764591702"/>
    <n v="0"/>
    <n v="0"/>
    <n v="0"/>
    <n v="0"/>
    <n v="0"/>
    <n v="0"/>
  </r>
  <r>
    <x v="0"/>
    <x v="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"/>
    <n v="2030"/>
    <x v="0"/>
    <x v="1"/>
    <x v="0"/>
    <x v="0"/>
    <n v="0"/>
    <n v="0"/>
    <s v="C1.0_E0.0"/>
    <n v="111.152657853227"/>
    <n v="0"/>
    <n v="0"/>
    <n v="0"/>
    <n v="0"/>
    <n v="0"/>
    <n v="0"/>
    <n v="0"/>
    <n v="0"/>
    <n v="464.82183583480997"/>
    <n v="0"/>
    <n v="0"/>
    <n v="0"/>
    <n v="0"/>
    <n v="0"/>
    <n v="0"/>
  </r>
  <r>
    <x v="0"/>
    <x v="6"/>
    <n v="2030"/>
    <x v="0"/>
    <x v="1"/>
    <x v="0"/>
    <x v="0"/>
    <n v="0"/>
    <n v="0"/>
    <s v="C1.0_E0.0"/>
    <n v="87.226068351043907"/>
    <n v="0"/>
    <n v="0"/>
    <n v="0"/>
    <n v="0"/>
    <n v="0"/>
    <n v="0"/>
    <n v="0"/>
    <n v="0"/>
    <n v="320.18477443732002"/>
    <n v="0"/>
    <n v="0"/>
    <n v="0"/>
    <n v="0"/>
    <n v="0"/>
    <n v="0"/>
  </r>
  <r>
    <x v="0"/>
    <x v="7"/>
    <n v="2030"/>
    <x v="0"/>
    <x v="1"/>
    <x v="0"/>
    <x v="0"/>
    <n v="0"/>
    <n v="0"/>
    <s v="C1.0_E0.0"/>
    <n v="604.90019375792895"/>
    <n v="0"/>
    <n v="0"/>
    <n v="0"/>
    <n v="0"/>
    <n v="0"/>
    <n v="0"/>
    <n v="0"/>
    <n v="0"/>
    <n v="25.463244062549801"/>
    <n v="0"/>
    <n v="23.935449418796601"/>
    <n v="0"/>
    <n v="0"/>
    <n v="0"/>
    <n v="0"/>
  </r>
  <r>
    <x v="0"/>
    <x v="8"/>
    <n v="2030"/>
    <x v="0"/>
    <x v="1"/>
    <x v="0"/>
    <x v="0"/>
    <n v="0"/>
    <n v="0"/>
    <s v="C1.0_E0.0"/>
    <n v="613.36747141642502"/>
    <n v="0"/>
    <n v="0"/>
    <n v="0"/>
    <n v="0"/>
    <n v="0"/>
    <n v="0"/>
    <n v="0"/>
    <n v="0"/>
    <n v="25.441874286250801"/>
    <n v="0"/>
    <n v="0"/>
    <n v="0"/>
    <n v="0"/>
    <n v="0"/>
    <n v="0"/>
  </r>
  <r>
    <x v="0"/>
    <x v="9"/>
    <n v="2030"/>
    <x v="0"/>
    <x v="1"/>
    <x v="0"/>
    <x v="0"/>
    <n v="0"/>
    <n v="0"/>
    <s v="C1.0_E0.0"/>
    <n v="237.44195887673399"/>
    <n v="109.402670578082"/>
    <n v="8.9428869835661793"/>
    <n v="0.23546549367438499"/>
    <n v="0"/>
    <n v="0"/>
    <n v="0"/>
    <n v="0"/>
    <n v="9.1783524772405691"/>
    <n v="1029.0032619507899"/>
    <n v="0"/>
    <n v="0"/>
    <n v="0"/>
    <n v="0"/>
    <n v="0"/>
    <n v="8.9196534322351795E-3"/>
  </r>
  <r>
    <x v="0"/>
    <x v="10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1"/>
    <n v="2030"/>
    <x v="0"/>
    <x v="1"/>
    <x v="0"/>
    <x v="0"/>
    <n v="0"/>
    <n v="0"/>
    <s v="C1.0_E0.0"/>
    <n v="626.67606131465095"/>
    <n v="1252.18043388912"/>
    <n v="114.509516787522"/>
    <n v="23.560330130307801"/>
    <n v="6.1353819690126903"/>
    <n v="0"/>
    <n v="0"/>
    <n v="0"/>
    <n v="144.205228886843"/>
    <n v="2179.1191824114799"/>
    <n v="0"/>
    <n v="0"/>
    <n v="0"/>
    <n v="0"/>
    <n v="0"/>
    <n v="6.6175925599104096E-2"/>
  </r>
  <r>
    <x v="0"/>
    <x v="12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3"/>
    <n v="2030"/>
    <x v="0"/>
    <x v="1"/>
    <x v="0"/>
    <x v="0"/>
    <n v="0"/>
    <n v="0"/>
    <s v="C1.0_E0.0"/>
    <n v="564.955418069659"/>
    <n v="0"/>
    <n v="0"/>
    <n v="0"/>
    <n v="0"/>
    <n v="0"/>
    <n v="0"/>
    <n v="0"/>
    <n v="0"/>
    <n v="70.861923731360903"/>
    <n v="0"/>
    <n v="0"/>
    <n v="0"/>
    <n v="0"/>
    <n v="0"/>
    <n v="0"/>
  </r>
  <r>
    <x v="0"/>
    <x v="1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5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6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n v="2030"/>
    <x v="0"/>
    <x v="0"/>
    <x v="0"/>
    <x v="0"/>
    <n v="0"/>
    <n v="0"/>
    <s v="C1.0_E0.0"/>
    <n v="64.591873381946399"/>
    <n v="270.76913321711902"/>
    <n v="25.365321804739398"/>
    <n v="28.162056794528599"/>
    <n v="4.4402670967736202E-2"/>
    <n v="0"/>
    <n v="0"/>
    <n v="0"/>
    <n v="53.571781270235803"/>
    <n v="425.80645161291301"/>
    <n v="0"/>
    <n v="161.806451612899"/>
    <n v="0.43082780434475398"/>
    <n v="23.162785179825502"/>
    <n v="83.386026647371807"/>
    <n v="0.12581251661949"/>
  </r>
  <r>
    <x v="1"/>
    <x v="1"/>
    <n v="2030"/>
    <x v="0"/>
    <x v="0"/>
    <x v="0"/>
    <x v="0"/>
    <n v="0"/>
    <n v="0"/>
    <s v="C1.0_E0.0"/>
    <n v="173.599846039222"/>
    <n v="4.5388012251347698"/>
    <n v="0.46228693018919897"/>
    <n v="0"/>
    <n v="0.296350082027656"/>
    <n v="0"/>
    <n v="0"/>
    <n v="0"/>
    <n v="0.75863701221685498"/>
    <n v="1144.4222650439999"/>
    <n v="0"/>
    <n v="4.5776890601763496"/>
    <n v="0"/>
    <n v="0"/>
    <n v="0"/>
    <n v="6.6289955673632501E-4"/>
  </r>
  <r>
    <x v="1"/>
    <x v="2"/>
    <n v="2030"/>
    <x v="0"/>
    <x v="0"/>
    <x v="0"/>
    <x v="0"/>
    <n v="0"/>
    <n v="0"/>
    <s v="C1.0_E0.0"/>
    <n v="11.631189684624299"/>
    <n v="481.93879364148199"/>
    <n v="45.147437766112503"/>
    <n v="9.6387758728296493"/>
    <n v="0"/>
    <n v="0"/>
    <n v="0"/>
    <n v="0"/>
    <n v="54.786213638942201"/>
    <n v="76.676291757949102"/>
    <n v="0"/>
    <n v="3626.7886001513002"/>
    <n v="0"/>
    <n v="0"/>
    <n v="0"/>
    <n v="0.71451308328643104"/>
  </r>
  <r>
    <x v="1"/>
    <x v="3"/>
    <n v="2030"/>
    <x v="0"/>
    <x v="0"/>
    <x v="0"/>
    <x v="0"/>
    <n v="0"/>
    <n v="0"/>
    <s v="C1.0_E0.0"/>
    <n v="11.631189684624299"/>
    <n v="0"/>
    <n v="0"/>
    <n v="0"/>
    <n v="0"/>
    <n v="0"/>
    <n v="0"/>
    <n v="0"/>
    <n v="0"/>
    <n v="76.675831622971899"/>
    <n v="0"/>
    <n v="0"/>
    <n v="0"/>
    <n v="0"/>
    <n v="0"/>
    <n v="0"/>
  </r>
  <r>
    <x v="1"/>
    <x v="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5"/>
    <n v="2030"/>
    <x v="0"/>
    <x v="0"/>
    <x v="0"/>
    <x v="0"/>
    <n v="0"/>
    <n v="0"/>
    <s v="C1.0_E0.0"/>
    <n v="66.018632649927795"/>
    <n v="0"/>
    <n v="0"/>
    <n v="0"/>
    <n v="0"/>
    <n v="0"/>
    <n v="0"/>
    <n v="0"/>
    <n v="0"/>
    <n v="435.21463201805602"/>
    <n v="0"/>
    <n v="0"/>
    <n v="0"/>
    <n v="0"/>
    <n v="0"/>
    <n v="0"/>
  </r>
  <r>
    <x v="1"/>
    <x v="6"/>
    <n v="2030"/>
    <x v="0"/>
    <x v="0"/>
    <x v="0"/>
    <x v="0"/>
    <n v="0"/>
    <n v="0"/>
    <s v="C1.0_E0.0"/>
    <n v="90.258031952685002"/>
    <n v="0"/>
    <n v="0"/>
    <n v="0"/>
    <n v="0"/>
    <n v="0"/>
    <n v="0"/>
    <n v="0"/>
    <n v="0"/>
    <n v="595.00802404169599"/>
    <n v="0"/>
    <n v="0"/>
    <n v="0"/>
    <n v="0"/>
    <n v="0"/>
    <n v="0"/>
  </r>
  <r>
    <x v="1"/>
    <x v="7"/>
    <n v="2030"/>
    <x v="0"/>
    <x v="0"/>
    <x v="0"/>
    <x v="0"/>
    <n v="0"/>
    <n v="0"/>
    <s v="C1.0_E0.0"/>
    <n v="5.1126108503636498"/>
    <n v="0"/>
    <n v="0"/>
    <n v="0"/>
    <n v="0"/>
    <n v="0"/>
    <n v="0"/>
    <n v="0"/>
    <n v="0"/>
    <n v="0.59830328476654204"/>
    <n v="0"/>
    <n v="0.56240508768056496"/>
    <n v="0"/>
    <n v="0"/>
    <n v="0"/>
    <n v="0"/>
  </r>
  <r>
    <x v="1"/>
    <x v="8"/>
    <n v="2030"/>
    <x v="0"/>
    <x v="0"/>
    <x v="0"/>
    <x v="0"/>
    <n v="0"/>
    <n v="0"/>
    <s v="C1.0_E0.0"/>
    <n v="1.1631189684624199"/>
    <n v="0"/>
    <n v="0"/>
    <n v="0"/>
    <n v="0"/>
    <n v="0"/>
    <n v="0"/>
    <n v="0"/>
    <n v="0"/>
    <n v="0.59784314978972697"/>
    <n v="0"/>
    <n v="0"/>
    <n v="0"/>
    <n v="0"/>
    <n v="0"/>
    <n v="0"/>
  </r>
  <r>
    <x v="1"/>
    <x v="9"/>
    <n v="2030"/>
    <x v="0"/>
    <x v="0"/>
    <x v="0"/>
    <x v="0"/>
    <n v="0"/>
    <n v="0"/>
    <s v="C1.0_E0.0"/>
    <n v="5.11261085038426"/>
    <n v="2.3556631831398098"/>
    <n v="0.19255864145593801"/>
    <n v="5.0700535134808001E-3"/>
    <n v="0"/>
    <n v="0"/>
    <n v="0"/>
    <n v="0"/>
    <n v="0.19762869496941801"/>
    <n v="7.8343347990780599"/>
    <n v="0"/>
    <n v="0"/>
    <n v="0"/>
    <n v="0"/>
    <n v="0"/>
    <n v="2.5225970045686E-2"/>
  </r>
  <r>
    <x v="1"/>
    <x v="10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2"/>
    <n v="2030"/>
    <x v="0"/>
    <x v="0"/>
    <x v="0"/>
    <x v="0"/>
    <n v="0"/>
    <n v="0"/>
    <s v="C1.0_E0.0"/>
    <n v="575.39458335220002"/>
    <n v="37.976042501245203"/>
    <n v="0"/>
    <n v="0"/>
    <n v="0"/>
    <n v="0"/>
    <n v="0"/>
    <n v="74.134998007893998"/>
    <n v="74.134998007893998"/>
    <n v="3793.73514591198"/>
    <n v="0"/>
    <n v="0"/>
    <n v="0"/>
    <n v="0"/>
    <n v="0"/>
    <n v="1.9541426893698501E-2"/>
  </r>
  <r>
    <x v="1"/>
    <x v="13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5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6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2"/>
    <n v="2030"/>
    <x v="0"/>
    <x v="2"/>
    <x v="0"/>
    <x v="1"/>
    <n v="0"/>
    <n v="0"/>
    <s v="C1.0_E0.0"/>
    <n v="81.474465991866097"/>
    <n v="187.39127178129201"/>
    <n v="19.086214945103901"/>
    <n v="5.62173815343876"/>
    <n v="1.45266331658284"/>
    <n v="0"/>
    <n v="0"/>
    <n v="0"/>
    <n v="26.160616415125499"/>
    <n v="581.06532663311498"/>
    <n v="0"/>
    <n v="63.917185929656398"/>
    <n v="0"/>
    <n v="0"/>
    <n v="0"/>
    <n v="4.5021816336398401E-2"/>
  </r>
  <r>
    <x v="1"/>
    <x v="23"/>
    <n v="2030"/>
    <x v="0"/>
    <x v="2"/>
    <x v="0"/>
    <x v="1"/>
    <n v="0"/>
    <n v="0"/>
    <s v="C1.0_E0.0"/>
    <n v="55.804428761557197"/>
    <n v="232.568969241932"/>
    <n v="21.786777083958899"/>
    <n v="34.4805048757148"/>
    <n v="10.760650675700299"/>
    <n v="0"/>
    <n v="0"/>
    <n v="0"/>
    <n v="67.0279326353741"/>
    <n v="397.98994974873102"/>
    <n v="0"/>
    <n v="125.764824120615"/>
    <n v="0.58586492340363805"/>
    <n v="29.4404484122431"/>
    <n v="105.985614284075"/>
    <n v="0.16841614386918999"/>
  </r>
  <r>
    <x v="1"/>
    <x v="1"/>
    <n v="2030"/>
    <x v="0"/>
    <x v="2"/>
    <x v="0"/>
    <x v="1"/>
    <n v="0"/>
    <n v="0"/>
    <s v="C1.0_E0.0"/>
    <n v="165.74748244128801"/>
    <n v="4.3334996748646599"/>
    <n v="0.44137651381937099"/>
    <n v="0"/>
    <n v="0.30610536325222698"/>
    <n v="0"/>
    <n v="0"/>
    <n v="0"/>
    <n v="0.74748187707159797"/>
    <n v="1182.0944700212401"/>
    <n v="0"/>
    <n v="4.7283778800849401"/>
    <n v="0"/>
    <n v="0"/>
    <n v="0"/>
    <n v="6.3233683603829301E-4"/>
  </r>
  <r>
    <x v="1"/>
    <x v="2"/>
    <n v="2030"/>
    <x v="0"/>
    <x v="2"/>
    <x v="0"/>
    <x v="1"/>
    <n v="0"/>
    <n v="0"/>
    <s v="C1.0_E0.0"/>
    <n v="11.105081323549401"/>
    <n v="460.13947338825801"/>
    <n v="43.105304060627603"/>
    <n v="9.2027894677651592"/>
    <n v="0"/>
    <n v="0"/>
    <n v="0"/>
    <n v="0"/>
    <n v="52.308093528392703"/>
    <n v="79.200329491421599"/>
    <n v="0"/>
    <n v="3746.1755849442102"/>
    <n v="0"/>
    <n v="0"/>
    <n v="0"/>
    <n v="0.66045297872224495"/>
  </r>
  <r>
    <x v="1"/>
    <x v="24"/>
    <n v="2030"/>
    <x v="0"/>
    <x v="2"/>
    <x v="0"/>
    <x v="1"/>
    <n v="0"/>
    <n v="0"/>
    <s v="C1.0_E0.0"/>
    <n v="11.105081323566299"/>
    <n v="0"/>
    <n v="0"/>
    <n v="0"/>
    <n v="0"/>
    <n v="0"/>
    <n v="0"/>
    <n v="0"/>
    <n v="0"/>
    <n v="79.199999999997004"/>
    <n v="0"/>
    <n v="0"/>
    <n v="0"/>
    <n v="0"/>
    <n v="0"/>
    <n v="0"/>
  </r>
  <r>
    <x v="1"/>
    <x v="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5"/>
    <n v="2030"/>
    <x v="0"/>
    <x v="2"/>
    <x v="0"/>
    <x v="1"/>
    <n v="0"/>
    <n v="0"/>
    <s v="C1.0_E0.0"/>
    <n v="100.979453150477"/>
    <n v="0"/>
    <n v="0"/>
    <n v="0"/>
    <n v="0"/>
    <n v="0"/>
    <n v="0"/>
    <n v="0"/>
    <n v="0"/>
    <n v="720.17423602240603"/>
    <n v="0"/>
    <n v="0"/>
    <n v="0"/>
    <n v="0"/>
    <n v="0"/>
    <n v="0"/>
  </r>
  <r>
    <x v="1"/>
    <x v="6"/>
    <n v="2030"/>
    <x v="0"/>
    <x v="2"/>
    <x v="0"/>
    <x v="1"/>
    <n v="0"/>
    <n v="0"/>
    <s v="C1.0_E0.0"/>
    <n v="86.175431070874794"/>
    <n v="0"/>
    <n v="0"/>
    <n v="0"/>
    <n v="0"/>
    <n v="0"/>
    <n v="0"/>
    <n v="0"/>
    <n v="0"/>
    <n v="614.59455685340299"/>
    <n v="0"/>
    <n v="0"/>
    <n v="0"/>
    <n v="0"/>
    <n v="0"/>
    <n v="0"/>
  </r>
  <r>
    <x v="1"/>
    <x v="7"/>
    <n v="2030"/>
    <x v="0"/>
    <x v="2"/>
    <x v="0"/>
    <x v="1"/>
    <n v="0"/>
    <n v="0"/>
    <s v="C1.0_E0.0"/>
    <n v="3.6610158209441899"/>
    <n v="0"/>
    <n v="0"/>
    <n v="0"/>
    <n v="0"/>
    <n v="0"/>
    <n v="0"/>
    <n v="0"/>
    <n v="0"/>
    <n v="0.36346565070408599"/>
    <n v="0"/>
    <n v="0.34165771166181003"/>
    <n v="0"/>
    <n v="0"/>
    <n v="0"/>
    <n v="0"/>
  </r>
  <r>
    <x v="1"/>
    <x v="8"/>
    <n v="2030"/>
    <x v="0"/>
    <x v="2"/>
    <x v="0"/>
    <x v="1"/>
    <n v="0"/>
    <n v="0"/>
    <s v="C1.0_E0.0"/>
    <n v="1.1105081323549799"/>
    <n v="0"/>
    <n v="0"/>
    <n v="0"/>
    <n v="0"/>
    <n v="0"/>
    <n v="0"/>
    <n v="0"/>
    <n v="0"/>
    <n v="0.363136159280119"/>
    <n v="0"/>
    <n v="0"/>
    <n v="0"/>
    <n v="0"/>
    <n v="0"/>
    <n v="0"/>
  </r>
  <r>
    <x v="1"/>
    <x v="9"/>
    <n v="2030"/>
    <x v="0"/>
    <x v="2"/>
    <x v="0"/>
    <x v="1"/>
    <n v="0"/>
    <n v="0"/>
    <s v="C1.0_E0.0"/>
    <n v="3.6610158209505101"/>
    <n v="1.68683289901818"/>
    <n v="0.13788654240678999"/>
    <n v="3.6305415509032598E-3"/>
    <n v="0"/>
    <n v="0"/>
    <n v="0"/>
    <n v="0"/>
    <n v="0.141517083957693"/>
    <n v="6.3831275254315001"/>
    <n v="0"/>
    <n v="0"/>
    <n v="0"/>
    <n v="0"/>
    <n v="0"/>
    <n v="2.2170492974465002E-2"/>
  </r>
  <r>
    <x v="1"/>
    <x v="10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2"/>
    <n v="2030"/>
    <x v="0"/>
    <x v="2"/>
    <x v="0"/>
    <x v="1"/>
    <n v="0"/>
    <n v="0"/>
    <s v="C1.0_E0.0"/>
    <n v="552.52972728141003"/>
    <n v="36.466962000572998"/>
    <n v="0"/>
    <n v="0"/>
    <n v="0"/>
    <n v="0"/>
    <n v="0"/>
    <n v="86.782709884948602"/>
    <n v="86.782709884948602"/>
    <n v="3940.9276305867202"/>
    <n v="0"/>
    <n v="0"/>
    <n v="0"/>
    <n v="0"/>
    <n v="0"/>
    <n v="2.2020883918649502E-2"/>
  </r>
  <r>
    <x v="1"/>
    <x v="13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5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6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5"/>
    <n v="2030"/>
    <x v="0"/>
    <x v="2"/>
    <x v="0"/>
    <x v="2"/>
    <n v="0"/>
    <n v="0"/>
    <s v="C1.0_E0.0"/>
    <n v="75.9742263573917"/>
    <n v="455.84535814434997"/>
    <n v="46.428856608782198"/>
    <n v="22.7922679072175"/>
    <n v="0"/>
    <n v="0"/>
    <n v="0"/>
    <n v="0"/>
    <n v="69.221124515999705"/>
    <n v="581.06532663321104"/>
    <n v="0"/>
    <n v="273.100703517608"/>
    <n v="0"/>
    <n v="0"/>
    <n v="0"/>
    <n v="0.11912795574480101"/>
  </r>
  <r>
    <x v="1"/>
    <x v="23"/>
    <n v="2030"/>
    <x v="0"/>
    <x v="2"/>
    <x v="0"/>
    <x v="2"/>
    <n v="0"/>
    <n v="0"/>
    <s v="C1.0_E0.0"/>
    <n v="52.037141340679398"/>
    <n v="216.86852804477701"/>
    <n v="20.315978922032301"/>
    <n v="32.152768974343402"/>
    <n v="10.760650675702699"/>
    <n v="0"/>
    <n v="0"/>
    <n v="0"/>
    <n v="63.229398572078402"/>
    <n v="397.98994974872801"/>
    <n v="0"/>
    <n v="125.764824120608"/>
    <n v="0.71380454253335501"/>
    <n v="35.869575001676097"/>
    <n v="129.13047000603399"/>
    <n v="0.158871847422274"/>
  </r>
  <r>
    <x v="1"/>
    <x v="1"/>
    <n v="2030"/>
    <x v="0"/>
    <x v="2"/>
    <x v="0"/>
    <x v="2"/>
    <n v="0"/>
    <n v="0"/>
    <s v="C1.0_E0.0"/>
    <n v="154.558076519331"/>
    <n v="4.0409505138726898"/>
    <n v="0.411579735582979"/>
    <n v="0"/>
    <n v="0.30610448561675202"/>
    <n v="0"/>
    <n v="0"/>
    <n v="0"/>
    <n v="0.71768422119973196"/>
    <n v="1182.09108083519"/>
    <n v="0"/>
    <n v="4.7283643233399699"/>
    <n v="0"/>
    <n v="0"/>
    <n v="0"/>
    <n v="6.0713106869282596E-4"/>
  </r>
  <r>
    <x v="1"/>
    <x v="2"/>
    <n v="2030"/>
    <x v="0"/>
    <x v="2"/>
    <x v="0"/>
    <x v="2"/>
    <n v="0"/>
    <n v="0"/>
    <s v="C1.0_E0.0"/>
    <n v="10.3553911267951"/>
    <n v="429.07603114156899"/>
    <n v="40.195318717806401"/>
    <n v="8.5815206228313805"/>
    <n v="0"/>
    <n v="0"/>
    <n v="0"/>
    <n v="0"/>
    <n v="48.7768393406378"/>
    <n v="79.200102415963002"/>
    <n v="0"/>
    <n v="3746.1648442748901"/>
    <n v="0"/>
    <n v="0"/>
    <n v="0"/>
    <n v="0.61586838719550296"/>
  </r>
  <r>
    <x v="1"/>
    <x v="24"/>
    <n v="2030"/>
    <x v="0"/>
    <x v="2"/>
    <x v="0"/>
    <x v="2"/>
    <n v="0"/>
    <n v="0"/>
    <s v="C1.0_E0.0"/>
    <n v="10.3553911267948"/>
    <n v="0"/>
    <n v="0"/>
    <n v="0"/>
    <n v="0"/>
    <n v="0"/>
    <n v="0"/>
    <n v="0"/>
    <n v="0"/>
    <n v="79.200000000006895"/>
    <n v="0"/>
    <n v="0"/>
    <n v="0"/>
    <n v="0"/>
    <n v="0"/>
    <n v="0"/>
  </r>
  <r>
    <x v="1"/>
    <x v="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5"/>
    <n v="2030"/>
    <x v="0"/>
    <x v="2"/>
    <x v="0"/>
    <x v="2"/>
    <n v="0"/>
    <n v="0"/>
    <s v="C1.0_E0.0"/>
    <n v="94.162456147350099"/>
    <n v="0"/>
    <n v="0"/>
    <n v="0"/>
    <n v="0"/>
    <n v="0"/>
    <n v="0"/>
    <n v="0"/>
    <n v="0"/>
    <n v="720.17294714210004"/>
    <n v="0"/>
    <n v="0"/>
    <n v="0"/>
    <n v="0"/>
    <n v="0"/>
    <n v="0"/>
  </r>
  <r>
    <x v="1"/>
    <x v="6"/>
    <n v="2030"/>
    <x v="0"/>
    <x v="2"/>
    <x v="0"/>
    <x v="2"/>
    <n v="0"/>
    <n v="0"/>
    <s v="C1.0_E0.0"/>
    <n v="80.357835143930799"/>
    <n v="0"/>
    <n v="0"/>
    <n v="0"/>
    <n v="0"/>
    <n v="0"/>
    <n v="0"/>
    <n v="0"/>
    <n v="0"/>
    <n v="614.59279474776395"/>
    <n v="0"/>
    <n v="0"/>
    <n v="0"/>
    <n v="0"/>
    <n v="0"/>
    <n v="0"/>
  </r>
  <r>
    <x v="1"/>
    <x v="7"/>
    <n v="2030"/>
    <x v="0"/>
    <x v="2"/>
    <x v="0"/>
    <x v="2"/>
    <n v="0"/>
    <n v="0"/>
    <s v="C1.0_E0.0"/>
    <n v="1.13795506887943"/>
    <n v="0"/>
    <n v="0"/>
    <n v="0"/>
    <n v="0"/>
    <n v="0"/>
    <n v="0"/>
    <n v="0"/>
    <n v="0"/>
    <n v="6.1199223604279797E-2"/>
    <n v="0"/>
    <n v="5.7527270188020597E-2"/>
    <n v="0"/>
    <n v="0"/>
    <n v="0"/>
    <n v="0"/>
  </r>
  <r>
    <x v="1"/>
    <x v="8"/>
    <n v="2030"/>
    <x v="0"/>
    <x v="2"/>
    <x v="0"/>
    <x v="2"/>
    <n v="0"/>
    <n v="0"/>
    <s v="C1.0_E0.0"/>
    <n v="1.0355391126795199"/>
    <n v="0"/>
    <n v="0"/>
    <n v="0"/>
    <n v="0"/>
    <n v="0"/>
    <n v="0"/>
    <n v="0"/>
    <n v="0"/>
    <n v="6.1096807648108299E-2"/>
    <n v="0"/>
    <n v="0"/>
    <n v="0"/>
    <n v="0"/>
    <n v="0"/>
    <n v="0"/>
  </r>
  <r>
    <x v="1"/>
    <x v="9"/>
    <n v="2030"/>
    <x v="0"/>
    <x v="2"/>
    <x v="0"/>
    <x v="2"/>
    <n v="0"/>
    <n v="0"/>
    <s v="C1.0_E0.0"/>
    <n v="1.13795506887859"/>
    <n v="0.52431897092718505"/>
    <n v="4.2859331271945099E-2"/>
    <n v="1.12848273885691E-3"/>
    <n v="0"/>
    <n v="0"/>
    <n v="0"/>
    <n v="0"/>
    <n v="4.3987814010801998E-2"/>
    <n v="1.8801976421229201"/>
    <n v="0"/>
    <n v="0"/>
    <n v="0"/>
    <n v="0"/>
    <n v="0"/>
    <n v="2.3395313888988599E-2"/>
  </r>
  <r>
    <x v="1"/>
    <x v="10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2"/>
    <n v="2030"/>
    <x v="0"/>
    <x v="2"/>
    <x v="0"/>
    <x v="2"/>
    <n v="0"/>
    <n v="0"/>
    <s v="C1.0_E0.0"/>
    <n v="542.57985565511694"/>
    <n v="35.810270473237701"/>
    <n v="0"/>
    <n v="0"/>
    <n v="0"/>
    <n v="0"/>
    <n v="0"/>
    <n v="102.097999549421"/>
    <n v="102.097999549421"/>
    <n v="4149.8162635068002"/>
    <n v="0"/>
    <n v="0"/>
    <n v="0"/>
    <n v="0"/>
    <n v="0"/>
    <n v="2.4603016872641902E-2"/>
  </r>
  <r>
    <x v="1"/>
    <x v="13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5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6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7"/>
    <n v="2030"/>
    <x v="0"/>
    <x v="1"/>
    <x v="0"/>
    <x v="0"/>
    <n v="0"/>
    <n v="0"/>
    <s v="C1.0_E0.0"/>
    <n v="42.615302570055398"/>
    <n v="0"/>
    <n v="0"/>
    <n v="0"/>
    <n v="0"/>
    <n v="0"/>
    <n v="0"/>
    <n v="43.375319225950697"/>
    <n v="43.375319225950697"/>
    <n v="318.33546725817502"/>
    <n v="0"/>
    <n v="0"/>
    <n v="0"/>
    <n v="0"/>
    <n v="0"/>
    <n v="0.13625663392000401"/>
  </r>
  <r>
    <x v="1"/>
    <x v="26"/>
    <n v="2030"/>
    <x v="0"/>
    <x v="1"/>
    <x v="0"/>
    <x v="0"/>
    <n v="0"/>
    <n v="0"/>
    <s v="C1.0_E0.0"/>
    <n v="53.278581474001797"/>
    <n v="217.64300532129701"/>
    <n v="20.388531007700099"/>
    <n v="30.800174969695298"/>
    <n v="0"/>
    <n v="0"/>
    <n v="0"/>
    <n v="0"/>
    <n v="51.1887059773955"/>
    <n v="397.98994974874699"/>
    <n v="0"/>
    <n v="130.21673969849499"/>
    <n v="0.42792215973562098"/>
    <n v="21.503626117367801"/>
    <n v="77.413054022524406"/>
    <n v="0.12861808698865601"/>
  </r>
  <r>
    <x v="1"/>
    <x v="1"/>
    <n v="2030"/>
    <x v="0"/>
    <x v="1"/>
    <x v="0"/>
    <x v="0"/>
    <n v="0"/>
    <n v="0"/>
    <s v="C1.0_E0.0"/>
    <n v="82.398577324943105"/>
    <n v="2.15432658636872"/>
    <n v="0.21942292134809199"/>
    <n v="0"/>
    <n v="0.15938926516559601"/>
    <n v="0"/>
    <n v="0"/>
    <n v="0"/>
    <n v="0.37881218651368798"/>
    <n v="615.51737261713595"/>
    <n v="0"/>
    <n v="2.4620694904688198"/>
    <n v="0"/>
    <n v="0"/>
    <n v="0"/>
    <n v="6.1543703454381099E-4"/>
  </r>
  <r>
    <x v="1"/>
    <x v="2"/>
    <n v="2030"/>
    <x v="0"/>
    <x v="1"/>
    <x v="0"/>
    <x v="0"/>
    <n v="0"/>
    <n v="0"/>
    <s v="C1.0_E0.0"/>
    <n v="5.5207046807695903"/>
    <n v="228.750611592051"/>
    <n v="21.4290780013344"/>
    <n v="4.5750122318410398"/>
    <n v="0"/>
    <n v="0"/>
    <n v="0"/>
    <n v="0"/>
    <n v="26.0040902331754"/>
    <n v="41.2396639653523"/>
    <n v="0"/>
    <n v="1950.63610556095"/>
    <n v="0"/>
    <n v="0"/>
    <n v="0"/>
    <n v="0.63056018727560204"/>
  </r>
  <r>
    <x v="1"/>
    <x v="20"/>
    <n v="2030"/>
    <x v="0"/>
    <x v="1"/>
    <x v="0"/>
    <x v="0"/>
    <n v="0"/>
    <n v="0"/>
    <s v="C1.0_E0.0"/>
    <n v="5.52070468077026"/>
    <n v="0"/>
    <n v="0"/>
    <n v="0"/>
    <n v="0"/>
    <n v="0"/>
    <n v="0"/>
    <n v="0"/>
    <n v="0"/>
    <n v="41.2395547646003"/>
    <n v="0"/>
    <n v="0"/>
    <n v="0"/>
    <n v="0"/>
    <n v="0"/>
    <n v="0"/>
  </r>
  <r>
    <x v="1"/>
    <x v="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5"/>
    <n v="2030"/>
    <x v="0"/>
    <x v="1"/>
    <x v="0"/>
    <x v="0"/>
    <n v="0"/>
    <n v="0"/>
    <s v="C1.0_E0.0"/>
    <n v="62.2090724891181"/>
    <n v="0"/>
    <n v="0"/>
    <n v="0"/>
    <n v="0"/>
    <n v="0"/>
    <n v="0"/>
    <n v="0"/>
    <n v="0"/>
    <n v="464.70116080809498"/>
    <n v="0"/>
    <n v="0"/>
    <n v="0"/>
    <n v="0"/>
    <n v="0"/>
    <n v="0"/>
  </r>
  <r>
    <x v="1"/>
    <x v="6"/>
    <n v="2030"/>
    <x v="0"/>
    <x v="1"/>
    <x v="0"/>
    <x v="0"/>
    <n v="0"/>
    <n v="0"/>
    <s v="C1.0_E0.0"/>
    <n v="42.840668322771997"/>
    <n v="0"/>
    <n v="0"/>
    <n v="0"/>
    <n v="0"/>
    <n v="0"/>
    <n v="0"/>
    <n v="0"/>
    <n v="0"/>
    <n v="320.01979237114"/>
    <n v="0"/>
    <n v="0"/>
    <n v="0"/>
    <n v="0"/>
    <n v="0"/>
    <n v="0"/>
  </r>
  <r>
    <x v="1"/>
    <x v="7"/>
    <n v="2030"/>
    <x v="0"/>
    <x v="1"/>
    <x v="0"/>
    <x v="0"/>
    <n v="0"/>
    <n v="0"/>
    <s v="C1.0_E0.0"/>
    <n v="1.10414093615201"/>
    <n v="0"/>
    <n v="0"/>
    <n v="0"/>
    <n v="0"/>
    <n v="0"/>
    <n v="0"/>
    <n v="0"/>
    <n v="0"/>
    <n v="8.8992546112401705E-2"/>
    <n v="0"/>
    <n v="8.3652993345663798E-2"/>
    <n v="0"/>
    <n v="0"/>
    <n v="0"/>
    <n v="0"/>
  </r>
  <r>
    <x v="1"/>
    <x v="8"/>
    <n v="2030"/>
    <x v="0"/>
    <x v="1"/>
    <x v="0"/>
    <x v="0"/>
    <n v="0"/>
    <n v="0"/>
    <s v="C1.0_E0.0"/>
    <n v="0.55207046807695304"/>
    <n v="0"/>
    <n v="0"/>
    <n v="0"/>
    <n v="0"/>
    <n v="0"/>
    <n v="0"/>
    <n v="0"/>
    <n v="0"/>
    <n v="8.8883345360416893E-2"/>
    <n v="0"/>
    <n v="0"/>
    <n v="0"/>
    <n v="0"/>
    <n v="0"/>
    <n v="0"/>
  </r>
  <r>
    <x v="1"/>
    <x v="9"/>
    <n v="2030"/>
    <x v="0"/>
    <x v="1"/>
    <x v="0"/>
    <x v="0"/>
    <n v="0"/>
    <n v="0"/>
    <s v="C1.0_E0.0"/>
    <n v="1.21334168808121"/>
    <n v="0.55905376466640599"/>
    <n v="4.5698652589843201E-2"/>
    <n v="1.20324184036939E-3"/>
    <n v="0"/>
    <n v="0"/>
    <n v="0"/>
    <n v="0"/>
    <n v="4.6901894430212601E-2"/>
    <n v="2.0705736573206099"/>
    <n v="0"/>
    <n v="0"/>
    <n v="0"/>
    <n v="0"/>
    <n v="0"/>
    <n v="2.2651642584357499E-2"/>
  </r>
  <r>
    <x v="1"/>
    <x v="10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1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2"/>
    <n v="2030"/>
    <x v="0"/>
    <x v="1"/>
    <x v="0"/>
    <x v="0"/>
    <n v="0"/>
    <n v="0"/>
    <s v="C1.0_E0.0"/>
    <n v="278.89093166785602"/>
    <n v="18.4068014900785"/>
    <n v="0"/>
    <n v="0"/>
    <n v="0"/>
    <n v="0"/>
    <n v="0"/>
    <n v="49.314889332034603"/>
    <n v="49.314889332034603"/>
    <n v="2083.3985677430501"/>
    <n v="0"/>
    <n v="0"/>
    <n v="0"/>
    <n v="0"/>
    <n v="0"/>
    <n v="2.36704056994036E-2"/>
  </r>
  <r>
    <x v="1"/>
    <x v="13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5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16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1"/>
    <n v="2030"/>
    <x v="0"/>
    <x v="0"/>
    <x v="1"/>
    <x v="0"/>
    <n v="0"/>
    <n v="0"/>
    <s v="C1.0_E0.0"/>
    <n v="96.329837988446897"/>
    <n v="403.81468084756898"/>
    <n v="37.828866265060498"/>
    <n v="79.761105854434007"/>
    <n v="4.4402670967746603E-2"/>
    <n v="0"/>
    <n v="0"/>
    <n v="0"/>
    <n v="117.634374790462"/>
    <n v="425.80645161290198"/>
    <n v="0"/>
    <n v="353.41935483871401"/>
    <n v="1.18611529716046"/>
    <n v="63.769639632282903"/>
    <n v="229.57070267621799"/>
    <n v="0.27626254685638901"/>
  </r>
  <r>
    <x v="0"/>
    <x v="1"/>
    <n v="2030"/>
    <x v="0"/>
    <x v="0"/>
    <x v="1"/>
    <x v="0"/>
    <n v="0"/>
    <n v="0"/>
    <s v="C1.0_E0.0"/>
    <n v="295.54623818152498"/>
    <n v="7.7271130046924403"/>
    <n v="0.78702352735401704"/>
    <n v="0"/>
    <n v="0.29641714340540498"/>
    <n v="0"/>
    <n v="0"/>
    <n v="0"/>
    <n v="1.08344067075942"/>
    <n v="1144.68123758516"/>
    <n v="0"/>
    <n v="4.5787249503407299"/>
    <n v="0"/>
    <n v="0"/>
    <n v="0"/>
    <n v="9.4649989463010801E-4"/>
  </r>
  <r>
    <x v="0"/>
    <x v="19"/>
    <n v="2030"/>
    <x v="0"/>
    <x v="0"/>
    <x v="1"/>
    <x v="0"/>
    <n v="0"/>
    <n v="0"/>
    <s v="C1.0_E0.0"/>
    <n v="19.801597958162201"/>
    <n v="1143.41961968907"/>
    <n v="107.11415391653701"/>
    <n v="16.527559502660498"/>
    <n v="0"/>
    <n v="0"/>
    <n v="0"/>
    <n v="0"/>
    <n v="123.641713419198"/>
    <n v="76.693642918208695"/>
    <n v="0"/>
    <n v="3259.47982402354"/>
    <n v="0"/>
    <n v="0"/>
    <n v="0"/>
    <n v="1.61215074306821"/>
  </r>
  <r>
    <x v="0"/>
    <x v="3"/>
    <n v="2030"/>
    <x v="0"/>
    <x v="0"/>
    <x v="1"/>
    <x v="0"/>
    <n v="0"/>
    <n v="0"/>
    <s v="C1.0_E0.0"/>
    <n v="17.346309361665099"/>
    <n v="0"/>
    <n v="0"/>
    <n v="0"/>
    <n v="0"/>
    <n v="0"/>
    <n v="0"/>
    <n v="0"/>
    <n v="0"/>
    <n v="76.675831622979004"/>
    <n v="0"/>
    <n v="0"/>
    <n v="0"/>
    <n v="0"/>
    <n v="0"/>
    <n v="0"/>
  </r>
  <r>
    <x v="0"/>
    <x v="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6"/>
    <n v="2030"/>
    <x v="0"/>
    <x v="0"/>
    <x v="1"/>
    <x v="0"/>
    <n v="0"/>
    <n v="0"/>
    <s v="C1.0_E0.0"/>
    <n v="153.66040015533801"/>
    <n v="0"/>
    <n v="0"/>
    <n v="0"/>
    <n v="0"/>
    <n v="0"/>
    <n v="0"/>
    <n v="0"/>
    <n v="0"/>
    <n v="595.14266904530905"/>
    <n v="0"/>
    <n v="0"/>
    <n v="0"/>
    <n v="0"/>
    <n v="0"/>
    <n v="0"/>
  </r>
  <r>
    <x v="0"/>
    <x v="7"/>
    <n v="2030"/>
    <x v="0"/>
    <x v="0"/>
    <x v="1"/>
    <x v="0"/>
    <n v="0"/>
    <n v="0"/>
    <s v="C1.0_E0.0"/>
    <n v="918.73208651332197"/>
    <n v="0"/>
    <n v="0"/>
    <n v="0"/>
    <n v="0"/>
    <n v="0"/>
    <n v="0"/>
    <n v="0"/>
    <n v="0"/>
    <n v="10.739060684478201"/>
    <n v="0"/>
    <n v="10.094717043409"/>
    <n v="0"/>
    <n v="0"/>
    <n v="0"/>
    <n v="0"/>
  </r>
  <r>
    <x v="0"/>
    <x v="8"/>
    <n v="2030"/>
    <x v="0"/>
    <x v="0"/>
    <x v="1"/>
    <x v="0"/>
    <n v="0"/>
    <n v="0"/>
    <s v="C1.0_E0.0"/>
    <n v="936.078395874987"/>
    <n v="0"/>
    <n v="0"/>
    <n v="0"/>
    <n v="0"/>
    <n v="0"/>
    <n v="0"/>
    <n v="0"/>
    <n v="0"/>
    <n v="10.721249389244999"/>
    <n v="0"/>
    <n v="0"/>
    <n v="0"/>
    <n v="0"/>
    <n v="0"/>
    <n v="0"/>
  </r>
  <r>
    <x v="0"/>
    <x v="9"/>
    <n v="2030"/>
    <x v="0"/>
    <x v="0"/>
    <x v="1"/>
    <x v="0"/>
    <n v="0"/>
    <n v="0"/>
    <s v="C1.0_E0.0"/>
    <n v="197.90328036733499"/>
    <n v="91.185009973698399"/>
    <n v="7.4537233367455302"/>
    <n v="0.19625593484792"/>
    <n v="0"/>
    <n v="0"/>
    <n v="0"/>
    <n v="0"/>
    <n v="7.64997927159345"/>
    <n v="828.05571567550601"/>
    <n v="0"/>
    <n v="0"/>
    <n v="0"/>
    <n v="0"/>
    <n v="0"/>
    <n v="9.23848374786327E-3"/>
  </r>
  <r>
    <x v="0"/>
    <x v="10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1"/>
    <n v="2030"/>
    <x v="0"/>
    <x v="0"/>
    <x v="1"/>
    <x v="0"/>
    <n v="0"/>
    <n v="0"/>
    <s v="C1.0_E0.0"/>
    <n v="1099.4694424685799"/>
    <n v="2196.8832200643101"/>
    <n v="200.90078806522399"/>
    <n v="41.335331971040702"/>
    <n v="10.7641976600333"/>
    <n v="0"/>
    <n v="0"/>
    <n v="0"/>
    <n v="253.00031769629899"/>
    <n v="3823.1473969700901"/>
    <n v="0"/>
    <n v="0"/>
    <n v="0"/>
    <n v="0"/>
    <n v="0"/>
    <n v="6.6175925599103305E-2"/>
  </r>
  <r>
    <x v="0"/>
    <x v="12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13"/>
    <n v="2030"/>
    <x v="0"/>
    <x v="0"/>
    <x v="1"/>
    <x v="0"/>
    <n v="0"/>
    <n v="0"/>
    <s v="C1.0_E0.0"/>
    <n v="938.78185567159403"/>
    <n v="0"/>
    <n v="0"/>
    <n v="0"/>
    <n v="0"/>
    <n v="0"/>
    <n v="0"/>
    <n v="0"/>
    <n v="0"/>
    <n v="194.68480175899501"/>
    <n v="0"/>
    <n v="0"/>
    <n v="0"/>
    <n v="0"/>
    <n v="0"/>
    <n v="0"/>
  </r>
  <r>
    <x v="0"/>
    <x v="14"/>
    <n v="2030"/>
    <x v="0"/>
    <x v="0"/>
    <x v="1"/>
    <x v="0"/>
    <n v="0"/>
    <n v="0"/>
    <s v="C1.0_E0.0"/>
    <n v="86.949945081729794"/>
    <n v="0"/>
    <n v="0"/>
    <n v="0"/>
    <n v="2.0394197275926999E-2"/>
    <n v="0"/>
    <n v="0"/>
    <n v="0"/>
    <n v="2.0394197275926999E-2"/>
    <n v="10.865188194878399"/>
    <n v="0"/>
    <n v="0.38028158682074498"/>
    <n v="0"/>
    <n v="0"/>
    <n v="0"/>
    <n v="1.8770219999999899E-3"/>
  </r>
  <r>
    <x v="0"/>
    <x v="15"/>
    <n v="2030"/>
    <x v="0"/>
    <x v="0"/>
    <x v="1"/>
    <x v="0"/>
    <n v="0"/>
    <n v="0"/>
    <s v="C1.0_E0.0"/>
    <n v="86.949945081729794"/>
    <n v="0"/>
    <n v="0"/>
    <n v="0"/>
    <n v="0"/>
    <n v="0"/>
    <n v="0"/>
    <n v="0"/>
    <n v="0"/>
    <n v="10.8434507086079"/>
    <n v="0"/>
    <n v="0.48795528188735998"/>
    <n v="0"/>
    <n v="0"/>
    <n v="0"/>
    <n v="0"/>
  </r>
  <r>
    <x v="0"/>
    <x v="16"/>
    <n v="2030"/>
    <x v="0"/>
    <x v="0"/>
    <x v="1"/>
    <x v="0"/>
    <n v="0"/>
    <n v="0"/>
    <s v="C1.0_E0.0"/>
    <n v="108.68743135216199"/>
    <n v="15.730537766176001"/>
    <n v="1.4736175717662401"/>
    <n v="0.55170827028671099"/>
    <n v="0"/>
    <n v="0"/>
    <n v="0"/>
    <n v="0"/>
    <n v="2.0253258420529598"/>
    <n v="547.47393987957901"/>
    <n v="0"/>
    <n v="0"/>
    <n v="0"/>
    <n v="0"/>
    <n v="0"/>
    <n v="3.6994013678503901E-3"/>
  </r>
  <r>
    <x v="4"/>
    <x v="27"/>
    <m/>
    <x v="1"/>
    <x v="3"/>
    <x v="2"/>
    <x v="3"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25">
  <r>
    <x v="0"/>
    <x v="0"/>
    <n v="2030"/>
    <x v="0"/>
    <x v="0"/>
    <x v="0"/>
    <x v="0"/>
    <n v="0"/>
    <n v="0"/>
    <s v="C1.0_E0.0"/>
    <n v="107.278137852355"/>
    <n v="449.70995387707501"/>
    <n v="42.128279406721298"/>
    <n v="46.773268103627103"/>
    <n v="4.4402670967743203E-2"/>
    <n v="0"/>
    <n v="0"/>
    <n v="0"/>
    <n v="88.945950181316107"/>
    <n v="425.80645161290499"/>
    <n v="0"/>
    <n v="161.80645161289999"/>
    <n v="1.04448922046364"/>
    <n v="56.155334433529099"/>
    <n v="202.15920396070399"/>
    <n v="0.20888821633490801"/>
    <n v="0.503383890933772"/>
    <n v="3969.1819800127901"/>
    <n v="1625.2906690452601"/>
  </r>
  <r>
    <x v="0"/>
    <x v="1"/>
    <n v="2030"/>
    <x v="0"/>
    <x v="0"/>
    <x v="0"/>
    <x v="0"/>
    <n v="0"/>
    <n v="0"/>
    <s v="C1.0_E0.0"/>
    <n v="305.89768778425099"/>
    <n v="7.9977536372201801"/>
    <n v="0.81458887357426202"/>
    <n v="0"/>
    <n v="0.296372143409245"/>
    <n v="0"/>
    <n v="0"/>
    <n v="0"/>
    <n v="1.1109610169835"/>
    <n v="1144.50746001379"/>
    <n v="0"/>
    <n v="4.5780298400553896"/>
    <n v="0"/>
    <n v="0"/>
    <n v="0"/>
    <n v="9.7068918796747302E-4"/>
    <n v="0.47450493749869599"/>
    <n v="3741.4714321772199"/>
    <n v="0"/>
  </r>
  <r>
    <x v="0"/>
    <x v="2"/>
    <n v="2030"/>
    <x v="0"/>
    <x v="0"/>
    <x v="0"/>
    <x v="0"/>
    <n v="0"/>
    <n v="0"/>
    <s v="C1.0_E0.0"/>
    <n v="20.495145081544798"/>
    <n v="849.21712773407398"/>
    <n v="79.553623676147296"/>
    <n v="16.984342554681401"/>
    <n v="0"/>
    <n v="0"/>
    <n v="0"/>
    <n v="0"/>
    <n v="96.5379662308288"/>
    <n v="76.681999820927402"/>
    <n v="0"/>
    <n v="3627.0585915298898"/>
    <n v="0"/>
    <n v="0"/>
    <n v="0"/>
    <n v="1.25893907900511"/>
    <n v="0.47450493749869599"/>
    <n v="3741.4714321772199"/>
    <n v="1577.7469730322"/>
  </r>
  <r>
    <x v="0"/>
    <x v="3"/>
    <n v="2030"/>
    <x v="0"/>
    <x v="0"/>
    <x v="0"/>
    <x v="0"/>
    <n v="0"/>
    <n v="0"/>
    <s v="C1.0_E0.0"/>
    <n v="19.317791930196101"/>
    <n v="0"/>
    <n v="0"/>
    <n v="0"/>
    <n v="0"/>
    <n v="0"/>
    <n v="0"/>
    <n v="0"/>
    <n v="0"/>
    <n v="76.675831622973305"/>
    <n v="0"/>
    <n v="0"/>
    <n v="0"/>
    <n v="0"/>
    <n v="0"/>
    <n v="0"/>
    <n v="0.503383890933772"/>
    <n v="3969.1819800127901"/>
    <n v="0"/>
  </r>
  <r>
    <x v="0"/>
    <x v="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5"/>
    <n v="2030"/>
    <x v="0"/>
    <x v="0"/>
    <x v="0"/>
    <x v="0"/>
    <n v="0"/>
    <n v="0"/>
    <s v="C1.0_E0.0"/>
    <n v="116.330443482848"/>
    <n v="0"/>
    <n v="0"/>
    <n v="0"/>
    <n v="0"/>
    <n v="0"/>
    <n v="0"/>
    <n v="0"/>
    <n v="0"/>
    <n v="435.24703098359402"/>
    <n v="0"/>
    <n v="0"/>
    <n v="0"/>
    <n v="0"/>
    <n v="0"/>
    <n v="0"/>
    <n v="0.47450493749869599"/>
    <n v="3741.4714321772199"/>
    <n v="0"/>
  </r>
  <r>
    <x v="0"/>
    <x v="6"/>
    <n v="2030"/>
    <x v="0"/>
    <x v="0"/>
    <x v="0"/>
    <x v="0"/>
    <n v="0"/>
    <n v="0"/>
    <s v="C1.0_E0.0"/>
    <n v="159.04232583278801"/>
    <n v="0"/>
    <n v="0"/>
    <n v="0"/>
    <n v="0"/>
    <n v="0"/>
    <n v="0"/>
    <n v="0"/>
    <n v="0"/>
    <n v="595.05231861040204"/>
    <n v="0"/>
    <n v="0"/>
    <n v="0"/>
    <n v="0"/>
    <n v="0"/>
    <n v="0"/>
    <n v="0.47450493749869599"/>
    <n v="3741.4714321772199"/>
    <n v="0"/>
  </r>
  <r>
    <x v="0"/>
    <x v="7"/>
    <n v="2030"/>
    <x v="0"/>
    <x v="0"/>
    <x v="0"/>
    <x v="0"/>
    <n v="0"/>
    <n v="0"/>
    <s v="C1.0_E0.0"/>
    <n v="411.16178704672899"/>
    <n v="0"/>
    <n v="0"/>
    <n v="0"/>
    <n v="0"/>
    <n v="0"/>
    <n v="0"/>
    <n v="0"/>
    <n v="0"/>
    <n v="6.4596962866475103"/>
    <n v="0"/>
    <n v="6.0721145094487303"/>
    <n v="0"/>
    <n v="0"/>
    <n v="0"/>
    <n v="0"/>
    <n v="1.99249691089925E-3"/>
    <n v="15.710838142440601"/>
    <n v="0"/>
  </r>
  <r>
    <x v="0"/>
    <x v="8"/>
    <n v="2030"/>
    <x v="0"/>
    <x v="0"/>
    <x v="0"/>
    <x v="0"/>
    <n v="0"/>
    <n v="0"/>
    <s v="C1.0_E0.0"/>
    <n v="417.22817403903798"/>
    <n v="0"/>
    <n v="0"/>
    <n v="0"/>
    <n v="0"/>
    <n v="0"/>
    <n v="0"/>
    <n v="0"/>
    <n v="0"/>
    <n v="6.4535280886914803"/>
    <n v="0"/>
    <n v="0"/>
    <n v="0"/>
    <n v="0"/>
    <n v="0"/>
    <n v="0"/>
    <n v="1.9616516132485899E-3"/>
    <n v="15.467622970465101"/>
    <n v="0"/>
  </r>
  <r>
    <x v="0"/>
    <x v="9"/>
    <n v="2030"/>
    <x v="0"/>
    <x v="0"/>
    <x v="0"/>
    <x v="0"/>
    <n v="0"/>
    <n v="0"/>
    <s v="C1.0_E0.0"/>
    <n v="68.535532846441697"/>
    <n v="31.578118536265599"/>
    <n v="2.5812856645206401"/>
    <n v="6.7965043551136695E-2"/>
    <n v="0"/>
    <n v="0"/>
    <n v="0"/>
    <n v="0"/>
    <n v="2.6492507080717802"/>
    <n v="324.83048061213401"/>
    <n v="0"/>
    <n v="0"/>
    <n v="0"/>
    <n v="0"/>
    <n v="0"/>
    <n v="8.1557946873684391E-3"/>
    <n v="0.60108969614922203"/>
    <n v="4739.5922541366199"/>
    <n v="0.28461377190679099"/>
  </r>
  <r>
    <x v="0"/>
    <x v="10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1"/>
    <n v="2030"/>
    <x v="0"/>
    <x v="0"/>
    <x v="0"/>
    <x v="0"/>
    <n v="0"/>
    <n v="0"/>
    <s v="C1.0_E0.0"/>
    <n v="1110.35896909289"/>
    <n v="2218.6419132951901"/>
    <n v="202.890579137153"/>
    <n v="41.744731432850998"/>
    <n v="10.8708100063894"/>
    <n v="0"/>
    <n v="0"/>
    <n v="0"/>
    <n v="255.50612057639299"/>
    <n v="3861.0131745532599"/>
    <n v="0"/>
    <n v="0"/>
    <n v="0"/>
    <n v="0"/>
    <n v="0"/>
    <n v="6.6175925599103194E-2"/>
    <n v="0.44099755421501202"/>
    <n v="3477.2657149853699"/>
    <n v="39644.8229155671"/>
  </r>
  <r>
    <x v="0"/>
    <x v="12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3"/>
    <n v="2030"/>
    <x v="0"/>
    <x v="0"/>
    <x v="0"/>
    <x v="0"/>
    <n v="0"/>
    <n v="0"/>
    <s v="C1.0_E0.0"/>
    <n v="322.22673310612203"/>
    <n v="0"/>
    <n v="0"/>
    <n v="0"/>
    <n v="0"/>
    <n v="0"/>
    <n v="0"/>
    <n v="0"/>
    <n v="0"/>
    <n v="61.497987060985601"/>
    <n v="0"/>
    <n v="0"/>
    <n v="0"/>
    <n v="0"/>
    <n v="0"/>
    <n v="0"/>
    <n v="2.4204584667581599E-2"/>
    <n v="190.85315010388101"/>
    <n v="0"/>
  </r>
  <r>
    <x v="0"/>
    <x v="1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5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6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7"/>
    <n v="2030"/>
    <x v="0"/>
    <x v="1"/>
    <x v="1"/>
    <x v="0"/>
    <n v="0"/>
    <n v="0"/>
    <s v="C1.0_E0.0"/>
    <n v="65.020816843009399"/>
    <n v="0"/>
    <n v="0"/>
    <n v="0"/>
    <n v="0"/>
    <n v="0"/>
    <n v="0"/>
    <n v="43.375319225953803"/>
    <n v="43.375319225953803"/>
    <n v="318.33546725820099"/>
    <n v="0"/>
    <n v="0"/>
    <n v="0"/>
    <n v="0"/>
    <n v="0"/>
    <n v="0.13625663392000201"/>
    <n v="0.62091322386318704"/>
    <n v="4895.90077016123"/>
    <n v="154.41859166837901"/>
  </r>
  <r>
    <x v="0"/>
    <x v="18"/>
    <n v="2030"/>
    <x v="0"/>
    <x v="1"/>
    <x v="1"/>
    <x v="0"/>
    <n v="0"/>
    <n v="0"/>
    <s v="C1.0_E0.0"/>
    <n v="81.290444482520201"/>
    <n v="332.07146571109502"/>
    <n v="31.108049465812901"/>
    <n v="46.993742028354802"/>
    <n v="0"/>
    <n v="0"/>
    <n v="0"/>
    <n v="0"/>
    <n v="78.101791494167699"/>
    <n v="397.98994974872301"/>
    <n v="0"/>
    <n v="131.78561608040201"/>
    <n v="0.83485596690792496"/>
    <n v="41.952561151151997"/>
    <n v="151.02922014414699"/>
    <n v="0.196240612466416"/>
    <n v="0.62091322386318704"/>
    <n v="4895.90077016123"/>
    <n v="1001.70984795482"/>
  </r>
  <r>
    <x v="0"/>
    <x v="1"/>
    <n v="2030"/>
    <x v="0"/>
    <x v="1"/>
    <x v="1"/>
    <x v="0"/>
    <n v="0"/>
    <n v="0"/>
    <s v="C1.0_E0.0"/>
    <n v="160.374127013237"/>
    <n v="4.1930122680128603"/>
    <n v="0.42706756111967797"/>
    <n v="0"/>
    <n v="0.15946303700631301"/>
    <n v="0"/>
    <n v="0"/>
    <n v="0"/>
    <n v="0.58653059812599195"/>
    <n v="615.80225911507603"/>
    <n v="0"/>
    <n v="2.46320903646036"/>
    <n v="0"/>
    <n v="0"/>
    <n v="0"/>
    <n v="9.5246581097128697E-4"/>
    <n v="0.48697343976485102"/>
    <n v="3839.7855725458498"/>
    <n v="0"/>
  </r>
  <r>
    <x v="0"/>
    <x v="19"/>
    <n v="2030"/>
    <x v="0"/>
    <x v="1"/>
    <x v="1"/>
    <x v="0"/>
    <n v="0"/>
    <n v="0"/>
    <s v="C1.0_E0.0"/>
    <n v="10.7450665098869"/>
    <n v="620.46102987382199"/>
    <n v="58.124031727906299"/>
    <n v="8.9684542872460096"/>
    <n v="0"/>
    <n v="0"/>
    <n v="0"/>
    <n v="0"/>
    <n v="67.092486015152303"/>
    <n v="41.2587513607102"/>
    <n v="0"/>
    <n v="1753.49693283026"/>
    <n v="0"/>
    <n v="0"/>
    <n v="0"/>
    <n v="1.6261395171314601"/>
    <n v="0.48697343976485102"/>
    <n v="3839.7855725458498"/>
    <n v="865.36148111535601"/>
  </r>
  <r>
    <x v="0"/>
    <x v="20"/>
    <n v="2030"/>
    <x v="0"/>
    <x v="1"/>
    <x v="1"/>
    <x v="0"/>
    <n v="0"/>
    <n v="0"/>
    <s v="C1.0_E0.0"/>
    <n v="8.4232823949240299"/>
    <n v="0"/>
    <n v="0"/>
    <n v="0"/>
    <n v="0"/>
    <n v="0"/>
    <n v="0"/>
    <n v="0"/>
    <n v="0"/>
    <n v="41.239554764593301"/>
    <n v="0"/>
    <n v="0"/>
    <n v="0"/>
    <n v="0"/>
    <n v="0"/>
    <n v="0"/>
    <n v="0.62091322386318704"/>
    <n v="4895.90077016123"/>
    <n v="0"/>
  </r>
  <r>
    <x v="0"/>
    <x v="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5"/>
    <n v="2030"/>
    <x v="0"/>
    <x v="1"/>
    <x v="1"/>
    <x v="0"/>
    <n v="0"/>
    <n v="0"/>
    <s v="C1.0_E0.0"/>
    <n v="13.779218082453999"/>
    <n v="0"/>
    <n v="0"/>
    <n v="0"/>
    <n v="0"/>
    <n v="0"/>
    <n v="0"/>
    <n v="0"/>
    <n v="0"/>
    <n v="67.461684422111702"/>
    <n v="0"/>
    <n v="0"/>
    <n v="0"/>
    <n v="0"/>
    <n v="0"/>
    <n v="0"/>
    <n v="0.62091322386318704"/>
    <n v="4895.90077016123"/>
    <n v="0"/>
  </r>
  <r>
    <x v="0"/>
    <x v="6"/>
    <n v="2030"/>
    <x v="0"/>
    <x v="1"/>
    <x v="1"/>
    <x v="0"/>
    <n v="0"/>
    <n v="0"/>
    <s v="C1.0_E0.0"/>
    <n v="83.3817161167226"/>
    <n v="0"/>
    <n v="0"/>
    <n v="0"/>
    <n v="0"/>
    <n v="0"/>
    <n v="0"/>
    <n v="0"/>
    <n v="0"/>
    <n v="320.16791055911102"/>
    <n v="0"/>
    <n v="0"/>
    <n v="0"/>
    <n v="0"/>
    <n v="0"/>
    <n v="0"/>
    <n v="0.48697343976485102"/>
    <n v="3839.7855725458498"/>
    <n v="0"/>
  </r>
  <r>
    <x v="0"/>
    <x v="7"/>
    <n v="2030"/>
    <x v="0"/>
    <x v="1"/>
    <x v="1"/>
    <x v="0"/>
    <n v="0"/>
    <n v="0"/>
    <s v="C1.0_E0.0"/>
    <n v="541.88714035539795"/>
    <n v="0"/>
    <n v="0"/>
    <n v="0"/>
    <n v="0"/>
    <n v="0"/>
    <n v="0"/>
    <n v="0"/>
    <n v="0"/>
    <n v="19.241328691449201"/>
    <n v="0"/>
    <n v="18.086848969962102"/>
    <n v="0"/>
    <n v="0"/>
    <n v="0"/>
    <n v="0"/>
    <n v="4.5032340147302197E-3"/>
    <n v="35.508000206147798"/>
    <n v="0"/>
  </r>
  <r>
    <x v="0"/>
    <x v="8"/>
    <n v="2030"/>
    <x v="0"/>
    <x v="1"/>
    <x v="1"/>
    <x v="0"/>
    <n v="0"/>
    <n v="0"/>
    <s v="C1.0_E0.0"/>
    <n v="550.310422750322"/>
    <n v="0"/>
    <n v="0"/>
    <n v="0"/>
    <n v="0"/>
    <n v="0"/>
    <n v="0"/>
    <n v="0"/>
    <n v="0"/>
    <n v="19.222132095334501"/>
    <n v="0"/>
    <n v="0"/>
    <n v="0"/>
    <n v="0"/>
    <n v="0"/>
    <n v="0"/>
    <n v="4.4298816274103304E-3"/>
    <n v="34.929616632130397"/>
    <n v="0"/>
  </r>
  <r>
    <x v="0"/>
    <x v="9"/>
    <n v="2030"/>
    <x v="0"/>
    <x v="1"/>
    <x v="1"/>
    <x v="0"/>
    <n v="0"/>
    <n v="0"/>
    <s v="C1.0_E0.0"/>
    <n v="213.295512389945"/>
    <n v="98.2770643746871"/>
    <n v="8.0334481337200092"/>
    <n v="0.21152004203900099"/>
    <n v="0"/>
    <n v="0"/>
    <n v="0"/>
    <n v="0"/>
    <n v="8.2449681757590092"/>
    <n v="924.51587373836196"/>
    <n v="0"/>
    <n v="0"/>
    <n v="0"/>
    <n v="0"/>
    <n v="0"/>
    <n v="8.9181466862431995E-3"/>
    <n v="0.54970660642397895"/>
    <n v="4334.4365916530696"/>
    <n v="0.88577177109152705"/>
  </r>
  <r>
    <x v="0"/>
    <x v="10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1"/>
    <n v="2030"/>
    <x v="0"/>
    <x v="1"/>
    <x v="1"/>
    <x v="0"/>
    <n v="0"/>
    <n v="0"/>
    <s v="C1.0_E0.0"/>
    <n v="583.58977113370997"/>
    <n v="1166.0884114489099"/>
    <n v="106.63656523670601"/>
    <n v="21.9404705514631"/>
    <n v="5.7135518334666804"/>
    <n v="0"/>
    <n v="0"/>
    <n v="0"/>
    <n v="134.29058762163601"/>
    <n v="2029.29670277942"/>
    <n v="0"/>
    <n v="0"/>
    <n v="0"/>
    <n v="0"/>
    <n v="0"/>
    <n v="6.6175925599103194E-2"/>
    <n v="0.44099755421501202"/>
    <n v="3477.2657149853699"/>
    <n v="20836.7868193412"/>
  </r>
  <r>
    <x v="0"/>
    <x v="12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3"/>
    <n v="2030"/>
    <x v="0"/>
    <x v="1"/>
    <x v="1"/>
    <x v="0"/>
    <n v="0"/>
    <n v="0"/>
    <s v="C1.0_E0.0"/>
    <n v="527.49274027641604"/>
    <n v="0"/>
    <n v="0"/>
    <n v="0"/>
    <n v="0"/>
    <n v="0"/>
    <n v="0"/>
    <n v="0"/>
    <n v="0"/>
    <n v="123.204244478357"/>
    <n v="0"/>
    <n v="0"/>
    <n v="0"/>
    <n v="0"/>
    <n v="0"/>
    <n v="0"/>
    <n v="2.9621529895383102E-2"/>
    <n v="233.56576322509599"/>
    <n v="0"/>
  </r>
  <r>
    <x v="0"/>
    <x v="14"/>
    <n v="2030"/>
    <x v="0"/>
    <x v="1"/>
    <x v="1"/>
    <x v="0"/>
    <n v="0"/>
    <n v="0"/>
    <s v="C1.0_E0.0"/>
    <n v="24.326639228475699"/>
    <n v="0"/>
    <n v="0"/>
    <n v="0"/>
    <n v="5.9605631068893597E-3"/>
    <n v="0"/>
    <n v="0"/>
    <n v="0"/>
    <n v="5.9605631068893597E-3"/>
    <n v="3.1755424853248102"/>
    <n v="0"/>
    <n v="0.111143986986368"/>
    <n v="0"/>
    <n v="0"/>
    <n v="0"/>
    <n v="1.8770219999999999E-3"/>
    <n v="1.6555187940104799E-2"/>
    <n v="130.53765690772599"/>
    <n v="0"/>
  </r>
  <r>
    <x v="0"/>
    <x v="15"/>
    <n v="2030"/>
    <x v="0"/>
    <x v="1"/>
    <x v="1"/>
    <x v="0"/>
    <n v="0"/>
    <n v="0"/>
    <s v="C1.0_E0.0"/>
    <n v="24.326639228475699"/>
    <n v="0"/>
    <n v="0"/>
    <n v="0"/>
    <n v="0"/>
    <n v="0"/>
    <n v="0"/>
    <n v="0"/>
    <n v="0"/>
    <n v="3.1694608255176902"/>
    <n v="0"/>
    <n v="0.14262573714829599"/>
    <n v="0"/>
    <n v="0"/>
    <n v="0"/>
    <n v="0"/>
    <n v="1.6523482169654598E-2"/>
    <n v="130.28765690772599"/>
    <n v="0"/>
  </r>
  <r>
    <x v="0"/>
    <x v="16"/>
    <n v="2030"/>
    <x v="0"/>
    <x v="1"/>
    <x v="1"/>
    <x v="0"/>
    <n v="0"/>
    <n v="0"/>
    <s v="C1.0_E0.0"/>
    <n v="30.408299035594698"/>
    <n v="4.40105070506924"/>
    <n v="0.41228505659668901"/>
    <n v="0.15435556673458201"/>
    <n v="0"/>
    <n v="0"/>
    <n v="0"/>
    <n v="0"/>
    <n v="0.56664062333127196"/>
    <n v="157.074383910134"/>
    <n v="0"/>
    <n v="0"/>
    <n v="0"/>
    <n v="0"/>
    <n v="0"/>
    <n v="3.60746678882699E-3"/>
    <n v="0.655105943812895"/>
    <n v="5165.5103669646696"/>
    <n v="31.9006695032827"/>
  </r>
  <r>
    <x v="1"/>
    <x v="21"/>
    <n v="2030"/>
    <x v="0"/>
    <x v="0"/>
    <x v="1"/>
    <x v="0"/>
    <n v="0"/>
    <n v="0"/>
    <s v="C1.0_E0.0"/>
    <n v="54.847227618071997"/>
    <n v="229.91957817495799"/>
    <n v="21.538585363573599"/>
    <n v="45.413504467763602"/>
    <n v="4.44026709677392E-2"/>
    <n v="0"/>
    <n v="0"/>
    <n v="0"/>
    <n v="66.996492502305003"/>
    <n v="425.80645161296297"/>
    <n v="0"/>
    <n v="353.419354838679"/>
    <n v="0.71037324954214798"/>
    <n v="38.192110190438001"/>
    <n v="137.49159668557701"/>
    <n v="0.157340247543269"/>
    <n v="0.984590995561197"/>
    <n v="7763.50000000003"/>
    <n v="830.94924143201399"/>
  </r>
  <r>
    <x v="1"/>
    <x v="1"/>
    <n v="2030"/>
    <x v="0"/>
    <x v="0"/>
    <x v="1"/>
    <x v="0"/>
    <n v="0"/>
    <n v="0"/>
    <s v="C1.0_E0.0"/>
    <n v="147.40972465483"/>
    <n v="3.85405548521602"/>
    <n v="0.39254406409623099"/>
    <n v="0"/>
    <n v="0.29634830362866099"/>
    <n v="0"/>
    <n v="0"/>
    <n v="0"/>
    <n v="0.68889236772489204"/>
    <n v="1144.4153973577199"/>
    <n v="0"/>
    <n v="4.5776615894314796"/>
    <n v="0"/>
    <n v="0"/>
    <n v="0"/>
    <n v="6.0196006565049504E-4"/>
    <n v="0.984590995561195"/>
    <n v="7763.50000000002"/>
    <n v="0"/>
  </r>
  <r>
    <x v="1"/>
    <x v="19"/>
    <n v="2030"/>
    <x v="0"/>
    <x v="0"/>
    <x v="1"/>
    <x v="0"/>
    <n v="0"/>
    <n v="0"/>
    <s v="C1.0_E0.0"/>
    <n v="9.8764515518737195"/>
    <n v="570.303896745163"/>
    <n v="53.425372735666599"/>
    <n v="8.2434579796855498"/>
    <n v="0"/>
    <n v="0"/>
    <n v="0"/>
    <n v="0"/>
    <n v="61.6688307153522"/>
    <n v="76.675831622977398"/>
    <n v="0"/>
    <n v="3258.72284397663"/>
    <n v="0"/>
    <n v="0"/>
    <n v="0"/>
    <n v="0.80427990684970796"/>
    <n v="0.984590995561194"/>
    <n v="7763.50000000002"/>
    <n v="795.40696516204503"/>
  </r>
  <r>
    <x v="1"/>
    <x v="3"/>
    <n v="2030"/>
    <x v="0"/>
    <x v="0"/>
    <x v="1"/>
    <x v="0"/>
    <n v="0"/>
    <n v="0"/>
    <s v="C1.0_E0.0"/>
    <n v="9.8764515518737195"/>
    <n v="0"/>
    <n v="0"/>
    <n v="0"/>
    <n v="0"/>
    <n v="0"/>
    <n v="0"/>
    <n v="0"/>
    <n v="0"/>
    <n v="76.675831622977398"/>
    <n v="0"/>
    <n v="0"/>
    <n v="0"/>
    <n v="0"/>
    <n v="0"/>
    <n v="0"/>
    <n v="0.984590995561194"/>
    <n v="7763.50000000002"/>
    <n v="0"/>
  </r>
  <r>
    <x v="1"/>
    <x v="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6"/>
    <n v="2030"/>
    <x v="0"/>
    <x v="0"/>
    <x v="1"/>
    <x v="0"/>
    <n v="0"/>
    <n v="0"/>
    <s v="C1.0_E0.0"/>
    <n v="76.641264042548102"/>
    <n v="0"/>
    <n v="0"/>
    <n v="0"/>
    <n v="0"/>
    <n v="0"/>
    <n v="0"/>
    <n v="0"/>
    <n v="0"/>
    <n v="595.00445339426096"/>
    <n v="0"/>
    <n v="0"/>
    <n v="0"/>
    <n v="0"/>
    <n v="0"/>
    <n v="0"/>
    <n v="0.98459099556117902"/>
    <n v="7763.4999999999"/>
    <n v="0"/>
  </r>
  <r>
    <x v="1"/>
    <x v="7"/>
    <n v="2030"/>
    <x v="0"/>
    <x v="0"/>
    <x v="1"/>
    <x v="0"/>
    <n v="0"/>
    <n v="0"/>
    <s v="C1.0_E0.0"/>
    <n v="1.0259100235998599E-12"/>
    <n v="0"/>
    <n v="0"/>
    <n v="0"/>
    <n v="0"/>
    <n v="0"/>
    <n v="0"/>
    <n v="0"/>
    <n v="0"/>
    <n v="-2.4101609596982598E-15"/>
    <n v="0"/>
    <n v="-2.2655513021167399E-15"/>
    <n v="0"/>
    <n v="0"/>
    <n v="0"/>
    <n v="0"/>
    <n v="-2.9794429678398499E-4"/>
    <n v="-2.34929078014172"/>
    <n v="0"/>
  </r>
  <r>
    <x v="1"/>
    <x v="8"/>
    <n v="2030"/>
    <x v="0"/>
    <x v="0"/>
    <x v="1"/>
    <x v="0"/>
    <n v="0"/>
    <n v="0"/>
    <s v="C1.0_E0.0"/>
    <n v="1.10958353616297E-13"/>
    <n v="0"/>
    <n v="0"/>
    <n v="0"/>
    <n v="0"/>
    <n v="0"/>
    <n v="0"/>
    <n v="0"/>
    <n v="0"/>
    <n v="-2.09001882467419E-15"/>
    <n v="0"/>
    <n v="0"/>
    <n v="0"/>
    <n v="0"/>
    <n v="0"/>
    <n v="0"/>
    <n v="-2.38884788506893E-3"/>
    <n v="-18.836065573768501"/>
    <n v="0"/>
  </r>
  <r>
    <x v="1"/>
    <x v="9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-2.76395439868793E-13"/>
    <n v="0"/>
    <n v="0"/>
    <n v="0"/>
    <n v="0"/>
    <n v="0"/>
    <n v="0"/>
    <s v="NaN"/>
    <s v="NaN"/>
    <n v="0"/>
  </r>
  <r>
    <x v="1"/>
    <x v="10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1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2"/>
    <n v="2030"/>
    <x v="0"/>
    <x v="0"/>
    <x v="1"/>
    <x v="0"/>
    <n v="0"/>
    <n v="0"/>
    <s v="C1.0_E0.0"/>
    <n v="465.86202877624697"/>
    <n v="30.746893899232301"/>
    <n v="0"/>
    <n v="0"/>
    <n v="0"/>
    <n v="0"/>
    <n v="0"/>
    <n v="173.127297122903"/>
    <n v="173.127297122903"/>
    <n v="3616.719860404"/>
    <n v="0"/>
    <n v="0"/>
    <n v="0"/>
    <n v="0"/>
    <n v="0"/>
    <n v="4.7868594694963199E-2"/>
    <n v="0.984590995561195"/>
    <n v="7763.50000000002"/>
    <n v="0"/>
  </r>
  <r>
    <x v="1"/>
    <x v="13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6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7"/>
    <n v="2030"/>
    <x v="0"/>
    <x v="1"/>
    <x v="1"/>
    <x v="0"/>
    <n v="0"/>
    <n v="0"/>
    <s v="C1.0_E0.0"/>
    <n v="40.576065880416898"/>
    <n v="0"/>
    <n v="0"/>
    <n v="0"/>
    <n v="0"/>
    <n v="0"/>
    <n v="0"/>
    <n v="43.375319225952303"/>
    <n v="43.375319225952303"/>
    <n v="318.33546725822799"/>
    <n v="0"/>
    <n v="0"/>
    <n v="0"/>
    <n v="0"/>
    <n v="0"/>
    <n v="0.13625663391998599"/>
    <n v="0.99497780596068097"/>
    <n v="7845.3999999999696"/>
    <n v="96.364506829031399"/>
  </r>
  <r>
    <x v="1"/>
    <x v="18"/>
    <n v="2030"/>
    <x v="0"/>
    <x v="1"/>
    <x v="1"/>
    <x v="0"/>
    <n v="0"/>
    <n v="0"/>
    <s v="C1.0_E0.0"/>
    <n v="50.729083252446699"/>
    <n v="207.22830508624401"/>
    <n v="19.412894605488098"/>
    <n v="29.326318325311"/>
    <n v="0"/>
    <n v="0"/>
    <n v="0"/>
    <n v="0"/>
    <n v="48.739212930799198"/>
    <n v="397.98994974873102"/>
    <n v="0"/>
    <n v="131.78561608041699"/>
    <n v="0.543696706575167"/>
    <n v="27.3214425414657"/>
    <n v="98.357193149276597"/>
    <n v="0.122463426429663"/>
    <n v="0.99497780596068097"/>
    <n v="7845.3999999999696"/>
    <n v="625.114336564155"/>
  </r>
  <r>
    <x v="1"/>
    <x v="1"/>
    <n v="2030"/>
    <x v="0"/>
    <x v="1"/>
    <x v="1"/>
    <x v="0"/>
    <n v="0"/>
    <n v="0"/>
    <s v="C1.0_E0.0"/>
    <n v="78.455622754125997"/>
    <n v="2.0512372839010702"/>
    <n v="0.20892304818572399"/>
    <n v="0"/>
    <n v="0.159388843110085"/>
    <n v="0"/>
    <n v="0"/>
    <n v="0"/>
    <n v="0.36831189129580899"/>
    <n v="615.51574275509404"/>
    <n v="0"/>
    <n v="2.4620629710209099"/>
    <n v="0"/>
    <n v="0"/>
    <n v="0"/>
    <n v="5.9837931950727698E-4"/>
    <n v="0.99497780596067797"/>
    <n v="7845.3999999999496"/>
    <n v="0"/>
  </r>
  <r>
    <x v="1"/>
    <x v="19"/>
    <n v="2030"/>
    <x v="0"/>
    <x v="1"/>
    <x v="1"/>
    <x v="0"/>
    <n v="0"/>
    <n v="0"/>
    <s v="C1.0_E0.0"/>
    <n v="5.2565267245260099"/>
    <n v="303.53185641593501"/>
    <n v="28.4344937124221"/>
    <n v="4.3874013804586998"/>
    <n v="0"/>
    <n v="0"/>
    <n v="0"/>
    <n v="0"/>
    <n v="32.821895092880801"/>
    <n v="41.239554764591901"/>
    <n v="0"/>
    <n v="1752.68107749512"/>
    <n v="0"/>
    <n v="0"/>
    <n v="0"/>
    <n v="0.79588383725862799"/>
    <n v="0.99497780596069096"/>
    <n v="7845.4000000000497"/>
    <n v="423.33807312153601"/>
  </r>
  <r>
    <x v="1"/>
    <x v="20"/>
    <n v="2030"/>
    <x v="0"/>
    <x v="1"/>
    <x v="1"/>
    <x v="0"/>
    <n v="0"/>
    <n v="0"/>
    <s v="C1.0_E0.0"/>
    <n v="5.2565267245260596"/>
    <n v="0"/>
    <n v="0"/>
    <n v="0"/>
    <n v="0"/>
    <n v="0"/>
    <n v="0"/>
    <n v="0"/>
    <n v="0"/>
    <n v="41.239554764591396"/>
    <n v="0"/>
    <n v="0"/>
    <n v="0"/>
    <n v="0"/>
    <n v="0"/>
    <n v="0"/>
    <n v="0.99497780596068097"/>
    <n v="7845.3999999999696"/>
    <n v="0"/>
  </r>
  <r>
    <x v="1"/>
    <x v="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5"/>
    <n v="2030"/>
    <x v="0"/>
    <x v="1"/>
    <x v="1"/>
    <x v="0"/>
    <n v="0"/>
    <n v="0"/>
    <s v="C1.0_E0.0"/>
    <n v="8.5988839857892305"/>
    <n v="0"/>
    <n v="0"/>
    <n v="0"/>
    <n v="0"/>
    <n v="0"/>
    <n v="0"/>
    <n v="0"/>
    <n v="0"/>
    <n v="67.461684422101499"/>
    <n v="0"/>
    <n v="0"/>
    <n v="0"/>
    <n v="0"/>
    <n v="0"/>
    <n v="0"/>
    <n v="0.99497780596068097"/>
    <n v="7845.3999999999696"/>
    <n v="0"/>
  </r>
  <r>
    <x v="1"/>
    <x v="6"/>
    <n v="2030"/>
    <x v="0"/>
    <x v="1"/>
    <x v="1"/>
    <x v="0"/>
    <n v="0"/>
    <n v="0"/>
    <s v="C1.0_E0.0"/>
    <n v="40.790647382384897"/>
    <n v="0"/>
    <n v="0"/>
    <n v="0"/>
    <n v="0"/>
    <n v="0"/>
    <n v="0"/>
    <n v="0"/>
    <n v="0"/>
    <n v="320.01894497324997"/>
    <n v="0"/>
    <n v="0"/>
    <n v="0"/>
    <n v="0"/>
    <n v="0"/>
    <n v="0"/>
    <n v="0.99497780595906404"/>
    <n v="7845.3999999872203"/>
    <n v="0"/>
  </r>
  <r>
    <x v="1"/>
    <x v="7"/>
    <n v="2030"/>
    <x v="0"/>
    <x v="1"/>
    <x v="1"/>
    <x v="0"/>
    <n v="0"/>
    <n v="0"/>
    <s v="C1.0_E0.0"/>
    <n v="8.0854078987613293E-12"/>
    <n v="0"/>
    <n v="0"/>
    <n v="0"/>
    <n v="0"/>
    <n v="0"/>
    <n v="0"/>
    <n v="0"/>
    <n v="0"/>
    <n v="-2.53639882430434E-14"/>
    <n v="0"/>
    <n v="-2.3842148948460799E-14"/>
    <n v="0"/>
    <n v="0"/>
    <n v="0"/>
    <n v="0"/>
    <n v="-3.9784500621635899E-4"/>
    <n v="-3.1370078740159899"/>
    <n v="0"/>
  </r>
  <r>
    <x v="1"/>
    <x v="8"/>
    <n v="2030"/>
    <x v="0"/>
    <x v="1"/>
    <x v="1"/>
    <x v="0"/>
    <n v="0"/>
    <n v="0"/>
    <s v="C1.0_E0.0"/>
    <n v="-3.8198777474462899E-13"/>
    <n v="0"/>
    <n v="0"/>
    <n v="0"/>
    <n v="0"/>
    <n v="0"/>
    <n v="0"/>
    <n v="0"/>
    <n v="0"/>
    <n v="-2.2329004423227101E-14"/>
    <n v="0"/>
    <n v="0"/>
    <n v="0"/>
    <n v="0"/>
    <n v="0"/>
    <n v="0"/>
    <n v="7.4134130506988997E-3"/>
    <n v="58.454761904760801"/>
    <n v="0"/>
  </r>
  <r>
    <x v="1"/>
    <x v="9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-3.3472961149527701E-12"/>
    <n v="0"/>
    <n v="0"/>
    <n v="0"/>
    <n v="0"/>
    <n v="0"/>
    <n v="0"/>
    <s v="NaN"/>
    <s v="NaN"/>
    <n v="0"/>
  </r>
  <r>
    <x v="1"/>
    <x v="10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1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2"/>
    <n v="2030"/>
    <x v="0"/>
    <x v="1"/>
    <x v="1"/>
    <x v="0"/>
    <n v="0"/>
    <n v="0"/>
    <s v="C1.0_E0.0"/>
    <n v="240.514028162941"/>
    <n v="15.873925858754101"/>
    <n v="0"/>
    <n v="0"/>
    <n v="0"/>
    <n v="0"/>
    <n v="0"/>
    <n v="91.081085787534406"/>
    <n v="91.081085787534406"/>
    <n v="1886.9287565464699"/>
    <n v="0"/>
    <n v="0"/>
    <n v="0"/>
    <n v="0"/>
    <n v="0"/>
    <n v="4.82694884327452E-2"/>
    <n v="0.99497780595910501"/>
    <n v="7845.3999999875396"/>
    <n v="0"/>
  </r>
  <r>
    <x v="1"/>
    <x v="13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5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6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0"/>
    <n v="2030"/>
    <x v="0"/>
    <x v="0"/>
    <x v="0"/>
    <x v="0"/>
    <n v="0"/>
    <n v="0"/>
    <s v="C1.0_E0.0"/>
    <n v="7.8403967380758299"/>
    <n v="57.484977808047397"/>
    <n v="5.3851225348873601"/>
    <n v="3.4184129778010601"/>
    <n v="4.4402670967743198E-3"/>
    <n v="0"/>
    <n v="0"/>
    <n v="0"/>
    <n v="8.8079757797852007"/>
    <n v="42.580645161290903"/>
    <n v="0"/>
    <n v="16.1806451612924"/>
    <n v="0.99633171404904497"/>
    <n v="53.566221185432497"/>
    <n v="192.83839626755699"/>
    <n v="0.20685397664646701"/>
    <n v="0.68876726839597802"/>
    <n v="5430.9299113022898"/>
    <n v="118.783975142683"/>
  </r>
  <r>
    <x v="2"/>
    <x v="1"/>
    <n v="2030"/>
    <x v="0"/>
    <x v="0"/>
    <x v="0"/>
    <x v="0"/>
    <n v="0"/>
    <n v="0"/>
    <s v="C1.0_E0.0"/>
    <n v="26.465614869512098"/>
    <n v="0.69194856985383901"/>
    <n v="7.0476490231633604E-2"/>
    <n v="0"/>
    <n v="2.9641082287701501E-2"/>
    <n v="0"/>
    <n v="0"/>
    <n v="0"/>
    <n v="0.10011757251933499"/>
    <n v="114.465682944816"/>
    <n v="0"/>
    <n v="0.45786273177925901"/>
    <n v="0"/>
    <n v="0"/>
    <n v="0"/>
    <n v="8.7465142341047102E-4"/>
    <n v="0.54851892703344096"/>
    <n v="4325.0717396586797"/>
    <n v="0"/>
  </r>
  <r>
    <x v="2"/>
    <x v="2"/>
    <n v="2030"/>
    <x v="0"/>
    <x v="0"/>
    <x v="0"/>
    <x v="0"/>
    <n v="0"/>
    <n v="0"/>
    <s v="C1.0_E0.0"/>
    <n v="1.77319619625731"/>
    <n v="73.472452851800696"/>
    <n v="6.8828096771099903"/>
    <n v="1.4694490570360099"/>
    <n v="0"/>
    <n v="0"/>
    <n v="0"/>
    <n v="0"/>
    <n v="8.352258734146"/>
    <n v="7.6692007573025496"/>
    <n v="0"/>
    <n v="362.75319582040999"/>
    <n v="0"/>
    <n v="0"/>
    <n v="0"/>
    <n v="1.08906507972073"/>
    <n v="0.54851892703344096"/>
    <n v="4325.0717396586797"/>
    <n v="136.50329968907499"/>
  </r>
  <r>
    <x v="2"/>
    <x v="3"/>
    <n v="2030"/>
    <x v="0"/>
    <x v="0"/>
    <x v="0"/>
    <x v="0"/>
    <n v="0"/>
    <n v="0"/>
    <s v="C1.0_E0.0"/>
    <n v="1.41183614731257"/>
    <n v="0"/>
    <n v="0"/>
    <n v="0"/>
    <n v="0"/>
    <n v="0"/>
    <n v="0"/>
    <n v="0"/>
    <n v="0"/>
    <n v="7.6675831622983104"/>
    <n v="0"/>
    <n v="0"/>
    <n v="0"/>
    <n v="0"/>
    <n v="0"/>
    <n v="0"/>
    <n v="0.68876726839597802"/>
    <n v="5430.9299113022898"/>
    <n v="0"/>
  </r>
  <r>
    <x v="2"/>
    <x v="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5"/>
    <n v="2030"/>
    <x v="0"/>
    <x v="0"/>
    <x v="0"/>
    <x v="0"/>
    <n v="0"/>
    <n v="0"/>
    <s v="C1.0_E0.0"/>
    <n v="10.064661609956399"/>
    <n v="0"/>
    <n v="0"/>
    <n v="0"/>
    <n v="0"/>
    <n v="0"/>
    <n v="0"/>
    <n v="0"/>
    <n v="0"/>
    <n v="43.530383498449503"/>
    <n v="0"/>
    <n v="0"/>
    <n v="0"/>
    <n v="0"/>
    <n v="0"/>
    <n v="0"/>
    <n v="0.54851892703344096"/>
    <n v="4325.0717396586797"/>
    <n v="0"/>
  </r>
  <r>
    <x v="2"/>
    <x v="6"/>
    <n v="2030"/>
    <x v="0"/>
    <x v="0"/>
    <x v="0"/>
    <x v="0"/>
    <n v="0"/>
    <n v="0"/>
    <s v="C1.0_E0.0"/>
    <n v="13.7600024829567"/>
    <n v="0"/>
    <n v="0"/>
    <n v="0"/>
    <n v="0"/>
    <n v="0"/>
    <n v="0"/>
    <n v="0"/>
    <n v="0"/>
    <n v="59.512997876670802"/>
    <n v="0"/>
    <n v="0"/>
    <n v="0"/>
    <n v="0"/>
    <n v="0"/>
    <n v="0"/>
    <n v="0.54851892703344096"/>
    <n v="4325.0717396586797"/>
    <n v="0"/>
  </r>
  <r>
    <x v="2"/>
    <x v="7"/>
    <n v="2030"/>
    <x v="0"/>
    <x v="0"/>
    <x v="0"/>
    <x v="0"/>
    <n v="0"/>
    <n v="0"/>
    <s v="C1.0_E0.0"/>
    <n v="86.124200346097695"/>
    <n v="0"/>
    <n v="0"/>
    <n v="0"/>
    <n v="0"/>
    <n v="0"/>
    <n v="0"/>
    <n v="0"/>
    <n v="0"/>
    <n v="1.8210552587859501"/>
    <n v="0"/>
    <n v="1.71179194325878"/>
    <n v="0"/>
    <n v="0"/>
    <n v="0"/>
    <n v="0"/>
    <n v="2.6816137522419898E-3"/>
    <n v="21.1445244364281"/>
    <n v="0"/>
  </r>
  <r>
    <x v="2"/>
    <x v="8"/>
    <n v="2030"/>
    <x v="0"/>
    <x v="0"/>
    <x v="0"/>
    <x v="0"/>
    <n v="0"/>
    <n v="0"/>
    <s v="C1.0_E0.0"/>
    <n v="87.536036493410293"/>
    <n v="0"/>
    <n v="0"/>
    <n v="0"/>
    <n v="0"/>
    <n v="0"/>
    <n v="0"/>
    <n v="0"/>
    <n v="0"/>
    <n v="1.8194376637808201"/>
    <n v="0"/>
    <n v="0"/>
    <n v="0"/>
    <n v="0"/>
    <n v="0"/>
    <n v="0"/>
    <n v="2.6360194145032198E-3"/>
    <n v="20.785013083357899"/>
    <n v="0"/>
  </r>
  <r>
    <x v="2"/>
    <x v="9"/>
    <n v="2030"/>
    <x v="0"/>
    <x v="0"/>
    <x v="0"/>
    <x v="0"/>
    <n v="0"/>
    <n v="0"/>
    <s v="C1.0_E0.0"/>
    <n v="17.973277834220799"/>
    <n v="8.2812852598070901"/>
    <n v="0.67693592638828903"/>
    <n v="1.7823668395436101E-2"/>
    <n v="0"/>
    <n v="0"/>
    <n v="0"/>
    <n v="0"/>
    <n v="0.69475959478372495"/>
    <n v="79.224300020217399"/>
    <n v="0"/>
    <n v="0"/>
    <n v="0"/>
    <n v="0"/>
    <n v="0"/>
    <n v="8.7695264534546503E-3"/>
    <n v="0.55902267659558802"/>
    <n v="4407.8938049562103"/>
    <n v="7.4639273752898402E-2"/>
  </r>
  <r>
    <x v="2"/>
    <x v="10"/>
    <n v="2030"/>
    <x v="0"/>
    <x v="0"/>
    <x v="0"/>
    <x v="0"/>
    <n v="0"/>
    <n v="0"/>
    <s v="C1.0_E0.0"/>
    <n v="129.950010585147"/>
    <n v="51.494017184472703"/>
    <n v="4.3182965974038003"/>
    <n v="0.98245164365112403"/>
    <n v="0"/>
    <n v="0"/>
    <n v="0"/>
    <n v="0"/>
    <n v="5.3007482410549196"/>
    <n v="134.35998701117799"/>
    <n v="0"/>
    <n v="0"/>
    <n v="0"/>
    <n v="0"/>
    <n v="0"/>
    <n v="3.9451836510031001E-2"/>
    <n v="0.13112694294333799"/>
    <n v="1033.93594510822"/>
    <n v="7851.58723897044"/>
  </r>
  <r>
    <x v="2"/>
    <x v="11"/>
    <n v="2030"/>
    <x v="0"/>
    <x v="0"/>
    <x v="0"/>
    <x v="0"/>
    <n v="0"/>
    <n v="0"/>
    <s v="C1.0_E0.0"/>
    <n v="83.301381341310602"/>
    <n v="166.44701508576199"/>
    <n v="15.2212626490247"/>
    <n v="3.1317743980753798"/>
    <n v="0.81555020947052004"/>
    <n v="0"/>
    <n v="0"/>
    <n v="0"/>
    <n v="19.1685872565706"/>
    <n v="289.66103734906198"/>
    <n v="0"/>
    <n v="0"/>
    <n v="0"/>
    <n v="0"/>
    <n v="0"/>
    <n v="6.6175925599103402E-2"/>
    <n v="0.44099755421501202"/>
    <n v="3477.2657149853699"/>
    <n v="2974.2350031146302"/>
  </r>
  <r>
    <x v="2"/>
    <x v="12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13"/>
    <n v="2030"/>
    <x v="0"/>
    <x v="0"/>
    <x v="0"/>
    <x v="0"/>
    <n v="0"/>
    <n v="0"/>
    <s v="C1.0_E0.0"/>
    <n v="128.17245468707"/>
    <n v="0"/>
    <n v="0"/>
    <n v="0"/>
    <n v="0"/>
    <n v="0"/>
    <n v="0"/>
    <n v="0"/>
    <n v="0"/>
    <n v="42.9175287035061"/>
    <n v="0"/>
    <n v="0"/>
    <n v="0"/>
    <n v="0"/>
    <n v="0"/>
    <n v="0"/>
    <n v="4.2465701907211502E-2"/>
    <n v="334.842059538363"/>
    <n v="0"/>
  </r>
  <r>
    <x v="2"/>
    <x v="1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15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16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22"/>
    <n v="2030"/>
    <x v="0"/>
    <x v="2"/>
    <x v="0"/>
    <x v="1"/>
    <n v="0"/>
    <n v="0"/>
    <s v="C1.0_E0.0"/>
    <n v="10.2693253788196"/>
    <n v="23.619448371285198"/>
    <n v="2.4056929877997599"/>
    <n v="0.70858345113855703"/>
    <n v="0.145266331658293"/>
    <n v="0"/>
    <n v="0"/>
    <n v="0"/>
    <n v="3.2595427705966098"/>
    <n v="58.106532663315797"/>
    <n v="0"/>
    <n v="6.3917185929641596"/>
    <n v="0"/>
    <n v="0"/>
    <n v="0"/>
    <n v="5.6095977873662599E-2"/>
    <n v="0.71759821344490005"/>
    <n v="5658.2619130130297"/>
    <n v="0"/>
  </r>
  <r>
    <x v="2"/>
    <x v="23"/>
    <n v="2030"/>
    <x v="0"/>
    <x v="2"/>
    <x v="0"/>
    <x v="1"/>
    <n v="0"/>
    <n v="0"/>
    <s v="C1.0_E0.0"/>
    <n v="7.0337845060408704"/>
    <n v="53.806913983089601"/>
    <n v="5.0405660064901099"/>
    <n v="4.3460428918921803"/>
    <n v="1.0760650675699801"/>
    <n v="0"/>
    <n v="0"/>
    <n v="0"/>
    <n v="10.462673965952201"/>
    <n v="39.798994974872301"/>
    <n v="0"/>
    <n v="12.576482412059599"/>
    <n v="1.23133031957735"/>
    <n v="61.875895456148498"/>
    <n v="222.753223642134"/>
    <n v="0.26288789384149103"/>
    <n v="0.71759821344490005"/>
    <n v="5658.2619130130297"/>
    <n v="86.674531710897895"/>
  </r>
  <r>
    <x v="2"/>
    <x v="1"/>
    <n v="2030"/>
    <x v="0"/>
    <x v="2"/>
    <x v="0"/>
    <x v="1"/>
    <n v="0"/>
    <n v="0"/>
    <s v="C1.0_E0.0"/>
    <n v="27.662445079593699"/>
    <n v="0.723239924931248"/>
    <n v="7.3663583863337198E-2"/>
    <n v="0"/>
    <n v="3.06188179673367E-2"/>
    <n v="0"/>
    <n v="0"/>
    <n v="0"/>
    <n v="0.104282401830673"/>
    <n v="118.241428419382"/>
    <n v="0"/>
    <n v="0.47296571367752299"/>
    <n v="0"/>
    <n v="0"/>
    <n v="0"/>
    <n v="8.81944706053465E-4"/>
    <n v="0.54209750098147602"/>
    <n v="4274.4387952389297"/>
    <n v="0"/>
  </r>
  <r>
    <x v="2"/>
    <x v="2"/>
    <n v="2030"/>
    <x v="0"/>
    <x v="2"/>
    <x v="0"/>
    <x v="1"/>
    <n v="0"/>
    <n v="0"/>
    <s v="C1.0_E0.0"/>
    <n v="1.8533838203327799"/>
    <n v="76.795030151266104"/>
    <n v="7.19406466182968"/>
    <n v="1.5359006030253199"/>
    <n v="0"/>
    <n v="0"/>
    <n v="0"/>
    <n v="0"/>
    <n v="8.7299652648550001"/>
    <n v="7.9221757040983096"/>
    <n v="0"/>
    <n v="374.71891080388298"/>
    <n v="0"/>
    <n v="0"/>
    <n v="0"/>
    <n v="1.10196562042152"/>
    <n v="0.54209750098147602"/>
    <n v="4274.4387952389297"/>
    <n v="142.67626312291901"/>
  </r>
  <r>
    <x v="2"/>
    <x v="24"/>
    <n v="2030"/>
    <x v="0"/>
    <x v="2"/>
    <x v="0"/>
    <x v="1"/>
    <n v="0"/>
    <n v="0"/>
    <s v="C1.0_E0.0"/>
    <n v="1.39972311670213"/>
    <n v="0"/>
    <n v="0"/>
    <n v="0"/>
    <n v="0"/>
    <n v="0"/>
    <n v="0"/>
    <n v="0"/>
    <n v="0"/>
    <n v="7.91999999999988"/>
    <n v="0"/>
    <n v="0"/>
    <n v="0"/>
    <n v="0"/>
    <n v="0"/>
    <n v="0"/>
    <n v="0.71759821344490005"/>
    <n v="5658.2619130130297"/>
    <n v="0"/>
  </r>
  <r>
    <x v="2"/>
    <x v="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5"/>
    <n v="2030"/>
    <x v="0"/>
    <x v="2"/>
    <x v="0"/>
    <x v="1"/>
    <n v="0"/>
    <n v="0"/>
    <s v="C1.0_E0.0"/>
    <n v="15.302780028316599"/>
    <n v="0"/>
    <n v="0"/>
    <n v="0"/>
    <n v="0"/>
    <n v="0"/>
    <n v="0"/>
    <n v="0"/>
    <n v="0"/>
    <n v="72.029585879375205"/>
    <n v="0"/>
    <n v="0"/>
    <n v="0"/>
    <n v="0"/>
    <n v="0"/>
    <n v="0"/>
    <n v="0.59695127585710395"/>
    <n v="4706.9608101332597"/>
    <n v="0"/>
  </r>
  <r>
    <x v="2"/>
    <x v="6"/>
    <n v="2030"/>
    <x v="0"/>
    <x v="2"/>
    <x v="0"/>
    <x v="1"/>
    <n v="0"/>
    <n v="0"/>
    <s v="C1.0_E0.0"/>
    <n v="14.3822584457823"/>
    <n v="0"/>
    <n v="0"/>
    <n v="0"/>
    <n v="0"/>
    <n v="0"/>
    <n v="0"/>
    <n v="0"/>
    <n v="0"/>
    <n v="61.476083463804699"/>
    <n v="0"/>
    <n v="0"/>
    <n v="0"/>
    <n v="0"/>
    <n v="0"/>
    <n v="0"/>
    <n v="0.54209750098147602"/>
    <n v="4274.4387952389297"/>
    <n v="0"/>
  </r>
  <r>
    <x v="2"/>
    <x v="7"/>
    <n v="2030"/>
    <x v="0"/>
    <x v="2"/>
    <x v="0"/>
    <x v="1"/>
    <n v="0"/>
    <n v="0"/>
    <s v="C1.0_E0.0"/>
    <n v="83.826666644970402"/>
    <n v="0"/>
    <n v="0"/>
    <n v="0"/>
    <n v="0"/>
    <n v="0"/>
    <n v="0"/>
    <n v="0"/>
    <n v="0"/>
    <n v="1.6453825200865499"/>
    <n v="0"/>
    <n v="1.54665956888133"/>
    <n v="0"/>
    <n v="0"/>
    <n v="0"/>
    <n v="0"/>
    <n v="2.4893329329493002E-3"/>
    <n v="19.628390176305199"/>
    <n v="0"/>
  </r>
  <r>
    <x v="2"/>
    <x v="8"/>
    <n v="2030"/>
    <x v="0"/>
    <x v="2"/>
    <x v="0"/>
    <x v="1"/>
    <n v="0"/>
    <n v="0"/>
    <s v="C1.0_E0.0"/>
    <n v="85.226389761672493"/>
    <n v="0"/>
    <n v="0"/>
    <n v="0"/>
    <n v="0"/>
    <n v="0"/>
    <n v="0"/>
    <n v="0"/>
    <n v="0"/>
    <n v="1.6432068159875599"/>
    <n v="0"/>
    <n v="0"/>
    <n v="0"/>
    <n v="0"/>
    <n v="0"/>
    <n v="0"/>
    <n v="2.44521154800207E-3"/>
    <n v="19.280493055996299"/>
    <n v="0"/>
  </r>
  <r>
    <x v="2"/>
    <x v="9"/>
    <n v="2030"/>
    <x v="0"/>
    <x v="2"/>
    <x v="0"/>
    <x v="1"/>
    <n v="0"/>
    <n v="0"/>
    <s v="C1.0_E0.0"/>
    <n v="24.174489988506998"/>
    <n v="11.138527398937001"/>
    <n v="0.910495065300581"/>
    <n v="2.3973261703191098E-2"/>
    <n v="0"/>
    <n v="0"/>
    <n v="0"/>
    <n v="0"/>
    <n v="0.93446832700377302"/>
    <n v="107.82760273978"/>
    <n v="0"/>
    <n v="0"/>
    <n v="0"/>
    <n v="0"/>
    <n v="0"/>
    <n v="8.6663183012509505E-3"/>
    <n v="0.56568014006343204"/>
    <n v="4460.3879044001596"/>
    <n v="0.100391614302728"/>
  </r>
  <r>
    <x v="2"/>
    <x v="10"/>
    <n v="2030"/>
    <x v="0"/>
    <x v="2"/>
    <x v="0"/>
    <x v="1"/>
    <n v="0"/>
    <n v="0"/>
    <s v="C1.0_E0.0"/>
    <n v="143.233319723552"/>
    <n v="56.757663920318699"/>
    <n v="4.7597068627538697"/>
    <n v="1.0828764826902899"/>
    <n v="0"/>
    <n v="0"/>
    <n v="0"/>
    <n v="0"/>
    <n v="5.8425833454441598"/>
    <n v="148.09407779935901"/>
    <n v="0"/>
    <n v="0"/>
    <n v="0"/>
    <n v="0"/>
    <n v="0"/>
    <n v="3.9451836510031202E-2"/>
    <n v="0.13112694294333799"/>
    <n v="1033.93594510822"/>
    <n v="8654.1655539145395"/>
  </r>
  <r>
    <x v="2"/>
    <x v="11"/>
    <n v="2030"/>
    <x v="0"/>
    <x v="2"/>
    <x v="0"/>
    <x v="1"/>
    <n v="0"/>
    <n v="0"/>
    <s v="C1.0_E0.0"/>
    <n v="85.489913233559705"/>
    <n v="170.81998699834401"/>
    <n v="15.621162605199499"/>
    <n v="3.2140538037605602"/>
    <n v="0.83697671662342799"/>
    <n v="0"/>
    <n v="0"/>
    <n v="0"/>
    <n v="19.672193125583501"/>
    <n v="297.27114426413198"/>
    <n v="0"/>
    <n v="0"/>
    <n v="0"/>
    <n v="0"/>
    <n v="0"/>
    <n v="6.6175925599103194E-2"/>
    <n v="0.44099755421501202"/>
    <n v="3477.2657149853699"/>
    <n v="3052.37546194676"/>
  </r>
  <r>
    <x v="2"/>
    <x v="12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13"/>
    <n v="2030"/>
    <x v="0"/>
    <x v="2"/>
    <x v="0"/>
    <x v="1"/>
    <n v="0"/>
    <n v="0"/>
    <s v="C1.0_E0.0"/>
    <n v="143.69433311440901"/>
    <n v="0"/>
    <n v="0"/>
    <n v="0"/>
    <n v="0"/>
    <n v="0"/>
    <n v="0"/>
    <n v="0"/>
    <n v="0"/>
    <n v="49.6584849720291"/>
    <n v="0"/>
    <n v="0"/>
    <n v="0"/>
    <n v="0"/>
    <n v="0"/>
    <n v="0"/>
    <n v="4.3828047809661902E-2"/>
    <n v="345.584156979184"/>
    <n v="0"/>
  </r>
  <r>
    <x v="2"/>
    <x v="1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15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16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25"/>
    <n v="2030"/>
    <x v="0"/>
    <x v="2"/>
    <x v="0"/>
    <x v="2"/>
    <n v="0"/>
    <n v="0"/>
    <s v="C1.0_E0.0"/>
    <n v="9.3542490346452691"/>
    <n v="56.125494207871597"/>
    <n v="5.7165055563626703"/>
    <n v="2.8062747103935801"/>
    <n v="0"/>
    <n v="0"/>
    <n v="0"/>
    <n v="0"/>
    <n v="8.52278026675625"/>
    <n v="58.106532663315299"/>
    <n v="0"/>
    <n v="27.310070351759901"/>
    <n v="0"/>
    <n v="0"/>
    <n v="0"/>
    <n v="0.14667507896469201"/>
    <n v="0.78779702334547197"/>
    <n v="6211.77952907904"/>
    <n v="0"/>
  </r>
  <r>
    <x v="2"/>
    <x v="23"/>
    <n v="2030"/>
    <x v="0"/>
    <x v="2"/>
    <x v="0"/>
    <x v="2"/>
    <n v="0"/>
    <n v="0"/>
    <s v="C1.0_E0.0"/>
    <n v="6.4070198867433401"/>
    <n v="49.0123016475507"/>
    <n v="4.5914125768693097"/>
    <n v="3.9587768452499899"/>
    <n v="1.0760650675700401"/>
    <n v="0"/>
    <n v="0"/>
    <n v="0"/>
    <n v="9.6262544896893605"/>
    <n v="39.798994974877303"/>
    <n v="0"/>
    <n v="12.5764824120592"/>
    <n v="1.41603418044286"/>
    <n v="71.157496504666398"/>
    <n v="256.16698741679897"/>
    <n v="0.24187179841515599"/>
    <n v="0.78779702334547197"/>
    <n v="6211.77952907904"/>
    <n v="78.951160341769807"/>
  </r>
  <r>
    <x v="2"/>
    <x v="1"/>
    <n v="2030"/>
    <x v="0"/>
    <x v="2"/>
    <x v="0"/>
    <x v="2"/>
    <n v="0"/>
    <n v="0"/>
    <s v="C1.0_E0.0"/>
    <n v="27.1461209549547"/>
    <n v="0.70974053179844099"/>
    <n v="7.2288640854988803E-2"/>
    <n v="0"/>
    <n v="3.0627624002566502E-2"/>
    <n v="0"/>
    <n v="0"/>
    <n v="0"/>
    <n v="0.10291626485755501"/>
    <n v="118.275434898188"/>
    <n v="0"/>
    <n v="0.47310173959275298"/>
    <n v="0"/>
    <n v="0"/>
    <n v="0"/>
    <n v="8.7014065893011201E-4"/>
    <n v="0.55256716714770904"/>
    <n v="4356.9921129596796"/>
    <n v="0"/>
  </r>
  <r>
    <x v="2"/>
    <x v="2"/>
    <n v="2030"/>
    <x v="0"/>
    <x v="2"/>
    <x v="0"/>
    <x v="2"/>
    <n v="0"/>
    <n v="0"/>
    <s v="C1.0_E0.0"/>
    <n v="1.8187901039819601"/>
    <n v="75.361638178669693"/>
    <n v="7.0597862519339598"/>
    <n v="1.50723276357339"/>
    <n v="0"/>
    <n v="0"/>
    <n v="0"/>
    <n v="0"/>
    <n v="8.5670190155073591"/>
    <n v="7.9244541381785396"/>
    <n v="0"/>
    <n v="374.826680735845"/>
    <n v="0"/>
    <n v="0"/>
    <n v="0"/>
    <n v="1.0810863267203501"/>
    <n v="0.55256716714770904"/>
    <n v="4356.9921129596796"/>
    <n v="140.01318701190499"/>
  </r>
  <r>
    <x v="2"/>
    <x v="24"/>
    <n v="2030"/>
    <x v="0"/>
    <x v="2"/>
    <x v="0"/>
    <x v="2"/>
    <n v="0"/>
    <n v="0"/>
    <s v="C1.0_E0.0"/>
    <n v="1.27499695746192"/>
    <n v="0"/>
    <n v="0"/>
    <n v="0"/>
    <n v="0"/>
    <n v="0"/>
    <n v="0"/>
    <n v="0"/>
    <n v="0"/>
    <n v="7.9200000000006403"/>
    <n v="0"/>
    <n v="0"/>
    <n v="0"/>
    <n v="0"/>
    <n v="0"/>
    <n v="0"/>
    <n v="0.78779702334547197"/>
    <n v="6211.77952907904"/>
    <n v="0"/>
  </r>
  <r>
    <x v="2"/>
    <x v="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5"/>
    <n v="2030"/>
    <x v="0"/>
    <x v="2"/>
    <x v="0"/>
    <x v="2"/>
    <n v="0"/>
    <n v="0"/>
    <s v="C1.0_E0.0"/>
    <n v="14.6802261531871"/>
    <n v="0"/>
    <n v="0"/>
    <n v="0"/>
    <n v="0"/>
    <n v="0"/>
    <n v="0"/>
    <n v="0"/>
    <n v="0"/>
    <n v="72.042518271216593"/>
    <n v="0"/>
    <n v="0"/>
    <n v="0"/>
    <n v="0"/>
    <n v="0"/>
    <n v="0"/>
    <n v="0.62237829938803502"/>
    <n v="4907.45289067466"/>
    <n v="0"/>
  </r>
  <r>
    <x v="2"/>
    <x v="6"/>
    <n v="2030"/>
    <x v="0"/>
    <x v="2"/>
    <x v="0"/>
    <x v="2"/>
    <n v="0"/>
    <n v="0"/>
    <s v="C1.0_E0.0"/>
    <n v="14.113811206899999"/>
    <n v="0"/>
    <n v="0"/>
    <n v="0"/>
    <n v="0"/>
    <n v="0"/>
    <n v="0"/>
    <n v="0"/>
    <n v="0"/>
    <n v="61.493764112265502"/>
    <n v="0"/>
    <n v="0"/>
    <n v="0"/>
    <n v="0"/>
    <n v="0"/>
    <n v="0"/>
    <n v="0.55256716714770904"/>
    <n v="4356.9921129596796"/>
    <n v="0"/>
  </r>
  <r>
    <x v="2"/>
    <x v="7"/>
    <n v="2030"/>
    <x v="0"/>
    <x v="2"/>
    <x v="0"/>
    <x v="2"/>
    <n v="0"/>
    <n v="0"/>
    <s v="C1.0_E0.0"/>
    <n v="88.792201045442297"/>
    <n v="0"/>
    <n v="0"/>
    <n v="0"/>
    <n v="0"/>
    <n v="0"/>
    <n v="0"/>
    <n v="0"/>
    <n v="0"/>
    <n v="2.5338128593196898"/>
    <n v="0"/>
    <n v="2.3817840877604599"/>
    <n v="0"/>
    <n v="0"/>
    <n v="0"/>
    <n v="0"/>
    <n v="3.61907860985645E-3"/>
    <n v="28.536434838718101"/>
    <n v="0"/>
  </r>
  <r>
    <x v="2"/>
    <x v="8"/>
    <n v="2030"/>
    <x v="0"/>
    <x v="2"/>
    <x v="0"/>
    <x v="2"/>
    <n v="0"/>
    <n v="0"/>
    <s v="C1.0_E0.0"/>
    <n v="90.067198002904206"/>
    <n v="0"/>
    <n v="0"/>
    <n v="0"/>
    <n v="0"/>
    <n v="0"/>
    <n v="0"/>
    <n v="0"/>
    <n v="0"/>
    <n v="2.5293587211411701"/>
    <n v="0"/>
    <n v="0"/>
    <n v="0"/>
    <n v="0"/>
    <n v="0"/>
    <n v="0"/>
    <n v="3.56157485863757E-3"/>
    <n v="28.083017760357201"/>
    <n v="0"/>
  </r>
  <r>
    <x v="2"/>
    <x v="9"/>
    <n v="2030"/>
    <x v="0"/>
    <x v="2"/>
    <x v="0"/>
    <x v="2"/>
    <n v="0"/>
    <n v="0"/>
    <s v="C1.0_E0.0"/>
    <n v="49.490424205138702"/>
    <n v="22.8029814178512"/>
    <n v="1.8639808757013601"/>
    <n v="4.9078466260748098E-2"/>
    <n v="0"/>
    <n v="0"/>
    <n v="0"/>
    <n v="0"/>
    <n v="1.91305934196211"/>
    <n v="208.34621146912599"/>
    <n v="0"/>
    <n v="0"/>
    <n v="0"/>
    <n v="0"/>
    <n v="0"/>
    <n v="9.1821172483647594E-3"/>
    <n v="0.53390345798067296"/>
    <n v="4209.8287661776003"/>
    <n v="0.205523408388047"/>
  </r>
  <r>
    <x v="2"/>
    <x v="10"/>
    <n v="2030"/>
    <x v="0"/>
    <x v="2"/>
    <x v="0"/>
    <x v="2"/>
    <n v="0"/>
    <n v="0"/>
    <s v="C1.0_E0.0"/>
    <n v="142.63203156969499"/>
    <n v="56.519397356213702"/>
    <n v="4.7397257902078396"/>
    <n v="1.0783306074540699"/>
    <n v="0"/>
    <n v="0"/>
    <n v="0"/>
    <n v="0"/>
    <n v="5.8180563976619197"/>
    <n v="147.47238436371899"/>
    <n v="0"/>
    <n v="0"/>
    <n v="0"/>
    <n v="0"/>
    <n v="0"/>
    <n v="3.9451836510031001E-2"/>
    <n v="0.13112694294333799"/>
    <n v="1033.93594510822"/>
    <n v="8617.8356884954592"/>
  </r>
  <r>
    <x v="2"/>
    <x v="11"/>
    <n v="2030"/>
    <x v="0"/>
    <x v="2"/>
    <x v="0"/>
    <x v="2"/>
    <n v="0"/>
    <n v="0"/>
    <s v="C1.0_E0.0"/>
    <n v="94.515947111650206"/>
    <n v="188.85517888688599"/>
    <n v="17.270446568144799"/>
    <n v="3.5533939366659699"/>
    <n v="0.92534480490041404"/>
    <n v="0"/>
    <n v="0"/>
    <n v="0"/>
    <n v="21.749185309711098"/>
    <n v="328.65706241071098"/>
    <n v="0"/>
    <n v="0"/>
    <n v="0"/>
    <n v="0"/>
    <n v="0"/>
    <n v="6.6175925599103499E-2"/>
    <n v="0.44099755421501202"/>
    <n v="3477.2657149853699"/>
    <n v="3374.6455788073799"/>
  </r>
  <r>
    <x v="2"/>
    <x v="12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13"/>
    <n v="2030"/>
    <x v="0"/>
    <x v="2"/>
    <x v="0"/>
    <x v="2"/>
    <n v="0"/>
    <n v="0"/>
    <s v="C1.0_E0.0"/>
    <n v="210.23062248740101"/>
    <n v="0"/>
    <n v="0"/>
    <n v="0"/>
    <n v="0"/>
    <n v="0"/>
    <n v="0"/>
    <n v="0"/>
    <n v="0"/>
    <n v="58.529802035761598"/>
    <n v="0"/>
    <n v="0"/>
    <n v="0"/>
    <n v="0"/>
    <n v="0"/>
    <n v="0"/>
    <n v="3.5308509214997903E-2"/>
    <n v="278.40759516025901"/>
    <n v="0"/>
  </r>
  <r>
    <x v="2"/>
    <x v="14"/>
    <n v="2030"/>
    <x v="0"/>
    <x v="2"/>
    <x v="0"/>
    <x v="2"/>
    <n v="0"/>
    <n v="0"/>
    <s v="C1.0_E0.0"/>
    <n v="3.0449113322093502"/>
    <n v="0"/>
    <n v="0"/>
    <n v="0"/>
    <n v="7.2602820524113299E-4"/>
    <n v="0"/>
    <n v="0"/>
    <n v="0"/>
    <n v="7.2602820524113299E-4"/>
    <n v="0.38679791991842999"/>
    <n v="0"/>
    <n v="1.3537927197145E-2"/>
    <n v="0"/>
    <n v="0"/>
    <n v="0"/>
    <n v="1.8770219999999999E-3"/>
    <n v="1.61104540941212E-2"/>
    <n v="127.03093053214501"/>
    <n v="0"/>
  </r>
  <r>
    <x v="2"/>
    <x v="15"/>
    <n v="2030"/>
    <x v="0"/>
    <x v="2"/>
    <x v="0"/>
    <x v="2"/>
    <n v="0"/>
    <n v="0"/>
    <s v="C1.0_E0.0"/>
    <n v="2.4359290657674801"/>
    <n v="0"/>
    <n v="0"/>
    <n v="0"/>
    <n v="0"/>
    <n v="0"/>
    <n v="0"/>
    <n v="0"/>
    <n v="0"/>
    <n v="0.38618893765198797"/>
    <n v="0"/>
    <n v="1.73785021943395E-2"/>
    <n v="0"/>
    <n v="0"/>
    <n v="0"/>
    <n v="0"/>
    <n v="2.0106361847201298E-2"/>
    <n v="158.53866316518199"/>
    <n v="0"/>
  </r>
  <r>
    <x v="2"/>
    <x v="16"/>
    <n v="2030"/>
    <x v="0"/>
    <x v="2"/>
    <x v="0"/>
    <x v="2"/>
    <n v="0"/>
    <n v="0"/>
    <s v="C1.0_E0.0"/>
    <n v="3.0449113322093502"/>
    <n v="0.44069578340461701"/>
    <n v="4.1283842922695199E-2"/>
    <n v="1.54562744134279E-2"/>
    <n v="0"/>
    <n v="0"/>
    <n v="0"/>
    <n v="0"/>
    <n v="5.6740117336123101E-2"/>
    <n v="13.5069784199887"/>
    <n v="0"/>
    <n v="0"/>
    <n v="0"/>
    <n v="0"/>
    <n v="0"/>
    <n v="4.2008001769037002E-3"/>
    <n v="0.56257685106328204"/>
    <n v="4435.9184706339802"/>
    <n v="3.1943486862553199"/>
  </r>
  <r>
    <x v="2"/>
    <x v="17"/>
    <n v="2030"/>
    <x v="0"/>
    <x v="1"/>
    <x v="0"/>
    <x v="0"/>
    <n v="0"/>
    <n v="0"/>
    <s v="C1.0_E0.0"/>
    <n v="5.0706175965208597"/>
    <n v="0"/>
    <n v="0"/>
    <n v="0"/>
    <n v="0"/>
    <n v="0"/>
    <n v="0"/>
    <n v="4.3375319225951303"/>
    <n v="4.3375319225951303"/>
    <n v="31.8335467258219"/>
    <n v="0"/>
    <n v="0"/>
    <n v="0"/>
    <n v="0"/>
    <n v="0"/>
    <n v="0.13625663391998699"/>
    <n v="0.79620054629857395"/>
    <n v="6278.04130756426"/>
    <n v="12.0422607121989"/>
  </r>
  <r>
    <x v="2"/>
    <x v="26"/>
    <n v="2030"/>
    <x v="0"/>
    <x v="1"/>
    <x v="0"/>
    <x v="0"/>
    <n v="0"/>
    <n v="0"/>
    <s v="C1.0_E0.0"/>
    <n v="6.3393967999093999"/>
    <n v="47.525099818448801"/>
    <n v="4.4520933253152002"/>
    <n v="3.6647847078063398"/>
    <n v="0"/>
    <n v="0"/>
    <n v="0"/>
    <n v="0"/>
    <n v="8.1168780331215409"/>
    <n v="39.798994974872301"/>
    <n v="0"/>
    <n v="13.0216739698499"/>
    <n v="0.79958020128026397"/>
    <n v="40.179909612073502"/>
    <n v="144.647674603464"/>
    <n v="0.20394680916556401"/>
    <n v="0.79620054629857395"/>
    <n v="6278.04130756426"/>
    <n v="78.117867911621701"/>
  </r>
  <r>
    <x v="2"/>
    <x v="1"/>
    <n v="2030"/>
    <x v="0"/>
    <x v="1"/>
    <x v="0"/>
    <x v="0"/>
    <n v="0"/>
    <n v="0"/>
    <s v="C1.0_E0.0"/>
    <n v="14.049518769146999"/>
    <n v="0.36732735919334297"/>
    <n v="3.74131028950168E-2"/>
    <n v="0"/>
    <n v="1.5947974642520402E-2"/>
    <n v="0"/>
    <n v="0"/>
    <n v="0"/>
    <n v="5.3361077537537299E-2"/>
    <n v="61.586678628133399"/>
    <n v="0"/>
    <n v="0.24634671451253801"/>
    <n v="0"/>
    <n v="0"/>
    <n v="0"/>
    <n v="8.6643863131078802E-4"/>
    <n v="0.55593451347621503"/>
    <n v="4383.5436387599602"/>
    <n v="0"/>
  </r>
  <r>
    <x v="2"/>
    <x v="2"/>
    <n v="2030"/>
    <x v="0"/>
    <x v="1"/>
    <x v="0"/>
    <x v="0"/>
    <n v="0"/>
    <n v="0"/>
    <s v="C1.0_E0.0"/>
    <n v="0.94131775753285096"/>
    <n v="39.0035376259397"/>
    <n v="3.6538037835055301"/>
    <n v="0.78007075251879399"/>
    <n v="0"/>
    <n v="0"/>
    <n v="0"/>
    <n v="0"/>
    <n v="4.4338745360243204"/>
    <n v="4.1263074680850096"/>
    <n v="0"/>
    <n v="195.17434324042301"/>
    <n v="0"/>
    <n v="0"/>
    <n v="0"/>
    <n v="1.0745380877014601"/>
    <n v="0.55593451347621503"/>
    <n v="4383.5436387599602"/>
    <n v="72.464051203338599"/>
  </r>
  <r>
    <x v="2"/>
    <x v="20"/>
    <n v="2030"/>
    <x v="0"/>
    <x v="1"/>
    <x v="0"/>
    <x v="0"/>
    <n v="0"/>
    <n v="0"/>
    <s v="C1.0_E0.0"/>
    <n v="0.65688568686073301"/>
    <n v="0"/>
    <n v="0"/>
    <n v="0"/>
    <n v="0"/>
    <n v="0"/>
    <n v="0"/>
    <n v="0"/>
    <n v="0"/>
    <n v="4.12395547645969"/>
    <n v="0"/>
    <n v="0"/>
    <n v="0"/>
    <n v="0"/>
    <n v="0"/>
    <n v="0"/>
    <n v="0.79620054629857395"/>
    <n v="6278.04130756426"/>
    <n v="0"/>
  </r>
  <r>
    <x v="2"/>
    <x v="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5"/>
    <n v="2030"/>
    <x v="0"/>
    <x v="1"/>
    <x v="0"/>
    <x v="0"/>
    <n v="0"/>
    <n v="0"/>
    <s v="C1.0_E0.0"/>
    <n v="9.0164352129871599"/>
    <n v="0"/>
    <n v="0"/>
    <n v="0"/>
    <n v="0"/>
    <n v="0"/>
    <n v="0"/>
    <n v="0"/>
    <n v="0"/>
    <n v="46.4834040029194"/>
    <n v="0"/>
    <n v="0"/>
    <n v="0"/>
    <n v="0"/>
    <n v="0"/>
    <n v="0"/>
    <n v="0.65382475545929797"/>
    <n v="5155.4081967965603"/>
    <n v="0"/>
  </r>
  <r>
    <x v="2"/>
    <x v="6"/>
    <n v="2030"/>
    <x v="0"/>
    <x v="1"/>
    <x v="0"/>
    <x v="0"/>
    <n v="0"/>
    <n v="0"/>
    <s v="C1.0_E0.0"/>
    <n v="7.3046257984549197"/>
    <n v="0"/>
    <n v="0"/>
    <n v="0"/>
    <n v="0"/>
    <n v="0"/>
    <n v="0"/>
    <n v="0"/>
    <n v="0"/>
    <n v="32.020145952339497"/>
    <n v="0"/>
    <n v="0"/>
    <n v="0"/>
    <n v="0"/>
    <n v="0"/>
    <n v="0"/>
    <n v="0.55593451347621503"/>
    <n v="4383.5436387599602"/>
    <n v="0"/>
  </r>
  <r>
    <x v="2"/>
    <x v="7"/>
    <n v="2030"/>
    <x v="0"/>
    <x v="1"/>
    <x v="0"/>
    <x v="0"/>
    <n v="0"/>
    <n v="0"/>
    <s v="C1.0_E0.0"/>
    <n v="55.037939834827903"/>
    <n v="0"/>
    <n v="0"/>
    <n v="0"/>
    <n v="0"/>
    <n v="0"/>
    <n v="0"/>
    <n v="0"/>
    <n v="0"/>
    <n v="2.2739645608321202"/>
    <n v="0"/>
    <n v="2.1375266871821701"/>
    <n v="0"/>
    <n v="0"/>
    <n v="0"/>
    <n v="0"/>
    <n v="5.2398617095082301E-3"/>
    <n v="41.316309579472403"/>
    <n v="0"/>
  </r>
  <r>
    <x v="2"/>
    <x v="8"/>
    <n v="2030"/>
    <x v="0"/>
    <x v="1"/>
    <x v="0"/>
    <x v="0"/>
    <n v="0"/>
    <n v="0"/>
    <s v="C1.0_E0.0"/>
    <n v="55.6948255216886"/>
    <n v="0"/>
    <n v="0"/>
    <n v="0"/>
    <n v="0"/>
    <n v="0"/>
    <n v="0"/>
    <n v="0"/>
    <n v="0"/>
    <n v="2.27161256920661"/>
    <n v="0"/>
    <n v="0"/>
    <n v="0"/>
    <n v="0"/>
    <n v="0"/>
    <n v="0"/>
    <n v="5.1727050760258797E-3"/>
    <n v="40.786779524464102"/>
    <n v="0"/>
  </r>
  <r>
    <x v="2"/>
    <x v="9"/>
    <n v="2030"/>
    <x v="0"/>
    <x v="1"/>
    <x v="0"/>
    <x v="0"/>
    <n v="0"/>
    <n v="0"/>
    <s v="C1.0_E0.0"/>
    <n v="26.133240283434699"/>
    <n v="12.0410322227452"/>
    <n v="0.98426838910330305"/>
    <n v="2.5915707374385401E-2"/>
    <n v="0"/>
    <n v="0"/>
    <n v="0"/>
    <n v="0"/>
    <n v="1.01018409647768"/>
    <n v="112.18388572109301"/>
    <n v="0"/>
    <n v="0"/>
    <n v="0"/>
    <n v="0"/>
    <n v="0"/>
    <n v="9.0047165863835505E-3"/>
    <n v="0.54442181532943001"/>
    <n v="4292.7660138725496"/>
    <n v="0.10852589569676099"/>
  </r>
  <r>
    <x v="2"/>
    <x v="10"/>
    <n v="2030"/>
    <x v="0"/>
    <x v="1"/>
    <x v="0"/>
    <x v="0"/>
    <n v="0"/>
    <n v="0"/>
    <s v="C1.0_E0.0"/>
    <n v="72.097013601200203"/>
    <n v="28.569177029014298"/>
    <n v="2.3958157995919498"/>
    <n v="0.54506982489566802"/>
    <n v="0"/>
    <n v="0"/>
    <n v="0"/>
    <n v="0"/>
    <n v="2.94088562448762"/>
    <n v="74.543693897237802"/>
    <n v="0"/>
    <n v="0"/>
    <n v="0"/>
    <n v="0"/>
    <n v="0"/>
    <n v="3.9451836510031001E-2"/>
    <n v="0.13112694294333799"/>
    <n v="1033.93594510822"/>
    <n v="4356.1057779841403"/>
  </r>
  <r>
    <x v="2"/>
    <x v="11"/>
    <n v="2030"/>
    <x v="0"/>
    <x v="1"/>
    <x v="0"/>
    <x v="0"/>
    <n v="0"/>
    <n v="0"/>
    <s v="C1.0_E0.0"/>
    <n v="47.375755933032998"/>
    <n v="94.662933981556606"/>
    <n v="8.6567450940357098"/>
    <n v="1.7811250801787299"/>
    <n v="0.46382553389721398"/>
    <n v="0"/>
    <n v="0"/>
    <n v="0"/>
    <n v="10.9016957081116"/>
    <n v="164.738091827451"/>
    <n v="0"/>
    <n v="0"/>
    <n v="0"/>
    <n v="0"/>
    <n v="0"/>
    <n v="6.6175925599103194E-2"/>
    <n v="0.44099755421501202"/>
    <n v="3477.2657149853699"/>
    <n v="1691.52815146853"/>
  </r>
  <r>
    <x v="2"/>
    <x v="12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13"/>
    <n v="2030"/>
    <x v="0"/>
    <x v="1"/>
    <x v="0"/>
    <x v="0"/>
    <n v="0"/>
    <n v="0"/>
    <s v="C1.0_E0.0"/>
    <n v="78.013047746993394"/>
    <n v="0"/>
    <n v="0"/>
    <n v="0"/>
    <n v="0"/>
    <n v="0"/>
    <n v="0"/>
    <n v="0"/>
    <n v="0"/>
    <n v="28.6864782162449"/>
    <n v="0"/>
    <n v="0"/>
    <n v="0"/>
    <n v="0"/>
    <n v="0"/>
    <n v="0"/>
    <n v="4.66346038062386E-2"/>
    <n v="367.71385101219101"/>
    <n v="0"/>
  </r>
  <r>
    <x v="2"/>
    <x v="14"/>
    <n v="2030"/>
    <x v="0"/>
    <x v="1"/>
    <x v="0"/>
    <x v="0"/>
    <n v="0"/>
    <n v="0"/>
    <s v="C1.0_E0.0"/>
    <n v="1.29048954860795"/>
    <n v="0"/>
    <n v="0"/>
    <n v="0"/>
    <n v="3.5505622108855097E-4"/>
    <n v="0"/>
    <n v="0"/>
    <n v="0"/>
    <n v="3.5505622108855097E-4"/>
    <n v="0.18915932849404499"/>
    <n v="0"/>
    <n v="6.6205764972915998E-3"/>
    <n v="0"/>
    <n v="0"/>
    <n v="0"/>
    <n v="1.8770219999999999E-3"/>
    <n v="1.8589665462133299E-2"/>
    <n v="146.57951216892101"/>
    <n v="0"/>
  </r>
  <r>
    <x v="2"/>
    <x v="15"/>
    <n v="2030"/>
    <x v="0"/>
    <x v="1"/>
    <x v="0"/>
    <x v="0"/>
    <n v="0"/>
    <n v="0"/>
    <s v="C1.0_E0.0"/>
    <n v="1.1901578856809401"/>
    <n v="0"/>
    <n v="0"/>
    <n v="0"/>
    <n v="0"/>
    <n v="0"/>
    <n v="0"/>
    <n v="0"/>
    <n v="0"/>
    <n v="0.18886178902262499"/>
    <n v="0"/>
    <n v="8.4987805060181398E-3"/>
    <n v="0"/>
    <n v="0"/>
    <n v="0"/>
    <n v="0"/>
    <n v="2.0125089625881401E-2"/>
    <n v="158.68633170007399"/>
    <n v="0"/>
  </r>
  <r>
    <x v="2"/>
    <x v="16"/>
    <n v="2030"/>
    <x v="0"/>
    <x v="1"/>
    <x v="0"/>
    <x v="0"/>
    <n v="0"/>
    <n v="0"/>
    <s v="C1.0_E0.0"/>
    <n v="1.48769735710117"/>
    <n v="0.215317255816762"/>
    <n v="2.0170657633734601E-2"/>
    <n v="7.5517005543812698E-3"/>
    <n v="0"/>
    <n v="0"/>
    <n v="0"/>
    <n v="0"/>
    <n v="2.77223581881159E-2"/>
    <n v="8.1410231098706092"/>
    <n v="0"/>
    <n v="0"/>
    <n v="0"/>
    <n v="0"/>
    <n v="0"/>
    <n v="3.40526710389801E-3"/>
    <n v="0.69400515829217002"/>
    <n v="5472.2306731337603"/>
    <n v="1.5607101750163199"/>
  </r>
  <r>
    <x v="3"/>
    <x v="0"/>
    <n v="2030"/>
    <x v="0"/>
    <x v="0"/>
    <x v="0"/>
    <x v="0"/>
    <n v="0"/>
    <n v="0"/>
    <s v="C1.0_E0.0"/>
    <n v="5.5585763196027704"/>
    <n v="40.754906550191002"/>
    <n v="3.8178698859989502"/>
    <n v="2.4235392753468101"/>
    <n v="4.4402670967742097E-3"/>
    <n v="0"/>
    <n v="0"/>
    <n v="0"/>
    <n v="6.2458494284425399"/>
    <n v="42.580645161290001"/>
    <n v="0"/>
    <n v="16.180645161288702"/>
    <n v="0.67447892005548304"/>
    <n v="36.2623075298646"/>
    <n v="130.544307107512"/>
    <n v="0.146682827486151"/>
    <n v="0.97150930992539197"/>
    <n v="7660.3509087617203"/>
    <n v="84.213824049220705"/>
  </r>
  <r>
    <x v="3"/>
    <x v="1"/>
    <n v="2030"/>
    <x v="0"/>
    <x v="0"/>
    <x v="0"/>
    <x v="0"/>
    <n v="0"/>
    <n v="0"/>
    <s v="C1.0_E0.0"/>
    <n v="15.0014278830186"/>
    <n v="0.39221520529939002"/>
    <n v="3.9947984993768303E-2"/>
    <n v="0"/>
    <n v="2.9634938273580599E-2"/>
    <n v="0"/>
    <n v="0"/>
    <n v="0"/>
    <n v="6.9582923267348898E-2"/>
    <n v="114.441956457179"/>
    <n v="0"/>
    <n v="0.45776782582877201"/>
    <n v="0"/>
    <n v="0"/>
    <n v="0"/>
    <n v="6.0801934379184201E-4"/>
    <n v="0.96750000855934104"/>
    <n v="7628.7375674903997"/>
    <n v="0"/>
  </r>
  <r>
    <x v="3"/>
    <x v="2"/>
    <n v="2030"/>
    <x v="0"/>
    <x v="0"/>
    <x v="0"/>
    <x v="0"/>
    <n v="0"/>
    <n v="0"/>
    <s v="C1.0_E0.0"/>
    <n v="1.00509566816225"/>
    <n v="41.646177815218003"/>
    <n v="3.9013630899107801"/>
    <n v="0.83292355630435999"/>
    <n v="0"/>
    <n v="0"/>
    <n v="0"/>
    <n v="0"/>
    <n v="4.7342866462151401"/>
    <n v="7.6676110826313701"/>
    <n v="0"/>
    <n v="362.67800420842502"/>
    <n v="0"/>
    <n v="0"/>
    <n v="0"/>
    <n v="0.61743959040113905"/>
    <n v="0.96750000855934104"/>
    <n v="7628.7375674903997"/>
    <n v="77.373770312010095"/>
  </r>
  <r>
    <x v="3"/>
    <x v="3"/>
    <n v="2030"/>
    <x v="0"/>
    <x v="0"/>
    <x v="0"/>
    <x v="0"/>
    <n v="0"/>
    <n v="0"/>
    <s v="C1.0_E0.0"/>
    <n v="1.0009441151745699"/>
    <n v="0"/>
    <n v="0"/>
    <n v="0"/>
    <n v="0"/>
    <n v="0"/>
    <n v="0"/>
    <n v="0"/>
    <n v="0"/>
    <n v="7.6675831622981203"/>
    <n v="0"/>
    <n v="0"/>
    <n v="0"/>
    <n v="0"/>
    <n v="0"/>
    <n v="0"/>
    <n v="0.97150930992539197"/>
    <n v="7660.3509087617203"/>
    <n v="0"/>
  </r>
  <r>
    <x v="3"/>
    <x v="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5"/>
    <n v="2030"/>
    <x v="0"/>
    <x v="0"/>
    <x v="0"/>
    <x v="0"/>
    <n v="0"/>
    <n v="0"/>
    <s v="C1.0_E0.0"/>
    <n v="5.7049230124889396"/>
    <n v="0"/>
    <n v="0"/>
    <n v="0"/>
    <n v="0"/>
    <n v="0"/>
    <n v="0"/>
    <n v="0"/>
    <n v="0"/>
    <n v="43.521360505009604"/>
    <n v="0"/>
    <n v="0"/>
    <n v="0"/>
    <n v="0"/>
    <n v="0"/>
    <n v="0"/>
    <n v="0.96750000855934104"/>
    <n v="7628.7375674903997"/>
    <n v="0"/>
  </r>
  <r>
    <x v="3"/>
    <x v="6"/>
    <n v="2030"/>
    <x v="0"/>
    <x v="0"/>
    <x v="0"/>
    <x v="0"/>
    <n v="0"/>
    <n v="0"/>
    <s v="C1.0_E0.0"/>
    <n v="7.7995423849390697"/>
    <n v="0"/>
    <n v="0"/>
    <n v="0"/>
    <n v="0"/>
    <n v="0"/>
    <n v="0"/>
    <n v="0"/>
    <n v="0"/>
    <n v="59.500662001211303"/>
    <n v="0"/>
    <n v="0"/>
    <n v="0"/>
    <n v="0"/>
    <n v="0"/>
    <n v="0"/>
    <n v="0.96750000855934104"/>
    <n v="7628.7375674903997"/>
    <n v="0"/>
  </r>
  <r>
    <x v="3"/>
    <x v="7"/>
    <n v="2030"/>
    <x v="0"/>
    <x v="0"/>
    <x v="0"/>
    <x v="0"/>
    <n v="0"/>
    <n v="0"/>
    <s v="C1.0_E0.0"/>
    <n v="0.21588075535953999"/>
    <n v="0"/>
    <n v="0"/>
    <n v="0"/>
    <n v="0"/>
    <n v="0"/>
    <n v="0"/>
    <n v="0"/>
    <n v="0"/>
    <n v="2.9741059026079299E-2"/>
    <n v="0"/>
    <n v="2.79565954845187E-2"/>
    <n v="0"/>
    <n v="0"/>
    <n v="0"/>
    <n v="0"/>
    <n v="1.7471926830289499E-2"/>
    <n v="137.76614305683299"/>
    <n v="0"/>
  </r>
  <r>
    <x v="3"/>
    <x v="8"/>
    <n v="2030"/>
    <x v="0"/>
    <x v="0"/>
    <x v="0"/>
    <x v="0"/>
    <n v="0"/>
    <n v="0"/>
    <s v="C1.0_E0.0"/>
    <n v="0.28230560316234898"/>
    <n v="0"/>
    <n v="0"/>
    <n v="0"/>
    <n v="0"/>
    <n v="0"/>
    <n v="0"/>
    <n v="0"/>
    <n v="0"/>
    <n v="2.97131386917013E-2"/>
    <n v="0"/>
    <n v="0"/>
    <n v="0"/>
    <n v="0"/>
    <n v="0"/>
    <n v="0"/>
    <n v="1.3348342281012599E-2"/>
    <n v="105.251678885784"/>
    <n v="0"/>
  </r>
  <r>
    <x v="3"/>
    <x v="9"/>
    <n v="2030"/>
    <x v="0"/>
    <x v="0"/>
    <x v="0"/>
    <x v="0"/>
    <n v="0"/>
    <n v="0"/>
    <s v="C1.0_E0.0"/>
    <n v="0.31022593754115102"/>
    <n v="0.142938283571063"/>
    <n v="1.16841838398142E-2"/>
    <n v="3.0764361901026999E-4"/>
    <n v="0"/>
    <n v="0"/>
    <n v="0"/>
    <n v="0"/>
    <n v="1.1991827458824499E-2"/>
    <n v="1.34777683985426"/>
    <n v="0"/>
    <n v="0"/>
    <n v="0"/>
    <n v="0"/>
    <n v="0"/>
    <n v="8.8974874060910297E-3"/>
    <n v="0.55098298280590496"/>
    <n v="4344.5008194245602"/>
    <n v="1.2883036077757999E-3"/>
  </r>
  <r>
    <x v="3"/>
    <x v="10"/>
    <n v="2030"/>
    <x v="0"/>
    <x v="0"/>
    <x v="0"/>
    <x v="0"/>
    <n v="0"/>
    <n v="0"/>
    <s v="C1.0_E0.0"/>
    <n v="60.621594120848698"/>
    <n v="24.021925010646299"/>
    <n v="2.01448251094775"/>
    <n v="0.45831304296627801"/>
    <n v="0"/>
    <n v="0"/>
    <n v="0"/>
    <n v="0"/>
    <n v="2.4727955539140298"/>
    <n v="62.678845211306999"/>
    <n v="0"/>
    <n v="0"/>
    <n v="0"/>
    <n v="0"/>
    <n v="0"/>
    <n v="3.9451836510031001E-2"/>
    <n v="0.13112694294333799"/>
    <n v="1033.93594510822"/>
    <n v="3662.76026190414"/>
  </r>
  <r>
    <x v="3"/>
    <x v="11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2"/>
    <n v="2030"/>
    <x v="0"/>
    <x v="0"/>
    <x v="0"/>
    <x v="0"/>
    <n v="0"/>
    <n v="0"/>
    <s v="C1.0_E0.0"/>
    <n v="49.717192276863997"/>
    <n v="3.2813346902730198"/>
    <n v="0"/>
    <n v="0"/>
    <n v="0"/>
    <n v="0"/>
    <n v="0"/>
    <n v="15.185241184356"/>
    <n v="15.185241184356"/>
    <n v="317.23005371423102"/>
    <n v="0"/>
    <n v="0"/>
    <n v="0"/>
    <n v="0"/>
    <n v="0"/>
    <n v="4.78682300323134E-2"/>
    <n v="0.80921892829058795"/>
    <n v="6380.6912495712804"/>
    <n v="0"/>
  </r>
  <r>
    <x v="3"/>
    <x v="13"/>
    <n v="2030"/>
    <x v="0"/>
    <x v="0"/>
    <x v="0"/>
    <x v="0"/>
    <n v="0"/>
    <n v="0"/>
    <s v="C1.0_E0.0"/>
    <n v="7.9638399293910203"/>
    <n v="0"/>
    <n v="0"/>
    <n v="0"/>
    <n v="0"/>
    <n v="0"/>
    <n v="0"/>
    <n v="0"/>
    <n v="0"/>
    <n v="0.56452513447890695"/>
    <n v="0"/>
    <n v="0"/>
    <n v="0"/>
    <n v="0"/>
    <n v="0"/>
    <n v="0"/>
    <n v="8.9899869840993091E-3"/>
    <n v="70.886047369623"/>
    <n v="0"/>
  </r>
  <r>
    <x v="3"/>
    <x v="1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5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6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22"/>
    <n v="2030"/>
    <x v="0"/>
    <x v="2"/>
    <x v="0"/>
    <x v="1"/>
    <n v="0"/>
    <n v="0"/>
    <s v="C1.0_E0.0"/>
    <n v="7.4727961566755097"/>
    <n v="17.187431160353601"/>
    <n v="1.7505778276778601"/>
    <n v="0.51562293481060995"/>
    <n v="0.14526633165830399"/>
    <n v="0"/>
    <n v="0"/>
    <n v="0"/>
    <n v="2.4114670941467802"/>
    <n v="58.106532663310396"/>
    <n v="0"/>
    <n v="6.39171859296422"/>
    <n v="0"/>
    <n v="0"/>
    <n v="0"/>
    <n v="4.1500791453512799E-2"/>
    <n v="0.98614352521080195"/>
    <n v="7775.7416962871703"/>
    <n v="0"/>
  </r>
  <r>
    <x v="3"/>
    <x v="23"/>
    <n v="2030"/>
    <x v="0"/>
    <x v="2"/>
    <x v="0"/>
    <x v="1"/>
    <n v="0"/>
    <n v="0"/>
    <s v="C1.0_E0.0"/>
    <n v="5.1183535319695199"/>
    <n v="39.154285718193499"/>
    <n v="3.6679256807322802"/>
    <n v="3.1625341900513"/>
    <n v="1.0760650675700401"/>
    <n v="0"/>
    <n v="0"/>
    <n v="0"/>
    <n v="7.9065249383536296"/>
    <n v="39.798994974871498"/>
    <n v="0"/>
    <n v="12.576482412058599"/>
    <n v="0.84811031805787995"/>
    <n v="42.618608947632097"/>
    <n v="153.42699221147501"/>
    <n v="0.19866142206218201"/>
    <n v="0.98614352521080195"/>
    <n v="7775.7416962871703"/>
    <n v="63.071436881990302"/>
  </r>
  <r>
    <x v="3"/>
    <x v="1"/>
    <n v="2030"/>
    <x v="0"/>
    <x v="2"/>
    <x v="0"/>
    <x v="1"/>
    <n v="0"/>
    <n v="0"/>
    <s v="C1.0_E0.0"/>
    <n v="15.4291735341081"/>
    <n v="0.40339869727536998"/>
    <n v="4.10870483538779E-2"/>
    <n v="0"/>
    <n v="3.0610798317871901E-2"/>
    <n v="0"/>
    <n v="0"/>
    <n v="0"/>
    <n v="7.1697846671749804E-2"/>
    <n v="118.210458745483"/>
    <n v="0"/>
    <n v="0.47284183498193399"/>
    <n v="0"/>
    <n v="0"/>
    <n v="0"/>
    <n v="6.0652709948551102E-4"/>
    <n v="0.97165377303304601"/>
    <n v="7661.4900003655703"/>
    <n v="0"/>
  </r>
  <r>
    <x v="3"/>
    <x v="2"/>
    <n v="2030"/>
    <x v="0"/>
    <x v="2"/>
    <x v="0"/>
    <x v="1"/>
    <n v="0"/>
    <n v="0"/>
    <s v="C1.0_E0.0"/>
    <n v="1.03375462678524"/>
    <n v="42.833662872232097"/>
    <n v="4.0126052401943202"/>
    <n v="0.85667325744464196"/>
    <n v="0"/>
    <n v="0"/>
    <n v="0"/>
    <n v="0"/>
    <n v="4.8692784976389598"/>
    <n v="7.92010073594746"/>
    <n v="0"/>
    <n v="374.62076481025599"/>
    <n v="0"/>
    <n v="0"/>
    <n v="0"/>
    <n v="0.61480007136000903"/>
    <n v="0.97165377303304601"/>
    <n v="7661.4900003655703"/>
    <n v="79.579979882022101"/>
  </r>
  <r>
    <x v="3"/>
    <x v="24"/>
    <n v="2030"/>
    <x v="0"/>
    <x v="2"/>
    <x v="0"/>
    <x v="1"/>
    <n v="0"/>
    <n v="0"/>
    <s v="C1.0_E0.0"/>
    <n v="1.01855235286193"/>
    <n v="0"/>
    <n v="0"/>
    <n v="0"/>
    <n v="0"/>
    <n v="0"/>
    <n v="0"/>
    <n v="0"/>
    <n v="0"/>
    <n v="7.9199999999984598"/>
    <n v="0"/>
    <n v="0"/>
    <n v="0"/>
    <n v="0"/>
    <n v="0"/>
    <n v="0"/>
    <n v="0.98614352521080195"/>
    <n v="7775.7416962871703"/>
    <n v="0"/>
  </r>
  <r>
    <x v="3"/>
    <x v="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5"/>
    <n v="2030"/>
    <x v="0"/>
    <x v="2"/>
    <x v="0"/>
    <x v="1"/>
    <n v="0"/>
    <n v="0"/>
    <s v="C1.0_E0.0"/>
    <n v="9.3480716633723695"/>
    <n v="0"/>
    <n v="0"/>
    <n v="0"/>
    <n v="0"/>
    <n v="0"/>
    <n v="0"/>
    <n v="0"/>
    <n v="0"/>
    <n v="72.017808360149701"/>
    <n v="0"/>
    <n v="0"/>
    <n v="0"/>
    <n v="0"/>
    <n v="0"/>
    <n v="0"/>
    <n v="0.97704860742209798"/>
    <n v="7704.0282695232399"/>
    <n v="0"/>
  </r>
  <r>
    <x v="3"/>
    <x v="6"/>
    <n v="2030"/>
    <x v="0"/>
    <x v="2"/>
    <x v="0"/>
    <x v="1"/>
    <n v="0"/>
    <n v="0"/>
    <s v="C1.0_E0.0"/>
    <n v="8.0219359038535494"/>
    <n v="0"/>
    <n v="0"/>
    <n v="0"/>
    <n v="0"/>
    <n v="0"/>
    <n v="0"/>
    <n v="0"/>
    <n v="0"/>
    <n v="61.459981710952"/>
    <n v="0"/>
    <n v="0"/>
    <n v="0"/>
    <n v="0"/>
    <n v="0"/>
    <n v="0"/>
    <n v="0.97165377303304601"/>
    <n v="7661.4900003655703"/>
    <n v="0"/>
  </r>
  <r>
    <x v="3"/>
    <x v="7"/>
    <n v="2030"/>
    <x v="0"/>
    <x v="2"/>
    <x v="0"/>
    <x v="1"/>
    <n v="0"/>
    <n v="0"/>
    <s v="C1.0_E0.0"/>
    <n v="1.52022739233162E-2"/>
    <n v="0"/>
    <n v="0"/>
    <n v="0"/>
    <n v="0"/>
    <n v="0"/>
    <n v="0"/>
    <n v="0"/>
    <n v="0"/>
    <n v="9.6300725333701598E-2"/>
    <n v="0"/>
    <n v="9.0522681813689707E-2"/>
    <n v="0"/>
    <n v="0"/>
    <n v="0"/>
    <n v="0"/>
    <n v="0.80337683876038002"/>
    <n v="6334.6263736255896"/>
    <n v="0"/>
  </r>
  <r>
    <x v="3"/>
    <x v="8"/>
    <n v="2030"/>
    <x v="0"/>
    <x v="2"/>
    <x v="0"/>
    <x v="1"/>
    <n v="0"/>
    <n v="0"/>
    <s v="C1.0_E0.0"/>
    <n v="1.01855235286193"/>
    <n v="0"/>
    <n v="0"/>
    <n v="0"/>
    <n v="0"/>
    <n v="0"/>
    <n v="0"/>
    <n v="0"/>
    <n v="0"/>
    <n v="9.6199989386722695E-2"/>
    <n v="0"/>
    <n v="0"/>
    <n v="0"/>
    <n v="0"/>
    <n v="0"/>
    <n v="0"/>
    <n v="1.1978156143821301E-2"/>
    <n v="94.447761194031102"/>
    <n v="0"/>
  </r>
  <r>
    <x v="3"/>
    <x v="9"/>
    <n v="2030"/>
    <x v="0"/>
    <x v="2"/>
    <x v="0"/>
    <x v="1"/>
    <n v="0"/>
    <n v="0"/>
    <s v="C1.0_E0.0"/>
    <n v="1.11928829984828"/>
    <n v="0.51571815583687197"/>
    <n v="4.2156276063943399E-2"/>
    <n v="1.10997135188124E-3"/>
    <n v="0"/>
    <n v="0"/>
    <n v="0"/>
    <n v="0"/>
    <n v="4.3266247415824598E-2"/>
    <n v="4.9868152086907802"/>
    <n v="0"/>
    <n v="0"/>
    <n v="0"/>
    <n v="0"/>
    <n v="0"/>
    <n v="8.6761280707619293E-3"/>
    <n v="0.56504054694705097"/>
    <n v="4455.3447126775"/>
    <n v="4.6481708340215897E-3"/>
  </r>
  <r>
    <x v="3"/>
    <x v="10"/>
    <n v="2030"/>
    <x v="0"/>
    <x v="2"/>
    <x v="0"/>
    <x v="1"/>
    <n v="0"/>
    <n v="0"/>
    <s v="C1.0_E0.0"/>
    <n v="62.712016451121997"/>
    <n v="24.850276181324901"/>
    <n v="2.0839481739000498"/>
    <n v="0.47411711135422502"/>
    <n v="0"/>
    <n v="0"/>
    <n v="0"/>
    <n v="0"/>
    <n v="2.5580652852542798"/>
    <n v="64.840207999033595"/>
    <n v="0"/>
    <n v="0"/>
    <n v="0"/>
    <n v="0"/>
    <n v="0"/>
    <n v="3.9451836510031001E-2"/>
    <n v="0.13112694294333799"/>
    <n v="1033.93594510822"/>
    <n v="3789.0637013461701"/>
  </r>
  <r>
    <x v="3"/>
    <x v="11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2"/>
    <n v="2030"/>
    <x v="0"/>
    <x v="2"/>
    <x v="0"/>
    <x v="1"/>
    <n v="0"/>
    <n v="0"/>
    <s v="C1.0_E0.0"/>
    <n v="51.4120079719034"/>
    <n v="3.3931925261456199"/>
    <n v="0"/>
    <n v="0"/>
    <n v="0"/>
    <n v="0"/>
    <n v="0"/>
    <n v="15.8936383770316"/>
    <n v="15.8936383770316"/>
    <n v="329.89920068477898"/>
    <n v="0"/>
    <n v="0"/>
    <n v="0"/>
    <n v="0"/>
    <n v="0"/>
    <n v="4.8177256398441802E-2"/>
    <n v="0.81379496668092199"/>
    <n v="6416.7733122790696"/>
    <n v="0"/>
  </r>
  <r>
    <x v="3"/>
    <x v="13"/>
    <n v="2030"/>
    <x v="0"/>
    <x v="2"/>
    <x v="0"/>
    <x v="1"/>
    <n v="0"/>
    <n v="0"/>
    <s v="C1.0_E0.0"/>
    <n v="8.2580467849103307"/>
    <n v="0"/>
    <n v="0"/>
    <n v="0"/>
    <n v="0"/>
    <n v="0"/>
    <n v="0"/>
    <n v="0"/>
    <n v="0"/>
    <n v="0.5870783517032"/>
    <n v="0"/>
    <n v="0"/>
    <n v="0"/>
    <n v="0"/>
    <n v="0"/>
    <n v="0"/>
    <n v="9.0160649074590704E-3"/>
    <n v="71.091671795314795"/>
    <n v="0"/>
  </r>
  <r>
    <x v="3"/>
    <x v="1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5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6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25"/>
    <n v="2030"/>
    <x v="0"/>
    <x v="2"/>
    <x v="0"/>
    <x v="2"/>
    <n v="0"/>
    <n v="0"/>
    <s v="C1.0_E0.0"/>
    <n v="7.3692653322995101"/>
    <n v="44.215591993796998"/>
    <n v="4.5034557089914404"/>
    <n v="2.2107795996898498"/>
    <n v="0"/>
    <n v="0"/>
    <n v="0"/>
    <n v="0"/>
    <n v="6.7142353086812996"/>
    <n v="58.106532663307597"/>
    <n v="0"/>
    <n v="27.310070351762"/>
    <n v="0"/>
    <n v="0"/>
    <n v="0"/>
    <n v="0.115550438151012"/>
    <n v="0.99999785770043703"/>
    <n v="7884.9831079679398"/>
    <n v="0"/>
  </r>
  <r>
    <x v="3"/>
    <x v="23"/>
    <n v="2030"/>
    <x v="0"/>
    <x v="2"/>
    <x v="0"/>
    <x v="2"/>
    <n v="0"/>
    <n v="0"/>
    <s v="C1.0_E0.0"/>
    <n v="5.0474420084243201"/>
    <n v="38.611828063352199"/>
    <n v="3.6171089099393501"/>
    <n v="3.1187192960078201"/>
    <n v="1.07606506757016"/>
    <n v="0"/>
    <n v="0"/>
    <n v="0"/>
    <n v="7.8118932735173399"/>
    <n v="39.798994974870702"/>
    <n v="0"/>
    <n v="12.5764824120577"/>
    <n v="0.98244793061605296"/>
    <n v="49.369242744525202"/>
    <n v="177.729273880291"/>
    <n v="0.19628368199874899"/>
    <n v="0.99999785770043703"/>
    <n v="7884.9831079679398"/>
    <n v="62.1976223528549"/>
  </r>
  <r>
    <x v="3"/>
    <x v="1"/>
    <n v="2030"/>
    <x v="0"/>
    <x v="2"/>
    <x v="0"/>
    <x v="2"/>
    <n v="0"/>
    <n v="0"/>
    <s v="C1.0_E0.0"/>
    <n v="15.662924298808299"/>
    <n v="0.40951015578989902"/>
    <n v="4.1709513902713699E-2"/>
    <n v="0"/>
    <n v="3.06115608146489E-2"/>
    <n v="0"/>
    <n v="0"/>
    <n v="0"/>
    <n v="7.2321074717362696E-2"/>
    <n v="118.21340329767"/>
    <n v="0"/>
    <n v="0.47285361319072799"/>
    <n v="0"/>
    <n v="0"/>
    <n v="0"/>
    <n v="6.1178405070745601E-4"/>
    <n v="0.95717682281859395"/>
    <n v="7547.3392479246104"/>
    <n v="0"/>
  </r>
  <r>
    <x v="3"/>
    <x v="2"/>
    <n v="2030"/>
    <x v="0"/>
    <x v="2"/>
    <x v="0"/>
    <x v="2"/>
    <n v="0"/>
    <n v="0"/>
    <s v="C1.0_E0.0"/>
    <n v="1.04941592802015"/>
    <n v="43.482589493554997"/>
    <n v="4.0733958937741601"/>
    <n v="0.86965178987109903"/>
    <n v="0"/>
    <n v="0"/>
    <n v="0"/>
    <n v="0"/>
    <n v="4.9430476836452604"/>
    <n v="7.9202980209436902"/>
    <n v="0"/>
    <n v="374.63009639060198"/>
    <n v="0"/>
    <n v="0"/>
    <n v="0"/>
    <n v="0.62409869812655205"/>
    <n v="0.95717682281859395"/>
    <n v="7547.3392479246104"/>
    <n v="80.785610313951807"/>
  </r>
  <r>
    <x v="3"/>
    <x v="24"/>
    <n v="2030"/>
    <x v="0"/>
    <x v="2"/>
    <x v="0"/>
    <x v="2"/>
    <n v="0"/>
    <n v="0"/>
    <s v="C1.0_E0.0"/>
    <n v="1.0044409596764401"/>
    <n v="0"/>
    <n v="0"/>
    <n v="0"/>
    <n v="0"/>
    <n v="0"/>
    <n v="0"/>
    <n v="0"/>
    <n v="0"/>
    <n v="7.9199999999991899"/>
    <n v="0"/>
    <n v="0"/>
    <n v="0"/>
    <n v="0"/>
    <n v="0"/>
    <n v="0"/>
    <n v="0.99999785770043703"/>
    <n v="7884.9831079679398"/>
    <n v="0"/>
  </r>
  <r>
    <x v="3"/>
    <x v="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5"/>
    <n v="2030"/>
    <x v="0"/>
    <x v="2"/>
    <x v="0"/>
    <x v="2"/>
    <n v="0"/>
    <n v="0"/>
    <s v="C1.0_E0.0"/>
    <n v="9.3887453731710302"/>
    <n v="0"/>
    <n v="0"/>
    <n v="0"/>
    <n v="0"/>
    <n v="0"/>
    <n v="0"/>
    <n v="0"/>
    <n v="0"/>
    <n v="72.018928149804097"/>
    <n v="0"/>
    <n v="0"/>
    <n v="0"/>
    <n v="0"/>
    <n v="0"/>
    <n v="0"/>
    <n v="0.97283098570904203"/>
    <n v="7670.77232231579"/>
    <n v="0"/>
  </r>
  <r>
    <x v="3"/>
    <x v="6"/>
    <n v="2030"/>
    <x v="0"/>
    <x v="2"/>
    <x v="0"/>
    <x v="2"/>
    <n v="0"/>
    <n v="0"/>
    <s v="C1.0_E0.0"/>
    <n v="8.1434676014365301"/>
    <n v="0"/>
    <n v="0"/>
    <n v="0"/>
    <n v="0"/>
    <n v="0"/>
    <n v="0"/>
    <n v="0"/>
    <n v="0"/>
    <n v="61.461512642517903"/>
    <n v="0"/>
    <n v="0"/>
    <n v="0"/>
    <n v="0"/>
    <n v="0"/>
    <n v="0"/>
    <n v="0.95717682281859195"/>
    <n v="7547.3392479246004"/>
    <n v="0"/>
  </r>
  <r>
    <x v="3"/>
    <x v="7"/>
    <n v="2030"/>
    <x v="0"/>
    <x v="2"/>
    <x v="0"/>
    <x v="2"/>
    <n v="0"/>
    <n v="0"/>
    <s v="C1.0_E0.0"/>
    <n v="4.4974968343730999E-2"/>
    <n v="0"/>
    <n v="0"/>
    <n v="0"/>
    <n v="0"/>
    <n v="0"/>
    <n v="0"/>
    <n v="0"/>
    <n v="0"/>
    <n v="0.283911931669519"/>
    <n v="0"/>
    <n v="0.26687721576935097"/>
    <n v="0"/>
    <n v="0"/>
    <n v="0"/>
    <n v="0"/>
    <n v="0.80059169489987303"/>
    <n v="6312.6655142854997"/>
    <n v="0"/>
  </r>
  <r>
    <x v="3"/>
    <x v="8"/>
    <n v="2030"/>
    <x v="0"/>
    <x v="2"/>
    <x v="0"/>
    <x v="2"/>
    <n v="0"/>
    <n v="0"/>
    <s v="C1.0_E0.0"/>
    <n v="1.0044409596764401"/>
    <n v="0"/>
    <n v="0"/>
    <n v="0"/>
    <n v="0"/>
    <n v="0"/>
    <n v="0"/>
    <n v="0"/>
    <n v="0"/>
    <n v="0.28361391072547798"/>
    <n v="0"/>
    <n v="0"/>
    <n v="0"/>
    <n v="0"/>
    <n v="0"/>
    <n v="0"/>
    <n v="3.5809760497415001E-2"/>
    <n v="282.35996152211698"/>
    <n v="0"/>
  </r>
  <r>
    <x v="3"/>
    <x v="9"/>
    <n v="2030"/>
    <x v="0"/>
    <x v="2"/>
    <x v="0"/>
    <x v="2"/>
    <n v="0"/>
    <n v="0"/>
    <s v="C1.0_E0.0"/>
    <n v="3.3113438231089201"/>
    <n v="1.52571962918493"/>
    <n v="0.12471668324285599"/>
    <n v="3.2837802203221698E-3"/>
    <n v="0"/>
    <n v="0"/>
    <n v="0"/>
    <n v="0"/>
    <n v="0.128000463463178"/>
    <n v="14.501310347948801"/>
    <n v="0"/>
    <n v="0"/>
    <n v="0"/>
    <n v="0"/>
    <n v="0"/>
    <n v="8.8268205004855705E-3"/>
    <n v="0.55539411390730398"/>
    <n v="4379.2825881590898"/>
    <n v="1.3751320175578299E-2"/>
  </r>
  <r>
    <x v="3"/>
    <x v="10"/>
    <n v="2030"/>
    <x v="0"/>
    <x v="2"/>
    <x v="0"/>
    <x v="2"/>
    <n v="0"/>
    <n v="0"/>
    <s v="C1.0_E0.0"/>
    <n v="66.845700320726706"/>
    <n v="26.488290578231201"/>
    <n v="2.2213123257649001"/>
    <n v="0.50536870182151705"/>
    <n v="0"/>
    <n v="0"/>
    <n v="0"/>
    <n v="0"/>
    <n v="2.7266810275864199"/>
    <n v="69.114172337531798"/>
    <n v="0"/>
    <n v="0"/>
    <n v="0"/>
    <n v="0"/>
    <n v="0"/>
    <n v="3.9451836510031098E-2"/>
    <n v="0.13112694294333799"/>
    <n v="1033.93594510822"/>
    <n v="4038.82112248359"/>
  </r>
  <r>
    <x v="3"/>
    <x v="11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2"/>
    <n v="2030"/>
    <x v="0"/>
    <x v="2"/>
    <x v="0"/>
    <x v="2"/>
    <n v="0"/>
    <n v="0"/>
    <s v="C1.0_E0.0"/>
    <n v="54.800847943635297"/>
    <n v="3.6168559642799298"/>
    <n v="0"/>
    <n v="0"/>
    <n v="0"/>
    <n v="0"/>
    <n v="0"/>
    <n v="16.704261422051999"/>
    <n v="16.704261422051999"/>
    <n v="346.76798346661201"/>
    <n v="0"/>
    <n v="0"/>
    <n v="0"/>
    <n v="0"/>
    <n v="0"/>
    <n v="4.8171290945204399E-2"/>
    <n v="0.80250919435310597"/>
    <n v="6327.7849974742403"/>
    <n v="0"/>
  </r>
  <r>
    <x v="3"/>
    <x v="13"/>
    <n v="2030"/>
    <x v="0"/>
    <x v="2"/>
    <x v="0"/>
    <x v="2"/>
    <n v="0"/>
    <n v="0"/>
    <s v="C1.0_E0.0"/>
    <n v="8.8023787442538897"/>
    <n v="0"/>
    <n v="0"/>
    <n v="0"/>
    <n v="0"/>
    <n v="0"/>
    <n v="0"/>
    <n v="0"/>
    <n v="0"/>
    <n v="0.62577582070455595"/>
    <n v="0"/>
    <n v="0"/>
    <n v="0"/>
    <n v="0"/>
    <n v="0"/>
    <n v="0"/>
    <n v="9.0160649074591103E-3"/>
    <n v="71.091671795314994"/>
    <n v="0"/>
  </r>
  <r>
    <x v="3"/>
    <x v="1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5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6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22"/>
    <n v="2030"/>
    <x v="0"/>
    <x v="2"/>
    <x v="0"/>
    <x v="1"/>
    <n v="0"/>
    <n v="0"/>
    <s v="C1.0_E0.0"/>
    <n v="130.94130355526201"/>
    <n v="301.164998177104"/>
    <n v="30.6743202845581"/>
    <n v="9.0349499453131195"/>
    <n v="1.4526633165829499"/>
    <n v="0"/>
    <n v="0"/>
    <n v="0"/>
    <n v="41.1619335464542"/>
    <n v="581.06532663313999"/>
    <n v="0"/>
    <n v="63.917185929647701"/>
    <n v="0"/>
    <n v="0"/>
    <n v="0"/>
    <n v="7.0838736472124894E-2"/>
    <n v="0.56279029954941695"/>
    <n v="4437.6015119471504"/>
    <n v="0"/>
  </r>
  <r>
    <x v="0"/>
    <x v="23"/>
    <n v="2030"/>
    <x v="0"/>
    <x v="2"/>
    <x v="0"/>
    <x v="1"/>
    <n v="0"/>
    <n v="0"/>
    <s v="C1.0_E0.0"/>
    <n v="89.685824352919596"/>
    <n v="373.77212146539102"/>
    <n v="35.014515982541702"/>
    <n v="55.415180703608499"/>
    <n v="10.7606506757008"/>
    <n v="0"/>
    <n v="0"/>
    <n v="0"/>
    <n v="101.190347361851"/>
    <n v="397.989949748745"/>
    <n v="0"/>
    <n v="125.76482412060101"/>
    <n v="1.3133914495668899"/>
    <n v="65.999570329994597"/>
    <n v="237.59845318798"/>
    <n v="0.25425352430566001"/>
    <n v="0.56279029954941695"/>
    <n v="4437.6015119471504"/>
    <n v="1105.16277833348"/>
  </r>
  <r>
    <x v="0"/>
    <x v="1"/>
    <n v="2030"/>
    <x v="0"/>
    <x v="2"/>
    <x v="0"/>
    <x v="1"/>
    <n v="0"/>
    <n v="0"/>
    <s v="C1.0_E0.0"/>
    <n v="316.88799227496003"/>
    <n v="8.2850972531572697"/>
    <n v="0.84385545554868602"/>
    <n v="0"/>
    <n v="0.30619841995413999"/>
    <n v="0"/>
    <n v="0"/>
    <n v="0"/>
    <n v="1.15005387550282"/>
    <n v="1182.4538293332701"/>
    <n v="0"/>
    <n v="4.7298153173329096"/>
    <n v="0"/>
    <n v="0"/>
    <n v="0"/>
    <n v="9.7259939202132403E-4"/>
    <n v="0.473234841265877"/>
    <n v="3731.45672338144"/>
    <n v="0"/>
  </r>
  <r>
    <x v="0"/>
    <x v="2"/>
    <n v="2030"/>
    <x v="0"/>
    <x v="2"/>
    <x v="0"/>
    <x v="1"/>
    <n v="0"/>
    <n v="0"/>
    <s v="C1.0_E0.0"/>
    <n v="21.2314954824223"/>
    <n v="879.72783502358197"/>
    <n v="82.411829483040407"/>
    <n v="17.5945567004716"/>
    <n v="0"/>
    <n v="0"/>
    <n v="0"/>
    <n v="0"/>
    <n v="100.00638618351201"/>
    <n v="79.224406565325296"/>
    <n v="0"/>
    <n v="3747.3144305400301"/>
    <n v="0"/>
    <n v="0"/>
    <n v="0"/>
    <n v="1.2623178956986001"/>
    <n v="0.473234841265877"/>
    <n v="3731.45672338144"/>
    <n v="1634.4323300498299"/>
  </r>
  <r>
    <x v="0"/>
    <x v="24"/>
    <n v="2030"/>
    <x v="0"/>
    <x v="2"/>
    <x v="0"/>
    <x v="1"/>
    <n v="0"/>
    <n v="0"/>
    <s v="C1.0_E0.0"/>
    <n v="17.847479046231001"/>
    <n v="0"/>
    <n v="0"/>
    <n v="0"/>
    <n v="0"/>
    <n v="0"/>
    <n v="0"/>
    <n v="0"/>
    <n v="0"/>
    <n v="79.199999999998298"/>
    <n v="0"/>
    <n v="0"/>
    <n v="0"/>
    <n v="0"/>
    <n v="0"/>
    <n v="0"/>
    <n v="0.56279029954941695"/>
    <n v="4437.6015119471504"/>
    <n v="0"/>
  </r>
  <r>
    <x v="0"/>
    <x v="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5"/>
    <n v="2030"/>
    <x v="0"/>
    <x v="2"/>
    <x v="0"/>
    <x v="1"/>
    <n v="0"/>
    <n v="0"/>
    <s v="C1.0_E0.0"/>
    <n v="181.496328918214"/>
    <n v="0"/>
    <n v="0"/>
    <n v="0"/>
    <n v="0"/>
    <n v="0"/>
    <n v="0"/>
    <n v="0"/>
    <n v="0"/>
    <n v="720.31089749394903"/>
    <n v="0"/>
    <n v="0"/>
    <n v="0"/>
    <n v="0"/>
    <n v="0"/>
    <n v="0"/>
    <n v="0.50332724865256295"/>
    <n v="3968.7353556254502"/>
    <n v="0"/>
  </r>
  <r>
    <x v="0"/>
    <x v="6"/>
    <n v="2030"/>
    <x v="0"/>
    <x v="2"/>
    <x v="0"/>
    <x v="1"/>
    <n v="0"/>
    <n v="0"/>
    <s v="C1.0_E0.0"/>
    <n v="164.756404943597"/>
    <n v="0"/>
    <n v="0"/>
    <n v="0"/>
    <n v="0"/>
    <n v="0"/>
    <n v="0"/>
    <n v="0"/>
    <n v="0"/>
    <n v="614.78139494693096"/>
    <n v="0"/>
    <n v="0"/>
    <n v="0"/>
    <n v="0"/>
    <n v="0"/>
    <n v="0"/>
    <n v="0.473234841265877"/>
    <n v="3731.45672338144"/>
    <n v="0"/>
  </r>
  <r>
    <x v="0"/>
    <x v="7"/>
    <n v="2030"/>
    <x v="0"/>
    <x v="2"/>
    <x v="0"/>
    <x v="1"/>
    <n v="0"/>
    <n v="0"/>
    <s v="C1.0_E0.0"/>
    <n v="1134.7563536257501"/>
    <n v="0"/>
    <n v="0"/>
    <n v="0"/>
    <n v="0"/>
    <n v="0"/>
    <n v="0"/>
    <n v="0"/>
    <n v="0"/>
    <n v="23.096801421355199"/>
    <n v="0"/>
    <n v="21.710993336073901"/>
    <n v="0"/>
    <n v="0"/>
    <n v="0"/>
    <n v="0"/>
    <n v="2.5813537211225599E-3"/>
    <n v="20.353974091051398"/>
    <n v="0"/>
  </r>
  <r>
    <x v="0"/>
    <x v="8"/>
    <n v="2030"/>
    <x v="0"/>
    <x v="2"/>
    <x v="0"/>
    <x v="1"/>
    <n v="0"/>
    <n v="0"/>
    <s v="C1.0_E0.0"/>
    <n v="1152.6038326719799"/>
    <n v="0"/>
    <n v="0"/>
    <n v="0"/>
    <n v="0"/>
    <n v="0"/>
    <n v="0"/>
    <n v="0"/>
    <n v="0"/>
    <n v="23.072394856027099"/>
    <n v="0"/>
    <n v="0"/>
    <n v="0"/>
    <n v="0"/>
    <n v="0"/>
    <n v="0"/>
    <n v="2.5386972845517501E-3"/>
    <n v="20.0176280886905"/>
    <n v="0"/>
  </r>
  <r>
    <x v="0"/>
    <x v="9"/>
    <n v="2030"/>
    <x v="0"/>
    <x v="2"/>
    <x v="0"/>
    <x v="1"/>
    <n v="0"/>
    <n v="0"/>
    <s v="C1.0_E0.0"/>
    <n v="271.18405919518398"/>
    <n v="124.949526336918"/>
    <n v="10.213731408719701"/>
    <n v="0.268926724986156"/>
    <n v="0"/>
    <n v="0"/>
    <n v="0"/>
    <n v="0"/>
    <n v="10.4826581337059"/>
    <n v="1241.80618685639"/>
    <n v="0"/>
    <n v="0"/>
    <n v="0"/>
    <n v="0"/>
    <n v="0"/>
    <n v="8.4414607083272194E-3"/>
    <n v="0.58074832305384505"/>
    <n v="4579.2005272795705"/>
    <n v="1.1261708308516201"/>
  </r>
  <r>
    <x v="0"/>
    <x v="10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1"/>
    <n v="2030"/>
    <x v="0"/>
    <x v="2"/>
    <x v="0"/>
    <x v="1"/>
    <n v="0"/>
    <n v="0"/>
    <s v="C1.0_E0.0"/>
    <n v="1167.8055118892701"/>
    <n v="2333.42759177362"/>
    <n v="213.38751090589901"/>
    <n v="43.904474873965"/>
    <n v="11.433232132608101"/>
    <n v="0"/>
    <n v="0"/>
    <n v="0"/>
    <n v="268.72521791247198"/>
    <n v="4060.77006826354"/>
    <n v="0"/>
    <n v="0"/>
    <n v="0"/>
    <n v="0"/>
    <n v="0"/>
    <n v="6.6175925599103E-2"/>
    <n v="0.44099755421501202"/>
    <n v="3477.2657149853699"/>
    <n v="41695.923577305701"/>
  </r>
  <r>
    <x v="0"/>
    <x v="12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3"/>
    <n v="2030"/>
    <x v="0"/>
    <x v="2"/>
    <x v="0"/>
    <x v="1"/>
    <n v="0"/>
    <n v="0"/>
    <s v="C1.0_E0.0"/>
    <n v="1066.6709724082"/>
    <n v="0"/>
    <n v="0"/>
    <n v="0"/>
    <n v="0"/>
    <n v="0"/>
    <n v="0"/>
    <n v="0"/>
    <n v="0"/>
    <n v="97.332819019850106"/>
    <n v="0"/>
    <n v="0"/>
    <n v="0"/>
    <n v="0"/>
    <n v="0"/>
    <n v="0"/>
    <n v="1.15724983502611E-2"/>
    <n v="91.249149491809007"/>
    <n v="0"/>
  </r>
  <r>
    <x v="0"/>
    <x v="1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5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6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7"/>
    <n v="2030"/>
    <x v="0"/>
    <x v="1"/>
    <x v="0"/>
    <x v="0"/>
    <n v="0"/>
    <n v="0"/>
    <s v="C1.0_E0.0"/>
    <n v="4.0372315895589699"/>
    <n v="0"/>
    <n v="0"/>
    <n v="0"/>
    <n v="0"/>
    <n v="0"/>
    <n v="0"/>
    <n v="4.33753192259607"/>
    <n v="4.33753192259607"/>
    <n v="31.833546725824501"/>
    <n v="0"/>
    <n v="0"/>
    <n v="0"/>
    <n v="0"/>
    <n v="0"/>
    <n v="0.136256633920005"/>
    <n v="0.99999923483763897"/>
    <n v="7884.9939666947803"/>
    <n v="9.5880618941473301"/>
  </r>
  <r>
    <x v="3"/>
    <x v="26"/>
    <n v="2030"/>
    <x v="0"/>
    <x v="1"/>
    <x v="0"/>
    <x v="0"/>
    <n v="0"/>
    <n v="0"/>
    <s v="C1.0_E0.0"/>
    <n v="5.0474350573989302"/>
    <n v="37.8395393917368"/>
    <n v="3.5447618501067599"/>
    <n v="2.9179058190939502"/>
    <n v="0"/>
    <n v="0"/>
    <n v="0"/>
    <n v="0"/>
    <n v="6.4626676692007097"/>
    <n v="39.798994974875697"/>
    <n v="0"/>
    <n v="13.0216739698509"/>
    <n v="0.58359482273591001"/>
    <n v="29.326373001804502"/>
    <n v="105.574942806496"/>
    <n v="0.16238268512258799"/>
    <n v="0.99999923483763897"/>
    <n v="7884.9939666947803"/>
    <n v="62.197536698130897"/>
  </r>
  <r>
    <x v="3"/>
    <x v="1"/>
    <n v="2030"/>
    <x v="0"/>
    <x v="1"/>
    <x v="0"/>
    <x v="0"/>
    <n v="0"/>
    <n v="0"/>
    <s v="C1.0_E0.0"/>
    <n v="8.1553446771521294"/>
    <n v="0.21322304861774599"/>
    <n v="2.1717238473723501E-2"/>
    <n v="0"/>
    <n v="1.59394834698901E-2"/>
    <n v="0"/>
    <n v="0"/>
    <n v="0"/>
    <n v="3.7656721943613601E-2"/>
    <n v="61.553888061821901"/>
    <n v="0"/>
    <n v="0.24621555224726499"/>
    <n v="0"/>
    <n v="0"/>
    <n v="0"/>
    <n v="6.1176837287342295E-4"/>
    <n v="0.95721935612332798"/>
    <n v="7547.6746230324397"/>
    <n v="0"/>
  </r>
  <r>
    <x v="3"/>
    <x v="2"/>
    <n v="2030"/>
    <x v="0"/>
    <x v="1"/>
    <x v="0"/>
    <x v="0"/>
    <n v="0"/>
    <n v="0"/>
    <s v="C1.0_E0.0"/>
    <n v="0.54640809336919205"/>
    <n v="22.6404404445748"/>
    <n v="2.1209288180465702"/>
    <n v="0.45280880889149699"/>
    <n v="0"/>
    <n v="0"/>
    <n v="0"/>
    <n v="0"/>
    <n v="2.5737376269380698"/>
    <n v="4.1241105001419101"/>
    <n v="0"/>
    <n v="195.07042665674399"/>
    <n v="0"/>
    <n v="0"/>
    <n v="0"/>
    <n v="0.62407096678168605"/>
    <n v="0.95721935612332798"/>
    <n v="7547.6746230324397"/>
    <n v="42.063313624933897"/>
  </r>
  <r>
    <x v="3"/>
    <x v="20"/>
    <n v="2030"/>
    <x v="0"/>
    <x v="1"/>
    <x v="0"/>
    <x v="0"/>
    <n v="0"/>
    <n v="0"/>
    <s v="C1.0_E0.0"/>
    <n v="0.52301314292423295"/>
    <n v="0"/>
    <n v="0"/>
    <n v="0"/>
    <n v="0"/>
    <n v="0"/>
    <n v="0"/>
    <n v="0"/>
    <n v="0"/>
    <n v="4.1239554764600497"/>
    <n v="0"/>
    <n v="0"/>
    <n v="0"/>
    <n v="0"/>
    <n v="0"/>
    <n v="0"/>
    <n v="0.99999923483763897"/>
    <n v="7884.9939666947803"/>
    <n v="0"/>
  </r>
  <r>
    <x v="3"/>
    <x v="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5"/>
    <n v="2030"/>
    <x v="0"/>
    <x v="1"/>
    <x v="0"/>
    <x v="0"/>
    <n v="0"/>
    <n v="0"/>
    <s v="C1.0_E0.0"/>
    <n v="6.0262697204147404"/>
    <n v="0"/>
    <n v="0"/>
    <n v="0"/>
    <n v="0"/>
    <n v="0"/>
    <n v="0"/>
    <n v="0"/>
    <n v="0"/>
    <n v="46.470934012879802"/>
    <n v="0"/>
    <n v="0"/>
    <n v="0"/>
    <n v="0"/>
    <n v="0"/>
    <n v="0"/>
    <n v="0.97798262260208502"/>
    <n v="7711.3929792174404"/>
    <n v="0"/>
  </r>
  <r>
    <x v="3"/>
    <x v="6"/>
    <n v="2030"/>
    <x v="0"/>
    <x v="1"/>
    <x v="0"/>
    <x v="0"/>
    <n v="0"/>
    <n v="0"/>
    <s v="C1.0_E0.0"/>
    <n v="4.2401268045449498"/>
    <n v="0"/>
    <n v="0"/>
    <n v="0"/>
    <n v="0"/>
    <n v="0"/>
    <n v="0"/>
    <n v="0"/>
    <n v="0"/>
    <n v="32.003097481106003"/>
    <n v="0"/>
    <n v="0"/>
    <n v="0"/>
    <n v="0"/>
    <n v="0"/>
    <n v="0"/>
    <n v="0.95721935612332798"/>
    <n v="7547.6746230324397"/>
    <n v="0"/>
  </r>
  <r>
    <x v="3"/>
    <x v="7"/>
    <n v="2030"/>
    <x v="0"/>
    <x v="1"/>
    <x v="0"/>
    <x v="0"/>
    <n v="0"/>
    <n v="0"/>
    <s v="C1.0_E0.0"/>
    <n v="2.3394950444962401E-2"/>
    <n v="0"/>
    <n v="0"/>
    <n v="0"/>
    <n v="0"/>
    <n v="0"/>
    <n v="0"/>
    <n v="0"/>
    <n v="0"/>
    <n v="0.14767889036516901"/>
    <n v="0"/>
    <n v="0.13881815694327601"/>
    <n v="0"/>
    <n v="0"/>
    <n v="0"/>
    <n v="0"/>
    <n v="0.800561302196799"/>
    <n v="6312.4258678217602"/>
    <n v="0"/>
  </r>
  <r>
    <x v="3"/>
    <x v="8"/>
    <n v="2030"/>
    <x v="0"/>
    <x v="1"/>
    <x v="0"/>
    <x v="0"/>
    <n v="0"/>
    <n v="0"/>
    <s v="C1.0_E0.0"/>
    <n v="0.52301314292423295"/>
    <n v="0"/>
    <n v="0"/>
    <n v="0"/>
    <n v="0"/>
    <n v="0"/>
    <n v="0"/>
    <n v="0"/>
    <n v="0"/>
    <n v="0.14752386668256001"/>
    <n v="0"/>
    <n v="0"/>
    <n v="0"/>
    <n v="0"/>
    <n v="0"/>
    <n v="0"/>
    <n v="3.5772392462756798E-2"/>
    <n v="282.06531456883698"/>
    <n v="0"/>
  </r>
  <r>
    <x v="3"/>
    <x v="9"/>
    <n v="2030"/>
    <x v="0"/>
    <x v="1"/>
    <x v="0"/>
    <x v="0"/>
    <n v="0"/>
    <n v="0"/>
    <s v="C1.0_E0.0"/>
    <n v="1.7224853624310801"/>
    <n v="0.79364447451954601"/>
    <n v="6.4874767711401202E-2"/>
    <n v="1.7081474063406501E-3"/>
    <n v="0"/>
    <n v="0"/>
    <n v="0"/>
    <n v="0"/>
    <n v="6.6582915117741906E-2"/>
    <n v="7.5444342553108097"/>
    <n v="0"/>
    <n v="0"/>
    <n v="0"/>
    <n v="0"/>
    <n v="0"/>
    <n v="8.8254351306556299E-3"/>
    <n v="0.55548129671899704"/>
    <n v="4379.9700246292896"/>
    <n v="7.15312241248885E-3"/>
  </r>
  <r>
    <x v="3"/>
    <x v="10"/>
    <n v="2030"/>
    <x v="0"/>
    <x v="1"/>
    <x v="0"/>
    <x v="0"/>
    <n v="0"/>
    <n v="0"/>
    <s v="C1.0_E0.0"/>
    <n v="33.606723690582598"/>
    <n v="13.317007050975"/>
    <n v="1.1167663619991901"/>
    <n v="0.25407447663044402"/>
    <n v="0"/>
    <n v="0"/>
    <n v="0"/>
    <n v="0"/>
    <n v="1.37084083862964"/>
    <n v="34.747199621013301"/>
    <n v="0"/>
    <n v="0"/>
    <n v="0"/>
    <n v="0"/>
    <n v="0"/>
    <n v="3.9451836510031403E-2"/>
    <n v="0.13112694294333799"/>
    <n v="1033.93594510822"/>
    <n v="2030.5202106904801"/>
  </r>
  <r>
    <x v="3"/>
    <x v="11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2"/>
    <n v="2030"/>
    <x v="0"/>
    <x v="1"/>
    <x v="0"/>
    <x v="0"/>
    <n v="0"/>
    <n v="0"/>
    <s v="C1.0_E0.0"/>
    <n v="27.551165535179901"/>
    <n v="1.81837692532187"/>
    <n v="0"/>
    <n v="0"/>
    <n v="0"/>
    <n v="0"/>
    <n v="0"/>
    <n v="8.37746972300579"/>
    <n v="8.37746972300579"/>
    <n v="174.04454395660801"/>
    <n v="0"/>
    <n v="0"/>
    <n v="0"/>
    <n v="0"/>
    <n v="0"/>
    <n v="4.8134055412242097E-2"/>
    <n v="0.80115904378063496"/>
    <n v="6317.1390602103102"/>
    <n v="0"/>
  </r>
  <r>
    <x v="3"/>
    <x v="13"/>
    <n v="2030"/>
    <x v="0"/>
    <x v="1"/>
    <x v="0"/>
    <x v="0"/>
    <n v="0"/>
    <n v="0"/>
    <s v="C1.0_E0.0"/>
    <n v="4.4254022152308004"/>
    <n v="0"/>
    <n v="0"/>
    <n v="0"/>
    <n v="0"/>
    <n v="0"/>
    <n v="0"/>
    <n v="0"/>
    <n v="0"/>
    <n v="0.31460924184744798"/>
    <n v="0"/>
    <n v="0"/>
    <n v="0"/>
    <n v="0"/>
    <n v="0"/>
    <n v="0"/>
    <n v="9.0160649074590895E-3"/>
    <n v="71.091671795314895"/>
    <n v="0"/>
  </r>
  <r>
    <x v="3"/>
    <x v="1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5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6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21"/>
    <n v="2030"/>
    <x v="0"/>
    <x v="0"/>
    <x v="1"/>
    <x v="0"/>
    <n v="0"/>
    <n v="0"/>
    <s v="C1.0_E0.0"/>
    <n v="7.6639692754479398"/>
    <n v="56.191429903176498"/>
    <n v="5.2639445465138301"/>
    <n v="6.3457665600709001"/>
    <n v="4.4402670967744803E-3"/>
    <n v="0"/>
    <n v="0"/>
    <n v="0"/>
    <n v="11.6141513736815"/>
    <n v="42.580645161289198"/>
    <n v="0"/>
    <n v="35.341935483874003"/>
    <n v="1.10602786961703"/>
    <n v="59.463863957904998"/>
    <n v="214.069910248458"/>
    <n v="0.27275658529101099"/>
    <n v="0.70462295063277902"/>
    <n v="5555.9519657394603"/>
    <n v="116.111054876607"/>
  </r>
  <r>
    <x v="2"/>
    <x v="1"/>
    <n v="2030"/>
    <x v="0"/>
    <x v="0"/>
    <x v="1"/>
    <x v="0"/>
    <n v="0"/>
    <n v="0"/>
    <s v="C1.0_E0.0"/>
    <n v="24.9623310571255"/>
    <n v="0.652644926647589"/>
    <n v="6.6473327356280004E-2"/>
    <n v="0"/>
    <n v="2.96422298138799E-2"/>
    <n v="0"/>
    <n v="0"/>
    <n v="0"/>
    <n v="9.6115557170160001E-2"/>
    <n v="114.470114374362"/>
    <n v="0"/>
    <n v="0.457880457497431"/>
    <n v="0"/>
    <n v="0"/>
    <n v="0"/>
    <n v="8.3965633908448796E-4"/>
    <n v="0.58157439887460005"/>
    <n v="4585.7141351262198"/>
    <n v="0"/>
  </r>
  <r>
    <x v="2"/>
    <x v="19"/>
    <n v="2030"/>
    <x v="0"/>
    <x v="0"/>
    <x v="1"/>
    <x v="0"/>
    <n v="0"/>
    <n v="0"/>
    <s v="C1.0_E0.0"/>
    <n v="1.6724761808274"/>
    <n v="96.575139171151505"/>
    <n v="9.0470411243273698"/>
    <n v="1.3959454006596199"/>
    <n v="0"/>
    <n v="0"/>
    <n v="0"/>
    <n v="0"/>
    <n v="10.442986524987001"/>
    <n v="7.6694976630820104"/>
    <n v="0"/>
    <n v="325.95365068098602"/>
    <n v="0"/>
    <n v="0"/>
    <n v="0"/>
    <n v="1.36162588265141"/>
    <n v="0.58157439887460005"/>
    <n v="4585.7141351262198"/>
    <n v="134.694044344839"/>
  </r>
  <r>
    <x v="2"/>
    <x v="3"/>
    <n v="2030"/>
    <x v="0"/>
    <x v="0"/>
    <x v="1"/>
    <x v="0"/>
    <n v="0"/>
    <n v="0"/>
    <s v="C1.0_E0.0"/>
    <n v="1.3800664961791"/>
    <n v="0"/>
    <n v="0"/>
    <n v="0"/>
    <n v="0"/>
    <n v="0"/>
    <n v="0"/>
    <n v="0"/>
    <n v="0"/>
    <n v="7.6675831622978903"/>
    <n v="0"/>
    <n v="0"/>
    <n v="0"/>
    <n v="0"/>
    <n v="0"/>
    <n v="0"/>
    <n v="0.70462295063277902"/>
    <n v="5555.9519657394603"/>
    <n v="0"/>
  </r>
  <r>
    <x v="2"/>
    <x v="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6"/>
    <n v="2030"/>
    <x v="0"/>
    <x v="0"/>
    <x v="1"/>
    <x v="0"/>
    <n v="0"/>
    <n v="0"/>
    <s v="C1.0_E0.0"/>
    <n v="12.9784151632206"/>
    <n v="0"/>
    <n v="0"/>
    <n v="0"/>
    <n v="0"/>
    <n v="0"/>
    <n v="0"/>
    <n v="0"/>
    <n v="0"/>
    <n v="59.515301865515298"/>
    <n v="0"/>
    <n v="0"/>
    <n v="0"/>
    <n v="0"/>
    <n v="0"/>
    <n v="0"/>
    <n v="0.58157439887460005"/>
    <n v="4585.7141351262198"/>
    <n v="0"/>
  </r>
  <r>
    <x v="2"/>
    <x v="7"/>
    <n v="2030"/>
    <x v="0"/>
    <x v="0"/>
    <x v="1"/>
    <x v="0"/>
    <n v="0"/>
    <n v="0"/>
    <s v="C1.0_E0.0"/>
    <n v="75.802705762316506"/>
    <n v="0"/>
    <n v="0"/>
    <n v="0"/>
    <n v="0"/>
    <n v="0"/>
    <n v="0"/>
    <n v="0"/>
    <n v="0"/>
    <n v="1.8000277299660301"/>
    <n v="0"/>
    <n v="1.6920260661680999"/>
    <n v="0"/>
    <n v="0"/>
    <n v="0"/>
    <n v="0"/>
    <n v="3.0115688054348101E-3"/>
    <n v="23.7462200308535"/>
    <n v="0"/>
  </r>
  <r>
    <x v="2"/>
    <x v="8"/>
    <n v="2030"/>
    <x v="0"/>
    <x v="0"/>
    <x v="1"/>
    <x v="0"/>
    <n v="0"/>
    <n v="0"/>
    <s v="C1.0_E0.0"/>
    <n v="77.182772258495604"/>
    <n v="0"/>
    <n v="0"/>
    <n v="0"/>
    <n v="0"/>
    <n v="0"/>
    <n v="0"/>
    <n v="0"/>
    <n v="0"/>
    <n v="1.7981132291812001"/>
    <n v="0"/>
    <n v="0"/>
    <n v="0"/>
    <n v="0"/>
    <n v="0"/>
    <n v="0"/>
    <n v="2.95457463471204E-3"/>
    <n v="23.296820994704401"/>
    <n v="0"/>
  </r>
  <r>
    <x v="2"/>
    <x v="9"/>
    <n v="2030"/>
    <x v="0"/>
    <x v="0"/>
    <x v="1"/>
    <x v="0"/>
    <n v="0"/>
    <n v="0"/>
    <s v="C1.0_E0.0"/>
    <n v="21.272230942699998"/>
    <n v="9.8012958000118093"/>
    <n v="0.80118593238040303"/>
    <n v="2.1095161041350299E-2"/>
    <n v="0"/>
    <n v="0"/>
    <n v="0"/>
    <n v="0"/>
    <n v="0.82228109342175404"/>
    <n v="94.919362601503494"/>
    <n v="0"/>
    <n v="0"/>
    <n v="0"/>
    <n v="0"/>
    <n v="0"/>
    <n v="8.6629436912035208E-3"/>
    <n v="0.56590049817176002"/>
    <n v="4462.1254280843204"/>
    <n v="8.8339137875230705E-2"/>
  </r>
  <r>
    <x v="2"/>
    <x v="10"/>
    <n v="2030"/>
    <x v="0"/>
    <x v="0"/>
    <x v="1"/>
    <x v="0"/>
    <n v="0"/>
    <n v="0"/>
    <s v="C1.0_E0.0"/>
    <n v="127.699923906405"/>
    <n v="50.602397387136897"/>
    <n v="4.2435252172020901"/>
    <n v="0.965440476465111"/>
    <n v="0"/>
    <n v="0"/>
    <n v="0"/>
    <n v="0"/>
    <n v="5.20896569366721"/>
    <n v="132.033541514418"/>
    <n v="0"/>
    <n v="0"/>
    <n v="0"/>
    <n v="0"/>
    <n v="0"/>
    <n v="3.9451836510030897E-2"/>
    <n v="0.13112694294333799"/>
    <n v="1033.93594510822"/>
    <n v="7715.6368702567997"/>
  </r>
  <r>
    <x v="2"/>
    <x v="11"/>
    <n v="2030"/>
    <x v="0"/>
    <x v="0"/>
    <x v="1"/>
    <x v="0"/>
    <n v="0"/>
    <n v="0"/>
    <s v="C1.0_E0.0"/>
    <n v="81.700671489683501"/>
    <n v="163.248588210582"/>
    <n v="14.9287726004303"/>
    <n v="3.07159457810898"/>
    <n v="0.79987868957762098"/>
    <n v="0"/>
    <n v="0"/>
    <n v="0"/>
    <n v="18.8002458681169"/>
    <n v="284.09494386235798"/>
    <n v="0"/>
    <n v="0"/>
    <n v="0"/>
    <n v="0"/>
    <n v="0"/>
    <n v="6.6175925599103597E-2"/>
    <n v="0.44099755421501202"/>
    <n v="3477.2657149853699"/>
    <n v="2917.08244221012"/>
  </r>
  <r>
    <x v="2"/>
    <x v="12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13"/>
    <n v="2030"/>
    <x v="0"/>
    <x v="0"/>
    <x v="1"/>
    <x v="0"/>
    <n v="0"/>
    <n v="0"/>
    <s v="C1.0_E0.0"/>
    <n v="129.34055475430799"/>
    <n v="0"/>
    <n v="0"/>
    <n v="0"/>
    <n v="0"/>
    <n v="0"/>
    <n v="0"/>
    <n v="0"/>
    <n v="0"/>
    <n v="52.6135835184228"/>
    <n v="0"/>
    <n v="0"/>
    <n v="0"/>
    <n v="0"/>
    <n v="0"/>
    <n v="0"/>
    <n v="5.1589517449263197E-2"/>
    <n v="406.78334508744001"/>
    <n v="0"/>
  </r>
  <r>
    <x v="2"/>
    <x v="14"/>
    <n v="2030"/>
    <x v="0"/>
    <x v="0"/>
    <x v="1"/>
    <x v="0"/>
    <n v="0"/>
    <n v="0"/>
    <s v="C1.0_E0.0"/>
    <n v="5.3696998390363602"/>
    <n v="0"/>
    <n v="0"/>
    <n v="0"/>
    <n v="1.6023106607315101E-3"/>
    <n v="0"/>
    <n v="0"/>
    <n v="0"/>
    <n v="1.6023106607315101E-3"/>
    <n v="0.85364511483163197"/>
    <n v="0"/>
    <n v="2.9877579019107099E-2"/>
    <n v="0"/>
    <n v="0"/>
    <n v="0"/>
    <n v="1.8770220000000101E-3"/>
    <n v="2.0161630532899402E-2"/>
    <n v="158.97445675191199"/>
    <n v="0"/>
  </r>
  <r>
    <x v="2"/>
    <x v="15"/>
    <n v="2030"/>
    <x v="0"/>
    <x v="0"/>
    <x v="1"/>
    <x v="0"/>
    <n v="0"/>
    <n v="0"/>
    <s v="C1.0_E0.0"/>
    <n v="4.6808823011387499"/>
    <n v="0"/>
    <n v="0"/>
    <n v="0"/>
    <n v="0"/>
    <n v="0"/>
    <n v="0"/>
    <n v="0"/>
    <n v="0"/>
    <n v="0.85247489425634804"/>
    <n v="0"/>
    <n v="3.8361370241535797E-2"/>
    <n v="0"/>
    <n v="0"/>
    <n v="0"/>
    <n v="0"/>
    <n v="2.3096819422520901E-2"/>
    <n v="182.11842114657699"/>
    <n v="0"/>
  </r>
  <r>
    <x v="2"/>
    <x v="16"/>
    <n v="2030"/>
    <x v="0"/>
    <x v="0"/>
    <x v="1"/>
    <x v="0"/>
    <n v="0"/>
    <n v="0"/>
    <s v="C1.0_E0.0"/>
    <n v="5.8511028764234396"/>
    <n v="0.84684119981762096"/>
    <n v="7.9331049649818505E-2"/>
    <n v="2.9700783311013002E-2"/>
    <n v="0"/>
    <n v="0"/>
    <n v="0"/>
    <n v="0"/>
    <n v="0.10903183296083099"/>
    <n v="30.378528689524799"/>
    <n v="0"/>
    <n v="0"/>
    <n v="0"/>
    <n v="0"/>
    <n v="0"/>
    <n v="3.5891084151955001E-3"/>
    <n v="0.65845682606370304"/>
    <n v="5191.9320735123001"/>
    <n v="6.1382617578182099"/>
  </r>
  <r>
    <x v="2"/>
    <x v="17"/>
    <n v="2030"/>
    <x v="0"/>
    <x v="1"/>
    <x v="1"/>
    <x v="0"/>
    <n v="0"/>
    <n v="0"/>
    <s v="C1.0_E0.0"/>
    <n v="5.0351575969345399"/>
    <n v="0"/>
    <n v="0"/>
    <n v="0"/>
    <n v="0"/>
    <n v="0"/>
    <n v="0"/>
    <n v="4.33753192259549"/>
    <n v="4.33753192259549"/>
    <n v="31.8335467258199"/>
    <n v="0"/>
    <n v="0"/>
    <n v="0"/>
    <n v="0"/>
    <n v="0"/>
    <n v="0.136256633920007"/>
    <n v="0.80180777318251995"/>
    <n v="6322.25429154417"/>
    <n v="11.958046402650901"/>
  </r>
  <r>
    <x v="2"/>
    <x v="18"/>
    <n v="2030"/>
    <x v="0"/>
    <x v="1"/>
    <x v="1"/>
    <x v="0"/>
    <n v="0"/>
    <n v="0"/>
    <s v="C1.0_E0.0"/>
    <n v="6.2950639344106198"/>
    <n v="47.192745822545398"/>
    <n v="4.4209588087659197"/>
    <n v="3.6391560221977199"/>
    <n v="0"/>
    <n v="0"/>
    <n v="0"/>
    <n v="0"/>
    <n v="8.0601148309636397"/>
    <n v="39.798994974871803"/>
    <n v="0"/>
    <n v="13.178561608039599"/>
    <n v="0.80247096425623499"/>
    <n v="40.3251740832279"/>
    <n v="145.17062669961999"/>
    <n v="0.20252056204063901"/>
    <n v="0.80180777318251995"/>
    <n v="6322.25429154417"/>
    <n v="77.571571625005504"/>
  </r>
  <r>
    <x v="2"/>
    <x v="1"/>
    <n v="2030"/>
    <x v="0"/>
    <x v="1"/>
    <x v="1"/>
    <x v="0"/>
    <n v="0"/>
    <n v="0"/>
    <s v="C1.0_E0.0"/>
    <n v="13.5718862521351"/>
    <n v="0.35483956555274399"/>
    <n v="3.61411935293941E-2"/>
    <n v="0"/>
    <n v="1.5947717997718599E-2"/>
    <n v="0"/>
    <n v="0"/>
    <n v="0"/>
    <n v="5.2088911527112702E-2"/>
    <n v="61.585687536709202"/>
    <n v="0"/>
    <n v="0.246342750146826"/>
    <n v="0"/>
    <n v="0"/>
    <n v="0"/>
    <n v="8.4579572966631596E-4"/>
    <n v="0.57549013771046098"/>
    <n v="4537.7397358469898"/>
    <n v="0"/>
  </r>
  <r>
    <x v="2"/>
    <x v="19"/>
    <n v="2030"/>
    <x v="0"/>
    <x v="1"/>
    <x v="1"/>
    <x v="0"/>
    <n v="0"/>
    <n v="0"/>
    <s v="C1.0_E0.0"/>
    <n v="0.90931637889305605"/>
    <n v="52.5073880566474"/>
    <n v="4.9188280043546202"/>
    <n v="0.75896806867063904"/>
    <n v="0"/>
    <n v="0"/>
    <n v="0"/>
    <n v="0"/>
    <n v="5.6777960730252603"/>
    <n v="4.1262410649593901"/>
    <n v="0"/>
    <n v="175.36524526079799"/>
    <n v="0"/>
    <n v="0"/>
    <n v="0"/>
    <n v="1.3760214160151401"/>
    <n v="0.57549013771046098"/>
    <n v="4537.7397358469898"/>
    <n v="73.232433481663705"/>
  </r>
  <r>
    <x v="2"/>
    <x v="20"/>
    <n v="2030"/>
    <x v="0"/>
    <x v="1"/>
    <x v="1"/>
    <x v="0"/>
    <n v="0"/>
    <n v="0"/>
    <s v="C1.0_E0.0"/>
    <n v="0.65229193358690596"/>
    <n v="0"/>
    <n v="0"/>
    <n v="0"/>
    <n v="0"/>
    <n v="0"/>
    <n v="0"/>
    <n v="0"/>
    <n v="0"/>
    <n v="4.1239554764590798"/>
    <n v="0"/>
    <n v="0"/>
    <n v="0"/>
    <n v="0"/>
    <n v="0"/>
    <n v="0"/>
    <n v="0.80180777318251995"/>
    <n v="6322.25429154417"/>
    <n v="0"/>
  </r>
  <r>
    <x v="2"/>
    <x v="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5"/>
    <n v="2030"/>
    <x v="0"/>
    <x v="1"/>
    <x v="1"/>
    <x v="0"/>
    <n v="0"/>
    <n v="0"/>
    <s v="C1.0_E0.0"/>
    <n v="1.0670511072661999"/>
    <n v="0"/>
    <n v="0"/>
    <n v="0"/>
    <n v="0"/>
    <n v="0"/>
    <n v="0"/>
    <n v="0"/>
    <n v="0"/>
    <n v="6.7461684422099202"/>
    <n v="0"/>
    <n v="0"/>
    <n v="0"/>
    <n v="0"/>
    <n v="0"/>
    <n v="0"/>
    <n v="0.80180777318251995"/>
    <n v="6322.25429154417"/>
    <n v="0"/>
  </r>
  <r>
    <x v="2"/>
    <x v="6"/>
    <n v="2030"/>
    <x v="0"/>
    <x v="1"/>
    <x v="1"/>
    <x v="0"/>
    <n v="0"/>
    <n v="0"/>
    <s v="C1.0_E0.0"/>
    <n v="7.05629510021011"/>
    <n v="0"/>
    <n v="0"/>
    <n v="0"/>
    <n v="0"/>
    <n v="0"/>
    <n v="0"/>
    <n v="0"/>
    <n v="0"/>
    <n v="32.019630664084403"/>
    <n v="0"/>
    <n v="0"/>
    <n v="0"/>
    <n v="0"/>
    <n v="0"/>
    <n v="0"/>
    <n v="0.57549013771046098"/>
    <n v="4537.7397358469898"/>
    <n v="0"/>
  </r>
  <r>
    <x v="2"/>
    <x v="7"/>
    <n v="2030"/>
    <x v="0"/>
    <x v="1"/>
    <x v="1"/>
    <x v="0"/>
    <n v="0"/>
    <n v="0"/>
    <s v="C1.0_E0.0"/>
    <n v="45.693421182610201"/>
    <n v="0"/>
    <n v="0"/>
    <n v="0"/>
    <n v="0"/>
    <n v="0"/>
    <n v="0"/>
    <n v="0"/>
    <n v="0"/>
    <n v="1.8069523508498699"/>
    <n v="0"/>
    <n v="1.69853520979886"/>
    <n v="0"/>
    <n v="0"/>
    <n v="0"/>
    <n v="0"/>
    <n v="5.0152354512108498E-3"/>
    <n v="39.545131532797498"/>
    <n v="0"/>
  </r>
  <r>
    <x v="2"/>
    <x v="8"/>
    <n v="2030"/>
    <x v="0"/>
    <x v="1"/>
    <x v="1"/>
    <x v="0"/>
    <n v="0"/>
    <n v="0"/>
    <s v="C1.0_E0.0"/>
    <n v="46.345713116197103"/>
    <n v="0"/>
    <n v="0"/>
    <n v="0"/>
    <n v="0"/>
    <n v="0"/>
    <n v="0"/>
    <n v="0"/>
    <n v="0"/>
    <n v="1.8046667623497801"/>
    <n v="0"/>
    <n v="0"/>
    <n v="0"/>
    <n v="0"/>
    <n v="0"/>
    <n v="0"/>
    <n v="4.9383941908716202E-3"/>
    <n v="38.939238195022703"/>
    <n v="0"/>
  </r>
  <r>
    <x v="2"/>
    <x v="9"/>
    <n v="2030"/>
    <x v="0"/>
    <x v="1"/>
    <x v="1"/>
    <x v="0"/>
    <n v="0"/>
    <n v="0"/>
    <s v="C1.0_E0.0"/>
    <n v="25.395427778875401"/>
    <n v="11.701081108938"/>
    <n v="0.95647981342548305"/>
    <n v="2.51840364159455E-2"/>
    <n v="0"/>
    <n v="0"/>
    <n v="0"/>
    <n v="0"/>
    <n v="0.98166384984142796"/>
    <n v="104.804373017527"/>
    <n v="0"/>
    <n v="0"/>
    <n v="0"/>
    <n v="0"/>
    <n v="0"/>
    <n v="9.3666306240604794E-3"/>
    <n v="0.52338608697699696"/>
    <n v="4126.8992958136196"/>
    <n v="0.105461914267549"/>
  </r>
  <r>
    <x v="2"/>
    <x v="10"/>
    <n v="2030"/>
    <x v="0"/>
    <x v="1"/>
    <x v="1"/>
    <x v="0"/>
    <n v="0"/>
    <n v="0"/>
    <s v="C1.0_E0.0"/>
    <n v="69.771073082944099"/>
    <n v="27.647499374062001"/>
    <n v="2.3185237625961701"/>
    <n v="0.52748518542618394"/>
    <n v="0"/>
    <n v="0"/>
    <n v="0"/>
    <n v="0"/>
    <n v="2.84600894802236"/>
    <n v="72.138820389229295"/>
    <n v="0"/>
    <n v="0"/>
    <n v="0"/>
    <n v="0"/>
    <n v="0"/>
    <n v="3.9451836510030897E-2"/>
    <n v="0.13112694294333799"/>
    <n v="1033.93594510822"/>
    <n v="4215.5723158511901"/>
  </r>
  <r>
    <x v="2"/>
    <x v="11"/>
    <n v="2030"/>
    <x v="0"/>
    <x v="1"/>
    <x v="1"/>
    <x v="0"/>
    <n v="0"/>
    <n v="0"/>
    <s v="C1.0_E0.0"/>
    <n v="43.185590319062598"/>
    <n v="86.290437056172394"/>
    <n v="7.8910961897056398"/>
    <n v="1.6235928378289799"/>
    <n v="0.42280231928582601"/>
    <n v="0"/>
    <n v="0"/>
    <n v="0"/>
    <n v="9.9374913468204493"/>
    <n v="150.167772597881"/>
    <n v="0"/>
    <n v="0"/>
    <n v="0"/>
    <n v="0"/>
    <n v="0"/>
    <n v="6.6175925599103E-2"/>
    <n v="0.44099755421501202"/>
    <n v="3477.2657149853699"/>
    <n v="1541.92034140287"/>
  </r>
  <r>
    <x v="2"/>
    <x v="12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2"/>
    <x v="13"/>
    <n v="2030"/>
    <x v="0"/>
    <x v="1"/>
    <x v="1"/>
    <x v="0"/>
    <n v="0"/>
    <n v="0"/>
    <s v="C1.0_E0.0"/>
    <n v="75.007804273678701"/>
    <n v="0"/>
    <n v="0"/>
    <n v="0"/>
    <n v="0"/>
    <n v="0"/>
    <n v="0"/>
    <n v="0"/>
    <n v="0"/>
    <n v="31.791680561550798"/>
    <n v="0"/>
    <n v="0"/>
    <n v="0"/>
    <n v="0"/>
    <n v="0"/>
    <n v="0"/>
    <n v="5.3753325317111002E-2"/>
    <n v="423.84497012541999"/>
    <n v="0"/>
  </r>
  <r>
    <x v="2"/>
    <x v="14"/>
    <n v="2030"/>
    <x v="0"/>
    <x v="1"/>
    <x v="1"/>
    <x v="0"/>
    <n v="0"/>
    <n v="0"/>
    <s v="C1.0_E0.0"/>
    <n v="1.8991645854038299"/>
    <n v="0"/>
    <n v="0"/>
    <n v="0"/>
    <n v="6.0473358050561698E-4"/>
    <n v="0"/>
    <n v="0"/>
    <n v="0"/>
    <n v="6.0473358050561698E-4"/>
    <n v="0.32217714044141099"/>
    <n v="0"/>
    <n v="1.1276199915449399E-2"/>
    <n v="0"/>
    <n v="0"/>
    <n v="0"/>
    <n v="1.8770219999999899E-3"/>
    <n v="2.15144585943766E-2"/>
    <n v="169.64150601666"/>
    <n v="0"/>
  </r>
  <r>
    <x v="2"/>
    <x v="15"/>
    <n v="2030"/>
    <x v="0"/>
    <x v="1"/>
    <x v="1"/>
    <x v="0"/>
    <n v="0"/>
    <n v="0"/>
    <s v="C1.0_E0.0"/>
    <n v="1.8991645854038299"/>
    <n v="0"/>
    <n v="0"/>
    <n v="0"/>
    <n v="0"/>
    <n v="0"/>
    <n v="0"/>
    <n v="0"/>
    <n v="0"/>
    <n v="0.32170234929505998"/>
    <n v="0"/>
    <n v="1.4476605718277699E-2"/>
    <n v="0"/>
    <n v="0"/>
    <n v="0"/>
    <n v="0"/>
    <n v="2.14827528239264E-2"/>
    <n v="169.39150601665901"/>
    <n v="0"/>
  </r>
  <r>
    <x v="2"/>
    <x v="16"/>
    <n v="2030"/>
    <x v="0"/>
    <x v="1"/>
    <x v="1"/>
    <x v="0"/>
    <n v="0"/>
    <n v="0"/>
    <s v="C1.0_E0.0"/>
    <n v="2.3739557317547799"/>
    <n v="0.34358710873017501"/>
    <n v="3.2186820843838601E-2"/>
    <n v="1.2050436689960401E-2"/>
    <n v="0"/>
    <n v="0"/>
    <n v="0"/>
    <n v="0"/>
    <n v="4.4237257533799097E-2"/>
    <n v="12.346683865530601"/>
    <n v="0"/>
    <n v="0"/>
    <n v="0"/>
    <n v="0"/>
    <n v="0"/>
    <n v="3.5829262347358099E-3"/>
    <n v="0.65959296414101998"/>
    <n v="5200.8905222519397"/>
    <n v="2.4904641040751998"/>
  </r>
  <r>
    <x v="3"/>
    <x v="21"/>
    <n v="2030"/>
    <x v="0"/>
    <x v="0"/>
    <x v="1"/>
    <x v="0"/>
    <n v="0"/>
    <n v="0"/>
    <s v="C1.0_E0.0"/>
    <n v="5.4462180282134396"/>
    <n v="39.931107180995902"/>
    <n v="3.7406973669089698"/>
    <n v="4.5094685273607302"/>
    <n v="4.4402670967748298E-3"/>
    <n v="0"/>
    <n v="0"/>
    <n v="0"/>
    <n v="8.2546061613664801"/>
    <n v="42.580645161286803"/>
    <n v="0"/>
    <n v="35.3419354838652"/>
    <n v="0.74136245663372202"/>
    <n v="39.858196593210799"/>
    <n v="143.48950773555899"/>
    <n v="0.193858175001804"/>
    <n v="0.991552048862128"/>
    <n v="7818.3879052778802"/>
    <n v="82.511567781160906"/>
  </r>
  <r>
    <x v="3"/>
    <x v="1"/>
    <n v="2030"/>
    <x v="0"/>
    <x v="0"/>
    <x v="1"/>
    <x v="0"/>
    <n v="0"/>
    <n v="0"/>
    <s v="C1.0_E0.0"/>
    <n v="14.6374855177655"/>
    <n v="0.38269986245216098"/>
    <n v="3.8978826307068497E-2"/>
    <n v="0"/>
    <n v="2.9634830362865201E-2"/>
    <n v="0"/>
    <n v="0"/>
    <n v="0"/>
    <n v="6.8613656669933798E-2"/>
    <n v="114.441539735787"/>
    <n v="0"/>
    <n v="0.45776615894317602"/>
    <n v="0"/>
    <n v="0"/>
    <n v="0"/>
    <n v="5.9955202305336905E-4"/>
    <n v="0.991552048862128"/>
    <n v="7818.3879052778802"/>
    <n v="0"/>
  </r>
  <r>
    <x v="3"/>
    <x v="19"/>
    <n v="2030"/>
    <x v="0"/>
    <x v="0"/>
    <x v="1"/>
    <x v="0"/>
    <n v="0"/>
    <n v="0"/>
    <s v="C1.0_E0.0"/>
    <n v="0.98071152969029296"/>
    <n v="56.630015752892099"/>
    <n v="5.3050307334246503"/>
    <n v="0.81855859290488997"/>
    <n v="0"/>
    <n v="0"/>
    <n v="0"/>
    <n v="0"/>
    <n v="6.1235893263295402"/>
    <n v="7.6675831622956601"/>
    <n v="0"/>
    <n v="325.87228439761299"/>
    <n v="0"/>
    <n v="0"/>
    <n v="0"/>
    <n v="0.798633571585045"/>
    <n v="0.991552048862128"/>
    <n v="7818.3879052778802"/>
    <n v="78.982292115065604"/>
  </r>
  <r>
    <x v="3"/>
    <x v="3"/>
    <n v="2030"/>
    <x v="0"/>
    <x v="0"/>
    <x v="1"/>
    <x v="0"/>
    <n v="0"/>
    <n v="0"/>
    <s v="C1.0_E0.0"/>
    <n v="0.98071152969029596"/>
    <n v="0"/>
    <n v="0"/>
    <n v="0"/>
    <n v="0"/>
    <n v="0"/>
    <n v="0"/>
    <n v="0"/>
    <n v="0"/>
    <n v="7.6675831622955997"/>
    <n v="0"/>
    <n v="0"/>
    <n v="0"/>
    <n v="0"/>
    <n v="0"/>
    <n v="0"/>
    <n v="0.991552048862127"/>
    <n v="7818.3879052778702"/>
    <n v="0"/>
  </r>
  <r>
    <x v="3"/>
    <x v="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6"/>
    <n v="2030"/>
    <x v="0"/>
    <x v="0"/>
    <x v="1"/>
    <x v="0"/>
    <n v="0"/>
    <n v="0"/>
    <s v="C1.0_E0.0"/>
    <n v="7.6103214704015896"/>
    <n v="0"/>
    <n v="0"/>
    <n v="0"/>
    <n v="0"/>
    <n v="0"/>
    <n v="0"/>
    <n v="0"/>
    <n v="0"/>
    <n v="59.500445339423202"/>
    <n v="0"/>
    <n v="0"/>
    <n v="0"/>
    <n v="0"/>
    <n v="0"/>
    <n v="0"/>
    <n v="0.99155204886140902"/>
    <n v="7818.3879052722104"/>
    <n v="0"/>
  </r>
  <r>
    <x v="3"/>
    <x v="7"/>
    <n v="2030"/>
    <x v="0"/>
    <x v="0"/>
    <x v="1"/>
    <x v="0"/>
    <n v="0"/>
    <n v="0"/>
    <s v="C1.0_E0.0"/>
    <n v="4.60431692772545E-13"/>
    <n v="0"/>
    <n v="0"/>
    <n v="0"/>
    <n v="0"/>
    <n v="0"/>
    <n v="0"/>
    <n v="0"/>
    <n v="0"/>
    <n v="-4.8232777771772799E-15"/>
    <n v="0"/>
    <n v="-4.5338811105466396E-15"/>
    <n v="0"/>
    <n v="0"/>
    <n v="0"/>
    <n v="0"/>
    <n v="-1.3285422391318201E-3"/>
    <n v="-10.475555555554401"/>
    <n v="0"/>
  </r>
  <r>
    <x v="3"/>
    <x v="8"/>
    <n v="2030"/>
    <x v="0"/>
    <x v="0"/>
    <x v="1"/>
    <x v="0"/>
    <n v="0"/>
    <n v="0"/>
    <s v="C1.0_E0.0"/>
    <n v="2.8421709430404001E-15"/>
    <n v="0"/>
    <n v="0"/>
    <n v="0"/>
    <n v="0"/>
    <n v="0"/>
    <n v="0"/>
    <n v="0"/>
    <n v="0"/>
    <n v="-4.2547299017314799E-15"/>
    <n v="0"/>
    <n v="0"/>
    <n v="0"/>
    <n v="0"/>
    <n v="0"/>
    <n v="0"/>
    <n v="-0.18985415345592899"/>
    <n v="-1497"/>
    <n v="0"/>
  </r>
  <r>
    <x v="3"/>
    <x v="9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7.9885988770715101E-14"/>
    <n v="0"/>
    <n v="0"/>
    <n v="0"/>
    <n v="0"/>
    <n v="0"/>
    <n v="0"/>
    <s v="NaN"/>
    <s v="NaN"/>
    <n v="0"/>
  </r>
  <r>
    <x v="3"/>
    <x v="10"/>
    <n v="2030"/>
    <x v="0"/>
    <x v="0"/>
    <x v="1"/>
    <x v="0"/>
    <n v="0"/>
    <n v="0"/>
    <s v="C1.0_E0.0"/>
    <n v="56.426596582799696"/>
    <n v="22.359614447219499"/>
    <n v="1.87508087863465"/>
    <n v="0.426597907216688"/>
    <n v="0"/>
    <n v="0"/>
    <n v="0"/>
    <n v="0"/>
    <n v="2.3016787858513399"/>
    <n v="58.341486467077601"/>
    <n v="0"/>
    <n v="0"/>
    <n v="0"/>
    <n v="0"/>
    <n v="0"/>
    <n v="3.9451836510031098E-2"/>
    <n v="0.13112694294333799"/>
    <n v="1033.93594510822"/>
    <n v="3409.2982653337199"/>
  </r>
  <r>
    <x v="3"/>
    <x v="11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2"/>
    <n v="2030"/>
    <x v="0"/>
    <x v="0"/>
    <x v="1"/>
    <x v="0"/>
    <n v="0"/>
    <n v="0"/>
    <s v="C1.0_E0.0"/>
    <n v="46.259150917345004"/>
    <n v="3.0531039605447701"/>
    <n v="0"/>
    <n v="0"/>
    <n v="0"/>
    <n v="0"/>
    <n v="0"/>
    <n v="14.8192037716131"/>
    <n v="14.8192037716131"/>
    <n v="303.85873698605099"/>
    <n v="0"/>
    <n v="0"/>
    <n v="0"/>
    <n v="0"/>
    <n v="0"/>
    <n v="4.8770043338570997E-2"/>
    <n v="0.83305250296432598"/>
    <n v="6568.6189858737098"/>
    <n v="0"/>
  </r>
  <r>
    <x v="3"/>
    <x v="13"/>
    <n v="2030"/>
    <x v="0"/>
    <x v="0"/>
    <x v="1"/>
    <x v="0"/>
    <n v="0"/>
    <n v="0"/>
    <s v="C1.0_E0.0"/>
    <n v="7.4303698216625298"/>
    <n v="0"/>
    <n v="0"/>
    <n v="0"/>
    <n v="0"/>
    <n v="0"/>
    <n v="0"/>
    <n v="0"/>
    <n v="0"/>
    <n v="0.52823741267944602"/>
    <n v="0"/>
    <n v="0"/>
    <n v="0"/>
    <n v="0"/>
    <n v="0"/>
    <n v="0"/>
    <n v="9.0160649074590895E-3"/>
    <n v="71.091671795314994"/>
    <n v="0"/>
  </r>
  <r>
    <x v="3"/>
    <x v="1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6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7"/>
    <n v="2030"/>
    <x v="0"/>
    <x v="1"/>
    <x v="1"/>
    <x v="0"/>
    <n v="0"/>
    <n v="0"/>
    <s v="C1.0_E0.0"/>
    <n v="4.0390725919027197"/>
    <n v="0"/>
    <n v="0"/>
    <n v="0"/>
    <n v="0"/>
    <n v="0"/>
    <n v="0"/>
    <n v="4.3375319225956899"/>
    <n v="4.3375319225956899"/>
    <n v="31.8335467258288"/>
    <n v="0"/>
    <n v="0"/>
    <n v="0"/>
    <n v="0"/>
    <n v="0"/>
    <n v="0.136256633919975"/>
    <n v="0.99954343690551595"/>
    <n v="7881.4"/>
    <n v="9.5924341091237597"/>
  </r>
  <r>
    <x v="3"/>
    <x v="18"/>
    <n v="2030"/>
    <x v="0"/>
    <x v="1"/>
    <x v="1"/>
    <x v="0"/>
    <n v="0"/>
    <n v="0"/>
    <s v="C1.0_E0.0"/>
    <n v="5.0497367187142297"/>
    <n v="37.856794453568497"/>
    <n v="3.54637828323161"/>
    <n v="2.9192364020274799"/>
    <n v="0"/>
    <n v="0"/>
    <n v="0"/>
    <n v="0"/>
    <n v="6.4656146852590997"/>
    <n v="39.798994974874397"/>
    <n v="0"/>
    <n v="13.178561608039001"/>
    <n v="0.58061680297461704"/>
    <n v="29.1767237675686"/>
    <n v="105.03620556324699"/>
    <n v="0.16245673262204"/>
    <n v="0.99954343690551595"/>
    <n v="7881.4"/>
    <n v="62.2258991559926"/>
  </r>
  <r>
    <x v="3"/>
    <x v="1"/>
    <n v="2030"/>
    <x v="0"/>
    <x v="1"/>
    <x v="1"/>
    <x v="0"/>
    <n v="0"/>
    <n v="0"/>
    <s v="C1.0_E0.0"/>
    <n v="7.8097259719741796"/>
    <n v="0.20418678137280399"/>
    <n v="2.07968746953099E-2"/>
    <n v="0"/>
    <n v="1.5938884311012098E-2"/>
    <n v="0"/>
    <n v="0"/>
    <n v="0"/>
    <n v="3.6735759006321998E-2"/>
    <n v="61.551574275519101"/>
    <n v="0"/>
    <n v="0.24620629710203101"/>
    <n v="0"/>
    <n v="0"/>
    <n v="0"/>
    <n v="5.9682891036847005E-4"/>
    <n v="0.99954343690551595"/>
    <n v="7881.4"/>
    <n v="0"/>
  </r>
  <r>
    <x v="3"/>
    <x v="19"/>
    <n v="2030"/>
    <x v="0"/>
    <x v="1"/>
    <x v="1"/>
    <x v="0"/>
    <n v="0"/>
    <n v="0"/>
    <s v="C1.0_E0.0"/>
    <n v="0.52325164012226899"/>
    <n v="30.214540897880902"/>
    <n v="2.8304613009292399"/>
    <n v="0.436736097523928"/>
    <n v="0"/>
    <n v="0"/>
    <n v="0"/>
    <n v="0"/>
    <n v="3.2671973984531699"/>
    <n v="4.1239554764603197"/>
    <n v="0"/>
    <n v="175.26810774953799"/>
    <n v="0"/>
    <n v="0"/>
    <n v="0"/>
    <n v="0.79224846560600504"/>
    <n v="0.99954343690551595"/>
    <n v="7881.4"/>
    <n v="42.140438486407298"/>
  </r>
  <r>
    <x v="3"/>
    <x v="20"/>
    <n v="2030"/>
    <x v="0"/>
    <x v="1"/>
    <x v="1"/>
    <x v="0"/>
    <n v="0"/>
    <n v="0"/>
    <s v="C1.0_E0.0"/>
    <n v="0.52325164012226999"/>
    <n v="0"/>
    <n v="0"/>
    <n v="0"/>
    <n v="0"/>
    <n v="0"/>
    <n v="0"/>
    <n v="0"/>
    <n v="0"/>
    <n v="4.1239554764603197"/>
    <n v="0"/>
    <n v="0"/>
    <n v="0"/>
    <n v="0"/>
    <n v="0"/>
    <n v="0"/>
    <n v="0.99954343690551595"/>
    <n v="7881.4"/>
    <n v="0"/>
  </r>
  <r>
    <x v="3"/>
    <x v="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5"/>
    <n v="2030"/>
    <x v="0"/>
    <x v="1"/>
    <x v="1"/>
    <x v="0"/>
    <n v="0"/>
    <n v="0"/>
    <s v="C1.0_E0.0"/>
    <n v="0.85596067224237504"/>
    <n v="0"/>
    <n v="0"/>
    <n v="0"/>
    <n v="0"/>
    <n v="0"/>
    <n v="0"/>
    <n v="0"/>
    <n v="0"/>
    <n v="6.7461684422120198"/>
    <n v="0"/>
    <n v="0"/>
    <n v="0"/>
    <n v="0"/>
    <n v="0"/>
    <n v="0"/>
    <n v="0.99954343690551595"/>
    <n v="7881.4"/>
    <n v="0"/>
  </r>
  <r>
    <x v="3"/>
    <x v="6"/>
    <n v="2030"/>
    <x v="0"/>
    <x v="1"/>
    <x v="1"/>
    <x v="0"/>
    <n v="0"/>
    <n v="0"/>
    <s v="C1.0_E0.0"/>
    <n v="4.06043272734893"/>
    <n v="0"/>
    <n v="0"/>
    <n v="0"/>
    <n v="0"/>
    <n v="0"/>
    <n v="0"/>
    <n v="0"/>
    <n v="0"/>
    <n v="32.001894497322802"/>
    <n v="0"/>
    <n v="0"/>
    <n v="0"/>
    <n v="0"/>
    <n v="0"/>
    <n v="0"/>
    <n v="0.99954343690551395"/>
    <n v="7881.3999999999696"/>
    <n v="0"/>
  </r>
  <r>
    <x v="3"/>
    <x v="7"/>
    <n v="2030"/>
    <x v="0"/>
    <x v="1"/>
    <x v="1"/>
    <x v="0"/>
    <n v="0"/>
    <n v="0"/>
    <s v="C1.0_E0.0"/>
    <n v="1.55750967678614E-14"/>
    <n v="0"/>
    <n v="0"/>
    <n v="0"/>
    <n v="0"/>
    <n v="0"/>
    <n v="0"/>
    <n v="0"/>
    <n v="0"/>
    <n v="-1.26874510897323E-16"/>
    <n v="0"/>
    <n v="-1.1926204024349399E-16"/>
    <n v="0"/>
    <n v="0"/>
    <n v="0"/>
    <n v="0"/>
    <n v="-1.03309897291823E-3"/>
    <n v="-8.1459854014602993"/>
    <n v="0"/>
  </r>
  <r>
    <x v="3"/>
    <x v="8"/>
    <n v="2030"/>
    <x v="0"/>
    <x v="1"/>
    <x v="1"/>
    <x v="0"/>
    <n v="0"/>
    <n v="0"/>
    <s v="C1.0_E0.0"/>
    <n v="1.02318153949454E-15"/>
    <n v="0"/>
    <n v="0"/>
    <n v="0"/>
    <n v="0"/>
    <n v="0"/>
    <n v="0"/>
    <n v="0"/>
    <n v="0"/>
    <n v="-1.1766587704187201E-16"/>
    <n v="0"/>
    <n v="0"/>
    <n v="0"/>
    <n v="0"/>
    <n v="0"/>
    <n v="0"/>
    <n v="-1.45846544071017E-2"/>
    <n v="-114.999999999997"/>
    <n v="0"/>
  </r>
  <r>
    <x v="3"/>
    <x v="9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5.9446847444633004E-16"/>
    <n v="0"/>
    <n v="0"/>
    <n v="0"/>
    <n v="0"/>
    <n v="0"/>
    <n v="0"/>
    <s v="NaN"/>
    <s v="NaN"/>
    <n v="0"/>
  </r>
  <r>
    <x v="3"/>
    <x v="10"/>
    <n v="2030"/>
    <x v="0"/>
    <x v="1"/>
    <x v="1"/>
    <x v="0"/>
    <n v="0"/>
    <n v="0"/>
    <s v="C1.0_E0.0"/>
    <n v="29.237149890244101"/>
    <n v="11.5855188629381"/>
    <n v="0.97156348291406902"/>
    <n v="0.22103950462184599"/>
    <n v="0"/>
    <n v="0"/>
    <n v="0"/>
    <n v="0"/>
    <n v="1.1926029875359101"/>
    <n v="30.2293402040406"/>
    <n v="0"/>
    <n v="0"/>
    <n v="0"/>
    <n v="0"/>
    <n v="0"/>
    <n v="3.9451836510030897E-2"/>
    <n v="0.13112694294333799"/>
    <n v="1033.93594510822"/>
    <n v="1766.5103061433999"/>
  </r>
  <r>
    <x v="3"/>
    <x v="11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2"/>
    <n v="2030"/>
    <x v="0"/>
    <x v="1"/>
    <x v="1"/>
    <x v="0"/>
    <n v="0"/>
    <n v="0"/>
    <s v="C1.0_E0.0"/>
    <n v="23.9415428292793"/>
    <n v="1.5801418267324301"/>
    <n v="0"/>
    <n v="0"/>
    <n v="0"/>
    <n v="0"/>
    <n v="0"/>
    <n v="7.8082824710612"/>
    <n v="7.8082824710612"/>
    <n v="158.74159515067601"/>
    <n v="0"/>
    <n v="0"/>
    <n v="0"/>
    <n v="0"/>
    <n v="0"/>
    <n v="4.9188635553583902E-2"/>
    <n v="0.840885587472608"/>
    <n v="6630.3828572215198"/>
    <n v="0"/>
  </r>
  <r>
    <x v="3"/>
    <x v="13"/>
    <n v="2030"/>
    <x v="0"/>
    <x v="1"/>
    <x v="1"/>
    <x v="0"/>
    <n v="0"/>
    <n v="0"/>
    <s v="C1.0_E0.0"/>
    <n v="3.8774053342485102"/>
    <n v="0"/>
    <n v="0"/>
    <n v="0"/>
    <n v="0"/>
    <n v="0"/>
    <n v="0"/>
    <n v="0"/>
    <n v="0"/>
    <n v="0.27805970004927499"/>
    <n v="0"/>
    <n v="0"/>
    <n v="0"/>
    <n v="0"/>
    <n v="0"/>
    <n v="0"/>
    <n v="9.09484179365894E-3"/>
    <n v="71.712827543000799"/>
    <n v="0"/>
  </r>
  <r>
    <x v="3"/>
    <x v="14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5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3"/>
    <x v="16"/>
    <n v="2030"/>
    <x v="0"/>
    <x v="1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25"/>
    <n v="2030"/>
    <x v="0"/>
    <x v="2"/>
    <x v="0"/>
    <x v="2"/>
    <n v="0"/>
    <n v="0"/>
    <s v="C1.0_E0.0"/>
    <n v="110.98745410673899"/>
    <n v="665.92472464043897"/>
    <n v="67.825904114577"/>
    <n v="33.296236232021897"/>
    <n v="0"/>
    <n v="0"/>
    <n v="0"/>
    <n v="0"/>
    <n v="101.122140346599"/>
    <n v="581.06532663314101"/>
    <n v="0"/>
    <n v="273.10070351759799"/>
    <n v="0"/>
    <n v="0"/>
    <n v="0"/>
    <n v="0.17402886682729701"/>
    <n v="0.66397140149175704"/>
    <n v="5235.4145007625102"/>
    <n v="0"/>
  </r>
  <r>
    <x v="0"/>
    <x v="23"/>
    <n v="2030"/>
    <x v="0"/>
    <x v="2"/>
    <x v="0"/>
    <x v="2"/>
    <n v="0"/>
    <n v="0"/>
    <s v="C1.0_E0.0"/>
    <n v="76.018804182698503"/>
    <n v="316.813832237518"/>
    <n v="29.678732990785701"/>
    <n v="46.970586500712002"/>
    <n v="10.7606506757011"/>
    <n v="0"/>
    <n v="0"/>
    <n v="0"/>
    <n v="87.409970167198907"/>
    <n v="397.98994974874802"/>
    <n v="0"/>
    <n v="125.76482412058699"/>
    <n v="1.5317855984001401"/>
    <n v="76.974150673374098"/>
    <n v="277.10694242414598"/>
    <n v="0.219628586657479"/>
    <n v="0.66397140149175704"/>
    <n v="5235.4145007625102"/>
    <n v="936.74951913853204"/>
  </r>
  <r>
    <x v="0"/>
    <x v="1"/>
    <n v="2030"/>
    <x v="0"/>
    <x v="2"/>
    <x v="0"/>
    <x v="2"/>
    <n v="0"/>
    <n v="0"/>
    <s v="C1.0_E0.0"/>
    <n v="333.109275071669"/>
    <n v="8.7092057988199798"/>
    <n v="0.88705184770520695"/>
    <n v="0"/>
    <n v="0.30629286382429"/>
    <n v="0"/>
    <n v="0"/>
    <n v="0"/>
    <n v="1.19334471152949"/>
    <n v="1182.8185455062601"/>
    <n v="0"/>
    <n v="4.7312741820250999"/>
    <n v="0"/>
    <n v="0"/>
    <n v="0"/>
    <n v="1.0088992230154099E-3"/>
    <n v="0.45032877910732999"/>
    <n v="3550.8424232612902"/>
    <n v="0"/>
  </r>
  <r>
    <x v="0"/>
    <x v="2"/>
    <n v="2030"/>
    <x v="0"/>
    <x v="2"/>
    <x v="0"/>
    <x v="2"/>
    <n v="0"/>
    <n v="0"/>
    <s v="C1.0_E0.0"/>
    <n v="22.318321429801799"/>
    <n v="924.76051011362699"/>
    <n v="86.630435502919696"/>
    <n v="18.495210202272499"/>
    <n v="0"/>
    <n v="0"/>
    <n v="0"/>
    <n v="0"/>
    <n v="105.125645705192"/>
    <n v="79.248842548924102"/>
    <n v="0"/>
    <n v="3748.4702525641101"/>
    <n v="0"/>
    <n v="0"/>
    <n v="0"/>
    <n v="1.3265259444047099"/>
    <n v="0.45032877910732999"/>
    <n v="3550.8424232612902"/>
    <n v="1718.09781969962"/>
  </r>
  <r>
    <x v="0"/>
    <x v="24"/>
    <n v="2030"/>
    <x v="0"/>
    <x v="2"/>
    <x v="0"/>
    <x v="2"/>
    <n v="0"/>
    <n v="0"/>
    <s v="C1.0_E0.0"/>
    <n v="15.127742032357"/>
    <n v="0"/>
    <n v="0"/>
    <n v="0"/>
    <n v="0"/>
    <n v="0"/>
    <n v="0"/>
    <n v="0"/>
    <n v="0"/>
    <n v="79.200000000000102"/>
    <n v="0"/>
    <n v="0"/>
    <n v="0"/>
    <n v="0"/>
    <n v="0"/>
    <n v="0"/>
    <n v="0.66397140149175704"/>
    <n v="5235.4145007625102"/>
    <n v="0"/>
  </r>
  <r>
    <x v="0"/>
    <x v="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5"/>
    <n v="2030"/>
    <x v="0"/>
    <x v="2"/>
    <x v="0"/>
    <x v="2"/>
    <n v="0"/>
    <n v="0"/>
    <s v="C1.0_E0.0"/>
    <n v="178.37157927979001"/>
    <n v="0"/>
    <n v="0"/>
    <n v="0"/>
    <n v="0"/>
    <n v="0"/>
    <n v="0"/>
    <n v="0"/>
    <n v="0"/>
    <n v="720.44959613681306"/>
    <n v="0"/>
    <n v="0"/>
    <n v="0"/>
    <n v="0"/>
    <n v="0"/>
    <n v="0"/>
    <n v="0.51224325328731302"/>
    <n v="4039.0380521704601"/>
    <n v="0"/>
  </r>
  <r>
    <x v="0"/>
    <x v="6"/>
    <n v="2030"/>
    <x v="0"/>
    <x v="2"/>
    <x v="0"/>
    <x v="2"/>
    <n v="0"/>
    <n v="0"/>
    <s v="C1.0_E0.0"/>
    <n v="173.19017429526201"/>
    <n v="0"/>
    <n v="0"/>
    <n v="0"/>
    <n v="0"/>
    <n v="0"/>
    <n v="0"/>
    <n v="0"/>
    <n v="0"/>
    <n v="614.97101817963301"/>
    <n v="0"/>
    <n v="0"/>
    <n v="0"/>
    <n v="0"/>
    <n v="0"/>
    <n v="0"/>
    <n v="0.45032877910732999"/>
    <n v="3550.8424232612902"/>
    <n v="0"/>
  </r>
  <r>
    <x v="0"/>
    <x v="7"/>
    <n v="2030"/>
    <x v="0"/>
    <x v="2"/>
    <x v="0"/>
    <x v="2"/>
    <n v="0"/>
    <n v="0"/>
    <s v="C1.0_E0.0"/>
    <n v="1209.3346184438301"/>
    <n v="0"/>
    <n v="0"/>
    <n v="0"/>
    <n v="0"/>
    <n v="0"/>
    <n v="0"/>
    <n v="0"/>
    <n v="0"/>
    <n v="107.179331605689"/>
    <n v="0"/>
    <n v="100.748571709348"/>
    <n v="0"/>
    <n v="0"/>
    <n v="0"/>
    <n v="0"/>
    <n v="1.1239910718081E-2"/>
    <n v="88.626696012068805"/>
    <n v="0"/>
  </r>
  <r>
    <x v="0"/>
    <x v="8"/>
    <n v="2030"/>
    <x v="0"/>
    <x v="2"/>
    <x v="0"/>
    <x v="2"/>
    <n v="0"/>
    <n v="0"/>
    <s v="C1.0_E0.0"/>
    <n v="1224.46236047619"/>
    <n v="0"/>
    <n v="0"/>
    <n v="0"/>
    <n v="0"/>
    <n v="0"/>
    <n v="0"/>
    <n v="0"/>
    <n v="0"/>
    <n v="107.130489056765"/>
    <n v="0"/>
    <n v="0"/>
    <n v="0"/>
    <n v="0"/>
    <n v="0"/>
    <n v="0"/>
    <n v="1.10959872802717E-2"/>
    <n v="87.4918597049423"/>
    <n v="0"/>
  </r>
  <r>
    <x v="0"/>
    <x v="9"/>
    <n v="2030"/>
    <x v="0"/>
    <x v="2"/>
    <x v="0"/>
    <x v="2"/>
    <n v="0"/>
    <n v="0"/>
    <s v="C1.0_E0.0"/>
    <n v="542.69498806209299"/>
    <n v="250.04965964821801"/>
    <n v="20.439773861984499"/>
    <n v="0.53817759878317994"/>
    <n v="0"/>
    <n v="0"/>
    <n v="0"/>
    <n v="0"/>
    <n v="20.977951460767699"/>
    <n v="2483.6703609074002"/>
    <n v="0"/>
    <n v="0"/>
    <n v="0"/>
    <n v="0"/>
    <n v="0"/>
    <n v="8.4463509292366408E-3"/>
    <n v="0.58041208464552896"/>
    <n v="4576.5492874299898"/>
    <n v="2.2536990832673198"/>
  </r>
  <r>
    <x v="0"/>
    <x v="10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1"/>
    <n v="2030"/>
    <x v="0"/>
    <x v="2"/>
    <x v="0"/>
    <x v="2"/>
    <n v="0"/>
    <n v="0"/>
    <s v="C1.0_E0.0"/>
    <n v="1276.8006177780001"/>
    <n v="2551.2140167046"/>
    <n v="233.30366484568901"/>
    <n v="48.002223034217401"/>
    <n v="12.5003330618785"/>
    <n v="0"/>
    <n v="0"/>
    <n v="0"/>
    <n v="293.806220941785"/>
    <n v="4439.7750130716104"/>
    <n v="0"/>
    <n v="0"/>
    <n v="0"/>
    <n v="0"/>
    <n v="0"/>
    <n v="6.6175925599103305E-2"/>
    <n v="0.44099755421501102"/>
    <n v="3477.2657149853599"/>
    <n v="45587.540425460997"/>
  </r>
  <r>
    <x v="0"/>
    <x v="12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3"/>
    <n v="2030"/>
    <x v="0"/>
    <x v="2"/>
    <x v="0"/>
    <x v="2"/>
    <n v="0"/>
    <n v="0"/>
    <s v="C1.0_E0.0"/>
    <n v="1136.7745413371999"/>
    <n v="0"/>
    <n v="0"/>
    <n v="0"/>
    <n v="0"/>
    <n v="0"/>
    <n v="0"/>
    <n v="0"/>
    <n v="0"/>
    <n v="186.95938697791601"/>
    <n v="0"/>
    <n v="0"/>
    <n v="0"/>
    <n v="0"/>
    <n v="0"/>
    <n v="0"/>
    <n v="2.0857931600273799E-2"/>
    <n v="164.464790668159"/>
    <n v="0"/>
  </r>
  <r>
    <x v="0"/>
    <x v="1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5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6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7"/>
    <n v="2030"/>
    <x v="0"/>
    <x v="1"/>
    <x v="0"/>
    <x v="0"/>
    <n v="0"/>
    <n v="0"/>
    <s v="C1.0_E0.0"/>
    <n v="65.360424117294201"/>
    <n v="0"/>
    <n v="0"/>
    <n v="0"/>
    <n v="0"/>
    <n v="0"/>
    <n v="0"/>
    <n v="43.375319225953497"/>
    <n v="43.375319225953497"/>
    <n v="318.33546725819298"/>
    <n v="0"/>
    <n v="0"/>
    <n v="0"/>
    <n v="0"/>
    <n v="0"/>
    <n v="0.136256633920005"/>
    <n v="0.61768701090066302"/>
    <n v="4870.4620809517301"/>
    <n v="155.22512839864001"/>
  </r>
  <r>
    <x v="0"/>
    <x v="26"/>
    <n v="2030"/>
    <x v="0"/>
    <x v="1"/>
    <x v="0"/>
    <x v="0"/>
    <n v="0"/>
    <n v="0"/>
    <s v="C1.0_E0.0"/>
    <n v="81.7150289097317"/>
    <n v="333.80589309625401"/>
    <n v="31.270528505608802"/>
    <n v="47.239192907220598"/>
    <n v="0"/>
    <n v="0"/>
    <n v="0"/>
    <n v="0"/>
    <n v="78.509721412829506"/>
    <n v="397.98994974874699"/>
    <n v="0"/>
    <n v="130.21673969849101"/>
    <n v="0.82620346799688804"/>
    <n v="41.517762210898901"/>
    <n v="149.46394395923599"/>
    <n v="0.197265587893345"/>
    <n v="0.61768701090066302"/>
    <n v="4870.4620809517301"/>
    <n v="1006.9418331498"/>
  </r>
  <r>
    <x v="0"/>
    <x v="1"/>
    <n v="2030"/>
    <x v="0"/>
    <x v="1"/>
    <x v="0"/>
    <x v="0"/>
    <n v="0"/>
    <n v="0"/>
    <s v="C1.0_E0.0"/>
    <n v="167.76824963656699"/>
    <n v="4.3863330202327697"/>
    <n v="0.446757706744629"/>
    <n v="0"/>
    <n v="0.159471436240432"/>
    <n v="0"/>
    <n v="0"/>
    <n v="0"/>
    <n v="0.60622914298506103"/>
    <n v="615.834694640203"/>
    <n v="0"/>
    <n v="2.4633387785607499"/>
    <n v="0"/>
    <n v="0"/>
    <n v="0"/>
    <n v="9.84402386324216E-4"/>
    <n v="0.465535368124597"/>
    <n v="3670.74637766245"/>
    <n v="0"/>
  </r>
  <r>
    <x v="0"/>
    <x v="2"/>
    <n v="2030"/>
    <x v="0"/>
    <x v="1"/>
    <x v="0"/>
    <x v="0"/>
    <n v="0"/>
    <n v="0"/>
    <s v="C1.0_E0.0"/>
    <n v="11.2404727256499"/>
    <n v="465.74942136150798"/>
    <n v="43.630837137306798"/>
    <n v="9.3149884272301797"/>
    <n v="0"/>
    <n v="0"/>
    <n v="0"/>
    <n v="0"/>
    <n v="52.945825564536896"/>
    <n v="41.2609245408932"/>
    <n v="0"/>
    <n v="1951.6417307843799"/>
    <n v="0"/>
    <n v="0"/>
    <n v="0"/>
    <n v="1.28319532714452"/>
    <n v="0.465535368124597"/>
    <n v="3670.74637766245"/>
    <n v="865.30843025428203"/>
  </r>
  <r>
    <x v="0"/>
    <x v="20"/>
    <n v="2030"/>
    <x v="0"/>
    <x v="1"/>
    <x v="0"/>
    <x v="0"/>
    <n v="0"/>
    <n v="0"/>
    <s v="C1.0_E0.0"/>
    <n v="8.4672776584959699"/>
    <n v="0"/>
    <n v="0"/>
    <n v="0"/>
    <n v="0"/>
    <n v="0"/>
    <n v="0"/>
    <n v="0"/>
    <n v="0"/>
    <n v="41.239554764591702"/>
    <n v="0"/>
    <n v="0"/>
    <n v="0"/>
    <n v="0"/>
    <n v="0"/>
    <n v="0"/>
    <n v="0.61768701090066302"/>
    <n v="4870.4620809517301"/>
    <n v="0"/>
  </r>
  <r>
    <x v="0"/>
    <x v="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5"/>
    <n v="2030"/>
    <x v="0"/>
    <x v="1"/>
    <x v="0"/>
    <x v="0"/>
    <n v="0"/>
    <n v="0"/>
    <s v="C1.0_E0.0"/>
    <n v="111.152657853227"/>
    <n v="0"/>
    <n v="0"/>
    <n v="0"/>
    <n v="0"/>
    <n v="0"/>
    <n v="0"/>
    <n v="0"/>
    <n v="0"/>
    <n v="464.82183583480997"/>
    <n v="0"/>
    <n v="0"/>
    <n v="0"/>
    <n v="0"/>
    <n v="0"/>
    <n v="0"/>
    <n v="0.53035292945272505"/>
    <n v="4181.8328487347299"/>
    <n v="0"/>
  </r>
  <r>
    <x v="0"/>
    <x v="6"/>
    <n v="2030"/>
    <x v="0"/>
    <x v="1"/>
    <x v="0"/>
    <x v="0"/>
    <n v="0"/>
    <n v="0"/>
    <s v="C1.0_E0.0"/>
    <n v="87.226068351043907"/>
    <n v="0"/>
    <n v="0"/>
    <n v="0"/>
    <n v="0"/>
    <n v="0"/>
    <n v="0"/>
    <n v="0"/>
    <n v="0"/>
    <n v="320.18477443732002"/>
    <n v="0"/>
    <n v="0"/>
    <n v="0"/>
    <n v="0"/>
    <n v="0"/>
    <n v="0"/>
    <n v="0.465535368124597"/>
    <n v="3670.74637766245"/>
    <n v="0"/>
  </r>
  <r>
    <x v="0"/>
    <x v="7"/>
    <n v="2030"/>
    <x v="0"/>
    <x v="1"/>
    <x v="0"/>
    <x v="0"/>
    <n v="0"/>
    <n v="0"/>
    <s v="C1.0_E0.0"/>
    <n v="604.90019375792895"/>
    <n v="0"/>
    <n v="0"/>
    <n v="0"/>
    <n v="0"/>
    <n v="0"/>
    <n v="0"/>
    <n v="0"/>
    <n v="0"/>
    <n v="25.463244062549801"/>
    <n v="0"/>
    <n v="23.935449418796601"/>
    <n v="0"/>
    <n v="0"/>
    <n v="0"/>
    <n v="0"/>
    <n v="5.3386114238095899E-3"/>
    <n v="42.094951076738603"/>
    <n v="0"/>
  </r>
  <r>
    <x v="0"/>
    <x v="8"/>
    <n v="2030"/>
    <x v="0"/>
    <x v="1"/>
    <x v="0"/>
    <x v="0"/>
    <n v="0"/>
    <n v="0"/>
    <s v="C1.0_E0.0"/>
    <n v="613.36747141642502"/>
    <n v="0"/>
    <n v="0"/>
    <n v="0"/>
    <n v="0"/>
    <n v="0"/>
    <n v="0"/>
    <n v="0"/>
    <n v="0"/>
    <n v="25.441874286250801"/>
    <n v="0"/>
    <n v="0"/>
    <n v="0"/>
    <n v="0"/>
    <n v="0"/>
    <n v="0"/>
    <n v="5.2604956313089101E-3"/>
    <n v="41.479008052870697"/>
    <n v="0"/>
  </r>
  <r>
    <x v="0"/>
    <x v="9"/>
    <n v="2030"/>
    <x v="0"/>
    <x v="1"/>
    <x v="0"/>
    <x v="0"/>
    <n v="0"/>
    <n v="0"/>
    <s v="C1.0_E0.0"/>
    <n v="237.44195887673399"/>
    <n v="109.402670578082"/>
    <n v="8.9428869835661793"/>
    <n v="0.23546549367438499"/>
    <n v="0"/>
    <n v="0"/>
    <n v="0"/>
    <n v="0"/>
    <n v="9.1783524772405691"/>
    <n v="1029.0032619507899"/>
    <n v="0"/>
    <n v="0"/>
    <n v="0"/>
    <n v="0"/>
    <n v="0"/>
    <n v="8.9196534322351795E-3"/>
    <n v="0.54961374763385695"/>
    <n v="4333.70440009296"/>
    <n v="0.98604692658128601"/>
  </r>
  <r>
    <x v="0"/>
    <x v="10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1"/>
    <n v="2030"/>
    <x v="0"/>
    <x v="1"/>
    <x v="0"/>
    <x v="0"/>
    <n v="0"/>
    <n v="0"/>
    <s v="C1.0_E0.0"/>
    <n v="626.67606131465095"/>
    <n v="1252.18043388912"/>
    <n v="114.509516787522"/>
    <n v="23.560330130307801"/>
    <n v="6.1353819690126903"/>
    <n v="0"/>
    <n v="0"/>
    <n v="0"/>
    <n v="144.205228886843"/>
    <n v="2179.1191824114799"/>
    <n v="0"/>
    <n v="0"/>
    <n v="0"/>
    <n v="0"/>
    <n v="0"/>
    <n v="6.6175925599104096E-2"/>
    <n v="0.44099755421501202"/>
    <n v="3477.2657149853699"/>
    <n v="22375.161697969601"/>
  </r>
  <r>
    <x v="0"/>
    <x v="12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3"/>
    <n v="2030"/>
    <x v="0"/>
    <x v="1"/>
    <x v="0"/>
    <x v="0"/>
    <n v="0"/>
    <n v="0"/>
    <s v="C1.0_E0.0"/>
    <n v="564.955418069659"/>
    <n v="0"/>
    <n v="0"/>
    <n v="0"/>
    <n v="0"/>
    <n v="0"/>
    <n v="0"/>
    <n v="0"/>
    <n v="0"/>
    <n v="70.861923731360903"/>
    <n v="0"/>
    <n v="0"/>
    <n v="0"/>
    <n v="0"/>
    <n v="0"/>
    <n v="0"/>
    <n v="1.5907321644347001E-2"/>
    <n v="125.429231165676"/>
    <n v="0"/>
  </r>
  <r>
    <x v="0"/>
    <x v="1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5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6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0"/>
    <n v="2030"/>
    <x v="0"/>
    <x v="0"/>
    <x v="0"/>
    <x v="0"/>
    <n v="0"/>
    <n v="0"/>
    <s v="C1.0_E0.0"/>
    <n v="59.160481447996403"/>
    <n v="248.00073823000099"/>
    <n v="23.232406361373201"/>
    <n v="25.7939699113264"/>
    <n v="4.4402670967740601E-2"/>
    <n v="0"/>
    <n v="0"/>
    <n v="0"/>
    <n v="49.070778943667399"/>
    <n v="425.80645161288902"/>
    <n v="0"/>
    <n v="161.80645161291201"/>
    <n v="0.642826798082752"/>
    <n v="34.5605805420834"/>
    <n v="124.41808995149999"/>
    <n v="0.11524198085255601"/>
    <n v="0.91280674400390505"/>
    <n v="7197.4811764707902"/>
    <n v="896.29611772332305"/>
  </r>
  <r>
    <x v="1"/>
    <x v="1"/>
    <n v="2030"/>
    <x v="0"/>
    <x v="0"/>
    <x v="0"/>
    <x v="0"/>
    <n v="0"/>
    <n v="0"/>
    <s v="C1.0_E0.0"/>
    <n v="159.563392020994"/>
    <n v="4.1718154463565602"/>
    <n v="0.42490861801395402"/>
    <n v="0"/>
    <n v="0.296349525271561"/>
    <n v="0"/>
    <n v="0"/>
    <n v="0"/>
    <n v="0.72125814328551596"/>
    <n v="1144.4201150055101"/>
    <n v="0"/>
    <n v="4.5776804600227399"/>
    <n v="0"/>
    <n v="0"/>
    <n v="0"/>
    <n v="6.30238960175946E-4"/>
    <n v="0.90960015340391498"/>
    <n v="7172.19720958987"/>
    <n v="0"/>
  </r>
  <r>
    <x v="1"/>
    <x v="2"/>
    <n v="2030"/>
    <x v="0"/>
    <x v="0"/>
    <x v="0"/>
    <x v="0"/>
    <n v="0"/>
    <n v="0"/>
    <s v="C1.0_E0.0"/>
    <n v="10.6907472654066"/>
    <n v="442.97152569242502"/>
    <n v="41.497031681653901"/>
    <n v="8.8594305138485101"/>
    <n v="0"/>
    <n v="0"/>
    <n v="0"/>
    <n v="0"/>
    <n v="50.356462195502402"/>
    <n v="76.676147705380203"/>
    <n v="0"/>
    <n v="3626.7817864641602"/>
    <n v="0"/>
    <n v="0"/>
    <n v="0"/>
    <n v="0.65674220344234802"/>
    <n v="0.90960015340391498"/>
    <n v="7172.19720958987"/>
    <n v="822.98974075748504"/>
  </r>
  <r>
    <x v="1"/>
    <x v="3"/>
    <n v="2030"/>
    <x v="0"/>
    <x v="0"/>
    <x v="0"/>
    <x v="0"/>
    <n v="0"/>
    <n v="0"/>
    <s v="C1.0_E0.0"/>
    <n v="10.6531479198072"/>
    <n v="0"/>
    <n v="0"/>
    <n v="0"/>
    <n v="0"/>
    <n v="0"/>
    <n v="0"/>
    <n v="0"/>
    <n v="0"/>
    <n v="76.6758316229554"/>
    <n v="0"/>
    <n v="0"/>
    <n v="0"/>
    <n v="0"/>
    <n v="0"/>
    <n v="0"/>
    <n v="0.91280674400390505"/>
    <n v="7197.4811764707902"/>
    <n v="0"/>
  </r>
  <r>
    <x v="1"/>
    <x v="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5"/>
    <n v="2030"/>
    <x v="0"/>
    <x v="0"/>
    <x v="0"/>
    <x v="0"/>
    <n v="0"/>
    <n v="0"/>
    <s v="C1.0_E0.0"/>
    <n v="60.680681478442096"/>
    <n v="0"/>
    <n v="0"/>
    <n v="0"/>
    <n v="0"/>
    <n v="0"/>
    <n v="0"/>
    <n v="0"/>
    <n v="0"/>
    <n v="435.21381437569602"/>
    <n v="0"/>
    <n v="0"/>
    <n v="0"/>
    <n v="0"/>
    <n v="0"/>
    <n v="0"/>
    <n v="0.90960015340393396"/>
    <n v="7172.1972095900101"/>
    <n v="0"/>
  </r>
  <r>
    <x v="1"/>
    <x v="6"/>
    <n v="2030"/>
    <x v="0"/>
    <x v="0"/>
    <x v="0"/>
    <x v="0"/>
    <n v="0"/>
    <n v="0"/>
    <s v="C1.0_E0.0"/>
    <n v="82.960198779547298"/>
    <n v="0"/>
    <n v="0"/>
    <n v="0"/>
    <n v="0"/>
    <n v="0"/>
    <n v="0"/>
    <n v="0"/>
    <n v="0"/>
    <n v="595.00690619383397"/>
    <n v="0"/>
    <n v="0"/>
    <n v="0"/>
    <n v="0"/>
    <n v="0"/>
    <n v="0"/>
    <n v="0.90960015340393396"/>
    <n v="7172.1972095900101"/>
    <n v="0"/>
  </r>
  <r>
    <x v="1"/>
    <x v="7"/>
    <n v="2030"/>
    <x v="0"/>
    <x v="0"/>
    <x v="0"/>
    <x v="0"/>
    <n v="0"/>
    <n v="0"/>
    <s v="C1.0_E0.0"/>
    <n v="3.1959443759421799"/>
    <n v="0"/>
    <n v="0"/>
    <n v="0"/>
    <n v="0"/>
    <n v="0"/>
    <n v="0"/>
    <n v="0"/>
    <n v="0"/>
    <n v="0.33161369507087102"/>
    <n v="0"/>
    <n v="0.31171687336659998"/>
    <n v="0"/>
    <n v="0"/>
    <n v="0"/>
    <n v="0"/>
    <n v="1.31592624367457E-2"/>
    <n v="103.76078431374"/>
    <n v="0"/>
  </r>
  <r>
    <x v="1"/>
    <x v="8"/>
    <n v="2030"/>
    <x v="0"/>
    <x v="0"/>
    <x v="0"/>
    <x v="0"/>
    <n v="0"/>
    <n v="0"/>
    <s v="C1.0_E0.0"/>
    <n v="3.1959443759421799"/>
    <n v="0"/>
    <n v="0"/>
    <n v="0"/>
    <n v="0"/>
    <n v="0"/>
    <n v="0"/>
    <n v="0"/>
    <n v="0"/>
    <n v="0.33129761266004698"/>
    <n v="0"/>
    <n v="0"/>
    <n v="0"/>
    <n v="0"/>
    <n v="0"/>
    <n v="0"/>
    <n v="1.3146719494589801E-2"/>
    <n v="103.661883214841"/>
    <n v="0"/>
  </r>
  <r>
    <x v="1"/>
    <x v="9"/>
    <n v="2030"/>
    <x v="0"/>
    <x v="0"/>
    <x v="0"/>
    <x v="0"/>
    <n v="0"/>
    <n v="0"/>
    <s v="C1.0_E0.0"/>
    <n v="3.51202678674965"/>
    <n v="1.6181853933054899"/>
    <n v="0.13227509908416901"/>
    <n v="3.4827927003793901E-3"/>
    <n v="0"/>
    <n v="0"/>
    <n v="0"/>
    <n v="0"/>
    <n v="0.135757891784548"/>
    <n v="15.5902135937358"/>
    <n v="0"/>
    <n v="0"/>
    <n v="0"/>
    <n v="0"/>
    <n v="0"/>
    <n v="8.7078917147803796E-3"/>
    <n v="0.562979457147467"/>
    <n v="4439.0930196077697"/>
    <n v="1.45847146625986E-2"/>
  </r>
  <r>
    <x v="1"/>
    <x v="10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1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2"/>
    <n v="2030"/>
    <x v="0"/>
    <x v="0"/>
    <x v="0"/>
    <x v="0"/>
    <n v="0"/>
    <n v="0"/>
    <s v="C1.0_E0.0"/>
    <n v="528.82692555686901"/>
    <n v="34.902577086753297"/>
    <n v="0"/>
    <n v="0"/>
    <n v="0"/>
    <n v="0"/>
    <n v="0"/>
    <n v="173.43554071910799"/>
    <n v="173.43554071910799"/>
    <n v="3793.4776354114201"/>
    <n v="0"/>
    <n v="0"/>
    <n v="0"/>
    <n v="0"/>
    <n v="0"/>
    <n v="4.5719405091549502E-2"/>
    <n v="0.90975043292074798"/>
    <n v="7173.3821635800996"/>
    <n v="0"/>
  </r>
  <r>
    <x v="1"/>
    <x v="13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4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5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6"/>
    <n v="2030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22"/>
    <n v="2030"/>
    <x v="0"/>
    <x v="2"/>
    <x v="0"/>
    <x v="1"/>
    <n v="0"/>
    <n v="0"/>
    <s v="C1.0_E0.0"/>
    <n v="75.2776593346981"/>
    <n v="173.13861646980499"/>
    <n v="17.634550520034001"/>
    <n v="5.1941584940941699"/>
    <n v="1.45266331658304"/>
    <n v="0"/>
    <n v="0"/>
    <n v="0"/>
    <n v="24.2813723307112"/>
    <n v="581.06532663320195"/>
    <n v="0"/>
    <n v="63.917185929652"/>
    <n v="0"/>
    <n v="0"/>
    <n v="0"/>
    <n v="4.1787680692293099E-2"/>
    <n v="0.97894243926484104"/>
    <n v="7718.9611336032704"/>
    <n v="0"/>
  </r>
  <r>
    <x v="1"/>
    <x v="23"/>
    <n v="2030"/>
    <x v="0"/>
    <x v="2"/>
    <x v="0"/>
    <x v="1"/>
    <n v="0"/>
    <n v="0"/>
    <s v="C1.0_E0.0"/>
    <n v="51.5600406402042"/>
    <n v="214.88017657166699"/>
    <n v="20.1297125837051"/>
    <n v="31.857977442667099"/>
    <n v="10.760650675701999"/>
    <n v="0"/>
    <n v="0"/>
    <n v="0"/>
    <n v="62.748340702074202"/>
    <n v="397.98994974867202"/>
    <n v="0"/>
    <n v="125.76482412061"/>
    <n v="0.81386339379449102"/>
    <n v="40.8976579796227"/>
    <n v="147.231568726641"/>
    <n v="0.15766312878427999"/>
    <n v="0.97894243926484104"/>
    <n v="7718.9611336032704"/>
    <n v="635.35389428642202"/>
  </r>
  <r>
    <x v="1"/>
    <x v="1"/>
    <n v="2030"/>
    <x v="0"/>
    <x v="2"/>
    <x v="0"/>
    <x v="1"/>
    <n v="0"/>
    <n v="0"/>
    <s v="C1.0_E0.0"/>
    <n v="153.80530635231401"/>
    <n v="4.0212691936742297"/>
    <n v="0.40957514964821001"/>
    <n v="0"/>
    <n v="0.30610526639444802"/>
    <n v="0"/>
    <n v="0"/>
    <n v="0"/>
    <n v="0.71568041604265897"/>
    <n v="1182.09409598311"/>
    <n v="0"/>
    <n v="4.7283763839328099"/>
    <n v="0"/>
    <n v="0"/>
    <n v="0"/>
    <n v="6.0543438840835004E-4"/>
    <n v="0.97471810164870598"/>
    <n v="7685.6522315000502"/>
    <n v="0"/>
  </r>
  <r>
    <x v="1"/>
    <x v="2"/>
    <n v="2030"/>
    <x v="0"/>
    <x v="2"/>
    <x v="0"/>
    <x v="1"/>
    <n v="0"/>
    <n v="0"/>
    <s v="C1.0_E0.0"/>
    <n v="10.304955525604999"/>
    <n v="426.98623005903102"/>
    <n v="39.999548703932803"/>
    <n v="8.5397246011806303"/>
    <n v="0"/>
    <n v="0"/>
    <n v="0"/>
    <n v="0"/>
    <n v="48.539273305113397"/>
    <n v="79.200304430884501"/>
    <n v="0"/>
    <n v="3746.1743995809402"/>
    <n v="0"/>
    <n v="0"/>
    <n v="0"/>
    <n v="0.61286725668424802"/>
    <n v="0.97471810164870598"/>
    <n v="7685.6522315000502"/>
    <n v="793.29091465642898"/>
  </r>
  <r>
    <x v="1"/>
    <x v="24"/>
    <n v="2030"/>
    <x v="0"/>
    <x v="2"/>
    <x v="0"/>
    <x v="1"/>
    <n v="0"/>
    <n v="0"/>
    <s v="C1.0_E0.0"/>
    <n v="10.260448087400601"/>
    <n v="0"/>
    <n v="0"/>
    <n v="0"/>
    <n v="0"/>
    <n v="0"/>
    <n v="0"/>
    <n v="0"/>
    <n v="0"/>
    <n v="79.199999999996294"/>
    <n v="0"/>
    <n v="0"/>
    <n v="0"/>
    <n v="0"/>
    <n v="0"/>
    <n v="0"/>
    <n v="0.97894243926484104"/>
    <n v="7718.9611336032704"/>
    <n v="0"/>
  </r>
  <r>
    <x v="1"/>
    <x v="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5"/>
    <n v="2030"/>
    <x v="0"/>
    <x v="2"/>
    <x v="0"/>
    <x v="1"/>
    <n v="0"/>
    <n v="0"/>
    <s v="C1.0_E0.0"/>
    <n v="93.551755198673305"/>
    <n v="0"/>
    <n v="0"/>
    <n v="0"/>
    <n v="0"/>
    <n v="0"/>
    <n v="0"/>
    <n v="0"/>
    <n v="0"/>
    <n v="720.17409377883905"/>
    <n v="0"/>
    <n v="0"/>
    <n v="0"/>
    <n v="0"/>
    <n v="0"/>
    <n v="0"/>
    <n v="0.97630127636007202"/>
    <n v="7698.1355640991696"/>
    <n v="0"/>
  </r>
  <r>
    <x v="1"/>
    <x v="6"/>
    <n v="2030"/>
    <x v="0"/>
    <x v="2"/>
    <x v="0"/>
    <x v="1"/>
    <n v="0"/>
    <n v="0"/>
    <s v="C1.0_E0.0"/>
    <n v="79.966454878695501"/>
    <n v="0"/>
    <n v="0"/>
    <n v="0"/>
    <n v="0"/>
    <n v="0"/>
    <n v="0"/>
    <n v="0"/>
    <n v="0"/>
    <n v="614.59436238355897"/>
    <n v="0"/>
    <n v="0"/>
    <n v="0"/>
    <n v="0"/>
    <n v="0"/>
    <n v="0"/>
    <n v="0.97471810164870598"/>
    <n v="7685.6522315000502"/>
    <n v="0"/>
  </r>
  <r>
    <x v="1"/>
    <x v="7"/>
    <n v="2030"/>
    <x v="0"/>
    <x v="2"/>
    <x v="0"/>
    <x v="1"/>
    <n v="0"/>
    <n v="0"/>
    <s v="C1.0_E0.0"/>
    <n v="2.3215079767445199"/>
    <n v="0"/>
    <n v="0"/>
    <n v="0"/>
    <n v="0"/>
    <n v="0"/>
    <n v="0"/>
    <n v="0"/>
    <n v="0"/>
    <n v="0.30967088637638401"/>
    <n v="0"/>
    <n v="0.291090633193821"/>
    <n v="0"/>
    <n v="0"/>
    <n v="0"/>
    <n v="0"/>
    <n v="1.6917200607400901E-2"/>
    <n v="133.39212678935601"/>
    <n v="0"/>
  </r>
  <r>
    <x v="1"/>
    <x v="8"/>
    <n v="2030"/>
    <x v="0"/>
    <x v="2"/>
    <x v="0"/>
    <x v="1"/>
    <n v="0"/>
    <n v="0"/>
    <s v="C1.0_E0.0"/>
    <n v="3.0781344262201902"/>
    <n v="0"/>
    <n v="0"/>
    <n v="0"/>
    <n v="0"/>
    <n v="0"/>
    <n v="0"/>
    <n v="0"/>
    <n v="0"/>
    <n v="0.30936645549907399"/>
    <n v="0"/>
    <n v="0"/>
    <n v="0"/>
    <n v="0"/>
    <n v="0"/>
    <n v="0"/>
    <n v="1.2746294300209699E-2"/>
    <n v="100.504530557153"/>
    <n v="0"/>
  </r>
  <r>
    <x v="1"/>
    <x v="9"/>
    <n v="2030"/>
    <x v="0"/>
    <x v="2"/>
    <x v="0"/>
    <x v="1"/>
    <n v="0"/>
    <n v="0"/>
    <s v="C1.0_E0.0"/>
    <n v="3.3825653035386698"/>
    <n v="1.55853531264037"/>
    <n v="0.12739913100103101"/>
    <n v="3.3544088536477399E-3"/>
    <n v="0"/>
    <n v="0"/>
    <n v="0"/>
    <n v="0"/>
    <n v="0.130753539854679"/>
    <n v="14.8721023196331"/>
    <n v="0"/>
    <n v="0"/>
    <n v="0"/>
    <n v="0"/>
    <n v="0"/>
    <n v="8.7918666133749504E-3"/>
    <n v="0.55760219826675705"/>
    <n v="4396.69333333338"/>
    <n v="1.40470881275298E-2"/>
  </r>
  <r>
    <x v="1"/>
    <x v="10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1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2"/>
    <n v="2030"/>
    <x v="0"/>
    <x v="2"/>
    <x v="0"/>
    <x v="1"/>
    <n v="0"/>
    <n v="0"/>
    <s v="C1.0_E0.0"/>
    <n v="512.65496994756302"/>
    <n v="33.835228016539197"/>
    <n v="0"/>
    <n v="0"/>
    <n v="0"/>
    <n v="0"/>
    <n v="0"/>
    <n v="187.494030904775"/>
    <n v="187.494030904775"/>
    <n v="3940.8758766472602"/>
    <n v="0"/>
    <n v="0"/>
    <n v="0"/>
    <n v="0"/>
    <n v="0"/>
    <n v="4.7576741002126603E-2"/>
    <n v="0.97491305647999804"/>
    <n v="7687.1894503447902"/>
    <n v="0"/>
  </r>
  <r>
    <x v="1"/>
    <x v="13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4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5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6"/>
    <n v="2030"/>
    <x v="0"/>
    <x v="2"/>
    <x v="0"/>
    <x v="1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25"/>
    <n v="2030"/>
    <x v="0"/>
    <x v="2"/>
    <x v="0"/>
    <x v="2"/>
    <n v="0"/>
    <n v="0"/>
    <s v="C1.0_E0.0"/>
    <n v="73.876417606972097"/>
    <n v="443.25850564183298"/>
    <n v="45.146857879269596"/>
    <n v="22.162925282091599"/>
    <n v="0"/>
    <n v="0"/>
    <n v="0"/>
    <n v="0"/>
    <n v="67.309783161361295"/>
    <n v="581.06532663307701"/>
    <n v="0"/>
    <n v="273.10070351753302"/>
    <n v="0"/>
    <n v="0"/>
    <n v="0"/>
    <n v="0.11583858144037"/>
    <n v="0.99751040776376998"/>
    <n v="7865.3695652173301"/>
    <n v="0"/>
  </r>
  <r>
    <x v="1"/>
    <x v="23"/>
    <n v="2030"/>
    <x v="0"/>
    <x v="2"/>
    <x v="0"/>
    <x v="2"/>
    <n v="0"/>
    <n v="0"/>
    <s v="C1.0_E0.0"/>
    <n v="50.600286032170501"/>
    <n v="210.88033023564699"/>
    <n v="19.755011862551299"/>
    <n v="31.26496315731"/>
    <n v="10.760650675701701"/>
    <n v="0"/>
    <n v="0"/>
    <n v="0"/>
    <n v="61.780625695563003"/>
    <n v="397.98994974879997"/>
    <n v="0"/>
    <n v="125.764824120585"/>
    <n v="0.94951106841431498"/>
    <n v="47.714124040920296"/>
    <n v="171.770846547313"/>
    <n v="0.15523162264413201"/>
    <n v="0.99751040776377398"/>
    <n v="7865.3695652173601"/>
    <n v="623.52721959411997"/>
  </r>
  <r>
    <x v="1"/>
    <x v="1"/>
    <n v="2030"/>
    <x v="0"/>
    <x v="2"/>
    <x v="0"/>
    <x v="2"/>
    <n v="0"/>
    <n v="0"/>
    <s v="C1.0_E0.0"/>
    <n v="154.64664532739499"/>
    <n v="4.0432661623235502"/>
    <n v="0.41181558949255698"/>
    <n v="0"/>
    <n v="0.306111787840884"/>
    <n v="0"/>
    <n v="0"/>
    <n v="0"/>
    <n v="0.71792737733344203"/>
    <n v="1182.1192800106801"/>
    <n v="0"/>
    <n v="4.7284771200426201"/>
    <n v="0"/>
    <n v="0"/>
    <n v="0"/>
    <n v="6.0732228081666504E-4"/>
    <n v="0.96943590227771603"/>
    <n v="7644.0020894597901"/>
    <n v="0"/>
  </r>
  <r>
    <x v="1"/>
    <x v="2"/>
    <n v="2030"/>
    <x v="0"/>
    <x v="2"/>
    <x v="0"/>
    <x v="2"/>
    <n v="0"/>
    <n v="0"/>
    <s v="C1.0_E0.0"/>
    <n v="10.3613252369355"/>
    <n v="429.32191122433898"/>
    <n v="40.218352463753497"/>
    <n v="8.5864382244867894"/>
    <n v="0"/>
    <n v="0"/>
    <n v="0"/>
    <n v="0"/>
    <n v="48.804790688240303"/>
    <n v="79.201991760711806"/>
    <n v="0"/>
    <n v="3746.2542102818502"/>
    <n v="0"/>
    <n v="0"/>
    <n v="0"/>
    <n v="0.61620660798141602"/>
    <n v="0.96943590227771603"/>
    <n v="7644.0020894597901"/>
    <n v="797.63033948452505"/>
  </r>
  <r>
    <x v="1"/>
    <x v="24"/>
    <n v="2030"/>
    <x v="0"/>
    <x v="2"/>
    <x v="0"/>
    <x v="2"/>
    <n v="0"/>
    <n v="0"/>
    <s v="C1.0_E0.0"/>
    <n v="10.069456920402001"/>
    <n v="0"/>
    <n v="0"/>
    <n v="0"/>
    <n v="0"/>
    <n v="0"/>
    <n v="0"/>
    <n v="0"/>
    <n v="0"/>
    <n v="79.199999999989799"/>
    <n v="0"/>
    <n v="0"/>
    <n v="0"/>
    <n v="0"/>
    <n v="0"/>
    <n v="0"/>
    <n v="0.99751040776377398"/>
    <n v="7865.3695652173501"/>
    <n v="0"/>
  </r>
  <r>
    <x v="1"/>
    <x v="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5"/>
    <n v="2030"/>
    <x v="0"/>
    <x v="2"/>
    <x v="0"/>
    <x v="2"/>
    <n v="0"/>
    <n v="0"/>
    <s v="C1.0_E0.0"/>
    <n v="93.2190765467234"/>
    <n v="0"/>
    <n v="0"/>
    <n v="0"/>
    <n v="0"/>
    <n v="0"/>
    <n v="0"/>
    <n v="0"/>
    <n v="0"/>
    <n v="720.18367106285302"/>
    <n v="0"/>
    <n v="0"/>
    <n v="0"/>
    <n v="0"/>
    <n v="0"/>
    <n v="0"/>
    <n v="0.97979851346305002"/>
    <n v="7725.7112786561502"/>
    <n v="0"/>
  </r>
  <r>
    <x v="1"/>
    <x v="6"/>
    <n v="2030"/>
    <x v="0"/>
    <x v="2"/>
    <x v="0"/>
    <x v="2"/>
    <n v="0"/>
    <n v="0"/>
    <s v="C1.0_E0.0"/>
    <n v="80.403883838619507"/>
    <n v="0"/>
    <n v="0"/>
    <n v="0"/>
    <n v="0"/>
    <n v="0"/>
    <n v="0"/>
    <n v="0"/>
    <n v="0"/>
    <n v="614.60745606305704"/>
    <n v="0"/>
    <n v="0"/>
    <n v="0"/>
    <n v="0"/>
    <n v="0"/>
    <n v="0"/>
    <n v="0.96943590227771603"/>
    <n v="7644.0020894597901"/>
    <n v="0"/>
  </r>
  <r>
    <x v="1"/>
    <x v="7"/>
    <n v="2030"/>
    <x v="0"/>
    <x v="2"/>
    <x v="0"/>
    <x v="2"/>
    <n v="0"/>
    <n v="0"/>
    <s v="C1.0_E0.0"/>
    <n v="0.29186831653357798"/>
    <n v="0"/>
    <n v="0"/>
    <n v="0"/>
    <n v="0"/>
    <n v="0"/>
    <n v="0"/>
    <n v="0"/>
    <n v="0"/>
    <n v="1.85739864891197"/>
    <n v="0"/>
    <n v="1.74595472997748"/>
    <n v="0"/>
    <n v="0"/>
    <n v="0"/>
    <n v="0"/>
    <n v="0.80707979401639796"/>
    <n v="6363.8241758192999"/>
    <n v="0"/>
  </r>
  <r>
    <x v="1"/>
    <x v="8"/>
    <n v="2030"/>
    <x v="0"/>
    <x v="2"/>
    <x v="0"/>
    <x v="2"/>
    <n v="0"/>
    <n v="0"/>
    <s v="C1.0_E0.0"/>
    <n v="10.069456920402001"/>
    <n v="0"/>
    <n v="0"/>
    <n v="0"/>
    <n v="0"/>
    <n v="0"/>
    <n v="0"/>
    <n v="0"/>
    <n v="0"/>
    <n v="1.8554068882021"/>
    <n v="0"/>
    <n v="0"/>
    <n v="0"/>
    <n v="0"/>
    <n v="0"/>
    <n v="0"/>
    <n v="2.33685313335638E-2"/>
    <n v="184.26086956514999"/>
    <n v="0"/>
  </r>
  <r>
    <x v="1"/>
    <x v="9"/>
    <n v="2030"/>
    <x v="0"/>
    <x v="2"/>
    <x v="0"/>
    <x v="2"/>
    <n v="0"/>
    <n v="0"/>
    <s v="C1.0_E0.0"/>
    <n v="22.130674550334"/>
    <n v="10.196828348935"/>
    <n v="0.833517893425339"/>
    <n v="2.1946458970407999E-2"/>
    <n v="0"/>
    <n v="0"/>
    <n v="0"/>
    <n v="0"/>
    <n v="0.85546435239574703"/>
    <n v="97.211518075764999"/>
    <n v="0"/>
    <n v="0"/>
    <n v="0"/>
    <n v="0"/>
    <n v="0"/>
    <n v="8.8000307919171902E-3"/>
    <n v="0.55708488599708195"/>
    <n v="4392.6143260869903"/>
    <n v="9.1904075112757E-2"/>
  </r>
  <r>
    <x v="1"/>
    <x v="10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1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2"/>
    <n v="2030"/>
    <x v="0"/>
    <x v="2"/>
    <x v="0"/>
    <x v="2"/>
    <n v="0"/>
    <n v="0"/>
    <s v="C1.0_E0.0"/>
    <n v="541.69523316734205"/>
    <n v="35.751885389044503"/>
    <n v="0"/>
    <n v="0"/>
    <n v="0"/>
    <n v="0"/>
    <n v="0"/>
    <n v="198.42727112911899"/>
    <n v="198.42727112911899"/>
    <n v="4151.5941697692197"/>
    <n v="0"/>
    <n v="0"/>
    <n v="0"/>
    <n v="0"/>
    <n v="0"/>
    <n v="4.7795440260999703E-2"/>
    <n v="0.97198190930755302"/>
    <n v="7664.0773548900597"/>
    <n v="0"/>
  </r>
  <r>
    <x v="1"/>
    <x v="13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4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5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6"/>
    <n v="2030"/>
    <x v="0"/>
    <x v="2"/>
    <x v="0"/>
    <x v="2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7"/>
    <n v="2030"/>
    <x v="0"/>
    <x v="1"/>
    <x v="0"/>
    <x v="0"/>
    <n v="0"/>
    <n v="0"/>
    <s v="C1.0_E0.0"/>
    <n v="41.005518469100203"/>
    <n v="0"/>
    <n v="0"/>
    <n v="0"/>
    <n v="0"/>
    <n v="0"/>
    <n v="0"/>
    <n v="43.3753192259503"/>
    <n v="43.3753192259503"/>
    <n v="318.33546725819201"/>
    <n v="0"/>
    <n v="0"/>
    <n v="0"/>
    <n v="0"/>
    <n v="0"/>
    <n v="0.13625663391999501"/>
    <n v="0.98455735987427795"/>
    <n v="7763.2347826086798"/>
    <n v="97.384418099800797"/>
  </r>
  <r>
    <x v="1"/>
    <x v="26"/>
    <n v="2030"/>
    <x v="0"/>
    <x v="1"/>
    <x v="0"/>
    <x v="0"/>
    <n v="0"/>
    <n v="0"/>
    <s v="C1.0_E0.0"/>
    <n v="51.265994252850199"/>
    <n v="209.42158652289299"/>
    <n v="19.618358532590701"/>
    <n v="29.636704831446799"/>
    <n v="0"/>
    <n v="0"/>
    <n v="0"/>
    <n v="0"/>
    <n v="49.255063364037497"/>
    <n v="397.98994974879002"/>
    <n v="0"/>
    <n v="130.21673969850499"/>
    <n v="0.54707556919784495"/>
    <n v="27.491234633057498"/>
    <n v="98.968444679007206"/>
    <n v="0.12375956577578601"/>
    <n v="0.98455735987427795"/>
    <n v="7763.2347826086798"/>
    <n v="631.73047748949102"/>
  </r>
  <r>
    <x v="1"/>
    <x v="1"/>
    <n v="2030"/>
    <x v="0"/>
    <x v="1"/>
    <x v="0"/>
    <x v="0"/>
    <n v="0"/>
    <n v="0"/>
    <s v="C1.0_E0.0"/>
    <n v="79.630710067320706"/>
    <n v="2.0819601667748402"/>
    <n v="0.21205224166783301"/>
    <n v="0"/>
    <n v="0.159389452278797"/>
    <n v="0"/>
    <n v="0"/>
    <n v="0"/>
    <n v="0.37144169394663001"/>
    <n v="615.51809519659503"/>
    <n v="0"/>
    <n v="2.46207238078666"/>
    <n v="0"/>
    <n v="0"/>
    <n v="0"/>
    <n v="6.0346185895313498E-4"/>
    <n v="0.980298953394376"/>
    <n v="7729.6572475146604"/>
    <n v="0"/>
  </r>
  <r>
    <x v="1"/>
    <x v="2"/>
    <n v="2030"/>
    <x v="0"/>
    <x v="1"/>
    <x v="0"/>
    <x v="0"/>
    <n v="0"/>
    <n v="0"/>
    <s v="C1.0_E0.0"/>
    <n v="5.3352575745104902"/>
    <n v="221.06660358443"/>
    <n v="20.709249512954798"/>
    <n v="4.4213320716886004"/>
    <n v="0"/>
    <n v="0"/>
    <n v="0"/>
    <n v="0"/>
    <n v="25.130581584643402"/>
    <n v="41.239712378173003"/>
    <n v="0"/>
    <n v="1950.6383954873199"/>
    <n v="0"/>
    <n v="0"/>
    <n v="0"/>
    <n v="0.60937819726270304"/>
    <n v="0.980298953394376"/>
    <n v="7729.6572475146604"/>
    <n v="410.71612106375801"/>
  </r>
  <r>
    <x v="1"/>
    <x v="20"/>
    <n v="2030"/>
    <x v="0"/>
    <x v="1"/>
    <x v="0"/>
    <x v="0"/>
    <n v="0"/>
    <n v="0"/>
    <s v="C1.0_E0.0"/>
    <n v="5.3121612213741196"/>
    <n v="0"/>
    <n v="0"/>
    <n v="0"/>
    <n v="0"/>
    <n v="0"/>
    <n v="0"/>
    <n v="0"/>
    <n v="0"/>
    <n v="41.239554764599902"/>
    <n v="0"/>
    <n v="0"/>
    <n v="0"/>
    <n v="0"/>
    <n v="0"/>
    <n v="0"/>
    <n v="0.98455735987427795"/>
    <n v="7763.2347826086798"/>
    <n v="0"/>
  </r>
  <r>
    <x v="1"/>
    <x v="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5"/>
    <n v="2030"/>
    <x v="0"/>
    <x v="1"/>
    <x v="0"/>
    <x v="0"/>
    <n v="0"/>
    <n v="0"/>
    <s v="C1.0_E0.0"/>
    <n v="59.990232746615"/>
    <n v="0"/>
    <n v="0"/>
    <n v="0"/>
    <n v="0"/>
    <n v="0"/>
    <n v="0"/>
    <n v="0"/>
    <n v="0"/>
    <n v="464.70143559921303"/>
    <n v="0"/>
    <n v="0"/>
    <n v="0"/>
    <n v="0"/>
    <n v="0"/>
    <n v="0"/>
    <n v="0.98240772675308696"/>
    <n v="7746.2849254480898"/>
    <n v="0"/>
  </r>
  <r>
    <x v="1"/>
    <x v="6"/>
    <n v="2030"/>
    <x v="0"/>
    <x v="1"/>
    <x v="0"/>
    <x v="0"/>
    <n v="0"/>
    <n v="0"/>
    <s v="C1.0_E0.0"/>
    <n v="41.401598778225001"/>
    <n v="0"/>
    <n v="0"/>
    <n v="0"/>
    <n v="0"/>
    <n v="0"/>
    <n v="0"/>
    <n v="0"/>
    <n v="0"/>
    <n v="320.02016805455997"/>
    <n v="0"/>
    <n v="0"/>
    <n v="0"/>
    <n v="0"/>
    <n v="0"/>
    <n v="0"/>
    <n v="0.980298953393684"/>
    <n v="7729.6572475091898"/>
    <n v="0"/>
  </r>
  <r>
    <x v="1"/>
    <x v="7"/>
    <n v="2030"/>
    <x v="0"/>
    <x v="1"/>
    <x v="0"/>
    <x v="0"/>
    <n v="0"/>
    <n v="0"/>
    <s v="C1.0_E0.0"/>
    <n v="1.1779140099576499"/>
    <n v="0"/>
    <n v="0"/>
    <n v="0"/>
    <n v="0"/>
    <n v="0"/>
    <n v="0"/>
    <n v="0"/>
    <n v="0"/>
    <n v="0.15199303909321599"/>
    <n v="0"/>
    <n v="0.14287345674760599"/>
    <n v="0"/>
    <n v="0"/>
    <n v="0"/>
    <n v="0"/>
    <n v="1.6364713779725999E-2"/>
    <n v="129.035768153139"/>
    <n v="0"/>
  </r>
  <r>
    <x v="1"/>
    <x v="8"/>
    <n v="2030"/>
    <x v="0"/>
    <x v="1"/>
    <x v="0"/>
    <x v="0"/>
    <n v="0"/>
    <n v="0"/>
    <s v="C1.0_E0.0"/>
    <n v="1.5936483664122301"/>
    <n v="0"/>
    <n v="0"/>
    <n v="0"/>
    <n v="0"/>
    <n v="0"/>
    <n v="0"/>
    <n v="0"/>
    <n v="0"/>
    <n v="0.151835425518525"/>
    <n v="0"/>
    <n v="0"/>
    <n v="0"/>
    <n v="0"/>
    <n v="0"/>
    <n v="0"/>
    <n v="1.2083115068953199E-2"/>
    <n v="95.275362318696693"/>
    <n v="0"/>
  </r>
  <r>
    <x v="1"/>
    <x v="9"/>
    <n v="2030"/>
    <x v="0"/>
    <x v="1"/>
    <x v="0"/>
    <x v="0"/>
    <n v="0"/>
    <n v="0"/>
    <s v="C1.0_E0.0"/>
    <n v="1.75126194111234"/>
    <n v="0.80690343924812202"/>
    <n v="6.5958593384579003E-2"/>
    <n v="1.73668444898256E-3"/>
    <n v="0"/>
    <n v="0"/>
    <n v="0"/>
    <n v="0"/>
    <n v="6.7695277833561607E-2"/>
    <n v="7.69676755110254"/>
    <n v="0"/>
    <n v="0"/>
    <n v="0"/>
    <n v="0"/>
    <n v="0"/>
    <n v="8.7952867725444601E-3"/>
    <n v="0.55738536755722501"/>
    <n v="4394.9836231887202"/>
    <n v="7.27262554117098E-3"/>
  </r>
  <r>
    <x v="1"/>
    <x v="10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1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2"/>
    <n v="2030"/>
    <x v="0"/>
    <x v="1"/>
    <x v="0"/>
    <x v="0"/>
    <n v="0"/>
    <n v="0"/>
    <s v="C1.0_E0.0"/>
    <n v="269.47143228232397"/>
    <n v="17.785114530633301"/>
    <n v="0"/>
    <n v="0"/>
    <n v="0"/>
    <n v="0"/>
    <n v="0"/>
    <n v="99.530477147369098"/>
    <n v="99.530477147369098"/>
    <n v="2083.4600810236898"/>
    <n v="0"/>
    <n v="0"/>
    <n v="0"/>
    <n v="0"/>
    <n v="0"/>
    <n v="4.7771722652091897E-2"/>
    <n v="0.98055228358186497"/>
    <n v="7731.6547560429999"/>
    <n v="0"/>
  </r>
  <r>
    <x v="1"/>
    <x v="13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4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5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1"/>
    <x v="16"/>
    <n v="2030"/>
    <x v="0"/>
    <x v="1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21"/>
    <n v="2030"/>
    <x v="0"/>
    <x v="0"/>
    <x v="1"/>
    <x v="0"/>
    <n v="0"/>
    <n v="0"/>
    <s v="C1.0_E0.0"/>
    <n v="96.329837988446897"/>
    <n v="403.81468084756898"/>
    <n v="37.828866265060498"/>
    <n v="79.761105854434007"/>
    <n v="4.4402670967746603E-2"/>
    <n v="0"/>
    <n v="0"/>
    <n v="0"/>
    <n v="117.634374790462"/>
    <n v="425.80645161290198"/>
    <n v="0"/>
    <n v="353.41935483871401"/>
    <n v="1.18611529716046"/>
    <n v="63.769639632282903"/>
    <n v="229.57070267621799"/>
    <n v="0.27626254685638901"/>
    <n v="0.56059563238056198"/>
    <n v="4420.2965613207298"/>
    <n v="1459.4211828018399"/>
  </r>
  <r>
    <x v="0"/>
    <x v="1"/>
    <n v="2030"/>
    <x v="0"/>
    <x v="0"/>
    <x v="1"/>
    <x v="0"/>
    <n v="0"/>
    <n v="0"/>
    <s v="C1.0_E0.0"/>
    <n v="295.54623818152498"/>
    <n v="7.7271130046924403"/>
    <n v="0.78702352735401704"/>
    <n v="0"/>
    <n v="0.29641714340540498"/>
    <n v="0"/>
    <n v="0"/>
    <n v="0"/>
    <n v="1.08344067075942"/>
    <n v="1144.68123758516"/>
    <n v="0"/>
    <n v="4.5787249503407299"/>
    <n v="0"/>
    <n v="0"/>
    <n v="0"/>
    <n v="9.4649989463010801E-4"/>
    <n v="0.49119895121468099"/>
    <n v="3873.1037303277599"/>
    <n v="0"/>
  </r>
  <r>
    <x v="0"/>
    <x v="19"/>
    <n v="2030"/>
    <x v="0"/>
    <x v="0"/>
    <x v="1"/>
    <x v="0"/>
    <n v="0"/>
    <n v="0"/>
    <s v="C1.0_E0.0"/>
    <n v="19.801597958162201"/>
    <n v="1143.41961968907"/>
    <n v="107.11415391653701"/>
    <n v="16.527559502660498"/>
    <n v="0"/>
    <n v="0"/>
    <n v="0"/>
    <n v="0"/>
    <n v="123.641713419198"/>
    <n v="76.693642918208695"/>
    <n v="0"/>
    <n v="3259.47982402354"/>
    <n v="0"/>
    <n v="0"/>
    <n v="0"/>
    <n v="1.61215074306821"/>
    <n v="0.49119895121468099"/>
    <n v="3873.1037303277599"/>
    <n v="1594.7356046385501"/>
  </r>
  <r>
    <x v="0"/>
    <x v="3"/>
    <n v="2030"/>
    <x v="0"/>
    <x v="0"/>
    <x v="1"/>
    <x v="0"/>
    <n v="0"/>
    <n v="0"/>
    <s v="C1.0_E0.0"/>
    <n v="17.346309361665099"/>
    <n v="0"/>
    <n v="0"/>
    <n v="0"/>
    <n v="0"/>
    <n v="0"/>
    <n v="0"/>
    <n v="0"/>
    <n v="0"/>
    <n v="76.675831622979004"/>
    <n v="0"/>
    <n v="0"/>
    <n v="0"/>
    <n v="0"/>
    <n v="0"/>
    <n v="0"/>
    <n v="0.56059563238056198"/>
    <n v="4420.2965613207298"/>
    <n v="0"/>
  </r>
  <r>
    <x v="0"/>
    <x v="4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5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6"/>
    <n v="2030"/>
    <x v="0"/>
    <x v="0"/>
    <x v="1"/>
    <x v="0"/>
    <n v="0"/>
    <n v="0"/>
    <s v="C1.0_E0.0"/>
    <n v="153.66040015533801"/>
    <n v="0"/>
    <n v="0"/>
    <n v="0"/>
    <n v="0"/>
    <n v="0"/>
    <n v="0"/>
    <n v="0"/>
    <n v="0"/>
    <n v="595.14266904530905"/>
    <n v="0"/>
    <n v="0"/>
    <n v="0"/>
    <n v="0"/>
    <n v="0"/>
    <n v="0"/>
    <n v="0.49119895121468099"/>
    <n v="3873.1037303277599"/>
    <n v="0"/>
  </r>
  <r>
    <x v="0"/>
    <x v="7"/>
    <n v="2030"/>
    <x v="0"/>
    <x v="0"/>
    <x v="1"/>
    <x v="0"/>
    <n v="0"/>
    <n v="0"/>
    <s v="C1.0_E0.0"/>
    <n v="918.73208651332197"/>
    <n v="0"/>
    <n v="0"/>
    <n v="0"/>
    <n v="0"/>
    <n v="0"/>
    <n v="0"/>
    <n v="0"/>
    <n v="0"/>
    <n v="10.739060684478201"/>
    <n v="0"/>
    <n v="10.094717043409"/>
    <n v="0"/>
    <n v="0"/>
    <n v="0"/>
    <n v="0"/>
    <n v="1.4824351861063899E-3"/>
    <n v="11.6890014424489"/>
    <n v="0"/>
  </r>
  <r>
    <x v="0"/>
    <x v="8"/>
    <n v="2030"/>
    <x v="0"/>
    <x v="0"/>
    <x v="1"/>
    <x v="0"/>
    <n v="0"/>
    <n v="0"/>
    <s v="C1.0_E0.0"/>
    <n v="936.078395874987"/>
    <n v="0"/>
    <n v="0"/>
    <n v="0"/>
    <n v="0"/>
    <n v="0"/>
    <n v="0"/>
    <n v="0"/>
    <n v="0"/>
    <n v="10.721249389244999"/>
    <n v="0"/>
    <n v="0"/>
    <n v="0"/>
    <n v="0"/>
    <n v="0"/>
    <n v="0"/>
    <n v="1.4525512972970501E-3"/>
    <n v="11.4533669791872"/>
    <n v="0"/>
  </r>
  <r>
    <x v="0"/>
    <x v="9"/>
    <n v="2030"/>
    <x v="0"/>
    <x v="0"/>
    <x v="1"/>
    <x v="0"/>
    <n v="0"/>
    <n v="0"/>
    <s v="C1.0_E0.0"/>
    <n v="197.90328036733499"/>
    <n v="91.185009973698399"/>
    <n v="7.4537233367455302"/>
    <n v="0.19625593484792"/>
    <n v="0"/>
    <n v="0"/>
    <n v="0"/>
    <n v="0"/>
    <n v="7.64997927159345"/>
    <n v="828.05571567550601"/>
    <n v="0"/>
    <n v="0"/>
    <n v="0"/>
    <n v="0"/>
    <n v="0"/>
    <n v="9.23848374786327E-3"/>
    <n v="0.53064596791868301"/>
    <n v="4184.1434570388201"/>
    <n v="0.82185104220720795"/>
  </r>
  <r>
    <x v="0"/>
    <x v="10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1"/>
    <n v="2030"/>
    <x v="0"/>
    <x v="0"/>
    <x v="1"/>
    <x v="0"/>
    <n v="0"/>
    <n v="0"/>
    <s v="C1.0_E0.0"/>
    <n v="1099.4694424685799"/>
    <n v="2196.8832200643101"/>
    <n v="200.90078806522399"/>
    <n v="41.335331971040702"/>
    <n v="10.7641976600333"/>
    <n v="0"/>
    <n v="0"/>
    <n v="0"/>
    <n v="253.00031769629899"/>
    <n v="3823.1473969700901"/>
    <n v="0"/>
    <n v="0"/>
    <n v="0"/>
    <n v="0"/>
    <n v="0"/>
    <n v="6.6175925599103305E-2"/>
    <n v="0.44099755421501202"/>
    <n v="3477.2657149853699"/>
    <n v="39256.017703313999"/>
  </r>
  <r>
    <x v="0"/>
    <x v="12"/>
    <n v="2030"/>
    <x v="0"/>
    <x v="0"/>
    <x v="1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</r>
  <r>
    <x v="0"/>
    <x v="13"/>
    <n v="2030"/>
    <x v="0"/>
    <x v="0"/>
    <x v="1"/>
    <x v="0"/>
    <n v="0"/>
    <n v="0"/>
    <s v="C1.0_E0.0"/>
    <n v="938.78185567159403"/>
    <n v="0"/>
    <n v="0"/>
    <n v="0"/>
    <n v="0"/>
    <n v="0"/>
    <n v="0"/>
    <n v="0"/>
    <n v="0"/>
    <n v="194.68480175899501"/>
    <n v="0"/>
    <n v="0"/>
    <n v="0"/>
    <n v="0"/>
    <n v="0"/>
    <n v="0"/>
    <n v="2.6300600495956099E-2"/>
    <n v="207.38023491061301"/>
    <n v="0"/>
  </r>
  <r>
    <x v="0"/>
    <x v="14"/>
    <n v="2030"/>
    <x v="0"/>
    <x v="0"/>
    <x v="1"/>
    <x v="0"/>
    <n v="0"/>
    <n v="0"/>
    <s v="C1.0_E0.0"/>
    <n v="86.949945081729794"/>
    <n v="0"/>
    <n v="0"/>
    <n v="0"/>
    <n v="2.0394197275926999E-2"/>
    <n v="0"/>
    <n v="0"/>
    <n v="0"/>
    <n v="2.0394197275926999E-2"/>
    <n v="10.865188194878399"/>
    <n v="0"/>
    <n v="0.38028158682074498"/>
    <n v="0"/>
    <n v="0"/>
    <n v="0"/>
    <n v="1.8770219999999899E-3"/>
    <n v="1.58477000753235E-2"/>
    <n v="124.95911509392501"/>
    <n v="0"/>
  </r>
  <r>
    <x v="0"/>
    <x v="15"/>
    <n v="2030"/>
    <x v="0"/>
    <x v="0"/>
    <x v="1"/>
    <x v="0"/>
    <n v="0"/>
    <n v="0"/>
    <s v="C1.0_E0.0"/>
    <n v="86.949945081729794"/>
    <n v="0"/>
    <n v="0"/>
    <n v="0"/>
    <n v="0"/>
    <n v="0"/>
    <n v="0"/>
    <n v="0"/>
    <n v="0"/>
    <n v="10.8434507086079"/>
    <n v="0"/>
    <n v="0.48795528188735998"/>
    <n v="0"/>
    <n v="0"/>
    <n v="0"/>
    <n v="0"/>
    <n v="1.5815994304873199E-2"/>
    <n v="124.70911509392501"/>
    <n v="0"/>
  </r>
  <r>
    <x v="0"/>
    <x v="16"/>
    <n v="2030"/>
    <x v="0"/>
    <x v="0"/>
    <x v="1"/>
    <x v="0"/>
    <n v="0"/>
    <n v="0"/>
    <s v="C1.0_E0.0"/>
    <n v="108.68743135216199"/>
    <n v="15.730537766176001"/>
    <n v="1.4736175717662401"/>
    <n v="0.55170827028671099"/>
    <n v="0"/>
    <n v="0"/>
    <n v="0"/>
    <n v="0"/>
    <n v="2.0253258420529598"/>
    <n v="547.47393987957901"/>
    <n v="0"/>
    <n v="0"/>
    <n v="0"/>
    <n v="0"/>
    <n v="0"/>
    <n v="3.6994013678503901E-3"/>
    <n v="0.63882577219285797"/>
    <n v="5037.1412137406796"/>
    <n v="114.021564398176"/>
  </r>
  <r>
    <x v="4"/>
    <x v="27"/>
    <m/>
    <x v="1"/>
    <x v="3"/>
    <x v="2"/>
    <x v="3"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67">
  <r>
    <x v="0"/>
    <x v="0"/>
    <n v="2030"/>
    <s v="Bornholm"/>
    <x v="0"/>
    <x v="0"/>
    <x v="0"/>
    <x v="0"/>
    <n v="0"/>
    <n v="0"/>
    <s v="C1.0_E0.0"/>
    <n v="85.175352370948104"/>
    <n v="567.45182555163501"/>
    <n v="50.216975712534101"/>
    <n v="22.698073022065401"/>
    <n v="0"/>
    <n v="0"/>
    <n v="0"/>
    <n v="0"/>
    <n v="72.915048734599495"/>
    <n v="425.80645161289902"/>
    <n v="0"/>
    <n v="191.61290322578199"/>
    <n v="1.0288387765328399"/>
    <n v="55.313912716819402"/>
    <n v="199.13008578054999"/>
    <n v="0.17123988717974201"/>
    <n v="0.63401071954547195"/>
    <n v="4999.1745236160396"/>
    <n v="1290.42793072777"/>
    <n v="0"/>
    <n v="1290.42793072777"/>
    <n v="0.16293281953633601"/>
    <n v="4.4746516888611501"/>
    <n v="0"/>
    <n v="0"/>
    <n v="1.99186344684667E-2"/>
  </r>
  <r>
    <x v="0"/>
    <x v="1"/>
    <n v="2030"/>
    <s v="Bornholm"/>
    <x v="0"/>
    <x v="0"/>
    <x v="0"/>
    <x v="0"/>
    <n v="0"/>
    <n v="0"/>
    <s v="C1.0_E0.0"/>
    <n v="184.685185489849"/>
    <n v="22.345644197603001"/>
    <n v="2.6106314429081801"/>
    <n v="0.67036932592809095"/>
    <n v="0"/>
    <n v="0"/>
    <n v="0"/>
    <n v="5.60543184460549E-2"/>
    <n v="3.3370550872823199"/>
    <n v="862.37412993933697"/>
    <n v="0"/>
    <n v="2.1559353248481101"/>
    <n v="0"/>
    <n v="0"/>
    <n v="0"/>
    <n v="3.8696140937310602E-3"/>
    <n v="0.59219121736362401"/>
    <n v="4669.4277489121696"/>
    <n v="0"/>
    <n v="0"/>
    <n v="0"/>
    <n v="0"/>
    <n v="0"/>
    <n v="0"/>
    <n v="0"/>
    <n v="0"/>
  </r>
  <r>
    <x v="0"/>
    <x v="2"/>
    <n v="2030"/>
    <s v="Bornholm"/>
    <x v="0"/>
    <x v="0"/>
    <x v="0"/>
    <x v="0"/>
    <n v="0"/>
    <n v="0"/>
    <s v="C1.0_E0.0"/>
    <n v="16.416460932431001"/>
    <n v="654.03180354805397"/>
    <n v="57.878920667969297"/>
    <n v="65.4031803548054"/>
    <n v="0"/>
    <n v="0"/>
    <n v="0"/>
    <n v="0"/>
    <n v="123.282101022774"/>
    <n v="76.655478216829593"/>
    <n v="0"/>
    <n v="3817.4428151982302"/>
    <n v="0"/>
    <n v="0"/>
    <n v="0"/>
    <n v="1.60826210847"/>
    <n v="0.59219121736362401"/>
    <n v="4669.4277489121696"/>
    <n v="1263.76375678196"/>
    <n v="0"/>
    <n v="1263.76375678196"/>
    <n v="0.15956613090681501"/>
    <n v="0"/>
    <n v="7.7649860210398996E-3"/>
    <n v="9.8042752790908592E-7"/>
    <n v="0"/>
  </r>
  <r>
    <x v="0"/>
    <x v="3"/>
    <n v="2030"/>
    <s v="Bornholm"/>
    <x v="0"/>
    <x v="0"/>
    <x v="0"/>
    <x v="0"/>
    <n v="0"/>
    <n v="0"/>
    <s v="C1.0_E0.0"/>
    <n v="15.3315634267706"/>
    <n v="0"/>
    <n v="0"/>
    <n v="0"/>
    <n v="0"/>
    <n v="0"/>
    <n v="0"/>
    <n v="0"/>
    <n v="0"/>
    <n v="76.645161290319905"/>
    <n v="0"/>
    <n v="0"/>
    <n v="0"/>
    <n v="0"/>
    <n v="0"/>
    <n v="0"/>
    <n v="0.63401071954547195"/>
    <n v="4999.1745236160396"/>
    <n v="0"/>
    <n v="0"/>
    <n v="0"/>
    <n v="0"/>
    <n v="0"/>
    <n v="0"/>
    <n v="0"/>
    <n v="0"/>
  </r>
  <r>
    <x v="0"/>
    <x v="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0"/>
    <x v="0"/>
    <x v="0"/>
    <x v="0"/>
    <n v="0"/>
    <n v="0"/>
    <s v="C1.0_E0.0"/>
    <n v="93.179832252478803"/>
    <n v="0"/>
    <n v="0"/>
    <n v="0"/>
    <n v="0"/>
    <n v="0"/>
    <n v="0"/>
    <n v="0"/>
    <n v="0"/>
    <n v="435.09649435872598"/>
    <n v="0"/>
    <n v="0"/>
    <n v="0"/>
    <n v="0"/>
    <n v="0"/>
    <n v="0"/>
    <n v="0.59219121736362401"/>
    <n v="4669.4277489121696"/>
    <n v="0"/>
    <n v="0"/>
    <n v="0"/>
    <n v="0"/>
    <n v="0"/>
    <n v="0"/>
    <n v="0"/>
    <n v="0"/>
  </r>
  <r>
    <x v="0"/>
    <x v="6"/>
    <n v="2030"/>
    <s v="Bornholm"/>
    <x v="0"/>
    <x v="0"/>
    <x v="0"/>
    <x v="0"/>
    <n v="0"/>
    <n v="0"/>
    <s v="C1.0_E0.0"/>
    <n v="127.391736835665"/>
    <n v="0"/>
    <n v="0"/>
    <n v="0"/>
    <n v="0"/>
    <n v="0"/>
    <n v="0"/>
    <n v="0"/>
    <n v="0"/>
    <n v="594.84651096257505"/>
    <n v="0"/>
    <n v="0"/>
    <n v="0"/>
    <n v="0"/>
    <n v="0"/>
    <n v="0"/>
    <n v="0.59219121736362401"/>
    <n v="4669.4277489121696"/>
    <n v="0"/>
    <n v="0"/>
    <n v="0"/>
    <n v="0"/>
    <n v="0"/>
    <n v="0"/>
    <n v="0"/>
    <n v="0"/>
  </r>
  <r>
    <x v="0"/>
    <x v="7"/>
    <n v="2030"/>
    <s v="Bornholm"/>
    <x v="0"/>
    <x v="0"/>
    <x v="0"/>
    <x v="0"/>
    <n v="0"/>
    <n v="0"/>
    <s v="C1.0_E0.0"/>
    <n v="885.64665701728097"/>
    <n v="0"/>
    <n v="0"/>
    <n v="0"/>
    <n v="0"/>
    <n v="0"/>
    <n v="0"/>
    <n v="0"/>
    <n v="0"/>
    <n v="12.611806355358199"/>
    <n v="0"/>
    <n v="11.8550979740365"/>
    <n v="0"/>
    <n v="0"/>
    <n v="0"/>
    <n v="0"/>
    <n v="1.8059890322956801E-3"/>
    <n v="14.2402235196514"/>
    <n v="0"/>
    <n v="0"/>
    <n v="0"/>
    <n v="0"/>
    <n v="0"/>
    <n v="0"/>
    <n v="0"/>
    <n v="0"/>
  </r>
  <r>
    <x v="0"/>
    <x v="8"/>
    <n v="2030"/>
    <s v="Bornholm"/>
    <x v="0"/>
    <x v="0"/>
    <x v="0"/>
    <x v="0"/>
    <n v="0"/>
    <n v="0"/>
    <s v="C1.0_E0.0"/>
    <n v="900.978220444052"/>
    <n v="0"/>
    <n v="0"/>
    <n v="0"/>
    <n v="0"/>
    <n v="0"/>
    <n v="0"/>
    <n v="0"/>
    <n v="0"/>
    <n v="12.6014894288476"/>
    <n v="0"/>
    <n v="0"/>
    <n v="0"/>
    <n v="0"/>
    <n v="0"/>
    <n v="0"/>
    <n v="1.7738050580846799E-3"/>
    <n v="13.9864528829977"/>
    <n v="0"/>
    <n v="0"/>
    <n v="0"/>
    <n v="0"/>
    <n v="0"/>
    <n v="0"/>
    <n v="0"/>
    <n v="0"/>
  </r>
  <r>
    <x v="0"/>
    <x v="9"/>
    <n v="2030"/>
    <s v="Bornholm"/>
    <x v="0"/>
    <x v="0"/>
    <x v="0"/>
    <x v="0"/>
    <n v="0"/>
    <n v="0"/>
    <s v="C1.0_E0.0"/>
    <n v="114.63251678103499"/>
    <n v="28.658129195258802"/>
    <n v="2.3425973899852899"/>
    <n v="0.85974387585776402"/>
    <n v="0"/>
    <n v="0"/>
    <n v="0"/>
    <n v="0"/>
    <n v="3.2023412658430601"/>
    <n v="519.07604745899403"/>
    <n v="0"/>
    <n v="0"/>
    <n v="0"/>
    <n v="0"/>
    <n v="0"/>
    <n v="6.1693104151488197E-3"/>
    <n v="0.57427705398390905"/>
    <n v="4528.17457066312"/>
    <n v="0.47604493069776799"/>
    <n v="0"/>
    <n v="0.47604493069776799"/>
    <n v="6.0106683168910701E-5"/>
    <n v="0"/>
    <n v="0.114632516781035"/>
    <n v="1.44738026238682E-5"/>
    <n v="0"/>
  </r>
  <r>
    <x v="0"/>
    <x v="10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0"/>
    <x v="0"/>
    <x v="0"/>
    <x v="0"/>
    <n v="0"/>
    <n v="0"/>
    <s v="C1.0_E0.0"/>
    <n v="887.81644832931499"/>
    <n v="2038.97336307296"/>
    <n v="181.116770586786"/>
    <n v="33.378087833569801"/>
    <n v="11.0331421628968"/>
    <n v="0"/>
    <n v="0"/>
    <n v="0"/>
    <n v="225.52800058325201"/>
    <n v="3918.6690984963402"/>
    <n v="0"/>
    <n v="0"/>
    <n v="0"/>
    <n v="0"/>
    <n v="0"/>
    <n v="5.75521930825421E-2"/>
    <n v="0.559775269499029"/>
    <n v="4413.8279999998404"/>
    <n v="31699.0512575385"/>
    <n v="0"/>
    <n v="31699.0512575385"/>
    <n v="4.0024054618104499"/>
    <n v="0"/>
    <n v="152.66891645470901"/>
    <n v="1.9276378340241099E-2"/>
    <n v="0"/>
  </r>
  <r>
    <x v="0"/>
    <x v="12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0"/>
    <x v="0"/>
    <x v="0"/>
    <x v="0"/>
    <n v="0"/>
    <n v="0"/>
    <s v="C1.0_E0.0"/>
    <n v="28.853831842444201"/>
    <n v="59.231189255469502"/>
    <n v="5.2613545180391403"/>
    <n v="1.08478023287863"/>
    <n v="0.33940514954649098"/>
    <n v="0"/>
    <n v="0"/>
    <n v="0"/>
    <n v="6.6855399004642697"/>
    <n v="120.547388201987"/>
    <n v="0"/>
    <n v="0"/>
    <n v="0"/>
    <n v="0"/>
    <n v="0"/>
    <n v="5.54598486137425E-2"/>
    <n v="0.52984960050727603"/>
    <n v="4177.8640999998697"/>
    <n v="1030.21192755687"/>
    <n v="0"/>
    <n v="1030.21192755687"/>
    <n v="0.13007726358041299"/>
    <n v="0"/>
    <n v="4.9617049236267103"/>
    <n v="6.2647789439731702E-4"/>
    <n v="0"/>
  </r>
  <r>
    <x v="0"/>
    <x v="1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0"/>
    <x v="0"/>
    <x v="0"/>
    <x v="0"/>
    <n v="0"/>
    <n v="0"/>
    <s v="C1.0_E0.0"/>
    <n v="815.86863703556105"/>
    <n v="0"/>
    <n v="0"/>
    <n v="0"/>
    <n v="0"/>
    <n v="0"/>
    <n v="0"/>
    <n v="0"/>
    <n v="0"/>
    <n v="14.9660571671211"/>
    <n v="0"/>
    <n v="0"/>
    <n v="0"/>
    <n v="0"/>
    <n v="0"/>
    <n v="0"/>
    <n v="2.3264057547782001E-3"/>
    <n v="18.343709376426101"/>
    <n v="0"/>
    <n v="0"/>
    <n v="0"/>
    <n v="0"/>
    <n v="0"/>
    <n v="0"/>
    <n v="0"/>
    <n v="0"/>
  </r>
  <r>
    <x v="0"/>
    <x v="16"/>
    <n v="2030"/>
    <s v="Bornholm"/>
    <x v="0"/>
    <x v="0"/>
    <x v="0"/>
    <x v="0"/>
    <n v="0"/>
    <n v="0"/>
    <s v="C1.0_E0.0"/>
    <n v="65.209124834864596"/>
    <n v="0"/>
    <n v="0"/>
    <n v="0"/>
    <n v="2.2217892873062299E-2"/>
    <n v="0"/>
    <n v="0"/>
    <n v="0"/>
    <n v="2.2217892873062299E-2"/>
    <n v="11.8367780841472"/>
    <n v="0"/>
    <n v="0.59183890420736796"/>
    <n v="0"/>
    <n v="0"/>
    <n v="0"/>
    <n v="1.8770219999999999E-3"/>
    <n v="2.30209603184575E-2"/>
    <n v="181.520272111038"/>
    <n v="0"/>
    <n v="0"/>
    <n v="0"/>
    <n v="0"/>
    <n v="0"/>
    <n v="0"/>
    <n v="0"/>
    <n v="0"/>
  </r>
  <r>
    <x v="0"/>
    <x v="17"/>
    <n v="2030"/>
    <s v="Bornholm"/>
    <x v="0"/>
    <x v="0"/>
    <x v="0"/>
    <x v="0"/>
    <n v="0"/>
    <n v="0"/>
    <s v="C1.0_E0.0"/>
    <n v="148.04475677727399"/>
    <n v="0"/>
    <n v="0"/>
    <n v="0"/>
    <n v="0"/>
    <n v="0"/>
    <n v="0"/>
    <n v="0"/>
    <n v="0"/>
    <n v="11.8367780841473"/>
    <n v="0"/>
    <n v="0.59183890420737395"/>
    <n v="0"/>
    <n v="0"/>
    <n v="0"/>
    <n v="0"/>
    <n v="1.01400191935416E-2"/>
    <n v="79.954051341076095"/>
    <n v="0"/>
    <n v="0"/>
    <n v="0"/>
    <n v="0"/>
    <n v="0"/>
    <n v="0"/>
    <n v="0"/>
    <n v="0"/>
  </r>
  <r>
    <x v="0"/>
    <x v="18"/>
    <n v="2030"/>
    <s v="Bornholm"/>
    <x v="0"/>
    <x v="0"/>
    <x v="0"/>
    <x v="0"/>
    <n v="0"/>
    <n v="0"/>
    <s v="C1.0_E0.0"/>
    <n v="148.04475677727399"/>
    <n v="26.6480562199093"/>
    <n v="2.71416338684126"/>
    <n v="0.39972084329863999"/>
    <n v="0"/>
    <n v="0"/>
    <n v="0"/>
    <n v="0"/>
    <n v="3.1138842301399001"/>
    <n v="615.36813390609598"/>
    <n v="0"/>
    <n v="0"/>
    <n v="0"/>
    <n v="0"/>
    <n v="0"/>
    <n v="5.06019739822127E-3"/>
    <n v="0.52715736026668103"/>
    <n v="4156.6357857027797"/>
    <n v="155.31045824422699"/>
    <n v="0"/>
    <n v="155.31045824422699"/>
    <n v="1.9609906343968201E-2"/>
    <n v="0"/>
    <n v="2.5661091174727499E-3"/>
    <n v="3.2400367644858201E-7"/>
    <n v="0"/>
  </r>
  <r>
    <x v="1"/>
    <x v="0"/>
    <n v="2030"/>
    <s v="Bornholm"/>
    <x v="1"/>
    <x v="0"/>
    <x v="0"/>
    <x v="0"/>
    <n v="0"/>
    <n v="0"/>
    <s v="C1.0_E0.0"/>
    <n v="85.342854176083307"/>
    <n v="568.56774937773503"/>
    <n v="50.315730033427897"/>
    <n v="22.742709975109399"/>
    <n v="0"/>
    <n v="0"/>
    <n v="0"/>
    <n v="0"/>
    <n v="73.058440008537303"/>
    <n v="425.80645161291397"/>
    <n v="0"/>
    <n v="191.612903225812"/>
    <n v="1.0645768397108299"/>
    <n v="57.235313962947799"/>
    <n v="206.04713026661199"/>
    <n v="0.17157663941398399"/>
    <n v="0.63276635127327097"/>
    <n v="4989.3626797897396"/>
    <n v="1292.9656250463399"/>
    <n v="0"/>
    <n v="1292.9656250463399"/>
    <n v="0.16325323548564399"/>
    <n v="4.6394620855130597"/>
    <n v="0"/>
    <n v="0"/>
    <n v="2.0769743356513898E-2"/>
  </r>
  <r>
    <x v="1"/>
    <x v="1"/>
    <n v="2030"/>
    <s v="Bornholm"/>
    <x v="1"/>
    <x v="0"/>
    <x v="0"/>
    <x v="0"/>
    <n v="0"/>
    <n v="0"/>
    <s v="C1.0_E0.0"/>
    <n v="194.60926039629399"/>
    <n v="23.546389380610499"/>
    <n v="2.75091395622306"/>
    <n v="0.70639168141831599"/>
    <n v="0"/>
    <n v="0"/>
    <n v="0"/>
    <n v="5.6057517223555897E-2"/>
    <n v="3.5133631548649298"/>
    <n v="862.42334190080703"/>
    <n v="0"/>
    <n v="2.1560583547520702"/>
    <n v="0"/>
    <n v="0"/>
    <n v="0"/>
    <n v="4.0738266048335097E-3"/>
    <n v="0.56202457074323198"/>
    <n v="4431.5637403103801"/>
    <n v="0"/>
    <n v="0"/>
    <n v="0"/>
    <n v="0"/>
    <n v="0"/>
    <n v="0"/>
    <n v="0"/>
    <n v="0"/>
  </r>
  <r>
    <x v="1"/>
    <x v="2"/>
    <n v="2030"/>
    <s v="Bornholm"/>
    <x v="1"/>
    <x v="0"/>
    <x v="0"/>
    <x v="0"/>
    <n v="0"/>
    <n v="0"/>
    <s v="C1.0_E0.0"/>
    <n v="17.298600924115"/>
    <n v="689.17626081674496"/>
    <n v="60.989049629800398"/>
    <n v="68.917626081674499"/>
    <n v="0"/>
    <n v="0"/>
    <n v="0"/>
    <n v="0"/>
    <n v="129.90667571147401"/>
    <n v="76.659852613407594"/>
    <n v="0"/>
    <n v="3817.6606601476701"/>
    <n v="0"/>
    <n v="0"/>
    <n v="0"/>
    <n v="1.6945855135749901"/>
    <n v="0.56202457074323198"/>
    <n v="4431.5637403103801"/>
    <n v="1331.6722149135101"/>
    <n v="0"/>
    <n v="1331.6722149135101"/>
    <n v="0.16814043117594399"/>
    <n v="0"/>
    <n v="8.1822382371064296E-3"/>
    <n v="1.03311088852351E-6"/>
    <n v="0"/>
  </r>
  <r>
    <x v="1"/>
    <x v="3"/>
    <n v="2030"/>
    <s v="Bornholm"/>
    <x v="1"/>
    <x v="0"/>
    <x v="0"/>
    <x v="0"/>
    <n v="0"/>
    <n v="0"/>
    <s v="C1.0_E0.0"/>
    <n v="15.361713751695"/>
    <n v="0"/>
    <n v="0"/>
    <n v="0"/>
    <n v="0"/>
    <n v="0"/>
    <n v="0"/>
    <n v="0"/>
    <n v="0"/>
    <n v="76.645161290318796"/>
    <n v="0"/>
    <n v="0"/>
    <n v="0"/>
    <n v="0"/>
    <n v="0"/>
    <n v="0"/>
    <n v="0.63276635127327097"/>
    <n v="4989.3626797897396"/>
    <n v="0"/>
    <n v="0"/>
    <n v="0"/>
    <n v="0"/>
    <n v="0"/>
    <n v="0"/>
    <n v="0"/>
    <n v="0"/>
  </r>
  <r>
    <x v="1"/>
    <x v="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1"/>
    <x v="0"/>
    <x v="0"/>
    <x v="0"/>
    <n v="0"/>
    <n v="0"/>
    <s v="C1.0_E0.0"/>
    <n v="98.1868588452772"/>
    <n v="0"/>
    <n v="0"/>
    <n v="0"/>
    <n v="0"/>
    <n v="0"/>
    <n v="0"/>
    <n v="0"/>
    <n v="0"/>
    <n v="435.12132343371599"/>
    <n v="0"/>
    <n v="0"/>
    <n v="0"/>
    <n v="0"/>
    <n v="0"/>
    <n v="0"/>
    <n v="0.56202457074323198"/>
    <n v="4431.5637403103801"/>
    <n v="0"/>
    <n v="0"/>
    <n v="0"/>
    <n v="0"/>
    <n v="0"/>
    <n v="0"/>
    <n v="0"/>
    <n v="0"/>
  </r>
  <r>
    <x v="1"/>
    <x v="6"/>
    <n v="2030"/>
    <s v="Bornholm"/>
    <x v="1"/>
    <x v="0"/>
    <x v="0"/>
    <x v="0"/>
    <n v="0"/>
    <n v="0"/>
    <s v="C1.0_E0.0"/>
    <n v="134.237143171133"/>
    <n v="0"/>
    <n v="0"/>
    <n v="0"/>
    <n v="0"/>
    <n v="0"/>
    <n v="0"/>
    <n v="0"/>
    <n v="0"/>
    <n v="594.88045628006103"/>
    <n v="0"/>
    <n v="0"/>
    <n v="0"/>
    <n v="0"/>
    <n v="0"/>
    <n v="0"/>
    <n v="0.56202457074323198"/>
    <n v="4431.5637403103801"/>
    <n v="0"/>
    <n v="0"/>
    <n v="0"/>
    <n v="0"/>
    <n v="0"/>
    <n v="0"/>
    <n v="0"/>
    <n v="0"/>
  </r>
  <r>
    <x v="1"/>
    <x v="7"/>
    <n v="2030"/>
    <s v="Bornholm"/>
    <x v="1"/>
    <x v="0"/>
    <x v="0"/>
    <x v="0"/>
    <n v="0"/>
    <n v="0"/>
    <s v="C1.0_E0.0"/>
    <n v="924.91017251162805"/>
    <n v="0"/>
    <n v="0"/>
    <n v="0"/>
    <n v="0"/>
    <n v="0"/>
    <n v="0"/>
    <n v="0"/>
    <n v="0"/>
    <n v="16.698241997130101"/>
    <n v="0"/>
    <n v="15.696347477302"/>
    <n v="0"/>
    <n v="0"/>
    <n v="0"/>
    <n v="0"/>
    <n v="2.2896520912753398E-3"/>
    <n v="18.053906739706001"/>
    <n v="0"/>
    <n v="0"/>
    <n v="0"/>
    <n v="0"/>
    <n v="0"/>
    <n v="0"/>
    <n v="0"/>
    <n v="0"/>
  </r>
  <r>
    <x v="1"/>
    <x v="8"/>
    <n v="2030"/>
    <s v="Bornholm"/>
    <x v="1"/>
    <x v="0"/>
    <x v="0"/>
    <x v="0"/>
    <n v="0"/>
    <n v="0"/>
    <s v="C1.0_E0.0"/>
    <n v="940.27188626332304"/>
    <n v="0"/>
    <n v="0"/>
    <n v="0"/>
    <n v="0"/>
    <n v="0"/>
    <n v="0"/>
    <n v="0"/>
    <n v="0"/>
    <n v="16.6835506740418"/>
    <n v="0"/>
    <n v="0"/>
    <n v="0"/>
    <n v="0"/>
    <n v="0"/>
    <n v="0"/>
    <n v="2.2502632938135999E-3"/>
    <n v="17.743326071720201"/>
    <n v="0"/>
    <n v="0"/>
    <n v="0"/>
    <n v="0"/>
    <n v="0"/>
    <n v="0"/>
    <n v="0"/>
    <n v="0"/>
  </r>
  <r>
    <x v="1"/>
    <x v="9"/>
    <n v="2030"/>
    <s v="Bornholm"/>
    <x v="1"/>
    <x v="0"/>
    <x v="0"/>
    <x v="0"/>
    <n v="0"/>
    <n v="0"/>
    <s v="C1.0_E0.0"/>
    <n v="163.236923202496"/>
    <n v="40.809230800624"/>
    <n v="3.3358631650200401"/>
    <n v="1.2242769240187199"/>
    <n v="0"/>
    <n v="0"/>
    <n v="0"/>
    <n v="0"/>
    <n v="4.56014008903876"/>
    <n v="694.90388314107201"/>
    <n v="0"/>
    <n v="0"/>
    <n v="0"/>
    <n v="0"/>
    <n v="0"/>
    <n v="6.5622601911882001E-3"/>
    <n v="0.53988920083986203"/>
    <n v="4257.0263486223103"/>
    <n v="0.67788889204694802"/>
    <n v="0"/>
    <n v="0.67788889204694802"/>
    <n v="8.5592031824107399E-5"/>
    <n v="0"/>
    <n v="0.163236923202496"/>
    <n v="2.0610722626577199E-5"/>
    <n v="0"/>
  </r>
  <r>
    <x v="1"/>
    <x v="10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1"/>
    <x v="0"/>
    <x v="0"/>
    <x v="0"/>
    <n v="0"/>
    <n v="0"/>
    <s v="C1.0_E0.0"/>
    <n v="955.59983846333398"/>
    <n v="2194.64577396614"/>
    <n v="194.944751295636"/>
    <n v="35.926452367486696"/>
    <n v="11.393863959494"/>
    <n v="0"/>
    <n v="0"/>
    <n v="0"/>
    <n v="242.26506762261701"/>
    <n v="4046.7875743221398"/>
    <n v="0"/>
    <n v="0"/>
    <n v="0"/>
    <n v="0"/>
    <n v="0"/>
    <n v="5.9866020435529799E-2"/>
    <n v="0.53707216233352595"/>
    <n v="4234.8139999998502"/>
    <n v="34119.223988412501"/>
    <n v="0"/>
    <n v="34119.223988412501"/>
    <n v="4.3079828268196501"/>
    <n v="0"/>
    <n v="164.324948222155"/>
    <n v="2.07480995229988E-2"/>
    <n v="0"/>
  </r>
  <r>
    <x v="1"/>
    <x v="12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1"/>
    <x v="0"/>
    <x v="0"/>
    <x v="0"/>
    <n v="0"/>
    <n v="0"/>
    <s v="C1.0_E0.0"/>
    <n v="490.01599368022801"/>
    <n v="0"/>
    <n v="0"/>
    <n v="0"/>
    <n v="0"/>
    <n v="0"/>
    <n v="0"/>
    <n v="0"/>
    <n v="0"/>
    <n v="19.661605116565902"/>
    <n v="0"/>
    <n v="0"/>
    <n v="0"/>
    <n v="0"/>
    <n v="0"/>
    <n v="0"/>
    <n v="5.0887019733934797E-3"/>
    <n v="40.124415060207603"/>
    <n v="0"/>
    <n v="0"/>
    <n v="0"/>
    <n v="0"/>
    <n v="0"/>
    <n v="0"/>
    <n v="0"/>
    <n v="0"/>
  </r>
  <r>
    <x v="1"/>
    <x v="16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0"/>
    <n v="2030"/>
    <s v="Bornholm"/>
    <x v="2"/>
    <x v="0"/>
    <x v="0"/>
    <x v="0"/>
    <n v="0"/>
    <n v="0"/>
    <s v="C1.0_E0.0"/>
    <n v="94.543189332053501"/>
    <n v="629.86185424043299"/>
    <n v="55.739987100923301"/>
    <n v="25.194474169617301"/>
    <n v="0"/>
    <n v="0"/>
    <n v="0"/>
    <n v="0"/>
    <n v="80.934461270540595"/>
    <n v="425.80645161289402"/>
    <n v="0"/>
    <n v="191.61290322577599"/>
    <n v="1.2219433018860399"/>
    <n v="65.695876445486405"/>
    <n v="236.505155203751"/>
    <n v="0.19007335601415201"/>
    <n v="0.57118959943882097"/>
    <n v="4503.8299915751004"/>
    <n v="1432.3530079786101"/>
    <n v="0"/>
    <n v="1432.3530079786101"/>
    <n v="0.180852652522555"/>
    <n v="5.3848980375785196"/>
    <n v="0"/>
    <n v="0"/>
    <n v="2.41652450807152E-2"/>
  </r>
  <r>
    <x v="1"/>
    <x v="1"/>
    <n v="2030"/>
    <s v="Bornholm"/>
    <x v="2"/>
    <x v="0"/>
    <x v="0"/>
    <x v="0"/>
    <n v="0"/>
    <n v="0"/>
    <s v="C1.0_E0.0"/>
    <n v="223.07407492446501"/>
    <n v="26.990437239187798"/>
    <n v="3.15328050027852"/>
    <n v="0.80971311717563599"/>
    <n v="0"/>
    <n v="0"/>
    <n v="0"/>
    <n v="5.6061980596400801E-2"/>
    <n v="4.01905559805056"/>
    <n v="862.49200917539201"/>
    <n v="0"/>
    <n v="2.1562300229384599"/>
    <n v="0"/>
    <n v="0"/>
    <n v="0"/>
    <n v="4.6598177783618898E-3"/>
    <n v="0.490347857182866"/>
    <n v="3866.3928538869"/>
    <n v="0"/>
    <n v="0"/>
    <n v="0"/>
    <n v="0"/>
    <n v="0"/>
    <n v="0"/>
    <n v="0"/>
    <n v="0"/>
  </r>
  <r>
    <x v="1"/>
    <x v="2"/>
    <n v="2030"/>
    <s v="Bornholm"/>
    <x v="2"/>
    <x v="0"/>
    <x v="0"/>
    <x v="0"/>
    <n v="0"/>
    <n v="0"/>
    <s v="C1.0_E0.0"/>
    <n v="19.828806659952502"/>
    <n v="789.97965733250805"/>
    <n v="69.909704188717498"/>
    <n v="78.997965733250794"/>
    <n v="0"/>
    <n v="0"/>
    <n v="0"/>
    <n v="0"/>
    <n v="148.90766992196799"/>
    <n v="76.665956371144702"/>
    <n v="0"/>
    <n v="3817.9646272834002"/>
    <n v="0"/>
    <n v="0"/>
    <n v="0"/>
    <n v="1.9422919503031599"/>
    <n v="0.490347857182866"/>
    <n v="3866.3928538869"/>
    <n v="1526.4512430678899"/>
    <n v="0"/>
    <n v="1526.4512430678899"/>
    <n v="0.19273374281160599"/>
    <n v="0"/>
    <n v="9.3790255501575402E-3"/>
    <n v="1.1842203977471801E-6"/>
    <n v="0"/>
  </r>
  <r>
    <x v="1"/>
    <x v="3"/>
    <n v="2030"/>
    <s v="Bornholm"/>
    <x v="2"/>
    <x v="0"/>
    <x v="0"/>
    <x v="0"/>
    <n v="0"/>
    <n v="0"/>
    <s v="C1.0_E0.0"/>
    <n v="17.017774079769602"/>
    <n v="0"/>
    <n v="0"/>
    <n v="0"/>
    <n v="0"/>
    <n v="0"/>
    <n v="0"/>
    <n v="0"/>
    <n v="0"/>
    <n v="76.645161290316594"/>
    <n v="0"/>
    <n v="0"/>
    <n v="0"/>
    <n v="0"/>
    <n v="0"/>
    <n v="0"/>
    <n v="0.57118959943882097"/>
    <n v="4503.8299915751004"/>
    <n v="0"/>
    <n v="0"/>
    <n v="0"/>
    <n v="0"/>
    <n v="0"/>
    <n v="0"/>
    <n v="0"/>
    <n v="0"/>
  </r>
  <r>
    <x v="1"/>
    <x v="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2"/>
    <x v="0"/>
    <x v="0"/>
    <x v="0"/>
    <n v="0"/>
    <n v="0"/>
    <s v="C1.0_E0.0"/>
    <n v="112.54830660189"/>
    <n v="0"/>
    <n v="0"/>
    <n v="0"/>
    <n v="0"/>
    <n v="0"/>
    <n v="0"/>
    <n v="0"/>
    <n v="0"/>
    <n v="435.15596836261398"/>
    <n v="0"/>
    <n v="0"/>
    <n v="0"/>
    <n v="0"/>
    <n v="0"/>
    <n v="0"/>
    <n v="0.490347857182866"/>
    <n v="3866.3928538869"/>
    <n v="0"/>
    <n v="0"/>
    <n v="0"/>
    <n v="0"/>
    <n v="0"/>
    <n v="0"/>
    <n v="0"/>
    <n v="0"/>
  </r>
  <r>
    <x v="1"/>
    <x v="6"/>
    <n v="2030"/>
    <s v="Bornholm"/>
    <x v="2"/>
    <x v="0"/>
    <x v="0"/>
    <x v="0"/>
    <n v="0"/>
    <n v="0"/>
    <s v="C1.0_E0.0"/>
    <n v="153.87153968123101"/>
    <n v="0"/>
    <n v="0"/>
    <n v="0"/>
    <n v="0"/>
    <n v="0"/>
    <n v="0"/>
    <n v="0"/>
    <n v="0"/>
    <n v="594.927821440098"/>
    <n v="0"/>
    <n v="0"/>
    <n v="0"/>
    <n v="0"/>
    <n v="0"/>
    <n v="0"/>
    <n v="0.490347857182866"/>
    <n v="3866.3928538869"/>
    <n v="0"/>
    <n v="0"/>
    <n v="0"/>
    <n v="0"/>
    <n v="0"/>
    <n v="0"/>
    <n v="0"/>
    <n v="0"/>
  </r>
  <r>
    <x v="1"/>
    <x v="7"/>
    <n v="2030"/>
    <s v="Bornholm"/>
    <x v="2"/>
    <x v="0"/>
    <x v="0"/>
    <x v="0"/>
    <n v="0"/>
    <n v="0"/>
    <s v="C1.0_E0.0"/>
    <n v="1078.15121035788"/>
    <n v="0"/>
    <n v="0"/>
    <n v="0"/>
    <n v="0"/>
    <n v="0"/>
    <n v="0"/>
    <n v="0"/>
    <n v="0"/>
    <n v="11.0828306035799"/>
    <n v="0"/>
    <n v="10.4178607673652"/>
    <n v="0"/>
    <n v="0"/>
    <n v="0"/>
    <n v="0"/>
    <n v="1.3036749564624001E-3"/>
    <n v="10.279477031706"/>
    <n v="0"/>
    <n v="0"/>
    <n v="0"/>
    <n v="0"/>
    <n v="0"/>
    <n v="0"/>
    <n v="0"/>
    <n v="0"/>
  </r>
  <r>
    <x v="1"/>
    <x v="8"/>
    <n v="2030"/>
    <s v="Bornholm"/>
    <x v="2"/>
    <x v="0"/>
    <x v="0"/>
    <x v="0"/>
    <n v="0"/>
    <n v="0"/>
    <s v="C1.0_E0.0"/>
    <n v="1095.1689844376499"/>
    <n v="0"/>
    <n v="0"/>
    <n v="0"/>
    <n v="0"/>
    <n v="0"/>
    <n v="0"/>
    <n v="0"/>
    <n v="0"/>
    <n v="11.0620355227506"/>
    <n v="0"/>
    <n v="0"/>
    <n v="0"/>
    <n v="0"/>
    <n v="0"/>
    <n v="0"/>
    <n v="1.2810091008069401E-3"/>
    <n v="10.100756759862699"/>
    <n v="0"/>
    <n v="0"/>
    <n v="0"/>
    <n v="0"/>
    <n v="0"/>
    <n v="0"/>
    <n v="0"/>
    <n v="0"/>
  </r>
  <r>
    <x v="1"/>
    <x v="9"/>
    <n v="2030"/>
    <s v="Bornholm"/>
    <x v="2"/>
    <x v="0"/>
    <x v="0"/>
    <x v="0"/>
    <n v="0"/>
    <n v="0"/>
    <s v="C1.0_E0.0"/>
    <n v="231.056453662244"/>
    <n v="57.764113415561098"/>
    <n v="4.7218037297596798"/>
    <n v="1.7329234024668301"/>
    <n v="0"/>
    <n v="0"/>
    <n v="0"/>
    <n v="0"/>
    <n v="6.4547271322265196"/>
    <n v="998.17609508994099"/>
    <n v="0"/>
    <n v="0"/>
    <n v="0"/>
    <n v="0"/>
    <n v="0"/>
    <n v="6.46652145245464E-3"/>
    <n v="0.54788241813981697"/>
    <n v="4320.0528670324502"/>
    <n v="0.95952925539459599"/>
    <n v="0"/>
    <n v="0.95952925539459599"/>
    <n v="1.21152683761946E-4"/>
    <n v="0"/>
    <n v="0.231056453662244"/>
    <n v="2.9173794654324301E-5"/>
    <n v="0"/>
  </r>
  <r>
    <x v="1"/>
    <x v="10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2"/>
    <x v="0"/>
    <x v="0"/>
    <x v="0"/>
    <n v="0"/>
    <n v="0"/>
    <s v="C1.0_E0.0"/>
    <n v="1111.5858662482401"/>
    <n v="2552.8857640716401"/>
    <n v="226.76629015338901"/>
    <n v="41.790857499889903"/>
    <n v="11.438279872195499"/>
    <n v="0"/>
    <n v="0"/>
    <n v="0"/>
    <n v="279.99542752547501"/>
    <n v="4062.5628867415599"/>
    <n v="0"/>
    <n v="0"/>
    <n v="0"/>
    <n v="0"/>
    <n v="0"/>
    <n v="6.8920884508460803E-2"/>
    <n v="0.46350602409637298"/>
    <n v="3654.7449999998998"/>
    <n v="39688.628677319102"/>
    <n v="0"/>
    <n v="39688.628677319102"/>
    <n v="5.0111904895605903"/>
    <n v="0"/>
    <n v="191.14830556004799"/>
    <n v="2.4134887065663101E-2"/>
    <n v="0"/>
  </r>
  <r>
    <x v="1"/>
    <x v="12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2"/>
    <x v="0"/>
    <x v="0"/>
    <x v="0"/>
    <n v="0"/>
    <n v="0"/>
    <s v="C1.0_E0.0"/>
    <n v="445.63532923673699"/>
    <n v="0"/>
    <n v="0"/>
    <n v="0"/>
    <n v="0"/>
    <n v="0"/>
    <n v="0"/>
    <n v="0"/>
    <n v="0"/>
    <n v="40.411265441996498"/>
    <n v="0"/>
    <n v="0"/>
    <n v="0"/>
    <n v="0"/>
    <n v="0"/>
    <n v="0"/>
    <n v="1.1500616954238501E-2"/>
    <n v="90.682364684171105"/>
    <n v="0"/>
    <n v="0"/>
    <n v="0"/>
    <n v="0"/>
    <n v="0"/>
    <n v="0"/>
    <n v="0"/>
    <n v="0"/>
  </r>
  <r>
    <x v="1"/>
    <x v="16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0"/>
    <n v="2030"/>
    <s v="Bornholm"/>
    <x v="3"/>
    <x v="0"/>
    <x v="0"/>
    <x v="0"/>
    <n v="0"/>
    <n v="0"/>
    <s v="C1.0_E0.0"/>
    <n v="84.863295535122504"/>
    <n v="565.37285298227198"/>
    <n v="50.032995839139097"/>
    <n v="22.614914119290798"/>
    <n v="0"/>
    <n v="0"/>
    <n v="0"/>
    <n v="0"/>
    <n v="72.647909958430006"/>
    <n v="425.80645161290403"/>
    <n v="0"/>
    <n v="191.612903225791"/>
    <n v="1.0785670811849899"/>
    <n v="57.987477483064097"/>
    <n v="208.754918939031"/>
    <n v="0.170612515811463"/>
    <n v="0.63634208527638703"/>
    <n v="5017.5573424043096"/>
    <n v="1285.70019147322"/>
    <n v="0"/>
    <n v="1285.70019147322"/>
    <n v="0.16233588276177"/>
    <n v="4.7387521400559898"/>
    <n v="0"/>
    <n v="0"/>
    <n v="2.1244229789699899E-2"/>
  </r>
  <r>
    <x v="1"/>
    <x v="1"/>
    <n v="2030"/>
    <s v="Bornholm"/>
    <x v="3"/>
    <x v="0"/>
    <x v="0"/>
    <x v="0"/>
    <n v="0"/>
    <n v="0"/>
    <s v="C1.0_E0.0"/>
    <n v="196.36014127335099"/>
    <n v="23.758233990709201"/>
    <n v="2.77566366561804"/>
    <n v="0.71274701972127696"/>
    <n v="0"/>
    <n v="0"/>
    <n v="0"/>
    <n v="5.60570619759828E-2"/>
    <n v="3.5444677473152999"/>
    <n v="862.41633809203495"/>
    <n v="0"/>
    <n v="2.15604084522995"/>
    <n v="0"/>
    <n v="0"/>
    <n v="0"/>
    <n v="4.1099264830219903E-3"/>
    <n v="0.55700865299341196"/>
    <n v="4392.0132288530504"/>
    <n v="0"/>
    <n v="0"/>
    <n v="0"/>
    <n v="0"/>
    <n v="0"/>
    <n v="0"/>
    <n v="0"/>
    <n v="0"/>
  </r>
  <r>
    <x v="1"/>
    <x v="2"/>
    <n v="2030"/>
    <s v="Bornholm"/>
    <x v="3"/>
    <x v="0"/>
    <x v="0"/>
    <x v="0"/>
    <n v="0"/>
    <n v="0"/>
    <s v="C1.0_E0.0"/>
    <n v="17.454234779853401"/>
    <n v="695.37671362936203"/>
    <n v="61.537762268085103"/>
    <n v="69.537671362936194"/>
    <n v="0"/>
    <n v="0"/>
    <n v="0"/>
    <n v="0"/>
    <n v="131.07543363102101"/>
    <n v="76.659230052625404"/>
    <n v="0"/>
    <n v="3817.6296566209198"/>
    <n v="0"/>
    <n v="0"/>
    <n v="0"/>
    <n v="1.7098454229326301"/>
    <n v="0.55700865299341196"/>
    <n v="4392.0132288530504"/>
    <n v="1343.65314229"/>
    <n v="0"/>
    <n v="1343.65314229"/>
    <n v="0.169653174531565"/>
    <n v="0"/>
    <n v="8.2558530508706901E-3"/>
    <n v="1.0424056882412399E-6"/>
    <n v="0"/>
  </r>
  <r>
    <x v="1"/>
    <x v="3"/>
    <n v="2030"/>
    <s v="Bornholm"/>
    <x v="3"/>
    <x v="0"/>
    <x v="0"/>
    <x v="0"/>
    <n v="0"/>
    <n v="0"/>
    <s v="C1.0_E0.0"/>
    <n v="15.275393196322"/>
    <n v="0"/>
    <n v="0"/>
    <n v="0"/>
    <n v="0"/>
    <n v="0"/>
    <n v="0"/>
    <n v="0"/>
    <n v="0"/>
    <n v="76.645161290322093"/>
    <n v="0"/>
    <n v="0"/>
    <n v="0"/>
    <n v="0"/>
    <n v="0"/>
    <n v="0"/>
    <n v="0.63634208527638703"/>
    <n v="5017.5573424043096"/>
    <n v="0"/>
    <n v="0"/>
    <n v="0"/>
    <n v="0"/>
    <n v="0"/>
    <n v="0"/>
    <n v="0"/>
    <n v="0"/>
  </r>
  <r>
    <x v="1"/>
    <x v="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3"/>
    <x v="0"/>
    <x v="0"/>
    <x v="0"/>
    <n v="0"/>
    <n v="0"/>
    <s v="C1.0_E0.0"/>
    <n v="99.070236610448305"/>
    <n v="0"/>
    <n v="0"/>
    <n v="0"/>
    <n v="0"/>
    <n v="0"/>
    <n v="0"/>
    <n v="0"/>
    <n v="0"/>
    <n v="435.117789778705"/>
    <n v="0"/>
    <n v="0"/>
    <n v="0"/>
    <n v="0"/>
    <n v="0"/>
    <n v="0"/>
    <n v="0.55700865299341196"/>
    <n v="4392.0132288530504"/>
    <n v="0"/>
    <n v="0"/>
    <n v="0"/>
    <n v="0"/>
    <n v="0"/>
    <n v="0"/>
    <n v="0"/>
    <n v="0"/>
  </r>
  <r>
    <x v="1"/>
    <x v="6"/>
    <n v="2030"/>
    <s v="Bornholm"/>
    <x v="3"/>
    <x v="0"/>
    <x v="0"/>
    <x v="0"/>
    <n v="0"/>
    <n v="0"/>
    <s v="C1.0_E0.0"/>
    <n v="135.44486189166301"/>
    <n v="0"/>
    <n v="0"/>
    <n v="0"/>
    <n v="0"/>
    <n v="0"/>
    <n v="0"/>
    <n v="0"/>
    <n v="0"/>
    <n v="594.87562520836298"/>
    <n v="0"/>
    <n v="0"/>
    <n v="0"/>
    <n v="0"/>
    <n v="0"/>
    <n v="0"/>
    <n v="0.55700865299341196"/>
    <n v="4392.0132288530504"/>
    <n v="0"/>
    <n v="0"/>
    <n v="0"/>
    <n v="0"/>
    <n v="0"/>
    <n v="0"/>
    <n v="0"/>
    <n v="0"/>
  </r>
  <r>
    <x v="1"/>
    <x v="7"/>
    <n v="2030"/>
    <s v="Bornholm"/>
    <x v="3"/>
    <x v="0"/>
    <x v="0"/>
    <x v="0"/>
    <n v="0"/>
    <n v="0"/>
    <s v="C1.0_E0.0"/>
    <n v="947.26598182222403"/>
    <n v="0"/>
    <n v="0"/>
    <n v="0"/>
    <n v="0"/>
    <n v="0"/>
    <n v="0"/>
    <n v="0"/>
    <n v="0"/>
    <n v="10.202753823260499"/>
    <n v="0"/>
    <n v="9.5905885938651299"/>
    <n v="0"/>
    <n v="0"/>
    <n v="0"/>
    <n v="0"/>
    <n v="1.36597820205955E-3"/>
    <n v="10.7707381232396"/>
    <n v="0"/>
    <n v="0"/>
    <n v="0"/>
    <n v="0"/>
    <n v="0"/>
    <n v="0"/>
    <n v="0"/>
    <n v="0"/>
  </r>
  <r>
    <x v="1"/>
    <x v="8"/>
    <n v="2030"/>
    <s v="Bornholm"/>
    <x v="3"/>
    <x v="0"/>
    <x v="0"/>
    <x v="0"/>
    <n v="0"/>
    <n v="0"/>
    <s v="C1.0_E0.0"/>
    <n v="962.54137501854598"/>
    <n v="0"/>
    <n v="0"/>
    <n v="0"/>
    <n v="0"/>
    <n v="0"/>
    <n v="0"/>
    <n v="0"/>
    <n v="0"/>
    <n v="10.188685060955899"/>
    <n v="0"/>
    <n v="0"/>
    <n v="0"/>
    <n v="0"/>
    <n v="0"/>
    <n v="0"/>
    <n v="1.3424466443369199E-3"/>
    <n v="10.5851917905966"/>
    <n v="0"/>
    <n v="0"/>
    <n v="0"/>
    <n v="0"/>
    <n v="0"/>
    <n v="0"/>
    <n v="0"/>
    <n v="0"/>
  </r>
  <r>
    <x v="1"/>
    <x v="9"/>
    <n v="2030"/>
    <s v="Bornholm"/>
    <x v="3"/>
    <x v="0"/>
    <x v="0"/>
    <x v="0"/>
    <n v="0"/>
    <n v="0"/>
    <s v="C1.0_E0.0"/>
    <n v="156.31958116332399"/>
    <n v="39.079895290831203"/>
    <n v="3.1945023377292001"/>
    <n v="1.17239685872493"/>
    <n v="0"/>
    <n v="0"/>
    <n v="0"/>
    <n v="0"/>
    <n v="4.3668991964541402"/>
    <n v="745.35229311849798"/>
    <n v="0"/>
    <n v="0"/>
    <n v="0"/>
    <n v="0"/>
    <n v="0"/>
    <n v="5.8588391513271698E-3"/>
    <n v="0.60470911025461205"/>
    <n v="4768.1313343576103"/>
    <n v="0.64916261346458004"/>
    <n v="0"/>
    <n v="0.64916261346458004"/>
    <n v="8.1964976447547794E-5"/>
    <n v="0"/>
    <n v="0.15631958116332401"/>
    <n v="1.97373208539551E-5"/>
    <n v="0"/>
  </r>
  <r>
    <x v="1"/>
    <x v="10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3"/>
    <x v="0"/>
    <x v="0"/>
    <x v="0"/>
    <n v="0"/>
    <n v="0"/>
    <s v="C1.0_E0.0"/>
    <n v="977.49316410915299"/>
    <n v="2244.9263335400401"/>
    <n v="199.41104435186099"/>
    <n v="36.749547442769703"/>
    <n v="11.4655193379722"/>
    <n v="0"/>
    <n v="0"/>
    <n v="0"/>
    <n v="247.626111132603"/>
    <n v="4072.2375969212399"/>
    <n v="0"/>
    <n v="0"/>
    <n v="0"/>
    <n v="0"/>
    <n v="0"/>
    <n v="6.08083652387615E-2"/>
    <n v="0.52834509828787701"/>
    <n v="4166.0010999999104"/>
    <n v="34900.914452866899"/>
    <n v="0"/>
    <n v="34900.914452866899"/>
    <n v="4.40668111778621"/>
    <n v="0"/>
    <n v="168.08972450021"/>
    <n v="2.1223450063157699E-2"/>
    <n v="0"/>
  </r>
  <r>
    <x v="1"/>
    <x v="12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3"/>
    <x v="0"/>
    <x v="0"/>
    <x v="0"/>
    <n v="0"/>
    <n v="0"/>
    <s v="C1.0_E0.0"/>
    <n v="871.95540211122704"/>
    <n v="0"/>
    <n v="0"/>
    <n v="0"/>
    <n v="0"/>
    <n v="0"/>
    <n v="0"/>
    <n v="0"/>
    <n v="0"/>
    <n v="51.248407635495703"/>
    <n v="0"/>
    <n v="0"/>
    <n v="0"/>
    <n v="0"/>
    <n v="0"/>
    <n v="0"/>
    <n v="7.4539144754249198E-3"/>
    <n v="58.774115638725497"/>
    <n v="0"/>
    <n v="0"/>
    <n v="0"/>
    <n v="0"/>
    <n v="0"/>
    <n v="0"/>
    <n v="0"/>
    <n v="0"/>
  </r>
  <r>
    <x v="1"/>
    <x v="16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0"/>
    <n v="2030"/>
    <s v="Bornholm"/>
    <x v="4"/>
    <x v="0"/>
    <x v="0"/>
    <x v="0"/>
    <n v="0"/>
    <n v="0"/>
    <s v="C1.0_E0.0"/>
    <n v="89.553952362204996"/>
    <n v="596.62275926938798"/>
    <n v="52.7984742716272"/>
    <n v="23.864910370775501"/>
    <n v="0"/>
    <n v="0"/>
    <n v="0"/>
    <n v="0"/>
    <n v="76.663384642402704"/>
    <n v="425.80645161290698"/>
    <n v="0"/>
    <n v="191.612903225818"/>
    <n v="1.0880856806941701"/>
    <n v="58.499230144847999"/>
    <n v="210.59722852145299"/>
    <n v="0.180042797266247"/>
    <n v="0.60301176017154301"/>
    <n v="4754.7477289526096"/>
    <n v="1356.7648177369899"/>
    <n v="0"/>
    <n v="1356.7648177369899"/>
    <n v="0.17130868910820399"/>
    <n v="4.7484238729308599"/>
    <n v="0"/>
    <n v="0"/>
    <n v="2.12363504066845E-2"/>
  </r>
  <r>
    <x v="1"/>
    <x v="1"/>
    <n v="2030"/>
    <s v="Bornholm"/>
    <x v="4"/>
    <x v="0"/>
    <x v="0"/>
    <x v="0"/>
    <n v="0"/>
    <n v="0"/>
    <s v="C1.0_E0.0"/>
    <n v="198.07843548337399"/>
    <n v="23.966135836989601"/>
    <n v="2.7999527437103402"/>
    <n v="0.71898407510968898"/>
    <n v="0"/>
    <n v="0"/>
    <n v="0"/>
    <n v="5.6054878851106299E-2"/>
    <n v="3.57499169767113"/>
    <n v="862.38275155548297"/>
    <n v="0"/>
    <n v="2.15595687888877"/>
    <n v="0"/>
    <n v="0"/>
    <n v="0"/>
    <n v="4.1454814480263004E-3"/>
    <n v="0.55215520042502098"/>
    <n v="4353.74375535129"/>
    <n v="0"/>
    <n v="0"/>
    <n v="0"/>
    <n v="0"/>
    <n v="0"/>
    <n v="0"/>
    <n v="0"/>
    <n v="0"/>
  </r>
  <r>
    <x v="1"/>
    <x v="2"/>
    <n v="2030"/>
    <s v="Bornholm"/>
    <x v="4"/>
    <x v="0"/>
    <x v="0"/>
    <x v="0"/>
    <n v="0"/>
    <n v="0"/>
    <s v="C1.0_E0.0"/>
    <n v="17.6069720429666"/>
    <n v="701.46176619179096"/>
    <n v="62.076262494848699"/>
    <n v="70.146176619179101"/>
    <n v="0"/>
    <n v="0"/>
    <n v="0"/>
    <n v="0"/>
    <n v="132.222439114027"/>
    <n v="76.656244582712901"/>
    <n v="0"/>
    <n v="3817.4809802188202"/>
    <n v="0"/>
    <n v="0"/>
    <n v="0"/>
    <n v="1.72487499007805"/>
    <n v="0.55215520042502098"/>
    <n v="4353.74375535129"/>
    <n v="1355.41108562669"/>
    <n v="0"/>
    <n v="1355.41108562669"/>
    <n v="0.171137763336702"/>
    <n v="0"/>
    <n v="8.3280977763232206E-3"/>
    <n v="1.05152749701049E-6"/>
    <n v="0"/>
  </r>
  <r>
    <x v="1"/>
    <x v="3"/>
    <n v="2030"/>
    <s v="Bornholm"/>
    <x v="4"/>
    <x v="0"/>
    <x v="0"/>
    <x v="0"/>
    <n v="0"/>
    <n v="0"/>
    <s v="C1.0_E0.0"/>
    <n v="16.1197114251969"/>
    <n v="0"/>
    <n v="0"/>
    <n v="0"/>
    <n v="0"/>
    <n v="0"/>
    <n v="0"/>
    <n v="0"/>
    <n v="0"/>
    <n v="76.645161290331203"/>
    <n v="0"/>
    <n v="0"/>
    <n v="0"/>
    <n v="0"/>
    <n v="0"/>
    <n v="0"/>
    <n v="0.60301176017154301"/>
    <n v="4754.7477289526096"/>
    <n v="0"/>
    <n v="0"/>
    <n v="0"/>
    <n v="0"/>
    <n v="0"/>
    <n v="0"/>
    <n v="0"/>
    <n v="0"/>
  </r>
  <r>
    <x v="1"/>
    <x v="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4"/>
    <x v="0"/>
    <x v="0"/>
    <x v="0"/>
    <n v="0"/>
    <n v="0"/>
    <s v="C1.0_E0.0"/>
    <n v="99.937173315878596"/>
    <n v="0"/>
    <n v="0"/>
    <n v="0"/>
    <n v="0"/>
    <n v="0"/>
    <n v="0"/>
    <n v="0"/>
    <n v="0"/>
    <n v="435.10084425147198"/>
    <n v="0"/>
    <n v="0"/>
    <n v="0"/>
    <n v="0"/>
    <n v="0"/>
    <n v="0"/>
    <n v="0.55215520042502098"/>
    <n v="4353.74375535129"/>
    <n v="0"/>
    <n v="0"/>
    <n v="0"/>
    <n v="0"/>
    <n v="0"/>
    <n v="0"/>
    <n v="0"/>
    <n v="0"/>
  </r>
  <r>
    <x v="1"/>
    <x v="6"/>
    <n v="2030"/>
    <s v="Bornholm"/>
    <x v="4"/>
    <x v="0"/>
    <x v="0"/>
    <x v="0"/>
    <n v="0"/>
    <n v="0"/>
    <s v="C1.0_E0.0"/>
    <n v="136.63010305342101"/>
    <n v="0"/>
    <n v="0"/>
    <n v="0"/>
    <n v="0"/>
    <n v="0"/>
    <n v="0"/>
    <n v="0"/>
    <n v="0"/>
    <n v="594.85245796185905"/>
    <n v="0"/>
    <n v="0"/>
    <n v="0"/>
    <n v="0"/>
    <n v="0"/>
    <n v="0"/>
    <n v="0.55215520042502098"/>
    <n v="4353.74375535129"/>
    <n v="0"/>
    <n v="0"/>
    <n v="0"/>
    <n v="0"/>
    <n v="0"/>
    <n v="0"/>
    <n v="0"/>
    <n v="0"/>
  </r>
  <r>
    <x v="1"/>
    <x v="7"/>
    <n v="2030"/>
    <s v="Bornholm"/>
    <x v="4"/>
    <x v="0"/>
    <x v="0"/>
    <x v="0"/>
    <n v="0"/>
    <n v="0"/>
    <s v="C1.0_E0.0"/>
    <n v="944.84822371369103"/>
    <n v="0"/>
    <n v="0"/>
    <n v="0"/>
    <n v="0"/>
    <n v="0"/>
    <n v="0"/>
    <n v="0"/>
    <n v="0"/>
    <n v="8.0426863379949101"/>
    <n v="0"/>
    <n v="7.5601251577153699"/>
    <n v="0"/>
    <n v="0"/>
    <n v="0"/>
    <n v="0"/>
    <n v="1.0795366300561499E-3"/>
    <n v="8.5121463279928005"/>
    <n v="0"/>
    <n v="0"/>
    <n v="0"/>
    <n v="0"/>
    <n v="0"/>
    <n v="0"/>
    <n v="0"/>
    <n v="0"/>
  </r>
  <r>
    <x v="1"/>
    <x v="8"/>
    <n v="2030"/>
    <s v="Bornholm"/>
    <x v="4"/>
    <x v="0"/>
    <x v="0"/>
    <x v="0"/>
    <n v="0"/>
    <n v="0"/>
    <s v="C1.0_E0.0"/>
    <n v="960.96793513888804"/>
    <n v="0"/>
    <n v="0"/>
    <n v="0"/>
    <n v="0"/>
    <n v="0"/>
    <n v="0"/>
    <n v="0"/>
    <n v="0"/>
    <n v="8.0316030456112397"/>
    <n v="0"/>
    <n v="0"/>
    <n v="0"/>
    <n v="0"/>
    <n v="0"/>
    <n v="0"/>
    <n v="1.0599652837517399E-3"/>
    <n v="8.3578262623825204"/>
    <n v="0"/>
    <n v="0"/>
    <n v="0"/>
    <n v="0"/>
    <n v="0"/>
    <n v="0"/>
    <n v="0"/>
    <n v="0"/>
  </r>
  <r>
    <x v="1"/>
    <x v="9"/>
    <n v="2030"/>
    <s v="Bornholm"/>
    <x v="4"/>
    <x v="0"/>
    <x v="0"/>
    <x v="0"/>
    <n v="0"/>
    <n v="0"/>
    <s v="C1.0_E0.0"/>
    <n v="123.14769315655001"/>
    <n v="30.786923289137601"/>
    <n v="2.5166111036565102"/>
    <n v="0.92360769867412895"/>
    <n v="0"/>
    <n v="0"/>
    <n v="0"/>
    <n v="0"/>
    <n v="3.4402188023306399"/>
    <n v="589.65888574207395"/>
    <n v="0"/>
    <n v="0"/>
    <n v="0"/>
    <n v="0"/>
    <n v="0"/>
    <n v="5.8342524559791796E-3"/>
    <n v="0.60725747421041998"/>
    <n v="4788.2251841491598"/>
    <n v="0.511406681982567"/>
    <n v="0"/>
    <n v="0.511406681982567"/>
    <n v="6.4571550755373994E-5"/>
    <n v="0"/>
    <n v="0.12314769315655"/>
    <n v="1.5548951156129899E-5"/>
    <n v="0"/>
  </r>
  <r>
    <x v="1"/>
    <x v="10"/>
    <n v="2030"/>
    <s v="Bornholm"/>
    <x v="4"/>
    <x v="0"/>
    <x v="0"/>
    <x v="0"/>
    <n v="0"/>
    <n v="0"/>
    <s v="C1.0_E0.0"/>
    <n v="2.9356515357022799"/>
    <n v="5.86581431882282"/>
    <n v="0.52104523066734199"/>
    <n v="0.11036789754437901"/>
    <n v="3.0931687128771E-2"/>
    <n v="0"/>
    <n v="0"/>
    <n v="0"/>
    <n v="0.66234481534049205"/>
    <n v="10.9860858064069"/>
    <n v="0"/>
    <n v="0"/>
    <n v="0"/>
    <n v="0"/>
    <n v="0"/>
    <n v="6.02894267359739E-2"/>
    <n v="0.47460989220037397"/>
    <n v="3742.29899999995"/>
    <n v="104.815999612997"/>
    <n v="0"/>
    <n v="104.815999612997"/>
    <n v="1.32343433854793E-2"/>
    <n v="0"/>
    <n v="0.504814638079364"/>
    <n v="6.37392219797171E-5"/>
    <n v="0"/>
  </r>
  <r>
    <x v="1"/>
    <x v="11"/>
    <n v="2030"/>
    <s v="Bornholm"/>
    <x v="4"/>
    <x v="0"/>
    <x v="0"/>
    <x v="0"/>
    <n v="0"/>
    <n v="0"/>
    <s v="C1.0_E0.0"/>
    <n v="974.38709462625798"/>
    <n v="2237.79288500865"/>
    <n v="198.77739842761801"/>
    <n v="36.632772561866801"/>
    <n v="11.3403526860087"/>
    <n v="0"/>
    <n v="0"/>
    <n v="0"/>
    <n v="246.75052367549301"/>
    <n v="4027.781839534"/>
    <n v="0"/>
    <n v="0"/>
    <n v="0"/>
    <n v="0"/>
    <n v="0"/>
    <n v="6.1262137202555397E-2"/>
    <n v="0.52424309448318496"/>
    <n v="4133.6567999999197"/>
    <n v="34790.013763954099"/>
    <n v="0"/>
    <n v="34790.013763954099"/>
    <n v="4.3926785055497204"/>
    <n v="0"/>
    <n v="167.55560479193099"/>
    <n v="2.1156010706051699E-2"/>
    <n v="0"/>
  </r>
  <r>
    <x v="1"/>
    <x v="12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4"/>
    <x v="0"/>
    <x v="0"/>
    <x v="0"/>
    <n v="0"/>
    <n v="0"/>
    <s v="C1.0_E0.0"/>
    <n v="359.68220564366499"/>
    <n v="0"/>
    <n v="0"/>
    <n v="0"/>
    <n v="0"/>
    <n v="0"/>
    <n v="0"/>
    <n v="0"/>
    <n v="0"/>
    <n v="19.9579598593225"/>
    <n v="0"/>
    <n v="0"/>
    <n v="0"/>
    <n v="0"/>
    <n v="0"/>
    <n v="0"/>
    <n v="7.0371287100181997E-3"/>
    <n v="55.487759878493499"/>
    <n v="0"/>
    <n v="0"/>
    <n v="0"/>
    <n v="0"/>
    <n v="0"/>
    <n v="0"/>
    <n v="0"/>
    <n v="0"/>
  </r>
  <r>
    <x v="1"/>
    <x v="16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0"/>
    <n v="2030"/>
    <s v="Bornholm"/>
    <x v="5"/>
    <x v="0"/>
    <x v="0"/>
    <x v="0"/>
    <n v="0"/>
    <n v="0"/>
    <s v="C1.0_E0.0"/>
    <n v="77.448847781876495"/>
    <n v="515.97661573850598"/>
    <n v="45.661647410487298"/>
    <n v="20.639064629540201"/>
    <n v="0"/>
    <n v="0"/>
    <n v="0"/>
    <n v="0"/>
    <n v="66.300712040027506"/>
    <n v="425.80645161291"/>
    <n v="0"/>
    <n v="191.612903225808"/>
    <n v="1.16723186985521"/>
    <n v="62.754401605119"/>
    <n v="225.91584577842801"/>
    <n v="0.15570621766975901"/>
    <n v="0.697261327842291"/>
    <n v="5497.9055700364597"/>
    <n v="1173.36945018035"/>
    <n v="0"/>
    <n v="1173.36945018035"/>
    <n v="0.148152708356102"/>
    <n v="5.1491172396726697"/>
    <n v="0"/>
    <n v="0"/>
    <n v="2.3244177973870801E-2"/>
  </r>
  <r>
    <x v="1"/>
    <x v="1"/>
    <n v="2030"/>
    <s v="Bornholm"/>
    <x v="5"/>
    <x v="0"/>
    <x v="0"/>
    <x v="0"/>
    <n v="0"/>
    <n v="0"/>
    <s v="C1.0_E0.0"/>
    <n v="216.30393657190501"/>
    <n v="26.171296806274398"/>
    <n v="3.05758069626255"/>
    <n v="0.78513890418823196"/>
    <n v="0"/>
    <n v="0"/>
    <n v="0"/>
    <n v="5.6077338400341702E-2"/>
    <n v="3.8987969388511199"/>
    <n v="862.72828308218004"/>
    <n v="0"/>
    <n v="2.1568207077053798"/>
    <n v="0"/>
    <n v="0"/>
    <n v="0"/>
    <n v="4.5191481667000597E-3"/>
    <n v="0.50583388056321799"/>
    <n v="3988.5001482409698"/>
    <n v="0"/>
    <n v="0"/>
    <n v="0"/>
    <n v="0"/>
    <n v="0"/>
    <n v="0"/>
    <n v="0"/>
    <n v="0"/>
  </r>
  <r>
    <x v="1"/>
    <x v="2"/>
    <n v="2030"/>
    <s v="Bornholm"/>
    <x v="5"/>
    <x v="0"/>
    <x v="0"/>
    <x v="0"/>
    <n v="0"/>
    <n v="0"/>
    <s v="C1.0_E0.0"/>
    <n v="19.227016584169299"/>
    <n v="766.00434071330801"/>
    <n v="67.787994753390095"/>
    <n v="76.600434071330795"/>
    <n v="0"/>
    <n v="0"/>
    <n v="0"/>
    <n v="0"/>
    <n v="144.38842882472099"/>
    <n v="76.686958496194194"/>
    <n v="0"/>
    <n v="3819.01053311025"/>
    <n v="0"/>
    <n v="0"/>
    <n v="0"/>
    <n v="1.8828289927796"/>
    <n v="0.50583388056321799"/>
    <n v="3988.5001482409698"/>
    <n v="1480.12454146661"/>
    <n v="0"/>
    <n v="1480.12454146661"/>
    <n v="0.186884411801337"/>
    <n v="0"/>
    <n v="9.0943788443121204E-3"/>
    <n v="1.1482801571100899E-6"/>
    <n v="0"/>
  </r>
  <r>
    <x v="1"/>
    <x v="3"/>
    <n v="2030"/>
    <s v="Bornholm"/>
    <x v="5"/>
    <x v="0"/>
    <x v="0"/>
    <x v="0"/>
    <n v="0"/>
    <n v="0"/>
    <s v="C1.0_E0.0"/>
    <n v="13.9407926007377"/>
    <n v="0"/>
    <n v="0"/>
    <n v="0"/>
    <n v="0"/>
    <n v="0"/>
    <n v="0"/>
    <n v="0"/>
    <n v="0"/>
    <n v="76.645161290313496"/>
    <n v="0"/>
    <n v="0"/>
    <n v="0"/>
    <n v="0"/>
    <n v="0"/>
    <n v="0"/>
    <n v="0.697261327842291"/>
    <n v="5497.9055700364597"/>
    <n v="0"/>
    <n v="0"/>
    <n v="0"/>
    <n v="0"/>
    <n v="0"/>
    <n v="0"/>
    <n v="0"/>
    <n v="0"/>
  </r>
  <r>
    <x v="1"/>
    <x v="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5"/>
    <x v="0"/>
    <x v="0"/>
    <x v="0"/>
    <n v="0"/>
    <n v="0"/>
    <s v="C1.0_E0.0"/>
    <n v="109.132546131745"/>
    <n v="0"/>
    <n v="0"/>
    <n v="0"/>
    <n v="0"/>
    <n v="0"/>
    <n v="0"/>
    <n v="0"/>
    <n v="0"/>
    <n v="435.27517642437698"/>
    <n v="0"/>
    <n v="0"/>
    <n v="0"/>
    <n v="0"/>
    <n v="0"/>
    <n v="0"/>
    <n v="0.50583388056321799"/>
    <n v="3988.5001482409698"/>
    <n v="0"/>
    <n v="0"/>
    <n v="0"/>
    <n v="0"/>
    <n v="0"/>
    <n v="0"/>
    <n v="0"/>
    <n v="0"/>
  </r>
  <r>
    <x v="1"/>
    <x v="6"/>
    <n v="2030"/>
    <s v="Bornholm"/>
    <x v="5"/>
    <x v="0"/>
    <x v="0"/>
    <x v="0"/>
    <n v="0"/>
    <n v="0"/>
    <s v="C1.0_E0.0"/>
    <n v="149.201648693154"/>
    <n v="0"/>
    <n v="0"/>
    <n v="0"/>
    <n v="0"/>
    <n v="0"/>
    <n v="0"/>
    <n v="0"/>
    <n v="0"/>
    <n v="595.09079793044498"/>
    <n v="0"/>
    <n v="0"/>
    <n v="0"/>
    <n v="0"/>
    <n v="0"/>
    <n v="0"/>
    <n v="0.50583388056321799"/>
    <n v="3988.5001482409698"/>
    <n v="0"/>
    <n v="0"/>
    <n v="0"/>
    <n v="0"/>
    <n v="0"/>
    <n v="0"/>
    <n v="0"/>
    <n v="0"/>
  </r>
  <r>
    <x v="1"/>
    <x v="7"/>
    <n v="2030"/>
    <s v="Bornholm"/>
    <x v="5"/>
    <x v="0"/>
    <x v="0"/>
    <x v="0"/>
    <n v="0"/>
    <n v="0"/>
    <s v="C1.0_E0.0"/>
    <n v="1042.0917775769201"/>
    <n v="0"/>
    <n v="0"/>
    <n v="0"/>
    <n v="0"/>
    <n v="0"/>
    <n v="0"/>
    <n v="0"/>
    <n v="0"/>
    <n v="25.5596777988101"/>
    <n v="0"/>
    <n v="24.026097130881499"/>
    <n v="0"/>
    <n v="0"/>
    <n v="0"/>
    <n v="0"/>
    <n v="3.1106253576053799E-3"/>
    <n v="24.527280944718399"/>
    <n v="0"/>
    <n v="0"/>
    <n v="0"/>
    <n v="0"/>
    <n v="0"/>
    <n v="0"/>
    <n v="0"/>
    <n v="0"/>
  </r>
  <r>
    <x v="1"/>
    <x v="8"/>
    <n v="2030"/>
    <s v="Bornholm"/>
    <x v="5"/>
    <x v="0"/>
    <x v="0"/>
    <x v="0"/>
    <n v="0"/>
    <n v="0"/>
    <s v="C1.0_E0.0"/>
    <n v="1056.0325701776601"/>
    <n v="0"/>
    <n v="0"/>
    <n v="0"/>
    <n v="0"/>
    <n v="0"/>
    <n v="0"/>
    <n v="0"/>
    <n v="0"/>
    <n v="25.517880592938099"/>
    <n v="0"/>
    <n v="0"/>
    <n v="0"/>
    <n v="0"/>
    <n v="0"/>
    <n v="0"/>
    <n v="3.0645420882037902E-3"/>
    <n v="24.1639143654869"/>
    <n v="0"/>
    <n v="0"/>
    <n v="0"/>
    <n v="0"/>
    <n v="0"/>
    <n v="0"/>
    <n v="0"/>
    <n v="0"/>
  </r>
  <r>
    <x v="1"/>
    <x v="9"/>
    <n v="2030"/>
    <s v="Bornholm"/>
    <x v="5"/>
    <x v="0"/>
    <x v="0"/>
    <x v="0"/>
    <n v="0"/>
    <n v="0"/>
    <s v="C1.0_E0.0"/>
    <n v="464.413398576823"/>
    <n v="116.103349644205"/>
    <n v="9.4906196420547797"/>
    <n v="3.4831004893261701"/>
    <n v="0"/>
    <n v="0"/>
    <n v="0"/>
    <n v="0"/>
    <n v="12.973720131380899"/>
    <n v="2006.7829354744099"/>
    <n v="0"/>
    <n v="0"/>
    <n v="0"/>
    <n v="0"/>
    <n v="0"/>
    <n v="6.4649344490832596E-3"/>
    <n v="0.54801691157538002"/>
    <n v="4321.1133477718704"/>
    <n v="1.9286119710947001"/>
    <n v="0"/>
    <n v="1.9286119710947001"/>
    <n v="2.4351161251195299E-4"/>
    <n v="0"/>
    <n v="0.46441339857682301"/>
    <n v="5.8638055375860598E-5"/>
    <n v="0"/>
  </r>
  <r>
    <x v="1"/>
    <x v="10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5"/>
    <x v="0"/>
    <x v="0"/>
    <x v="0"/>
    <n v="0"/>
    <n v="0"/>
    <s v="C1.0_E0.0"/>
    <n v="1067.8086867622601"/>
    <n v="2452.34639802324"/>
    <n v="217.835636312926"/>
    <n v="40.145023448562398"/>
    <n v="11.4725430160748"/>
    <n v="0"/>
    <n v="0"/>
    <n v="0"/>
    <n v="269.45320277756298"/>
    <n v="4074.7322144955301"/>
    <n v="0"/>
    <n v="0"/>
    <n v="0"/>
    <n v="0"/>
    <n v="0"/>
    <n v="6.6127830883954894E-2"/>
    <n v="0.48395382371590301"/>
    <n v="3815.9758999998999"/>
    <n v="38125.585934590097"/>
    <n v="0"/>
    <n v="38125.585934590097"/>
    <n v="4.8138366079027204"/>
    <n v="0"/>
    <n v="183.620381775639"/>
    <n v="2.3184391638337899E-2"/>
    <n v="0"/>
  </r>
  <r>
    <x v="1"/>
    <x v="12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5"/>
    <x v="0"/>
    <x v="0"/>
    <x v="0"/>
    <n v="0"/>
    <n v="0"/>
    <s v="C1.0_E0.0"/>
    <n v="969.95599274144695"/>
    <n v="0"/>
    <n v="0"/>
    <n v="0"/>
    <n v="0"/>
    <n v="0"/>
    <n v="0"/>
    <n v="0"/>
    <n v="0"/>
    <n v="37.925860320619996"/>
    <n v="0"/>
    <n v="0"/>
    <n v="0"/>
    <n v="0"/>
    <n v="0"/>
    <n v="0"/>
    <n v="4.9588584655441501E-3"/>
    <n v="39.100599000815599"/>
    <n v="0"/>
    <n v="0"/>
    <n v="0"/>
    <n v="0"/>
    <n v="0"/>
    <n v="0"/>
    <n v="0"/>
    <n v="0"/>
  </r>
  <r>
    <x v="1"/>
    <x v="16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0"/>
    <n v="2030"/>
    <s v="Bornholm"/>
    <x v="6"/>
    <x v="0"/>
    <x v="0"/>
    <x v="0"/>
    <n v="0"/>
    <n v="0"/>
    <s v="C1.0_E0.0"/>
    <n v="96.1614179459539"/>
    <n v="640.64275218281603"/>
    <n v="56.694048865735901"/>
    <n v="25.625710087312601"/>
    <n v="0"/>
    <n v="0"/>
    <n v="0"/>
    <n v="0"/>
    <n v="82.319758953048606"/>
    <n v="425.80645161289601"/>
    <n v="0"/>
    <n v="191.61290322578199"/>
    <n v="1.22930679643823"/>
    <n v="66.091763249367602"/>
    <n v="237.93034769772299"/>
    <n v="0.193326706632162"/>
    <n v="0.56157747668189895"/>
    <n v="4428.0384036367705"/>
    <n v="1456.86957695722"/>
    <n v="0"/>
    <n v="1456.86957695722"/>
    <n v="0.18394817890874299"/>
    <n v="5.4144665686079199"/>
    <n v="0"/>
    <n v="0"/>
    <n v="2.4132656889887898E-2"/>
  </r>
  <r>
    <x v="0"/>
    <x v="1"/>
    <n v="2030"/>
    <s v="Bornholm"/>
    <x v="6"/>
    <x v="0"/>
    <x v="0"/>
    <x v="0"/>
    <n v="0"/>
    <n v="0"/>
    <s v="C1.0_E0.0"/>
    <n v="218.45764285069899"/>
    <n v="26.431880534657498"/>
    <n v="3.0880245746672799"/>
    <n v="0.792956416039727"/>
    <n v="0"/>
    <n v="0"/>
    <n v="0"/>
    <n v="5.6060309179808698E-2"/>
    <n v="3.9370412998868201"/>
    <n v="862.46629507406203"/>
    <n v="0"/>
    <n v="2.15616573768513"/>
    <n v="0"/>
    <n v="0"/>
    <n v="0"/>
    <n v="4.5648639516385299E-3"/>
    <n v="0.50069492677550298"/>
    <n v="3947.97949762484"/>
    <n v="0"/>
    <n v="0"/>
    <n v="0"/>
    <n v="0"/>
    <n v="0"/>
    <n v="0"/>
    <n v="0"/>
    <n v="0"/>
  </r>
  <r>
    <x v="0"/>
    <x v="2"/>
    <n v="2030"/>
    <s v="Bornholm"/>
    <x v="6"/>
    <x v="0"/>
    <x v="0"/>
    <x v="0"/>
    <n v="0"/>
    <n v="0"/>
    <s v="C1.0_E0.0"/>
    <n v="19.418457142284399"/>
    <n v="773.631332548611"/>
    <n v="68.462949783062896"/>
    <n v="77.363133254861097"/>
    <n v="0"/>
    <n v="0"/>
    <n v="0"/>
    <n v="0"/>
    <n v="145.82608303792401"/>
    <n v="76.663670673245903"/>
    <n v="0"/>
    <n v="3817.8507995279501"/>
    <n v="0"/>
    <n v="0"/>
    <n v="0"/>
    <n v="1.90215367666727"/>
    <n v="0.50069492677550298"/>
    <n v="3947.97949762484"/>
    <n v="1494.86192243561"/>
    <n v="0"/>
    <n v="1494.86192243561"/>
    <n v="0.18874519222672101"/>
    <n v="0"/>
    <n v="9.1849302283005304E-3"/>
    <n v="1.15971341266422E-6"/>
    <n v="0"/>
  </r>
  <r>
    <x v="0"/>
    <x v="3"/>
    <n v="2030"/>
    <s v="Bornholm"/>
    <x v="6"/>
    <x v="0"/>
    <x v="0"/>
    <x v="0"/>
    <n v="0"/>
    <n v="0"/>
    <s v="C1.0_E0.0"/>
    <n v="17.309055230271699"/>
    <n v="0"/>
    <n v="0"/>
    <n v="0"/>
    <n v="0"/>
    <n v="0"/>
    <n v="0"/>
    <n v="0"/>
    <n v="0"/>
    <n v="76.645161290317105"/>
    <n v="0"/>
    <n v="0"/>
    <n v="0"/>
    <n v="0"/>
    <n v="0"/>
    <n v="0"/>
    <n v="0.56157747668189895"/>
    <n v="4428.0384036367705"/>
    <n v="0"/>
    <n v="0"/>
    <n v="0"/>
    <n v="0"/>
    <n v="0"/>
    <n v="0"/>
    <n v="0"/>
    <n v="0"/>
  </r>
  <r>
    <x v="0"/>
    <x v="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6"/>
    <x v="0"/>
    <x v="0"/>
    <x v="0"/>
    <n v="0"/>
    <n v="0"/>
    <s v="C1.0_E0.0"/>
    <n v="110.21916273960601"/>
    <n v="0"/>
    <n v="0"/>
    <n v="0"/>
    <n v="0"/>
    <n v="0"/>
    <n v="0"/>
    <n v="0"/>
    <n v="0"/>
    <n v="435.14299474136499"/>
    <n v="0"/>
    <n v="0"/>
    <n v="0"/>
    <n v="0"/>
    <n v="0"/>
    <n v="0"/>
    <n v="0.50069492677550298"/>
    <n v="3947.97949762484"/>
    <n v="0"/>
    <n v="0"/>
    <n v="0"/>
    <n v="0"/>
    <n v="0"/>
    <n v="0"/>
    <n v="0"/>
    <n v="0"/>
  </r>
  <r>
    <x v="0"/>
    <x v="6"/>
    <n v="2030"/>
    <s v="Bornholm"/>
    <x v="6"/>
    <x v="0"/>
    <x v="0"/>
    <x v="0"/>
    <n v="0"/>
    <n v="0"/>
    <s v="C1.0_E0.0"/>
    <n v="150.687227424127"/>
    <n v="0"/>
    <n v="0"/>
    <n v="0"/>
    <n v="0"/>
    <n v="0"/>
    <n v="0"/>
    <n v="0"/>
    <n v="0"/>
    <n v="594.910084424405"/>
    <n v="0"/>
    <n v="0"/>
    <n v="0"/>
    <n v="0"/>
    <n v="0"/>
    <n v="0"/>
    <n v="0.50069492677550298"/>
    <n v="3947.97949762484"/>
    <n v="0"/>
    <n v="0"/>
    <n v="0"/>
    <n v="0"/>
    <n v="0"/>
    <n v="0"/>
    <n v="0"/>
    <n v="0"/>
  </r>
  <r>
    <x v="0"/>
    <x v="7"/>
    <n v="2030"/>
    <s v="Bornholm"/>
    <x v="6"/>
    <x v="0"/>
    <x v="0"/>
    <x v="0"/>
    <n v="0"/>
    <n v="0"/>
    <s v="C1.0_E0.0"/>
    <n v="263.41860458677297"/>
    <n v="0"/>
    <n v="0"/>
    <n v="0"/>
    <n v="0"/>
    <n v="0"/>
    <n v="0"/>
    <n v="0"/>
    <n v="0"/>
    <n v="24.480931053507099"/>
    <n v="0"/>
    <n v="23.0120751902965"/>
    <n v="0"/>
    <n v="0"/>
    <n v="0"/>
    <n v="0"/>
    <n v="1.17863623430523E-2"/>
    <n v="92.935467074967605"/>
    <n v="0"/>
    <n v="0"/>
    <n v="0"/>
    <n v="0"/>
    <n v="0"/>
    <n v="0"/>
    <n v="0"/>
    <n v="0"/>
  </r>
  <r>
    <x v="0"/>
    <x v="8"/>
    <n v="2030"/>
    <s v="Bornholm"/>
    <x v="6"/>
    <x v="0"/>
    <x v="0"/>
    <x v="0"/>
    <n v="0"/>
    <n v="0"/>
    <s v="C1.0_E0.0"/>
    <n v="265.528006498786"/>
    <n v="0"/>
    <n v="0"/>
    <n v="0"/>
    <n v="0"/>
    <n v="0"/>
    <n v="0"/>
    <n v="0"/>
    <n v="0"/>
    <n v="24.462421670575601"/>
    <n v="0"/>
    <n v="0"/>
    <n v="0"/>
    <n v="0"/>
    <n v="0"/>
    <n v="0"/>
    <n v="1.16838888126456E-2"/>
    <n v="92.127463287710597"/>
    <n v="0"/>
    <n v="0"/>
    <n v="0"/>
    <n v="0"/>
    <n v="0"/>
    <n v="0"/>
    <n v="0"/>
    <n v="0"/>
  </r>
  <r>
    <x v="0"/>
    <x v="9"/>
    <n v="2030"/>
    <s v="Bornholm"/>
    <x v="6"/>
    <x v="0"/>
    <x v="0"/>
    <x v="0"/>
    <n v="0"/>
    <n v="0"/>
    <s v="C1.0_E0.0"/>
    <n v="205.659810348126"/>
    <n v="51.4149525870316"/>
    <n v="4.2028051767079102"/>
    <n v="1.54244857761094"/>
    <n v="0"/>
    <n v="0"/>
    <n v="0"/>
    <n v="0"/>
    <n v="5.7452537543188598"/>
    <n v="908.33089906866996"/>
    <n v="0"/>
    <n v="0"/>
    <n v="0"/>
    <n v="0"/>
    <n v="0"/>
    <n v="6.3250669554559703E-3"/>
    <n v="0.56013532113960895"/>
    <n v="4416.6670071858098"/>
    <n v="0.85406229326273697"/>
    <n v="0"/>
    <n v="0.85406229326273697"/>
    <n v="1.07836148139236E-4"/>
    <n v="0"/>
    <n v="0.205659810348126"/>
    <n v="2.59671477712284E-5"/>
    <n v="0"/>
  </r>
  <r>
    <x v="0"/>
    <x v="10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6"/>
    <x v="0"/>
    <x v="0"/>
    <x v="0"/>
    <n v="0"/>
    <n v="0"/>
    <s v="C1.0_E0.0"/>
    <n v="1110.20583762563"/>
    <n v="2549.7163684076099"/>
    <n v="226.48476087116501"/>
    <n v="41.738974346941802"/>
    <n v="11.532872882304099"/>
    <n v="0"/>
    <n v="0"/>
    <n v="0"/>
    <n v="279.75660810041097"/>
    <n v="4096.1597261705201"/>
    <n v="0"/>
    <n v="0"/>
    <n v="0"/>
    <n v="0"/>
    <n v="0"/>
    <n v="6.82972898525014E-2"/>
    <n v="0.46792007609383501"/>
    <n v="3689.5497999998902"/>
    <n v="39639.355431562697"/>
    <n v="0"/>
    <n v="39639.355431562697"/>
    <n v="5.00496912014688"/>
    <n v="0"/>
    <n v="190.91099583810299"/>
    <n v="2.41049237169326E-2"/>
    <n v="0"/>
  </r>
  <r>
    <x v="0"/>
    <x v="12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6"/>
    <x v="0"/>
    <x v="0"/>
    <x v="0"/>
    <n v="0"/>
    <n v="0"/>
    <s v="C1.0_E0.0"/>
    <n v="1011.4229076686599"/>
    <n v="0"/>
    <n v="0"/>
    <n v="0"/>
    <n v="0"/>
    <n v="0"/>
    <n v="0"/>
    <n v="0"/>
    <n v="0"/>
    <n v="59.664578443712401"/>
    <n v="0"/>
    <n v="0"/>
    <n v="0"/>
    <n v="0"/>
    <n v="0"/>
    <n v="0"/>
    <n v="7.4813865250728598E-3"/>
    <n v="58.990732750199498"/>
    <n v="0"/>
    <n v="0"/>
    <n v="0"/>
    <n v="0"/>
    <n v="0"/>
    <n v="0"/>
    <n v="0"/>
    <n v="0"/>
  </r>
  <r>
    <x v="0"/>
    <x v="16"/>
    <n v="2030"/>
    <s v="Bornholm"/>
    <x v="6"/>
    <x v="0"/>
    <x v="0"/>
    <x v="0"/>
    <n v="0"/>
    <n v="0"/>
    <s v="C1.0_E0.0"/>
    <n v="92.686255783995307"/>
    <n v="0"/>
    <n v="0"/>
    <n v="0"/>
    <n v="3.4972749827831502E-2"/>
    <n v="0"/>
    <n v="0"/>
    <n v="0"/>
    <n v="3.4972749827831502E-2"/>
    <n v="18.6320404490898"/>
    <n v="0"/>
    <n v="0.93160202245448898"/>
    <n v="0"/>
    <n v="0"/>
    <n v="0"/>
    <n v="1.8770219999999999E-3"/>
    <n v="2.54943170376766E-2"/>
    <n v="201.02268984208001"/>
    <n v="0"/>
    <n v="0"/>
    <n v="0"/>
    <n v="0"/>
    <n v="0"/>
    <n v="0"/>
    <n v="0"/>
    <n v="0"/>
  </r>
  <r>
    <x v="0"/>
    <x v="17"/>
    <n v="2030"/>
    <s v="Bornholm"/>
    <x v="6"/>
    <x v="0"/>
    <x v="0"/>
    <x v="0"/>
    <n v="0"/>
    <n v="0"/>
    <s v="C1.0_E0.0"/>
    <n v="277.037840184532"/>
    <n v="0"/>
    <n v="0"/>
    <n v="0"/>
    <n v="0"/>
    <n v="0"/>
    <n v="0"/>
    <n v="0"/>
    <n v="0"/>
    <n v="18.6320404490897"/>
    <n v="0"/>
    <n v="0.93160202245450097"/>
    <n v="0"/>
    <n v="0"/>
    <n v="0"/>
    <n v="0"/>
    <n v="8.5294225092805206E-3"/>
    <n v="67.254496485676896"/>
    <n v="0"/>
    <n v="0"/>
    <n v="0"/>
    <n v="0"/>
    <n v="0"/>
    <n v="0"/>
    <n v="0"/>
    <n v="0"/>
  </r>
  <r>
    <x v="0"/>
    <x v="18"/>
    <n v="2030"/>
    <s v="Bornholm"/>
    <x v="6"/>
    <x v="0"/>
    <x v="0"/>
    <x v="0"/>
    <n v="0"/>
    <n v="0"/>
    <s v="C1.0_E0.0"/>
    <n v="277.037840184532"/>
    <n v="49.866811233215699"/>
    <n v="5.0790448710701197"/>
    <n v="0.74800216849823598"/>
    <n v="0"/>
    <n v="0"/>
    <n v="0"/>
    <n v="0"/>
    <n v="5.8270470395683596"/>
    <n v="1041.4386421905399"/>
    <n v="0"/>
    <n v="0"/>
    <n v="0"/>
    <n v="0"/>
    <n v="0"/>
    <n v="5.5951899646356799E-3"/>
    <n v="0.476752410505213"/>
    <n v="3759.1927568336"/>
    <n v="290.63423012530097"/>
    <n v="0"/>
    <n v="290.63423012530097"/>
    <n v="3.6696241177437597E-2"/>
    <n v="0"/>
    <n v="4.8019892298652202E-3"/>
    <n v="6.0631177144763801E-7"/>
    <n v="0"/>
  </r>
  <r>
    <x v="0"/>
    <x v="0"/>
    <n v="2030"/>
    <s v="Bornholm"/>
    <x v="1"/>
    <x v="0"/>
    <x v="0"/>
    <x v="0"/>
    <n v="0"/>
    <n v="0"/>
    <s v="C1.0_E0.0"/>
    <n v="83.628262974111394"/>
    <n v="557.144868455606"/>
    <n v="49.304855615540298"/>
    <n v="22.285794738224201"/>
    <n v="0"/>
    <n v="0"/>
    <n v="0"/>
    <n v="0"/>
    <n v="71.590650353764502"/>
    <n v="425.80645161289601"/>
    <n v="0"/>
    <n v="191.612903225818"/>
    <n v="1.06833410660344"/>
    <n v="57.437317559325102"/>
    <n v="206.77434321357001"/>
    <n v="0.16812955764899501"/>
    <n v="0.645739664124927"/>
    <n v="5091.6572516250499"/>
    <n v="1266.9891387129601"/>
    <n v="0"/>
    <n v="1266.9891387129601"/>
    <n v="0.15997337610012299"/>
    <n v="4.66218018408156"/>
    <n v="0"/>
    <n v="0"/>
    <n v="2.0832041762820799E-2"/>
  </r>
  <r>
    <x v="0"/>
    <x v="1"/>
    <n v="2030"/>
    <s v="Bornholm"/>
    <x v="1"/>
    <x v="0"/>
    <x v="0"/>
    <x v="0"/>
    <n v="0"/>
    <n v="0"/>
    <s v="C1.0_E0.0"/>
    <n v="193.27424532323101"/>
    <n v="23.384861688272899"/>
    <n v="2.73204274943269"/>
    <n v="0.70154585064818797"/>
    <n v="0"/>
    <n v="0"/>
    <n v="0"/>
    <n v="5.6059618467151399E-2"/>
    <n v="3.4896482185480302"/>
    <n v="862.45566872531901"/>
    <n v="0"/>
    <n v="2.15613917181342"/>
    <n v="0"/>
    <n v="0"/>
    <n v="0"/>
    <n v="4.0461769167864699E-3"/>
    <n v="0.56592788988242904"/>
    <n v="4462.3414117229504"/>
    <n v="0"/>
    <n v="0"/>
    <n v="0"/>
    <n v="0"/>
    <n v="0"/>
    <n v="0"/>
    <n v="0"/>
    <n v="0"/>
  </r>
  <r>
    <x v="0"/>
    <x v="2"/>
    <n v="2030"/>
    <s v="Bornholm"/>
    <x v="1"/>
    <x v="0"/>
    <x v="0"/>
    <x v="0"/>
    <n v="0"/>
    <n v="0"/>
    <s v="C1.0_E0.0"/>
    <n v="17.179932917620501"/>
    <n v="684.44852743800197"/>
    <n v="60.570666144955901"/>
    <n v="68.444852743800197"/>
    <n v="0"/>
    <n v="0"/>
    <n v="0"/>
    <n v="0"/>
    <n v="129.01551888875599"/>
    <n v="76.662726108918804"/>
    <n v="0"/>
    <n v="3817.8037602238101"/>
    <n v="0"/>
    <n v="0"/>
    <n v="0"/>
    <n v="1.68289761448682"/>
    <n v="0.56592788988242904"/>
    <n v="4462.3414117229504"/>
    <n v="1322.5369739919399"/>
    <n v="0"/>
    <n v="1322.5369739919399"/>
    <n v="0.16698699166565101"/>
    <n v="0"/>
    <n v="8.1261082700345103E-3"/>
    <n v="1.0260237714690099E-6"/>
    <n v="0"/>
  </r>
  <r>
    <x v="0"/>
    <x v="3"/>
    <n v="2030"/>
    <s v="Bornholm"/>
    <x v="1"/>
    <x v="0"/>
    <x v="0"/>
    <x v="0"/>
    <n v="0"/>
    <n v="0"/>
    <s v="C1.0_E0.0"/>
    <n v="15.053087335340001"/>
    <n v="0"/>
    <n v="0"/>
    <n v="0"/>
    <n v="0"/>
    <n v="0"/>
    <n v="0"/>
    <n v="0"/>
    <n v="0"/>
    <n v="76.645161290325802"/>
    <n v="0"/>
    <n v="0"/>
    <n v="0"/>
    <n v="0"/>
    <n v="0"/>
    <n v="0"/>
    <n v="0.645739664124927"/>
    <n v="5091.6572516250499"/>
    <n v="0"/>
    <n v="0"/>
    <n v="0"/>
    <n v="0"/>
    <n v="0"/>
    <n v="0"/>
    <n v="0"/>
    <n v="0"/>
  </r>
  <r>
    <x v="0"/>
    <x v="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1"/>
    <x v="0"/>
    <x v="0"/>
    <x v="0"/>
    <n v="0"/>
    <n v="0"/>
    <s v="C1.0_E0.0"/>
    <n v="97.513299240414099"/>
    <n v="0"/>
    <n v="0"/>
    <n v="0"/>
    <n v="0"/>
    <n v="0"/>
    <n v="0"/>
    <n v="0"/>
    <n v="0"/>
    <n v="435.137633394224"/>
    <n v="0"/>
    <n v="0"/>
    <n v="0"/>
    <n v="0"/>
    <n v="0"/>
    <n v="0"/>
    <n v="0.56592788988242904"/>
    <n v="4462.3414117229504"/>
    <n v="0"/>
    <n v="0"/>
    <n v="0"/>
    <n v="0"/>
    <n v="0"/>
    <n v="0"/>
    <n v="0"/>
    <n v="0"/>
  </r>
  <r>
    <x v="0"/>
    <x v="6"/>
    <n v="2030"/>
    <s v="Bornholm"/>
    <x v="1"/>
    <x v="0"/>
    <x v="0"/>
    <x v="0"/>
    <n v="0"/>
    <n v="0"/>
    <s v="C1.0_E0.0"/>
    <n v="133.316279440735"/>
    <n v="0"/>
    <n v="0"/>
    <n v="0"/>
    <n v="0"/>
    <n v="0"/>
    <n v="0"/>
    <n v="0"/>
    <n v="0"/>
    <n v="594.90275460524595"/>
    <n v="0"/>
    <n v="0"/>
    <n v="0"/>
    <n v="0"/>
    <n v="0"/>
    <n v="0"/>
    <n v="0.56592788988242904"/>
    <n v="4462.3414117229504"/>
    <n v="0"/>
    <n v="0"/>
    <n v="0"/>
    <n v="0"/>
    <n v="0"/>
    <n v="0"/>
    <n v="0"/>
    <n v="0"/>
  </r>
  <r>
    <x v="0"/>
    <x v="7"/>
    <n v="2030"/>
    <s v="Bornholm"/>
    <x v="1"/>
    <x v="0"/>
    <x v="0"/>
    <x v="0"/>
    <n v="0"/>
    <n v="0"/>
    <s v="C1.0_E0.0"/>
    <n v="928.43188572175802"/>
    <n v="0"/>
    <n v="0"/>
    <n v="0"/>
    <n v="0"/>
    <n v="0"/>
    <n v="0"/>
    <n v="0"/>
    <n v="0"/>
    <n v="20.251947185834201"/>
    <n v="0"/>
    <n v="19.0368303546846"/>
    <n v="0"/>
    <n v="0"/>
    <n v="0"/>
    <n v="0"/>
    <n v="2.7664004156639698E-3"/>
    <n v="21.813067277510399"/>
    <n v="0"/>
    <n v="0"/>
    <n v="0"/>
    <n v="0"/>
    <n v="0"/>
    <n v="0"/>
    <n v="0"/>
    <n v="0"/>
  </r>
  <r>
    <x v="0"/>
    <x v="8"/>
    <n v="2030"/>
    <s v="Bornholm"/>
    <x v="1"/>
    <x v="0"/>
    <x v="0"/>
    <x v="0"/>
    <n v="0"/>
    <n v="0"/>
    <s v="C1.0_E0.0"/>
    <n v="943.48497305709805"/>
    <n v="0"/>
    <n v="0"/>
    <n v="0"/>
    <n v="0"/>
    <n v="0"/>
    <n v="0"/>
    <n v="0"/>
    <n v="0"/>
    <n v="20.234382367243601"/>
    <n v="0"/>
    <n v="0"/>
    <n v="0"/>
    <n v="0"/>
    <n v="0"/>
    <n v="0"/>
    <n v="2.7199020688547602E-3"/>
    <n v="21.446427812919801"/>
    <n v="0"/>
    <n v="0"/>
    <n v="0"/>
    <n v="0"/>
    <n v="0"/>
    <n v="0"/>
    <n v="0"/>
    <n v="0"/>
  </r>
  <r>
    <x v="0"/>
    <x v="9"/>
    <n v="2030"/>
    <s v="Bornholm"/>
    <x v="1"/>
    <x v="0"/>
    <x v="0"/>
    <x v="0"/>
    <n v="0"/>
    <n v="0"/>
    <s v="C1.0_E0.0"/>
    <n v="195.16465100984399"/>
    <n v="48.791162752461098"/>
    <n v="3.98832909641472"/>
    <n v="1.4637348825738301"/>
    <n v="0"/>
    <n v="0"/>
    <n v="0"/>
    <n v="0"/>
    <n v="5.4520639789885603"/>
    <n v="851.84327340789696"/>
    <n v="0"/>
    <n v="0"/>
    <n v="0"/>
    <n v="0"/>
    <n v="0"/>
    <n v="6.4003134721918303E-3"/>
    <n v="0.55354998246838405"/>
    <n v="4364.7416117632101"/>
    <n v="0.81047808574334701"/>
    <n v="0"/>
    <n v="0.81047808574334701"/>
    <n v="1.02333091634262E-4"/>
    <n v="0"/>
    <n v="0.19516465100984401"/>
    <n v="2.46420013901322E-5"/>
    <n v="0"/>
  </r>
  <r>
    <x v="0"/>
    <x v="10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1"/>
    <x v="0"/>
    <x v="0"/>
    <x v="0"/>
    <n v="0"/>
    <n v="0"/>
    <s v="C1.0_E0.0"/>
    <n v="958.27230622821298"/>
    <n v="2200.78340590179"/>
    <n v="195.48994138755501"/>
    <n v="36.026925684867003"/>
    <n v="11.4257284836634"/>
    <n v="0"/>
    <n v="0"/>
    <n v="0"/>
    <n v="242.94259555608599"/>
    <n v="4058.10497822767"/>
    <n v="0"/>
    <n v="0"/>
    <n v="0"/>
    <n v="0"/>
    <n v="0"/>
    <n v="5.9866020435525497E-2"/>
    <n v="0.53707216233352595"/>
    <n v="4234.8139999998502"/>
    <n v="34214.643140448301"/>
    <n v="0"/>
    <n v="34214.643140448301"/>
    <n v="4.3200306995516096"/>
    <n v="0"/>
    <n v="164.78450577900301"/>
    <n v="2.0806124467046199E-2"/>
    <n v="0"/>
  </r>
  <r>
    <x v="0"/>
    <x v="12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1"/>
    <x v="0"/>
    <x v="0"/>
    <x v="0"/>
    <n v="0"/>
    <n v="0"/>
    <s v="C1.0_E0.0"/>
    <n v="537.36635117569904"/>
    <n v="0"/>
    <n v="0"/>
    <n v="0"/>
    <n v="0"/>
    <n v="0"/>
    <n v="0"/>
    <n v="0"/>
    <n v="0"/>
    <n v="26.5669188975303"/>
    <n v="0"/>
    <n v="0"/>
    <n v="0"/>
    <n v="0"/>
    <n v="0"/>
    <n v="0"/>
    <n v="6.2700214130775598E-3"/>
    <n v="49.439118842116599"/>
    <n v="0"/>
    <n v="0"/>
    <n v="0"/>
    <n v="0"/>
    <n v="0"/>
    <n v="0"/>
    <n v="0"/>
    <n v="0"/>
  </r>
  <r>
    <x v="0"/>
    <x v="16"/>
    <n v="2030"/>
    <s v="Bornholm"/>
    <x v="1"/>
    <x v="0"/>
    <x v="0"/>
    <x v="0"/>
    <n v="0"/>
    <n v="0"/>
    <s v="C1.0_E0.0"/>
    <n v="99.913788041078305"/>
    <n v="0"/>
    <n v="0"/>
    <n v="0"/>
    <n v="1.74267669145176E-2"/>
    <n v="0"/>
    <n v="0"/>
    <n v="0"/>
    <n v="1.74267669145176E-2"/>
    <n v="9.2842635379434402"/>
    <n v="0"/>
    <n v="0.46421317689717101"/>
    <n v="0"/>
    <n v="0"/>
    <n v="0"/>
    <n v="1.8770219999999899E-3"/>
    <n v="1.17847490043065E-2"/>
    <n v="92.922745898957402"/>
    <n v="0"/>
    <n v="0"/>
    <n v="0"/>
    <n v="0"/>
    <n v="0"/>
    <n v="0"/>
    <n v="0"/>
    <n v="0"/>
  </r>
  <r>
    <x v="0"/>
    <x v="17"/>
    <n v="2030"/>
    <s v="Bornholm"/>
    <x v="1"/>
    <x v="0"/>
    <x v="0"/>
    <x v="0"/>
    <n v="0"/>
    <n v="0"/>
    <s v="C1.0_E0.0"/>
    <n v="113.89749548898099"/>
    <n v="0"/>
    <n v="0"/>
    <n v="0"/>
    <n v="0"/>
    <n v="0"/>
    <n v="0"/>
    <n v="0"/>
    <n v="0"/>
    <n v="9.2842635379434295"/>
    <n v="0"/>
    <n v="0.46421317689717101"/>
    <n v="0"/>
    <n v="0"/>
    <n v="0"/>
    <n v="0"/>
    <n v="1.0337882401000699E-2"/>
    <n v="81.514202731891004"/>
    <n v="0"/>
    <n v="0"/>
    <n v="0"/>
    <n v="0"/>
    <n v="0"/>
    <n v="0"/>
    <n v="0"/>
    <n v="0"/>
  </r>
  <r>
    <x v="0"/>
    <x v="18"/>
    <n v="2030"/>
    <s v="Bornholm"/>
    <x v="1"/>
    <x v="0"/>
    <x v="0"/>
    <x v="0"/>
    <n v="0"/>
    <n v="0"/>
    <s v="C1.0_E0.0"/>
    <n v="113.89749548898099"/>
    <n v="20.5015491880166"/>
    <n v="2.0881280690959598"/>
    <n v="0.30752323782024898"/>
    <n v="0"/>
    <n v="0"/>
    <n v="0"/>
    <n v="0"/>
    <n v="2.3956513069162102"/>
    <n v="455.61343973210802"/>
    <n v="0"/>
    <n v="0"/>
    <n v="0"/>
    <n v="0"/>
    <n v="0"/>
    <n v="5.2580786649419299E-3"/>
    <n v="0.50731844707084295"/>
    <n v="4000.2059551535999"/>
    <n v="119.487326686458"/>
    <n v="0"/>
    <n v="119.487326686458"/>
    <n v="1.50867836725328E-2"/>
    <n v="0"/>
    <n v="1.9742232551423402E-3"/>
    <n v="2.4927061302302602E-7"/>
    <n v="0"/>
  </r>
  <r>
    <x v="0"/>
    <x v="0"/>
    <n v="2030"/>
    <s v="Bornholm"/>
    <x v="2"/>
    <x v="0"/>
    <x v="0"/>
    <x v="0"/>
    <n v="0"/>
    <n v="0"/>
    <s v="C1.0_E0.0"/>
    <n v="93.714204554132607"/>
    <n v="624.33902501236003"/>
    <n v="55.251241151536298"/>
    <n v="24.973561000494399"/>
    <n v="0"/>
    <n v="0"/>
    <n v="0"/>
    <n v="0"/>
    <n v="80.224802152030705"/>
    <n v="425.80645161289402"/>
    <n v="0"/>
    <n v="191.612903225808"/>
    <n v="1.2268764852949201"/>
    <n v="65.961101359942404"/>
    <n v="237.45996489579201"/>
    <n v="0.18840673232674199"/>
    <n v="0.57624227512972004"/>
    <n v="4543.6703393978396"/>
    <n v="1419.7936808751699"/>
    <n v="0"/>
    <n v="1419.7936808751699"/>
    <n v="0.179266878898384"/>
    <n v="5.4134966510267599"/>
    <n v="0"/>
    <n v="0"/>
    <n v="2.4214171491229699E-2"/>
  </r>
  <r>
    <x v="0"/>
    <x v="1"/>
    <n v="2030"/>
    <s v="Bornholm"/>
    <x v="2"/>
    <x v="0"/>
    <x v="0"/>
    <x v="0"/>
    <n v="0"/>
    <n v="0"/>
    <s v="C1.0_E0.0"/>
    <n v="220.47583712286601"/>
    <n v="26.6760682371408"/>
    <n v="3.1165529128273799"/>
    <n v="0.80028204711422601"/>
    <n v="0"/>
    <n v="0"/>
    <n v="0"/>
    <n v="5.6062954723682203E-2"/>
    <n v="3.9728979146652899"/>
    <n v="862.50699574898499"/>
    <n v="0"/>
    <n v="2.1562674893723002"/>
    <n v="0"/>
    <n v="0"/>
    <n v="0"/>
    <n v="4.6062210906652398E-3"/>
    <n v="0.49613507177545502"/>
    <n v="3912.0250409494602"/>
    <n v="0"/>
    <n v="0"/>
    <n v="0"/>
    <n v="0"/>
    <n v="0"/>
    <n v="0"/>
    <n v="0"/>
    <n v="0"/>
  </r>
  <r>
    <x v="0"/>
    <x v="2"/>
    <n v="2030"/>
    <s v="Bornholm"/>
    <x v="2"/>
    <x v="0"/>
    <x v="0"/>
    <x v="0"/>
    <n v="0"/>
    <n v="0"/>
    <s v="C1.0_E0.0"/>
    <n v="19.5978521886992"/>
    <n v="780.77843119777697"/>
    <n v="69.095436389183803"/>
    <n v="78.077843119777697"/>
    <n v="0"/>
    <n v="0"/>
    <n v="0"/>
    <n v="0"/>
    <n v="147.173279508961"/>
    <n v="76.667288511018697"/>
    <n v="0"/>
    <n v="3818.0309678487602"/>
    <n v="0"/>
    <n v="0"/>
    <n v="0"/>
    <n v="1.9196359016637099"/>
    <n v="0.49613507177545502"/>
    <n v="3912.0250409494602"/>
    <n v="1508.67202186802"/>
    <n v="0"/>
    <n v="1508.67202186802"/>
    <n v="0.19048889165000699"/>
    <n v="0"/>
    <n v="9.26978408525473E-3"/>
    <n v="1.1704272834917799E-6"/>
    <n v="0"/>
  </r>
  <r>
    <x v="0"/>
    <x v="3"/>
    <n v="2030"/>
    <s v="Bornholm"/>
    <x v="2"/>
    <x v="0"/>
    <x v="0"/>
    <x v="0"/>
    <n v="0"/>
    <n v="0"/>
    <s v="C1.0_E0.0"/>
    <n v="16.868556819743802"/>
    <n v="0"/>
    <n v="0"/>
    <n v="0"/>
    <n v="0"/>
    <n v="0"/>
    <n v="0"/>
    <n v="0"/>
    <n v="0"/>
    <n v="76.645161290313595"/>
    <n v="0"/>
    <n v="0"/>
    <n v="0"/>
    <n v="0"/>
    <n v="0"/>
    <n v="0"/>
    <n v="0.57624227512972004"/>
    <n v="4543.6703393978396"/>
    <n v="0"/>
    <n v="0"/>
    <n v="0"/>
    <n v="0"/>
    <n v="0"/>
    <n v="0"/>
    <n v="0"/>
    <n v="0"/>
  </r>
  <r>
    <x v="0"/>
    <x v="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2"/>
    <x v="0"/>
    <x v="0"/>
    <x v="0"/>
    <n v="0"/>
    <n v="0"/>
    <s v="C1.0_E0.0"/>
    <n v="111.237409023056"/>
    <n v="0"/>
    <n v="0"/>
    <n v="0"/>
    <n v="0"/>
    <n v="0"/>
    <n v="0"/>
    <n v="0"/>
    <n v="0"/>
    <n v="435.16352958852298"/>
    <n v="0"/>
    <n v="0"/>
    <n v="0"/>
    <n v="0"/>
    <n v="0"/>
    <n v="0"/>
    <n v="0.49613507177545502"/>
    <n v="3912.0250409494602"/>
    <n v="0"/>
    <n v="0"/>
    <n v="0"/>
    <n v="0"/>
    <n v="0"/>
    <n v="0"/>
    <n v="0"/>
    <n v="0"/>
  </r>
  <r>
    <x v="0"/>
    <x v="6"/>
    <n v="2030"/>
    <s v="Bornholm"/>
    <x v="2"/>
    <x v="0"/>
    <x v="0"/>
    <x v="0"/>
    <n v="0"/>
    <n v="0"/>
    <s v="C1.0_E0.0"/>
    <n v="152.07933298430501"/>
    <n v="0"/>
    <n v="0"/>
    <n v="0"/>
    <n v="0"/>
    <n v="0"/>
    <n v="0"/>
    <n v="0"/>
    <n v="0"/>
    <n v="594.93815884551304"/>
    <n v="0"/>
    <n v="0"/>
    <n v="0"/>
    <n v="0"/>
    <n v="0"/>
    <n v="0"/>
    <n v="0.49613507177545502"/>
    <n v="3912.0250409494602"/>
    <n v="0"/>
    <n v="0"/>
    <n v="0"/>
    <n v="0"/>
    <n v="0"/>
    <n v="0"/>
    <n v="0"/>
    <n v="0"/>
  </r>
  <r>
    <x v="0"/>
    <x v="7"/>
    <n v="2030"/>
    <s v="Bornholm"/>
    <x v="2"/>
    <x v="0"/>
    <x v="0"/>
    <x v="0"/>
    <n v="0"/>
    <n v="0"/>
    <s v="C1.0_E0.0"/>
    <n v="1044.46594565805"/>
    <n v="0"/>
    <n v="0"/>
    <n v="0"/>
    <n v="0"/>
    <n v="0"/>
    <n v="0"/>
    <n v="0"/>
    <n v="0"/>
    <n v="16.707255957153201"/>
    <n v="0"/>
    <n v="15.7048205997254"/>
    <n v="0"/>
    <n v="0"/>
    <n v="0"/>
    <n v="0"/>
    <n v="2.0286594289941101E-3"/>
    <n v="15.9959795976186"/>
    <n v="0"/>
    <n v="0"/>
    <n v="0"/>
    <n v="0"/>
    <n v="0"/>
    <n v="0"/>
    <n v="0"/>
    <n v="0"/>
  </r>
  <r>
    <x v="0"/>
    <x v="8"/>
    <n v="2030"/>
    <s v="Bornholm"/>
    <x v="2"/>
    <x v="0"/>
    <x v="0"/>
    <x v="0"/>
    <n v="0"/>
    <n v="0"/>
    <s v="C1.0_E0.0"/>
    <n v="1061.33450247779"/>
    <n v="0"/>
    <n v="0"/>
    <n v="0"/>
    <n v="0"/>
    <n v="0"/>
    <n v="0"/>
    <n v="0"/>
    <n v="0"/>
    <n v="16.685128736455098"/>
    <n v="0"/>
    <n v="0"/>
    <n v="0"/>
    <n v="0"/>
    <n v="0"/>
    <n v="0"/>
    <n v="1.9937724079087801E-3"/>
    <n v="15.720895436360699"/>
    <n v="0"/>
    <n v="0"/>
    <n v="0"/>
    <n v="0"/>
    <n v="0"/>
    <n v="0"/>
    <n v="0"/>
    <n v="0"/>
  </r>
  <r>
    <x v="0"/>
    <x v="9"/>
    <n v="2030"/>
    <s v="Bornholm"/>
    <x v="2"/>
    <x v="0"/>
    <x v="0"/>
    <x v="0"/>
    <n v="0"/>
    <n v="0"/>
    <s v="C1.0_E0.0"/>
    <n v="245.858007765178"/>
    <n v="61.4645019412945"/>
    <n v="5.0242840641615798"/>
    <n v="1.8439350582388301"/>
    <n v="0"/>
    <n v="0"/>
    <n v="0"/>
    <n v="0"/>
    <n v="6.8682191224004203"/>
    <n v="1061.7286431503001"/>
    <n v="0"/>
    <n v="0"/>
    <n v="0"/>
    <n v="0"/>
    <n v="0"/>
    <n v="6.4689025455896302E-3"/>
    <n v="0.54768075192899701"/>
    <n v="4318.4627289601403"/>
    <n v="1.0209970220895299"/>
    <n v="0"/>
    <n v="1.0209970220895299"/>
    <n v="1.28913765415348E-4"/>
    <n v="0"/>
    <n v="0.24585800776517799"/>
    <n v="3.1042677748129102E-5"/>
    <n v="0"/>
  </r>
  <r>
    <x v="0"/>
    <x v="10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2"/>
    <x v="0"/>
    <x v="0"/>
    <x v="0"/>
    <n v="0"/>
    <n v="0"/>
    <s v="C1.0_E0.0"/>
    <n v="1113.7365466259801"/>
    <n v="2557.8250508025199"/>
    <n v="227.20503431645699"/>
    <n v="41.871713851093098"/>
    <n v="11.460410491901399"/>
    <n v="0"/>
    <n v="0"/>
    <n v="0"/>
    <n v="280.53715865945202"/>
    <n v="4070.4230750985098"/>
    <n v="0"/>
    <n v="0"/>
    <n v="0"/>
    <n v="0"/>
    <n v="0"/>
    <n v="6.8920884508464203E-2"/>
    <n v="0.46350602409637298"/>
    <n v="3654.7449999998998"/>
    <n v="39765.417666372901"/>
    <n v="0"/>
    <n v="39765.417666372901"/>
    <n v="5.0208860689865702"/>
    <n v="0"/>
    <n v="191.51813655780401"/>
    <n v="2.4181582898713101E-2"/>
    <n v="0"/>
  </r>
  <r>
    <x v="0"/>
    <x v="12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2"/>
    <x v="0"/>
    <x v="0"/>
    <x v="0"/>
    <n v="0"/>
    <n v="0"/>
    <s v="C1.0_E0.0"/>
    <n v="447.34111107398002"/>
    <n v="0"/>
    <n v="0"/>
    <n v="0"/>
    <n v="0"/>
    <n v="0"/>
    <n v="0"/>
    <n v="0"/>
    <n v="0"/>
    <n v="41.485602668865504"/>
    <n v="0"/>
    <n v="0"/>
    <n v="0"/>
    <n v="0"/>
    <n v="0"/>
    <n v="0"/>
    <n v="1.1761342408707401E-2"/>
    <n v="92.738184892657799"/>
    <n v="0"/>
    <n v="0"/>
    <n v="0"/>
    <n v="0"/>
    <n v="0"/>
    <n v="0"/>
    <n v="0"/>
    <n v="0"/>
  </r>
  <r>
    <x v="0"/>
    <x v="16"/>
    <n v="2030"/>
    <s v="Bornholm"/>
    <x v="2"/>
    <x v="0"/>
    <x v="0"/>
    <x v="0"/>
    <n v="0"/>
    <n v="0"/>
    <s v="C1.0_E0.0"/>
    <n v="103.70875108875499"/>
    <n v="0"/>
    <n v="0"/>
    <n v="0"/>
    <n v="2.68885891554961E-2"/>
    <n v="0"/>
    <n v="0"/>
    <n v="0"/>
    <n v="2.68885891554961E-2"/>
    <n v="14.325132659870899"/>
    <n v="0"/>
    <n v="0.71625663299354303"/>
    <n v="0"/>
    <n v="0"/>
    <n v="0"/>
    <n v="1.8770219999999899E-3"/>
    <n v="1.7517880140862498E-2"/>
    <n v="138.12848491070099"/>
    <n v="0"/>
    <n v="0"/>
    <n v="0"/>
    <n v="0"/>
    <n v="0"/>
    <n v="0"/>
    <n v="0"/>
    <n v="0"/>
  </r>
  <r>
    <x v="0"/>
    <x v="17"/>
    <n v="2030"/>
    <s v="Bornholm"/>
    <x v="2"/>
    <x v="0"/>
    <x v="0"/>
    <x v="0"/>
    <n v="0"/>
    <n v="0"/>
    <s v="C1.0_E0.0"/>
    <n v="171.56889698673999"/>
    <n v="0"/>
    <n v="0"/>
    <n v="0"/>
    <n v="0"/>
    <n v="0"/>
    <n v="0"/>
    <n v="0"/>
    <n v="0"/>
    <n v="14.3251326598708"/>
    <n v="0"/>
    <n v="0.71625663299354403"/>
    <n v="0"/>
    <n v="0"/>
    <n v="0"/>
    <n v="0"/>
    <n v="1.0589084053339699E-2"/>
    <n v="83.494927760584105"/>
    <n v="0"/>
    <n v="0"/>
    <n v="0"/>
    <n v="0"/>
    <n v="0"/>
    <n v="0"/>
    <n v="0"/>
    <n v="0"/>
  </r>
  <r>
    <x v="0"/>
    <x v="18"/>
    <n v="2030"/>
    <s v="Bornholm"/>
    <x v="2"/>
    <x v="0"/>
    <x v="0"/>
    <x v="0"/>
    <n v="0"/>
    <n v="0"/>
    <s v="C1.0_E0.0"/>
    <n v="171.56889698673999"/>
    <n v="30.882401457613199"/>
    <n v="3.1454408022211902"/>
    <n v="0.46323602186419799"/>
    <n v="0"/>
    <n v="0"/>
    <n v="0"/>
    <n v="0"/>
    <n v="3.6086768240853901"/>
    <n v="654.60480370480104"/>
    <n v="0"/>
    <n v="0"/>
    <n v="0"/>
    <n v="0"/>
    <n v="0"/>
    <n v="5.5127564045691704E-3"/>
    <n v="0.48388140289743897"/>
    <n v="3815.4048618462998"/>
    <n v="179.98910999296899"/>
    <n v="0"/>
    <n v="179.98910999296899"/>
    <n v="2.2725897726385499E-2"/>
    <n v="0"/>
    <n v="2.9738608811034901E-3"/>
    <n v="3.7548748498782201E-7"/>
    <n v="0"/>
  </r>
  <r>
    <x v="0"/>
    <x v="0"/>
    <n v="2030"/>
    <s v="Bornholm"/>
    <x v="3"/>
    <x v="0"/>
    <x v="0"/>
    <x v="0"/>
    <n v="0"/>
    <n v="0"/>
    <s v="C1.0_E0.0"/>
    <n v="84.841699480269796"/>
    <n v="565.22897660947399"/>
    <n v="50.020263416767598"/>
    <n v="22.6091590643789"/>
    <n v="0"/>
    <n v="0"/>
    <n v="0"/>
    <n v="0"/>
    <n v="72.629422481146605"/>
    <n v="425.80645161289902"/>
    <n v="0"/>
    <n v="191.61290322580001"/>
    <n v="1.08030687315644"/>
    <n v="58.081014685830198"/>
    <n v="209.09165286898801"/>
    <n v="0.170569098251179"/>
    <n v="0.63650406315589603"/>
    <n v="5018.8345379842403"/>
    <n v="1285.3730058309"/>
    <n v="0"/>
    <n v="1285.3730058309"/>
    <n v="0.16229457144329701"/>
    <n v="4.7486835027368102"/>
    <n v="0"/>
    <n v="0"/>
    <n v="2.1250156794580598E-2"/>
  </r>
  <r>
    <x v="0"/>
    <x v="1"/>
    <n v="2030"/>
    <s v="Bornholm"/>
    <x v="3"/>
    <x v="0"/>
    <x v="0"/>
    <x v="0"/>
    <n v="0"/>
    <n v="0"/>
    <s v="C1.0_E0.0"/>
    <n v="195.31699761637501"/>
    <n v="23.6320207433177"/>
    <n v="2.76091822936039"/>
    <n v="0.70896062229953205"/>
    <n v="0"/>
    <n v="0"/>
    <n v="0"/>
    <n v="5.6056750241931998E-2"/>
    <n v="3.52593560190186"/>
    <n v="862.41154218357099"/>
    <n v="0"/>
    <n v="2.1560288554588598"/>
    <n v="0"/>
    <n v="0"/>
    <n v="0"/>
    <n v="4.0884605892152299E-3"/>
    <n v="0.55998039543489997"/>
    <n v="4415.4454180041803"/>
    <n v="0"/>
    <n v="0"/>
    <n v="0"/>
    <n v="0"/>
    <n v="0"/>
    <n v="0"/>
    <n v="0"/>
    <n v="0"/>
  </r>
  <r>
    <x v="0"/>
    <x v="2"/>
    <n v="2030"/>
    <s v="Bornholm"/>
    <x v="3"/>
    <x v="0"/>
    <x v="0"/>
    <x v="0"/>
    <n v="0"/>
    <n v="0"/>
    <s v="C1.0_E0.0"/>
    <n v="17.361510899233298"/>
    <n v="691.68259422545805"/>
    <n v="61.210849046500698"/>
    <n v="69.168259422545802"/>
    <n v="0"/>
    <n v="0"/>
    <n v="0"/>
    <n v="0"/>
    <n v="130.379108469046"/>
    <n v="76.658803749648001"/>
    <n v="0"/>
    <n v="3817.6084267328201"/>
    <n v="0"/>
    <n v="0"/>
    <n v="0"/>
    <n v="1.70077149775044"/>
    <n v="0.55998039543489997"/>
    <n v="4415.4454180041803"/>
    <n v="1336.51511904625"/>
    <n v="0"/>
    <n v="1336.51511904625"/>
    <n v="0.168751908970487"/>
    <n v="0"/>
    <n v="8.2119946553373905E-3"/>
    <n v="1.03686801203755E-6"/>
    <n v="0"/>
  </r>
  <r>
    <x v="0"/>
    <x v="3"/>
    <n v="2030"/>
    <s v="Bornholm"/>
    <x v="3"/>
    <x v="0"/>
    <x v="0"/>
    <x v="0"/>
    <n v="0"/>
    <n v="0"/>
    <s v="C1.0_E0.0"/>
    <n v="15.2715059064485"/>
    <n v="0"/>
    <n v="0"/>
    <n v="0"/>
    <n v="0"/>
    <n v="0"/>
    <n v="0"/>
    <n v="0"/>
    <n v="0"/>
    <n v="76.645161290311293"/>
    <n v="0"/>
    <n v="0"/>
    <n v="0"/>
    <n v="0"/>
    <n v="0"/>
    <n v="0"/>
    <n v="0.63650406315589603"/>
    <n v="5018.8345379842403"/>
    <n v="0"/>
    <n v="0"/>
    <n v="0"/>
    <n v="0"/>
    <n v="0"/>
    <n v="0"/>
    <n v="0"/>
    <n v="0"/>
  </r>
  <r>
    <x v="0"/>
    <x v="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3"/>
    <x v="0"/>
    <x v="0"/>
    <x v="0"/>
    <n v="0"/>
    <n v="0"/>
    <s v="C1.0_E0.0"/>
    <n v="98.543935864048706"/>
    <n v="0"/>
    <n v="0"/>
    <n v="0"/>
    <n v="0"/>
    <n v="0"/>
    <n v="0"/>
    <n v="0"/>
    <n v="0"/>
    <n v="435.11537008300797"/>
    <n v="0"/>
    <n v="0"/>
    <n v="0"/>
    <n v="0"/>
    <n v="0"/>
    <n v="0"/>
    <n v="0.55998039543489997"/>
    <n v="4415.4454180041803"/>
    <n v="0"/>
    <n v="0"/>
    <n v="0"/>
    <n v="0"/>
    <n v="0"/>
    <n v="0"/>
    <n v="0"/>
    <n v="0"/>
  </r>
  <r>
    <x v="0"/>
    <x v="6"/>
    <n v="2030"/>
    <s v="Bornholm"/>
    <x v="3"/>
    <x v="0"/>
    <x v="0"/>
    <x v="0"/>
    <n v="0"/>
    <n v="0"/>
    <s v="C1.0_E0.0"/>
    <n v="134.72532457805099"/>
    <n v="0"/>
    <n v="0"/>
    <n v="0"/>
    <n v="0"/>
    <n v="0"/>
    <n v="0"/>
    <n v="0"/>
    <n v="0"/>
    <n v="594.872317097277"/>
    <n v="0"/>
    <n v="0"/>
    <n v="0"/>
    <n v="0"/>
    <n v="0"/>
    <n v="0"/>
    <n v="0.55998039543489997"/>
    <n v="4415.4454180041803"/>
    <n v="0"/>
    <n v="0"/>
    <n v="0"/>
    <n v="0"/>
    <n v="0"/>
    <n v="0"/>
    <n v="0"/>
    <n v="0"/>
  </r>
  <r>
    <x v="0"/>
    <x v="7"/>
    <n v="2030"/>
    <s v="Bornholm"/>
    <x v="3"/>
    <x v="0"/>
    <x v="0"/>
    <x v="0"/>
    <n v="0"/>
    <n v="0"/>
    <s v="C1.0_E0.0"/>
    <n v="947.57295481994595"/>
    <n v="0"/>
    <n v="0"/>
    <n v="0"/>
    <n v="0"/>
    <n v="0"/>
    <n v="0"/>
    <n v="0"/>
    <n v="0"/>
    <n v="20.275399132918601"/>
    <n v="0"/>
    <n v="19.0588751849434"/>
    <n v="0"/>
    <n v="0"/>
    <n v="0"/>
    <n v="0"/>
    <n v="2.7136576552761701E-3"/>
    <n v="21.397190611852601"/>
    <n v="0"/>
    <n v="0"/>
    <n v="0"/>
    <n v="0"/>
    <n v="0"/>
    <n v="0"/>
    <n v="0"/>
    <n v="0"/>
  </r>
  <r>
    <x v="0"/>
    <x v="8"/>
    <n v="2030"/>
    <s v="Bornholm"/>
    <x v="3"/>
    <x v="0"/>
    <x v="0"/>
    <x v="0"/>
    <n v="0"/>
    <n v="0"/>
    <s v="C1.0_E0.0"/>
    <n v="962.844460726394"/>
    <n v="0"/>
    <n v="0"/>
    <n v="0"/>
    <n v="0"/>
    <n v="0"/>
    <n v="0"/>
    <n v="0"/>
    <n v="0"/>
    <n v="20.261756673583601"/>
    <n v="0"/>
    <n v="0"/>
    <n v="0"/>
    <n v="0"/>
    <n v="0"/>
    <n v="0"/>
    <n v="2.66881986536533E-3"/>
    <n v="21.043644638405599"/>
    <n v="0"/>
    <n v="0"/>
    <n v="0"/>
    <n v="0"/>
    <n v="0"/>
    <n v="0"/>
    <n v="0"/>
    <n v="0"/>
  </r>
  <r>
    <x v="0"/>
    <x v="9"/>
    <n v="2030"/>
    <s v="Bornholm"/>
    <x v="3"/>
    <x v="0"/>
    <x v="0"/>
    <x v="0"/>
    <n v="0"/>
    <n v="0"/>
    <s v="C1.0_E0.0"/>
    <n v="151.58288150016901"/>
    <n v="37.895720375042302"/>
    <n v="3.0977044955493298"/>
    <n v="1.13687161125127"/>
    <n v="0"/>
    <n v="0"/>
    <n v="0"/>
    <n v="0"/>
    <n v="4.2345761068006"/>
    <n v="666.067955203677"/>
    <n v="0"/>
    <n v="0"/>
    <n v="0"/>
    <n v="0"/>
    <n v="0"/>
    <n v="6.35757368856712E-3"/>
    <n v="0.55727130881630205"/>
    <n v="4394.0842700165404"/>
    <n v="0.62949208780395804"/>
    <n v="0"/>
    <n v="0.62949208780395804"/>
    <n v="7.9481324217672194E-5"/>
    <n v="0"/>
    <n v="0.15158288150016899"/>
    <n v="1.9139252714668E-5"/>
    <n v="0"/>
  </r>
  <r>
    <x v="0"/>
    <x v="10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3"/>
    <x v="0"/>
    <x v="0"/>
    <x v="0"/>
    <n v="0"/>
    <n v="0"/>
    <s v="C1.0_E0.0"/>
    <n v="977.78667610196896"/>
    <n v="2245.6004178467902"/>
    <n v="199.470921530716"/>
    <n v="36.760582233907897"/>
    <n v="11.468962090876399"/>
    <n v="0"/>
    <n v="0"/>
    <n v="0"/>
    <n v="247.70046585550099"/>
    <n v="4073.4603682062598"/>
    <n v="0"/>
    <n v="0"/>
    <n v="0"/>
    <n v="0"/>
    <n v="0"/>
    <n v="6.0808365238760202E-2"/>
    <n v="0.52834509828787701"/>
    <n v="4166.0010999999104"/>
    <n v="34911.394154749498"/>
    <n v="0"/>
    <n v="34911.394154749498"/>
    <n v="4.4080043124684103"/>
    <n v="0"/>
    <n v="168.140196822494"/>
    <n v="2.12298228311232E-2"/>
    <n v="0"/>
  </r>
  <r>
    <x v="0"/>
    <x v="12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3"/>
    <x v="0"/>
    <x v="0"/>
    <x v="0"/>
    <n v="0"/>
    <n v="0"/>
    <s v="C1.0_E0.0"/>
    <n v="890.71857753074903"/>
    <n v="0"/>
    <n v="0"/>
    <n v="0"/>
    <n v="0"/>
    <n v="0"/>
    <n v="0"/>
    <n v="0"/>
    <n v="0"/>
    <n v="42.216611050744497"/>
    <n v="0"/>
    <n v="0"/>
    <n v="0"/>
    <n v="0"/>
    <n v="0"/>
    <n v="0"/>
    <n v="6.0109229241488201E-3"/>
    <n v="47.396127256913402"/>
    <n v="0"/>
    <n v="0"/>
    <n v="0"/>
    <n v="0"/>
    <n v="0"/>
    <n v="0"/>
    <n v="0"/>
    <n v="0"/>
  </r>
  <r>
    <x v="0"/>
    <x v="16"/>
    <n v="2030"/>
    <s v="Bornholm"/>
    <x v="3"/>
    <x v="0"/>
    <x v="0"/>
    <x v="0"/>
    <n v="0"/>
    <n v="0"/>
    <s v="C1.0_E0.0"/>
    <n v="53.497478058152097"/>
    <n v="0"/>
    <n v="0"/>
    <n v="0"/>
    <n v="1.51573872987101E-2"/>
    <n v="0"/>
    <n v="0"/>
    <n v="0"/>
    <n v="1.51573872987101E-2"/>
    <n v="8.0752315629279199"/>
    <n v="0"/>
    <n v="0.40376157814639602"/>
    <n v="0"/>
    <n v="0"/>
    <n v="0"/>
    <n v="1.8770219999999999E-3"/>
    <n v="1.9143439845016399E-2"/>
    <n v="150.946023177954"/>
    <n v="0"/>
    <n v="0"/>
    <n v="0"/>
    <n v="0"/>
    <n v="0"/>
    <n v="0"/>
    <n v="0"/>
    <n v="0"/>
  </r>
  <r>
    <x v="0"/>
    <x v="17"/>
    <n v="2030"/>
    <s v="Bornholm"/>
    <x v="3"/>
    <x v="0"/>
    <x v="0"/>
    <x v="0"/>
    <n v="0"/>
    <n v="0"/>
    <s v="C1.0_E0.0"/>
    <n v="72.121986174380297"/>
    <n v="0"/>
    <n v="0"/>
    <n v="0"/>
    <n v="0"/>
    <n v="0"/>
    <n v="0"/>
    <n v="0"/>
    <n v="0"/>
    <n v="8.0752315629279305"/>
    <n v="0"/>
    <n v="0.40376157814639901"/>
    <n v="0"/>
    <n v="0"/>
    <n v="0"/>
    <n v="0"/>
    <n v="1.4199910559730499E-2"/>
    <n v="111.96629476347501"/>
    <n v="0"/>
    <n v="0"/>
    <n v="0"/>
    <n v="0"/>
    <n v="0"/>
    <n v="0"/>
    <n v="0"/>
    <n v="0"/>
  </r>
  <r>
    <x v="0"/>
    <x v="18"/>
    <n v="2030"/>
    <s v="Bornholm"/>
    <x v="3"/>
    <x v="0"/>
    <x v="0"/>
    <x v="0"/>
    <n v="0"/>
    <n v="0"/>
    <s v="C1.0_E0.0"/>
    <n v="72.121986174380297"/>
    <n v="12.9819575113884"/>
    <n v="1.3222410473832"/>
    <n v="0.194729362670826"/>
    <n v="0"/>
    <n v="0"/>
    <n v="0"/>
    <n v="0"/>
    <n v="1.51697041005403"/>
    <n v="288.754681116759"/>
    <n v="0"/>
    <n v="0"/>
    <n v="0"/>
    <n v="0"/>
    <n v="0"/>
    <n v="5.2534920098512104E-3"/>
    <n v="0.50776137050797199"/>
    <n v="4003.6984064553499"/>
    <n v="75.661569960755799"/>
    <n v="0"/>
    <n v="75.661569960755799"/>
    <n v="9.5532285303985501E-3"/>
    <n v="0"/>
    <n v="1.2501144270225899E-3"/>
    <n v="1.57842730684672E-7"/>
    <n v="0"/>
  </r>
  <r>
    <x v="0"/>
    <x v="0"/>
    <n v="2030"/>
    <s v="Bornholm"/>
    <x v="4"/>
    <x v="0"/>
    <x v="0"/>
    <x v="0"/>
    <n v="0"/>
    <n v="0"/>
    <s v="C1.0_E0.0"/>
    <n v="88.022694697406195"/>
    <n v="586.42127570527202"/>
    <n v="51.895688115510801"/>
    <n v="23.456851028210799"/>
    <n v="0"/>
    <n v="0"/>
    <n v="0"/>
    <n v="0"/>
    <n v="75.3525391437216"/>
    <n v="425.80645161290403"/>
    <n v="0"/>
    <n v="191.612903225812"/>
    <n v="1.0966218470429701"/>
    <n v="58.958163819514503"/>
    <n v="212.24938975025199"/>
    <n v="0.176964296473891"/>
    <n v="0.61350185460571705"/>
    <n v="4837.4621235660798"/>
    <n v="1333.5658804295001"/>
    <n v="0"/>
    <n v="1333.5658804295001"/>
    <n v="0.168379530357259"/>
    <n v="4.7914137717091796"/>
    <n v="0"/>
    <n v="0"/>
    <n v="2.1319642438067499E-2"/>
  </r>
  <r>
    <x v="0"/>
    <x v="1"/>
    <n v="2030"/>
    <s v="Bornholm"/>
    <x v="4"/>
    <x v="0"/>
    <x v="0"/>
    <x v="0"/>
    <n v="0"/>
    <n v="0"/>
    <s v="C1.0_E0.0"/>
    <n v="195.620209708255"/>
    <n v="23.6687073324645"/>
    <n v="2.7652043068756602"/>
    <n v="0.71006121997393501"/>
    <n v="0"/>
    <n v="0"/>
    <n v="0"/>
    <n v="5.60562870067675E-2"/>
    <n v="3.53132181385637"/>
    <n v="862.40441548869399"/>
    <n v="0"/>
    <n v="2.1560110387217701"/>
    <n v="0"/>
    <n v="0"/>
    <n v="0"/>
    <n v="4.0947399508098397E-3"/>
    <n v="0.55910780329951104"/>
    <n v="4408.5650290166404"/>
    <n v="0"/>
    <n v="0"/>
    <n v="0"/>
    <n v="0"/>
    <n v="0"/>
    <n v="0"/>
    <n v="0"/>
    <n v="0"/>
  </r>
  <r>
    <x v="0"/>
    <x v="2"/>
    <n v="2030"/>
    <s v="Bornholm"/>
    <x v="4"/>
    <x v="0"/>
    <x v="0"/>
    <x v="0"/>
    <n v="0"/>
    <n v="0"/>
    <s v="C1.0_E0.0"/>
    <n v="17.388463085178198"/>
    <n v="692.75636931350198"/>
    <n v="61.3058733905754"/>
    <n v="69.275636931350206"/>
    <n v="0"/>
    <n v="0"/>
    <n v="0"/>
    <n v="0"/>
    <n v="130.58151032192501"/>
    <n v="76.658170265660004"/>
    <n v="0"/>
    <n v="3817.57687922993"/>
    <n v="0"/>
    <n v="0"/>
    <n v="0"/>
    <n v="1.7034258692764599"/>
    <n v="0.55910780329951104"/>
    <n v="4408.5650290166404"/>
    <n v="1338.58993869851"/>
    <n v="0"/>
    <n v="1338.58993869851"/>
    <n v="0.169013881148801"/>
    <n v="0"/>
    <n v="8.2247430392893197E-3"/>
    <n v="1.03847765647592E-6"/>
    <n v="0"/>
  </r>
  <r>
    <x v="0"/>
    <x v="3"/>
    <n v="2030"/>
    <s v="Bornholm"/>
    <x v="4"/>
    <x v="0"/>
    <x v="0"/>
    <x v="0"/>
    <n v="0"/>
    <n v="0"/>
    <s v="C1.0_E0.0"/>
    <n v="15.844085045533101"/>
    <n v="0"/>
    <n v="0"/>
    <n v="0"/>
    <n v="0"/>
    <n v="0"/>
    <n v="0"/>
    <n v="0"/>
    <n v="0"/>
    <n v="76.645161290323998"/>
    <n v="0"/>
    <n v="0"/>
    <n v="0"/>
    <n v="0"/>
    <n v="0"/>
    <n v="0"/>
    <n v="0.61350185460571705"/>
    <n v="4837.4621235660798"/>
    <n v="0"/>
    <n v="0"/>
    <n v="0"/>
    <n v="0"/>
    <n v="0"/>
    <n v="0"/>
    <n v="0"/>
    <n v="0"/>
  </r>
  <r>
    <x v="0"/>
    <x v="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4"/>
    <x v="0"/>
    <x v="0"/>
    <x v="0"/>
    <n v="0"/>
    <n v="0"/>
    <s v="C1.0_E0.0"/>
    <n v="98.696916471471795"/>
    <n v="0"/>
    <n v="0"/>
    <n v="0"/>
    <n v="0"/>
    <n v="0"/>
    <n v="0"/>
    <n v="0"/>
    <n v="0"/>
    <n v="435.11177442791899"/>
    <n v="0"/>
    <n v="0"/>
    <n v="0"/>
    <n v="0"/>
    <n v="0"/>
    <n v="0"/>
    <n v="0.55910780329951104"/>
    <n v="4408.5650290166404"/>
    <n v="0"/>
    <n v="0"/>
    <n v="0"/>
    <n v="0"/>
    <n v="0"/>
    <n v="0"/>
    <n v="0"/>
    <n v="0"/>
  </r>
  <r>
    <x v="0"/>
    <x v="6"/>
    <n v="2030"/>
    <s v="Bornholm"/>
    <x v="4"/>
    <x v="0"/>
    <x v="0"/>
    <x v="0"/>
    <n v="0"/>
    <n v="0"/>
    <s v="C1.0_E0.0"/>
    <n v="134.93447354098299"/>
    <n v="0"/>
    <n v="0"/>
    <n v="0"/>
    <n v="0"/>
    <n v="0"/>
    <n v="0"/>
    <n v="0"/>
    <n v="0"/>
    <n v="594.86740126153802"/>
    <n v="0"/>
    <n v="0"/>
    <n v="0"/>
    <n v="0"/>
    <n v="0"/>
    <n v="0"/>
    <n v="0.55910780329951104"/>
    <n v="4408.5650290166404"/>
    <n v="0"/>
    <n v="0"/>
    <n v="0"/>
    <n v="0"/>
    <n v="0"/>
    <n v="0"/>
    <n v="0"/>
    <n v="0"/>
  </r>
  <r>
    <x v="0"/>
    <x v="7"/>
    <n v="2030"/>
    <s v="Bornholm"/>
    <x v="4"/>
    <x v="0"/>
    <x v="0"/>
    <x v="0"/>
    <n v="0"/>
    <n v="0"/>
    <s v="C1.0_E0.0"/>
    <n v="445.55167788966298"/>
    <n v="0"/>
    <n v="0"/>
    <n v="0"/>
    <n v="0"/>
    <n v="0"/>
    <n v="0"/>
    <n v="0"/>
    <n v="0"/>
    <n v="18.225236800587599"/>
    <n v="0"/>
    <n v="17.131722592552201"/>
    <n v="0"/>
    <n v="0"/>
    <n v="0"/>
    <n v="0"/>
    <n v="5.1876826242675802E-3"/>
    <n v="40.904877492349797"/>
    <n v="0"/>
    <n v="0"/>
    <n v="0"/>
    <n v="0"/>
    <n v="0"/>
    <n v="0"/>
    <n v="0"/>
    <n v="0"/>
  </r>
  <r>
    <x v="0"/>
    <x v="8"/>
    <n v="2030"/>
    <s v="Bornholm"/>
    <x v="4"/>
    <x v="0"/>
    <x v="0"/>
    <x v="0"/>
    <n v="0"/>
    <n v="0"/>
    <s v="C1.0_E0.0"/>
    <n v="451.89245789569799"/>
    <n v="0"/>
    <n v="0"/>
    <n v="0"/>
    <n v="0"/>
    <n v="0"/>
    <n v="0"/>
    <n v="0"/>
    <n v="0"/>
    <n v="18.2122278252467"/>
    <n v="0"/>
    <n v="0"/>
    <n v="0"/>
    <n v="0"/>
    <n v="0"/>
    <n v="0"/>
    <n v="5.1112401167597004E-3"/>
    <n v="40.302128320650198"/>
    <n v="0"/>
    <n v="0"/>
    <n v="0"/>
    <n v="0"/>
    <n v="0"/>
    <n v="0"/>
    <n v="0"/>
    <n v="0"/>
  </r>
  <r>
    <x v="0"/>
    <x v="9"/>
    <n v="2030"/>
    <s v="Bornholm"/>
    <x v="4"/>
    <x v="0"/>
    <x v="0"/>
    <x v="0"/>
    <n v="0"/>
    <n v="0"/>
    <s v="C1.0_E0.0"/>
    <n v="144.54417045528501"/>
    <n v="36.136042613821303"/>
    <n v="2.9538634059036899"/>
    <n v="1.0840812784146301"/>
    <n v="0"/>
    <n v="0"/>
    <n v="0"/>
    <n v="0"/>
    <n v="4.0379446843183304"/>
    <n v="578.46201210685501"/>
    <n v="0"/>
    <n v="0"/>
    <n v="0"/>
    <n v="0"/>
    <n v="0"/>
    <n v="6.9804837652371696E-3"/>
    <n v="0.50754267604883097"/>
    <n v="4001.9740006450302"/>
    <n v="0.60026178905754002"/>
    <n v="0"/>
    <n v="0.60026178905754002"/>
    <n v="7.5790629931507406E-5"/>
    <n v="0"/>
    <n v="0.144544170455285"/>
    <n v="1.82505265726369E-5"/>
    <n v="0"/>
  </r>
  <r>
    <x v="0"/>
    <x v="10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4"/>
    <x v="0"/>
    <x v="0"/>
    <x v="0"/>
    <n v="0"/>
    <n v="0"/>
    <s v="C1.0_E0.0"/>
    <n v="981.01122236987601"/>
    <n v="2253.0059620452898"/>
    <n v="200.128737014705"/>
    <n v="36.881811333409402"/>
    <n v="11.417447246542601"/>
    <n v="0"/>
    <n v="0"/>
    <n v="0"/>
    <n v="248.42799559465701"/>
    <n v="4055.16371022564"/>
    <n v="0"/>
    <n v="0"/>
    <n v="0"/>
    <n v="0"/>
    <n v="0"/>
    <n v="6.1262137202553101E-2"/>
    <n v="0.52424309448318496"/>
    <n v="4133.6567999999197"/>
    <n v="35026.524999217399"/>
    <n v="0"/>
    <n v="35026.524999217399"/>
    <n v="4.4225410352547101"/>
    <n v="0"/>
    <n v="168.694689798724"/>
    <n v="2.1299834570545802E-2"/>
    <n v="0"/>
  </r>
  <r>
    <x v="0"/>
    <x v="12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4"/>
    <x v="0"/>
    <x v="0"/>
    <x v="0"/>
    <n v="0"/>
    <n v="0"/>
    <s v="C1.0_E0.0"/>
    <n v="343.94361017327998"/>
    <n v="0"/>
    <n v="0"/>
    <n v="0"/>
    <n v="0"/>
    <n v="0"/>
    <n v="0"/>
    <n v="0"/>
    <n v="0"/>
    <n v="25.0487537431632"/>
    <n v="0"/>
    <n v="0"/>
    <n v="0"/>
    <n v="0"/>
    <n v="0"/>
    <n v="0"/>
    <n v="9.2362819108020994E-3"/>
    <n v="72.828082866674606"/>
    <n v="0"/>
    <n v="0"/>
    <n v="0"/>
    <n v="0"/>
    <n v="0"/>
    <n v="0"/>
    <n v="0"/>
    <n v="0"/>
  </r>
  <r>
    <x v="0"/>
    <x v="16"/>
    <n v="2030"/>
    <s v="Bornholm"/>
    <x v="4"/>
    <x v="0"/>
    <x v="0"/>
    <x v="0"/>
    <n v="0"/>
    <n v="0"/>
    <s v="C1.0_E0.0"/>
    <n v="63.051980497992702"/>
    <n v="0"/>
    <n v="0"/>
    <n v="0"/>
    <n v="3.0735116455527099E-2"/>
    <n v="0"/>
    <n v="0"/>
    <n v="0"/>
    <n v="3.0735116455527099E-2"/>
    <n v="16.374403952392299"/>
    <n v="0"/>
    <n v="0.81872019761960602"/>
    <n v="0"/>
    <n v="0"/>
    <n v="0"/>
    <n v="1.8770219999999799E-3"/>
    <n v="3.2935561349435101E-2"/>
    <n v="259.69690124029501"/>
    <n v="0"/>
    <n v="0"/>
    <n v="0"/>
    <n v="0"/>
    <n v="0"/>
    <n v="0"/>
    <n v="0"/>
    <n v="0"/>
  </r>
  <r>
    <x v="0"/>
    <x v="17"/>
    <n v="2030"/>
    <s v="Bornholm"/>
    <x v="4"/>
    <x v="0"/>
    <x v="0"/>
    <x v="0"/>
    <n v="0"/>
    <n v="0"/>
    <s v="C1.0_E0.0"/>
    <n v="237.080612144556"/>
    <n v="0"/>
    <n v="0"/>
    <n v="0"/>
    <n v="0"/>
    <n v="0"/>
    <n v="0"/>
    <n v="0"/>
    <n v="0"/>
    <n v="16.374403952392299"/>
    <n v="0"/>
    <n v="0.818720197619622"/>
    <n v="0"/>
    <n v="0"/>
    <n v="0"/>
    <n v="0"/>
    <n v="8.7592669561220894E-3"/>
    <n v="69.066819949022701"/>
    <n v="0"/>
    <n v="0"/>
    <n v="0"/>
    <n v="0"/>
    <n v="0"/>
    <n v="0"/>
    <n v="0"/>
    <n v="0"/>
  </r>
  <r>
    <x v="0"/>
    <x v="18"/>
    <n v="2030"/>
    <s v="Bornholm"/>
    <x v="4"/>
    <x v="0"/>
    <x v="0"/>
    <x v="0"/>
    <n v="0"/>
    <n v="0"/>
    <s v="C1.0_E0.0"/>
    <n v="237.080612144556"/>
    <n v="42.6745101860201"/>
    <n v="4.3464931228921904"/>
    <n v="0.64011765279030197"/>
    <n v="0"/>
    <n v="0"/>
    <n v="0"/>
    <n v="0"/>
    <n v="4.9866107756824896"/>
    <n v="877.09333714138404"/>
    <n v="0"/>
    <n v="0"/>
    <n v="0"/>
    <n v="0"/>
    <n v="0"/>
    <n v="5.6853821190055E-3"/>
    <n v="0.46918927295273999"/>
    <n v="3699.55741723235"/>
    <n v="248.715991802319"/>
    <n v="0"/>
    <n v="248.715991802319"/>
    <n v="3.1403534318474598E-2"/>
    <n v="0"/>
    <n v="4.1093972771723102E-3"/>
    <n v="5.1886329257225996E-7"/>
    <n v="0"/>
  </r>
  <r>
    <x v="0"/>
    <x v="0"/>
    <n v="2030"/>
    <s v="Bornholm"/>
    <x v="5"/>
    <x v="0"/>
    <x v="0"/>
    <x v="0"/>
    <n v="0"/>
    <n v="0"/>
    <s v="C1.0_E0.0"/>
    <n v="75.460038673426297"/>
    <n v="502.726851248554"/>
    <n v="44.489101880402998"/>
    <n v="20.109074049942102"/>
    <n v="0"/>
    <n v="0"/>
    <n v="0"/>
    <n v="0"/>
    <n v="64.598175930345107"/>
    <n v="425.806451612898"/>
    <n v="0"/>
    <n v="191.612903225813"/>
    <n v="1.1701761918042"/>
    <n v="62.912698484097199"/>
    <n v="226.48571454275"/>
    <n v="0.151707837412176"/>
    <n v="0.71563820259837196"/>
    <n v="5642.8072274881597"/>
    <n v="1143.2384938533"/>
    <n v="0"/>
    <n v="1143.2384938533"/>
    <n v="0.14434829467844901"/>
    <n v="5.16813183854884"/>
    <n v="0"/>
    <n v="0"/>
    <n v="2.3288648194443901E-2"/>
  </r>
  <r>
    <x v="0"/>
    <x v="1"/>
    <n v="2030"/>
    <s v="Bornholm"/>
    <x v="5"/>
    <x v="0"/>
    <x v="0"/>
    <x v="0"/>
    <n v="0"/>
    <n v="0"/>
    <s v="C1.0_E0.0"/>
    <n v="215.12485472608799"/>
    <n v="26.028635967850299"/>
    <n v="3.0409136954292801"/>
    <n v="0.78085907903551099"/>
    <n v="0"/>
    <n v="0"/>
    <n v="0"/>
    <n v="5.6079287536539402E-2"/>
    <n v="3.8778520620013301"/>
    <n v="862.75826979289695"/>
    <n v="0"/>
    <n v="2.15689567448227"/>
    <n v="0"/>
    <n v="0"/>
    <n v="0"/>
    <n v="4.4947144498912704E-3"/>
    <n v="0.50862399309302297"/>
    <n v="4010.5001855384899"/>
    <n v="0"/>
    <n v="0"/>
    <n v="0"/>
    <n v="0"/>
    <n v="0"/>
    <n v="0"/>
    <n v="0"/>
    <n v="0"/>
  </r>
  <r>
    <x v="0"/>
    <x v="2"/>
    <n v="2030"/>
    <s v="Bornholm"/>
    <x v="5"/>
    <x v="0"/>
    <x v="0"/>
    <x v="0"/>
    <n v="0"/>
    <n v="0"/>
    <s v="C1.0_E0.0"/>
    <n v="19.1222093089856"/>
    <n v="761.82881886998803"/>
    <n v="67.418479546016599"/>
    <n v="76.1828818869988"/>
    <n v="0"/>
    <n v="0"/>
    <n v="0"/>
    <n v="0"/>
    <n v="143.601361433015"/>
    <n v="76.689623981594707"/>
    <n v="0"/>
    <n v="3819.1432742829802"/>
    <n v="0"/>
    <n v="0"/>
    <n v="0"/>
    <n v="1.8725005284610501"/>
    <n v="0.50862399309302297"/>
    <n v="4010.5001855384899"/>
    <n v="1472.05632040669"/>
    <n v="0"/>
    <n v="1472.05632040669"/>
    <n v="0.18586569702104999"/>
    <n v="0"/>
    <n v="9.0448050031502001E-3"/>
    <n v="1.1420208337310899E-6"/>
    <n v="0"/>
  </r>
  <r>
    <x v="0"/>
    <x v="3"/>
    <n v="2030"/>
    <s v="Bornholm"/>
    <x v="5"/>
    <x v="0"/>
    <x v="0"/>
    <x v="0"/>
    <n v="0"/>
    <n v="0"/>
    <s v="C1.0_E0.0"/>
    <n v="13.582806961216701"/>
    <n v="0"/>
    <n v="0"/>
    <n v="0"/>
    <n v="0"/>
    <n v="0"/>
    <n v="0"/>
    <n v="0"/>
    <n v="0"/>
    <n v="76.645161290334002"/>
    <n v="0"/>
    <n v="0"/>
    <n v="0"/>
    <n v="0"/>
    <n v="0"/>
    <n v="0"/>
    <n v="0.71563820259837196"/>
    <n v="5642.8072274881597"/>
    <n v="0"/>
    <n v="0"/>
    <n v="0"/>
    <n v="0"/>
    <n v="0"/>
    <n v="0"/>
    <n v="0"/>
    <n v="0"/>
  </r>
  <r>
    <x v="0"/>
    <x v="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5"/>
    <n v="2030"/>
    <s v="Bornholm"/>
    <x v="5"/>
    <x v="0"/>
    <x v="0"/>
    <x v="0"/>
    <n v="0"/>
    <n v="0"/>
    <s v="C1.0_E0.0"/>
    <n v="108.537660037802"/>
    <n v="0"/>
    <n v="0"/>
    <n v="0"/>
    <n v="0"/>
    <n v="0"/>
    <n v="0"/>
    <n v="0"/>
    <n v="0"/>
    <n v="435.29030571953399"/>
    <n v="0"/>
    <n v="0"/>
    <n v="0"/>
    <n v="0"/>
    <n v="0"/>
    <n v="0"/>
    <n v="0.50862399309302297"/>
    <n v="4010.5001855384899"/>
    <n v="0"/>
    <n v="0"/>
    <n v="0"/>
    <n v="0"/>
    <n v="0"/>
    <n v="0"/>
    <n v="0"/>
    <n v="0"/>
  </r>
  <r>
    <x v="0"/>
    <x v="6"/>
    <n v="2030"/>
    <s v="Bornholm"/>
    <x v="5"/>
    <x v="0"/>
    <x v="0"/>
    <x v="0"/>
    <n v="0"/>
    <n v="0"/>
    <s v="C1.0_E0.0"/>
    <n v="148.38834423772801"/>
    <n v="0"/>
    <n v="0"/>
    <n v="0"/>
    <n v="0"/>
    <n v="0"/>
    <n v="0"/>
    <n v="0"/>
    <n v="0"/>
    <n v="595.111482097156"/>
    <n v="0"/>
    <n v="0"/>
    <n v="0"/>
    <n v="0"/>
    <n v="0"/>
    <n v="0"/>
    <n v="0.50862399309302297"/>
    <n v="4010.5001855384899"/>
    <n v="0"/>
    <n v="0"/>
    <n v="0"/>
    <n v="0"/>
    <n v="0"/>
    <n v="0"/>
    <n v="0"/>
    <n v="0"/>
  </r>
  <r>
    <x v="0"/>
    <x v="7"/>
    <n v="2030"/>
    <s v="Bornholm"/>
    <x v="5"/>
    <x v="0"/>
    <x v="0"/>
    <x v="0"/>
    <n v="0"/>
    <n v="0"/>
    <s v="C1.0_E0.0"/>
    <n v="1044.9282044679501"/>
    <n v="0"/>
    <n v="0"/>
    <n v="0"/>
    <n v="0"/>
    <n v="0"/>
    <n v="0"/>
    <n v="0"/>
    <n v="0"/>
    <n v="33.360734229757398"/>
    <n v="0"/>
    <n v="31.3590901759706"/>
    <n v="0"/>
    <n v="0"/>
    <n v="0"/>
    <n v="0"/>
    <n v="4.0489969627265096E-3"/>
    <n v="31.9263410510985"/>
    <n v="0"/>
    <n v="0"/>
    <n v="0"/>
    <n v="0"/>
    <n v="0"/>
    <n v="0"/>
    <n v="0"/>
    <n v="0"/>
  </r>
  <r>
    <x v="0"/>
    <x v="8"/>
    <n v="2030"/>
    <s v="Bornholm"/>
    <x v="5"/>
    <x v="0"/>
    <x v="0"/>
    <x v="0"/>
    <n v="0"/>
    <n v="0"/>
    <s v="C1.0_E0.0"/>
    <n v="1058.5110114291699"/>
    <n v="0"/>
    <n v="0"/>
    <n v="0"/>
    <n v="0"/>
    <n v="0"/>
    <n v="0"/>
    <n v="0"/>
    <n v="0"/>
    <n v="33.316271538494703"/>
    <n v="0"/>
    <n v="0"/>
    <n v="0"/>
    <n v="0"/>
    <n v="0"/>
    <n v="0"/>
    <n v="3.9917130620324903E-3"/>
    <n v="31.474657494126099"/>
    <n v="0"/>
    <n v="0"/>
    <n v="0"/>
    <n v="0"/>
    <n v="0"/>
    <n v="0"/>
    <n v="0"/>
    <n v="0"/>
  </r>
  <r>
    <x v="0"/>
    <x v="9"/>
    <n v="2030"/>
    <s v="Bornholm"/>
    <x v="5"/>
    <x v="0"/>
    <x v="0"/>
    <x v="0"/>
    <n v="0"/>
    <n v="0"/>
    <s v="C1.0_E0.0"/>
    <n v="494.029902908824"/>
    <n v="123.507475727206"/>
    <n v="10.0958540702681"/>
    <n v="3.7052242718161801"/>
    <n v="0"/>
    <n v="0"/>
    <n v="0"/>
    <n v="0"/>
    <n v="13.801078342084301"/>
    <n v="2186.54771923916"/>
    <n v="0"/>
    <n v="0"/>
    <n v="0"/>
    <n v="0"/>
    <n v="0"/>
    <n v="6.3118120956841403E-3"/>
    <n v="0.56131161013909603"/>
    <n v="4425.9420459467701"/>
    <n v="2.0516031358020799"/>
    <n v="0"/>
    <n v="2.0516031358020799"/>
    <n v="2.5904079997501298E-4"/>
    <n v="0"/>
    <n v="0.49402990290882398"/>
    <n v="6.2377512993539103E-5"/>
    <n v="0"/>
  </r>
  <r>
    <x v="0"/>
    <x v="10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1"/>
    <n v="2030"/>
    <s v="Bornholm"/>
    <x v="5"/>
    <x v="0"/>
    <x v="0"/>
    <x v="0"/>
    <n v="0"/>
    <n v="0"/>
    <s v="C1.0_E0.0"/>
    <n v="1069.6731890557"/>
    <n v="2456.62844361822"/>
    <n v="218.21599943277499"/>
    <n v="40.215120732109703"/>
    <n v="11.492575240039899"/>
    <n v="0"/>
    <n v="0"/>
    <n v="0"/>
    <n v="269.92369540492501"/>
    <n v="4081.8471103128099"/>
    <n v="0"/>
    <n v="0"/>
    <n v="0"/>
    <n v="0"/>
    <n v="0"/>
    <n v="6.6127830883954894E-2"/>
    <n v="0.48395382371590301"/>
    <n v="3815.9758999998999"/>
    <n v="38192.157075371397"/>
    <n v="0"/>
    <n v="38192.157075371397"/>
    <n v="4.8222420549711904"/>
    <n v="0"/>
    <n v="183.941001590019"/>
    <n v="2.3224873938134001E-2"/>
    <n v="0"/>
  </r>
  <r>
    <x v="0"/>
    <x v="12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3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0"/>
    <x v="15"/>
    <n v="2030"/>
    <s v="Bornholm"/>
    <x v="5"/>
    <x v="0"/>
    <x v="0"/>
    <x v="0"/>
    <n v="0"/>
    <n v="0"/>
    <s v="C1.0_E0.0"/>
    <n v="982.23251219988197"/>
    <n v="0"/>
    <n v="0"/>
    <n v="0"/>
    <n v="0"/>
    <n v="0"/>
    <n v="0"/>
    <n v="0"/>
    <n v="0"/>
    <n v="36.5967201301047"/>
    <n v="0"/>
    <n v="0"/>
    <n v="0"/>
    <n v="0"/>
    <n v="0"/>
    <n v="0"/>
    <n v="4.72526491747803E-3"/>
    <n v="37.258713874314203"/>
    <n v="0"/>
    <n v="0"/>
    <n v="0"/>
    <n v="0"/>
    <n v="0"/>
    <n v="0"/>
    <n v="0"/>
    <n v="0"/>
  </r>
  <r>
    <x v="0"/>
    <x v="16"/>
    <n v="2030"/>
    <s v="Bornholm"/>
    <x v="5"/>
    <x v="0"/>
    <x v="0"/>
    <x v="0"/>
    <n v="0"/>
    <n v="0"/>
    <s v="C1.0_E0.0"/>
    <n v="116.388580528137"/>
    <n v="0"/>
    <n v="0"/>
    <n v="0"/>
    <n v="1.8361532687857601E-2"/>
    <n v="0"/>
    <n v="0"/>
    <n v="0"/>
    <n v="1.8361532687857601E-2"/>
    <n v="9.7822682354589894"/>
    <n v="0"/>
    <n v="0.48911341177294998"/>
    <n v="0"/>
    <n v="0"/>
    <n v="0"/>
    <n v="1.8770219999999899E-3"/>
    <n v="1.0659270857968001E-2"/>
    <n v="84.048350715077902"/>
    <n v="0"/>
    <n v="0"/>
    <n v="0"/>
    <n v="0"/>
    <n v="0"/>
    <n v="0"/>
    <n v="0"/>
    <n v="0"/>
  </r>
  <r>
    <x v="0"/>
    <x v="17"/>
    <n v="2030"/>
    <s v="Bornholm"/>
    <x v="5"/>
    <x v="0"/>
    <x v="0"/>
    <x v="0"/>
    <n v="0"/>
    <n v="0"/>
    <s v="C1.0_E0.0"/>
    <n v="116.388580528137"/>
    <n v="0"/>
    <n v="0"/>
    <n v="0"/>
    <n v="0"/>
    <n v="0"/>
    <n v="0"/>
    <n v="0"/>
    <n v="0"/>
    <n v="9.7822682354589396"/>
    <n v="0"/>
    <n v="0.48911341177294998"/>
    <n v="0"/>
    <n v="0"/>
    <n v="0"/>
    <n v="0"/>
    <n v="1.0659270857968001E-2"/>
    <n v="84.0483507150782"/>
    <n v="0"/>
    <n v="0"/>
    <n v="0"/>
    <n v="0"/>
    <n v="0"/>
    <n v="0"/>
    <n v="0"/>
    <n v="0"/>
  </r>
  <r>
    <x v="0"/>
    <x v="18"/>
    <n v="2030"/>
    <s v="Bornholm"/>
    <x v="5"/>
    <x v="0"/>
    <x v="0"/>
    <x v="0"/>
    <n v="0"/>
    <n v="0"/>
    <s v="C1.0_E0.0"/>
    <n v="116.388580528137"/>
    <n v="20.949944495064599"/>
    <n v="2.1337981215447401"/>
    <n v="0.31424916742596998"/>
    <n v="0"/>
    <n v="0"/>
    <n v="0"/>
    <n v="0"/>
    <n v="2.4480472889707099"/>
    <n v="473.09243405501701"/>
    <n v="0"/>
    <n v="0"/>
    <n v="0"/>
    <n v="0"/>
    <n v="0"/>
    <n v="5.1745644460803597E-3"/>
    <n v="0.51550624804669198"/>
    <n v="4064.76676584816"/>
    <n v="122.100668539143"/>
    <n v="0"/>
    <n v="122.100668539143"/>
    <n v="1.5416751078174799E-2"/>
    <n v="0"/>
    <n v="2.0174020624877101E-3"/>
    <n v="2.5472248263733999E-7"/>
    <n v="0"/>
  </r>
  <r>
    <x v="1"/>
    <x v="0"/>
    <n v="2030"/>
    <s v="Bornholm"/>
    <x v="0"/>
    <x v="0"/>
    <x v="0"/>
    <x v="0"/>
    <n v="0"/>
    <n v="0"/>
    <s v="C1.0_E0.0"/>
    <n v="85.548933436373403"/>
    <n v="569.94068238246905"/>
    <n v="50.437228529422001"/>
    <n v="22.7976272952987"/>
    <n v="0"/>
    <n v="0"/>
    <n v="0"/>
    <n v="0"/>
    <n v="73.234855824720796"/>
    <n v="425.80645161291199"/>
    <n v="0"/>
    <n v="191.612903225785"/>
    <n v="1.0235294198740099"/>
    <n v="55.028463434086902"/>
    <n v="198.10246836271301"/>
    <n v="0.17199094928532499"/>
    <n v="0.63124207719563596"/>
    <n v="4977.3437786875902"/>
    <n v="1296.0877774768201"/>
    <n v="0"/>
    <n v="1296.0877774768201"/>
    <n v="0.16364744665111"/>
    <n v="4.4344585646612602"/>
    <n v="0"/>
    <n v="0"/>
    <n v="1.9808528709398601E-2"/>
  </r>
  <r>
    <x v="1"/>
    <x v="1"/>
    <n v="2030"/>
    <s v="Bornholm"/>
    <x v="0"/>
    <x v="0"/>
    <x v="0"/>
    <x v="0"/>
    <n v="0"/>
    <n v="0"/>
    <s v="C1.0_E0.0"/>
    <n v="186.42419576188999"/>
    <n v="22.556052545689699"/>
    <n v="2.6352133544658898"/>
    <n v="0.67668157637069204"/>
    <n v="0"/>
    <n v="0"/>
    <n v="0"/>
    <n v="5.6054329048400901E-2"/>
    <n v="3.3679492598849801"/>
    <n v="862.37429305237094"/>
    <n v="0"/>
    <n v="2.1559357326308302"/>
    <n v="0"/>
    <n v="0"/>
    <n v="0"/>
    <n v="3.9054379136976998E-3"/>
    <n v="0.58666722451870001"/>
    <n v="4625.8710653299504"/>
    <n v="0"/>
    <n v="0"/>
    <n v="0"/>
    <n v="0"/>
    <n v="0"/>
    <n v="0"/>
    <n v="0"/>
    <n v="0"/>
  </r>
  <r>
    <x v="1"/>
    <x v="2"/>
    <n v="2030"/>
    <s v="Bornholm"/>
    <x v="0"/>
    <x v="0"/>
    <x v="0"/>
    <x v="0"/>
    <n v="0"/>
    <n v="0"/>
    <s v="C1.0_E0.0"/>
    <n v="16.571039623279098"/>
    <n v="660.19021859144198"/>
    <n v="58.423913149685099"/>
    <n v="66.019021859144203"/>
    <n v="0"/>
    <n v="0"/>
    <n v="0"/>
    <n v="0"/>
    <n v="124.442935008829"/>
    <n v="76.655492715764495"/>
    <n v="0"/>
    <n v="3817.4435372449502"/>
    <n v="0"/>
    <n v="0"/>
    <n v="0"/>
    <n v="1.6234053242637001"/>
    <n v="0.58666722451870001"/>
    <n v="4625.8710653299504"/>
    <n v="1275.6634559844099"/>
    <n v="0"/>
    <n v="1275.6634559844099"/>
    <n v="0.161068618179846"/>
    <n v="0"/>
    <n v="7.8381017418110398E-3"/>
    <n v="9.896593108347061E-7"/>
    <n v="0"/>
  </r>
  <r>
    <x v="1"/>
    <x v="3"/>
    <n v="2030"/>
    <s v="Bornholm"/>
    <x v="0"/>
    <x v="0"/>
    <x v="0"/>
    <x v="0"/>
    <n v="0"/>
    <n v="0"/>
    <s v="C1.0_E0.0"/>
    <n v="15.3988080185472"/>
    <n v="0"/>
    <n v="0"/>
    <n v="0"/>
    <n v="0"/>
    <n v="0"/>
    <n v="0"/>
    <n v="0"/>
    <n v="0"/>
    <n v="76.645161290325206"/>
    <n v="0"/>
    <n v="0"/>
    <n v="0"/>
    <n v="0"/>
    <n v="0"/>
    <n v="0"/>
    <n v="0.63124207719563596"/>
    <n v="4977.3437786875902"/>
    <n v="0"/>
    <n v="0"/>
    <n v="0"/>
    <n v="0"/>
    <n v="0"/>
    <n v="0"/>
    <n v="0"/>
    <n v="0"/>
  </r>
  <r>
    <x v="1"/>
    <x v="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0"/>
    <x v="0"/>
    <x v="0"/>
    <x v="0"/>
    <n v="0"/>
    <n v="0"/>
    <s v="C1.0_E0.0"/>
    <n v="94.057220901732506"/>
    <n v="0"/>
    <n v="0"/>
    <n v="0"/>
    <n v="0"/>
    <n v="0"/>
    <n v="0"/>
    <n v="0"/>
    <n v="0"/>
    <n v="435.09657665466602"/>
    <n v="0"/>
    <n v="0"/>
    <n v="0"/>
    <n v="0"/>
    <n v="0"/>
    <n v="0"/>
    <n v="0.58666722451870001"/>
    <n v="4625.8710653299504"/>
    <n v="0"/>
    <n v="0"/>
    <n v="0"/>
    <n v="0"/>
    <n v="0"/>
    <n v="0"/>
    <n v="0"/>
    <n v="0"/>
  </r>
  <r>
    <x v="1"/>
    <x v="6"/>
    <n v="2030"/>
    <s v="Bornholm"/>
    <x v="0"/>
    <x v="0"/>
    <x v="0"/>
    <x v="0"/>
    <n v="0"/>
    <n v="0"/>
    <s v="C1.0_E0.0"/>
    <n v="128.59126747664601"/>
    <n v="0"/>
    <n v="0"/>
    <n v="0"/>
    <n v="0"/>
    <n v="0"/>
    <n v="0"/>
    <n v="0"/>
    <n v="0"/>
    <n v="594.84662347431004"/>
    <n v="0"/>
    <n v="0"/>
    <n v="0"/>
    <n v="0"/>
    <n v="0"/>
    <n v="0"/>
    <n v="0.58666722451870001"/>
    <n v="4625.8710653299504"/>
    <n v="0"/>
    <n v="0"/>
    <n v="0"/>
    <n v="0"/>
    <n v="0"/>
    <n v="0"/>
    <n v="0"/>
    <n v="0"/>
  </r>
  <r>
    <x v="1"/>
    <x v="7"/>
    <n v="2030"/>
    <s v="Bornholm"/>
    <x v="0"/>
    <x v="0"/>
    <x v="0"/>
    <x v="0"/>
    <n v="0"/>
    <n v="0"/>
    <s v="C1.0_E0.0"/>
    <n v="880.35640593347898"/>
    <n v="0"/>
    <n v="0"/>
    <n v="0"/>
    <n v="0"/>
    <n v="0"/>
    <n v="0"/>
    <n v="0"/>
    <n v="0"/>
    <n v="6.47861494030853"/>
    <n v="0"/>
    <n v="6.0898980438900701"/>
    <n v="0"/>
    <n v="0"/>
    <n v="0"/>
    <n v="0"/>
    <n v="9.3330145267698898E-4"/>
    <n v="7.3590819543580599"/>
    <n v="0"/>
    <n v="0"/>
    <n v="0"/>
    <n v="0"/>
    <n v="0"/>
    <n v="0"/>
    <n v="0"/>
    <n v="0"/>
  </r>
  <r>
    <x v="1"/>
    <x v="8"/>
    <n v="2030"/>
    <s v="Bornholm"/>
    <x v="0"/>
    <x v="0"/>
    <x v="0"/>
    <x v="0"/>
    <n v="0"/>
    <n v="0"/>
    <s v="C1.0_E0.0"/>
    <n v="895.755213952026"/>
    <n v="0"/>
    <n v="0"/>
    <n v="0"/>
    <n v="0"/>
    <n v="0"/>
    <n v="0"/>
    <n v="0"/>
    <n v="0"/>
    <n v="6.46828351486581"/>
    <n v="0"/>
    <n v="0"/>
    <n v="0"/>
    <n v="0"/>
    <n v="0"/>
    <n v="0"/>
    <n v="9.1579444533503203E-4"/>
    <n v="7.2210392014667297"/>
    <n v="0"/>
    <n v="0"/>
    <n v="0"/>
    <n v="0"/>
    <n v="0"/>
    <n v="0"/>
    <n v="0"/>
    <n v="0"/>
  </r>
  <r>
    <x v="1"/>
    <x v="9"/>
    <n v="2030"/>
    <s v="Bornholm"/>
    <x v="0"/>
    <x v="0"/>
    <x v="0"/>
    <x v="0"/>
    <n v="0"/>
    <n v="0"/>
    <s v="C1.0_E0.0"/>
    <n v="114.793616030363"/>
    <n v="28.698404007590799"/>
    <n v="2.3458895682572298"/>
    <n v="0.86095212022772405"/>
    <n v="0"/>
    <n v="0"/>
    <n v="0"/>
    <n v="0"/>
    <n v="3.20684168848496"/>
    <n v="513.93793700527897"/>
    <n v="0"/>
    <n v="0"/>
    <n v="0"/>
    <n v="0"/>
    <n v="0"/>
    <n v="6.2397450306378504E-3"/>
    <n v="0.56779458021569895"/>
    <n v="4477.0602650007804"/>
    <n v="0.47671394227611702"/>
    <n v="0"/>
    <n v="0.47671394227611702"/>
    <n v="6.0191154327791303E-5"/>
    <n v="0"/>
    <n v="0.114793616030363"/>
    <n v="1.44941434381768E-5"/>
    <n v="0"/>
  </r>
  <r>
    <x v="1"/>
    <x v="10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0"/>
    <x v="0"/>
    <x v="0"/>
    <x v="0"/>
    <n v="0"/>
    <n v="0"/>
    <s v="C1.0_E0.0"/>
    <n v="911.612675393514"/>
    <n v="2093.6241562823502"/>
    <n v="185.97126028015401"/>
    <n v="34.272723834683703"/>
    <n v="11.328864501263601"/>
    <n v="0"/>
    <n v="0"/>
    <n v="0"/>
    <n v="231.57284861610199"/>
    <n v="4023.7015518070102"/>
    <n v="0"/>
    <n v="0"/>
    <n v="0"/>
    <n v="0"/>
    <n v="0"/>
    <n v="5.7552193082537097E-2"/>
    <n v="0.559775269499029"/>
    <n v="4413.8279999998404"/>
    <n v="32548.683884714399"/>
    <n v="0"/>
    <n v="32548.683884714399"/>
    <n v="4.1096823086759704"/>
    <n v="0"/>
    <n v="156.76091566066799"/>
    <n v="1.9793044906649598E-2"/>
    <n v="0"/>
  </r>
  <r>
    <x v="1"/>
    <x v="12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0"/>
    <x v="0"/>
    <x v="0"/>
    <x v="0"/>
    <n v="0"/>
    <n v="0"/>
    <s v="C1.0_E0.0"/>
    <n v="827.53502157747005"/>
    <n v="0"/>
    <n v="0"/>
    <n v="0"/>
    <n v="0"/>
    <n v="0"/>
    <n v="0"/>
    <n v="0"/>
    <n v="0"/>
    <n v="6.3992775593957001"/>
    <n v="0"/>
    <n v="0"/>
    <n v="0"/>
    <n v="0"/>
    <n v="0"/>
    <n v="0"/>
    <n v="9.8071511201395806E-4"/>
    <n v="7.7329386582300597"/>
    <n v="0"/>
    <n v="0"/>
    <n v="0"/>
    <n v="0"/>
    <n v="0"/>
    <n v="0"/>
    <n v="0"/>
    <n v="0"/>
  </r>
  <r>
    <x v="1"/>
    <x v="16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0"/>
    <n v="2030"/>
    <s v="Bornholm"/>
    <x v="6"/>
    <x v="0"/>
    <x v="0"/>
    <x v="0"/>
    <n v="0"/>
    <n v="0"/>
    <s v="C1.0_E0.0"/>
    <n v="104.98044729223901"/>
    <n v="699.39653673246596"/>
    <n v="61.893498825881899"/>
    <n v="27.9758614692986"/>
    <n v="0"/>
    <n v="0"/>
    <n v="0"/>
    <n v="0"/>
    <n v="89.869360295180599"/>
    <n v="425.80645161290499"/>
    <n v="0"/>
    <n v="191.61290322579899"/>
    <n v="1.2183418641430701"/>
    <n v="65.502250760380306"/>
    <n v="235.80810273736901"/>
    <n v="0.211056830996256"/>
    <n v="0.51440137508575501"/>
    <n v="4056.0548425511802"/>
    <n v="1590.48008132933"/>
    <n v="0"/>
    <n v="1590.48008132933"/>
    <n v="0.200818192087036"/>
    <n v="5.3524171008631001"/>
    <n v="0"/>
    <n v="0"/>
    <n v="2.3906052968377899E-2"/>
  </r>
  <r>
    <x v="1"/>
    <x v="1"/>
    <n v="2030"/>
    <s v="Bornholm"/>
    <x v="6"/>
    <x v="0"/>
    <x v="0"/>
    <x v="0"/>
    <n v="0"/>
    <n v="0"/>
    <s v="C1.0_E0.0"/>
    <n v="219.16277013697399"/>
    <n v="26.517196113226099"/>
    <n v="3.0979919548874002"/>
    <n v="0.79551588339678403"/>
    <n v="0"/>
    <n v="0"/>
    <n v="0"/>
    <n v="5.6049825051907802E-2"/>
    <n v="3.9495576633360998"/>
    <n v="862.30500079856904"/>
    <n v="0"/>
    <n v="2.1557625019965601"/>
    <n v="0"/>
    <n v="0"/>
    <n v="0"/>
    <n v="4.5802328174815903E-3"/>
    <n v="0.49899067065654701"/>
    <n v="3934.5414381268702"/>
    <n v="0"/>
    <n v="0"/>
    <n v="0"/>
    <n v="0"/>
    <n v="0"/>
    <n v="0"/>
    <n v="0"/>
    <n v="0"/>
  </r>
  <r>
    <x v="1"/>
    <x v="2"/>
    <n v="2030"/>
    <s v="Bornholm"/>
    <x v="6"/>
    <x v="0"/>
    <x v="0"/>
    <x v="0"/>
    <n v="0"/>
    <n v="0"/>
    <s v="C1.0_E0.0"/>
    <n v="19.481135123286599"/>
    <n v="776.12842331173795"/>
    <n v="68.683931266525505"/>
    <n v="77.612842331173795"/>
    <n v="0"/>
    <n v="0"/>
    <n v="0"/>
    <n v="0"/>
    <n v="146.296773597699"/>
    <n v="76.649333404321098"/>
    <n v="0"/>
    <n v="3817.1368035352398"/>
    <n v="0"/>
    <n v="0"/>
    <n v="0"/>
    <n v="1.90865030522824"/>
    <n v="0.49899067065654701"/>
    <n v="3934.5414381268702"/>
    <n v="1499.6869673137201"/>
    <n v="0"/>
    <n v="1499.6869673137201"/>
    <n v="0.189354415064863"/>
    <n v="0"/>
    <n v="9.2145769133145598E-3"/>
    <n v="1.1634566809740499E-6"/>
    <n v="0"/>
  </r>
  <r>
    <x v="1"/>
    <x v="3"/>
    <n v="2030"/>
    <s v="Bornholm"/>
    <x v="6"/>
    <x v="0"/>
    <x v="0"/>
    <x v="0"/>
    <n v="0"/>
    <n v="0"/>
    <s v="C1.0_E0.0"/>
    <n v="18.896480512603102"/>
    <n v="0"/>
    <n v="0"/>
    <n v="0"/>
    <n v="0"/>
    <n v="0"/>
    <n v="0"/>
    <n v="0"/>
    <n v="0"/>
    <n v="76.645161290319095"/>
    <n v="0"/>
    <n v="0"/>
    <n v="0"/>
    <n v="0"/>
    <n v="0"/>
    <n v="0"/>
    <n v="0.51440137508575501"/>
    <n v="4056.0548425511802"/>
    <n v="0"/>
    <n v="0"/>
    <n v="0"/>
    <n v="0"/>
    <n v="0"/>
    <n v="0"/>
    <n v="0"/>
    <n v="0"/>
  </r>
  <r>
    <x v="1"/>
    <x v="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5"/>
    <n v="2030"/>
    <s v="Bornholm"/>
    <x v="6"/>
    <x v="0"/>
    <x v="0"/>
    <x v="0"/>
    <n v="0"/>
    <n v="0"/>
    <s v="C1.0_E0.0"/>
    <n v="110.574922959774"/>
    <n v="0"/>
    <n v="0"/>
    <n v="0"/>
    <n v="0"/>
    <n v="0"/>
    <n v="0"/>
    <n v="0"/>
    <n v="0"/>
    <n v="435.06161640294499"/>
    <n v="0"/>
    <n v="0"/>
    <n v="0"/>
    <n v="0"/>
    <n v="0"/>
    <n v="0"/>
    <n v="0.49899067065654701"/>
    <n v="3934.5414381268702"/>
    <n v="0"/>
    <n v="0"/>
    <n v="0"/>
    <n v="0"/>
    <n v="0"/>
    <n v="0"/>
    <n v="0"/>
    <n v="0"/>
  </r>
  <r>
    <x v="1"/>
    <x v="6"/>
    <n v="2030"/>
    <s v="Bornholm"/>
    <x v="6"/>
    <x v="0"/>
    <x v="0"/>
    <x v="0"/>
    <n v="0"/>
    <n v="0"/>
    <s v="C1.0_E0.0"/>
    <n v="151.17360855670401"/>
    <n v="0"/>
    <n v="0"/>
    <n v="0"/>
    <n v="0"/>
    <n v="0"/>
    <n v="0"/>
    <n v="0"/>
    <n v="0"/>
    <n v="594.79882721752006"/>
    <n v="0"/>
    <n v="0"/>
    <n v="0"/>
    <n v="0"/>
    <n v="0"/>
    <n v="0"/>
    <n v="0.49899067065654701"/>
    <n v="3934.5414381268702"/>
    <n v="0"/>
    <n v="0"/>
    <n v="0"/>
    <n v="0"/>
    <n v="0"/>
    <n v="0"/>
    <n v="0"/>
    <n v="0"/>
  </r>
  <r>
    <x v="1"/>
    <x v="7"/>
    <n v="2030"/>
    <s v="Bornholm"/>
    <x v="6"/>
    <x v="0"/>
    <x v="0"/>
    <x v="0"/>
    <n v="0"/>
    <n v="0"/>
    <s v="C1.0_E0.0"/>
    <n v="1036.88324833907"/>
    <n v="0"/>
    <n v="0"/>
    <n v="0"/>
    <n v="0"/>
    <n v="0"/>
    <n v="0"/>
    <n v="0"/>
    <n v="0"/>
    <n v="7.1061179428168302"/>
    <n v="0"/>
    <n v="6.6797508662476597"/>
    <n v="0"/>
    <n v="0"/>
    <n v="0"/>
    <n v="0"/>
    <n v="8.6916225003365495E-4"/>
    <n v="6.8533443415153696"/>
    <n v="0"/>
    <n v="0"/>
    <n v="0"/>
    <n v="0"/>
    <n v="0"/>
    <n v="0"/>
    <n v="0"/>
    <n v="0"/>
  </r>
  <r>
    <x v="1"/>
    <x v="8"/>
    <n v="2030"/>
    <s v="Bornholm"/>
    <x v="6"/>
    <x v="0"/>
    <x v="0"/>
    <x v="0"/>
    <n v="0"/>
    <n v="0"/>
    <s v="C1.0_E0.0"/>
    <n v="1055.7797288516699"/>
    <n v="0"/>
    <n v="0"/>
    <n v="0"/>
    <n v="0"/>
    <n v="0"/>
    <n v="0"/>
    <n v="0"/>
    <n v="0"/>
    <n v="7.1019458288147597"/>
    <n v="0"/>
    <n v="0"/>
    <n v="0"/>
    <n v="0"/>
    <n v="0"/>
    <n v="0"/>
    <n v="8.5310470752539204E-4"/>
    <n v="6.7267306188377098"/>
    <n v="0"/>
    <n v="0"/>
    <n v="0"/>
    <n v="0"/>
    <n v="0"/>
    <n v="0"/>
    <n v="0"/>
    <n v="0"/>
  </r>
  <r>
    <x v="1"/>
    <x v="9"/>
    <n v="2030"/>
    <s v="Bornholm"/>
    <x v="6"/>
    <x v="0"/>
    <x v="0"/>
    <x v="0"/>
    <n v="0"/>
    <n v="0"/>
    <s v="C1.0_E0.0"/>
    <n v="46.356822244338197"/>
    <n v="11.5892055610845"/>
    <n v="0.94733478638554103"/>
    <n v="0.34767616683253599"/>
    <n v="0"/>
    <n v="0"/>
    <n v="0"/>
    <n v="0"/>
    <n v="1.29501095321807"/>
    <n v="231.851572361986"/>
    <n v="0"/>
    <n v="0"/>
    <n v="0"/>
    <n v="0"/>
    <n v="0"/>
    <n v="5.5855172342596602E-3"/>
    <n v="0.63429996931940402"/>
    <n v="5001.4552580834998"/>
    <n v="0.192510213091"/>
    <n v="0"/>
    <n v="0.192510213091"/>
    <n v="2.4306845087247299E-5"/>
    <n v="0"/>
    <n v="4.6356822244338201E-2"/>
    <n v="5.8531341217598397E-6"/>
    <n v="0"/>
  </r>
  <r>
    <x v="1"/>
    <x v="10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1"/>
    <n v="2030"/>
    <s v="Bornholm"/>
    <x v="6"/>
    <x v="0"/>
    <x v="0"/>
    <x v="0"/>
    <n v="0"/>
    <n v="0"/>
    <s v="C1.0_E0.0"/>
    <n v="1100.7232386042999"/>
    <n v="2527.9384808120799"/>
    <n v="224.55028701145699"/>
    <n v="41.382469324287797"/>
    <n v="11.4343671769649"/>
    <n v="0"/>
    <n v="0"/>
    <n v="0"/>
    <n v="277.36712351271001"/>
    <n v="4061.1732048477602"/>
    <n v="0"/>
    <n v="0"/>
    <n v="0"/>
    <n v="0"/>
    <n v="0"/>
    <n v="6.8297289852503995E-2"/>
    <n v="0.46792007609383501"/>
    <n v="3689.5497999998902"/>
    <n v="39300.783879979797"/>
    <n v="0"/>
    <n v="39300.783879979797"/>
    <n v="4.9622201868661104"/>
    <n v="0"/>
    <n v="189.28036811039601"/>
    <n v="2.3899036377575199E-2"/>
    <n v="0"/>
  </r>
  <r>
    <x v="1"/>
    <x v="12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3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5"/>
    <n v="2030"/>
    <s v="Bornholm"/>
    <x v="6"/>
    <x v="0"/>
    <x v="0"/>
    <x v="0"/>
    <n v="0"/>
    <n v="0"/>
    <s v="C1.0_E0.0"/>
    <n v="184.148819380661"/>
    <n v="0"/>
    <n v="0"/>
    <n v="0"/>
    <n v="0"/>
    <n v="0"/>
    <n v="0"/>
    <n v="0"/>
    <n v="0"/>
    <n v="43.5879847184911"/>
    <n v="0"/>
    <n v="0"/>
    <n v="0"/>
    <n v="0"/>
    <n v="0"/>
    <n v="0"/>
    <n v="3.0018995343445001E-2"/>
    <n v="236.69977828306301"/>
    <n v="0"/>
    <n v="0"/>
    <n v="0"/>
    <n v="0"/>
    <n v="0"/>
    <n v="0"/>
    <n v="0"/>
    <n v="0"/>
  </r>
  <r>
    <x v="1"/>
    <x v="16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7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1"/>
    <x v="18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  <s v="NaN"/>
    <n v="0"/>
    <n v="0"/>
    <n v="0"/>
    <n v="0"/>
    <n v="0"/>
    <n v="0"/>
    <n v="0"/>
    <n v="0"/>
  </r>
  <r>
    <x v="2"/>
    <x v="19"/>
    <m/>
    <m/>
    <x v="7"/>
    <x v="1"/>
    <x v="1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67">
  <r>
    <x v="0"/>
    <x v="0"/>
    <n v="2030"/>
    <s v="Bornholm"/>
    <x v="0"/>
    <x v="0"/>
    <x v="0"/>
    <x v="0"/>
    <n v="0"/>
    <n v="0"/>
    <s v="C1.0_E0.0"/>
    <n v="85.175352370948104"/>
    <n v="567.45182555163501"/>
    <n v="50.216975712534101"/>
    <n v="22.698073022065401"/>
    <n v="0"/>
    <n v="0"/>
    <n v="0"/>
    <n v="0"/>
    <n v="72.915048734599495"/>
    <n v="425.80645161289902"/>
    <n v="0"/>
    <n v="191.61290322578199"/>
    <n v="1.0288387765328399"/>
    <n v="55.313912716819402"/>
    <n v="199.13008578054999"/>
    <n v="0.17123988717974201"/>
    <n v="0.63401071954547195"/>
  </r>
  <r>
    <x v="0"/>
    <x v="1"/>
    <n v="2030"/>
    <s v="Bornholm"/>
    <x v="0"/>
    <x v="0"/>
    <x v="0"/>
    <x v="0"/>
    <n v="0"/>
    <n v="0"/>
    <s v="C1.0_E0.0"/>
    <n v="184.685185489849"/>
    <n v="22.345644197603001"/>
    <n v="2.6106314429081801"/>
    <n v="0.67036932592809095"/>
    <n v="0"/>
    <n v="0"/>
    <n v="0"/>
    <n v="5.60543184460549E-2"/>
    <n v="3.3370550872823199"/>
    <n v="862.37412993933697"/>
    <n v="0"/>
    <n v="2.1559353248481101"/>
    <n v="0"/>
    <n v="0"/>
    <n v="0"/>
    <n v="3.8696140937310602E-3"/>
    <n v="0.59219121736362401"/>
  </r>
  <r>
    <x v="0"/>
    <x v="2"/>
    <n v="2030"/>
    <s v="Bornholm"/>
    <x v="0"/>
    <x v="0"/>
    <x v="0"/>
    <x v="0"/>
    <n v="0"/>
    <n v="0"/>
    <s v="C1.0_E0.0"/>
    <n v="16.416460932431001"/>
    <n v="654.03180354805397"/>
    <n v="57.878920667969297"/>
    <n v="65.4031803548054"/>
    <n v="0"/>
    <n v="0"/>
    <n v="0"/>
    <n v="0"/>
    <n v="123.282101022774"/>
    <n v="76.655478216829593"/>
    <n v="0"/>
    <n v="3817.4428151982302"/>
    <n v="0"/>
    <n v="0"/>
    <n v="0"/>
    <n v="1.60826210847"/>
    <n v="0.59219121736362401"/>
  </r>
  <r>
    <x v="0"/>
    <x v="3"/>
    <n v="2030"/>
    <s v="Bornholm"/>
    <x v="0"/>
    <x v="0"/>
    <x v="0"/>
    <x v="0"/>
    <n v="0"/>
    <n v="0"/>
    <s v="C1.0_E0.0"/>
    <n v="15.3315634267706"/>
    <n v="0"/>
    <n v="0"/>
    <n v="0"/>
    <n v="0"/>
    <n v="0"/>
    <n v="0"/>
    <n v="0"/>
    <n v="0"/>
    <n v="76.645161290319905"/>
    <n v="0"/>
    <n v="0"/>
    <n v="0"/>
    <n v="0"/>
    <n v="0"/>
    <n v="0"/>
    <n v="0.63401071954547195"/>
  </r>
  <r>
    <x v="0"/>
    <x v="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0"/>
    <x v="0"/>
    <x v="0"/>
    <x v="0"/>
    <n v="0"/>
    <n v="0"/>
    <s v="C1.0_E0.0"/>
    <n v="93.179832252478803"/>
    <n v="0"/>
    <n v="0"/>
    <n v="0"/>
    <n v="0"/>
    <n v="0"/>
    <n v="0"/>
    <n v="0"/>
    <n v="0"/>
    <n v="435.09649435872598"/>
    <n v="0"/>
    <n v="0"/>
    <n v="0"/>
    <n v="0"/>
    <n v="0"/>
    <n v="0"/>
    <n v="0.59219121736362401"/>
  </r>
  <r>
    <x v="0"/>
    <x v="6"/>
    <n v="2030"/>
    <s v="Bornholm"/>
    <x v="0"/>
    <x v="0"/>
    <x v="0"/>
    <x v="0"/>
    <n v="0"/>
    <n v="0"/>
    <s v="C1.0_E0.0"/>
    <n v="127.391736835665"/>
    <n v="0"/>
    <n v="0"/>
    <n v="0"/>
    <n v="0"/>
    <n v="0"/>
    <n v="0"/>
    <n v="0"/>
    <n v="0"/>
    <n v="594.84651096257505"/>
    <n v="0"/>
    <n v="0"/>
    <n v="0"/>
    <n v="0"/>
    <n v="0"/>
    <n v="0"/>
    <n v="0.59219121736362401"/>
  </r>
  <r>
    <x v="0"/>
    <x v="7"/>
    <n v="2030"/>
    <s v="Bornholm"/>
    <x v="0"/>
    <x v="0"/>
    <x v="0"/>
    <x v="0"/>
    <n v="0"/>
    <n v="0"/>
    <s v="C1.0_E0.0"/>
    <n v="885.64665701728097"/>
    <n v="0"/>
    <n v="0"/>
    <n v="0"/>
    <n v="0"/>
    <n v="0"/>
    <n v="0"/>
    <n v="0"/>
    <n v="0"/>
    <n v="12.611806355358199"/>
    <n v="0"/>
    <n v="11.8550979740365"/>
    <n v="0"/>
    <n v="0"/>
    <n v="0"/>
    <n v="0"/>
    <n v="1.8059890322956801E-3"/>
  </r>
  <r>
    <x v="0"/>
    <x v="8"/>
    <n v="2030"/>
    <s v="Bornholm"/>
    <x v="0"/>
    <x v="0"/>
    <x v="0"/>
    <x v="0"/>
    <n v="0"/>
    <n v="0"/>
    <s v="C1.0_E0.0"/>
    <n v="900.978220444052"/>
    <n v="0"/>
    <n v="0"/>
    <n v="0"/>
    <n v="0"/>
    <n v="0"/>
    <n v="0"/>
    <n v="0"/>
    <n v="0"/>
    <n v="12.6014894288476"/>
    <n v="0"/>
    <n v="0"/>
    <n v="0"/>
    <n v="0"/>
    <n v="0"/>
    <n v="0"/>
    <n v="1.7738050580846799E-3"/>
  </r>
  <r>
    <x v="0"/>
    <x v="9"/>
    <n v="2030"/>
    <s v="Bornholm"/>
    <x v="0"/>
    <x v="0"/>
    <x v="0"/>
    <x v="0"/>
    <n v="0"/>
    <n v="0"/>
    <s v="C1.0_E0.0"/>
    <n v="114.63251678103499"/>
    <n v="28.658129195258802"/>
    <n v="2.3425973899852899"/>
    <n v="0.85974387585776402"/>
    <n v="0"/>
    <n v="0"/>
    <n v="0"/>
    <n v="0"/>
    <n v="3.2023412658430601"/>
    <n v="519.07604745899403"/>
    <n v="0"/>
    <n v="0"/>
    <n v="0"/>
    <n v="0"/>
    <n v="0"/>
    <n v="6.1693104151488197E-3"/>
    <n v="0.57427705398390905"/>
  </r>
  <r>
    <x v="0"/>
    <x v="10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0"/>
    <x v="0"/>
    <x v="0"/>
    <x v="0"/>
    <n v="0"/>
    <n v="0"/>
    <s v="C1.0_E0.0"/>
    <n v="887.81644832931499"/>
    <n v="2038.97336307296"/>
    <n v="181.116770586786"/>
    <n v="33.378087833569801"/>
    <n v="11.0331421628968"/>
    <n v="0"/>
    <n v="0"/>
    <n v="0"/>
    <n v="225.52800058325201"/>
    <n v="3918.6690984963402"/>
    <n v="0"/>
    <n v="0"/>
    <n v="0"/>
    <n v="0"/>
    <n v="0"/>
    <n v="5.75521930825421E-2"/>
    <n v="0.559775269499029"/>
  </r>
  <r>
    <x v="0"/>
    <x v="12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0"/>
    <x v="0"/>
    <x v="0"/>
    <x v="0"/>
    <n v="0"/>
    <n v="0"/>
    <s v="C1.0_E0.0"/>
    <n v="28.853831842444201"/>
    <n v="59.231189255469502"/>
    <n v="5.2613545180391403"/>
    <n v="1.08478023287863"/>
    <n v="0.33940514954649098"/>
    <n v="0"/>
    <n v="0"/>
    <n v="0"/>
    <n v="6.6855399004642697"/>
    <n v="120.547388201987"/>
    <n v="0"/>
    <n v="0"/>
    <n v="0"/>
    <n v="0"/>
    <n v="0"/>
    <n v="5.54598486137425E-2"/>
    <n v="0.52984960050727603"/>
  </r>
  <r>
    <x v="0"/>
    <x v="1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0"/>
    <x v="0"/>
    <x v="0"/>
    <x v="0"/>
    <n v="0"/>
    <n v="0"/>
    <s v="C1.0_E0.0"/>
    <n v="815.86863703556105"/>
    <n v="0"/>
    <n v="0"/>
    <n v="0"/>
    <n v="0"/>
    <n v="0"/>
    <n v="0"/>
    <n v="0"/>
    <n v="0"/>
    <n v="14.9660571671211"/>
    <n v="0"/>
    <n v="0"/>
    <n v="0"/>
    <n v="0"/>
    <n v="0"/>
    <n v="0"/>
    <n v="2.3264057547782001E-3"/>
  </r>
  <r>
    <x v="0"/>
    <x v="16"/>
    <n v="2030"/>
    <s v="Bornholm"/>
    <x v="0"/>
    <x v="0"/>
    <x v="0"/>
    <x v="0"/>
    <n v="0"/>
    <n v="0"/>
    <s v="C1.0_E0.0"/>
    <n v="65.209124834864596"/>
    <n v="0"/>
    <n v="0"/>
    <n v="0"/>
    <n v="2.2217892873062299E-2"/>
    <n v="0"/>
    <n v="0"/>
    <n v="0"/>
    <n v="2.2217892873062299E-2"/>
    <n v="11.8367780841472"/>
    <n v="0"/>
    <n v="0.59183890420736796"/>
    <n v="0"/>
    <n v="0"/>
    <n v="0"/>
    <n v="1.8770219999999999E-3"/>
    <n v="2.30209603184575E-2"/>
  </r>
  <r>
    <x v="0"/>
    <x v="17"/>
    <n v="2030"/>
    <s v="Bornholm"/>
    <x v="0"/>
    <x v="0"/>
    <x v="0"/>
    <x v="0"/>
    <n v="0"/>
    <n v="0"/>
    <s v="C1.0_E0.0"/>
    <n v="148.04475677727399"/>
    <n v="0"/>
    <n v="0"/>
    <n v="0"/>
    <n v="0"/>
    <n v="0"/>
    <n v="0"/>
    <n v="0"/>
    <n v="0"/>
    <n v="11.8367780841473"/>
    <n v="0"/>
    <n v="0.59183890420737395"/>
    <n v="0"/>
    <n v="0"/>
    <n v="0"/>
    <n v="0"/>
    <n v="1.01400191935416E-2"/>
  </r>
  <r>
    <x v="0"/>
    <x v="18"/>
    <n v="2030"/>
    <s v="Bornholm"/>
    <x v="0"/>
    <x v="0"/>
    <x v="0"/>
    <x v="0"/>
    <n v="0"/>
    <n v="0"/>
    <s v="C1.0_E0.0"/>
    <n v="148.04475677727399"/>
    <n v="26.6480562199093"/>
    <n v="2.71416338684126"/>
    <n v="0.39972084329863999"/>
    <n v="0"/>
    <n v="0"/>
    <n v="0"/>
    <n v="0"/>
    <n v="3.1138842301399001"/>
    <n v="615.36813390609598"/>
    <n v="0"/>
    <n v="0"/>
    <n v="0"/>
    <n v="0"/>
    <n v="0"/>
    <n v="5.06019739822127E-3"/>
    <n v="0.52715736026668103"/>
  </r>
  <r>
    <x v="1"/>
    <x v="0"/>
    <n v="2030"/>
    <s v="Bornholm"/>
    <x v="1"/>
    <x v="0"/>
    <x v="0"/>
    <x v="0"/>
    <n v="0"/>
    <n v="0"/>
    <s v="C1.0_E0.0"/>
    <n v="85.342854176083307"/>
    <n v="568.56774937773503"/>
    <n v="50.315730033427897"/>
    <n v="22.742709975109399"/>
    <n v="0"/>
    <n v="0"/>
    <n v="0"/>
    <n v="0"/>
    <n v="73.058440008537303"/>
    <n v="425.80645161291397"/>
    <n v="0"/>
    <n v="191.612903225812"/>
    <n v="1.0645768397108299"/>
    <n v="57.235313962947799"/>
    <n v="206.04713026661199"/>
    <n v="0.17157663941398399"/>
    <n v="0.63276635127327097"/>
  </r>
  <r>
    <x v="1"/>
    <x v="1"/>
    <n v="2030"/>
    <s v="Bornholm"/>
    <x v="1"/>
    <x v="0"/>
    <x v="0"/>
    <x v="0"/>
    <n v="0"/>
    <n v="0"/>
    <s v="C1.0_E0.0"/>
    <n v="194.60926039629399"/>
    <n v="23.546389380610499"/>
    <n v="2.75091395622306"/>
    <n v="0.70639168141831599"/>
    <n v="0"/>
    <n v="0"/>
    <n v="0"/>
    <n v="5.6057517223555897E-2"/>
    <n v="3.5133631548649298"/>
    <n v="862.42334190080703"/>
    <n v="0"/>
    <n v="2.1560583547520702"/>
    <n v="0"/>
    <n v="0"/>
    <n v="0"/>
    <n v="4.0738266048335097E-3"/>
    <n v="0.56202457074323198"/>
  </r>
  <r>
    <x v="1"/>
    <x v="2"/>
    <n v="2030"/>
    <s v="Bornholm"/>
    <x v="1"/>
    <x v="0"/>
    <x v="0"/>
    <x v="0"/>
    <n v="0"/>
    <n v="0"/>
    <s v="C1.0_E0.0"/>
    <n v="17.298600924115"/>
    <n v="689.17626081674496"/>
    <n v="60.989049629800398"/>
    <n v="68.917626081674499"/>
    <n v="0"/>
    <n v="0"/>
    <n v="0"/>
    <n v="0"/>
    <n v="129.90667571147401"/>
    <n v="76.659852613407594"/>
    <n v="0"/>
    <n v="3817.6606601476701"/>
    <n v="0"/>
    <n v="0"/>
    <n v="0"/>
    <n v="1.6945855135749901"/>
    <n v="0.56202457074323198"/>
  </r>
  <r>
    <x v="1"/>
    <x v="3"/>
    <n v="2030"/>
    <s v="Bornholm"/>
    <x v="1"/>
    <x v="0"/>
    <x v="0"/>
    <x v="0"/>
    <n v="0"/>
    <n v="0"/>
    <s v="C1.0_E0.0"/>
    <n v="15.361713751695"/>
    <n v="0"/>
    <n v="0"/>
    <n v="0"/>
    <n v="0"/>
    <n v="0"/>
    <n v="0"/>
    <n v="0"/>
    <n v="0"/>
    <n v="76.645161290318796"/>
    <n v="0"/>
    <n v="0"/>
    <n v="0"/>
    <n v="0"/>
    <n v="0"/>
    <n v="0"/>
    <n v="0.63276635127327097"/>
  </r>
  <r>
    <x v="1"/>
    <x v="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1"/>
    <x v="0"/>
    <x v="0"/>
    <x v="0"/>
    <n v="0"/>
    <n v="0"/>
    <s v="C1.0_E0.0"/>
    <n v="98.1868588452772"/>
    <n v="0"/>
    <n v="0"/>
    <n v="0"/>
    <n v="0"/>
    <n v="0"/>
    <n v="0"/>
    <n v="0"/>
    <n v="0"/>
    <n v="435.12132343371599"/>
    <n v="0"/>
    <n v="0"/>
    <n v="0"/>
    <n v="0"/>
    <n v="0"/>
    <n v="0"/>
    <n v="0.56202457074323198"/>
  </r>
  <r>
    <x v="1"/>
    <x v="6"/>
    <n v="2030"/>
    <s v="Bornholm"/>
    <x v="1"/>
    <x v="0"/>
    <x v="0"/>
    <x v="0"/>
    <n v="0"/>
    <n v="0"/>
    <s v="C1.0_E0.0"/>
    <n v="134.237143171133"/>
    <n v="0"/>
    <n v="0"/>
    <n v="0"/>
    <n v="0"/>
    <n v="0"/>
    <n v="0"/>
    <n v="0"/>
    <n v="0"/>
    <n v="594.88045628006103"/>
    <n v="0"/>
    <n v="0"/>
    <n v="0"/>
    <n v="0"/>
    <n v="0"/>
    <n v="0"/>
    <n v="0.56202457074323198"/>
  </r>
  <r>
    <x v="1"/>
    <x v="7"/>
    <n v="2030"/>
    <s v="Bornholm"/>
    <x v="1"/>
    <x v="0"/>
    <x v="0"/>
    <x v="0"/>
    <n v="0"/>
    <n v="0"/>
    <s v="C1.0_E0.0"/>
    <n v="924.91017251162805"/>
    <n v="0"/>
    <n v="0"/>
    <n v="0"/>
    <n v="0"/>
    <n v="0"/>
    <n v="0"/>
    <n v="0"/>
    <n v="0"/>
    <n v="16.698241997130101"/>
    <n v="0"/>
    <n v="15.696347477302"/>
    <n v="0"/>
    <n v="0"/>
    <n v="0"/>
    <n v="0"/>
    <n v="2.2896520912753398E-3"/>
  </r>
  <r>
    <x v="1"/>
    <x v="8"/>
    <n v="2030"/>
    <s v="Bornholm"/>
    <x v="1"/>
    <x v="0"/>
    <x v="0"/>
    <x v="0"/>
    <n v="0"/>
    <n v="0"/>
    <s v="C1.0_E0.0"/>
    <n v="940.27188626332304"/>
    <n v="0"/>
    <n v="0"/>
    <n v="0"/>
    <n v="0"/>
    <n v="0"/>
    <n v="0"/>
    <n v="0"/>
    <n v="0"/>
    <n v="16.6835506740418"/>
    <n v="0"/>
    <n v="0"/>
    <n v="0"/>
    <n v="0"/>
    <n v="0"/>
    <n v="0"/>
    <n v="2.2502632938135999E-3"/>
  </r>
  <r>
    <x v="1"/>
    <x v="9"/>
    <n v="2030"/>
    <s v="Bornholm"/>
    <x v="1"/>
    <x v="0"/>
    <x v="0"/>
    <x v="0"/>
    <n v="0"/>
    <n v="0"/>
    <s v="C1.0_E0.0"/>
    <n v="163.236923202496"/>
    <n v="40.809230800624"/>
    <n v="3.3358631650200401"/>
    <n v="1.2242769240187199"/>
    <n v="0"/>
    <n v="0"/>
    <n v="0"/>
    <n v="0"/>
    <n v="4.56014008903876"/>
    <n v="694.90388314107201"/>
    <n v="0"/>
    <n v="0"/>
    <n v="0"/>
    <n v="0"/>
    <n v="0"/>
    <n v="6.5622601911882001E-3"/>
    <n v="0.53988920083986203"/>
  </r>
  <r>
    <x v="1"/>
    <x v="10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1"/>
    <x v="0"/>
    <x v="0"/>
    <x v="0"/>
    <n v="0"/>
    <n v="0"/>
    <s v="C1.0_E0.0"/>
    <n v="955.59983846333398"/>
    <n v="2194.64577396614"/>
    <n v="194.944751295636"/>
    <n v="35.926452367486696"/>
    <n v="11.393863959494"/>
    <n v="0"/>
    <n v="0"/>
    <n v="0"/>
    <n v="242.26506762261701"/>
    <n v="4046.7875743221398"/>
    <n v="0"/>
    <n v="0"/>
    <n v="0"/>
    <n v="0"/>
    <n v="0"/>
    <n v="5.9866020435529799E-2"/>
    <n v="0.53707216233352595"/>
  </r>
  <r>
    <x v="1"/>
    <x v="12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1"/>
    <x v="0"/>
    <x v="0"/>
    <x v="0"/>
    <n v="0"/>
    <n v="0"/>
    <s v="C1.0_E0.0"/>
    <n v="490.01599368022801"/>
    <n v="0"/>
    <n v="0"/>
    <n v="0"/>
    <n v="0"/>
    <n v="0"/>
    <n v="0"/>
    <n v="0"/>
    <n v="0"/>
    <n v="19.661605116565902"/>
    <n v="0"/>
    <n v="0"/>
    <n v="0"/>
    <n v="0"/>
    <n v="0"/>
    <n v="0"/>
    <n v="5.0887019733934797E-3"/>
  </r>
  <r>
    <x v="1"/>
    <x v="16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0"/>
    <n v="2030"/>
    <s v="Bornholm"/>
    <x v="2"/>
    <x v="0"/>
    <x v="0"/>
    <x v="0"/>
    <n v="0"/>
    <n v="0"/>
    <s v="C1.0_E0.0"/>
    <n v="94.543189332053501"/>
    <n v="629.86185424043299"/>
    <n v="55.739987100923301"/>
    <n v="25.194474169617301"/>
    <n v="0"/>
    <n v="0"/>
    <n v="0"/>
    <n v="0"/>
    <n v="80.934461270540595"/>
    <n v="425.80645161289402"/>
    <n v="0"/>
    <n v="191.61290322577599"/>
    <n v="1.2219433018860399"/>
    <n v="65.695876445486405"/>
    <n v="236.505155203751"/>
    <n v="0.19007335601415201"/>
    <n v="0.57118959943882097"/>
  </r>
  <r>
    <x v="1"/>
    <x v="1"/>
    <n v="2030"/>
    <s v="Bornholm"/>
    <x v="2"/>
    <x v="0"/>
    <x v="0"/>
    <x v="0"/>
    <n v="0"/>
    <n v="0"/>
    <s v="C1.0_E0.0"/>
    <n v="223.07407492446501"/>
    <n v="26.990437239187798"/>
    <n v="3.15328050027852"/>
    <n v="0.80971311717563599"/>
    <n v="0"/>
    <n v="0"/>
    <n v="0"/>
    <n v="5.6061980596400801E-2"/>
    <n v="4.01905559805056"/>
    <n v="862.49200917539201"/>
    <n v="0"/>
    <n v="2.1562300229384599"/>
    <n v="0"/>
    <n v="0"/>
    <n v="0"/>
    <n v="4.6598177783618898E-3"/>
    <n v="0.490347857182866"/>
  </r>
  <r>
    <x v="1"/>
    <x v="2"/>
    <n v="2030"/>
    <s v="Bornholm"/>
    <x v="2"/>
    <x v="0"/>
    <x v="0"/>
    <x v="0"/>
    <n v="0"/>
    <n v="0"/>
    <s v="C1.0_E0.0"/>
    <n v="19.828806659952502"/>
    <n v="789.97965733250805"/>
    <n v="69.909704188717498"/>
    <n v="78.997965733250794"/>
    <n v="0"/>
    <n v="0"/>
    <n v="0"/>
    <n v="0"/>
    <n v="148.90766992196799"/>
    <n v="76.665956371144702"/>
    <n v="0"/>
    <n v="3817.9646272834002"/>
    <n v="0"/>
    <n v="0"/>
    <n v="0"/>
    <n v="1.9422919503031599"/>
    <n v="0.490347857182866"/>
  </r>
  <r>
    <x v="1"/>
    <x v="3"/>
    <n v="2030"/>
    <s v="Bornholm"/>
    <x v="2"/>
    <x v="0"/>
    <x v="0"/>
    <x v="0"/>
    <n v="0"/>
    <n v="0"/>
    <s v="C1.0_E0.0"/>
    <n v="17.017774079769602"/>
    <n v="0"/>
    <n v="0"/>
    <n v="0"/>
    <n v="0"/>
    <n v="0"/>
    <n v="0"/>
    <n v="0"/>
    <n v="0"/>
    <n v="76.645161290316594"/>
    <n v="0"/>
    <n v="0"/>
    <n v="0"/>
    <n v="0"/>
    <n v="0"/>
    <n v="0"/>
    <n v="0.57118959943882097"/>
  </r>
  <r>
    <x v="1"/>
    <x v="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2"/>
    <x v="0"/>
    <x v="0"/>
    <x v="0"/>
    <n v="0"/>
    <n v="0"/>
    <s v="C1.0_E0.0"/>
    <n v="112.54830660189"/>
    <n v="0"/>
    <n v="0"/>
    <n v="0"/>
    <n v="0"/>
    <n v="0"/>
    <n v="0"/>
    <n v="0"/>
    <n v="0"/>
    <n v="435.15596836261398"/>
    <n v="0"/>
    <n v="0"/>
    <n v="0"/>
    <n v="0"/>
    <n v="0"/>
    <n v="0"/>
    <n v="0.490347857182866"/>
  </r>
  <r>
    <x v="1"/>
    <x v="6"/>
    <n v="2030"/>
    <s v="Bornholm"/>
    <x v="2"/>
    <x v="0"/>
    <x v="0"/>
    <x v="0"/>
    <n v="0"/>
    <n v="0"/>
    <s v="C1.0_E0.0"/>
    <n v="153.87153968123101"/>
    <n v="0"/>
    <n v="0"/>
    <n v="0"/>
    <n v="0"/>
    <n v="0"/>
    <n v="0"/>
    <n v="0"/>
    <n v="0"/>
    <n v="594.927821440098"/>
    <n v="0"/>
    <n v="0"/>
    <n v="0"/>
    <n v="0"/>
    <n v="0"/>
    <n v="0"/>
    <n v="0.490347857182866"/>
  </r>
  <r>
    <x v="1"/>
    <x v="7"/>
    <n v="2030"/>
    <s v="Bornholm"/>
    <x v="2"/>
    <x v="0"/>
    <x v="0"/>
    <x v="0"/>
    <n v="0"/>
    <n v="0"/>
    <s v="C1.0_E0.0"/>
    <n v="1078.15121035788"/>
    <n v="0"/>
    <n v="0"/>
    <n v="0"/>
    <n v="0"/>
    <n v="0"/>
    <n v="0"/>
    <n v="0"/>
    <n v="0"/>
    <n v="11.0828306035799"/>
    <n v="0"/>
    <n v="10.4178607673652"/>
    <n v="0"/>
    <n v="0"/>
    <n v="0"/>
    <n v="0"/>
    <n v="1.3036749564624001E-3"/>
  </r>
  <r>
    <x v="1"/>
    <x v="8"/>
    <n v="2030"/>
    <s v="Bornholm"/>
    <x v="2"/>
    <x v="0"/>
    <x v="0"/>
    <x v="0"/>
    <n v="0"/>
    <n v="0"/>
    <s v="C1.0_E0.0"/>
    <n v="1095.1689844376499"/>
    <n v="0"/>
    <n v="0"/>
    <n v="0"/>
    <n v="0"/>
    <n v="0"/>
    <n v="0"/>
    <n v="0"/>
    <n v="0"/>
    <n v="11.0620355227506"/>
    <n v="0"/>
    <n v="0"/>
    <n v="0"/>
    <n v="0"/>
    <n v="0"/>
    <n v="0"/>
    <n v="1.2810091008069401E-3"/>
  </r>
  <r>
    <x v="1"/>
    <x v="9"/>
    <n v="2030"/>
    <s v="Bornholm"/>
    <x v="2"/>
    <x v="0"/>
    <x v="0"/>
    <x v="0"/>
    <n v="0"/>
    <n v="0"/>
    <s v="C1.0_E0.0"/>
    <n v="231.056453662244"/>
    <n v="57.764113415561098"/>
    <n v="4.7218037297596798"/>
    <n v="1.7329234024668301"/>
    <n v="0"/>
    <n v="0"/>
    <n v="0"/>
    <n v="0"/>
    <n v="6.4547271322265196"/>
    <n v="998.17609508994099"/>
    <n v="0"/>
    <n v="0"/>
    <n v="0"/>
    <n v="0"/>
    <n v="0"/>
    <n v="6.46652145245464E-3"/>
    <n v="0.54788241813981697"/>
  </r>
  <r>
    <x v="1"/>
    <x v="10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2"/>
    <x v="0"/>
    <x v="0"/>
    <x v="0"/>
    <n v="0"/>
    <n v="0"/>
    <s v="C1.0_E0.0"/>
    <n v="1111.5858662482401"/>
    <n v="2552.8857640716401"/>
    <n v="226.76629015338901"/>
    <n v="41.790857499889903"/>
    <n v="11.438279872195499"/>
    <n v="0"/>
    <n v="0"/>
    <n v="0"/>
    <n v="279.99542752547501"/>
    <n v="4062.5628867415599"/>
    <n v="0"/>
    <n v="0"/>
    <n v="0"/>
    <n v="0"/>
    <n v="0"/>
    <n v="6.8920884508460803E-2"/>
    <n v="0.46350602409637298"/>
  </r>
  <r>
    <x v="1"/>
    <x v="12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2"/>
    <x v="0"/>
    <x v="0"/>
    <x v="0"/>
    <n v="0"/>
    <n v="0"/>
    <s v="C1.0_E0.0"/>
    <n v="445.63532923673699"/>
    <n v="0"/>
    <n v="0"/>
    <n v="0"/>
    <n v="0"/>
    <n v="0"/>
    <n v="0"/>
    <n v="0"/>
    <n v="0"/>
    <n v="40.411265441996498"/>
    <n v="0"/>
    <n v="0"/>
    <n v="0"/>
    <n v="0"/>
    <n v="0"/>
    <n v="0"/>
    <n v="1.1500616954238501E-2"/>
  </r>
  <r>
    <x v="1"/>
    <x v="16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0"/>
    <n v="2030"/>
    <s v="Bornholm"/>
    <x v="3"/>
    <x v="0"/>
    <x v="0"/>
    <x v="0"/>
    <n v="0"/>
    <n v="0"/>
    <s v="C1.0_E0.0"/>
    <n v="84.863295535122504"/>
    <n v="565.37285298227198"/>
    <n v="50.032995839139097"/>
    <n v="22.614914119290798"/>
    <n v="0"/>
    <n v="0"/>
    <n v="0"/>
    <n v="0"/>
    <n v="72.647909958430006"/>
    <n v="425.80645161290403"/>
    <n v="0"/>
    <n v="191.612903225791"/>
    <n v="1.0785670811849899"/>
    <n v="57.987477483064097"/>
    <n v="208.754918939031"/>
    <n v="0.170612515811463"/>
    <n v="0.63634208527638703"/>
  </r>
  <r>
    <x v="1"/>
    <x v="1"/>
    <n v="2030"/>
    <s v="Bornholm"/>
    <x v="3"/>
    <x v="0"/>
    <x v="0"/>
    <x v="0"/>
    <n v="0"/>
    <n v="0"/>
    <s v="C1.0_E0.0"/>
    <n v="196.36014127335099"/>
    <n v="23.758233990709201"/>
    <n v="2.77566366561804"/>
    <n v="0.71274701972127696"/>
    <n v="0"/>
    <n v="0"/>
    <n v="0"/>
    <n v="5.60570619759828E-2"/>
    <n v="3.5444677473152999"/>
    <n v="862.41633809203495"/>
    <n v="0"/>
    <n v="2.15604084522995"/>
    <n v="0"/>
    <n v="0"/>
    <n v="0"/>
    <n v="4.1099264830219903E-3"/>
    <n v="0.55700865299341196"/>
  </r>
  <r>
    <x v="1"/>
    <x v="2"/>
    <n v="2030"/>
    <s v="Bornholm"/>
    <x v="3"/>
    <x v="0"/>
    <x v="0"/>
    <x v="0"/>
    <n v="0"/>
    <n v="0"/>
    <s v="C1.0_E0.0"/>
    <n v="17.454234779853401"/>
    <n v="695.37671362936203"/>
    <n v="61.537762268085103"/>
    <n v="69.537671362936194"/>
    <n v="0"/>
    <n v="0"/>
    <n v="0"/>
    <n v="0"/>
    <n v="131.07543363102101"/>
    <n v="76.659230052625404"/>
    <n v="0"/>
    <n v="3817.6296566209198"/>
    <n v="0"/>
    <n v="0"/>
    <n v="0"/>
    <n v="1.7098454229326301"/>
    <n v="0.55700865299341196"/>
  </r>
  <r>
    <x v="1"/>
    <x v="3"/>
    <n v="2030"/>
    <s v="Bornholm"/>
    <x v="3"/>
    <x v="0"/>
    <x v="0"/>
    <x v="0"/>
    <n v="0"/>
    <n v="0"/>
    <s v="C1.0_E0.0"/>
    <n v="15.275393196322"/>
    <n v="0"/>
    <n v="0"/>
    <n v="0"/>
    <n v="0"/>
    <n v="0"/>
    <n v="0"/>
    <n v="0"/>
    <n v="0"/>
    <n v="76.645161290322093"/>
    <n v="0"/>
    <n v="0"/>
    <n v="0"/>
    <n v="0"/>
    <n v="0"/>
    <n v="0"/>
    <n v="0.63634208527638703"/>
  </r>
  <r>
    <x v="1"/>
    <x v="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3"/>
    <x v="0"/>
    <x v="0"/>
    <x v="0"/>
    <n v="0"/>
    <n v="0"/>
    <s v="C1.0_E0.0"/>
    <n v="99.070236610448305"/>
    <n v="0"/>
    <n v="0"/>
    <n v="0"/>
    <n v="0"/>
    <n v="0"/>
    <n v="0"/>
    <n v="0"/>
    <n v="0"/>
    <n v="435.117789778705"/>
    <n v="0"/>
    <n v="0"/>
    <n v="0"/>
    <n v="0"/>
    <n v="0"/>
    <n v="0"/>
    <n v="0.55700865299341196"/>
  </r>
  <r>
    <x v="1"/>
    <x v="6"/>
    <n v="2030"/>
    <s v="Bornholm"/>
    <x v="3"/>
    <x v="0"/>
    <x v="0"/>
    <x v="0"/>
    <n v="0"/>
    <n v="0"/>
    <s v="C1.0_E0.0"/>
    <n v="135.44486189166301"/>
    <n v="0"/>
    <n v="0"/>
    <n v="0"/>
    <n v="0"/>
    <n v="0"/>
    <n v="0"/>
    <n v="0"/>
    <n v="0"/>
    <n v="594.87562520836298"/>
    <n v="0"/>
    <n v="0"/>
    <n v="0"/>
    <n v="0"/>
    <n v="0"/>
    <n v="0"/>
    <n v="0.55700865299341196"/>
  </r>
  <r>
    <x v="1"/>
    <x v="7"/>
    <n v="2030"/>
    <s v="Bornholm"/>
    <x v="3"/>
    <x v="0"/>
    <x v="0"/>
    <x v="0"/>
    <n v="0"/>
    <n v="0"/>
    <s v="C1.0_E0.0"/>
    <n v="947.26598182222403"/>
    <n v="0"/>
    <n v="0"/>
    <n v="0"/>
    <n v="0"/>
    <n v="0"/>
    <n v="0"/>
    <n v="0"/>
    <n v="0"/>
    <n v="10.202753823260499"/>
    <n v="0"/>
    <n v="9.5905885938651299"/>
    <n v="0"/>
    <n v="0"/>
    <n v="0"/>
    <n v="0"/>
    <n v="1.36597820205955E-3"/>
  </r>
  <r>
    <x v="1"/>
    <x v="8"/>
    <n v="2030"/>
    <s v="Bornholm"/>
    <x v="3"/>
    <x v="0"/>
    <x v="0"/>
    <x v="0"/>
    <n v="0"/>
    <n v="0"/>
    <s v="C1.0_E0.0"/>
    <n v="962.54137501854598"/>
    <n v="0"/>
    <n v="0"/>
    <n v="0"/>
    <n v="0"/>
    <n v="0"/>
    <n v="0"/>
    <n v="0"/>
    <n v="0"/>
    <n v="10.188685060955899"/>
    <n v="0"/>
    <n v="0"/>
    <n v="0"/>
    <n v="0"/>
    <n v="0"/>
    <n v="0"/>
    <n v="1.3424466443369199E-3"/>
  </r>
  <r>
    <x v="1"/>
    <x v="9"/>
    <n v="2030"/>
    <s v="Bornholm"/>
    <x v="3"/>
    <x v="0"/>
    <x v="0"/>
    <x v="0"/>
    <n v="0"/>
    <n v="0"/>
    <s v="C1.0_E0.0"/>
    <n v="156.31958116332399"/>
    <n v="39.079895290831203"/>
    <n v="3.1945023377292001"/>
    <n v="1.17239685872493"/>
    <n v="0"/>
    <n v="0"/>
    <n v="0"/>
    <n v="0"/>
    <n v="4.3668991964541402"/>
    <n v="745.35229311849798"/>
    <n v="0"/>
    <n v="0"/>
    <n v="0"/>
    <n v="0"/>
    <n v="0"/>
    <n v="5.8588391513271698E-3"/>
    <n v="0.60470911025461205"/>
  </r>
  <r>
    <x v="1"/>
    <x v="10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3"/>
    <x v="0"/>
    <x v="0"/>
    <x v="0"/>
    <n v="0"/>
    <n v="0"/>
    <s v="C1.0_E0.0"/>
    <n v="977.49316410915299"/>
    <n v="2244.9263335400401"/>
    <n v="199.41104435186099"/>
    <n v="36.749547442769703"/>
    <n v="11.4655193379722"/>
    <n v="0"/>
    <n v="0"/>
    <n v="0"/>
    <n v="247.626111132603"/>
    <n v="4072.2375969212399"/>
    <n v="0"/>
    <n v="0"/>
    <n v="0"/>
    <n v="0"/>
    <n v="0"/>
    <n v="6.08083652387615E-2"/>
    <n v="0.52834509828787701"/>
  </r>
  <r>
    <x v="1"/>
    <x v="12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3"/>
    <x v="0"/>
    <x v="0"/>
    <x v="0"/>
    <n v="0"/>
    <n v="0"/>
    <s v="C1.0_E0.0"/>
    <n v="871.95540211122704"/>
    <n v="0"/>
    <n v="0"/>
    <n v="0"/>
    <n v="0"/>
    <n v="0"/>
    <n v="0"/>
    <n v="0"/>
    <n v="0"/>
    <n v="51.248407635495703"/>
    <n v="0"/>
    <n v="0"/>
    <n v="0"/>
    <n v="0"/>
    <n v="0"/>
    <n v="0"/>
    <n v="7.4539144754249198E-3"/>
  </r>
  <r>
    <x v="1"/>
    <x v="16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0"/>
    <n v="2030"/>
    <s v="Bornholm"/>
    <x v="4"/>
    <x v="0"/>
    <x v="0"/>
    <x v="0"/>
    <n v="0"/>
    <n v="0"/>
    <s v="C1.0_E0.0"/>
    <n v="89.553952362204996"/>
    <n v="596.62275926938798"/>
    <n v="52.7984742716272"/>
    <n v="23.864910370775501"/>
    <n v="0"/>
    <n v="0"/>
    <n v="0"/>
    <n v="0"/>
    <n v="76.663384642402704"/>
    <n v="425.80645161290698"/>
    <n v="0"/>
    <n v="191.612903225818"/>
    <n v="1.0880856806941701"/>
    <n v="58.499230144847999"/>
    <n v="210.59722852145299"/>
    <n v="0.180042797266247"/>
    <n v="0.60301176017154301"/>
  </r>
  <r>
    <x v="1"/>
    <x v="1"/>
    <n v="2030"/>
    <s v="Bornholm"/>
    <x v="4"/>
    <x v="0"/>
    <x v="0"/>
    <x v="0"/>
    <n v="0"/>
    <n v="0"/>
    <s v="C1.0_E0.0"/>
    <n v="198.07843548337399"/>
    <n v="23.966135836989601"/>
    <n v="2.7999527437103402"/>
    <n v="0.71898407510968898"/>
    <n v="0"/>
    <n v="0"/>
    <n v="0"/>
    <n v="5.6054878851106299E-2"/>
    <n v="3.57499169767113"/>
    <n v="862.38275155548297"/>
    <n v="0"/>
    <n v="2.15595687888877"/>
    <n v="0"/>
    <n v="0"/>
    <n v="0"/>
    <n v="4.1454814480263004E-3"/>
    <n v="0.55215520042502098"/>
  </r>
  <r>
    <x v="1"/>
    <x v="2"/>
    <n v="2030"/>
    <s v="Bornholm"/>
    <x v="4"/>
    <x v="0"/>
    <x v="0"/>
    <x v="0"/>
    <n v="0"/>
    <n v="0"/>
    <s v="C1.0_E0.0"/>
    <n v="17.6069720429666"/>
    <n v="701.46176619179096"/>
    <n v="62.076262494848699"/>
    <n v="70.146176619179101"/>
    <n v="0"/>
    <n v="0"/>
    <n v="0"/>
    <n v="0"/>
    <n v="132.222439114027"/>
    <n v="76.656244582712901"/>
    <n v="0"/>
    <n v="3817.4809802188202"/>
    <n v="0"/>
    <n v="0"/>
    <n v="0"/>
    <n v="1.72487499007805"/>
    <n v="0.55215520042502098"/>
  </r>
  <r>
    <x v="1"/>
    <x v="3"/>
    <n v="2030"/>
    <s v="Bornholm"/>
    <x v="4"/>
    <x v="0"/>
    <x v="0"/>
    <x v="0"/>
    <n v="0"/>
    <n v="0"/>
    <s v="C1.0_E0.0"/>
    <n v="16.1197114251969"/>
    <n v="0"/>
    <n v="0"/>
    <n v="0"/>
    <n v="0"/>
    <n v="0"/>
    <n v="0"/>
    <n v="0"/>
    <n v="0"/>
    <n v="76.645161290331203"/>
    <n v="0"/>
    <n v="0"/>
    <n v="0"/>
    <n v="0"/>
    <n v="0"/>
    <n v="0"/>
    <n v="0.60301176017154301"/>
  </r>
  <r>
    <x v="1"/>
    <x v="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4"/>
    <x v="0"/>
    <x v="0"/>
    <x v="0"/>
    <n v="0"/>
    <n v="0"/>
    <s v="C1.0_E0.0"/>
    <n v="99.937173315878596"/>
    <n v="0"/>
    <n v="0"/>
    <n v="0"/>
    <n v="0"/>
    <n v="0"/>
    <n v="0"/>
    <n v="0"/>
    <n v="0"/>
    <n v="435.10084425147198"/>
    <n v="0"/>
    <n v="0"/>
    <n v="0"/>
    <n v="0"/>
    <n v="0"/>
    <n v="0"/>
    <n v="0.55215520042502098"/>
  </r>
  <r>
    <x v="1"/>
    <x v="6"/>
    <n v="2030"/>
    <s v="Bornholm"/>
    <x v="4"/>
    <x v="0"/>
    <x v="0"/>
    <x v="0"/>
    <n v="0"/>
    <n v="0"/>
    <s v="C1.0_E0.0"/>
    <n v="136.63010305342101"/>
    <n v="0"/>
    <n v="0"/>
    <n v="0"/>
    <n v="0"/>
    <n v="0"/>
    <n v="0"/>
    <n v="0"/>
    <n v="0"/>
    <n v="594.85245796185905"/>
    <n v="0"/>
    <n v="0"/>
    <n v="0"/>
    <n v="0"/>
    <n v="0"/>
    <n v="0"/>
    <n v="0.55215520042502098"/>
  </r>
  <r>
    <x v="1"/>
    <x v="7"/>
    <n v="2030"/>
    <s v="Bornholm"/>
    <x v="4"/>
    <x v="0"/>
    <x v="0"/>
    <x v="0"/>
    <n v="0"/>
    <n v="0"/>
    <s v="C1.0_E0.0"/>
    <n v="944.84822371369103"/>
    <n v="0"/>
    <n v="0"/>
    <n v="0"/>
    <n v="0"/>
    <n v="0"/>
    <n v="0"/>
    <n v="0"/>
    <n v="0"/>
    <n v="8.0426863379949101"/>
    <n v="0"/>
    <n v="7.5601251577153699"/>
    <n v="0"/>
    <n v="0"/>
    <n v="0"/>
    <n v="0"/>
    <n v="1.0795366300561499E-3"/>
  </r>
  <r>
    <x v="1"/>
    <x v="8"/>
    <n v="2030"/>
    <s v="Bornholm"/>
    <x v="4"/>
    <x v="0"/>
    <x v="0"/>
    <x v="0"/>
    <n v="0"/>
    <n v="0"/>
    <s v="C1.0_E0.0"/>
    <n v="960.96793513888804"/>
    <n v="0"/>
    <n v="0"/>
    <n v="0"/>
    <n v="0"/>
    <n v="0"/>
    <n v="0"/>
    <n v="0"/>
    <n v="0"/>
    <n v="8.0316030456112397"/>
    <n v="0"/>
    <n v="0"/>
    <n v="0"/>
    <n v="0"/>
    <n v="0"/>
    <n v="0"/>
    <n v="1.0599652837517399E-3"/>
  </r>
  <r>
    <x v="1"/>
    <x v="9"/>
    <n v="2030"/>
    <s v="Bornholm"/>
    <x v="4"/>
    <x v="0"/>
    <x v="0"/>
    <x v="0"/>
    <n v="0"/>
    <n v="0"/>
    <s v="C1.0_E0.0"/>
    <n v="123.14769315655001"/>
    <n v="30.786923289137601"/>
    <n v="2.5166111036565102"/>
    <n v="0.92360769867412895"/>
    <n v="0"/>
    <n v="0"/>
    <n v="0"/>
    <n v="0"/>
    <n v="3.4402188023306399"/>
    <n v="589.65888574207395"/>
    <n v="0"/>
    <n v="0"/>
    <n v="0"/>
    <n v="0"/>
    <n v="0"/>
    <n v="5.8342524559791796E-3"/>
    <n v="0.60725747421041998"/>
  </r>
  <r>
    <x v="1"/>
    <x v="10"/>
    <n v="2030"/>
    <s v="Bornholm"/>
    <x v="4"/>
    <x v="0"/>
    <x v="0"/>
    <x v="0"/>
    <n v="0"/>
    <n v="0"/>
    <s v="C1.0_E0.0"/>
    <n v="2.9356515357022799"/>
    <n v="5.86581431882282"/>
    <n v="0.52104523066734199"/>
    <n v="0.11036789754437901"/>
    <n v="3.0931687128771E-2"/>
    <n v="0"/>
    <n v="0"/>
    <n v="0"/>
    <n v="0.66234481534049205"/>
    <n v="10.9860858064069"/>
    <n v="0"/>
    <n v="0"/>
    <n v="0"/>
    <n v="0"/>
    <n v="0"/>
    <n v="6.02894267359739E-2"/>
    <n v="0.47460989220037397"/>
  </r>
  <r>
    <x v="1"/>
    <x v="11"/>
    <n v="2030"/>
    <s v="Bornholm"/>
    <x v="4"/>
    <x v="0"/>
    <x v="0"/>
    <x v="0"/>
    <n v="0"/>
    <n v="0"/>
    <s v="C1.0_E0.0"/>
    <n v="974.38709462625798"/>
    <n v="2237.79288500865"/>
    <n v="198.77739842761801"/>
    <n v="36.632772561866801"/>
    <n v="11.3403526860087"/>
    <n v="0"/>
    <n v="0"/>
    <n v="0"/>
    <n v="246.75052367549301"/>
    <n v="4027.781839534"/>
    <n v="0"/>
    <n v="0"/>
    <n v="0"/>
    <n v="0"/>
    <n v="0"/>
    <n v="6.1262137202555397E-2"/>
    <n v="0.52424309448318496"/>
  </r>
  <r>
    <x v="1"/>
    <x v="12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4"/>
    <x v="0"/>
    <x v="0"/>
    <x v="0"/>
    <n v="0"/>
    <n v="0"/>
    <s v="C1.0_E0.0"/>
    <n v="359.68220564366499"/>
    <n v="0"/>
    <n v="0"/>
    <n v="0"/>
    <n v="0"/>
    <n v="0"/>
    <n v="0"/>
    <n v="0"/>
    <n v="0"/>
    <n v="19.9579598593225"/>
    <n v="0"/>
    <n v="0"/>
    <n v="0"/>
    <n v="0"/>
    <n v="0"/>
    <n v="0"/>
    <n v="7.0371287100181997E-3"/>
  </r>
  <r>
    <x v="1"/>
    <x v="16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0"/>
    <n v="2030"/>
    <s v="Bornholm"/>
    <x v="5"/>
    <x v="0"/>
    <x v="0"/>
    <x v="0"/>
    <n v="0"/>
    <n v="0"/>
    <s v="C1.0_E0.0"/>
    <n v="77.448847781876495"/>
    <n v="515.97661573850598"/>
    <n v="45.661647410487298"/>
    <n v="20.639064629540201"/>
    <n v="0"/>
    <n v="0"/>
    <n v="0"/>
    <n v="0"/>
    <n v="66.300712040027506"/>
    <n v="425.80645161291"/>
    <n v="0"/>
    <n v="191.612903225808"/>
    <n v="1.16723186985521"/>
    <n v="62.754401605119"/>
    <n v="225.91584577842801"/>
    <n v="0.15570621766975901"/>
    <n v="0.697261327842291"/>
  </r>
  <r>
    <x v="1"/>
    <x v="1"/>
    <n v="2030"/>
    <s v="Bornholm"/>
    <x v="5"/>
    <x v="0"/>
    <x v="0"/>
    <x v="0"/>
    <n v="0"/>
    <n v="0"/>
    <s v="C1.0_E0.0"/>
    <n v="216.30393657190501"/>
    <n v="26.171296806274398"/>
    <n v="3.05758069626255"/>
    <n v="0.78513890418823196"/>
    <n v="0"/>
    <n v="0"/>
    <n v="0"/>
    <n v="5.6077338400341702E-2"/>
    <n v="3.8987969388511199"/>
    <n v="862.72828308218004"/>
    <n v="0"/>
    <n v="2.1568207077053798"/>
    <n v="0"/>
    <n v="0"/>
    <n v="0"/>
    <n v="4.5191481667000597E-3"/>
    <n v="0.50583388056321799"/>
  </r>
  <r>
    <x v="1"/>
    <x v="2"/>
    <n v="2030"/>
    <s v="Bornholm"/>
    <x v="5"/>
    <x v="0"/>
    <x v="0"/>
    <x v="0"/>
    <n v="0"/>
    <n v="0"/>
    <s v="C1.0_E0.0"/>
    <n v="19.227016584169299"/>
    <n v="766.00434071330801"/>
    <n v="67.787994753390095"/>
    <n v="76.600434071330795"/>
    <n v="0"/>
    <n v="0"/>
    <n v="0"/>
    <n v="0"/>
    <n v="144.38842882472099"/>
    <n v="76.686958496194194"/>
    <n v="0"/>
    <n v="3819.01053311025"/>
    <n v="0"/>
    <n v="0"/>
    <n v="0"/>
    <n v="1.8828289927796"/>
    <n v="0.50583388056321799"/>
  </r>
  <r>
    <x v="1"/>
    <x v="3"/>
    <n v="2030"/>
    <s v="Bornholm"/>
    <x v="5"/>
    <x v="0"/>
    <x v="0"/>
    <x v="0"/>
    <n v="0"/>
    <n v="0"/>
    <s v="C1.0_E0.0"/>
    <n v="13.9407926007377"/>
    <n v="0"/>
    <n v="0"/>
    <n v="0"/>
    <n v="0"/>
    <n v="0"/>
    <n v="0"/>
    <n v="0"/>
    <n v="0"/>
    <n v="76.645161290313496"/>
    <n v="0"/>
    <n v="0"/>
    <n v="0"/>
    <n v="0"/>
    <n v="0"/>
    <n v="0"/>
    <n v="0.697261327842291"/>
  </r>
  <r>
    <x v="1"/>
    <x v="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5"/>
    <x v="0"/>
    <x v="0"/>
    <x v="0"/>
    <n v="0"/>
    <n v="0"/>
    <s v="C1.0_E0.0"/>
    <n v="109.132546131745"/>
    <n v="0"/>
    <n v="0"/>
    <n v="0"/>
    <n v="0"/>
    <n v="0"/>
    <n v="0"/>
    <n v="0"/>
    <n v="0"/>
    <n v="435.27517642437698"/>
    <n v="0"/>
    <n v="0"/>
    <n v="0"/>
    <n v="0"/>
    <n v="0"/>
    <n v="0"/>
    <n v="0.50583388056321799"/>
  </r>
  <r>
    <x v="1"/>
    <x v="6"/>
    <n v="2030"/>
    <s v="Bornholm"/>
    <x v="5"/>
    <x v="0"/>
    <x v="0"/>
    <x v="0"/>
    <n v="0"/>
    <n v="0"/>
    <s v="C1.0_E0.0"/>
    <n v="149.201648693154"/>
    <n v="0"/>
    <n v="0"/>
    <n v="0"/>
    <n v="0"/>
    <n v="0"/>
    <n v="0"/>
    <n v="0"/>
    <n v="0"/>
    <n v="595.09079793044498"/>
    <n v="0"/>
    <n v="0"/>
    <n v="0"/>
    <n v="0"/>
    <n v="0"/>
    <n v="0"/>
    <n v="0.50583388056321799"/>
  </r>
  <r>
    <x v="1"/>
    <x v="7"/>
    <n v="2030"/>
    <s v="Bornholm"/>
    <x v="5"/>
    <x v="0"/>
    <x v="0"/>
    <x v="0"/>
    <n v="0"/>
    <n v="0"/>
    <s v="C1.0_E0.0"/>
    <n v="1042.0917775769201"/>
    <n v="0"/>
    <n v="0"/>
    <n v="0"/>
    <n v="0"/>
    <n v="0"/>
    <n v="0"/>
    <n v="0"/>
    <n v="0"/>
    <n v="25.5596777988101"/>
    <n v="0"/>
    <n v="24.026097130881499"/>
    <n v="0"/>
    <n v="0"/>
    <n v="0"/>
    <n v="0"/>
    <n v="3.1106253576053799E-3"/>
  </r>
  <r>
    <x v="1"/>
    <x v="8"/>
    <n v="2030"/>
    <s v="Bornholm"/>
    <x v="5"/>
    <x v="0"/>
    <x v="0"/>
    <x v="0"/>
    <n v="0"/>
    <n v="0"/>
    <s v="C1.0_E0.0"/>
    <n v="1056.0325701776601"/>
    <n v="0"/>
    <n v="0"/>
    <n v="0"/>
    <n v="0"/>
    <n v="0"/>
    <n v="0"/>
    <n v="0"/>
    <n v="0"/>
    <n v="25.517880592938099"/>
    <n v="0"/>
    <n v="0"/>
    <n v="0"/>
    <n v="0"/>
    <n v="0"/>
    <n v="0"/>
    <n v="3.0645420882037902E-3"/>
  </r>
  <r>
    <x v="1"/>
    <x v="9"/>
    <n v="2030"/>
    <s v="Bornholm"/>
    <x v="5"/>
    <x v="0"/>
    <x v="0"/>
    <x v="0"/>
    <n v="0"/>
    <n v="0"/>
    <s v="C1.0_E0.0"/>
    <n v="464.413398576823"/>
    <n v="116.103349644205"/>
    <n v="9.4906196420547797"/>
    <n v="3.4831004893261701"/>
    <n v="0"/>
    <n v="0"/>
    <n v="0"/>
    <n v="0"/>
    <n v="12.973720131380899"/>
    <n v="2006.7829354744099"/>
    <n v="0"/>
    <n v="0"/>
    <n v="0"/>
    <n v="0"/>
    <n v="0"/>
    <n v="6.4649344490832596E-3"/>
    <n v="0.54801691157538002"/>
  </r>
  <r>
    <x v="1"/>
    <x v="10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5"/>
    <x v="0"/>
    <x v="0"/>
    <x v="0"/>
    <n v="0"/>
    <n v="0"/>
    <s v="C1.0_E0.0"/>
    <n v="1067.8086867622601"/>
    <n v="2452.34639802324"/>
    <n v="217.835636312926"/>
    <n v="40.145023448562398"/>
    <n v="11.4725430160748"/>
    <n v="0"/>
    <n v="0"/>
    <n v="0"/>
    <n v="269.45320277756298"/>
    <n v="4074.7322144955301"/>
    <n v="0"/>
    <n v="0"/>
    <n v="0"/>
    <n v="0"/>
    <n v="0"/>
    <n v="6.6127830883954894E-2"/>
    <n v="0.48395382371590301"/>
  </r>
  <r>
    <x v="1"/>
    <x v="12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5"/>
    <x v="0"/>
    <x v="0"/>
    <x v="0"/>
    <n v="0"/>
    <n v="0"/>
    <s v="C1.0_E0.0"/>
    <n v="969.95599274144695"/>
    <n v="0"/>
    <n v="0"/>
    <n v="0"/>
    <n v="0"/>
    <n v="0"/>
    <n v="0"/>
    <n v="0"/>
    <n v="0"/>
    <n v="37.925860320619996"/>
    <n v="0"/>
    <n v="0"/>
    <n v="0"/>
    <n v="0"/>
    <n v="0"/>
    <n v="0"/>
    <n v="4.9588584655441501E-3"/>
  </r>
  <r>
    <x v="1"/>
    <x v="16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0"/>
    <n v="2030"/>
    <s v="Bornholm"/>
    <x v="6"/>
    <x v="0"/>
    <x v="0"/>
    <x v="0"/>
    <n v="0"/>
    <n v="0"/>
    <s v="C1.0_E0.0"/>
    <n v="96.1614179459539"/>
    <n v="640.64275218281603"/>
    <n v="56.694048865735901"/>
    <n v="25.625710087312601"/>
    <n v="0"/>
    <n v="0"/>
    <n v="0"/>
    <n v="0"/>
    <n v="82.319758953048606"/>
    <n v="425.80645161289601"/>
    <n v="0"/>
    <n v="191.61290322578199"/>
    <n v="1.22930679643823"/>
    <n v="66.091763249367602"/>
    <n v="237.93034769772299"/>
    <n v="0.193326706632162"/>
    <n v="0.56157747668189895"/>
  </r>
  <r>
    <x v="0"/>
    <x v="1"/>
    <n v="2030"/>
    <s v="Bornholm"/>
    <x v="6"/>
    <x v="0"/>
    <x v="0"/>
    <x v="0"/>
    <n v="0"/>
    <n v="0"/>
    <s v="C1.0_E0.0"/>
    <n v="218.45764285069899"/>
    <n v="26.431880534657498"/>
    <n v="3.0880245746672799"/>
    <n v="0.792956416039727"/>
    <n v="0"/>
    <n v="0"/>
    <n v="0"/>
    <n v="5.6060309179808698E-2"/>
    <n v="3.9370412998868201"/>
    <n v="862.46629507406203"/>
    <n v="0"/>
    <n v="2.15616573768513"/>
    <n v="0"/>
    <n v="0"/>
    <n v="0"/>
    <n v="4.5648639516385299E-3"/>
    <n v="0.50069492677550298"/>
  </r>
  <r>
    <x v="0"/>
    <x v="2"/>
    <n v="2030"/>
    <s v="Bornholm"/>
    <x v="6"/>
    <x v="0"/>
    <x v="0"/>
    <x v="0"/>
    <n v="0"/>
    <n v="0"/>
    <s v="C1.0_E0.0"/>
    <n v="19.418457142284399"/>
    <n v="773.631332548611"/>
    <n v="68.462949783062896"/>
    <n v="77.363133254861097"/>
    <n v="0"/>
    <n v="0"/>
    <n v="0"/>
    <n v="0"/>
    <n v="145.82608303792401"/>
    <n v="76.663670673245903"/>
    <n v="0"/>
    <n v="3817.8507995279501"/>
    <n v="0"/>
    <n v="0"/>
    <n v="0"/>
    <n v="1.90215367666727"/>
    <n v="0.50069492677550298"/>
  </r>
  <r>
    <x v="0"/>
    <x v="3"/>
    <n v="2030"/>
    <s v="Bornholm"/>
    <x v="6"/>
    <x v="0"/>
    <x v="0"/>
    <x v="0"/>
    <n v="0"/>
    <n v="0"/>
    <s v="C1.0_E0.0"/>
    <n v="17.309055230271699"/>
    <n v="0"/>
    <n v="0"/>
    <n v="0"/>
    <n v="0"/>
    <n v="0"/>
    <n v="0"/>
    <n v="0"/>
    <n v="0"/>
    <n v="76.645161290317105"/>
    <n v="0"/>
    <n v="0"/>
    <n v="0"/>
    <n v="0"/>
    <n v="0"/>
    <n v="0"/>
    <n v="0.56157747668189895"/>
  </r>
  <r>
    <x v="0"/>
    <x v="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6"/>
    <x v="0"/>
    <x v="0"/>
    <x v="0"/>
    <n v="0"/>
    <n v="0"/>
    <s v="C1.0_E0.0"/>
    <n v="110.21916273960601"/>
    <n v="0"/>
    <n v="0"/>
    <n v="0"/>
    <n v="0"/>
    <n v="0"/>
    <n v="0"/>
    <n v="0"/>
    <n v="0"/>
    <n v="435.14299474136499"/>
    <n v="0"/>
    <n v="0"/>
    <n v="0"/>
    <n v="0"/>
    <n v="0"/>
    <n v="0"/>
    <n v="0.50069492677550298"/>
  </r>
  <r>
    <x v="0"/>
    <x v="6"/>
    <n v="2030"/>
    <s v="Bornholm"/>
    <x v="6"/>
    <x v="0"/>
    <x v="0"/>
    <x v="0"/>
    <n v="0"/>
    <n v="0"/>
    <s v="C1.0_E0.0"/>
    <n v="150.687227424127"/>
    <n v="0"/>
    <n v="0"/>
    <n v="0"/>
    <n v="0"/>
    <n v="0"/>
    <n v="0"/>
    <n v="0"/>
    <n v="0"/>
    <n v="594.910084424405"/>
    <n v="0"/>
    <n v="0"/>
    <n v="0"/>
    <n v="0"/>
    <n v="0"/>
    <n v="0"/>
    <n v="0.50069492677550298"/>
  </r>
  <r>
    <x v="0"/>
    <x v="7"/>
    <n v="2030"/>
    <s v="Bornholm"/>
    <x v="6"/>
    <x v="0"/>
    <x v="0"/>
    <x v="0"/>
    <n v="0"/>
    <n v="0"/>
    <s v="C1.0_E0.0"/>
    <n v="263.41860458677297"/>
    <n v="0"/>
    <n v="0"/>
    <n v="0"/>
    <n v="0"/>
    <n v="0"/>
    <n v="0"/>
    <n v="0"/>
    <n v="0"/>
    <n v="24.480931053507099"/>
    <n v="0"/>
    <n v="23.0120751902965"/>
    <n v="0"/>
    <n v="0"/>
    <n v="0"/>
    <n v="0"/>
    <n v="1.17863623430523E-2"/>
  </r>
  <r>
    <x v="0"/>
    <x v="8"/>
    <n v="2030"/>
    <s v="Bornholm"/>
    <x v="6"/>
    <x v="0"/>
    <x v="0"/>
    <x v="0"/>
    <n v="0"/>
    <n v="0"/>
    <s v="C1.0_E0.0"/>
    <n v="265.528006498786"/>
    <n v="0"/>
    <n v="0"/>
    <n v="0"/>
    <n v="0"/>
    <n v="0"/>
    <n v="0"/>
    <n v="0"/>
    <n v="0"/>
    <n v="24.462421670575601"/>
    <n v="0"/>
    <n v="0"/>
    <n v="0"/>
    <n v="0"/>
    <n v="0"/>
    <n v="0"/>
    <n v="1.16838888126456E-2"/>
  </r>
  <r>
    <x v="0"/>
    <x v="9"/>
    <n v="2030"/>
    <s v="Bornholm"/>
    <x v="6"/>
    <x v="0"/>
    <x v="0"/>
    <x v="0"/>
    <n v="0"/>
    <n v="0"/>
    <s v="C1.0_E0.0"/>
    <n v="205.659810348126"/>
    <n v="51.4149525870316"/>
    <n v="4.2028051767079102"/>
    <n v="1.54244857761094"/>
    <n v="0"/>
    <n v="0"/>
    <n v="0"/>
    <n v="0"/>
    <n v="5.7452537543188598"/>
    <n v="908.33089906866996"/>
    <n v="0"/>
    <n v="0"/>
    <n v="0"/>
    <n v="0"/>
    <n v="0"/>
    <n v="6.3250669554559703E-3"/>
    <n v="0.56013532113960895"/>
  </r>
  <r>
    <x v="0"/>
    <x v="10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6"/>
    <x v="0"/>
    <x v="0"/>
    <x v="0"/>
    <n v="0"/>
    <n v="0"/>
    <s v="C1.0_E0.0"/>
    <n v="1110.20583762563"/>
    <n v="2549.7163684076099"/>
    <n v="226.48476087116501"/>
    <n v="41.738974346941802"/>
    <n v="11.532872882304099"/>
    <n v="0"/>
    <n v="0"/>
    <n v="0"/>
    <n v="279.75660810041097"/>
    <n v="4096.1597261705201"/>
    <n v="0"/>
    <n v="0"/>
    <n v="0"/>
    <n v="0"/>
    <n v="0"/>
    <n v="6.82972898525014E-2"/>
    <n v="0.46792007609383501"/>
  </r>
  <r>
    <x v="0"/>
    <x v="12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6"/>
    <x v="0"/>
    <x v="0"/>
    <x v="0"/>
    <n v="0"/>
    <n v="0"/>
    <s v="C1.0_E0.0"/>
    <n v="1011.4229076686599"/>
    <n v="0"/>
    <n v="0"/>
    <n v="0"/>
    <n v="0"/>
    <n v="0"/>
    <n v="0"/>
    <n v="0"/>
    <n v="0"/>
    <n v="59.664578443712401"/>
    <n v="0"/>
    <n v="0"/>
    <n v="0"/>
    <n v="0"/>
    <n v="0"/>
    <n v="0"/>
    <n v="7.4813865250728598E-3"/>
  </r>
  <r>
    <x v="0"/>
    <x v="16"/>
    <n v="2030"/>
    <s v="Bornholm"/>
    <x v="6"/>
    <x v="0"/>
    <x v="0"/>
    <x v="0"/>
    <n v="0"/>
    <n v="0"/>
    <s v="C1.0_E0.0"/>
    <n v="92.686255783995307"/>
    <n v="0"/>
    <n v="0"/>
    <n v="0"/>
    <n v="3.4972749827831502E-2"/>
    <n v="0"/>
    <n v="0"/>
    <n v="0"/>
    <n v="3.4972749827831502E-2"/>
    <n v="18.6320404490898"/>
    <n v="0"/>
    <n v="0.93160202245448898"/>
    <n v="0"/>
    <n v="0"/>
    <n v="0"/>
    <n v="1.8770219999999999E-3"/>
    <n v="2.54943170376766E-2"/>
  </r>
  <r>
    <x v="0"/>
    <x v="17"/>
    <n v="2030"/>
    <s v="Bornholm"/>
    <x v="6"/>
    <x v="0"/>
    <x v="0"/>
    <x v="0"/>
    <n v="0"/>
    <n v="0"/>
    <s v="C1.0_E0.0"/>
    <n v="277.037840184532"/>
    <n v="0"/>
    <n v="0"/>
    <n v="0"/>
    <n v="0"/>
    <n v="0"/>
    <n v="0"/>
    <n v="0"/>
    <n v="0"/>
    <n v="18.6320404490897"/>
    <n v="0"/>
    <n v="0.93160202245450097"/>
    <n v="0"/>
    <n v="0"/>
    <n v="0"/>
    <n v="0"/>
    <n v="8.5294225092805206E-3"/>
  </r>
  <r>
    <x v="0"/>
    <x v="18"/>
    <n v="2030"/>
    <s v="Bornholm"/>
    <x v="6"/>
    <x v="0"/>
    <x v="0"/>
    <x v="0"/>
    <n v="0"/>
    <n v="0"/>
    <s v="C1.0_E0.0"/>
    <n v="277.037840184532"/>
    <n v="49.866811233215699"/>
    <n v="5.0790448710701197"/>
    <n v="0.74800216849823598"/>
    <n v="0"/>
    <n v="0"/>
    <n v="0"/>
    <n v="0"/>
    <n v="5.8270470395683596"/>
    <n v="1041.4386421905399"/>
    <n v="0"/>
    <n v="0"/>
    <n v="0"/>
    <n v="0"/>
    <n v="0"/>
    <n v="5.5951899646356799E-3"/>
    <n v="0.476752410505213"/>
  </r>
  <r>
    <x v="0"/>
    <x v="0"/>
    <n v="2030"/>
    <s v="Bornholm"/>
    <x v="1"/>
    <x v="0"/>
    <x v="0"/>
    <x v="0"/>
    <n v="0"/>
    <n v="0"/>
    <s v="C1.0_E0.0"/>
    <n v="83.628262974111394"/>
    <n v="557.144868455606"/>
    <n v="49.304855615540298"/>
    <n v="22.285794738224201"/>
    <n v="0"/>
    <n v="0"/>
    <n v="0"/>
    <n v="0"/>
    <n v="71.590650353764502"/>
    <n v="425.80645161289601"/>
    <n v="0"/>
    <n v="191.612903225818"/>
    <n v="1.06833410660344"/>
    <n v="57.437317559325102"/>
    <n v="206.77434321357001"/>
    <n v="0.16812955764899501"/>
    <n v="0.645739664124927"/>
  </r>
  <r>
    <x v="0"/>
    <x v="1"/>
    <n v="2030"/>
    <s v="Bornholm"/>
    <x v="1"/>
    <x v="0"/>
    <x v="0"/>
    <x v="0"/>
    <n v="0"/>
    <n v="0"/>
    <s v="C1.0_E0.0"/>
    <n v="193.27424532323101"/>
    <n v="23.384861688272899"/>
    <n v="2.73204274943269"/>
    <n v="0.70154585064818797"/>
    <n v="0"/>
    <n v="0"/>
    <n v="0"/>
    <n v="5.6059618467151399E-2"/>
    <n v="3.4896482185480302"/>
    <n v="862.45566872531901"/>
    <n v="0"/>
    <n v="2.15613917181342"/>
    <n v="0"/>
    <n v="0"/>
    <n v="0"/>
    <n v="4.0461769167864699E-3"/>
    <n v="0.56592788988242904"/>
  </r>
  <r>
    <x v="0"/>
    <x v="2"/>
    <n v="2030"/>
    <s v="Bornholm"/>
    <x v="1"/>
    <x v="0"/>
    <x v="0"/>
    <x v="0"/>
    <n v="0"/>
    <n v="0"/>
    <s v="C1.0_E0.0"/>
    <n v="17.179932917620501"/>
    <n v="684.44852743800197"/>
    <n v="60.570666144955901"/>
    <n v="68.444852743800197"/>
    <n v="0"/>
    <n v="0"/>
    <n v="0"/>
    <n v="0"/>
    <n v="129.01551888875599"/>
    <n v="76.662726108918804"/>
    <n v="0"/>
    <n v="3817.8037602238101"/>
    <n v="0"/>
    <n v="0"/>
    <n v="0"/>
    <n v="1.68289761448682"/>
    <n v="0.56592788988242904"/>
  </r>
  <r>
    <x v="0"/>
    <x v="3"/>
    <n v="2030"/>
    <s v="Bornholm"/>
    <x v="1"/>
    <x v="0"/>
    <x v="0"/>
    <x v="0"/>
    <n v="0"/>
    <n v="0"/>
    <s v="C1.0_E0.0"/>
    <n v="15.053087335340001"/>
    <n v="0"/>
    <n v="0"/>
    <n v="0"/>
    <n v="0"/>
    <n v="0"/>
    <n v="0"/>
    <n v="0"/>
    <n v="0"/>
    <n v="76.645161290325802"/>
    <n v="0"/>
    <n v="0"/>
    <n v="0"/>
    <n v="0"/>
    <n v="0"/>
    <n v="0"/>
    <n v="0.645739664124927"/>
  </r>
  <r>
    <x v="0"/>
    <x v="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1"/>
    <x v="0"/>
    <x v="0"/>
    <x v="0"/>
    <n v="0"/>
    <n v="0"/>
    <s v="C1.0_E0.0"/>
    <n v="97.513299240414099"/>
    <n v="0"/>
    <n v="0"/>
    <n v="0"/>
    <n v="0"/>
    <n v="0"/>
    <n v="0"/>
    <n v="0"/>
    <n v="0"/>
    <n v="435.137633394224"/>
    <n v="0"/>
    <n v="0"/>
    <n v="0"/>
    <n v="0"/>
    <n v="0"/>
    <n v="0"/>
    <n v="0.56592788988242904"/>
  </r>
  <r>
    <x v="0"/>
    <x v="6"/>
    <n v="2030"/>
    <s v="Bornholm"/>
    <x v="1"/>
    <x v="0"/>
    <x v="0"/>
    <x v="0"/>
    <n v="0"/>
    <n v="0"/>
    <s v="C1.0_E0.0"/>
    <n v="133.316279440735"/>
    <n v="0"/>
    <n v="0"/>
    <n v="0"/>
    <n v="0"/>
    <n v="0"/>
    <n v="0"/>
    <n v="0"/>
    <n v="0"/>
    <n v="594.90275460524595"/>
    <n v="0"/>
    <n v="0"/>
    <n v="0"/>
    <n v="0"/>
    <n v="0"/>
    <n v="0"/>
    <n v="0.56592788988242904"/>
  </r>
  <r>
    <x v="0"/>
    <x v="7"/>
    <n v="2030"/>
    <s v="Bornholm"/>
    <x v="1"/>
    <x v="0"/>
    <x v="0"/>
    <x v="0"/>
    <n v="0"/>
    <n v="0"/>
    <s v="C1.0_E0.0"/>
    <n v="928.43188572175802"/>
    <n v="0"/>
    <n v="0"/>
    <n v="0"/>
    <n v="0"/>
    <n v="0"/>
    <n v="0"/>
    <n v="0"/>
    <n v="0"/>
    <n v="20.251947185834201"/>
    <n v="0"/>
    <n v="19.0368303546846"/>
    <n v="0"/>
    <n v="0"/>
    <n v="0"/>
    <n v="0"/>
    <n v="2.7664004156639698E-3"/>
  </r>
  <r>
    <x v="0"/>
    <x v="8"/>
    <n v="2030"/>
    <s v="Bornholm"/>
    <x v="1"/>
    <x v="0"/>
    <x v="0"/>
    <x v="0"/>
    <n v="0"/>
    <n v="0"/>
    <s v="C1.0_E0.0"/>
    <n v="943.48497305709805"/>
    <n v="0"/>
    <n v="0"/>
    <n v="0"/>
    <n v="0"/>
    <n v="0"/>
    <n v="0"/>
    <n v="0"/>
    <n v="0"/>
    <n v="20.234382367243601"/>
    <n v="0"/>
    <n v="0"/>
    <n v="0"/>
    <n v="0"/>
    <n v="0"/>
    <n v="0"/>
    <n v="2.7199020688547602E-3"/>
  </r>
  <r>
    <x v="0"/>
    <x v="9"/>
    <n v="2030"/>
    <s v="Bornholm"/>
    <x v="1"/>
    <x v="0"/>
    <x v="0"/>
    <x v="0"/>
    <n v="0"/>
    <n v="0"/>
    <s v="C1.0_E0.0"/>
    <n v="195.16465100984399"/>
    <n v="48.791162752461098"/>
    <n v="3.98832909641472"/>
    <n v="1.4637348825738301"/>
    <n v="0"/>
    <n v="0"/>
    <n v="0"/>
    <n v="0"/>
    <n v="5.4520639789885603"/>
    <n v="851.84327340789696"/>
    <n v="0"/>
    <n v="0"/>
    <n v="0"/>
    <n v="0"/>
    <n v="0"/>
    <n v="6.4003134721918303E-3"/>
    <n v="0.55354998246838405"/>
  </r>
  <r>
    <x v="0"/>
    <x v="10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1"/>
    <x v="0"/>
    <x v="0"/>
    <x v="0"/>
    <n v="0"/>
    <n v="0"/>
    <s v="C1.0_E0.0"/>
    <n v="958.27230622821298"/>
    <n v="2200.78340590179"/>
    <n v="195.48994138755501"/>
    <n v="36.026925684867003"/>
    <n v="11.4257284836634"/>
    <n v="0"/>
    <n v="0"/>
    <n v="0"/>
    <n v="242.94259555608599"/>
    <n v="4058.10497822767"/>
    <n v="0"/>
    <n v="0"/>
    <n v="0"/>
    <n v="0"/>
    <n v="0"/>
    <n v="5.9866020435525497E-2"/>
    <n v="0.53707216233352595"/>
  </r>
  <r>
    <x v="0"/>
    <x v="12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1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1"/>
    <x v="0"/>
    <x v="0"/>
    <x v="0"/>
    <n v="0"/>
    <n v="0"/>
    <s v="C1.0_E0.0"/>
    <n v="537.36635117569904"/>
    <n v="0"/>
    <n v="0"/>
    <n v="0"/>
    <n v="0"/>
    <n v="0"/>
    <n v="0"/>
    <n v="0"/>
    <n v="0"/>
    <n v="26.5669188975303"/>
    <n v="0"/>
    <n v="0"/>
    <n v="0"/>
    <n v="0"/>
    <n v="0"/>
    <n v="0"/>
    <n v="6.2700214130775598E-3"/>
  </r>
  <r>
    <x v="0"/>
    <x v="16"/>
    <n v="2030"/>
    <s v="Bornholm"/>
    <x v="1"/>
    <x v="0"/>
    <x v="0"/>
    <x v="0"/>
    <n v="0"/>
    <n v="0"/>
    <s v="C1.0_E0.0"/>
    <n v="99.913788041078305"/>
    <n v="0"/>
    <n v="0"/>
    <n v="0"/>
    <n v="1.74267669145176E-2"/>
    <n v="0"/>
    <n v="0"/>
    <n v="0"/>
    <n v="1.74267669145176E-2"/>
    <n v="9.2842635379434402"/>
    <n v="0"/>
    <n v="0.46421317689717101"/>
    <n v="0"/>
    <n v="0"/>
    <n v="0"/>
    <n v="1.8770219999999899E-3"/>
    <n v="1.17847490043065E-2"/>
  </r>
  <r>
    <x v="0"/>
    <x v="17"/>
    <n v="2030"/>
    <s v="Bornholm"/>
    <x v="1"/>
    <x v="0"/>
    <x v="0"/>
    <x v="0"/>
    <n v="0"/>
    <n v="0"/>
    <s v="C1.0_E0.0"/>
    <n v="113.89749548898099"/>
    <n v="0"/>
    <n v="0"/>
    <n v="0"/>
    <n v="0"/>
    <n v="0"/>
    <n v="0"/>
    <n v="0"/>
    <n v="0"/>
    <n v="9.2842635379434295"/>
    <n v="0"/>
    <n v="0.46421317689717101"/>
    <n v="0"/>
    <n v="0"/>
    <n v="0"/>
    <n v="0"/>
    <n v="1.0337882401000699E-2"/>
  </r>
  <r>
    <x v="0"/>
    <x v="18"/>
    <n v="2030"/>
    <s v="Bornholm"/>
    <x v="1"/>
    <x v="0"/>
    <x v="0"/>
    <x v="0"/>
    <n v="0"/>
    <n v="0"/>
    <s v="C1.0_E0.0"/>
    <n v="113.89749548898099"/>
    <n v="20.5015491880166"/>
    <n v="2.0881280690959598"/>
    <n v="0.30752323782024898"/>
    <n v="0"/>
    <n v="0"/>
    <n v="0"/>
    <n v="0"/>
    <n v="2.3956513069162102"/>
    <n v="455.61343973210802"/>
    <n v="0"/>
    <n v="0"/>
    <n v="0"/>
    <n v="0"/>
    <n v="0"/>
    <n v="5.2580786649419299E-3"/>
    <n v="0.50731844707084295"/>
  </r>
  <r>
    <x v="0"/>
    <x v="0"/>
    <n v="2030"/>
    <s v="Bornholm"/>
    <x v="2"/>
    <x v="0"/>
    <x v="0"/>
    <x v="0"/>
    <n v="0"/>
    <n v="0"/>
    <s v="C1.0_E0.0"/>
    <n v="93.714204554132607"/>
    <n v="624.33902501236003"/>
    <n v="55.251241151536298"/>
    <n v="24.973561000494399"/>
    <n v="0"/>
    <n v="0"/>
    <n v="0"/>
    <n v="0"/>
    <n v="80.224802152030705"/>
    <n v="425.80645161289402"/>
    <n v="0"/>
    <n v="191.612903225808"/>
    <n v="1.2268764852949201"/>
    <n v="65.961101359942404"/>
    <n v="237.45996489579201"/>
    <n v="0.18840673232674199"/>
    <n v="0.57624227512972004"/>
  </r>
  <r>
    <x v="0"/>
    <x v="1"/>
    <n v="2030"/>
    <s v="Bornholm"/>
    <x v="2"/>
    <x v="0"/>
    <x v="0"/>
    <x v="0"/>
    <n v="0"/>
    <n v="0"/>
    <s v="C1.0_E0.0"/>
    <n v="220.47583712286601"/>
    <n v="26.6760682371408"/>
    <n v="3.1165529128273799"/>
    <n v="0.80028204711422601"/>
    <n v="0"/>
    <n v="0"/>
    <n v="0"/>
    <n v="5.6062954723682203E-2"/>
    <n v="3.9728979146652899"/>
    <n v="862.50699574898499"/>
    <n v="0"/>
    <n v="2.1562674893723002"/>
    <n v="0"/>
    <n v="0"/>
    <n v="0"/>
    <n v="4.6062210906652398E-3"/>
    <n v="0.49613507177545502"/>
  </r>
  <r>
    <x v="0"/>
    <x v="2"/>
    <n v="2030"/>
    <s v="Bornholm"/>
    <x v="2"/>
    <x v="0"/>
    <x v="0"/>
    <x v="0"/>
    <n v="0"/>
    <n v="0"/>
    <s v="C1.0_E0.0"/>
    <n v="19.5978521886992"/>
    <n v="780.77843119777697"/>
    <n v="69.095436389183803"/>
    <n v="78.077843119777697"/>
    <n v="0"/>
    <n v="0"/>
    <n v="0"/>
    <n v="0"/>
    <n v="147.173279508961"/>
    <n v="76.667288511018697"/>
    <n v="0"/>
    <n v="3818.0309678487602"/>
    <n v="0"/>
    <n v="0"/>
    <n v="0"/>
    <n v="1.9196359016637099"/>
    <n v="0.49613507177545502"/>
  </r>
  <r>
    <x v="0"/>
    <x v="3"/>
    <n v="2030"/>
    <s v="Bornholm"/>
    <x v="2"/>
    <x v="0"/>
    <x v="0"/>
    <x v="0"/>
    <n v="0"/>
    <n v="0"/>
    <s v="C1.0_E0.0"/>
    <n v="16.868556819743802"/>
    <n v="0"/>
    <n v="0"/>
    <n v="0"/>
    <n v="0"/>
    <n v="0"/>
    <n v="0"/>
    <n v="0"/>
    <n v="0"/>
    <n v="76.645161290313595"/>
    <n v="0"/>
    <n v="0"/>
    <n v="0"/>
    <n v="0"/>
    <n v="0"/>
    <n v="0"/>
    <n v="0.57624227512972004"/>
  </r>
  <r>
    <x v="0"/>
    <x v="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2"/>
    <x v="0"/>
    <x v="0"/>
    <x v="0"/>
    <n v="0"/>
    <n v="0"/>
    <s v="C1.0_E0.0"/>
    <n v="111.237409023056"/>
    <n v="0"/>
    <n v="0"/>
    <n v="0"/>
    <n v="0"/>
    <n v="0"/>
    <n v="0"/>
    <n v="0"/>
    <n v="0"/>
    <n v="435.16352958852298"/>
    <n v="0"/>
    <n v="0"/>
    <n v="0"/>
    <n v="0"/>
    <n v="0"/>
    <n v="0"/>
    <n v="0.49613507177545502"/>
  </r>
  <r>
    <x v="0"/>
    <x v="6"/>
    <n v="2030"/>
    <s v="Bornholm"/>
    <x v="2"/>
    <x v="0"/>
    <x v="0"/>
    <x v="0"/>
    <n v="0"/>
    <n v="0"/>
    <s v="C1.0_E0.0"/>
    <n v="152.07933298430501"/>
    <n v="0"/>
    <n v="0"/>
    <n v="0"/>
    <n v="0"/>
    <n v="0"/>
    <n v="0"/>
    <n v="0"/>
    <n v="0"/>
    <n v="594.93815884551304"/>
    <n v="0"/>
    <n v="0"/>
    <n v="0"/>
    <n v="0"/>
    <n v="0"/>
    <n v="0"/>
    <n v="0.49613507177545502"/>
  </r>
  <r>
    <x v="0"/>
    <x v="7"/>
    <n v="2030"/>
    <s v="Bornholm"/>
    <x v="2"/>
    <x v="0"/>
    <x v="0"/>
    <x v="0"/>
    <n v="0"/>
    <n v="0"/>
    <s v="C1.0_E0.0"/>
    <n v="1044.46594565805"/>
    <n v="0"/>
    <n v="0"/>
    <n v="0"/>
    <n v="0"/>
    <n v="0"/>
    <n v="0"/>
    <n v="0"/>
    <n v="0"/>
    <n v="16.707255957153201"/>
    <n v="0"/>
    <n v="15.7048205997254"/>
    <n v="0"/>
    <n v="0"/>
    <n v="0"/>
    <n v="0"/>
    <n v="2.0286594289941101E-3"/>
  </r>
  <r>
    <x v="0"/>
    <x v="8"/>
    <n v="2030"/>
    <s v="Bornholm"/>
    <x v="2"/>
    <x v="0"/>
    <x v="0"/>
    <x v="0"/>
    <n v="0"/>
    <n v="0"/>
    <s v="C1.0_E0.0"/>
    <n v="1061.33450247779"/>
    <n v="0"/>
    <n v="0"/>
    <n v="0"/>
    <n v="0"/>
    <n v="0"/>
    <n v="0"/>
    <n v="0"/>
    <n v="0"/>
    <n v="16.685128736455098"/>
    <n v="0"/>
    <n v="0"/>
    <n v="0"/>
    <n v="0"/>
    <n v="0"/>
    <n v="0"/>
    <n v="1.9937724079087801E-3"/>
  </r>
  <r>
    <x v="0"/>
    <x v="9"/>
    <n v="2030"/>
    <s v="Bornholm"/>
    <x v="2"/>
    <x v="0"/>
    <x v="0"/>
    <x v="0"/>
    <n v="0"/>
    <n v="0"/>
    <s v="C1.0_E0.0"/>
    <n v="245.858007765178"/>
    <n v="61.4645019412945"/>
    <n v="5.0242840641615798"/>
    <n v="1.8439350582388301"/>
    <n v="0"/>
    <n v="0"/>
    <n v="0"/>
    <n v="0"/>
    <n v="6.8682191224004203"/>
    <n v="1061.7286431503001"/>
    <n v="0"/>
    <n v="0"/>
    <n v="0"/>
    <n v="0"/>
    <n v="0"/>
    <n v="6.4689025455896302E-3"/>
    <n v="0.54768075192899701"/>
  </r>
  <r>
    <x v="0"/>
    <x v="10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2"/>
    <x v="0"/>
    <x v="0"/>
    <x v="0"/>
    <n v="0"/>
    <n v="0"/>
    <s v="C1.0_E0.0"/>
    <n v="1113.7365466259801"/>
    <n v="2557.8250508025199"/>
    <n v="227.20503431645699"/>
    <n v="41.871713851093098"/>
    <n v="11.460410491901399"/>
    <n v="0"/>
    <n v="0"/>
    <n v="0"/>
    <n v="280.53715865945202"/>
    <n v="4070.4230750985098"/>
    <n v="0"/>
    <n v="0"/>
    <n v="0"/>
    <n v="0"/>
    <n v="0"/>
    <n v="6.8920884508464203E-2"/>
    <n v="0.46350602409637298"/>
  </r>
  <r>
    <x v="0"/>
    <x v="12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2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2"/>
    <x v="0"/>
    <x v="0"/>
    <x v="0"/>
    <n v="0"/>
    <n v="0"/>
    <s v="C1.0_E0.0"/>
    <n v="447.34111107398002"/>
    <n v="0"/>
    <n v="0"/>
    <n v="0"/>
    <n v="0"/>
    <n v="0"/>
    <n v="0"/>
    <n v="0"/>
    <n v="0"/>
    <n v="41.485602668865504"/>
    <n v="0"/>
    <n v="0"/>
    <n v="0"/>
    <n v="0"/>
    <n v="0"/>
    <n v="0"/>
    <n v="1.1761342408707401E-2"/>
  </r>
  <r>
    <x v="0"/>
    <x v="16"/>
    <n v="2030"/>
    <s v="Bornholm"/>
    <x v="2"/>
    <x v="0"/>
    <x v="0"/>
    <x v="0"/>
    <n v="0"/>
    <n v="0"/>
    <s v="C1.0_E0.0"/>
    <n v="103.70875108875499"/>
    <n v="0"/>
    <n v="0"/>
    <n v="0"/>
    <n v="2.68885891554961E-2"/>
    <n v="0"/>
    <n v="0"/>
    <n v="0"/>
    <n v="2.68885891554961E-2"/>
    <n v="14.325132659870899"/>
    <n v="0"/>
    <n v="0.71625663299354303"/>
    <n v="0"/>
    <n v="0"/>
    <n v="0"/>
    <n v="1.8770219999999899E-3"/>
    <n v="1.7517880140862498E-2"/>
  </r>
  <r>
    <x v="0"/>
    <x v="17"/>
    <n v="2030"/>
    <s v="Bornholm"/>
    <x v="2"/>
    <x v="0"/>
    <x v="0"/>
    <x v="0"/>
    <n v="0"/>
    <n v="0"/>
    <s v="C1.0_E0.0"/>
    <n v="171.56889698673999"/>
    <n v="0"/>
    <n v="0"/>
    <n v="0"/>
    <n v="0"/>
    <n v="0"/>
    <n v="0"/>
    <n v="0"/>
    <n v="0"/>
    <n v="14.3251326598708"/>
    <n v="0"/>
    <n v="0.71625663299354403"/>
    <n v="0"/>
    <n v="0"/>
    <n v="0"/>
    <n v="0"/>
    <n v="1.0589084053339699E-2"/>
  </r>
  <r>
    <x v="0"/>
    <x v="18"/>
    <n v="2030"/>
    <s v="Bornholm"/>
    <x v="2"/>
    <x v="0"/>
    <x v="0"/>
    <x v="0"/>
    <n v="0"/>
    <n v="0"/>
    <s v="C1.0_E0.0"/>
    <n v="171.56889698673999"/>
    <n v="30.882401457613199"/>
    <n v="3.1454408022211902"/>
    <n v="0.46323602186419799"/>
    <n v="0"/>
    <n v="0"/>
    <n v="0"/>
    <n v="0"/>
    <n v="3.6086768240853901"/>
    <n v="654.60480370480104"/>
    <n v="0"/>
    <n v="0"/>
    <n v="0"/>
    <n v="0"/>
    <n v="0"/>
    <n v="5.5127564045691704E-3"/>
    <n v="0.48388140289743897"/>
  </r>
  <r>
    <x v="0"/>
    <x v="0"/>
    <n v="2030"/>
    <s v="Bornholm"/>
    <x v="3"/>
    <x v="0"/>
    <x v="0"/>
    <x v="0"/>
    <n v="0"/>
    <n v="0"/>
    <s v="C1.0_E0.0"/>
    <n v="84.841699480269796"/>
    <n v="565.22897660947399"/>
    <n v="50.020263416767598"/>
    <n v="22.6091590643789"/>
    <n v="0"/>
    <n v="0"/>
    <n v="0"/>
    <n v="0"/>
    <n v="72.629422481146605"/>
    <n v="425.80645161289902"/>
    <n v="0"/>
    <n v="191.61290322580001"/>
    <n v="1.08030687315644"/>
    <n v="58.081014685830198"/>
    <n v="209.09165286898801"/>
    <n v="0.170569098251179"/>
    <n v="0.63650406315589603"/>
  </r>
  <r>
    <x v="0"/>
    <x v="1"/>
    <n v="2030"/>
    <s v="Bornholm"/>
    <x v="3"/>
    <x v="0"/>
    <x v="0"/>
    <x v="0"/>
    <n v="0"/>
    <n v="0"/>
    <s v="C1.0_E0.0"/>
    <n v="195.31699761637501"/>
    <n v="23.6320207433177"/>
    <n v="2.76091822936039"/>
    <n v="0.70896062229953205"/>
    <n v="0"/>
    <n v="0"/>
    <n v="0"/>
    <n v="5.6056750241931998E-2"/>
    <n v="3.52593560190186"/>
    <n v="862.41154218357099"/>
    <n v="0"/>
    <n v="2.1560288554588598"/>
    <n v="0"/>
    <n v="0"/>
    <n v="0"/>
    <n v="4.0884605892152299E-3"/>
    <n v="0.55998039543489997"/>
  </r>
  <r>
    <x v="0"/>
    <x v="2"/>
    <n v="2030"/>
    <s v="Bornholm"/>
    <x v="3"/>
    <x v="0"/>
    <x v="0"/>
    <x v="0"/>
    <n v="0"/>
    <n v="0"/>
    <s v="C1.0_E0.0"/>
    <n v="17.361510899233298"/>
    <n v="691.68259422545805"/>
    <n v="61.210849046500698"/>
    <n v="69.168259422545802"/>
    <n v="0"/>
    <n v="0"/>
    <n v="0"/>
    <n v="0"/>
    <n v="130.379108469046"/>
    <n v="76.658803749648001"/>
    <n v="0"/>
    <n v="3817.6084267328201"/>
    <n v="0"/>
    <n v="0"/>
    <n v="0"/>
    <n v="1.70077149775044"/>
    <n v="0.55998039543489997"/>
  </r>
  <r>
    <x v="0"/>
    <x v="3"/>
    <n v="2030"/>
    <s v="Bornholm"/>
    <x v="3"/>
    <x v="0"/>
    <x v="0"/>
    <x v="0"/>
    <n v="0"/>
    <n v="0"/>
    <s v="C1.0_E0.0"/>
    <n v="15.2715059064485"/>
    <n v="0"/>
    <n v="0"/>
    <n v="0"/>
    <n v="0"/>
    <n v="0"/>
    <n v="0"/>
    <n v="0"/>
    <n v="0"/>
    <n v="76.645161290311293"/>
    <n v="0"/>
    <n v="0"/>
    <n v="0"/>
    <n v="0"/>
    <n v="0"/>
    <n v="0"/>
    <n v="0.63650406315589603"/>
  </r>
  <r>
    <x v="0"/>
    <x v="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3"/>
    <x v="0"/>
    <x v="0"/>
    <x v="0"/>
    <n v="0"/>
    <n v="0"/>
    <s v="C1.0_E0.0"/>
    <n v="98.543935864048706"/>
    <n v="0"/>
    <n v="0"/>
    <n v="0"/>
    <n v="0"/>
    <n v="0"/>
    <n v="0"/>
    <n v="0"/>
    <n v="0"/>
    <n v="435.11537008300797"/>
    <n v="0"/>
    <n v="0"/>
    <n v="0"/>
    <n v="0"/>
    <n v="0"/>
    <n v="0"/>
    <n v="0.55998039543489997"/>
  </r>
  <r>
    <x v="0"/>
    <x v="6"/>
    <n v="2030"/>
    <s v="Bornholm"/>
    <x v="3"/>
    <x v="0"/>
    <x v="0"/>
    <x v="0"/>
    <n v="0"/>
    <n v="0"/>
    <s v="C1.0_E0.0"/>
    <n v="134.72532457805099"/>
    <n v="0"/>
    <n v="0"/>
    <n v="0"/>
    <n v="0"/>
    <n v="0"/>
    <n v="0"/>
    <n v="0"/>
    <n v="0"/>
    <n v="594.872317097277"/>
    <n v="0"/>
    <n v="0"/>
    <n v="0"/>
    <n v="0"/>
    <n v="0"/>
    <n v="0"/>
    <n v="0.55998039543489997"/>
  </r>
  <r>
    <x v="0"/>
    <x v="7"/>
    <n v="2030"/>
    <s v="Bornholm"/>
    <x v="3"/>
    <x v="0"/>
    <x v="0"/>
    <x v="0"/>
    <n v="0"/>
    <n v="0"/>
    <s v="C1.0_E0.0"/>
    <n v="947.57295481994595"/>
    <n v="0"/>
    <n v="0"/>
    <n v="0"/>
    <n v="0"/>
    <n v="0"/>
    <n v="0"/>
    <n v="0"/>
    <n v="0"/>
    <n v="20.275399132918601"/>
    <n v="0"/>
    <n v="19.0588751849434"/>
    <n v="0"/>
    <n v="0"/>
    <n v="0"/>
    <n v="0"/>
    <n v="2.7136576552761701E-3"/>
  </r>
  <r>
    <x v="0"/>
    <x v="8"/>
    <n v="2030"/>
    <s v="Bornholm"/>
    <x v="3"/>
    <x v="0"/>
    <x v="0"/>
    <x v="0"/>
    <n v="0"/>
    <n v="0"/>
    <s v="C1.0_E0.0"/>
    <n v="962.844460726394"/>
    <n v="0"/>
    <n v="0"/>
    <n v="0"/>
    <n v="0"/>
    <n v="0"/>
    <n v="0"/>
    <n v="0"/>
    <n v="0"/>
    <n v="20.261756673583601"/>
    <n v="0"/>
    <n v="0"/>
    <n v="0"/>
    <n v="0"/>
    <n v="0"/>
    <n v="0"/>
    <n v="2.66881986536533E-3"/>
  </r>
  <r>
    <x v="0"/>
    <x v="9"/>
    <n v="2030"/>
    <s v="Bornholm"/>
    <x v="3"/>
    <x v="0"/>
    <x v="0"/>
    <x v="0"/>
    <n v="0"/>
    <n v="0"/>
    <s v="C1.0_E0.0"/>
    <n v="151.58288150016901"/>
    <n v="37.895720375042302"/>
    <n v="3.0977044955493298"/>
    <n v="1.13687161125127"/>
    <n v="0"/>
    <n v="0"/>
    <n v="0"/>
    <n v="0"/>
    <n v="4.2345761068006"/>
    <n v="666.067955203677"/>
    <n v="0"/>
    <n v="0"/>
    <n v="0"/>
    <n v="0"/>
    <n v="0"/>
    <n v="6.35757368856712E-3"/>
    <n v="0.55727130881630205"/>
  </r>
  <r>
    <x v="0"/>
    <x v="10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3"/>
    <x v="0"/>
    <x v="0"/>
    <x v="0"/>
    <n v="0"/>
    <n v="0"/>
    <s v="C1.0_E0.0"/>
    <n v="977.78667610196896"/>
    <n v="2245.6004178467902"/>
    <n v="199.470921530716"/>
    <n v="36.760582233907897"/>
    <n v="11.468962090876399"/>
    <n v="0"/>
    <n v="0"/>
    <n v="0"/>
    <n v="247.70046585550099"/>
    <n v="4073.4603682062598"/>
    <n v="0"/>
    <n v="0"/>
    <n v="0"/>
    <n v="0"/>
    <n v="0"/>
    <n v="6.0808365238760202E-2"/>
    <n v="0.52834509828787701"/>
  </r>
  <r>
    <x v="0"/>
    <x v="12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3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3"/>
    <x v="0"/>
    <x v="0"/>
    <x v="0"/>
    <n v="0"/>
    <n v="0"/>
    <s v="C1.0_E0.0"/>
    <n v="890.71857753074903"/>
    <n v="0"/>
    <n v="0"/>
    <n v="0"/>
    <n v="0"/>
    <n v="0"/>
    <n v="0"/>
    <n v="0"/>
    <n v="0"/>
    <n v="42.216611050744497"/>
    <n v="0"/>
    <n v="0"/>
    <n v="0"/>
    <n v="0"/>
    <n v="0"/>
    <n v="0"/>
    <n v="6.0109229241488201E-3"/>
  </r>
  <r>
    <x v="0"/>
    <x v="16"/>
    <n v="2030"/>
    <s v="Bornholm"/>
    <x v="3"/>
    <x v="0"/>
    <x v="0"/>
    <x v="0"/>
    <n v="0"/>
    <n v="0"/>
    <s v="C1.0_E0.0"/>
    <n v="53.497478058152097"/>
    <n v="0"/>
    <n v="0"/>
    <n v="0"/>
    <n v="1.51573872987101E-2"/>
    <n v="0"/>
    <n v="0"/>
    <n v="0"/>
    <n v="1.51573872987101E-2"/>
    <n v="8.0752315629279199"/>
    <n v="0"/>
    <n v="0.40376157814639602"/>
    <n v="0"/>
    <n v="0"/>
    <n v="0"/>
    <n v="1.8770219999999999E-3"/>
    <n v="1.9143439845016399E-2"/>
  </r>
  <r>
    <x v="0"/>
    <x v="17"/>
    <n v="2030"/>
    <s v="Bornholm"/>
    <x v="3"/>
    <x v="0"/>
    <x v="0"/>
    <x v="0"/>
    <n v="0"/>
    <n v="0"/>
    <s v="C1.0_E0.0"/>
    <n v="72.121986174380297"/>
    <n v="0"/>
    <n v="0"/>
    <n v="0"/>
    <n v="0"/>
    <n v="0"/>
    <n v="0"/>
    <n v="0"/>
    <n v="0"/>
    <n v="8.0752315629279305"/>
    <n v="0"/>
    <n v="0.40376157814639901"/>
    <n v="0"/>
    <n v="0"/>
    <n v="0"/>
    <n v="0"/>
    <n v="1.4199910559730499E-2"/>
  </r>
  <r>
    <x v="0"/>
    <x v="18"/>
    <n v="2030"/>
    <s v="Bornholm"/>
    <x v="3"/>
    <x v="0"/>
    <x v="0"/>
    <x v="0"/>
    <n v="0"/>
    <n v="0"/>
    <s v="C1.0_E0.0"/>
    <n v="72.121986174380297"/>
    <n v="12.9819575113884"/>
    <n v="1.3222410473832"/>
    <n v="0.194729362670826"/>
    <n v="0"/>
    <n v="0"/>
    <n v="0"/>
    <n v="0"/>
    <n v="1.51697041005403"/>
    <n v="288.754681116759"/>
    <n v="0"/>
    <n v="0"/>
    <n v="0"/>
    <n v="0"/>
    <n v="0"/>
    <n v="5.2534920098512104E-3"/>
    <n v="0.50776137050797199"/>
  </r>
  <r>
    <x v="0"/>
    <x v="0"/>
    <n v="2030"/>
    <s v="Bornholm"/>
    <x v="4"/>
    <x v="0"/>
    <x v="0"/>
    <x v="0"/>
    <n v="0"/>
    <n v="0"/>
    <s v="C1.0_E0.0"/>
    <n v="88.022694697406195"/>
    <n v="586.42127570527202"/>
    <n v="51.895688115510801"/>
    <n v="23.456851028210799"/>
    <n v="0"/>
    <n v="0"/>
    <n v="0"/>
    <n v="0"/>
    <n v="75.3525391437216"/>
    <n v="425.80645161290403"/>
    <n v="0"/>
    <n v="191.612903225812"/>
    <n v="1.0966218470429701"/>
    <n v="58.958163819514503"/>
    <n v="212.24938975025199"/>
    <n v="0.176964296473891"/>
    <n v="0.61350185460571705"/>
  </r>
  <r>
    <x v="0"/>
    <x v="1"/>
    <n v="2030"/>
    <s v="Bornholm"/>
    <x v="4"/>
    <x v="0"/>
    <x v="0"/>
    <x v="0"/>
    <n v="0"/>
    <n v="0"/>
    <s v="C1.0_E0.0"/>
    <n v="195.620209708255"/>
    <n v="23.6687073324645"/>
    <n v="2.7652043068756602"/>
    <n v="0.71006121997393501"/>
    <n v="0"/>
    <n v="0"/>
    <n v="0"/>
    <n v="5.60562870067675E-2"/>
    <n v="3.53132181385637"/>
    <n v="862.40441548869399"/>
    <n v="0"/>
    <n v="2.1560110387217701"/>
    <n v="0"/>
    <n v="0"/>
    <n v="0"/>
    <n v="4.0947399508098397E-3"/>
    <n v="0.55910780329951104"/>
  </r>
  <r>
    <x v="0"/>
    <x v="2"/>
    <n v="2030"/>
    <s v="Bornholm"/>
    <x v="4"/>
    <x v="0"/>
    <x v="0"/>
    <x v="0"/>
    <n v="0"/>
    <n v="0"/>
    <s v="C1.0_E0.0"/>
    <n v="17.388463085178198"/>
    <n v="692.75636931350198"/>
    <n v="61.3058733905754"/>
    <n v="69.275636931350206"/>
    <n v="0"/>
    <n v="0"/>
    <n v="0"/>
    <n v="0"/>
    <n v="130.58151032192501"/>
    <n v="76.658170265660004"/>
    <n v="0"/>
    <n v="3817.57687922993"/>
    <n v="0"/>
    <n v="0"/>
    <n v="0"/>
    <n v="1.7034258692764599"/>
    <n v="0.55910780329951104"/>
  </r>
  <r>
    <x v="0"/>
    <x v="3"/>
    <n v="2030"/>
    <s v="Bornholm"/>
    <x v="4"/>
    <x v="0"/>
    <x v="0"/>
    <x v="0"/>
    <n v="0"/>
    <n v="0"/>
    <s v="C1.0_E0.0"/>
    <n v="15.844085045533101"/>
    <n v="0"/>
    <n v="0"/>
    <n v="0"/>
    <n v="0"/>
    <n v="0"/>
    <n v="0"/>
    <n v="0"/>
    <n v="0"/>
    <n v="76.645161290323998"/>
    <n v="0"/>
    <n v="0"/>
    <n v="0"/>
    <n v="0"/>
    <n v="0"/>
    <n v="0"/>
    <n v="0.61350185460571705"/>
  </r>
  <r>
    <x v="0"/>
    <x v="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4"/>
    <x v="0"/>
    <x v="0"/>
    <x v="0"/>
    <n v="0"/>
    <n v="0"/>
    <s v="C1.0_E0.0"/>
    <n v="98.696916471471795"/>
    <n v="0"/>
    <n v="0"/>
    <n v="0"/>
    <n v="0"/>
    <n v="0"/>
    <n v="0"/>
    <n v="0"/>
    <n v="0"/>
    <n v="435.11177442791899"/>
    <n v="0"/>
    <n v="0"/>
    <n v="0"/>
    <n v="0"/>
    <n v="0"/>
    <n v="0"/>
    <n v="0.55910780329951104"/>
  </r>
  <r>
    <x v="0"/>
    <x v="6"/>
    <n v="2030"/>
    <s v="Bornholm"/>
    <x v="4"/>
    <x v="0"/>
    <x v="0"/>
    <x v="0"/>
    <n v="0"/>
    <n v="0"/>
    <s v="C1.0_E0.0"/>
    <n v="134.93447354098299"/>
    <n v="0"/>
    <n v="0"/>
    <n v="0"/>
    <n v="0"/>
    <n v="0"/>
    <n v="0"/>
    <n v="0"/>
    <n v="0"/>
    <n v="594.86740126153802"/>
    <n v="0"/>
    <n v="0"/>
    <n v="0"/>
    <n v="0"/>
    <n v="0"/>
    <n v="0"/>
    <n v="0.55910780329951104"/>
  </r>
  <r>
    <x v="0"/>
    <x v="7"/>
    <n v="2030"/>
    <s v="Bornholm"/>
    <x v="4"/>
    <x v="0"/>
    <x v="0"/>
    <x v="0"/>
    <n v="0"/>
    <n v="0"/>
    <s v="C1.0_E0.0"/>
    <n v="445.55167788966298"/>
    <n v="0"/>
    <n v="0"/>
    <n v="0"/>
    <n v="0"/>
    <n v="0"/>
    <n v="0"/>
    <n v="0"/>
    <n v="0"/>
    <n v="18.225236800587599"/>
    <n v="0"/>
    <n v="17.131722592552201"/>
    <n v="0"/>
    <n v="0"/>
    <n v="0"/>
    <n v="0"/>
    <n v="5.1876826242675802E-3"/>
  </r>
  <r>
    <x v="0"/>
    <x v="8"/>
    <n v="2030"/>
    <s v="Bornholm"/>
    <x v="4"/>
    <x v="0"/>
    <x v="0"/>
    <x v="0"/>
    <n v="0"/>
    <n v="0"/>
    <s v="C1.0_E0.0"/>
    <n v="451.89245789569799"/>
    <n v="0"/>
    <n v="0"/>
    <n v="0"/>
    <n v="0"/>
    <n v="0"/>
    <n v="0"/>
    <n v="0"/>
    <n v="0"/>
    <n v="18.2122278252467"/>
    <n v="0"/>
    <n v="0"/>
    <n v="0"/>
    <n v="0"/>
    <n v="0"/>
    <n v="0"/>
    <n v="5.1112401167597004E-3"/>
  </r>
  <r>
    <x v="0"/>
    <x v="9"/>
    <n v="2030"/>
    <s v="Bornholm"/>
    <x v="4"/>
    <x v="0"/>
    <x v="0"/>
    <x v="0"/>
    <n v="0"/>
    <n v="0"/>
    <s v="C1.0_E0.0"/>
    <n v="144.54417045528501"/>
    <n v="36.136042613821303"/>
    <n v="2.9538634059036899"/>
    <n v="1.0840812784146301"/>
    <n v="0"/>
    <n v="0"/>
    <n v="0"/>
    <n v="0"/>
    <n v="4.0379446843183304"/>
    <n v="578.46201210685501"/>
    <n v="0"/>
    <n v="0"/>
    <n v="0"/>
    <n v="0"/>
    <n v="0"/>
    <n v="6.9804837652371696E-3"/>
    <n v="0.50754267604883097"/>
  </r>
  <r>
    <x v="0"/>
    <x v="10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4"/>
    <x v="0"/>
    <x v="0"/>
    <x v="0"/>
    <n v="0"/>
    <n v="0"/>
    <s v="C1.0_E0.0"/>
    <n v="981.01122236987601"/>
    <n v="2253.0059620452898"/>
    <n v="200.128737014705"/>
    <n v="36.881811333409402"/>
    <n v="11.417447246542601"/>
    <n v="0"/>
    <n v="0"/>
    <n v="0"/>
    <n v="248.42799559465701"/>
    <n v="4055.16371022564"/>
    <n v="0"/>
    <n v="0"/>
    <n v="0"/>
    <n v="0"/>
    <n v="0"/>
    <n v="6.1262137202553101E-2"/>
    <n v="0.52424309448318496"/>
  </r>
  <r>
    <x v="0"/>
    <x v="12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4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4"/>
    <x v="0"/>
    <x v="0"/>
    <x v="0"/>
    <n v="0"/>
    <n v="0"/>
    <s v="C1.0_E0.0"/>
    <n v="343.94361017327998"/>
    <n v="0"/>
    <n v="0"/>
    <n v="0"/>
    <n v="0"/>
    <n v="0"/>
    <n v="0"/>
    <n v="0"/>
    <n v="0"/>
    <n v="25.0487537431632"/>
    <n v="0"/>
    <n v="0"/>
    <n v="0"/>
    <n v="0"/>
    <n v="0"/>
    <n v="0"/>
    <n v="9.2362819108020994E-3"/>
  </r>
  <r>
    <x v="0"/>
    <x v="16"/>
    <n v="2030"/>
    <s v="Bornholm"/>
    <x v="4"/>
    <x v="0"/>
    <x v="0"/>
    <x v="0"/>
    <n v="0"/>
    <n v="0"/>
    <s v="C1.0_E0.0"/>
    <n v="63.051980497992702"/>
    <n v="0"/>
    <n v="0"/>
    <n v="0"/>
    <n v="3.0735116455527099E-2"/>
    <n v="0"/>
    <n v="0"/>
    <n v="0"/>
    <n v="3.0735116455527099E-2"/>
    <n v="16.374403952392299"/>
    <n v="0"/>
    <n v="0.81872019761960602"/>
    <n v="0"/>
    <n v="0"/>
    <n v="0"/>
    <n v="1.8770219999999799E-3"/>
    <n v="3.2935561349435101E-2"/>
  </r>
  <r>
    <x v="0"/>
    <x v="17"/>
    <n v="2030"/>
    <s v="Bornholm"/>
    <x v="4"/>
    <x v="0"/>
    <x v="0"/>
    <x v="0"/>
    <n v="0"/>
    <n v="0"/>
    <s v="C1.0_E0.0"/>
    <n v="237.080612144556"/>
    <n v="0"/>
    <n v="0"/>
    <n v="0"/>
    <n v="0"/>
    <n v="0"/>
    <n v="0"/>
    <n v="0"/>
    <n v="0"/>
    <n v="16.374403952392299"/>
    <n v="0"/>
    <n v="0.818720197619622"/>
    <n v="0"/>
    <n v="0"/>
    <n v="0"/>
    <n v="0"/>
    <n v="8.7592669561220894E-3"/>
  </r>
  <r>
    <x v="0"/>
    <x v="18"/>
    <n v="2030"/>
    <s v="Bornholm"/>
    <x v="4"/>
    <x v="0"/>
    <x v="0"/>
    <x v="0"/>
    <n v="0"/>
    <n v="0"/>
    <s v="C1.0_E0.0"/>
    <n v="237.080612144556"/>
    <n v="42.6745101860201"/>
    <n v="4.3464931228921904"/>
    <n v="0.64011765279030197"/>
    <n v="0"/>
    <n v="0"/>
    <n v="0"/>
    <n v="0"/>
    <n v="4.9866107756824896"/>
    <n v="877.09333714138404"/>
    <n v="0"/>
    <n v="0"/>
    <n v="0"/>
    <n v="0"/>
    <n v="0"/>
    <n v="5.6853821190055E-3"/>
    <n v="0.46918927295273999"/>
  </r>
  <r>
    <x v="0"/>
    <x v="0"/>
    <n v="2030"/>
    <s v="Bornholm"/>
    <x v="5"/>
    <x v="0"/>
    <x v="0"/>
    <x v="0"/>
    <n v="0"/>
    <n v="0"/>
    <s v="C1.0_E0.0"/>
    <n v="75.460038673426297"/>
    <n v="502.726851248554"/>
    <n v="44.489101880402998"/>
    <n v="20.109074049942102"/>
    <n v="0"/>
    <n v="0"/>
    <n v="0"/>
    <n v="0"/>
    <n v="64.598175930345107"/>
    <n v="425.806451612898"/>
    <n v="0"/>
    <n v="191.612903225813"/>
    <n v="1.1701761918042"/>
    <n v="62.912698484097199"/>
    <n v="226.48571454275"/>
    <n v="0.151707837412176"/>
    <n v="0.71563820259837196"/>
  </r>
  <r>
    <x v="0"/>
    <x v="1"/>
    <n v="2030"/>
    <s v="Bornholm"/>
    <x v="5"/>
    <x v="0"/>
    <x v="0"/>
    <x v="0"/>
    <n v="0"/>
    <n v="0"/>
    <s v="C1.0_E0.0"/>
    <n v="215.12485472608799"/>
    <n v="26.028635967850299"/>
    <n v="3.0409136954292801"/>
    <n v="0.78085907903551099"/>
    <n v="0"/>
    <n v="0"/>
    <n v="0"/>
    <n v="5.6079287536539402E-2"/>
    <n v="3.8778520620013301"/>
    <n v="862.75826979289695"/>
    <n v="0"/>
    <n v="2.15689567448227"/>
    <n v="0"/>
    <n v="0"/>
    <n v="0"/>
    <n v="4.4947144498912704E-3"/>
    <n v="0.50862399309302297"/>
  </r>
  <r>
    <x v="0"/>
    <x v="2"/>
    <n v="2030"/>
    <s v="Bornholm"/>
    <x v="5"/>
    <x v="0"/>
    <x v="0"/>
    <x v="0"/>
    <n v="0"/>
    <n v="0"/>
    <s v="C1.0_E0.0"/>
    <n v="19.1222093089856"/>
    <n v="761.82881886998803"/>
    <n v="67.418479546016599"/>
    <n v="76.1828818869988"/>
    <n v="0"/>
    <n v="0"/>
    <n v="0"/>
    <n v="0"/>
    <n v="143.601361433015"/>
    <n v="76.689623981594707"/>
    <n v="0"/>
    <n v="3819.1432742829802"/>
    <n v="0"/>
    <n v="0"/>
    <n v="0"/>
    <n v="1.8725005284610501"/>
    <n v="0.50862399309302297"/>
  </r>
  <r>
    <x v="0"/>
    <x v="3"/>
    <n v="2030"/>
    <s v="Bornholm"/>
    <x v="5"/>
    <x v="0"/>
    <x v="0"/>
    <x v="0"/>
    <n v="0"/>
    <n v="0"/>
    <s v="C1.0_E0.0"/>
    <n v="13.582806961216701"/>
    <n v="0"/>
    <n v="0"/>
    <n v="0"/>
    <n v="0"/>
    <n v="0"/>
    <n v="0"/>
    <n v="0"/>
    <n v="0"/>
    <n v="76.645161290334002"/>
    <n v="0"/>
    <n v="0"/>
    <n v="0"/>
    <n v="0"/>
    <n v="0"/>
    <n v="0"/>
    <n v="0.71563820259837196"/>
  </r>
  <r>
    <x v="0"/>
    <x v="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5"/>
    <n v="2030"/>
    <s v="Bornholm"/>
    <x v="5"/>
    <x v="0"/>
    <x v="0"/>
    <x v="0"/>
    <n v="0"/>
    <n v="0"/>
    <s v="C1.0_E0.0"/>
    <n v="108.537660037802"/>
    <n v="0"/>
    <n v="0"/>
    <n v="0"/>
    <n v="0"/>
    <n v="0"/>
    <n v="0"/>
    <n v="0"/>
    <n v="0"/>
    <n v="435.29030571953399"/>
    <n v="0"/>
    <n v="0"/>
    <n v="0"/>
    <n v="0"/>
    <n v="0"/>
    <n v="0"/>
    <n v="0.50862399309302297"/>
  </r>
  <r>
    <x v="0"/>
    <x v="6"/>
    <n v="2030"/>
    <s v="Bornholm"/>
    <x v="5"/>
    <x v="0"/>
    <x v="0"/>
    <x v="0"/>
    <n v="0"/>
    <n v="0"/>
    <s v="C1.0_E0.0"/>
    <n v="148.38834423772801"/>
    <n v="0"/>
    <n v="0"/>
    <n v="0"/>
    <n v="0"/>
    <n v="0"/>
    <n v="0"/>
    <n v="0"/>
    <n v="0"/>
    <n v="595.111482097156"/>
    <n v="0"/>
    <n v="0"/>
    <n v="0"/>
    <n v="0"/>
    <n v="0"/>
    <n v="0"/>
    <n v="0.50862399309302297"/>
  </r>
  <r>
    <x v="0"/>
    <x v="7"/>
    <n v="2030"/>
    <s v="Bornholm"/>
    <x v="5"/>
    <x v="0"/>
    <x v="0"/>
    <x v="0"/>
    <n v="0"/>
    <n v="0"/>
    <s v="C1.0_E0.0"/>
    <n v="1044.9282044679501"/>
    <n v="0"/>
    <n v="0"/>
    <n v="0"/>
    <n v="0"/>
    <n v="0"/>
    <n v="0"/>
    <n v="0"/>
    <n v="0"/>
    <n v="33.360734229757398"/>
    <n v="0"/>
    <n v="31.3590901759706"/>
    <n v="0"/>
    <n v="0"/>
    <n v="0"/>
    <n v="0"/>
    <n v="4.0489969627265096E-3"/>
  </r>
  <r>
    <x v="0"/>
    <x v="8"/>
    <n v="2030"/>
    <s v="Bornholm"/>
    <x v="5"/>
    <x v="0"/>
    <x v="0"/>
    <x v="0"/>
    <n v="0"/>
    <n v="0"/>
    <s v="C1.0_E0.0"/>
    <n v="1058.5110114291699"/>
    <n v="0"/>
    <n v="0"/>
    <n v="0"/>
    <n v="0"/>
    <n v="0"/>
    <n v="0"/>
    <n v="0"/>
    <n v="0"/>
    <n v="33.316271538494703"/>
    <n v="0"/>
    <n v="0"/>
    <n v="0"/>
    <n v="0"/>
    <n v="0"/>
    <n v="0"/>
    <n v="3.9917130620324903E-3"/>
  </r>
  <r>
    <x v="0"/>
    <x v="9"/>
    <n v="2030"/>
    <s v="Bornholm"/>
    <x v="5"/>
    <x v="0"/>
    <x v="0"/>
    <x v="0"/>
    <n v="0"/>
    <n v="0"/>
    <s v="C1.0_E0.0"/>
    <n v="494.029902908824"/>
    <n v="123.507475727206"/>
    <n v="10.0958540702681"/>
    <n v="3.7052242718161801"/>
    <n v="0"/>
    <n v="0"/>
    <n v="0"/>
    <n v="0"/>
    <n v="13.801078342084301"/>
    <n v="2186.54771923916"/>
    <n v="0"/>
    <n v="0"/>
    <n v="0"/>
    <n v="0"/>
    <n v="0"/>
    <n v="6.3118120956841403E-3"/>
    <n v="0.56131161013909603"/>
  </r>
  <r>
    <x v="0"/>
    <x v="10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1"/>
    <n v="2030"/>
    <s v="Bornholm"/>
    <x v="5"/>
    <x v="0"/>
    <x v="0"/>
    <x v="0"/>
    <n v="0"/>
    <n v="0"/>
    <s v="C1.0_E0.0"/>
    <n v="1069.6731890557"/>
    <n v="2456.62844361822"/>
    <n v="218.21599943277499"/>
    <n v="40.215120732109703"/>
    <n v="11.492575240039899"/>
    <n v="0"/>
    <n v="0"/>
    <n v="0"/>
    <n v="269.92369540492501"/>
    <n v="4081.8471103128099"/>
    <n v="0"/>
    <n v="0"/>
    <n v="0"/>
    <n v="0"/>
    <n v="0"/>
    <n v="6.6127830883954894E-2"/>
    <n v="0.48395382371590301"/>
  </r>
  <r>
    <x v="0"/>
    <x v="12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3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4"/>
    <n v="2030"/>
    <s v="Bornholm"/>
    <x v="5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0"/>
    <x v="15"/>
    <n v="2030"/>
    <s v="Bornholm"/>
    <x v="5"/>
    <x v="0"/>
    <x v="0"/>
    <x v="0"/>
    <n v="0"/>
    <n v="0"/>
    <s v="C1.0_E0.0"/>
    <n v="982.23251219988197"/>
    <n v="0"/>
    <n v="0"/>
    <n v="0"/>
    <n v="0"/>
    <n v="0"/>
    <n v="0"/>
    <n v="0"/>
    <n v="0"/>
    <n v="36.5967201301047"/>
    <n v="0"/>
    <n v="0"/>
    <n v="0"/>
    <n v="0"/>
    <n v="0"/>
    <n v="0"/>
    <n v="4.72526491747803E-3"/>
  </r>
  <r>
    <x v="0"/>
    <x v="16"/>
    <n v="2030"/>
    <s v="Bornholm"/>
    <x v="5"/>
    <x v="0"/>
    <x v="0"/>
    <x v="0"/>
    <n v="0"/>
    <n v="0"/>
    <s v="C1.0_E0.0"/>
    <n v="116.388580528137"/>
    <n v="0"/>
    <n v="0"/>
    <n v="0"/>
    <n v="1.8361532687857601E-2"/>
    <n v="0"/>
    <n v="0"/>
    <n v="0"/>
    <n v="1.8361532687857601E-2"/>
    <n v="9.7822682354589894"/>
    <n v="0"/>
    <n v="0.48911341177294998"/>
    <n v="0"/>
    <n v="0"/>
    <n v="0"/>
    <n v="1.8770219999999899E-3"/>
    <n v="1.0659270857968001E-2"/>
  </r>
  <r>
    <x v="0"/>
    <x v="17"/>
    <n v="2030"/>
    <s v="Bornholm"/>
    <x v="5"/>
    <x v="0"/>
    <x v="0"/>
    <x v="0"/>
    <n v="0"/>
    <n v="0"/>
    <s v="C1.0_E0.0"/>
    <n v="116.388580528137"/>
    <n v="0"/>
    <n v="0"/>
    <n v="0"/>
    <n v="0"/>
    <n v="0"/>
    <n v="0"/>
    <n v="0"/>
    <n v="0"/>
    <n v="9.7822682354589396"/>
    <n v="0"/>
    <n v="0.48911341177294998"/>
    <n v="0"/>
    <n v="0"/>
    <n v="0"/>
    <n v="0"/>
    <n v="1.0659270857968001E-2"/>
  </r>
  <r>
    <x v="0"/>
    <x v="18"/>
    <n v="2030"/>
    <s v="Bornholm"/>
    <x v="5"/>
    <x v="0"/>
    <x v="0"/>
    <x v="0"/>
    <n v="0"/>
    <n v="0"/>
    <s v="C1.0_E0.0"/>
    <n v="116.388580528137"/>
    <n v="20.949944495064599"/>
    <n v="2.1337981215447401"/>
    <n v="0.31424916742596998"/>
    <n v="0"/>
    <n v="0"/>
    <n v="0"/>
    <n v="0"/>
    <n v="2.4480472889707099"/>
    <n v="473.09243405501701"/>
    <n v="0"/>
    <n v="0"/>
    <n v="0"/>
    <n v="0"/>
    <n v="0"/>
    <n v="5.1745644460803597E-3"/>
    <n v="0.51550624804669198"/>
  </r>
  <r>
    <x v="1"/>
    <x v="0"/>
    <n v="2030"/>
    <s v="Bornholm"/>
    <x v="0"/>
    <x v="0"/>
    <x v="0"/>
    <x v="0"/>
    <n v="0"/>
    <n v="0"/>
    <s v="C1.0_E0.0"/>
    <n v="85.548933436373403"/>
    <n v="569.94068238246905"/>
    <n v="50.437228529422001"/>
    <n v="22.7976272952987"/>
    <n v="0"/>
    <n v="0"/>
    <n v="0"/>
    <n v="0"/>
    <n v="73.234855824720796"/>
    <n v="425.80645161291199"/>
    <n v="0"/>
    <n v="191.612903225785"/>
    <n v="1.0235294198740099"/>
    <n v="55.028463434086902"/>
    <n v="198.10246836271301"/>
    <n v="0.17199094928532499"/>
    <n v="0.63124207719563596"/>
  </r>
  <r>
    <x v="1"/>
    <x v="1"/>
    <n v="2030"/>
    <s v="Bornholm"/>
    <x v="0"/>
    <x v="0"/>
    <x v="0"/>
    <x v="0"/>
    <n v="0"/>
    <n v="0"/>
    <s v="C1.0_E0.0"/>
    <n v="186.42419576188999"/>
    <n v="22.556052545689699"/>
    <n v="2.6352133544658898"/>
    <n v="0.67668157637069204"/>
    <n v="0"/>
    <n v="0"/>
    <n v="0"/>
    <n v="5.6054329048400901E-2"/>
    <n v="3.3679492598849801"/>
    <n v="862.37429305237094"/>
    <n v="0"/>
    <n v="2.1559357326308302"/>
    <n v="0"/>
    <n v="0"/>
    <n v="0"/>
    <n v="3.9054379136976998E-3"/>
    <n v="0.58666722451870001"/>
  </r>
  <r>
    <x v="1"/>
    <x v="2"/>
    <n v="2030"/>
    <s v="Bornholm"/>
    <x v="0"/>
    <x v="0"/>
    <x v="0"/>
    <x v="0"/>
    <n v="0"/>
    <n v="0"/>
    <s v="C1.0_E0.0"/>
    <n v="16.571039623279098"/>
    <n v="660.19021859144198"/>
    <n v="58.423913149685099"/>
    <n v="66.019021859144203"/>
    <n v="0"/>
    <n v="0"/>
    <n v="0"/>
    <n v="0"/>
    <n v="124.442935008829"/>
    <n v="76.655492715764495"/>
    <n v="0"/>
    <n v="3817.4435372449502"/>
    <n v="0"/>
    <n v="0"/>
    <n v="0"/>
    <n v="1.6234053242637001"/>
    <n v="0.58666722451870001"/>
  </r>
  <r>
    <x v="1"/>
    <x v="3"/>
    <n v="2030"/>
    <s v="Bornholm"/>
    <x v="0"/>
    <x v="0"/>
    <x v="0"/>
    <x v="0"/>
    <n v="0"/>
    <n v="0"/>
    <s v="C1.0_E0.0"/>
    <n v="15.3988080185472"/>
    <n v="0"/>
    <n v="0"/>
    <n v="0"/>
    <n v="0"/>
    <n v="0"/>
    <n v="0"/>
    <n v="0"/>
    <n v="0"/>
    <n v="76.645161290325206"/>
    <n v="0"/>
    <n v="0"/>
    <n v="0"/>
    <n v="0"/>
    <n v="0"/>
    <n v="0"/>
    <n v="0.63124207719563596"/>
  </r>
  <r>
    <x v="1"/>
    <x v="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0"/>
    <x v="0"/>
    <x v="0"/>
    <x v="0"/>
    <n v="0"/>
    <n v="0"/>
    <s v="C1.0_E0.0"/>
    <n v="94.057220901732506"/>
    <n v="0"/>
    <n v="0"/>
    <n v="0"/>
    <n v="0"/>
    <n v="0"/>
    <n v="0"/>
    <n v="0"/>
    <n v="0"/>
    <n v="435.09657665466602"/>
    <n v="0"/>
    <n v="0"/>
    <n v="0"/>
    <n v="0"/>
    <n v="0"/>
    <n v="0"/>
    <n v="0.58666722451870001"/>
  </r>
  <r>
    <x v="1"/>
    <x v="6"/>
    <n v="2030"/>
    <s v="Bornholm"/>
    <x v="0"/>
    <x v="0"/>
    <x v="0"/>
    <x v="0"/>
    <n v="0"/>
    <n v="0"/>
    <s v="C1.0_E0.0"/>
    <n v="128.59126747664601"/>
    <n v="0"/>
    <n v="0"/>
    <n v="0"/>
    <n v="0"/>
    <n v="0"/>
    <n v="0"/>
    <n v="0"/>
    <n v="0"/>
    <n v="594.84662347431004"/>
    <n v="0"/>
    <n v="0"/>
    <n v="0"/>
    <n v="0"/>
    <n v="0"/>
    <n v="0"/>
    <n v="0.58666722451870001"/>
  </r>
  <r>
    <x v="1"/>
    <x v="7"/>
    <n v="2030"/>
    <s v="Bornholm"/>
    <x v="0"/>
    <x v="0"/>
    <x v="0"/>
    <x v="0"/>
    <n v="0"/>
    <n v="0"/>
    <s v="C1.0_E0.0"/>
    <n v="880.35640593347898"/>
    <n v="0"/>
    <n v="0"/>
    <n v="0"/>
    <n v="0"/>
    <n v="0"/>
    <n v="0"/>
    <n v="0"/>
    <n v="0"/>
    <n v="6.47861494030853"/>
    <n v="0"/>
    <n v="6.0898980438900701"/>
    <n v="0"/>
    <n v="0"/>
    <n v="0"/>
    <n v="0"/>
    <n v="9.3330145267698898E-4"/>
  </r>
  <r>
    <x v="1"/>
    <x v="8"/>
    <n v="2030"/>
    <s v="Bornholm"/>
    <x v="0"/>
    <x v="0"/>
    <x v="0"/>
    <x v="0"/>
    <n v="0"/>
    <n v="0"/>
    <s v="C1.0_E0.0"/>
    <n v="895.755213952026"/>
    <n v="0"/>
    <n v="0"/>
    <n v="0"/>
    <n v="0"/>
    <n v="0"/>
    <n v="0"/>
    <n v="0"/>
    <n v="0"/>
    <n v="6.46828351486581"/>
    <n v="0"/>
    <n v="0"/>
    <n v="0"/>
    <n v="0"/>
    <n v="0"/>
    <n v="0"/>
    <n v="9.1579444533503203E-4"/>
  </r>
  <r>
    <x v="1"/>
    <x v="9"/>
    <n v="2030"/>
    <s v="Bornholm"/>
    <x v="0"/>
    <x v="0"/>
    <x v="0"/>
    <x v="0"/>
    <n v="0"/>
    <n v="0"/>
    <s v="C1.0_E0.0"/>
    <n v="114.793616030363"/>
    <n v="28.698404007590799"/>
    <n v="2.3458895682572298"/>
    <n v="0.86095212022772405"/>
    <n v="0"/>
    <n v="0"/>
    <n v="0"/>
    <n v="0"/>
    <n v="3.20684168848496"/>
    <n v="513.93793700527897"/>
    <n v="0"/>
    <n v="0"/>
    <n v="0"/>
    <n v="0"/>
    <n v="0"/>
    <n v="6.2397450306378504E-3"/>
    <n v="0.56779458021569895"/>
  </r>
  <r>
    <x v="1"/>
    <x v="10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0"/>
    <x v="0"/>
    <x v="0"/>
    <x v="0"/>
    <n v="0"/>
    <n v="0"/>
    <s v="C1.0_E0.0"/>
    <n v="911.612675393514"/>
    <n v="2093.6241562823502"/>
    <n v="185.97126028015401"/>
    <n v="34.272723834683703"/>
    <n v="11.328864501263601"/>
    <n v="0"/>
    <n v="0"/>
    <n v="0"/>
    <n v="231.57284861610199"/>
    <n v="4023.7015518070102"/>
    <n v="0"/>
    <n v="0"/>
    <n v="0"/>
    <n v="0"/>
    <n v="0"/>
    <n v="5.7552193082537097E-2"/>
    <n v="0.559775269499029"/>
  </r>
  <r>
    <x v="1"/>
    <x v="12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0"/>
    <x v="0"/>
    <x v="0"/>
    <x v="0"/>
    <n v="0"/>
    <n v="0"/>
    <s v="C1.0_E0.0"/>
    <n v="827.53502157747005"/>
    <n v="0"/>
    <n v="0"/>
    <n v="0"/>
    <n v="0"/>
    <n v="0"/>
    <n v="0"/>
    <n v="0"/>
    <n v="0"/>
    <n v="6.3992775593957001"/>
    <n v="0"/>
    <n v="0"/>
    <n v="0"/>
    <n v="0"/>
    <n v="0"/>
    <n v="0"/>
    <n v="9.8071511201395806E-4"/>
  </r>
  <r>
    <x v="1"/>
    <x v="16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0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0"/>
    <n v="2030"/>
    <s v="Bornholm"/>
    <x v="6"/>
    <x v="0"/>
    <x v="0"/>
    <x v="0"/>
    <n v="0"/>
    <n v="0"/>
    <s v="C1.0_E0.0"/>
    <n v="104.98044729223901"/>
    <n v="699.39653673246596"/>
    <n v="61.893498825881899"/>
    <n v="27.9758614692986"/>
    <n v="0"/>
    <n v="0"/>
    <n v="0"/>
    <n v="0"/>
    <n v="89.869360295180599"/>
    <n v="425.80645161290499"/>
    <n v="0"/>
    <n v="191.61290322579899"/>
    <n v="1.2183418641430701"/>
    <n v="65.502250760380306"/>
    <n v="235.80810273736901"/>
    <n v="0.211056830996256"/>
    <n v="0.51440137508575501"/>
  </r>
  <r>
    <x v="1"/>
    <x v="1"/>
    <n v="2030"/>
    <s v="Bornholm"/>
    <x v="6"/>
    <x v="0"/>
    <x v="0"/>
    <x v="0"/>
    <n v="0"/>
    <n v="0"/>
    <s v="C1.0_E0.0"/>
    <n v="219.16277013697399"/>
    <n v="26.517196113226099"/>
    <n v="3.0979919548874002"/>
    <n v="0.79551588339678403"/>
    <n v="0"/>
    <n v="0"/>
    <n v="0"/>
    <n v="5.6049825051907802E-2"/>
    <n v="3.9495576633360998"/>
    <n v="862.30500079856904"/>
    <n v="0"/>
    <n v="2.1557625019965601"/>
    <n v="0"/>
    <n v="0"/>
    <n v="0"/>
    <n v="4.5802328174815903E-3"/>
    <n v="0.49899067065654701"/>
  </r>
  <r>
    <x v="1"/>
    <x v="2"/>
    <n v="2030"/>
    <s v="Bornholm"/>
    <x v="6"/>
    <x v="0"/>
    <x v="0"/>
    <x v="0"/>
    <n v="0"/>
    <n v="0"/>
    <s v="C1.0_E0.0"/>
    <n v="19.481135123286599"/>
    <n v="776.12842331173795"/>
    <n v="68.683931266525505"/>
    <n v="77.612842331173795"/>
    <n v="0"/>
    <n v="0"/>
    <n v="0"/>
    <n v="0"/>
    <n v="146.296773597699"/>
    <n v="76.649333404321098"/>
    <n v="0"/>
    <n v="3817.1368035352398"/>
    <n v="0"/>
    <n v="0"/>
    <n v="0"/>
    <n v="1.90865030522824"/>
    <n v="0.49899067065654701"/>
  </r>
  <r>
    <x v="1"/>
    <x v="3"/>
    <n v="2030"/>
    <s v="Bornholm"/>
    <x v="6"/>
    <x v="0"/>
    <x v="0"/>
    <x v="0"/>
    <n v="0"/>
    <n v="0"/>
    <s v="C1.0_E0.0"/>
    <n v="18.896480512603102"/>
    <n v="0"/>
    <n v="0"/>
    <n v="0"/>
    <n v="0"/>
    <n v="0"/>
    <n v="0"/>
    <n v="0"/>
    <n v="0"/>
    <n v="76.645161290319095"/>
    <n v="0"/>
    <n v="0"/>
    <n v="0"/>
    <n v="0"/>
    <n v="0"/>
    <n v="0"/>
    <n v="0.51440137508575501"/>
  </r>
  <r>
    <x v="1"/>
    <x v="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5"/>
    <n v="2030"/>
    <s v="Bornholm"/>
    <x v="6"/>
    <x v="0"/>
    <x v="0"/>
    <x v="0"/>
    <n v="0"/>
    <n v="0"/>
    <s v="C1.0_E0.0"/>
    <n v="110.574922959774"/>
    <n v="0"/>
    <n v="0"/>
    <n v="0"/>
    <n v="0"/>
    <n v="0"/>
    <n v="0"/>
    <n v="0"/>
    <n v="0"/>
    <n v="435.06161640294499"/>
    <n v="0"/>
    <n v="0"/>
    <n v="0"/>
    <n v="0"/>
    <n v="0"/>
    <n v="0"/>
    <n v="0.49899067065654701"/>
  </r>
  <r>
    <x v="1"/>
    <x v="6"/>
    <n v="2030"/>
    <s v="Bornholm"/>
    <x v="6"/>
    <x v="0"/>
    <x v="0"/>
    <x v="0"/>
    <n v="0"/>
    <n v="0"/>
    <s v="C1.0_E0.0"/>
    <n v="151.17360855670401"/>
    <n v="0"/>
    <n v="0"/>
    <n v="0"/>
    <n v="0"/>
    <n v="0"/>
    <n v="0"/>
    <n v="0"/>
    <n v="0"/>
    <n v="594.79882721752006"/>
    <n v="0"/>
    <n v="0"/>
    <n v="0"/>
    <n v="0"/>
    <n v="0"/>
    <n v="0"/>
    <n v="0.49899067065654701"/>
  </r>
  <r>
    <x v="1"/>
    <x v="7"/>
    <n v="2030"/>
    <s v="Bornholm"/>
    <x v="6"/>
    <x v="0"/>
    <x v="0"/>
    <x v="0"/>
    <n v="0"/>
    <n v="0"/>
    <s v="C1.0_E0.0"/>
    <n v="1036.88324833907"/>
    <n v="0"/>
    <n v="0"/>
    <n v="0"/>
    <n v="0"/>
    <n v="0"/>
    <n v="0"/>
    <n v="0"/>
    <n v="0"/>
    <n v="7.1061179428168302"/>
    <n v="0"/>
    <n v="6.6797508662476597"/>
    <n v="0"/>
    <n v="0"/>
    <n v="0"/>
    <n v="0"/>
    <n v="8.6916225003365495E-4"/>
  </r>
  <r>
    <x v="1"/>
    <x v="8"/>
    <n v="2030"/>
    <s v="Bornholm"/>
    <x v="6"/>
    <x v="0"/>
    <x v="0"/>
    <x v="0"/>
    <n v="0"/>
    <n v="0"/>
    <s v="C1.0_E0.0"/>
    <n v="1055.7797288516699"/>
    <n v="0"/>
    <n v="0"/>
    <n v="0"/>
    <n v="0"/>
    <n v="0"/>
    <n v="0"/>
    <n v="0"/>
    <n v="0"/>
    <n v="7.1019458288147597"/>
    <n v="0"/>
    <n v="0"/>
    <n v="0"/>
    <n v="0"/>
    <n v="0"/>
    <n v="0"/>
    <n v="8.5310470752539204E-4"/>
  </r>
  <r>
    <x v="1"/>
    <x v="9"/>
    <n v="2030"/>
    <s v="Bornholm"/>
    <x v="6"/>
    <x v="0"/>
    <x v="0"/>
    <x v="0"/>
    <n v="0"/>
    <n v="0"/>
    <s v="C1.0_E0.0"/>
    <n v="46.356822244338197"/>
    <n v="11.5892055610845"/>
    <n v="0.94733478638554103"/>
    <n v="0.34767616683253599"/>
    <n v="0"/>
    <n v="0"/>
    <n v="0"/>
    <n v="0"/>
    <n v="1.29501095321807"/>
    <n v="231.851572361986"/>
    <n v="0"/>
    <n v="0"/>
    <n v="0"/>
    <n v="0"/>
    <n v="0"/>
    <n v="5.5855172342596602E-3"/>
    <n v="0.63429996931940402"/>
  </r>
  <r>
    <x v="1"/>
    <x v="10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1"/>
    <n v="2030"/>
    <s v="Bornholm"/>
    <x v="6"/>
    <x v="0"/>
    <x v="0"/>
    <x v="0"/>
    <n v="0"/>
    <n v="0"/>
    <s v="C1.0_E0.0"/>
    <n v="1100.7232386042999"/>
    <n v="2527.9384808120799"/>
    <n v="224.55028701145699"/>
    <n v="41.382469324287797"/>
    <n v="11.4343671769649"/>
    <n v="0"/>
    <n v="0"/>
    <n v="0"/>
    <n v="277.36712351271001"/>
    <n v="4061.1732048477602"/>
    <n v="0"/>
    <n v="0"/>
    <n v="0"/>
    <n v="0"/>
    <n v="0"/>
    <n v="6.8297289852503995E-2"/>
    <n v="0.46792007609383501"/>
  </r>
  <r>
    <x v="1"/>
    <x v="12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3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4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5"/>
    <n v="2030"/>
    <s v="Bornholm"/>
    <x v="6"/>
    <x v="0"/>
    <x v="0"/>
    <x v="0"/>
    <n v="0"/>
    <n v="0"/>
    <s v="C1.0_E0.0"/>
    <n v="184.148819380661"/>
    <n v="0"/>
    <n v="0"/>
    <n v="0"/>
    <n v="0"/>
    <n v="0"/>
    <n v="0"/>
    <n v="0"/>
    <n v="0"/>
    <n v="43.5879847184911"/>
    <n v="0"/>
    <n v="0"/>
    <n v="0"/>
    <n v="0"/>
    <n v="0"/>
    <n v="0"/>
    <n v="3.0018995343445001E-2"/>
  </r>
  <r>
    <x v="1"/>
    <x v="16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7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1"/>
    <x v="18"/>
    <n v="2030"/>
    <s v="Bornholm"/>
    <x v="6"/>
    <x v="0"/>
    <x v="0"/>
    <x v="0"/>
    <n v="0"/>
    <n v="0"/>
    <s v="C1.0_E0.0"/>
    <n v="0"/>
    <n v="0"/>
    <n v="0"/>
    <n v="0"/>
    <n v="0"/>
    <n v="0"/>
    <n v="0"/>
    <n v="0"/>
    <n v="0"/>
    <n v="0"/>
    <n v="0"/>
    <n v="0"/>
    <n v="0"/>
    <n v="0"/>
    <n v="0"/>
    <n v="0"/>
    <s v="NaN"/>
  </r>
  <r>
    <x v="2"/>
    <x v="19"/>
    <m/>
    <m/>
    <x v="7"/>
    <x v="1"/>
    <x v="1"/>
    <x v="1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J9" firstHeaderRow="1" firstDataRow="4" firstDataCol="1"/>
  <pivotFields count="29">
    <pivotField axis="axisCol" showAll="0" defaultSubtotal="0">
      <items count="5">
        <item x="4"/>
        <item x="0"/>
        <item x="1"/>
        <item x="2"/>
        <item x="3"/>
      </items>
    </pivotField>
    <pivotField axis="axisRow" multipleItemSelectionAllowed="1" showAll="0" defaultSubtotal="0">
      <items count="28">
        <item h="1" x="16"/>
        <item h="1" x="14"/>
        <item h="1" x="1"/>
        <item h="1" x="15"/>
        <item n="Grid" x="12"/>
        <item n="Spillage" x="13"/>
        <item h="1" x="2"/>
        <item h="1" x="9"/>
        <item h="1" x="3"/>
        <item h="1" x="7"/>
        <item h="1" x="8"/>
        <item h="1" x="4"/>
        <item h="1" x="5"/>
        <item h="1" x="0"/>
        <item h="1" x="6"/>
        <item h="1" x="10"/>
        <item h="1" x="27"/>
        <item h="1" x="22"/>
        <item h="1" x="24"/>
        <item h="1" x="23"/>
        <item h="1" x="17"/>
        <item h="1" x="26"/>
        <item h="1" x="20"/>
        <item h="1" x="11"/>
        <item h="1" x="18"/>
        <item h="1" x="19"/>
        <item h="1" x="21"/>
        <item h="1" x="25"/>
      </items>
    </pivotField>
    <pivotField showAll="0" defaultSubtotal="0"/>
    <pivotField axis="axisCol" showAll="0" defaultSubtotal="0">
      <items count="2">
        <item x="1"/>
        <item x="0"/>
      </items>
    </pivotField>
    <pivotField showAll="0" defaultSubtotal="0"/>
    <pivotField axis="axisCol" showAll="0" defaultSubtotal="0">
      <items count="3">
        <item x="0"/>
        <item x="2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3">
    <i>
      <x v="4"/>
    </i>
    <i>
      <x v="5"/>
    </i>
    <i t="grand">
      <x/>
    </i>
  </rowItems>
  <colFields count="3">
    <field x="0"/>
    <field x="3"/>
    <field x="5"/>
  </colFields>
  <colItems count="9">
    <i>
      <x v="1"/>
      <x v="1"/>
      <x/>
    </i>
    <i r="2">
      <x v="2"/>
    </i>
    <i>
      <x v="2"/>
      <x v="1"/>
      <x/>
    </i>
    <i r="2">
      <x v="2"/>
    </i>
    <i>
      <x v="3"/>
      <x v="1"/>
      <x/>
    </i>
    <i r="2">
      <x v="2"/>
    </i>
    <i>
      <x v="4"/>
      <x v="1"/>
      <x/>
    </i>
    <i r="2">
      <x v="2"/>
    </i>
    <i t="grand">
      <x/>
    </i>
  </colItems>
  <dataFields count="1">
    <dataField name="Sum of Production(kton or GWh)" fld="19" baseField="0" baseItem="0"/>
  </dataFields>
  <formats count="17">
    <format dxfId="100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99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98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97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96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95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94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93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92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91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90">
      <pivotArea collapsedLevelsAreSubtotals="1" fieldPosition="0">
        <references count="4">
          <reference field="0" count="0" selected="0"/>
          <reference field="1" count="0"/>
          <reference field="3" count="0" selected="0"/>
          <reference field="5" count="1" selected="0">
            <x v="0"/>
          </reference>
        </references>
      </pivotArea>
    </format>
    <format dxfId="89">
      <pivotArea field="5" grandRow="1" outline="0" collapsedLevelsAreSubtotals="1" axis="axisCol" fieldPosition="2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88">
      <pivotArea field="5" grandRow="1" outline="0" collapsedLevelsAreSubtotals="1" axis="axisCol" fieldPosition="2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87">
      <pivotArea field="5" grandRow="1" outline="0" collapsedLevelsAreSubtotals="1" axis="axisCol" fieldPosition="2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86">
      <pivotArea field="5" grandRow="1" outline="0" collapsedLevelsAreSubtotals="1" axis="axisCol" fieldPosition="2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85">
      <pivotArea field="5" grandRow="1" outline="0" collapsedLevelsAreSubtotals="1" axis="axisCol" fieldPosition="2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84">
      <pivotArea field="5" grandRow="1" outline="0" collapsedLevelsAreSubtotals="1" axis="axisCol" fieldPosition="2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</formats>
  <chartFormats count="13">
    <chartFormat chart="0" format="2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3" count="1" selected="0">
            <x v="0"/>
          </reference>
          <reference field="5" count="1" selected="0">
            <x v="1"/>
          </reference>
        </references>
      </pivotArea>
    </chartFormat>
    <chartFormat chart="0" format="1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"/>
          </reference>
          <reference field="5" count="1" selected="0">
            <x v="2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"/>
          </reference>
          <reference field="5" count="1" selected="0">
            <x v="0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"/>
          </reference>
          <reference field="5" count="1" selected="0">
            <x v="2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1"/>
          </reference>
          <reference field="5" count="1" selected="0">
            <x v="0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1"/>
          </reference>
          <reference field="5" count="1" selected="0">
            <x v="2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1"/>
          </reference>
          <reference field="5" count="1" selected="0">
            <x v="0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1"/>
          </reference>
          <reference field="5" count="1" selected="0">
            <x v="2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6">
  <location ref="A4:C20" firstHeaderRow="1" firstDataRow="2" firstDataCol="1"/>
  <pivotFields count="37">
    <pivotField axis="axisRow" subtotalTop="0" multipleItemSelectionAllowed="1" showAll="0" defaultSubtotal="0">
      <items count="3">
        <item h="1" x="2"/>
        <item h="1" x="0"/>
        <item x="1"/>
      </items>
    </pivotField>
    <pivotField axis="axisCol" subtotalTop="0" showAll="0" defaultSubtotal="0">
      <items count="20">
        <item h="1" x="18"/>
        <item h="1" x="16"/>
        <item h="1" x="17"/>
        <item h="1" x="14"/>
        <item h="1" x="15"/>
        <item h="1" x="2"/>
        <item h="1" x="3"/>
        <item h="1" x="4"/>
        <item h="1" x="5"/>
        <item x="0"/>
        <item h="1" x="6"/>
        <item h="1" x="19"/>
        <item h="1" x="7"/>
        <item h="1" x="8"/>
        <item h="1" x="9"/>
        <item h="1" x="1"/>
        <item h="1" x="10"/>
        <item h="1" x="11"/>
        <item h="1" x="12"/>
        <item h="1" x="13"/>
      </items>
    </pivotField>
    <pivotField showAll="0" defaultSubtotal="0"/>
    <pivotField subtotalTop="0" showAll="0" defaultSubtotal="0"/>
    <pivotField axis="axisRow" showAll="0" defaultSubtotal="0">
      <items count="8">
        <item x="0"/>
        <item x="6"/>
        <item x="1"/>
        <item x="2"/>
        <item x="3"/>
        <item x="4"/>
        <item x="5"/>
        <item x="7"/>
      </items>
    </pivotField>
    <pivotField subtotalTop="0" multipleItemSelectionAllowed="1" showAll="0" defaultSubtotal="0"/>
    <pivotField subtotalTop="0" multipleItemSelectionAllowed="1" showAll="0" defaultSubtotal="0"/>
    <pivotField subtotalTop="0" showAll="0" defaultSubtotal="0"/>
    <pivotField showAll="0" defaultSubtotal="0"/>
    <pivotField showAll="0" defaultSubtotal="0"/>
    <pivotField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howAll="0" defaultSubtotal="0"/>
    <pivotField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4"/>
    <field x="0"/>
  </rowFields>
  <rowItems count="15">
    <i>
      <x/>
    </i>
    <i r="1">
      <x v="2"/>
    </i>
    <i>
      <x v="1"/>
    </i>
    <i r="1">
      <x v="2"/>
    </i>
    <i>
      <x v="2"/>
    </i>
    <i r="1">
      <x v="2"/>
    </i>
    <i>
      <x v="3"/>
    </i>
    <i r="1">
      <x v="2"/>
    </i>
    <i>
      <x v="4"/>
    </i>
    <i r="1">
      <x v="2"/>
    </i>
    <i>
      <x v="5"/>
    </i>
    <i r="1">
      <x v="2"/>
    </i>
    <i>
      <x v="6"/>
    </i>
    <i r="1">
      <x v="2"/>
    </i>
    <i t="grand">
      <x/>
    </i>
  </rowItems>
  <colFields count="1">
    <field x="1"/>
  </colFields>
  <colItems count="2">
    <i>
      <x v="9"/>
    </i>
    <i t="grand">
      <x/>
    </i>
  </colItems>
  <dataFields count="1">
    <dataField name="Sum of Production cost fuel (Euros/kgfuel)" fld="23" baseField="3" baseItem="1"/>
  </dataFields>
  <formats count="23">
    <format dxfId="83">
      <pivotArea grandRow="1" outline="0" collapsedLevelsAreSubtotals="1" fieldPosition="0"/>
    </format>
    <format dxfId="82">
      <pivotArea grandRow="1" outline="0" collapsedLevelsAreSubtotals="1" fieldPosition="0"/>
    </format>
    <format dxfId="81">
      <pivotArea grandRow="1" outline="0" collapsedLevelsAreSubtotals="1" fieldPosition="0"/>
    </format>
    <format dxfId="80">
      <pivotArea grandRow="1" outline="0" collapsedLevelsAreSubtotals="1" fieldPosition="0"/>
    </format>
    <format dxfId="79">
      <pivotArea grandRow="1" outline="0" collapsedLevelsAreSubtotals="1" fieldPosition="0"/>
    </format>
    <format dxfId="78">
      <pivotArea grandRow="1" outline="0" collapsedLevelsAreSubtotals="1" fieldPosition="0"/>
    </format>
    <format dxfId="77">
      <pivotArea grandRow="1" outline="0" collapsedLevelsAreSubtotals="1" fieldPosition="0"/>
    </format>
    <format dxfId="76">
      <pivotArea outline="0" collapsedLevelsAreSubtotals="1" fieldPosition="0"/>
    </format>
    <format dxfId="75">
      <pivotArea outline="0" collapsedLevelsAreSubtotals="1" fieldPosition="0"/>
    </format>
    <format dxfId="74">
      <pivotArea outline="0" collapsedLevelsAreSubtotals="1" fieldPosition="0"/>
    </format>
    <format dxfId="73">
      <pivotArea outline="0" collapsedLevelsAreSubtotals="1" fieldPosition="0"/>
    </format>
    <format dxfId="72">
      <pivotArea outline="0" collapsedLevelsAreSubtotals="1" fieldPosition="0"/>
    </format>
    <format dxfId="71">
      <pivotArea outline="0" collapsedLevelsAreSubtotals="1" fieldPosition="0"/>
    </format>
    <format dxfId="70">
      <pivotArea outline="0" collapsedLevelsAreSubtotals="1" fieldPosition="0"/>
    </format>
    <format dxfId="69">
      <pivotArea outline="0" collapsedLevelsAreSubtotals="1" fieldPosition="0"/>
    </format>
    <format dxfId="68">
      <pivotArea outline="0" collapsedLevelsAreSubtotals="1" fieldPosition="0"/>
    </format>
    <format dxfId="67">
      <pivotArea outline="0" collapsedLevelsAreSubtotals="1" fieldPosition="0"/>
    </format>
    <format dxfId="66">
      <pivotArea outline="0" collapsedLevelsAreSubtotals="1" fieldPosition="0"/>
    </format>
    <format dxfId="65">
      <pivotArea outline="0" collapsedLevelsAreSubtotals="1" fieldPosition="0"/>
    </format>
    <format dxfId="64">
      <pivotArea outline="0" collapsedLevelsAreSubtotals="1" fieldPosition="0"/>
    </format>
    <format dxfId="63">
      <pivotArea collapsedLevelsAreSubtotals="1" fieldPosition="0">
        <references count="3">
          <reference field="0" count="0" selected="0"/>
          <reference field="1" count="0" selected="0"/>
          <reference field="4" count="7">
            <x v="0"/>
            <x v="1"/>
            <x v="2"/>
            <x v="3"/>
            <x v="4"/>
            <x v="5"/>
            <x v="6"/>
          </reference>
        </references>
      </pivotArea>
    </format>
    <format dxfId="62">
      <pivotArea collapsedLevelsAreSubtotals="1" fieldPosition="0">
        <references count="3">
          <reference field="0" count="0" selected="0"/>
          <reference field="1" count="0" selected="0"/>
          <reference field="4" count="7">
            <x v="0"/>
            <x v="1"/>
            <x v="2"/>
            <x v="3"/>
            <x v="4"/>
            <x v="5"/>
            <x v="6"/>
          </reference>
        </references>
      </pivotArea>
    </format>
    <format dxfId="61">
      <pivotArea collapsedLevelsAreSubtotals="1" fieldPosition="0">
        <references count="3">
          <reference field="0" count="0" selected="0"/>
          <reference field="1" count="0" selected="0"/>
          <reference field="4" count="7">
            <x v="0"/>
            <x v="1"/>
            <x v="2"/>
            <x v="3"/>
            <x v="4"/>
            <x v="5"/>
            <x v="6"/>
          </reference>
        </references>
      </pivotArea>
    </format>
  </formats>
  <chartFormats count="1"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09">
  <location ref="A4:S34" firstHeaderRow="1" firstDataRow="2" firstDataCol="1"/>
  <pivotFields count="29">
    <pivotField axis="axisRow" multipleItemSelectionAllowed="1" showAll="0">
      <items count="6">
        <item h="1" x="4"/>
        <item h="1" x="0"/>
        <item h="1" x="1"/>
        <item x="2"/>
        <item x="3"/>
        <item t="default"/>
      </items>
    </pivotField>
    <pivotField axis="axisCol" showAll="0" measureFilter="1">
      <items count="29">
        <item n="Grid" x="12"/>
        <item x="10"/>
        <item x="11"/>
        <item x="2"/>
        <item x="19"/>
        <item n="NH3 plant AEC layout" x="0"/>
        <item x="15"/>
        <item x="13"/>
        <item x="3"/>
        <item x="4"/>
        <item x="5"/>
        <item x="6"/>
        <item x="27"/>
        <item x="7"/>
        <item x="8"/>
        <item n="NH3 plant SOEC layout" x="21"/>
        <item n="MeOH plant CCU " x="23"/>
        <item n="CO2 capture Point Source" x="22"/>
        <item x="25"/>
        <item n="Bio-eMeOH plant AEC layout" x="26"/>
        <item n="Bio-eMeOH plant SOEC layout" x="18"/>
        <item x="17"/>
        <item n="H2 storage (buried pipes)" x="9"/>
        <item x="14"/>
        <item x="24"/>
        <item x="20"/>
        <item x="16"/>
        <item x="1"/>
        <item t="default"/>
      </items>
    </pivotField>
    <pivotField showAll="0"/>
    <pivotField showAll="0"/>
    <pivotField axis="axisRow" multipleItemSelectionAllowed="1" showAll="0">
      <items count="5">
        <item x="2"/>
        <item x="0"/>
        <item h="1" x="3"/>
        <item x="1"/>
        <item t="default"/>
      </items>
    </pivotField>
    <pivotField axis="axisRow" multipleItemSelectionAllowed="1" showAll="0">
      <items count="4">
        <item x="0"/>
        <item x="1"/>
        <item x="2"/>
        <item t="default"/>
      </items>
    </pivotField>
    <pivotField axis="axisRow" showAll="0" defaultSubtotal="0">
      <items count="4">
        <item x="2"/>
        <item x="1"/>
        <item n=" " x="0"/>
        <item x="3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</pivotFields>
  <rowFields count="4">
    <field x="0"/>
    <field x="4"/>
    <field x="6"/>
    <field x="5"/>
  </rowFields>
  <rowItems count="29">
    <i>
      <x v="3"/>
    </i>
    <i r="1">
      <x/>
    </i>
    <i r="2">
      <x/>
    </i>
    <i r="3">
      <x/>
    </i>
    <i r="2">
      <x v="1"/>
    </i>
    <i r="3">
      <x/>
    </i>
    <i r="1">
      <x v="1"/>
    </i>
    <i r="2">
      <x v="2"/>
    </i>
    <i r="3">
      <x/>
    </i>
    <i r="3">
      <x v="1"/>
    </i>
    <i r="1">
      <x v="3"/>
    </i>
    <i r="2">
      <x v="2"/>
    </i>
    <i r="3">
      <x/>
    </i>
    <i r="3">
      <x v="1"/>
    </i>
    <i>
      <x v="4"/>
    </i>
    <i r="1">
      <x/>
    </i>
    <i r="2">
      <x/>
    </i>
    <i r="3">
      <x/>
    </i>
    <i r="2">
      <x v="1"/>
    </i>
    <i r="3">
      <x/>
    </i>
    <i r="1">
      <x v="1"/>
    </i>
    <i r="2">
      <x v="2"/>
    </i>
    <i r="3">
      <x/>
    </i>
    <i r="3">
      <x v="1"/>
    </i>
    <i r="1">
      <x v="3"/>
    </i>
    <i r="2">
      <x v="2"/>
    </i>
    <i r="3">
      <x/>
    </i>
    <i r="3">
      <x v="1"/>
    </i>
    <i t="grand">
      <x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6"/>
    </i>
    <i>
      <x v="27"/>
    </i>
    <i t="grand">
      <x/>
    </i>
  </colItems>
  <dataFields count="1">
    <dataField name="Sum of Cost per unit(MEuros)" fld="18" baseField="0" baseItem="0"/>
  </dataFields>
  <chartFormats count="32">
    <chartFormat chart="0" format="0" series="1">
      <pivotArea type="data" outline="0" fieldPosition="0">
        <references count="1">
          <reference field="1" count="1" selected="0">
            <x v="26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23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27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9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19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1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2">
  <location ref="A4:C14" firstHeaderRow="1" firstDataRow="2" firstDataCol="1" rowPageCount="2" colPageCount="1"/>
  <pivotFields count="26">
    <pivotField axis="axisRow" showAll="0">
      <items count="6">
        <item x="4"/>
        <item x="0"/>
        <item x="1"/>
        <item x="2"/>
        <item x="3"/>
        <item t="default"/>
      </items>
    </pivotField>
    <pivotField axis="axisCol" showAll="0">
      <items count="29">
        <item h="1" x="16"/>
        <item h="1" x="14"/>
        <item h="1" x="1"/>
        <item h="1" x="15"/>
        <item h="1" x="13"/>
        <item h="1" x="2"/>
        <item h="1" x="3"/>
        <item h="1" x="4"/>
        <item h="1" x="5"/>
        <item h="1" x="0"/>
        <item h="1" x="10"/>
        <item h="1" x="6"/>
        <item h="1" x="27"/>
        <item h="1" x="7"/>
        <item h="1" x="8"/>
        <item h="1" x="9"/>
        <item h="1" x="22"/>
        <item h="1" x="24"/>
        <item h="1" x="23"/>
        <item n="Grid" x="12"/>
        <item h="1" x="17"/>
        <item h="1" x="26"/>
        <item h="1" x="20"/>
        <item h="1" x="11"/>
        <item h="1" x="18"/>
        <item h="1" x="19"/>
        <item h="1" x="21"/>
        <item h="1" x="25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axis="axisPage" showAll="0">
      <items count="5">
        <item x="0"/>
        <item x="3"/>
        <item x="2"/>
        <item x="1"/>
        <item t="default"/>
      </items>
    </pivotField>
    <pivotField axis="axisPage" showAll="0">
      <items count="4">
        <item x="0"/>
        <item x="2"/>
        <item x="1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dataField="1"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2">
    <field x="0"/>
    <field x="3"/>
  </rowFields>
  <rowItems count="9"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 t="grand">
      <x/>
    </i>
  </rowItems>
  <colFields count="1">
    <field x="1"/>
  </colFields>
  <colItems count="2">
    <i>
      <x v="19"/>
    </i>
    <i t="grand">
      <x/>
    </i>
  </colItems>
  <pageFields count="2">
    <pageField fld="5" item="0" hier="-1"/>
    <pageField fld="4" hier="-1"/>
  </pageFields>
  <dataFields count="1">
    <dataField name="Sum of Production(kton or GWh)" fld="19" baseField="0" baseItem="0"/>
  </dataFields>
  <chartFormats count="17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19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9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1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1" format="88" series="1">
      <pivotArea type="data" outline="0" fieldPosition="0"/>
    </chartFormat>
    <chartFormat chart="1" format="8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D29" firstHeaderRow="1" firstDataRow="6" firstDataCol="1"/>
  <pivotFields count="29">
    <pivotField axis="axisCol" showAll="0" defaultSubtotal="0">
      <items count="5">
        <item h="1" x="4"/>
        <item h="1" x="0"/>
        <item x="1"/>
        <item h="1" x="2"/>
        <item h="1" x="3"/>
      </items>
    </pivotField>
    <pivotField axis="axisRow" showAll="0" defaultSubtotal="0">
      <items count="28">
        <item x="16"/>
        <item x="14"/>
        <item x="1"/>
        <item x="15"/>
        <item x="12"/>
        <item x="13"/>
        <item x="2"/>
        <item x="4"/>
        <item x="5"/>
        <item x="6"/>
        <item x="10"/>
        <item x="27"/>
        <item x="0"/>
        <item x="3"/>
        <item x="7"/>
        <item x="8"/>
        <item x="9"/>
        <item x="22"/>
        <item x="24"/>
        <item x="23"/>
        <item x="17"/>
        <item x="26"/>
        <item x="20"/>
        <item x="11"/>
        <item x="18"/>
        <item x="19"/>
        <item x="21"/>
        <item x="25"/>
      </items>
    </pivotField>
    <pivotField showAll="0" defaultSubtotal="0"/>
    <pivotField axis="axisCol" showAll="0" defaultSubtotal="0">
      <items count="2">
        <item x="1"/>
        <item x="0"/>
      </items>
    </pivotField>
    <pivotField axis="axisCol" showAll="0" defaultSubtotal="0">
      <items count="4">
        <item h="1" x="1"/>
        <item h="1" x="2"/>
        <item x="0"/>
        <item h="1" x="3"/>
      </items>
    </pivotField>
    <pivotField axis="axisCol" showAll="0" defaultSubtotal="0">
      <items count="3">
        <item x="0"/>
        <item x="2"/>
        <item x="1"/>
      </items>
    </pivotField>
    <pivotField axis="axisCol" showAll="0" defaultSubtotal="0">
      <items count="4">
        <item h="1" x="2"/>
        <item x="0"/>
        <item x="1"/>
        <item h="1"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23"/>
    </i>
    <i>
      <x v="25"/>
    </i>
    <i>
      <x v="26"/>
    </i>
    <i t="grand">
      <x/>
    </i>
  </rowItems>
  <colFields count="5">
    <field x="0"/>
    <field x="3"/>
    <field x="4"/>
    <field x="6"/>
    <field x="5"/>
  </colFields>
  <colItems count="3">
    <i>
      <x v="2"/>
      <x v="1"/>
      <x v="2"/>
      <x v="1"/>
      <x/>
    </i>
    <i r="4">
      <x v="2"/>
    </i>
    <i t="grand">
      <x/>
    </i>
  </colItems>
  <dataFields count="1">
    <dataField name="Sum of Electricity consumption(GWh)" fld="21" baseField="1" baseItem="0"/>
  </dataFields>
  <formats count="9">
    <format dxfId="60">
      <pivotArea field="5" grandRow="1" outline="0" collapsedLevelsAreSubtotals="1" axis="axisCol" fieldPosition="4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59">
      <pivotArea field="5" grandRow="1" outline="0" collapsedLevelsAreSubtotals="1" axis="axisCol" fieldPosition="4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58">
      <pivotArea field="5" grandRow="1" outline="0" collapsedLevelsAreSubtotals="1" axis="axisCol" fieldPosition="4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57">
      <pivotArea field="5" grandRow="1" outline="0" collapsedLevelsAreSubtotals="1" axis="axisCol" fieldPosition="4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56">
      <pivotArea field="5" grandRow="1" outline="0" collapsedLevelsAreSubtotals="1" axis="axisCol" fieldPosition="4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55">
      <pivotArea field="5" grandRow="1" outline="0" collapsedLevelsAreSubtotals="1" axis="axisCol" fieldPosition="4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54">
      <pivotArea field="5" grandRow="1" outline="0" collapsedLevelsAreSubtotals="1" axis="axisCol" fieldPosition="4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53">
      <pivotArea field="5" grandRow="1" outline="0" collapsedLevelsAreSubtotals="1" axis="axisCol" fieldPosition="4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  <format dxfId="52">
      <pivotArea field="5" grandRow="1" outline="0" collapsedLevelsAreSubtotals="1" axis="axisCol" fieldPosition="4">
        <references count="3">
          <reference field="0" count="0" selected="0"/>
          <reference field="3" count="0" selected="0"/>
          <reference field="5" count="1" selected="0">
            <x v="0"/>
          </reference>
        </references>
      </pivotArea>
    </format>
  </formats>
  <chartFormats count="60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9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33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2" format="8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2" format="98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2" format="158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2" format="159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2" format="161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2" format="162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2" format="163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2" format="164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2" format="169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2" format="170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2" format="172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3" format="189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3" format="194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3" format="195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3" format="20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3" format="210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3" format="212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3" format="213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3" format="215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3" format="216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3" format="217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3" format="218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342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355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356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359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360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4" format="361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4" format="362" series="1">
      <pivotArea type="data" outline="0" fieldPosition="0">
        <references count="1">
          <reference field="1" count="1" selected="0">
            <x v="15"/>
          </reference>
        </references>
      </pivotArea>
    </chartFormat>
    <chartFormat chart="4" format="363" series="1">
      <pivotArea type="data" outline="0" fieldPosition="0">
        <references count="1">
          <reference field="1" count="1" selected="0">
            <x v="16"/>
          </reference>
        </references>
      </pivotArea>
    </chartFormat>
    <chartFormat chart="4" format="365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366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367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368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369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370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371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372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409" series="1">
      <pivotArea type="data" outline="0" fieldPosition="0">
        <references count="3">
          <reference field="0" count="1" selected="0">
            <x v="0"/>
          </reference>
          <reference field="3" count="1" selected="0">
            <x v="0"/>
          </reference>
          <reference field="5" count="1" selected="0">
            <x v="1"/>
          </reference>
        </references>
      </pivotArea>
    </chartFormat>
    <chartFormat chart="4" format="411" series="1">
      <pivotArea type="data" outline="0" fieldPosition="0">
        <references count="3">
          <reference field="0" count="1" selected="0">
            <x v="1"/>
          </reference>
          <reference field="3" count="1" selected="0">
            <x v="1"/>
          </reference>
          <reference field="5" count="1" selected="0">
            <x v="0"/>
          </reference>
        </references>
      </pivotArea>
    </chartFormat>
    <chartFormat chart="4" format="412" series="1">
      <pivotArea type="data" outline="0" fieldPosition="0">
        <references count="3">
          <reference field="0" count="1" selected="0">
            <x v="1"/>
          </reference>
          <reference field="3" count="1" selected="0">
            <x v="1"/>
          </reference>
          <reference field="5" count="1" selected="0">
            <x v="2"/>
          </reference>
        </references>
      </pivotArea>
    </chartFormat>
    <chartFormat chart="4" format="413" series="1">
      <pivotArea type="data" outline="0" fieldPosition="0">
        <references count="3">
          <reference field="0" count="1" selected="0">
            <x v="2"/>
          </reference>
          <reference field="3" count="1" selected="0">
            <x v="1"/>
          </reference>
          <reference field="5" count="1" selected="0">
            <x v="0"/>
          </reference>
        </references>
      </pivotArea>
    </chartFormat>
    <chartFormat chart="4" format="414" series="1">
      <pivotArea type="data" outline="0" fieldPosition="0">
        <references count="3">
          <reference field="0" count="1" selected="0">
            <x v="2"/>
          </reference>
          <reference field="3" count="1" selected="0">
            <x v="1"/>
          </reference>
          <reference field="5" count="1" selected="0">
            <x v="2"/>
          </reference>
        </references>
      </pivotArea>
    </chartFormat>
    <chartFormat chart="4" format="415" series="1">
      <pivotArea type="data" outline="0" fieldPosition="0">
        <references count="3">
          <reference field="0" count="1" selected="0">
            <x v="3"/>
          </reference>
          <reference field="3" count="1" selected="0">
            <x v="1"/>
          </reference>
          <reference field="5" count="1" selected="0">
            <x v="0"/>
          </reference>
        </references>
      </pivotArea>
    </chartFormat>
    <chartFormat chart="4" format="416" series="1">
      <pivotArea type="data" outline="0" fieldPosition="0">
        <references count="3">
          <reference field="0" count="1" selected="0">
            <x v="3"/>
          </reference>
          <reference field="3" count="1" selected="0">
            <x v="1"/>
          </reference>
          <reference field="5" count="1" selected="0">
            <x v="2"/>
          </reference>
        </references>
      </pivotArea>
    </chartFormat>
    <chartFormat chart="4" format="417" series="1">
      <pivotArea type="data" outline="0" fieldPosition="0">
        <references count="3">
          <reference field="0" count="1" selected="0">
            <x v="4"/>
          </reference>
          <reference field="3" count="1" selected="0">
            <x v="1"/>
          </reference>
          <reference field="5" count="1" selected="0">
            <x v="0"/>
          </reference>
        </references>
      </pivotArea>
    </chartFormat>
    <chartFormat chart="4" format="418" series="1">
      <pivotArea type="data" outline="0" fieldPosition="0">
        <references count="3">
          <reference field="0" count="1" selected="0">
            <x v="4"/>
          </reference>
          <reference field="3" count="1" selected="0">
            <x v="1"/>
          </reference>
          <reference field="5" count="1" selected="0">
            <x v="2"/>
          </reference>
        </references>
      </pivotArea>
    </chartFormat>
    <chartFormat chart="4" format="4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1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2">
  <location ref="A3:O17" firstHeaderRow="1" firstDataRow="6" firstDataCol="1"/>
  <pivotFields count="28">
    <pivotField axis="axisCol" showAll="0" defaultSubtotal="0">
      <items count="3">
        <item h="1" x="2"/>
        <item x="0"/>
        <item x="1"/>
      </items>
    </pivotField>
    <pivotField axis="axisRow" showAll="0" defaultSubtotal="0">
      <items count="20">
        <item n="NH3 plant with AEC layout (t NH3/h)" x="0"/>
        <item n="Waste water plant (t H2O / h)" x="1"/>
        <item n="Electrolyser AEC (t H2/h)" x="2"/>
        <item h="1" x="16"/>
        <item h="1" x="17"/>
        <item h="1" x="15"/>
        <item h="1" x="4"/>
        <item n="Heat sent to district heating (MWth)" h="1" x="5"/>
        <item n="Sale of oxygen (t O2/h)" h="1" x="6"/>
        <item n="Grid (MW)" h="1" x="14"/>
        <item h="1" x="19"/>
        <item h="1" x="3"/>
        <item h="1" x="7"/>
        <item h="1" x="8"/>
        <item n="H2 storage (buried pipes) (t H2)" x="9"/>
        <item x="10"/>
        <item x="11"/>
        <item x="12"/>
        <item x="13"/>
        <item n="Batteries (MWh)" x="18"/>
      </items>
    </pivotField>
    <pivotField showAll="0" defaultSubtotal="0"/>
    <pivotField showAll="0" defaultSubtotal="0"/>
    <pivotField axis="axisCol" showAll="0" defaultSubtotal="0">
      <items count="8">
        <item x="0"/>
        <item x="6"/>
        <item x="1"/>
        <item x="2"/>
        <item x="3"/>
        <item x="4"/>
        <item x="5"/>
        <item x="7"/>
      </items>
    </pivotField>
    <pivotField axis="axisCol" showAll="0" defaultSubtotal="0">
      <items count="2">
        <item x="0"/>
        <item h="1" x="1"/>
      </items>
    </pivotField>
    <pivotField axis="axisCol" showAll="0" defaultSubtotal="0">
      <items count="2">
        <item x="0"/>
        <item x="1"/>
      </items>
    </pivotField>
    <pivotField axis="axisCol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9">
    <i>
      <x/>
    </i>
    <i>
      <x v="1"/>
    </i>
    <i>
      <x v="2"/>
    </i>
    <i>
      <x v="14"/>
    </i>
    <i>
      <x v="15"/>
    </i>
    <i>
      <x v="16"/>
    </i>
    <i>
      <x v="17"/>
    </i>
    <i>
      <x v="18"/>
    </i>
    <i>
      <x v="19"/>
    </i>
  </rowItems>
  <colFields count="5">
    <field x="0"/>
    <field x="6"/>
    <field x="5"/>
    <field x="7"/>
    <field x="4"/>
  </colFields>
  <colItems count="14">
    <i>
      <x v="1"/>
      <x/>
      <x/>
      <x/>
      <x/>
    </i>
    <i r="4">
      <x v="1"/>
    </i>
    <i r="4">
      <x v="2"/>
    </i>
    <i r="4">
      <x v="3"/>
    </i>
    <i r="4">
      <x v="4"/>
    </i>
    <i r="4">
      <x v="5"/>
    </i>
    <i r="4">
      <x v="6"/>
    </i>
    <i>
      <x v="2"/>
      <x/>
      <x/>
      <x/>
      <x/>
    </i>
    <i r="4">
      <x v="1"/>
    </i>
    <i r="4">
      <x v="2"/>
    </i>
    <i r="4">
      <x v="3"/>
    </i>
    <i r="4">
      <x v="4"/>
    </i>
    <i r="4">
      <x v="5"/>
    </i>
    <i r="4">
      <x v="6"/>
    </i>
  </colItems>
  <dataFields count="1">
    <dataField name="Sum of Installed capacity(MW or t/h)" fld="11" baseField="0" baseItem="4"/>
  </dataFields>
  <formats count="9">
    <format dxfId="51">
      <pivotArea collapsedLevelsAreSubtotals="1" fieldPosition="0">
        <references count="1">
          <reference field="1" count="0"/>
        </references>
      </pivotArea>
    </format>
    <format dxfId="50">
      <pivotArea collapsedLevelsAreSubtotals="1" fieldPosition="0">
        <references count="1">
          <reference field="1" count="0"/>
        </references>
      </pivotArea>
    </format>
    <format dxfId="49">
      <pivotArea collapsedLevelsAreSubtotals="1" fieldPosition="0">
        <references count="1">
          <reference field="1" count="0"/>
        </references>
      </pivotArea>
    </format>
    <format dxfId="48">
      <pivotArea collapsedLevelsAreSubtotals="1" fieldPosition="0">
        <references count="1">
          <reference field="1" count="0"/>
        </references>
      </pivotArea>
    </format>
    <format dxfId="47">
      <pivotArea collapsedLevelsAreSubtotals="1" fieldPosition="0">
        <references count="1">
          <reference field="1" count="0"/>
        </references>
      </pivotArea>
    </format>
    <format dxfId="46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45">
      <pivotArea outline="0" collapsedLevelsAreSubtotals="1" fieldPosition="0">
        <references count="1">
          <reference field="0" count="1" selected="0">
            <x v="2"/>
          </reference>
        </references>
      </pivotArea>
    </format>
    <format dxfId="44">
      <pivotArea collapsedLevelsAreSubtotals="1" fieldPosition="0">
        <references count="6">
          <reference field="0" count="1" selected="0">
            <x v="1"/>
          </reference>
          <reference field="1" count="1">
            <x v="2"/>
          </reference>
          <reference field="4" count="7" selected="0">
            <x v="0"/>
            <x v="1"/>
            <x v="2"/>
            <x v="3"/>
            <x v="4"/>
            <x v="5"/>
            <x v="6"/>
          </reference>
          <reference field="5" count="0" selected="0"/>
          <reference field="6" count="1" selected="0">
            <x v="0"/>
          </reference>
          <reference field="7" count="1" selected="0">
            <x v="0"/>
          </reference>
        </references>
      </pivotArea>
    </format>
    <format dxfId="43">
      <pivotArea collapsedLevelsAreSubtotals="1" fieldPosition="0">
        <references count="6">
          <reference field="0" count="1" selected="0">
            <x v="1"/>
          </reference>
          <reference field="1" count="1">
            <x v="2"/>
          </reference>
          <reference field="4" count="7" selected="0">
            <x v="0"/>
            <x v="1"/>
            <x v="2"/>
            <x v="3"/>
            <x v="4"/>
            <x v="5"/>
            <x v="6"/>
          </reference>
          <reference field="5" count="0" selected="0"/>
          <reference field="6" count="1" selected="0">
            <x v="0"/>
          </reference>
          <reference field="7" count="1" selected="0">
            <x v="0"/>
          </reference>
        </references>
      </pivotArea>
    </format>
  </formats>
  <chartFormats count="15"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3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4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5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6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7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8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59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2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60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61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1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62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2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63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3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64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4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65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5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66" series="1">
      <pivotArea type="data" outline="0" fieldPosition="0">
        <references count="6">
          <reference field="4294967294" count="1" selected="0">
            <x v="0"/>
          </reference>
          <reference field="0" count="1" selected="0">
            <x v="1"/>
          </reference>
          <reference field="4" count="1" selected="0">
            <x v="6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1" cacheId="1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3">
  <location ref="A3:C55" firstHeaderRow="1" firstDataRow="5" firstDataCol="1"/>
  <pivotFields count="28">
    <pivotField axis="axisCol" showAll="0" defaultSubtotal="0">
      <items count="3">
        <item h="1" x="2"/>
        <item x="0"/>
        <item x="1"/>
      </items>
    </pivotField>
    <pivotField axis="axisRow" showAll="0" defaultSubtotal="0">
      <items count="20">
        <item n="NH3 plant with AEC layout (kt NH3)" x="0"/>
        <item n="Electrolyser AEC (kt H2)" x="2"/>
        <item h="1" x="16"/>
        <item h="1" x="17"/>
        <item h="1" x="4"/>
        <item n="Heat sent to district heating (GWhth)" x="5"/>
        <item n="Sale of oxygen (kt O2)" x="6"/>
        <item n="Grid (GWh)" x="14"/>
        <item h="1" x="19"/>
        <item h="1" x="3"/>
        <item h="1" x="7"/>
        <item h="1" x="8"/>
        <item n="Batteries (MWh)" h="1" x="18"/>
        <item n="H2 storage (buried pipes) (kt H2)" h="1" x="9"/>
        <item n="Curtailment (GWh)" x="15"/>
        <item h="1" x="1"/>
        <item h="1" x="10"/>
        <item h="1" x="11"/>
        <item h="1" x="12"/>
        <item h="1" x="13"/>
      </items>
    </pivotField>
    <pivotField showAll="0" defaultSubtotal="0"/>
    <pivotField showAll="0" defaultSubtotal="0"/>
    <pivotField axis="axisRow" showAll="0" defaultSubtotal="0">
      <items count="8">
        <item x="0"/>
        <item x="6"/>
        <item x="1"/>
        <item x="2"/>
        <item x="3"/>
        <item x="4"/>
        <item x="5"/>
        <item x="7"/>
      </items>
    </pivotField>
    <pivotField axis="axisCol" showAll="0" defaultSubtotal="0">
      <items count="2">
        <item x="0"/>
        <item h="1" x="1"/>
      </items>
    </pivotField>
    <pivotField axis="axisCol" showAll="0" defaultSubtotal="0">
      <items count="2">
        <item x="0"/>
        <item h="1" x="1"/>
      </items>
    </pivotField>
    <pivotField axis="axisCol" showAll="0" defaultSubtotal="0">
      <items count="2">
        <item x="0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1"/>
    <field x="4"/>
  </rowFields>
  <rowItems count="4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4">
    <field x="0"/>
    <field x="6"/>
    <field x="5"/>
    <field x="7"/>
  </colFields>
  <colItems count="2">
    <i>
      <x v="1"/>
      <x/>
      <x/>
      <x/>
    </i>
    <i>
      <x v="2"/>
      <x/>
      <x/>
      <x/>
    </i>
  </colItems>
  <dataFields count="1">
    <dataField name="Sum of Production(kton or GWh)" fld="20" baseField="1" baseItem="0"/>
  </dataFields>
  <formats count="5">
    <format dxfId="42">
      <pivotArea collapsedLevelsAreSubtotals="1" fieldPosition="0">
        <references count="1">
          <reference field="1" count="0"/>
        </references>
      </pivotArea>
    </format>
    <format dxfId="41">
      <pivotArea collapsedLevelsAreSubtotals="1" fieldPosition="0">
        <references count="1">
          <reference field="1" count="0"/>
        </references>
      </pivotArea>
    </format>
    <format dxfId="40">
      <pivotArea collapsedLevelsAreSubtotals="1" fieldPosition="0">
        <references count="1">
          <reference field="1" count="0"/>
        </references>
      </pivotArea>
    </format>
    <format dxfId="39">
      <pivotArea collapsedLevelsAreSubtotals="1" fieldPosition="0">
        <references count="1">
          <reference field="1" count="0"/>
        </references>
      </pivotArea>
    </format>
    <format dxfId="38">
      <pivotArea collapsedLevelsAreSubtotals="1" fieldPosition="0">
        <references count="1">
          <reference field="1" count="0"/>
        </references>
      </pivotArea>
    </format>
  </formats>
  <chartFormats count="2">
    <chartFormat chart="2" format="11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2" format="1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4">
  <location ref="A4:F22" firstHeaderRow="1" firstDataRow="2" firstDataCol="1"/>
  <pivotFields count="37">
    <pivotField axis="axisRow" multipleItemSelectionAllowed="1" showAll="0">
      <items count="4">
        <item h="1" x="2"/>
        <item x="0"/>
        <item x="1"/>
        <item t="default"/>
      </items>
    </pivotField>
    <pivotField axis="axisCol" showAll="0">
      <items count="21">
        <item n="Grid" h="1" x="14"/>
        <item n="H2 storage (buried pipes)" x="9"/>
        <item x="2"/>
        <item n="NH3 plant AEC layout" x="0"/>
        <item h="1" x="17"/>
        <item h="1" x="15"/>
        <item h="1" x="3"/>
        <item h="1" x="4"/>
        <item h="1" x="5"/>
        <item h="1" x="6"/>
        <item h="1" x="19"/>
        <item h="1" x="7"/>
        <item h="1" x="8"/>
        <item h="1" x="16"/>
        <item x="18"/>
        <item h="1" x="1"/>
        <item h="1" x="10"/>
        <item h="1" x="11"/>
        <item h="1" x="12"/>
        <item h="1" x="13"/>
        <item t="default"/>
      </items>
    </pivotField>
    <pivotField showAll="0" defaultSubtotal="0"/>
    <pivotField showAll="0"/>
    <pivotField axis="axisRow" showAll="0" defaultSubtotal="0">
      <items count="8">
        <item x="0"/>
        <item x="6"/>
        <item x="1"/>
        <item x="2"/>
        <item x="3"/>
        <item x="4"/>
        <item x="5"/>
        <item x="7"/>
      </items>
    </pivotField>
    <pivotField multipleItemSelectionAllowed="1" showAll="0">
      <items count="3">
        <item x="0"/>
        <item h="1" x="1"/>
        <item t="default"/>
      </items>
    </pivotField>
    <pivotField multipleItemSelectionAllowed="1" showAll="0">
      <items count="3">
        <item x="0"/>
        <item h="1" x="1"/>
        <item t="default"/>
      </items>
    </pivotField>
    <pivotField showAll="0" defaultSubtotal="0">
      <items count="2">
        <item n=" " x="0"/>
        <item x="1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</pivotFields>
  <rowFields count="2">
    <field x="0"/>
    <field x="4"/>
  </rowFields>
  <rowItems count="17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1"/>
  </colFields>
  <colItems count="5">
    <i>
      <x v="1"/>
    </i>
    <i>
      <x v="2"/>
    </i>
    <i>
      <x v="3"/>
    </i>
    <i>
      <x v="14"/>
    </i>
    <i t="grand">
      <x/>
    </i>
  </colItems>
  <dataFields count="1">
    <dataField name="Sum of Land use per unit (km2)" fld="34" baseField="0" baseItem="1"/>
  </dataFields>
  <formats count="18">
    <format dxfId="37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36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5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34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3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32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31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30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29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28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27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26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25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24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23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22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  <format dxfId="21">
      <pivotArea collapsedLevelsAreSubtotals="1" fieldPosition="0">
        <references count="2">
          <reference field="0" count="1">
            <x v="1"/>
          </reference>
          <reference field="1" count="0" selected="0"/>
        </references>
      </pivotArea>
    </format>
    <format dxfId="20">
      <pivotArea collapsedLevelsAreSubtotals="1" fieldPosition="0">
        <references count="2">
          <reference field="0" count="1">
            <x v="2"/>
          </reference>
          <reference field="1" count="0" selected="0"/>
        </references>
      </pivotArea>
    </format>
  </formats>
  <chartFormats count="21">
    <chartFormat chart="0" format="0" series="1">
      <pivotArea type="data" outline="0" fieldPosition="0">
        <references count="1">
          <reference field="1" count="1" selected="0">
            <x v="14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13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9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12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16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17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19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32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35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106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06" format="2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0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06" format="28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3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1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3">
  <location ref="A3:N35" firstHeaderRow="1" firstDataRow="2" firstDataCol="1" rowPageCount="1" colPageCount="1"/>
  <pivotFields count="34">
    <pivotField axis="axisRow" showAll="0">
      <items count="4">
        <item h="1" x="2"/>
        <item n="Local R.E. and grid connection" x="0"/>
        <item x="1"/>
        <item t="default"/>
      </items>
    </pivotField>
    <pivotField axis="axisCol" showAll="0" measureFilter="1">
      <items count="38">
        <item x="24"/>
        <item x="11"/>
        <item n="Wind onshore (SP198-HH100 turbine)" x="12"/>
        <item n="Wind Onshore (SP198-HH150 turbine)" x="13"/>
        <item x="2"/>
        <item n="NH3 plant " x="0"/>
        <item x="9"/>
        <item x="29"/>
        <item x="27"/>
        <item x="1"/>
        <item x="28"/>
        <item x="25"/>
        <item x="3"/>
        <item x="7"/>
        <item x="8"/>
        <item x="4"/>
        <item x="5"/>
        <item x="20"/>
        <item x="21"/>
        <item x="22"/>
        <item x="23"/>
        <item x="14"/>
        <item x="15"/>
        <item x="16"/>
        <item x="17"/>
        <item x="18"/>
        <item x="19"/>
        <item x="6"/>
        <item x="10"/>
        <item x="36"/>
        <item x="26"/>
        <item x="30"/>
        <item x="31"/>
        <item x="32"/>
        <item x="33"/>
        <item x="34"/>
        <item x="35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axis="axisRow" showAll="0">
      <items count="5">
        <item x="0"/>
        <item x="3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showAll="0"/>
  </pivotFields>
  <rowFields count="3">
    <field x="3"/>
    <field x="4"/>
    <field x="0"/>
  </rowFields>
  <rowItems count="31">
    <i>
      <x v="1"/>
    </i>
    <i r="1">
      <x/>
    </i>
    <i r="2">
      <x v="1"/>
    </i>
    <i r="2">
      <x v="2"/>
    </i>
    <i r="1">
      <x v="2"/>
    </i>
    <i r="2">
      <x v="1"/>
    </i>
    <i r="2">
      <x v="2"/>
    </i>
    <i r="1">
      <x v="3"/>
    </i>
    <i r="2">
      <x v="1"/>
    </i>
    <i r="2">
      <x v="2"/>
    </i>
    <i>
      <x v="2"/>
    </i>
    <i r="1">
      <x/>
    </i>
    <i r="2">
      <x v="1"/>
    </i>
    <i r="2">
      <x v="2"/>
    </i>
    <i r="1">
      <x v="2"/>
    </i>
    <i r="2">
      <x v="1"/>
    </i>
    <i r="2">
      <x v="2"/>
    </i>
    <i r="1">
      <x v="3"/>
    </i>
    <i r="2">
      <x v="1"/>
    </i>
    <i r="2">
      <x v="2"/>
    </i>
    <i>
      <x v="3"/>
    </i>
    <i r="1">
      <x/>
    </i>
    <i r="2">
      <x v="1"/>
    </i>
    <i r="2">
      <x v="2"/>
    </i>
    <i r="1">
      <x v="2"/>
    </i>
    <i r="2">
      <x v="1"/>
    </i>
    <i r="2">
      <x v="2"/>
    </i>
    <i r="1">
      <x v="3"/>
    </i>
    <i r="2">
      <x v="1"/>
    </i>
    <i r="2">
      <x v="2"/>
    </i>
    <i t="grand">
      <x/>
    </i>
  </rowItems>
  <colFields count="1">
    <field x="1"/>
  </colFields>
  <colItems count="13">
    <i>
      <x/>
    </i>
    <i>
      <x v="1"/>
    </i>
    <i>
      <x v="2"/>
    </i>
    <i>
      <x v="4"/>
    </i>
    <i>
      <x v="5"/>
    </i>
    <i>
      <x v="6"/>
    </i>
    <i>
      <x v="7"/>
    </i>
    <i>
      <x v="30"/>
    </i>
    <i>
      <x v="31"/>
    </i>
    <i>
      <x v="32"/>
    </i>
    <i>
      <x v="34"/>
    </i>
    <i>
      <x v="35"/>
    </i>
    <i t="grand">
      <x/>
    </i>
  </colItems>
  <pageFields count="1">
    <pageField fld="5" item="0" hier="-1"/>
  </pageFields>
  <dataFields count="1">
    <dataField name="Sum of CO2e per unit (kgCO2e/GJfuel)" fld="31" baseField="0" baseItem="0"/>
  </dataFields>
  <chartFormats count="13"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NotEqual" evalOrder="-1" id="3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1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1">
  <location ref="A4:C9" firstHeaderRow="1" firstDataRow="2" firstDataCol="1" rowPageCount="1" colPageCount="1"/>
  <pivotFields count="34">
    <pivotField axis="axisRow" subtotalTop="0" multipleItemSelectionAllowed="1" showAll="0" defaultSubtotal="0">
      <items count="3">
        <item h="1" x="2"/>
        <item x="0"/>
        <item h="1" x="1"/>
      </items>
    </pivotField>
    <pivotField axis="axisCol" subtotalTop="0" showAll="0" defaultSubtotal="0">
      <items count="37">
        <item h="1" x="29"/>
        <item h="1" x="27"/>
        <item h="1" x="1"/>
        <item h="1" x="28"/>
        <item h="1" x="24"/>
        <item h="1" x="25"/>
        <item h="1" x="2"/>
        <item h="1" x="3"/>
        <item h="1" x="4"/>
        <item h="1" x="5"/>
        <item x="0"/>
        <item h="1" x="20"/>
        <item h="1" x="21"/>
        <item h="1" x="22"/>
        <item h="1" x="23"/>
        <item h="1" x="12"/>
        <item h="1" x="13"/>
        <item h="1" x="14"/>
        <item h="1" x="15"/>
        <item h="1" x="16"/>
        <item h="1" x="17"/>
        <item h="1" x="18"/>
        <item h="1" x="19"/>
        <item h="1" x="6"/>
        <item h="1" x="10"/>
        <item h="1" x="11"/>
        <item h="1" x="36"/>
        <item h="1" x="7"/>
        <item h="1" x="8"/>
        <item h="1" x="9"/>
        <item h="1" x="26"/>
        <item h="1" x="30"/>
        <item h="1" x="31"/>
        <item h="1" x="32"/>
        <item h="1" x="33"/>
        <item h="1" x="34"/>
        <item h="1" x="35"/>
      </items>
    </pivotField>
    <pivotField subtotalTop="0" showAll="0" defaultSubtotal="0"/>
    <pivotField axis="axisRow" subtotalTop="0" showAll="0" defaultSubtotal="0">
      <items count="4">
        <item h="1" x="3"/>
        <item x="0"/>
        <item h="1" x="1"/>
        <item h="1" x="2"/>
      </items>
    </pivotField>
    <pivotField axis="axisRow" subtotalTop="0" multipleItemSelectionAllowed="1" showAll="0" defaultSubtotal="0">
      <items count="4">
        <item x="0"/>
        <item h="1" x="3"/>
        <item h="1" x="1"/>
        <item h="1" x="2"/>
      </items>
    </pivotField>
    <pivotField axis="axisPage" subtotalTop="0" multipleItemSelectionAllowed="1" showAll="0" defaultSubtotal="0">
      <items count="2">
        <item x="0"/>
        <item h="1" x="1"/>
      </items>
    </pivotField>
    <pivotField subtotalTop="0" showAll="0" defaultSubtotal="0"/>
    <pivotField subtotalTop="0" showAll="0" defaultSubtotal="0"/>
    <pivotField showAll="0" defaultSubtotal="0"/>
    <pivotField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howAll="0" defaultSubtotal="0"/>
    <pivotField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3">
    <field x="0"/>
    <field x="3"/>
    <field x="4"/>
  </rowFields>
  <rowItems count="4">
    <i>
      <x v="1"/>
    </i>
    <i r="1">
      <x v="1"/>
    </i>
    <i r="2">
      <x/>
    </i>
    <i t="grand">
      <x/>
    </i>
  </rowItems>
  <colFields count="1">
    <field x="1"/>
  </colFields>
  <colItems count="2">
    <i>
      <x v="10"/>
    </i>
    <i t="grand">
      <x/>
    </i>
  </colItems>
  <pageFields count="1">
    <pageField fld="5" hier="-1"/>
  </pageFields>
  <dataFields count="1">
    <dataField name="Sum of CO2e total system (kg CO2e/GJfuel) " fld="32" baseField="0" baseItem="0"/>
  </dataFields>
  <formats count="20">
    <format dxfId="19">
      <pivotArea grandRow="1" outline="0" collapsedLevelsAreSubtotals="1" fieldPosition="0"/>
    </format>
    <format dxfId="18">
      <pivotArea grandRow="1" outline="0" collapsedLevelsAreSubtotals="1" fieldPosition="0"/>
    </format>
    <format dxfId="17">
      <pivotArea grandRow="1" outline="0" collapsedLevelsAreSubtotals="1" fieldPosition="0"/>
    </format>
    <format dxfId="16">
      <pivotArea grandRow="1" outline="0" collapsedLevelsAreSubtotals="1" fieldPosition="0"/>
    </format>
    <format dxfId="15">
      <pivotArea grandRow="1" outline="0" collapsedLevelsAreSubtotals="1" fieldPosition="0"/>
    </format>
    <format dxfId="14">
      <pivotArea grandRow="1" outline="0" collapsedLevelsAreSubtotals="1" fieldPosition="0"/>
    </format>
    <format dxfId="13">
      <pivotArea grandRow="1" outline="0" collapsedLevelsAreSubtotals="1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collapsedLevelsAreSubtotals="1" fieldPosition="0"/>
    </format>
  </formats>
  <chartFormats count="1">
    <chartFormat chart="92" format="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2:M5"/>
  <sheetViews>
    <sheetView workbookViewId="0">
      <selection activeCell="E15" sqref="E15"/>
    </sheetView>
  </sheetViews>
  <sheetFormatPr defaultRowHeight="14.5" x14ac:dyDescent="0.35"/>
  <cols>
    <col min="3" max="3" width="9.7265625" customWidth="1"/>
    <col min="4" max="4" width="13.81640625" customWidth="1"/>
  </cols>
  <sheetData>
    <row r="2" spans="1:13" x14ac:dyDescent="0.35">
      <c r="A2" s="18" t="s">
        <v>0</v>
      </c>
      <c r="B2" s="18"/>
      <c r="C2" s="18"/>
      <c r="D2" s="1" t="s">
        <v>121</v>
      </c>
      <c r="E2" s="1"/>
      <c r="F2" s="1"/>
      <c r="G2" s="1"/>
      <c r="H2" s="1"/>
      <c r="I2" s="1"/>
      <c r="J2" s="1"/>
      <c r="K2" s="1"/>
      <c r="L2" s="1"/>
      <c r="M2" s="1"/>
    </row>
    <row r="4" spans="1:13" x14ac:dyDescent="0.35">
      <c r="A4" s="18" t="s">
        <v>24</v>
      </c>
      <c r="B4" s="18"/>
      <c r="C4" s="18"/>
      <c r="D4" t="s">
        <v>67</v>
      </c>
    </row>
    <row r="5" spans="1:13" x14ac:dyDescent="0.35">
      <c r="A5" t="s">
        <v>25</v>
      </c>
    </row>
  </sheetData>
  <mergeCells count="2">
    <mergeCell ref="A2:C2"/>
    <mergeCell ref="A4:C4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ImportMainResults">
                <anchor moveWithCells="1" sizeWithCells="1">
                  <from>
                    <xdr:col>1</xdr:col>
                    <xdr:colOff>6350</xdr:colOff>
                    <xdr:row>8</xdr:row>
                    <xdr:rowOff>6350</xdr:rowOff>
                  </from>
                  <to>
                    <xdr:col>4</xdr:col>
                    <xdr:colOff>152400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HourlyResults">
                <anchor moveWithCells="1" sizeWithCells="1">
                  <from>
                    <xdr:col>5</xdr:col>
                    <xdr:colOff>533400</xdr:colOff>
                    <xdr:row>7</xdr:row>
                    <xdr:rowOff>152400</xdr:rowOff>
                  </from>
                  <to>
                    <xdr:col>9</xdr:col>
                    <xdr:colOff>69850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AL267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RowHeight="14.5" x14ac:dyDescent="0.35"/>
  <cols>
    <col min="1" max="1" width="31" customWidth="1"/>
    <col min="2" max="2" width="27.1796875" bestFit="1" customWidth="1"/>
    <col min="3" max="3" width="4.81640625" bestFit="1" customWidth="1"/>
    <col min="4" max="4" width="18.7265625" customWidth="1"/>
    <col min="5" max="5" width="11.7265625" customWidth="1"/>
    <col min="6" max="6" width="10.453125" bestFit="1" customWidth="1"/>
    <col min="7" max="7" width="11.08984375" bestFit="1" customWidth="1"/>
    <col min="8" max="8" width="7.26953125" bestFit="1" customWidth="1"/>
    <col min="9" max="9" width="25.54296875" bestFit="1" customWidth="1"/>
    <col min="10" max="10" width="22.7265625" bestFit="1" customWidth="1"/>
    <col min="11" max="11" width="27.90625" bestFit="1" customWidth="1"/>
    <col min="12" max="12" width="18" bestFit="1" customWidth="1"/>
    <col min="13" max="13" width="20.453125" bestFit="1" customWidth="1"/>
    <col min="14" max="14" width="15.90625" bestFit="1" customWidth="1"/>
    <col min="15" max="15" width="19.36328125" bestFit="1" customWidth="1"/>
    <col min="16" max="16" width="23.81640625" customWidth="1"/>
    <col min="17" max="17" width="15.7265625" customWidth="1"/>
    <col min="18" max="18" width="25.90625" bestFit="1" customWidth="1"/>
    <col min="19" max="20" width="25.90625" customWidth="1"/>
    <col min="21" max="21" width="36.1796875" bestFit="1" customWidth="1"/>
    <col min="22" max="22" width="32.81640625" bestFit="1" customWidth="1"/>
    <col min="23" max="23" width="35.6328125" bestFit="1" customWidth="1"/>
    <col min="24" max="24" width="33.6328125" bestFit="1" customWidth="1"/>
    <col min="25" max="25" width="12.453125" bestFit="1" customWidth="1"/>
    <col min="26" max="26" width="13.1796875" bestFit="1" customWidth="1"/>
    <col min="27" max="27" width="33.6328125" bestFit="1" customWidth="1"/>
    <col min="28" max="28" width="28.36328125" bestFit="1" customWidth="1"/>
    <col min="29" max="29" width="25.36328125" bestFit="1" customWidth="1"/>
    <col min="30" max="30" width="26.90625" bestFit="1" customWidth="1"/>
    <col min="31" max="32" width="18.6328125" customWidth="1"/>
  </cols>
  <sheetData>
    <row r="1" spans="1:38" x14ac:dyDescent="0.35">
      <c r="A1" t="s">
        <v>6</v>
      </c>
      <c r="B1" t="s">
        <v>7</v>
      </c>
      <c r="C1" t="s">
        <v>122</v>
      </c>
      <c r="D1" t="s">
        <v>33</v>
      </c>
      <c r="E1" t="s">
        <v>123</v>
      </c>
      <c r="F1" t="s">
        <v>34</v>
      </c>
      <c r="G1" t="s">
        <v>26</v>
      </c>
      <c r="H1" t="s">
        <v>38</v>
      </c>
      <c r="I1" t="s">
        <v>61</v>
      </c>
      <c r="J1" t="s">
        <v>62</v>
      </c>
      <c r="K1" t="s">
        <v>93</v>
      </c>
      <c r="L1" t="s">
        <v>32</v>
      </c>
      <c r="M1" t="s">
        <v>8</v>
      </c>
      <c r="N1" t="s">
        <v>9</v>
      </c>
      <c r="O1" t="s">
        <v>10</v>
      </c>
      <c r="P1" t="s">
        <v>11</v>
      </c>
      <c r="Q1" t="s">
        <v>63</v>
      </c>
      <c r="R1" t="s">
        <v>64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70</v>
      </c>
      <c r="Y1" t="s">
        <v>71</v>
      </c>
      <c r="Z1" t="s">
        <v>72</v>
      </c>
      <c r="AA1" t="s">
        <v>73</v>
      </c>
      <c r="AB1" t="s">
        <v>30</v>
      </c>
      <c r="AC1" t="s">
        <v>31</v>
      </c>
      <c r="AD1" t="s">
        <v>65</v>
      </c>
      <c r="AE1" t="s">
        <v>66</v>
      </c>
      <c r="AF1" t="s">
        <v>74</v>
      </c>
      <c r="AG1" t="s">
        <v>75</v>
      </c>
      <c r="AH1" t="s">
        <v>94</v>
      </c>
      <c r="AI1" t="s">
        <v>95</v>
      </c>
      <c r="AJ1" t="s">
        <v>96</v>
      </c>
      <c r="AK1" t="s">
        <v>97</v>
      </c>
      <c r="AL1" t="s">
        <v>39</v>
      </c>
    </row>
    <row r="2" spans="1:38" x14ac:dyDescent="0.35">
      <c r="A2" t="s">
        <v>124</v>
      </c>
      <c r="B2" t="s">
        <v>42</v>
      </c>
      <c r="C2">
        <v>2030</v>
      </c>
      <c r="D2" t="s">
        <v>98</v>
      </c>
      <c r="E2">
        <v>2015</v>
      </c>
      <c r="F2" t="s">
        <v>43</v>
      </c>
      <c r="G2" t="s">
        <v>35</v>
      </c>
      <c r="H2" t="s">
        <v>44</v>
      </c>
      <c r="I2">
        <v>0</v>
      </c>
      <c r="J2">
        <v>0</v>
      </c>
      <c r="K2" t="s">
        <v>99</v>
      </c>
      <c r="L2">
        <v>85.175352370948104</v>
      </c>
      <c r="M2">
        <v>567.45182555163501</v>
      </c>
      <c r="N2">
        <v>50.216975712534101</v>
      </c>
      <c r="O2">
        <v>22.698073022065401</v>
      </c>
      <c r="P2">
        <v>0</v>
      </c>
      <c r="Q2">
        <v>0</v>
      </c>
      <c r="R2">
        <v>0</v>
      </c>
      <c r="S2">
        <v>0</v>
      </c>
      <c r="T2">
        <v>72.915048734599495</v>
      </c>
      <c r="U2">
        <v>425.80645161289902</v>
      </c>
      <c r="V2">
        <v>0</v>
      </c>
      <c r="W2">
        <v>191.61290322578199</v>
      </c>
      <c r="X2">
        <v>1.0288387765328399</v>
      </c>
      <c r="Y2">
        <v>55.313912716819402</v>
      </c>
      <c r="Z2">
        <v>199.13008578054999</v>
      </c>
      <c r="AA2">
        <v>0.17123988717974201</v>
      </c>
      <c r="AB2">
        <v>0.63401071954547195</v>
      </c>
      <c r="AC2">
        <v>4999.1745236160396</v>
      </c>
      <c r="AD2">
        <v>1290.42793072777</v>
      </c>
      <c r="AE2">
        <v>0</v>
      </c>
      <c r="AF2">
        <v>1290.42793072777</v>
      </c>
      <c r="AG2">
        <v>0.16293281953633601</v>
      </c>
      <c r="AH2">
        <v>4.4746516888611501</v>
      </c>
      <c r="AI2">
        <v>0</v>
      </c>
      <c r="AJ2">
        <v>0</v>
      </c>
      <c r="AK2">
        <v>1.99186344684667E-2</v>
      </c>
      <c r="AL2">
        <v>57.489748630316399</v>
      </c>
    </row>
    <row r="3" spans="1:38" x14ac:dyDescent="0.35">
      <c r="A3" t="s">
        <v>124</v>
      </c>
      <c r="B3" t="s">
        <v>125</v>
      </c>
      <c r="C3">
        <v>2030</v>
      </c>
      <c r="D3" t="s">
        <v>98</v>
      </c>
      <c r="E3">
        <v>2015</v>
      </c>
      <c r="F3" t="s">
        <v>43</v>
      </c>
      <c r="G3" t="s">
        <v>35</v>
      </c>
      <c r="H3" t="s">
        <v>44</v>
      </c>
      <c r="I3">
        <v>0</v>
      </c>
      <c r="J3">
        <v>0</v>
      </c>
      <c r="K3" t="s">
        <v>99</v>
      </c>
      <c r="L3">
        <v>184.685185489849</v>
      </c>
      <c r="M3">
        <v>22.345644197603001</v>
      </c>
      <c r="N3">
        <v>2.6106314429081801</v>
      </c>
      <c r="O3">
        <v>0.67036932592809095</v>
      </c>
      <c r="P3">
        <v>0</v>
      </c>
      <c r="Q3">
        <v>0</v>
      </c>
      <c r="R3">
        <v>0</v>
      </c>
      <c r="S3">
        <v>5.60543184460549E-2</v>
      </c>
      <c r="T3">
        <v>3.3370550872823199</v>
      </c>
      <c r="U3">
        <v>862.37412993933697</v>
      </c>
      <c r="V3">
        <v>0</v>
      </c>
      <c r="W3">
        <v>2.1559353248481101</v>
      </c>
      <c r="X3">
        <v>0</v>
      </c>
      <c r="Y3">
        <v>0</v>
      </c>
      <c r="Z3">
        <v>0</v>
      </c>
      <c r="AA3">
        <v>3.8696140937310602E-3</v>
      </c>
      <c r="AB3">
        <v>0.59219121736362401</v>
      </c>
      <c r="AC3">
        <v>4669.4277489121696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57.489748630316399</v>
      </c>
    </row>
    <row r="4" spans="1:38" x14ac:dyDescent="0.35">
      <c r="A4" t="s">
        <v>124</v>
      </c>
      <c r="B4" t="s">
        <v>36</v>
      </c>
      <c r="C4">
        <v>2030</v>
      </c>
      <c r="D4" t="s">
        <v>98</v>
      </c>
      <c r="E4">
        <v>2015</v>
      </c>
      <c r="F4" t="s">
        <v>43</v>
      </c>
      <c r="G4" t="s">
        <v>35</v>
      </c>
      <c r="H4" t="s">
        <v>44</v>
      </c>
      <c r="I4">
        <v>0</v>
      </c>
      <c r="J4">
        <v>0</v>
      </c>
      <c r="K4" t="s">
        <v>99</v>
      </c>
      <c r="L4">
        <v>16.416460932431001</v>
      </c>
      <c r="M4">
        <v>654.03180354805397</v>
      </c>
      <c r="N4">
        <v>57.878920667969297</v>
      </c>
      <c r="O4">
        <v>65.4031803548054</v>
      </c>
      <c r="P4">
        <v>0</v>
      </c>
      <c r="Q4">
        <v>0</v>
      </c>
      <c r="R4">
        <v>0</v>
      </c>
      <c r="S4">
        <v>0</v>
      </c>
      <c r="T4">
        <v>123.282101022774</v>
      </c>
      <c r="U4">
        <v>76.655478216829593</v>
      </c>
      <c r="V4">
        <v>0</v>
      </c>
      <c r="W4">
        <v>3817.4428151982302</v>
      </c>
      <c r="X4">
        <v>0</v>
      </c>
      <c r="Y4">
        <v>0</v>
      </c>
      <c r="Z4">
        <v>0</v>
      </c>
      <c r="AA4">
        <v>1.60826210847</v>
      </c>
      <c r="AB4">
        <v>0.59219121736362401</v>
      </c>
      <c r="AC4">
        <v>4669.4277489121696</v>
      </c>
      <c r="AD4">
        <v>1263.76375678196</v>
      </c>
      <c r="AE4">
        <v>0</v>
      </c>
      <c r="AF4">
        <v>1263.76375678196</v>
      </c>
      <c r="AG4">
        <v>0.15956613090681501</v>
      </c>
      <c r="AH4">
        <v>0</v>
      </c>
      <c r="AI4">
        <v>7.7649860210398996E-3</v>
      </c>
      <c r="AJ4" s="13">
        <v>9.8042752790908592E-7</v>
      </c>
      <c r="AK4">
        <v>0</v>
      </c>
      <c r="AL4">
        <v>57.489748630316399</v>
      </c>
    </row>
    <row r="5" spans="1:38" x14ac:dyDescent="0.35">
      <c r="A5" t="s">
        <v>124</v>
      </c>
      <c r="B5" t="s">
        <v>45</v>
      </c>
      <c r="C5">
        <v>2030</v>
      </c>
      <c r="D5" t="s">
        <v>98</v>
      </c>
      <c r="E5">
        <v>2015</v>
      </c>
      <c r="F5" t="s">
        <v>43</v>
      </c>
      <c r="G5" t="s">
        <v>35</v>
      </c>
      <c r="H5" t="s">
        <v>44</v>
      </c>
      <c r="I5">
        <v>0</v>
      </c>
      <c r="J5">
        <v>0</v>
      </c>
      <c r="K5" t="s">
        <v>99</v>
      </c>
      <c r="L5">
        <v>15.3315634267706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76.645161290319905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0.63401071954547195</v>
      </c>
      <c r="AC5">
        <v>4999.1745236160396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57.489748630316399</v>
      </c>
    </row>
    <row r="6" spans="1:38" x14ac:dyDescent="0.35">
      <c r="A6" t="s">
        <v>124</v>
      </c>
      <c r="B6" t="s">
        <v>17</v>
      </c>
      <c r="C6">
        <v>2030</v>
      </c>
      <c r="D6" t="s">
        <v>98</v>
      </c>
      <c r="E6">
        <v>2015</v>
      </c>
      <c r="F6" t="s">
        <v>43</v>
      </c>
      <c r="G6" t="s">
        <v>35</v>
      </c>
      <c r="H6" t="s">
        <v>44</v>
      </c>
      <c r="I6">
        <v>0</v>
      </c>
      <c r="J6">
        <v>0</v>
      </c>
      <c r="K6" t="s">
        <v>99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">
        <v>27</v>
      </c>
      <c r="AC6" t="s">
        <v>27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57.489748630316399</v>
      </c>
    </row>
    <row r="7" spans="1:38" x14ac:dyDescent="0.35">
      <c r="A7" t="s">
        <v>124</v>
      </c>
      <c r="B7" t="s">
        <v>18</v>
      </c>
      <c r="C7">
        <v>2030</v>
      </c>
      <c r="D7" t="s">
        <v>98</v>
      </c>
      <c r="E7">
        <v>2015</v>
      </c>
      <c r="F7" t="s">
        <v>43</v>
      </c>
      <c r="G7" t="s">
        <v>35</v>
      </c>
      <c r="H7" t="s">
        <v>44</v>
      </c>
      <c r="I7">
        <v>0</v>
      </c>
      <c r="J7">
        <v>0</v>
      </c>
      <c r="K7" t="s">
        <v>99</v>
      </c>
      <c r="L7">
        <v>93.179832252478803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435.09649435872598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0.59219121736362401</v>
      </c>
      <c r="AC7">
        <v>4669.4277489121696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57.489748630316399</v>
      </c>
    </row>
    <row r="8" spans="1:38" x14ac:dyDescent="0.35">
      <c r="A8" t="s">
        <v>124</v>
      </c>
      <c r="B8" t="s">
        <v>19</v>
      </c>
      <c r="C8">
        <v>2030</v>
      </c>
      <c r="D8" t="s">
        <v>98</v>
      </c>
      <c r="E8">
        <v>2015</v>
      </c>
      <c r="F8" t="s">
        <v>43</v>
      </c>
      <c r="G8" t="s">
        <v>35</v>
      </c>
      <c r="H8" t="s">
        <v>44</v>
      </c>
      <c r="I8">
        <v>0</v>
      </c>
      <c r="J8">
        <v>0</v>
      </c>
      <c r="K8" t="s">
        <v>99</v>
      </c>
      <c r="L8">
        <v>127.391736835665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594.84651096257505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0.59219121736362401</v>
      </c>
      <c r="AC8">
        <v>4669.4277489121696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57.489748630316399</v>
      </c>
    </row>
    <row r="9" spans="1:38" x14ac:dyDescent="0.35">
      <c r="A9" t="s">
        <v>124</v>
      </c>
      <c r="B9" t="s">
        <v>55</v>
      </c>
      <c r="C9">
        <v>2030</v>
      </c>
      <c r="D9" t="s">
        <v>98</v>
      </c>
      <c r="E9">
        <v>2015</v>
      </c>
      <c r="F9" t="s">
        <v>43</v>
      </c>
      <c r="G9" t="s">
        <v>35</v>
      </c>
      <c r="H9" t="s">
        <v>44</v>
      </c>
      <c r="I9">
        <v>0</v>
      </c>
      <c r="J9">
        <v>0</v>
      </c>
      <c r="K9" t="s">
        <v>99</v>
      </c>
      <c r="L9">
        <v>885.64665701728097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12.611806355358199</v>
      </c>
      <c r="V9">
        <v>0</v>
      </c>
      <c r="W9">
        <v>11.8550979740365</v>
      </c>
      <c r="X9">
        <v>0</v>
      </c>
      <c r="Y9">
        <v>0</v>
      </c>
      <c r="Z9">
        <v>0</v>
      </c>
      <c r="AA9">
        <v>0</v>
      </c>
      <c r="AB9">
        <v>1.8059890322956801E-3</v>
      </c>
      <c r="AC9">
        <v>14.2402235196514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57.489748630316399</v>
      </c>
    </row>
    <row r="10" spans="1:38" x14ac:dyDescent="0.35">
      <c r="A10" t="s">
        <v>124</v>
      </c>
      <c r="B10" t="s">
        <v>56</v>
      </c>
      <c r="C10">
        <v>2030</v>
      </c>
      <c r="D10" t="s">
        <v>98</v>
      </c>
      <c r="E10">
        <v>2015</v>
      </c>
      <c r="F10" t="s">
        <v>43</v>
      </c>
      <c r="G10" t="s">
        <v>35</v>
      </c>
      <c r="H10" t="s">
        <v>44</v>
      </c>
      <c r="I10">
        <v>0</v>
      </c>
      <c r="J10">
        <v>0</v>
      </c>
      <c r="K10" t="s">
        <v>99</v>
      </c>
      <c r="L10">
        <v>900.978220444052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12.6014894288476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1.7738050580846799E-3</v>
      </c>
      <c r="AC10">
        <v>13.9864528829977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57.489748630316399</v>
      </c>
    </row>
    <row r="11" spans="1:38" x14ac:dyDescent="0.35">
      <c r="A11" t="s">
        <v>124</v>
      </c>
      <c r="B11" t="s">
        <v>57</v>
      </c>
      <c r="C11">
        <v>2030</v>
      </c>
      <c r="D11" t="s">
        <v>98</v>
      </c>
      <c r="E11">
        <v>2015</v>
      </c>
      <c r="F11" t="s">
        <v>43</v>
      </c>
      <c r="G11" t="s">
        <v>35</v>
      </c>
      <c r="H11" t="s">
        <v>44</v>
      </c>
      <c r="I11">
        <v>0</v>
      </c>
      <c r="J11">
        <v>0</v>
      </c>
      <c r="K11" t="s">
        <v>99</v>
      </c>
      <c r="L11">
        <v>114.63251678103499</v>
      </c>
      <c r="M11">
        <v>28.658129195258802</v>
      </c>
      <c r="N11">
        <v>2.3425973899852899</v>
      </c>
      <c r="O11">
        <v>0.85974387585776402</v>
      </c>
      <c r="P11">
        <v>0</v>
      </c>
      <c r="Q11">
        <v>0</v>
      </c>
      <c r="R11">
        <v>0</v>
      </c>
      <c r="S11">
        <v>0</v>
      </c>
      <c r="T11">
        <v>3.2023412658430601</v>
      </c>
      <c r="U11">
        <v>519.07604745899403</v>
      </c>
      <c r="V11">
        <v>0</v>
      </c>
      <c r="W11">
        <v>0</v>
      </c>
      <c r="X11">
        <v>0</v>
      </c>
      <c r="Y11">
        <v>0</v>
      </c>
      <c r="Z11">
        <v>0</v>
      </c>
      <c r="AA11">
        <v>6.1693104151488197E-3</v>
      </c>
      <c r="AB11">
        <v>0.57427705398390905</v>
      </c>
      <c r="AC11">
        <v>4528.17457066312</v>
      </c>
      <c r="AD11">
        <v>0.47604493069776799</v>
      </c>
      <c r="AE11">
        <v>0</v>
      </c>
      <c r="AF11">
        <v>0.47604493069776799</v>
      </c>
      <c r="AG11" s="13">
        <v>6.0106683168910701E-5</v>
      </c>
      <c r="AH11">
        <v>0</v>
      </c>
      <c r="AI11">
        <v>0.114632516781035</v>
      </c>
      <c r="AJ11" s="13">
        <v>1.44738026238682E-5</v>
      </c>
      <c r="AK11">
        <v>0</v>
      </c>
      <c r="AL11">
        <v>57.489748630316399</v>
      </c>
    </row>
    <row r="12" spans="1:38" x14ac:dyDescent="0.35">
      <c r="A12" t="s">
        <v>124</v>
      </c>
      <c r="B12" t="s">
        <v>126</v>
      </c>
      <c r="C12">
        <v>2030</v>
      </c>
      <c r="D12" t="s">
        <v>98</v>
      </c>
      <c r="E12">
        <v>2015</v>
      </c>
      <c r="F12" t="s">
        <v>43</v>
      </c>
      <c r="G12" t="s">
        <v>35</v>
      </c>
      <c r="H12" t="s">
        <v>44</v>
      </c>
      <c r="I12">
        <v>0</v>
      </c>
      <c r="J12">
        <v>0</v>
      </c>
      <c r="K12" t="s">
        <v>99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27</v>
      </c>
      <c r="AC12" t="s">
        <v>27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57.489748630316399</v>
      </c>
    </row>
    <row r="13" spans="1:38" x14ac:dyDescent="0.35">
      <c r="A13" t="s">
        <v>124</v>
      </c>
      <c r="B13" t="s">
        <v>127</v>
      </c>
      <c r="C13">
        <v>2030</v>
      </c>
      <c r="D13" t="s">
        <v>98</v>
      </c>
      <c r="E13">
        <v>2015</v>
      </c>
      <c r="F13" t="s">
        <v>43</v>
      </c>
      <c r="G13" t="s">
        <v>35</v>
      </c>
      <c r="H13" t="s">
        <v>44</v>
      </c>
      <c r="I13">
        <v>0</v>
      </c>
      <c r="J13">
        <v>0</v>
      </c>
      <c r="K13" t="s">
        <v>99</v>
      </c>
      <c r="L13">
        <v>887.81644832931499</v>
      </c>
      <c r="M13">
        <v>2038.97336307296</v>
      </c>
      <c r="N13">
        <v>181.116770586786</v>
      </c>
      <c r="O13">
        <v>33.378087833569801</v>
      </c>
      <c r="P13">
        <v>11.0331421628968</v>
      </c>
      <c r="Q13">
        <v>0</v>
      </c>
      <c r="R13">
        <v>0</v>
      </c>
      <c r="S13">
        <v>0</v>
      </c>
      <c r="T13">
        <v>225.52800058325201</v>
      </c>
      <c r="U13">
        <v>3918.6690984963402</v>
      </c>
      <c r="V13">
        <v>0</v>
      </c>
      <c r="W13">
        <v>0</v>
      </c>
      <c r="X13">
        <v>0</v>
      </c>
      <c r="Y13">
        <v>0</v>
      </c>
      <c r="Z13">
        <v>0</v>
      </c>
      <c r="AA13">
        <v>5.75521930825421E-2</v>
      </c>
      <c r="AB13">
        <v>0.559775269499029</v>
      </c>
      <c r="AC13">
        <v>4413.8279999998404</v>
      </c>
      <c r="AD13">
        <v>31699.0512575385</v>
      </c>
      <c r="AE13">
        <v>0</v>
      </c>
      <c r="AF13">
        <v>31699.0512575385</v>
      </c>
      <c r="AG13">
        <v>4.0024054618104499</v>
      </c>
      <c r="AH13">
        <v>0</v>
      </c>
      <c r="AI13">
        <v>152.66891645470901</v>
      </c>
      <c r="AJ13">
        <v>1.9276378340241099E-2</v>
      </c>
      <c r="AK13">
        <v>0</v>
      </c>
      <c r="AL13">
        <v>57.489748630316399</v>
      </c>
    </row>
    <row r="14" spans="1:38" x14ac:dyDescent="0.35">
      <c r="A14" t="s">
        <v>124</v>
      </c>
      <c r="B14" t="s">
        <v>128</v>
      </c>
      <c r="C14">
        <v>2030</v>
      </c>
      <c r="D14" t="s">
        <v>98</v>
      </c>
      <c r="E14">
        <v>2015</v>
      </c>
      <c r="F14" t="s">
        <v>43</v>
      </c>
      <c r="G14" t="s">
        <v>35</v>
      </c>
      <c r="H14" t="s">
        <v>44</v>
      </c>
      <c r="I14">
        <v>0</v>
      </c>
      <c r="J14">
        <v>0</v>
      </c>
      <c r="K14" t="s">
        <v>99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27</v>
      </c>
      <c r="AC14" t="s">
        <v>27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57.489748630316399</v>
      </c>
    </row>
    <row r="15" spans="1:38" x14ac:dyDescent="0.35">
      <c r="A15" t="s">
        <v>124</v>
      </c>
      <c r="B15" t="s">
        <v>129</v>
      </c>
      <c r="C15">
        <v>2030</v>
      </c>
      <c r="D15" t="s">
        <v>98</v>
      </c>
      <c r="E15">
        <v>2015</v>
      </c>
      <c r="F15" t="s">
        <v>43</v>
      </c>
      <c r="G15" t="s">
        <v>35</v>
      </c>
      <c r="H15" t="s">
        <v>44</v>
      </c>
      <c r="I15">
        <v>0</v>
      </c>
      <c r="J15">
        <v>0</v>
      </c>
      <c r="K15" t="s">
        <v>99</v>
      </c>
      <c r="L15">
        <v>28.853831842444201</v>
      </c>
      <c r="M15">
        <v>59.231189255469502</v>
      </c>
      <c r="N15">
        <v>5.2613545180391403</v>
      </c>
      <c r="O15">
        <v>1.08478023287863</v>
      </c>
      <c r="P15">
        <v>0.33940514954649098</v>
      </c>
      <c r="Q15">
        <v>0</v>
      </c>
      <c r="R15">
        <v>0</v>
      </c>
      <c r="S15">
        <v>0</v>
      </c>
      <c r="T15">
        <v>6.6855399004642697</v>
      </c>
      <c r="U15">
        <v>120.547388201987</v>
      </c>
      <c r="V15">
        <v>0</v>
      </c>
      <c r="W15">
        <v>0</v>
      </c>
      <c r="X15">
        <v>0</v>
      </c>
      <c r="Y15">
        <v>0</v>
      </c>
      <c r="Z15">
        <v>0</v>
      </c>
      <c r="AA15">
        <v>5.54598486137425E-2</v>
      </c>
      <c r="AB15">
        <v>0.52984960050727603</v>
      </c>
      <c r="AC15">
        <v>4177.8640999998697</v>
      </c>
      <c r="AD15">
        <v>1030.21192755687</v>
      </c>
      <c r="AE15">
        <v>0</v>
      </c>
      <c r="AF15">
        <v>1030.21192755687</v>
      </c>
      <c r="AG15">
        <v>0.13007726358041299</v>
      </c>
      <c r="AH15">
        <v>0</v>
      </c>
      <c r="AI15">
        <v>4.9617049236267103</v>
      </c>
      <c r="AJ15">
        <v>6.2647789439731702E-4</v>
      </c>
      <c r="AK15">
        <v>0</v>
      </c>
      <c r="AL15">
        <v>57.489748630316399</v>
      </c>
    </row>
    <row r="16" spans="1:38" x14ac:dyDescent="0.35">
      <c r="A16" t="s">
        <v>124</v>
      </c>
      <c r="B16" t="s">
        <v>20</v>
      </c>
      <c r="C16">
        <v>2030</v>
      </c>
      <c r="D16" t="s">
        <v>98</v>
      </c>
      <c r="E16">
        <v>2015</v>
      </c>
      <c r="F16" t="s">
        <v>43</v>
      </c>
      <c r="G16" t="s">
        <v>35</v>
      </c>
      <c r="H16" t="s">
        <v>44</v>
      </c>
      <c r="I16">
        <v>0</v>
      </c>
      <c r="J16">
        <v>0</v>
      </c>
      <c r="K16" t="s">
        <v>99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27</v>
      </c>
      <c r="AC16" t="s">
        <v>27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57.489748630316399</v>
      </c>
    </row>
    <row r="17" spans="1:38" x14ac:dyDescent="0.35">
      <c r="A17" t="s">
        <v>124</v>
      </c>
      <c r="B17" t="s">
        <v>21</v>
      </c>
      <c r="C17">
        <v>2030</v>
      </c>
      <c r="D17" t="s">
        <v>98</v>
      </c>
      <c r="E17">
        <v>2015</v>
      </c>
      <c r="F17" t="s">
        <v>43</v>
      </c>
      <c r="G17" t="s">
        <v>35</v>
      </c>
      <c r="H17" t="s">
        <v>44</v>
      </c>
      <c r="I17">
        <v>0</v>
      </c>
      <c r="J17">
        <v>0</v>
      </c>
      <c r="K17" t="s">
        <v>99</v>
      </c>
      <c r="L17">
        <v>815.86863703556105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14.9660571671211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2.3264057547782001E-3</v>
      </c>
      <c r="AC17">
        <v>18.343709376426101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57.489748630316399</v>
      </c>
    </row>
    <row r="18" spans="1:38" x14ac:dyDescent="0.35">
      <c r="A18" t="s">
        <v>124</v>
      </c>
      <c r="B18" t="s">
        <v>22</v>
      </c>
      <c r="C18">
        <v>2030</v>
      </c>
      <c r="D18" t="s">
        <v>98</v>
      </c>
      <c r="E18">
        <v>2015</v>
      </c>
      <c r="F18" t="s">
        <v>43</v>
      </c>
      <c r="G18" t="s">
        <v>35</v>
      </c>
      <c r="H18" t="s">
        <v>44</v>
      </c>
      <c r="I18">
        <v>0</v>
      </c>
      <c r="J18">
        <v>0</v>
      </c>
      <c r="K18" t="s">
        <v>99</v>
      </c>
      <c r="L18">
        <v>65.209124834864596</v>
      </c>
      <c r="M18">
        <v>0</v>
      </c>
      <c r="N18">
        <v>0</v>
      </c>
      <c r="O18">
        <v>0</v>
      </c>
      <c r="P18">
        <v>2.2217892873062299E-2</v>
      </c>
      <c r="Q18">
        <v>0</v>
      </c>
      <c r="R18">
        <v>0</v>
      </c>
      <c r="S18">
        <v>0</v>
      </c>
      <c r="T18">
        <v>2.2217892873062299E-2</v>
      </c>
      <c r="U18">
        <v>11.8367780841472</v>
      </c>
      <c r="V18">
        <v>0</v>
      </c>
      <c r="W18">
        <v>0.59183890420736796</v>
      </c>
      <c r="X18">
        <v>0</v>
      </c>
      <c r="Y18">
        <v>0</v>
      </c>
      <c r="Z18">
        <v>0</v>
      </c>
      <c r="AA18">
        <v>1.8770219999999999E-3</v>
      </c>
      <c r="AB18">
        <v>2.30209603184575E-2</v>
      </c>
      <c r="AC18">
        <v>181.520272111038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57.489748630316399</v>
      </c>
    </row>
    <row r="19" spans="1:38" x14ac:dyDescent="0.35">
      <c r="A19" t="s">
        <v>124</v>
      </c>
      <c r="B19" t="s">
        <v>23</v>
      </c>
      <c r="C19">
        <v>2030</v>
      </c>
      <c r="D19" t="s">
        <v>98</v>
      </c>
      <c r="E19">
        <v>2015</v>
      </c>
      <c r="F19" t="s">
        <v>43</v>
      </c>
      <c r="G19" t="s">
        <v>35</v>
      </c>
      <c r="H19" t="s">
        <v>44</v>
      </c>
      <c r="I19">
        <v>0</v>
      </c>
      <c r="J19">
        <v>0</v>
      </c>
      <c r="K19" t="s">
        <v>99</v>
      </c>
      <c r="L19">
        <v>148.04475677727399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11.8367780841473</v>
      </c>
      <c r="V19">
        <v>0</v>
      </c>
      <c r="W19">
        <v>0.59183890420737395</v>
      </c>
      <c r="X19">
        <v>0</v>
      </c>
      <c r="Y19">
        <v>0</v>
      </c>
      <c r="Z19">
        <v>0</v>
      </c>
      <c r="AA19">
        <v>0</v>
      </c>
      <c r="AB19">
        <v>1.01400191935416E-2</v>
      </c>
      <c r="AC19">
        <v>79.954051341076095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57.489748630316399</v>
      </c>
    </row>
    <row r="20" spans="1:38" x14ac:dyDescent="0.35">
      <c r="A20" t="s">
        <v>124</v>
      </c>
      <c r="B20" t="s">
        <v>5</v>
      </c>
      <c r="C20">
        <v>2030</v>
      </c>
      <c r="D20" t="s">
        <v>98</v>
      </c>
      <c r="E20">
        <v>2015</v>
      </c>
      <c r="F20" t="s">
        <v>43</v>
      </c>
      <c r="G20" t="s">
        <v>35</v>
      </c>
      <c r="H20" t="s">
        <v>44</v>
      </c>
      <c r="I20">
        <v>0</v>
      </c>
      <c r="J20">
        <v>0</v>
      </c>
      <c r="K20" t="s">
        <v>99</v>
      </c>
      <c r="L20">
        <v>148.04475677727399</v>
      </c>
      <c r="M20">
        <v>26.6480562199093</v>
      </c>
      <c r="N20">
        <v>2.71416338684126</v>
      </c>
      <c r="O20">
        <v>0.39972084329863999</v>
      </c>
      <c r="P20">
        <v>0</v>
      </c>
      <c r="Q20">
        <v>0</v>
      </c>
      <c r="R20">
        <v>0</v>
      </c>
      <c r="S20">
        <v>0</v>
      </c>
      <c r="T20">
        <v>3.1138842301399001</v>
      </c>
      <c r="U20">
        <v>615.36813390609598</v>
      </c>
      <c r="V20">
        <v>0</v>
      </c>
      <c r="W20">
        <v>0</v>
      </c>
      <c r="X20">
        <v>0</v>
      </c>
      <c r="Y20">
        <v>0</v>
      </c>
      <c r="Z20">
        <v>0</v>
      </c>
      <c r="AA20">
        <v>5.06019739822127E-3</v>
      </c>
      <c r="AB20">
        <v>0.52715736026668103</v>
      </c>
      <c r="AC20">
        <v>4156.6357857027797</v>
      </c>
      <c r="AD20">
        <v>155.31045824422699</v>
      </c>
      <c r="AE20">
        <v>0</v>
      </c>
      <c r="AF20">
        <v>155.31045824422699</v>
      </c>
      <c r="AG20">
        <v>1.9609906343968201E-2</v>
      </c>
      <c r="AH20">
        <v>0</v>
      </c>
      <c r="AI20">
        <v>2.5661091174727499E-3</v>
      </c>
      <c r="AJ20" s="13">
        <v>3.2400367644858201E-7</v>
      </c>
      <c r="AK20">
        <v>0</v>
      </c>
      <c r="AL20">
        <v>57.489748630316399</v>
      </c>
    </row>
    <row r="21" spans="1:38" x14ac:dyDescent="0.35">
      <c r="A21" t="s">
        <v>130</v>
      </c>
      <c r="B21" t="s">
        <v>42</v>
      </c>
      <c r="C21">
        <v>2030</v>
      </c>
      <c r="D21" t="s">
        <v>98</v>
      </c>
      <c r="E21">
        <v>2017</v>
      </c>
      <c r="F21" t="s">
        <v>43</v>
      </c>
      <c r="G21" t="s">
        <v>35</v>
      </c>
      <c r="H21" t="s">
        <v>44</v>
      </c>
      <c r="I21">
        <v>0</v>
      </c>
      <c r="J21">
        <v>0</v>
      </c>
      <c r="K21" t="s">
        <v>99</v>
      </c>
      <c r="L21">
        <v>85.342854176083307</v>
      </c>
      <c r="M21">
        <v>568.56774937773503</v>
      </c>
      <c r="N21">
        <v>50.315730033427897</v>
      </c>
      <c r="O21">
        <v>22.742709975109399</v>
      </c>
      <c r="P21">
        <v>0</v>
      </c>
      <c r="Q21">
        <v>0</v>
      </c>
      <c r="R21">
        <v>0</v>
      </c>
      <c r="S21">
        <v>0</v>
      </c>
      <c r="T21">
        <v>73.058440008537303</v>
      </c>
      <c r="U21">
        <v>425.80645161291397</v>
      </c>
      <c r="V21">
        <v>0</v>
      </c>
      <c r="W21">
        <v>191.612903225812</v>
      </c>
      <c r="X21">
        <v>1.0645768397108299</v>
      </c>
      <c r="Y21">
        <v>57.235313962947799</v>
      </c>
      <c r="Z21">
        <v>206.04713026661199</v>
      </c>
      <c r="AA21">
        <v>0.17157663941398399</v>
      </c>
      <c r="AB21">
        <v>0.63276635127327097</v>
      </c>
      <c r="AC21">
        <v>4989.3626797897396</v>
      </c>
      <c r="AD21">
        <v>1292.9656250463399</v>
      </c>
      <c r="AE21">
        <v>0</v>
      </c>
      <c r="AF21">
        <v>1292.9656250463399</v>
      </c>
      <c r="AG21">
        <v>0.16325323548564399</v>
      </c>
      <c r="AH21">
        <v>4.6394620855130597</v>
      </c>
      <c r="AI21">
        <v>0</v>
      </c>
      <c r="AJ21">
        <v>0</v>
      </c>
      <c r="AK21">
        <v>2.0769743356513898E-2</v>
      </c>
      <c r="AL21">
        <v>59.866020435529798</v>
      </c>
    </row>
    <row r="22" spans="1:38" x14ac:dyDescent="0.35">
      <c r="A22" t="s">
        <v>130</v>
      </c>
      <c r="B22" t="s">
        <v>125</v>
      </c>
      <c r="C22">
        <v>2030</v>
      </c>
      <c r="D22" t="s">
        <v>98</v>
      </c>
      <c r="E22">
        <v>2017</v>
      </c>
      <c r="F22" t="s">
        <v>43</v>
      </c>
      <c r="G22" t="s">
        <v>35</v>
      </c>
      <c r="H22" t="s">
        <v>44</v>
      </c>
      <c r="I22">
        <v>0</v>
      </c>
      <c r="J22">
        <v>0</v>
      </c>
      <c r="K22" t="s">
        <v>99</v>
      </c>
      <c r="L22">
        <v>194.60926039629399</v>
      </c>
      <c r="M22">
        <v>23.546389380610499</v>
      </c>
      <c r="N22">
        <v>2.75091395622306</v>
      </c>
      <c r="O22">
        <v>0.70639168141831599</v>
      </c>
      <c r="P22">
        <v>0</v>
      </c>
      <c r="Q22">
        <v>0</v>
      </c>
      <c r="R22">
        <v>0</v>
      </c>
      <c r="S22">
        <v>5.6057517223555897E-2</v>
      </c>
      <c r="T22">
        <v>3.5133631548649298</v>
      </c>
      <c r="U22">
        <v>862.42334190080703</v>
      </c>
      <c r="V22">
        <v>0</v>
      </c>
      <c r="W22">
        <v>2.1560583547520702</v>
      </c>
      <c r="X22">
        <v>0</v>
      </c>
      <c r="Y22">
        <v>0</v>
      </c>
      <c r="Z22">
        <v>0</v>
      </c>
      <c r="AA22">
        <v>4.0738266048335097E-3</v>
      </c>
      <c r="AB22">
        <v>0.56202457074323198</v>
      </c>
      <c r="AC22">
        <v>4431.5637403103801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59.866020435529798</v>
      </c>
    </row>
    <row r="23" spans="1:38" x14ac:dyDescent="0.35">
      <c r="A23" t="s">
        <v>130</v>
      </c>
      <c r="B23" t="s">
        <v>36</v>
      </c>
      <c r="C23">
        <v>2030</v>
      </c>
      <c r="D23" t="s">
        <v>98</v>
      </c>
      <c r="E23">
        <v>2017</v>
      </c>
      <c r="F23" t="s">
        <v>43</v>
      </c>
      <c r="G23" t="s">
        <v>35</v>
      </c>
      <c r="H23" t="s">
        <v>44</v>
      </c>
      <c r="I23">
        <v>0</v>
      </c>
      <c r="J23">
        <v>0</v>
      </c>
      <c r="K23" t="s">
        <v>99</v>
      </c>
      <c r="L23">
        <v>17.298600924115</v>
      </c>
      <c r="M23">
        <v>689.17626081674496</v>
      </c>
      <c r="N23">
        <v>60.989049629800398</v>
      </c>
      <c r="O23">
        <v>68.917626081674499</v>
      </c>
      <c r="P23">
        <v>0</v>
      </c>
      <c r="Q23">
        <v>0</v>
      </c>
      <c r="R23">
        <v>0</v>
      </c>
      <c r="S23">
        <v>0</v>
      </c>
      <c r="T23">
        <v>129.90667571147401</v>
      </c>
      <c r="U23">
        <v>76.659852613407594</v>
      </c>
      <c r="V23">
        <v>0</v>
      </c>
      <c r="W23">
        <v>3817.6606601476701</v>
      </c>
      <c r="X23">
        <v>0</v>
      </c>
      <c r="Y23">
        <v>0</v>
      </c>
      <c r="Z23">
        <v>0</v>
      </c>
      <c r="AA23">
        <v>1.6945855135749901</v>
      </c>
      <c r="AB23">
        <v>0.56202457074323198</v>
      </c>
      <c r="AC23">
        <v>4431.5637403103801</v>
      </c>
      <c r="AD23">
        <v>1331.6722149135101</v>
      </c>
      <c r="AE23">
        <v>0</v>
      </c>
      <c r="AF23">
        <v>1331.6722149135101</v>
      </c>
      <c r="AG23">
        <v>0.16814043117594399</v>
      </c>
      <c r="AH23">
        <v>0</v>
      </c>
      <c r="AI23">
        <v>8.1822382371064296E-3</v>
      </c>
      <c r="AJ23" s="13">
        <v>1.03311088852351E-6</v>
      </c>
      <c r="AK23">
        <v>0</v>
      </c>
      <c r="AL23">
        <v>59.866020435529798</v>
      </c>
    </row>
    <row r="24" spans="1:38" x14ac:dyDescent="0.35">
      <c r="A24" t="s">
        <v>130</v>
      </c>
      <c r="B24" t="s">
        <v>45</v>
      </c>
      <c r="C24">
        <v>2030</v>
      </c>
      <c r="D24" t="s">
        <v>98</v>
      </c>
      <c r="E24">
        <v>2017</v>
      </c>
      <c r="F24" t="s">
        <v>43</v>
      </c>
      <c r="G24" t="s">
        <v>35</v>
      </c>
      <c r="H24" t="s">
        <v>44</v>
      </c>
      <c r="I24">
        <v>0</v>
      </c>
      <c r="J24">
        <v>0</v>
      </c>
      <c r="K24" t="s">
        <v>99</v>
      </c>
      <c r="L24">
        <v>15.361713751695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76.645161290318796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0.63276635127327097</v>
      </c>
      <c r="AC24">
        <v>4989.3626797897396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59.866020435529798</v>
      </c>
    </row>
    <row r="25" spans="1:38" x14ac:dyDescent="0.35">
      <c r="A25" t="s">
        <v>130</v>
      </c>
      <c r="B25" t="s">
        <v>17</v>
      </c>
      <c r="C25">
        <v>2030</v>
      </c>
      <c r="D25" t="s">
        <v>98</v>
      </c>
      <c r="E25">
        <v>2017</v>
      </c>
      <c r="F25" t="s">
        <v>43</v>
      </c>
      <c r="G25" t="s">
        <v>35</v>
      </c>
      <c r="H25" t="s">
        <v>44</v>
      </c>
      <c r="I25">
        <v>0</v>
      </c>
      <c r="J25">
        <v>0</v>
      </c>
      <c r="K25" t="s">
        <v>99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27</v>
      </c>
      <c r="AC25" t="s">
        <v>27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59.866020435529798</v>
      </c>
    </row>
    <row r="26" spans="1:38" x14ac:dyDescent="0.35">
      <c r="A26" t="s">
        <v>130</v>
      </c>
      <c r="B26" t="s">
        <v>18</v>
      </c>
      <c r="C26">
        <v>2030</v>
      </c>
      <c r="D26" t="s">
        <v>98</v>
      </c>
      <c r="E26">
        <v>2017</v>
      </c>
      <c r="F26" t="s">
        <v>43</v>
      </c>
      <c r="G26" t="s">
        <v>35</v>
      </c>
      <c r="H26" t="s">
        <v>44</v>
      </c>
      <c r="I26">
        <v>0</v>
      </c>
      <c r="J26">
        <v>0</v>
      </c>
      <c r="K26" t="s">
        <v>99</v>
      </c>
      <c r="L26">
        <v>98.1868588452772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435.12132343371599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0.56202457074323198</v>
      </c>
      <c r="AC26">
        <v>4431.5637403103801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59.866020435529798</v>
      </c>
    </row>
    <row r="27" spans="1:38" x14ac:dyDescent="0.35">
      <c r="A27" t="s">
        <v>130</v>
      </c>
      <c r="B27" t="s">
        <v>19</v>
      </c>
      <c r="C27">
        <v>2030</v>
      </c>
      <c r="D27" t="s">
        <v>98</v>
      </c>
      <c r="E27">
        <v>2017</v>
      </c>
      <c r="F27" t="s">
        <v>43</v>
      </c>
      <c r="G27" t="s">
        <v>35</v>
      </c>
      <c r="H27" t="s">
        <v>44</v>
      </c>
      <c r="I27">
        <v>0</v>
      </c>
      <c r="J27">
        <v>0</v>
      </c>
      <c r="K27" t="s">
        <v>99</v>
      </c>
      <c r="L27">
        <v>134.237143171133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594.88045628006103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0.56202457074323198</v>
      </c>
      <c r="AC27">
        <v>4431.5637403103801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59.866020435529798</v>
      </c>
    </row>
    <row r="28" spans="1:38" x14ac:dyDescent="0.35">
      <c r="A28" t="s">
        <v>130</v>
      </c>
      <c r="B28" t="s">
        <v>55</v>
      </c>
      <c r="C28">
        <v>2030</v>
      </c>
      <c r="D28" t="s">
        <v>98</v>
      </c>
      <c r="E28">
        <v>2017</v>
      </c>
      <c r="F28" t="s">
        <v>43</v>
      </c>
      <c r="G28" t="s">
        <v>35</v>
      </c>
      <c r="H28" t="s">
        <v>44</v>
      </c>
      <c r="I28">
        <v>0</v>
      </c>
      <c r="J28">
        <v>0</v>
      </c>
      <c r="K28" t="s">
        <v>99</v>
      </c>
      <c r="L28">
        <v>924.91017251162805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16.698241997130101</v>
      </c>
      <c r="V28">
        <v>0</v>
      </c>
      <c r="W28">
        <v>15.696347477302</v>
      </c>
      <c r="X28">
        <v>0</v>
      </c>
      <c r="Y28">
        <v>0</v>
      </c>
      <c r="Z28">
        <v>0</v>
      </c>
      <c r="AA28">
        <v>0</v>
      </c>
      <c r="AB28">
        <v>2.2896520912753398E-3</v>
      </c>
      <c r="AC28">
        <v>18.053906739706001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59.866020435529798</v>
      </c>
    </row>
    <row r="29" spans="1:38" x14ac:dyDescent="0.35">
      <c r="A29" t="s">
        <v>130</v>
      </c>
      <c r="B29" t="s">
        <v>56</v>
      </c>
      <c r="C29">
        <v>2030</v>
      </c>
      <c r="D29" t="s">
        <v>98</v>
      </c>
      <c r="E29">
        <v>2017</v>
      </c>
      <c r="F29" t="s">
        <v>43</v>
      </c>
      <c r="G29" t="s">
        <v>35</v>
      </c>
      <c r="H29" t="s">
        <v>44</v>
      </c>
      <c r="I29">
        <v>0</v>
      </c>
      <c r="J29">
        <v>0</v>
      </c>
      <c r="K29" t="s">
        <v>99</v>
      </c>
      <c r="L29">
        <v>940.27188626332304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16.6835506740418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2.2502632938135999E-3</v>
      </c>
      <c r="AC29">
        <v>17.743326071720201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59.866020435529798</v>
      </c>
    </row>
    <row r="30" spans="1:38" x14ac:dyDescent="0.35">
      <c r="A30" t="s">
        <v>130</v>
      </c>
      <c r="B30" t="s">
        <v>57</v>
      </c>
      <c r="C30">
        <v>2030</v>
      </c>
      <c r="D30" t="s">
        <v>98</v>
      </c>
      <c r="E30">
        <v>2017</v>
      </c>
      <c r="F30" t="s">
        <v>43</v>
      </c>
      <c r="G30" t="s">
        <v>35</v>
      </c>
      <c r="H30" t="s">
        <v>44</v>
      </c>
      <c r="I30">
        <v>0</v>
      </c>
      <c r="J30">
        <v>0</v>
      </c>
      <c r="K30" t="s">
        <v>99</v>
      </c>
      <c r="L30">
        <v>163.236923202496</v>
      </c>
      <c r="M30">
        <v>40.809230800624</v>
      </c>
      <c r="N30">
        <v>3.3358631650200401</v>
      </c>
      <c r="O30">
        <v>1.2242769240187199</v>
      </c>
      <c r="P30">
        <v>0</v>
      </c>
      <c r="Q30">
        <v>0</v>
      </c>
      <c r="R30">
        <v>0</v>
      </c>
      <c r="S30">
        <v>0</v>
      </c>
      <c r="T30">
        <v>4.56014008903876</v>
      </c>
      <c r="U30">
        <v>694.90388314107201</v>
      </c>
      <c r="V30">
        <v>0</v>
      </c>
      <c r="W30">
        <v>0</v>
      </c>
      <c r="X30">
        <v>0</v>
      </c>
      <c r="Y30">
        <v>0</v>
      </c>
      <c r="Z30">
        <v>0</v>
      </c>
      <c r="AA30">
        <v>6.5622601911882001E-3</v>
      </c>
      <c r="AB30">
        <v>0.53988920083986203</v>
      </c>
      <c r="AC30">
        <v>4257.0263486223103</v>
      </c>
      <c r="AD30">
        <v>0.67788889204694802</v>
      </c>
      <c r="AE30">
        <v>0</v>
      </c>
      <c r="AF30">
        <v>0.67788889204694802</v>
      </c>
      <c r="AG30" s="13">
        <v>8.5592031824107399E-5</v>
      </c>
      <c r="AH30">
        <v>0</v>
      </c>
      <c r="AI30">
        <v>0.163236923202496</v>
      </c>
      <c r="AJ30" s="13">
        <v>2.0610722626577199E-5</v>
      </c>
      <c r="AK30">
        <v>0</v>
      </c>
      <c r="AL30">
        <v>59.866020435529798</v>
      </c>
    </row>
    <row r="31" spans="1:38" x14ac:dyDescent="0.35">
      <c r="A31" t="s">
        <v>130</v>
      </c>
      <c r="B31" t="s">
        <v>126</v>
      </c>
      <c r="C31">
        <v>2030</v>
      </c>
      <c r="D31" t="s">
        <v>98</v>
      </c>
      <c r="E31">
        <v>2017</v>
      </c>
      <c r="F31" t="s">
        <v>43</v>
      </c>
      <c r="G31" t="s">
        <v>35</v>
      </c>
      <c r="H31" t="s">
        <v>44</v>
      </c>
      <c r="I31">
        <v>0</v>
      </c>
      <c r="J31">
        <v>0</v>
      </c>
      <c r="K31" t="s">
        <v>99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27</v>
      </c>
      <c r="AC31" t="s">
        <v>27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59.866020435529798</v>
      </c>
    </row>
    <row r="32" spans="1:38" x14ac:dyDescent="0.35">
      <c r="A32" t="s">
        <v>130</v>
      </c>
      <c r="B32" t="s">
        <v>127</v>
      </c>
      <c r="C32">
        <v>2030</v>
      </c>
      <c r="D32" t="s">
        <v>98</v>
      </c>
      <c r="E32">
        <v>2017</v>
      </c>
      <c r="F32" t="s">
        <v>43</v>
      </c>
      <c r="G32" t="s">
        <v>35</v>
      </c>
      <c r="H32" t="s">
        <v>44</v>
      </c>
      <c r="I32">
        <v>0</v>
      </c>
      <c r="J32">
        <v>0</v>
      </c>
      <c r="K32" t="s">
        <v>99</v>
      </c>
      <c r="L32">
        <v>955.59983846333398</v>
      </c>
      <c r="M32">
        <v>2194.64577396614</v>
      </c>
      <c r="N32">
        <v>194.944751295636</v>
      </c>
      <c r="O32">
        <v>35.926452367486696</v>
      </c>
      <c r="P32">
        <v>11.393863959494</v>
      </c>
      <c r="Q32">
        <v>0</v>
      </c>
      <c r="R32">
        <v>0</v>
      </c>
      <c r="S32">
        <v>0</v>
      </c>
      <c r="T32">
        <v>242.26506762261701</v>
      </c>
      <c r="U32">
        <v>4046.7875743221398</v>
      </c>
      <c r="V32">
        <v>0</v>
      </c>
      <c r="W32">
        <v>0</v>
      </c>
      <c r="X32">
        <v>0</v>
      </c>
      <c r="Y32">
        <v>0</v>
      </c>
      <c r="Z32">
        <v>0</v>
      </c>
      <c r="AA32">
        <v>5.9866020435529799E-2</v>
      </c>
      <c r="AB32">
        <v>0.53707216233352595</v>
      </c>
      <c r="AC32">
        <v>4234.8139999998502</v>
      </c>
      <c r="AD32">
        <v>34119.223988412501</v>
      </c>
      <c r="AE32">
        <v>0</v>
      </c>
      <c r="AF32">
        <v>34119.223988412501</v>
      </c>
      <c r="AG32">
        <v>4.3079828268196501</v>
      </c>
      <c r="AH32">
        <v>0</v>
      </c>
      <c r="AI32">
        <v>164.324948222155</v>
      </c>
      <c r="AJ32">
        <v>2.07480995229988E-2</v>
      </c>
      <c r="AK32">
        <v>0</v>
      </c>
      <c r="AL32">
        <v>59.866020435529798</v>
      </c>
    </row>
    <row r="33" spans="1:38" x14ac:dyDescent="0.35">
      <c r="A33" t="s">
        <v>130</v>
      </c>
      <c r="B33" t="s">
        <v>128</v>
      </c>
      <c r="C33">
        <v>2030</v>
      </c>
      <c r="D33" t="s">
        <v>98</v>
      </c>
      <c r="E33">
        <v>2017</v>
      </c>
      <c r="F33" t="s">
        <v>43</v>
      </c>
      <c r="G33" t="s">
        <v>35</v>
      </c>
      <c r="H33" t="s">
        <v>44</v>
      </c>
      <c r="I33">
        <v>0</v>
      </c>
      <c r="J33">
        <v>0</v>
      </c>
      <c r="K33" t="s">
        <v>99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27</v>
      </c>
      <c r="AC33" t="s">
        <v>27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59.866020435529798</v>
      </c>
    </row>
    <row r="34" spans="1:38" x14ac:dyDescent="0.35">
      <c r="A34" t="s">
        <v>130</v>
      </c>
      <c r="B34" t="s">
        <v>129</v>
      </c>
      <c r="C34">
        <v>2030</v>
      </c>
      <c r="D34" t="s">
        <v>98</v>
      </c>
      <c r="E34">
        <v>2017</v>
      </c>
      <c r="F34" t="s">
        <v>43</v>
      </c>
      <c r="G34" t="s">
        <v>35</v>
      </c>
      <c r="H34" t="s">
        <v>44</v>
      </c>
      <c r="I34">
        <v>0</v>
      </c>
      <c r="J34">
        <v>0</v>
      </c>
      <c r="K34" t="s">
        <v>99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27</v>
      </c>
      <c r="AC34" t="s">
        <v>27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59.866020435529798</v>
      </c>
    </row>
    <row r="35" spans="1:38" x14ac:dyDescent="0.35">
      <c r="A35" t="s">
        <v>130</v>
      </c>
      <c r="B35" t="s">
        <v>20</v>
      </c>
      <c r="C35">
        <v>2030</v>
      </c>
      <c r="D35" t="s">
        <v>98</v>
      </c>
      <c r="E35">
        <v>2017</v>
      </c>
      <c r="F35" t="s">
        <v>43</v>
      </c>
      <c r="G35" t="s">
        <v>35</v>
      </c>
      <c r="H35" t="s">
        <v>44</v>
      </c>
      <c r="I35">
        <v>0</v>
      </c>
      <c r="J35">
        <v>0</v>
      </c>
      <c r="K35" t="s">
        <v>99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27</v>
      </c>
      <c r="AC35" t="s">
        <v>27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59.866020435529798</v>
      </c>
    </row>
    <row r="36" spans="1:38" x14ac:dyDescent="0.35">
      <c r="A36" t="s">
        <v>130</v>
      </c>
      <c r="B36" t="s">
        <v>21</v>
      </c>
      <c r="C36">
        <v>2030</v>
      </c>
      <c r="D36" t="s">
        <v>98</v>
      </c>
      <c r="E36">
        <v>2017</v>
      </c>
      <c r="F36" t="s">
        <v>43</v>
      </c>
      <c r="G36" t="s">
        <v>35</v>
      </c>
      <c r="H36" t="s">
        <v>44</v>
      </c>
      <c r="I36">
        <v>0</v>
      </c>
      <c r="J36">
        <v>0</v>
      </c>
      <c r="K36" t="s">
        <v>99</v>
      </c>
      <c r="L36">
        <v>490.01599368022801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19.661605116565902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5.0887019733934797E-3</v>
      </c>
      <c r="AC36">
        <v>40.124415060207603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59.866020435529798</v>
      </c>
    </row>
    <row r="37" spans="1:38" x14ac:dyDescent="0.35">
      <c r="A37" t="s">
        <v>130</v>
      </c>
      <c r="B37" t="s">
        <v>22</v>
      </c>
      <c r="C37">
        <v>2030</v>
      </c>
      <c r="D37" t="s">
        <v>98</v>
      </c>
      <c r="E37">
        <v>2017</v>
      </c>
      <c r="F37" t="s">
        <v>43</v>
      </c>
      <c r="G37" t="s">
        <v>35</v>
      </c>
      <c r="H37" t="s">
        <v>44</v>
      </c>
      <c r="I37">
        <v>0</v>
      </c>
      <c r="J37">
        <v>0</v>
      </c>
      <c r="K37" t="s">
        <v>99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27</v>
      </c>
      <c r="AC37" t="s">
        <v>27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59.866020435529798</v>
      </c>
    </row>
    <row r="38" spans="1:38" x14ac:dyDescent="0.35">
      <c r="A38" t="s">
        <v>130</v>
      </c>
      <c r="B38" t="s">
        <v>23</v>
      </c>
      <c r="C38">
        <v>2030</v>
      </c>
      <c r="D38" t="s">
        <v>98</v>
      </c>
      <c r="E38">
        <v>2017</v>
      </c>
      <c r="F38" t="s">
        <v>43</v>
      </c>
      <c r="G38" t="s">
        <v>35</v>
      </c>
      <c r="H38" t="s">
        <v>44</v>
      </c>
      <c r="I38">
        <v>0</v>
      </c>
      <c r="J38">
        <v>0</v>
      </c>
      <c r="K38" t="s">
        <v>99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27</v>
      </c>
      <c r="AC38" t="s">
        <v>27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59.866020435529798</v>
      </c>
    </row>
    <row r="39" spans="1:38" x14ac:dyDescent="0.35">
      <c r="A39" t="s">
        <v>130</v>
      </c>
      <c r="B39" t="s">
        <v>5</v>
      </c>
      <c r="C39">
        <v>2030</v>
      </c>
      <c r="D39" t="s">
        <v>98</v>
      </c>
      <c r="E39">
        <v>2017</v>
      </c>
      <c r="F39" t="s">
        <v>43</v>
      </c>
      <c r="G39" t="s">
        <v>35</v>
      </c>
      <c r="H39" t="s">
        <v>44</v>
      </c>
      <c r="I39">
        <v>0</v>
      </c>
      <c r="J39">
        <v>0</v>
      </c>
      <c r="K39" t="s">
        <v>99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27</v>
      </c>
      <c r="AC39" t="s">
        <v>27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59.866020435529798</v>
      </c>
    </row>
    <row r="40" spans="1:38" x14ac:dyDescent="0.35">
      <c r="A40" t="s">
        <v>130</v>
      </c>
      <c r="B40" t="s">
        <v>42</v>
      </c>
      <c r="C40">
        <v>2030</v>
      </c>
      <c r="D40" t="s">
        <v>98</v>
      </c>
      <c r="E40">
        <v>2018</v>
      </c>
      <c r="F40" t="s">
        <v>43</v>
      </c>
      <c r="G40" t="s">
        <v>35</v>
      </c>
      <c r="H40" t="s">
        <v>44</v>
      </c>
      <c r="I40">
        <v>0</v>
      </c>
      <c r="J40">
        <v>0</v>
      </c>
      <c r="K40" t="s">
        <v>99</v>
      </c>
      <c r="L40">
        <v>94.543189332053501</v>
      </c>
      <c r="M40">
        <v>629.86185424043299</v>
      </c>
      <c r="N40">
        <v>55.739987100923301</v>
      </c>
      <c r="O40">
        <v>25.194474169617301</v>
      </c>
      <c r="P40">
        <v>0</v>
      </c>
      <c r="Q40">
        <v>0</v>
      </c>
      <c r="R40">
        <v>0</v>
      </c>
      <c r="S40">
        <v>0</v>
      </c>
      <c r="T40">
        <v>80.934461270540595</v>
      </c>
      <c r="U40">
        <v>425.80645161289402</v>
      </c>
      <c r="V40">
        <v>0</v>
      </c>
      <c r="W40">
        <v>191.61290322577599</v>
      </c>
      <c r="X40">
        <v>1.2219433018860399</v>
      </c>
      <c r="Y40">
        <v>65.695876445486405</v>
      </c>
      <c r="Z40">
        <v>236.505155203751</v>
      </c>
      <c r="AA40">
        <v>0.19007335601415201</v>
      </c>
      <c r="AB40">
        <v>0.57118959943882097</v>
      </c>
      <c r="AC40">
        <v>4503.8299915751004</v>
      </c>
      <c r="AD40">
        <v>1432.3530079786101</v>
      </c>
      <c r="AE40">
        <v>0</v>
      </c>
      <c r="AF40">
        <v>1432.3530079786101</v>
      </c>
      <c r="AG40">
        <v>0.180852652522555</v>
      </c>
      <c r="AH40">
        <v>5.3848980375785196</v>
      </c>
      <c r="AI40">
        <v>0</v>
      </c>
      <c r="AJ40">
        <v>0</v>
      </c>
      <c r="AK40">
        <v>2.41652450807152E-2</v>
      </c>
      <c r="AL40">
        <v>68.920884508460801</v>
      </c>
    </row>
    <row r="41" spans="1:38" x14ac:dyDescent="0.35">
      <c r="A41" t="s">
        <v>130</v>
      </c>
      <c r="B41" t="s">
        <v>125</v>
      </c>
      <c r="C41">
        <v>2030</v>
      </c>
      <c r="D41" t="s">
        <v>98</v>
      </c>
      <c r="E41">
        <v>2018</v>
      </c>
      <c r="F41" t="s">
        <v>43</v>
      </c>
      <c r="G41" t="s">
        <v>35</v>
      </c>
      <c r="H41" t="s">
        <v>44</v>
      </c>
      <c r="I41">
        <v>0</v>
      </c>
      <c r="J41">
        <v>0</v>
      </c>
      <c r="K41" t="s">
        <v>99</v>
      </c>
      <c r="L41">
        <v>223.07407492446501</v>
      </c>
      <c r="M41">
        <v>26.990437239187798</v>
      </c>
      <c r="N41">
        <v>3.15328050027852</v>
      </c>
      <c r="O41">
        <v>0.80971311717563599</v>
      </c>
      <c r="P41">
        <v>0</v>
      </c>
      <c r="Q41">
        <v>0</v>
      </c>
      <c r="R41">
        <v>0</v>
      </c>
      <c r="S41">
        <v>5.6061980596400801E-2</v>
      </c>
      <c r="T41">
        <v>4.01905559805056</v>
      </c>
      <c r="U41">
        <v>862.49200917539201</v>
      </c>
      <c r="V41">
        <v>0</v>
      </c>
      <c r="W41">
        <v>2.1562300229384599</v>
      </c>
      <c r="X41">
        <v>0</v>
      </c>
      <c r="Y41">
        <v>0</v>
      </c>
      <c r="Z41">
        <v>0</v>
      </c>
      <c r="AA41">
        <v>4.6598177783618898E-3</v>
      </c>
      <c r="AB41">
        <v>0.490347857182866</v>
      </c>
      <c r="AC41">
        <v>3866.3928538869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68.920884508460801</v>
      </c>
    </row>
    <row r="42" spans="1:38" x14ac:dyDescent="0.35">
      <c r="A42" t="s">
        <v>130</v>
      </c>
      <c r="B42" t="s">
        <v>36</v>
      </c>
      <c r="C42">
        <v>2030</v>
      </c>
      <c r="D42" t="s">
        <v>98</v>
      </c>
      <c r="E42">
        <v>2018</v>
      </c>
      <c r="F42" t="s">
        <v>43</v>
      </c>
      <c r="G42" t="s">
        <v>35</v>
      </c>
      <c r="H42" t="s">
        <v>44</v>
      </c>
      <c r="I42">
        <v>0</v>
      </c>
      <c r="J42">
        <v>0</v>
      </c>
      <c r="K42" t="s">
        <v>99</v>
      </c>
      <c r="L42">
        <v>19.828806659952502</v>
      </c>
      <c r="M42">
        <v>789.97965733250805</v>
      </c>
      <c r="N42">
        <v>69.909704188717498</v>
      </c>
      <c r="O42">
        <v>78.997965733250794</v>
      </c>
      <c r="P42">
        <v>0</v>
      </c>
      <c r="Q42">
        <v>0</v>
      </c>
      <c r="R42">
        <v>0</v>
      </c>
      <c r="S42">
        <v>0</v>
      </c>
      <c r="T42">
        <v>148.90766992196799</v>
      </c>
      <c r="U42">
        <v>76.665956371144702</v>
      </c>
      <c r="V42">
        <v>0</v>
      </c>
      <c r="W42">
        <v>3817.9646272834002</v>
      </c>
      <c r="X42">
        <v>0</v>
      </c>
      <c r="Y42">
        <v>0</v>
      </c>
      <c r="Z42">
        <v>0</v>
      </c>
      <c r="AA42">
        <v>1.9422919503031599</v>
      </c>
      <c r="AB42">
        <v>0.490347857182866</v>
      </c>
      <c r="AC42">
        <v>3866.3928538869</v>
      </c>
      <c r="AD42">
        <v>1526.4512430678899</v>
      </c>
      <c r="AE42">
        <v>0</v>
      </c>
      <c r="AF42">
        <v>1526.4512430678899</v>
      </c>
      <c r="AG42">
        <v>0.19273374281160599</v>
      </c>
      <c r="AH42">
        <v>0</v>
      </c>
      <c r="AI42">
        <v>9.3790255501575402E-3</v>
      </c>
      <c r="AJ42" s="13">
        <v>1.1842203977471801E-6</v>
      </c>
      <c r="AK42">
        <v>0</v>
      </c>
      <c r="AL42">
        <v>68.920884508460801</v>
      </c>
    </row>
    <row r="43" spans="1:38" x14ac:dyDescent="0.35">
      <c r="A43" t="s">
        <v>130</v>
      </c>
      <c r="B43" t="s">
        <v>45</v>
      </c>
      <c r="C43">
        <v>2030</v>
      </c>
      <c r="D43" t="s">
        <v>98</v>
      </c>
      <c r="E43">
        <v>2018</v>
      </c>
      <c r="F43" t="s">
        <v>43</v>
      </c>
      <c r="G43" t="s">
        <v>35</v>
      </c>
      <c r="H43" t="s">
        <v>44</v>
      </c>
      <c r="I43">
        <v>0</v>
      </c>
      <c r="J43">
        <v>0</v>
      </c>
      <c r="K43" t="s">
        <v>99</v>
      </c>
      <c r="L43">
        <v>17.017774079769602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76.645161290316594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0.57118959943882097</v>
      </c>
      <c r="AC43">
        <v>4503.8299915751004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68.920884508460801</v>
      </c>
    </row>
    <row r="44" spans="1:38" x14ac:dyDescent="0.35">
      <c r="A44" t="s">
        <v>130</v>
      </c>
      <c r="B44" t="s">
        <v>17</v>
      </c>
      <c r="C44">
        <v>2030</v>
      </c>
      <c r="D44" t="s">
        <v>98</v>
      </c>
      <c r="E44">
        <v>2018</v>
      </c>
      <c r="F44" t="s">
        <v>43</v>
      </c>
      <c r="G44" t="s">
        <v>35</v>
      </c>
      <c r="H44" t="s">
        <v>44</v>
      </c>
      <c r="I44">
        <v>0</v>
      </c>
      <c r="J44">
        <v>0</v>
      </c>
      <c r="K44" t="s">
        <v>99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27</v>
      </c>
      <c r="AC44" t="s">
        <v>27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68.920884508460801</v>
      </c>
    </row>
    <row r="45" spans="1:38" x14ac:dyDescent="0.35">
      <c r="A45" t="s">
        <v>130</v>
      </c>
      <c r="B45" t="s">
        <v>18</v>
      </c>
      <c r="C45">
        <v>2030</v>
      </c>
      <c r="D45" t="s">
        <v>98</v>
      </c>
      <c r="E45">
        <v>2018</v>
      </c>
      <c r="F45" t="s">
        <v>43</v>
      </c>
      <c r="G45" t="s">
        <v>35</v>
      </c>
      <c r="H45" t="s">
        <v>44</v>
      </c>
      <c r="I45">
        <v>0</v>
      </c>
      <c r="J45">
        <v>0</v>
      </c>
      <c r="K45" t="s">
        <v>99</v>
      </c>
      <c r="L45">
        <v>112.54830660189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435.15596836261398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0.490347857182866</v>
      </c>
      <c r="AC45">
        <v>3866.3928538869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68.920884508460801</v>
      </c>
    </row>
    <row r="46" spans="1:38" x14ac:dyDescent="0.35">
      <c r="A46" t="s">
        <v>130</v>
      </c>
      <c r="B46" t="s">
        <v>19</v>
      </c>
      <c r="C46">
        <v>2030</v>
      </c>
      <c r="D46" t="s">
        <v>98</v>
      </c>
      <c r="E46">
        <v>2018</v>
      </c>
      <c r="F46" t="s">
        <v>43</v>
      </c>
      <c r="G46" t="s">
        <v>35</v>
      </c>
      <c r="H46" t="s">
        <v>44</v>
      </c>
      <c r="I46">
        <v>0</v>
      </c>
      <c r="J46">
        <v>0</v>
      </c>
      <c r="K46" t="s">
        <v>99</v>
      </c>
      <c r="L46">
        <v>153.87153968123101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594.927821440098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0.490347857182866</v>
      </c>
      <c r="AC46">
        <v>3866.3928538869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68.920884508460801</v>
      </c>
    </row>
    <row r="47" spans="1:38" x14ac:dyDescent="0.35">
      <c r="A47" t="s">
        <v>130</v>
      </c>
      <c r="B47" t="s">
        <v>55</v>
      </c>
      <c r="C47">
        <v>2030</v>
      </c>
      <c r="D47" t="s">
        <v>98</v>
      </c>
      <c r="E47">
        <v>2018</v>
      </c>
      <c r="F47" t="s">
        <v>43</v>
      </c>
      <c r="G47" t="s">
        <v>35</v>
      </c>
      <c r="H47" t="s">
        <v>44</v>
      </c>
      <c r="I47">
        <v>0</v>
      </c>
      <c r="J47">
        <v>0</v>
      </c>
      <c r="K47" t="s">
        <v>99</v>
      </c>
      <c r="L47">
        <v>1078.15121035788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11.0828306035799</v>
      </c>
      <c r="V47">
        <v>0</v>
      </c>
      <c r="W47">
        <v>10.4178607673652</v>
      </c>
      <c r="X47">
        <v>0</v>
      </c>
      <c r="Y47">
        <v>0</v>
      </c>
      <c r="Z47">
        <v>0</v>
      </c>
      <c r="AA47">
        <v>0</v>
      </c>
      <c r="AB47">
        <v>1.3036749564624001E-3</v>
      </c>
      <c r="AC47">
        <v>10.279477031706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68.920884508460801</v>
      </c>
    </row>
    <row r="48" spans="1:38" x14ac:dyDescent="0.35">
      <c r="A48" t="s">
        <v>130</v>
      </c>
      <c r="B48" t="s">
        <v>56</v>
      </c>
      <c r="C48">
        <v>2030</v>
      </c>
      <c r="D48" t="s">
        <v>98</v>
      </c>
      <c r="E48">
        <v>2018</v>
      </c>
      <c r="F48" t="s">
        <v>43</v>
      </c>
      <c r="G48" t="s">
        <v>35</v>
      </c>
      <c r="H48" t="s">
        <v>44</v>
      </c>
      <c r="I48">
        <v>0</v>
      </c>
      <c r="J48">
        <v>0</v>
      </c>
      <c r="K48" t="s">
        <v>99</v>
      </c>
      <c r="L48">
        <v>1095.1689844376499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11.0620355227506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1.2810091008069401E-3</v>
      </c>
      <c r="AC48">
        <v>10.100756759862699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68.920884508460801</v>
      </c>
    </row>
    <row r="49" spans="1:38" x14ac:dyDescent="0.35">
      <c r="A49" t="s">
        <v>130</v>
      </c>
      <c r="B49" t="s">
        <v>57</v>
      </c>
      <c r="C49">
        <v>2030</v>
      </c>
      <c r="D49" t="s">
        <v>98</v>
      </c>
      <c r="E49">
        <v>2018</v>
      </c>
      <c r="F49" t="s">
        <v>43</v>
      </c>
      <c r="G49" t="s">
        <v>35</v>
      </c>
      <c r="H49" t="s">
        <v>44</v>
      </c>
      <c r="I49">
        <v>0</v>
      </c>
      <c r="J49">
        <v>0</v>
      </c>
      <c r="K49" t="s">
        <v>99</v>
      </c>
      <c r="L49">
        <v>231.056453662244</v>
      </c>
      <c r="M49">
        <v>57.764113415561098</v>
      </c>
      <c r="N49">
        <v>4.7218037297596798</v>
      </c>
      <c r="O49">
        <v>1.7329234024668301</v>
      </c>
      <c r="P49">
        <v>0</v>
      </c>
      <c r="Q49">
        <v>0</v>
      </c>
      <c r="R49">
        <v>0</v>
      </c>
      <c r="S49">
        <v>0</v>
      </c>
      <c r="T49">
        <v>6.4547271322265196</v>
      </c>
      <c r="U49">
        <v>998.17609508994099</v>
      </c>
      <c r="V49">
        <v>0</v>
      </c>
      <c r="W49">
        <v>0</v>
      </c>
      <c r="X49">
        <v>0</v>
      </c>
      <c r="Y49">
        <v>0</v>
      </c>
      <c r="Z49">
        <v>0</v>
      </c>
      <c r="AA49">
        <v>6.46652145245464E-3</v>
      </c>
      <c r="AB49">
        <v>0.54788241813981697</v>
      </c>
      <c r="AC49">
        <v>4320.0528670324502</v>
      </c>
      <c r="AD49">
        <v>0.95952925539459599</v>
      </c>
      <c r="AE49">
        <v>0</v>
      </c>
      <c r="AF49">
        <v>0.95952925539459599</v>
      </c>
      <c r="AG49">
        <v>1.21152683761946E-4</v>
      </c>
      <c r="AH49">
        <v>0</v>
      </c>
      <c r="AI49">
        <v>0.231056453662244</v>
      </c>
      <c r="AJ49" s="13">
        <v>2.9173794654324301E-5</v>
      </c>
      <c r="AK49">
        <v>0</v>
      </c>
      <c r="AL49">
        <v>68.920884508460801</v>
      </c>
    </row>
    <row r="50" spans="1:38" x14ac:dyDescent="0.35">
      <c r="A50" t="s">
        <v>130</v>
      </c>
      <c r="B50" t="s">
        <v>126</v>
      </c>
      <c r="C50">
        <v>2030</v>
      </c>
      <c r="D50" t="s">
        <v>98</v>
      </c>
      <c r="E50">
        <v>2018</v>
      </c>
      <c r="F50" t="s">
        <v>43</v>
      </c>
      <c r="G50" t="s">
        <v>35</v>
      </c>
      <c r="H50" t="s">
        <v>44</v>
      </c>
      <c r="I50">
        <v>0</v>
      </c>
      <c r="J50">
        <v>0</v>
      </c>
      <c r="K50" t="s">
        <v>99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27</v>
      </c>
      <c r="AC50" t="s">
        <v>27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68.920884508460801</v>
      </c>
    </row>
    <row r="51" spans="1:38" x14ac:dyDescent="0.35">
      <c r="A51" t="s">
        <v>130</v>
      </c>
      <c r="B51" t="s">
        <v>127</v>
      </c>
      <c r="C51">
        <v>2030</v>
      </c>
      <c r="D51" t="s">
        <v>98</v>
      </c>
      <c r="E51">
        <v>2018</v>
      </c>
      <c r="F51" t="s">
        <v>43</v>
      </c>
      <c r="G51" t="s">
        <v>35</v>
      </c>
      <c r="H51" t="s">
        <v>44</v>
      </c>
      <c r="I51">
        <v>0</v>
      </c>
      <c r="J51">
        <v>0</v>
      </c>
      <c r="K51" t="s">
        <v>99</v>
      </c>
      <c r="L51">
        <v>1111.5858662482401</v>
      </c>
      <c r="M51">
        <v>2552.8857640716401</v>
      </c>
      <c r="N51">
        <v>226.76629015338901</v>
      </c>
      <c r="O51">
        <v>41.790857499889903</v>
      </c>
      <c r="P51">
        <v>11.438279872195499</v>
      </c>
      <c r="Q51">
        <v>0</v>
      </c>
      <c r="R51">
        <v>0</v>
      </c>
      <c r="S51">
        <v>0</v>
      </c>
      <c r="T51">
        <v>279.99542752547501</v>
      </c>
      <c r="U51">
        <v>4062.5628867415599</v>
      </c>
      <c r="V51">
        <v>0</v>
      </c>
      <c r="W51">
        <v>0</v>
      </c>
      <c r="X51">
        <v>0</v>
      </c>
      <c r="Y51">
        <v>0</v>
      </c>
      <c r="Z51">
        <v>0</v>
      </c>
      <c r="AA51">
        <v>6.8920884508460803E-2</v>
      </c>
      <c r="AB51">
        <v>0.46350602409637298</v>
      </c>
      <c r="AC51">
        <v>3654.7449999998998</v>
      </c>
      <c r="AD51">
        <v>39688.628677319102</v>
      </c>
      <c r="AE51">
        <v>0</v>
      </c>
      <c r="AF51">
        <v>39688.628677319102</v>
      </c>
      <c r="AG51">
        <v>5.0111904895605903</v>
      </c>
      <c r="AH51">
        <v>0</v>
      </c>
      <c r="AI51">
        <v>191.14830556004799</v>
      </c>
      <c r="AJ51">
        <v>2.4134887065663101E-2</v>
      </c>
      <c r="AK51">
        <v>0</v>
      </c>
      <c r="AL51">
        <v>68.920884508460801</v>
      </c>
    </row>
    <row r="52" spans="1:38" x14ac:dyDescent="0.35">
      <c r="A52" t="s">
        <v>130</v>
      </c>
      <c r="B52" t="s">
        <v>128</v>
      </c>
      <c r="C52">
        <v>2030</v>
      </c>
      <c r="D52" t="s">
        <v>98</v>
      </c>
      <c r="E52">
        <v>2018</v>
      </c>
      <c r="F52" t="s">
        <v>43</v>
      </c>
      <c r="G52" t="s">
        <v>35</v>
      </c>
      <c r="H52" t="s">
        <v>44</v>
      </c>
      <c r="I52">
        <v>0</v>
      </c>
      <c r="J52">
        <v>0</v>
      </c>
      <c r="K52" t="s">
        <v>99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27</v>
      </c>
      <c r="AC52" t="s">
        <v>27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68.920884508460801</v>
      </c>
    </row>
    <row r="53" spans="1:38" x14ac:dyDescent="0.35">
      <c r="A53" t="s">
        <v>130</v>
      </c>
      <c r="B53" t="s">
        <v>129</v>
      </c>
      <c r="C53">
        <v>2030</v>
      </c>
      <c r="D53" t="s">
        <v>98</v>
      </c>
      <c r="E53">
        <v>2018</v>
      </c>
      <c r="F53" t="s">
        <v>43</v>
      </c>
      <c r="G53" t="s">
        <v>35</v>
      </c>
      <c r="H53" t="s">
        <v>44</v>
      </c>
      <c r="I53">
        <v>0</v>
      </c>
      <c r="J53">
        <v>0</v>
      </c>
      <c r="K53" t="s">
        <v>99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27</v>
      </c>
      <c r="AC53" t="s">
        <v>27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68.920884508460801</v>
      </c>
    </row>
    <row r="54" spans="1:38" x14ac:dyDescent="0.35">
      <c r="A54" t="s">
        <v>130</v>
      </c>
      <c r="B54" t="s">
        <v>20</v>
      </c>
      <c r="C54">
        <v>2030</v>
      </c>
      <c r="D54" t="s">
        <v>98</v>
      </c>
      <c r="E54">
        <v>2018</v>
      </c>
      <c r="F54" t="s">
        <v>43</v>
      </c>
      <c r="G54" t="s">
        <v>35</v>
      </c>
      <c r="H54" t="s">
        <v>44</v>
      </c>
      <c r="I54">
        <v>0</v>
      </c>
      <c r="J54">
        <v>0</v>
      </c>
      <c r="K54" t="s">
        <v>99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27</v>
      </c>
      <c r="AC54" t="s">
        <v>27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68.920884508460801</v>
      </c>
    </row>
    <row r="55" spans="1:38" x14ac:dyDescent="0.35">
      <c r="A55" t="s">
        <v>130</v>
      </c>
      <c r="B55" t="s">
        <v>21</v>
      </c>
      <c r="C55">
        <v>2030</v>
      </c>
      <c r="D55" t="s">
        <v>98</v>
      </c>
      <c r="E55">
        <v>2018</v>
      </c>
      <c r="F55" t="s">
        <v>43</v>
      </c>
      <c r="G55" t="s">
        <v>35</v>
      </c>
      <c r="H55" t="s">
        <v>44</v>
      </c>
      <c r="I55">
        <v>0</v>
      </c>
      <c r="J55">
        <v>0</v>
      </c>
      <c r="K55" t="s">
        <v>99</v>
      </c>
      <c r="L55">
        <v>445.63532923673699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40.411265441996498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1.1500616954238501E-2</v>
      </c>
      <c r="AC55">
        <v>90.682364684171105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68.920884508460801</v>
      </c>
    </row>
    <row r="56" spans="1:38" x14ac:dyDescent="0.35">
      <c r="A56" t="s">
        <v>130</v>
      </c>
      <c r="B56" t="s">
        <v>22</v>
      </c>
      <c r="C56">
        <v>2030</v>
      </c>
      <c r="D56" t="s">
        <v>98</v>
      </c>
      <c r="E56">
        <v>2018</v>
      </c>
      <c r="F56" t="s">
        <v>43</v>
      </c>
      <c r="G56" t="s">
        <v>35</v>
      </c>
      <c r="H56" t="s">
        <v>44</v>
      </c>
      <c r="I56">
        <v>0</v>
      </c>
      <c r="J56">
        <v>0</v>
      </c>
      <c r="K56" t="s">
        <v>99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27</v>
      </c>
      <c r="AC56" t="s">
        <v>27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68.920884508460801</v>
      </c>
    </row>
    <row r="57" spans="1:38" x14ac:dyDescent="0.35">
      <c r="A57" t="s">
        <v>130</v>
      </c>
      <c r="B57" t="s">
        <v>23</v>
      </c>
      <c r="C57">
        <v>2030</v>
      </c>
      <c r="D57" t="s">
        <v>98</v>
      </c>
      <c r="E57">
        <v>2018</v>
      </c>
      <c r="F57" t="s">
        <v>43</v>
      </c>
      <c r="G57" t="s">
        <v>35</v>
      </c>
      <c r="H57" t="s">
        <v>44</v>
      </c>
      <c r="I57">
        <v>0</v>
      </c>
      <c r="J57">
        <v>0</v>
      </c>
      <c r="K57" t="s">
        <v>99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27</v>
      </c>
      <c r="AC57" t="s">
        <v>27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68.920884508460801</v>
      </c>
    </row>
    <row r="58" spans="1:38" x14ac:dyDescent="0.35">
      <c r="A58" t="s">
        <v>130</v>
      </c>
      <c r="B58" t="s">
        <v>5</v>
      </c>
      <c r="C58">
        <v>2030</v>
      </c>
      <c r="D58" t="s">
        <v>98</v>
      </c>
      <c r="E58">
        <v>2018</v>
      </c>
      <c r="F58" t="s">
        <v>43</v>
      </c>
      <c r="G58" t="s">
        <v>35</v>
      </c>
      <c r="H58" t="s">
        <v>44</v>
      </c>
      <c r="I58">
        <v>0</v>
      </c>
      <c r="J58">
        <v>0</v>
      </c>
      <c r="K58" t="s">
        <v>99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27</v>
      </c>
      <c r="AC58" t="s">
        <v>27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68.920884508460801</v>
      </c>
    </row>
    <row r="59" spans="1:38" x14ac:dyDescent="0.35">
      <c r="A59" t="s">
        <v>130</v>
      </c>
      <c r="B59" t="s">
        <v>42</v>
      </c>
      <c r="C59">
        <v>2030</v>
      </c>
      <c r="D59" t="s">
        <v>98</v>
      </c>
      <c r="E59">
        <v>2019</v>
      </c>
      <c r="F59" t="s">
        <v>43</v>
      </c>
      <c r="G59" t="s">
        <v>35</v>
      </c>
      <c r="H59" t="s">
        <v>44</v>
      </c>
      <c r="I59">
        <v>0</v>
      </c>
      <c r="J59">
        <v>0</v>
      </c>
      <c r="K59" t="s">
        <v>99</v>
      </c>
      <c r="L59">
        <v>84.863295535122504</v>
      </c>
      <c r="M59">
        <v>565.37285298227198</v>
      </c>
      <c r="N59">
        <v>50.032995839139097</v>
      </c>
      <c r="O59">
        <v>22.614914119290798</v>
      </c>
      <c r="P59">
        <v>0</v>
      </c>
      <c r="Q59">
        <v>0</v>
      </c>
      <c r="R59">
        <v>0</v>
      </c>
      <c r="S59">
        <v>0</v>
      </c>
      <c r="T59">
        <v>72.647909958430006</v>
      </c>
      <c r="U59">
        <v>425.80645161290403</v>
      </c>
      <c r="V59">
        <v>0</v>
      </c>
      <c r="W59">
        <v>191.612903225791</v>
      </c>
      <c r="X59">
        <v>1.0785670811849899</v>
      </c>
      <c r="Y59">
        <v>57.987477483064097</v>
      </c>
      <c r="Z59">
        <v>208.754918939031</v>
      </c>
      <c r="AA59">
        <v>0.170612515811463</v>
      </c>
      <c r="AB59">
        <v>0.63634208527638703</v>
      </c>
      <c r="AC59">
        <v>5017.5573424043096</v>
      </c>
      <c r="AD59">
        <v>1285.70019147322</v>
      </c>
      <c r="AE59">
        <v>0</v>
      </c>
      <c r="AF59">
        <v>1285.70019147322</v>
      </c>
      <c r="AG59">
        <v>0.16233588276177</v>
      </c>
      <c r="AH59">
        <v>4.7387521400559898</v>
      </c>
      <c r="AI59">
        <v>0</v>
      </c>
      <c r="AJ59">
        <v>0</v>
      </c>
      <c r="AK59">
        <v>2.1244229789699899E-2</v>
      </c>
      <c r="AL59">
        <v>60.808365238761503</v>
      </c>
    </row>
    <row r="60" spans="1:38" x14ac:dyDescent="0.35">
      <c r="A60" t="s">
        <v>130</v>
      </c>
      <c r="B60" t="s">
        <v>125</v>
      </c>
      <c r="C60">
        <v>2030</v>
      </c>
      <c r="D60" t="s">
        <v>98</v>
      </c>
      <c r="E60">
        <v>2019</v>
      </c>
      <c r="F60" t="s">
        <v>43</v>
      </c>
      <c r="G60" t="s">
        <v>35</v>
      </c>
      <c r="H60" t="s">
        <v>44</v>
      </c>
      <c r="I60">
        <v>0</v>
      </c>
      <c r="J60">
        <v>0</v>
      </c>
      <c r="K60" t="s">
        <v>99</v>
      </c>
      <c r="L60">
        <v>196.36014127335099</v>
      </c>
      <c r="M60">
        <v>23.758233990709201</v>
      </c>
      <c r="N60">
        <v>2.77566366561804</v>
      </c>
      <c r="O60">
        <v>0.71274701972127696</v>
      </c>
      <c r="P60">
        <v>0</v>
      </c>
      <c r="Q60">
        <v>0</v>
      </c>
      <c r="R60">
        <v>0</v>
      </c>
      <c r="S60">
        <v>5.60570619759828E-2</v>
      </c>
      <c r="T60">
        <v>3.5444677473152999</v>
      </c>
      <c r="U60">
        <v>862.41633809203495</v>
      </c>
      <c r="V60">
        <v>0</v>
      </c>
      <c r="W60">
        <v>2.15604084522995</v>
      </c>
      <c r="X60">
        <v>0</v>
      </c>
      <c r="Y60">
        <v>0</v>
      </c>
      <c r="Z60">
        <v>0</v>
      </c>
      <c r="AA60">
        <v>4.1099264830219903E-3</v>
      </c>
      <c r="AB60">
        <v>0.55700865299341196</v>
      </c>
      <c r="AC60">
        <v>4392.0132288530504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60.808365238761503</v>
      </c>
    </row>
    <row r="61" spans="1:38" x14ac:dyDescent="0.35">
      <c r="A61" t="s">
        <v>130</v>
      </c>
      <c r="B61" t="s">
        <v>36</v>
      </c>
      <c r="C61">
        <v>2030</v>
      </c>
      <c r="D61" t="s">
        <v>98</v>
      </c>
      <c r="E61">
        <v>2019</v>
      </c>
      <c r="F61" t="s">
        <v>43</v>
      </c>
      <c r="G61" t="s">
        <v>35</v>
      </c>
      <c r="H61" t="s">
        <v>44</v>
      </c>
      <c r="I61">
        <v>0</v>
      </c>
      <c r="J61">
        <v>0</v>
      </c>
      <c r="K61" t="s">
        <v>99</v>
      </c>
      <c r="L61">
        <v>17.454234779853401</v>
      </c>
      <c r="M61">
        <v>695.37671362936203</v>
      </c>
      <c r="N61">
        <v>61.537762268085103</v>
      </c>
      <c r="O61">
        <v>69.537671362936194</v>
      </c>
      <c r="P61">
        <v>0</v>
      </c>
      <c r="Q61">
        <v>0</v>
      </c>
      <c r="R61">
        <v>0</v>
      </c>
      <c r="S61">
        <v>0</v>
      </c>
      <c r="T61">
        <v>131.07543363102101</v>
      </c>
      <c r="U61">
        <v>76.659230052625404</v>
      </c>
      <c r="V61">
        <v>0</v>
      </c>
      <c r="W61">
        <v>3817.6296566209198</v>
      </c>
      <c r="X61">
        <v>0</v>
      </c>
      <c r="Y61">
        <v>0</v>
      </c>
      <c r="Z61">
        <v>0</v>
      </c>
      <c r="AA61">
        <v>1.7098454229326301</v>
      </c>
      <c r="AB61">
        <v>0.55700865299341196</v>
      </c>
      <c r="AC61">
        <v>4392.0132288530504</v>
      </c>
      <c r="AD61">
        <v>1343.65314229</v>
      </c>
      <c r="AE61">
        <v>0</v>
      </c>
      <c r="AF61">
        <v>1343.65314229</v>
      </c>
      <c r="AG61">
        <v>0.169653174531565</v>
      </c>
      <c r="AH61">
        <v>0</v>
      </c>
      <c r="AI61">
        <v>8.2558530508706901E-3</v>
      </c>
      <c r="AJ61" s="13">
        <v>1.0424056882412399E-6</v>
      </c>
      <c r="AK61">
        <v>0</v>
      </c>
      <c r="AL61">
        <v>60.808365238761503</v>
      </c>
    </row>
    <row r="62" spans="1:38" x14ac:dyDescent="0.35">
      <c r="A62" t="s">
        <v>130</v>
      </c>
      <c r="B62" t="s">
        <v>45</v>
      </c>
      <c r="C62">
        <v>2030</v>
      </c>
      <c r="D62" t="s">
        <v>98</v>
      </c>
      <c r="E62">
        <v>2019</v>
      </c>
      <c r="F62" t="s">
        <v>43</v>
      </c>
      <c r="G62" t="s">
        <v>35</v>
      </c>
      <c r="H62" t="s">
        <v>44</v>
      </c>
      <c r="I62">
        <v>0</v>
      </c>
      <c r="J62">
        <v>0</v>
      </c>
      <c r="K62" t="s">
        <v>99</v>
      </c>
      <c r="L62">
        <v>15.275393196322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76.645161290322093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0.63634208527638703</v>
      </c>
      <c r="AC62">
        <v>5017.5573424043096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60.808365238761503</v>
      </c>
    </row>
    <row r="63" spans="1:38" x14ac:dyDescent="0.35">
      <c r="A63" t="s">
        <v>130</v>
      </c>
      <c r="B63" t="s">
        <v>17</v>
      </c>
      <c r="C63">
        <v>2030</v>
      </c>
      <c r="D63" t="s">
        <v>98</v>
      </c>
      <c r="E63">
        <v>2019</v>
      </c>
      <c r="F63" t="s">
        <v>43</v>
      </c>
      <c r="G63" t="s">
        <v>35</v>
      </c>
      <c r="H63" t="s">
        <v>44</v>
      </c>
      <c r="I63">
        <v>0</v>
      </c>
      <c r="J63">
        <v>0</v>
      </c>
      <c r="K63" t="s">
        <v>99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27</v>
      </c>
      <c r="AC63" t="s">
        <v>27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60.808365238761503</v>
      </c>
    </row>
    <row r="64" spans="1:38" x14ac:dyDescent="0.35">
      <c r="A64" t="s">
        <v>130</v>
      </c>
      <c r="B64" t="s">
        <v>18</v>
      </c>
      <c r="C64">
        <v>2030</v>
      </c>
      <c r="D64" t="s">
        <v>98</v>
      </c>
      <c r="E64">
        <v>2019</v>
      </c>
      <c r="F64" t="s">
        <v>43</v>
      </c>
      <c r="G64" t="s">
        <v>35</v>
      </c>
      <c r="H64" t="s">
        <v>44</v>
      </c>
      <c r="I64">
        <v>0</v>
      </c>
      <c r="J64">
        <v>0</v>
      </c>
      <c r="K64" t="s">
        <v>99</v>
      </c>
      <c r="L64">
        <v>99.070236610448305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435.117789778705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0.55700865299341196</v>
      </c>
      <c r="AC64">
        <v>4392.0132288530504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60.808365238761503</v>
      </c>
    </row>
    <row r="65" spans="1:38" x14ac:dyDescent="0.35">
      <c r="A65" t="s">
        <v>130</v>
      </c>
      <c r="B65" t="s">
        <v>19</v>
      </c>
      <c r="C65">
        <v>2030</v>
      </c>
      <c r="D65" t="s">
        <v>98</v>
      </c>
      <c r="E65">
        <v>2019</v>
      </c>
      <c r="F65" t="s">
        <v>43</v>
      </c>
      <c r="G65" t="s">
        <v>35</v>
      </c>
      <c r="H65" t="s">
        <v>44</v>
      </c>
      <c r="I65">
        <v>0</v>
      </c>
      <c r="J65">
        <v>0</v>
      </c>
      <c r="K65" t="s">
        <v>99</v>
      </c>
      <c r="L65">
        <v>135.44486189166301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594.87562520836298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0.55700865299341196</v>
      </c>
      <c r="AC65">
        <v>4392.0132288530504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60.808365238761503</v>
      </c>
    </row>
    <row r="66" spans="1:38" x14ac:dyDescent="0.35">
      <c r="A66" t="s">
        <v>130</v>
      </c>
      <c r="B66" t="s">
        <v>55</v>
      </c>
      <c r="C66">
        <v>2030</v>
      </c>
      <c r="D66" t="s">
        <v>98</v>
      </c>
      <c r="E66">
        <v>2019</v>
      </c>
      <c r="F66" t="s">
        <v>43</v>
      </c>
      <c r="G66" t="s">
        <v>35</v>
      </c>
      <c r="H66" t="s">
        <v>44</v>
      </c>
      <c r="I66">
        <v>0</v>
      </c>
      <c r="J66">
        <v>0</v>
      </c>
      <c r="K66" t="s">
        <v>99</v>
      </c>
      <c r="L66">
        <v>947.26598182222403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10.202753823260499</v>
      </c>
      <c r="V66">
        <v>0</v>
      </c>
      <c r="W66">
        <v>9.5905885938651299</v>
      </c>
      <c r="X66">
        <v>0</v>
      </c>
      <c r="Y66">
        <v>0</v>
      </c>
      <c r="Z66">
        <v>0</v>
      </c>
      <c r="AA66">
        <v>0</v>
      </c>
      <c r="AB66">
        <v>1.36597820205955E-3</v>
      </c>
      <c r="AC66">
        <v>10.7707381232396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60.808365238761503</v>
      </c>
    </row>
    <row r="67" spans="1:38" x14ac:dyDescent="0.35">
      <c r="A67" t="s">
        <v>130</v>
      </c>
      <c r="B67" t="s">
        <v>56</v>
      </c>
      <c r="C67">
        <v>2030</v>
      </c>
      <c r="D67" t="s">
        <v>98</v>
      </c>
      <c r="E67">
        <v>2019</v>
      </c>
      <c r="F67" t="s">
        <v>43</v>
      </c>
      <c r="G67" t="s">
        <v>35</v>
      </c>
      <c r="H67" t="s">
        <v>44</v>
      </c>
      <c r="I67">
        <v>0</v>
      </c>
      <c r="J67">
        <v>0</v>
      </c>
      <c r="K67" t="s">
        <v>99</v>
      </c>
      <c r="L67">
        <v>962.54137501854598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10.188685060955899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1.3424466443369199E-3</v>
      </c>
      <c r="AC67">
        <v>10.5851917905966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60.808365238761503</v>
      </c>
    </row>
    <row r="68" spans="1:38" x14ac:dyDescent="0.35">
      <c r="A68" t="s">
        <v>130</v>
      </c>
      <c r="B68" t="s">
        <v>57</v>
      </c>
      <c r="C68">
        <v>2030</v>
      </c>
      <c r="D68" t="s">
        <v>98</v>
      </c>
      <c r="E68">
        <v>2019</v>
      </c>
      <c r="F68" t="s">
        <v>43</v>
      </c>
      <c r="G68" t="s">
        <v>35</v>
      </c>
      <c r="H68" t="s">
        <v>44</v>
      </c>
      <c r="I68">
        <v>0</v>
      </c>
      <c r="J68">
        <v>0</v>
      </c>
      <c r="K68" t="s">
        <v>99</v>
      </c>
      <c r="L68">
        <v>156.31958116332399</v>
      </c>
      <c r="M68">
        <v>39.079895290831203</v>
      </c>
      <c r="N68">
        <v>3.1945023377292001</v>
      </c>
      <c r="O68">
        <v>1.17239685872493</v>
      </c>
      <c r="P68">
        <v>0</v>
      </c>
      <c r="Q68">
        <v>0</v>
      </c>
      <c r="R68">
        <v>0</v>
      </c>
      <c r="S68">
        <v>0</v>
      </c>
      <c r="T68">
        <v>4.3668991964541402</v>
      </c>
      <c r="U68">
        <v>745.35229311849798</v>
      </c>
      <c r="V68">
        <v>0</v>
      </c>
      <c r="W68">
        <v>0</v>
      </c>
      <c r="X68">
        <v>0</v>
      </c>
      <c r="Y68">
        <v>0</v>
      </c>
      <c r="Z68">
        <v>0</v>
      </c>
      <c r="AA68">
        <v>5.8588391513271698E-3</v>
      </c>
      <c r="AB68">
        <v>0.60470911025461205</v>
      </c>
      <c r="AC68">
        <v>4768.1313343576103</v>
      </c>
      <c r="AD68">
        <v>0.64916261346458004</v>
      </c>
      <c r="AE68">
        <v>0</v>
      </c>
      <c r="AF68">
        <v>0.64916261346458004</v>
      </c>
      <c r="AG68" s="13">
        <v>8.1964976447547794E-5</v>
      </c>
      <c r="AH68">
        <v>0</v>
      </c>
      <c r="AI68">
        <v>0.15631958116332401</v>
      </c>
      <c r="AJ68" s="13">
        <v>1.97373208539551E-5</v>
      </c>
      <c r="AK68">
        <v>0</v>
      </c>
      <c r="AL68">
        <v>60.808365238761503</v>
      </c>
    </row>
    <row r="69" spans="1:38" x14ac:dyDescent="0.35">
      <c r="A69" t="s">
        <v>130</v>
      </c>
      <c r="B69" t="s">
        <v>126</v>
      </c>
      <c r="C69">
        <v>2030</v>
      </c>
      <c r="D69" t="s">
        <v>98</v>
      </c>
      <c r="E69">
        <v>2019</v>
      </c>
      <c r="F69" t="s">
        <v>43</v>
      </c>
      <c r="G69" t="s">
        <v>35</v>
      </c>
      <c r="H69" t="s">
        <v>44</v>
      </c>
      <c r="I69">
        <v>0</v>
      </c>
      <c r="J69">
        <v>0</v>
      </c>
      <c r="K69" t="s">
        <v>99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27</v>
      </c>
      <c r="AC69" t="s">
        <v>27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60.808365238761503</v>
      </c>
    </row>
    <row r="70" spans="1:38" x14ac:dyDescent="0.35">
      <c r="A70" t="s">
        <v>130</v>
      </c>
      <c r="B70" t="s">
        <v>127</v>
      </c>
      <c r="C70">
        <v>2030</v>
      </c>
      <c r="D70" t="s">
        <v>98</v>
      </c>
      <c r="E70">
        <v>2019</v>
      </c>
      <c r="F70" t="s">
        <v>43</v>
      </c>
      <c r="G70" t="s">
        <v>35</v>
      </c>
      <c r="H70" t="s">
        <v>44</v>
      </c>
      <c r="I70">
        <v>0</v>
      </c>
      <c r="J70">
        <v>0</v>
      </c>
      <c r="K70" t="s">
        <v>99</v>
      </c>
      <c r="L70">
        <v>977.49316410915299</v>
      </c>
      <c r="M70">
        <v>2244.9263335400401</v>
      </c>
      <c r="N70">
        <v>199.41104435186099</v>
      </c>
      <c r="O70">
        <v>36.749547442769703</v>
      </c>
      <c r="P70">
        <v>11.4655193379722</v>
      </c>
      <c r="Q70">
        <v>0</v>
      </c>
      <c r="R70">
        <v>0</v>
      </c>
      <c r="S70">
        <v>0</v>
      </c>
      <c r="T70">
        <v>247.626111132603</v>
      </c>
      <c r="U70">
        <v>4072.2375969212399</v>
      </c>
      <c r="V70">
        <v>0</v>
      </c>
      <c r="W70">
        <v>0</v>
      </c>
      <c r="X70">
        <v>0</v>
      </c>
      <c r="Y70">
        <v>0</v>
      </c>
      <c r="Z70">
        <v>0</v>
      </c>
      <c r="AA70">
        <v>6.08083652387615E-2</v>
      </c>
      <c r="AB70">
        <v>0.52834509828787701</v>
      </c>
      <c r="AC70">
        <v>4166.0010999999104</v>
      </c>
      <c r="AD70">
        <v>34900.914452866899</v>
      </c>
      <c r="AE70">
        <v>0</v>
      </c>
      <c r="AF70">
        <v>34900.914452866899</v>
      </c>
      <c r="AG70">
        <v>4.40668111778621</v>
      </c>
      <c r="AH70">
        <v>0</v>
      </c>
      <c r="AI70">
        <v>168.08972450021</v>
      </c>
      <c r="AJ70">
        <v>2.1223450063157699E-2</v>
      </c>
      <c r="AK70">
        <v>0</v>
      </c>
      <c r="AL70">
        <v>60.808365238761503</v>
      </c>
    </row>
    <row r="71" spans="1:38" x14ac:dyDescent="0.35">
      <c r="A71" t="s">
        <v>130</v>
      </c>
      <c r="B71" t="s">
        <v>128</v>
      </c>
      <c r="C71">
        <v>2030</v>
      </c>
      <c r="D71" t="s">
        <v>98</v>
      </c>
      <c r="E71">
        <v>2019</v>
      </c>
      <c r="F71" t="s">
        <v>43</v>
      </c>
      <c r="G71" t="s">
        <v>35</v>
      </c>
      <c r="H71" t="s">
        <v>44</v>
      </c>
      <c r="I71">
        <v>0</v>
      </c>
      <c r="J71">
        <v>0</v>
      </c>
      <c r="K71" t="s">
        <v>99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27</v>
      </c>
      <c r="AC71" t="s">
        <v>27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60.808365238761503</v>
      </c>
    </row>
    <row r="72" spans="1:38" x14ac:dyDescent="0.35">
      <c r="A72" t="s">
        <v>130</v>
      </c>
      <c r="B72" t="s">
        <v>129</v>
      </c>
      <c r="C72">
        <v>2030</v>
      </c>
      <c r="D72" t="s">
        <v>98</v>
      </c>
      <c r="E72">
        <v>2019</v>
      </c>
      <c r="F72" t="s">
        <v>43</v>
      </c>
      <c r="G72" t="s">
        <v>35</v>
      </c>
      <c r="H72" t="s">
        <v>44</v>
      </c>
      <c r="I72">
        <v>0</v>
      </c>
      <c r="J72">
        <v>0</v>
      </c>
      <c r="K72" t="s">
        <v>99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27</v>
      </c>
      <c r="AC72" t="s">
        <v>27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60.808365238761503</v>
      </c>
    </row>
    <row r="73" spans="1:38" x14ac:dyDescent="0.35">
      <c r="A73" t="s">
        <v>130</v>
      </c>
      <c r="B73" t="s">
        <v>20</v>
      </c>
      <c r="C73">
        <v>2030</v>
      </c>
      <c r="D73" t="s">
        <v>98</v>
      </c>
      <c r="E73">
        <v>2019</v>
      </c>
      <c r="F73" t="s">
        <v>43</v>
      </c>
      <c r="G73" t="s">
        <v>35</v>
      </c>
      <c r="H73" t="s">
        <v>44</v>
      </c>
      <c r="I73">
        <v>0</v>
      </c>
      <c r="J73">
        <v>0</v>
      </c>
      <c r="K73" t="s">
        <v>99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27</v>
      </c>
      <c r="AC73" t="s">
        <v>27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60.808365238761503</v>
      </c>
    </row>
    <row r="74" spans="1:38" x14ac:dyDescent="0.35">
      <c r="A74" t="s">
        <v>130</v>
      </c>
      <c r="B74" t="s">
        <v>21</v>
      </c>
      <c r="C74">
        <v>2030</v>
      </c>
      <c r="D74" t="s">
        <v>98</v>
      </c>
      <c r="E74">
        <v>2019</v>
      </c>
      <c r="F74" t="s">
        <v>43</v>
      </c>
      <c r="G74" t="s">
        <v>35</v>
      </c>
      <c r="H74" t="s">
        <v>44</v>
      </c>
      <c r="I74">
        <v>0</v>
      </c>
      <c r="J74">
        <v>0</v>
      </c>
      <c r="K74" t="s">
        <v>99</v>
      </c>
      <c r="L74">
        <v>871.95540211122704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51.248407635495703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7.4539144754249198E-3</v>
      </c>
      <c r="AC74">
        <v>58.774115638725497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60.808365238761503</v>
      </c>
    </row>
    <row r="75" spans="1:38" x14ac:dyDescent="0.35">
      <c r="A75" t="s">
        <v>130</v>
      </c>
      <c r="B75" t="s">
        <v>22</v>
      </c>
      <c r="C75">
        <v>2030</v>
      </c>
      <c r="D75" t="s">
        <v>98</v>
      </c>
      <c r="E75">
        <v>2019</v>
      </c>
      <c r="F75" t="s">
        <v>43</v>
      </c>
      <c r="G75" t="s">
        <v>35</v>
      </c>
      <c r="H75" t="s">
        <v>44</v>
      </c>
      <c r="I75">
        <v>0</v>
      </c>
      <c r="J75">
        <v>0</v>
      </c>
      <c r="K75" t="s">
        <v>99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">
        <v>27</v>
      </c>
      <c r="AC75" t="s">
        <v>27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60.808365238761503</v>
      </c>
    </row>
    <row r="76" spans="1:38" x14ac:dyDescent="0.35">
      <c r="A76" t="s">
        <v>130</v>
      </c>
      <c r="B76" t="s">
        <v>23</v>
      </c>
      <c r="C76">
        <v>2030</v>
      </c>
      <c r="D76" t="s">
        <v>98</v>
      </c>
      <c r="E76">
        <v>2019</v>
      </c>
      <c r="F76" t="s">
        <v>43</v>
      </c>
      <c r="G76" t="s">
        <v>35</v>
      </c>
      <c r="H76" t="s">
        <v>44</v>
      </c>
      <c r="I76">
        <v>0</v>
      </c>
      <c r="J76">
        <v>0</v>
      </c>
      <c r="K76" t="s">
        <v>99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27</v>
      </c>
      <c r="AC76" t="s">
        <v>27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60.808365238761503</v>
      </c>
    </row>
    <row r="77" spans="1:38" x14ac:dyDescent="0.35">
      <c r="A77" t="s">
        <v>130</v>
      </c>
      <c r="B77" t="s">
        <v>5</v>
      </c>
      <c r="C77">
        <v>2030</v>
      </c>
      <c r="D77" t="s">
        <v>98</v>
      </c>
      <c r="E77">
        <v>2019</v>
      </c>
      <c r="F77" t="s">
        <v>43</v>
      </c>
      <c r="G77" t="s">
        <v>35</v>
      </c>
      <c r="H77" t="s">
        <v>44</v>
      </c>
      <c r="I77">
        <v>0</v>
      </c>
      <c r="J77">
        <v>0</v>
      </c>
      <c r="K77" t="s">
        <v>99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27</v>
      </c>
      <c r="AC77" t="s">
        <v>27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60.808365238761503</v>
      </c>
    </row>
    <row r="78" spans="1:38" x14ac:dyDescent="0.35">
      <c r="A78" t="s">
        <v>130</v>
      </c>
      <c r="B78" t="s">
        <v>42</v>
      </c>
      <c r="C78">
        <v>2030</v>
      </c>
      <c r="D78" t="s">
        <v>98</v>
      </c>
      <c r="E78">
        <v>2020</v>
      </c>
      <c r="F78" t="s">
        <v>43</v>
      </c>
      <c r="G78" t="s">
        <v>35</v>
      </c>
      <c r="H78" t="s">
        <v>44</v>
      </c>
      <c r="I78">
        <v>0</v>
      </c>
      <c r="J78">
        <v>0</v>
      </c>
      <c r="K78" t="s">
        <v>99</v>
      </c>
      <c r="L78">
        <v>89.553952362204996</v>
      </c>
      <c r="M78">
        <v>596.62275926938798</v>
      </c>
      <c r="N78">
        <v>52.7984742716272</v>
      </c>
      <c r="O78">
        <v>23.864910370775501</v>
      </c>
      <c r="P78">
        <v>0</v>
      </c>
      <c r="Q78">
        <v>0</v>
      </c>
      <c r="R78">
        <v>0</v>
      </c>
      <c r="S78">
        <v>0</v>
      </c>
      <c r="T78">
        <v>76.663384642402704</v>
      </c>
      <c r="U78">
        <v>425.80645161290698</v>
      </c>
      <c r="V78">
        <v>0</v>
      </c>
      <c r="W78">
        <v>191.612903225818</v>
      </c>
      <c r="X78">
        <v>1.0880856806941701</v>
      </c>
      <c r="Y78">
        <v>58.499230144847999</v>
      </c>
      <c r="Z78">
        <v>210.59722852145299</v>
      </c>
      <c r="AA78">
        <v>0.180042797266247</v>
      </c>
      <c r="AB78">
        <v>0.60301176017154301</v>
      </c>
      <c r="AC78">
        <v>4754.7477289526096</v>
      </c>
      <c r="AD78">
        <v>1356.7648177369899</v>
      </c>
      <c r="AE78">
        <v>0</v>
      </c>
      <c r="AF78">
        <v>1356.7648177369899</v>
      </c>
      <c r="AG78">
        <v>0.17130868910820399</v>
      </c>
      <c r="AH78">
        <v>4.7484238729308599</v>
      </c>
      <c r="AI78">
        <v>0</v>
      </c>
      <c r="AJ78">
        <v>0</v>
      </c>
      <c r="AK78">
        <v>2.12363504066845E-2</v>
      </c>
      <c r="AL78">
        <v>61.259491276657201</v>
      </c>
    </row>
    <row r="79" spans="1:38" x14ac:dyDescent="0.35">
      <c r="A79" t="s">
        <v>130</v>
      </c>
      <c r="B79" t="s">
        <v>125</v>
      </c>
      <c r="C79">
        <v>2030</v>
      </c>
      <c r="D79" t="s">
        <v>98</v>
      </c>
      <c r="E79">
        <v>2020</v>
      </c>
      <c r="F79" t="s">
        <v>43</v>
      </c>
      <c r="G79" t="s">
        <v>35</v>
      </c>
      <c r="H79" t="s">
        <v>44</v>
      </c>
      <c r="I79">
        <v>0</v>
      </c>
      <c r="J79">
        <v>0</v>
      </c>
      <c r="K79" t="s">
        <v>99</v>
      </c>
      <c r="L79">
        <v>198.07843548337399</v>
      </c>
      <c r="M79">
        <v>23.966135836989601</v>
      </c>
      <c r="N79">
        <v>2.7999527437103402</v>
      </c>
      <c r="O79">
        <v>0.71898407510968898</v>
      </c>
      <c r="P79">
        <v>0</v>
      </c>
      <c r="Q79">
        <v>0</v>
      </c>
      <c r="R79">
        <v>0</v>
      </c>
      <c r="S79">
        <v>5.6054878851106299E-2</v>
      </c>
      <c r="T79">
        <v>3.57499169767113</v>
      </c>
      <c r="U79">
        <v>862.38275155548297</v>
      </c>
      <c r="V79">
        <v>0</v>
      </c>
      <c r="W79">
        <v>2.15595687888877</v>
      </c>
      <c r="X79">
        <v>0</v>
      </c>
      <c r="Y79">
        <v>0</v>
      </c>
      <c r="Z79">
        <v>0</v>
      </c>
      <c r="AA79">
        <v>4.1454814480263004E-3</v>
      </c>
      <c r="AB79">
        <v>0.55215520042502098</v>
      </c>
      <c r="AC79">
        <v>4353.74375535129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61.259491276657201</v>
      </c>
    </row>
    <row r="80" spans="1:38" x14ac:dyDescent="0.35">
      <c r="A80" t="s">
        <v>130</v>
      </c>
      <c r="B80" t="s">
        <v>36</v>
      </c>
      <c r="C80">
        <v>2030</v>
      </c>
      <c r="D80" t="s">
        <v>98</v>
      </c>
      <c r="E80">
        <v>2020</v>
      </c>
      <c r="F80" t="s">
        <v>43</v>
      </c>
      <c r="G80" t="s">
        <v>35</v>
      </c>
      <c r="H80" t="s">
        <v>44</v>
      </c>
      <c r="I80">
        <v>0</v>
      </c>
      <c r="J80">
        <v>0</v>
      </c>
      <c r="K80" t="s">
        <v>99</v>
      </c>
      <c r="L80">
        <v>17.6069720429666</v>
      </c>
      <c r="M80">
        <v>701.46176619179096</v>
      </c>
      <c r="N80">
        <v>62.076262494848699</v>
      </c>
      <c r="O80">
        <v>70.146176619179101</v>
      </c>
      <c r="P80">
        <v>0</v>
      </c>
      <c r="Q80">
        <v>0</v>
      </c>
      <c r="R80">
        <v>0</v>
      </c>
      <c r="S80">
        <v>0</v>
      </c>
      <c r="T80">
        <v>132.222439114027</v>
      </c>
      <c r="U80">
        <v>76.656244582712901</v>
      </c>
      <c r="V80">
        <v>0</v>
      </c>
      <c r="W80">
        <v>3817.4809802188202</v>
      </c>
      <c r="X80">
        <v>0</v>
      </c>
      <c r="Y80">
        <v>0</v>
      </c>
      <c r="Z80">
        <v>0</v>
      </c>
      <c r="AA80">
        <v>1.72487499007805</v>
      </c>
      <c r="AB80">
        <v>0.55215520042502098</v>
      </c>
      <c r="AC80">
        <v>4353.74375535129</v>
      </c>
      <c r="AD80">
        <v>1355.41108562669</v>
      </c>
      <c r="AE80">
        <v>0</v>
      </c>
      <c r="AF80">
        <v>1355.41108562669</v>
      </c>
      <c r="AG80">
        <v>0.171137763336702</v>
      </c>
      <c r="AH80">
        <v>0</v>
      </c>
      <c r="AI80">
        <v>8.3280977763232206E-3</v>
      </c>
      <c r="AJ80" s="13">
        <v>1.05152749701049E-6</v>
      </c>
      <c r="AK80">
        <v>0</v>
      </c>
      <c r="AL80">
        <v>61.259491276657201</v>
      </c>
    </row>
    <row r="81" spans="1:38" x14ac:dyDescent="0.35">
      <c r="A81" t="s">
        <v>130</v>
      </c>
      <c r="B81" t="s">
        <v>45</v>
      </c>
      <c r="C81">
        <v>2030</v>
      </c>
      <c r="D81" t="s">
        <v>98</v>
      </c>
      <c r="E81">
        <v>2020</v>
      </c>
      <c r="F81" t="s">
        <v>43</v>
      </c>
      <c r="G81" t="s">
        <v>35</v>
      </c>
      <c r="H81" t="s">
        <v>44</v>
      </c>
      <c r="I81">
        <v>0</v>
      </c>
      <c r="J81">
        <v>0</v>
      </c>
      <c r="K81" t="s">
        <v>99</v>
      </c>
      <c r="L81">
        <v>16.1197114251969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76.645161290331203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0.60301176017154301</v>
      </c>
      <c r="AC81">
        <v>4754.7477289526096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61.259491276657201</v>
      </c>
    </row>
    <row r="82" spans="1:38" x14ac:dyDescent="0.35">
      <c r="A82" t="s">
        <v>130</v>
      </c>
      <c r="B82" t="s">
        <v>17</v>
      </c>
      <c r="C82">
        <v>2030</v>
      </c>
      <c r="D82" t="s">
        <v>98</v>
      </c>
      <c r="E82">
        <v>2020</v>
      </c>
      <c r="F82" t="s">
        <v>43</v>
      </c>
      <c r="G82" t="s">
        <v>35</v>
      </c>
      <c r="H82" t="s">
        <v>44</v>
      </c>
      <c r="I82">
        <v>0</v>
      </c>
      <c r="J82">
        <v>0</v>
      </c>
      <c r="K82" t="s">
        <v>99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27</v>
      </c>
      <c r="AC82" t="s">
        <v>27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61.259491276657201</v>
      </c>
    </row>
    <row r="83" spans="1:38" x14ac:dyDescent="0.35">
      <c r="A83" t="s">
        <v>130</v>
      </c>
      <c r="B83" t="s">
        <v>18</v>
      </c>
      <c r="C83">
        <v>2030</v>
      </c>
      <c r="D83" t="s">
        <v>98</v>
      </c>
      <c r="E83">
        <v>2020</v>
      </c>
      <c r="F83" t="s">
        <v>43</v>
      </c>
      <c r="G83" t="s">
        <v>35</v>
      </c>
      <c r="H83" t="s">
        <v>44</v>
      </c>
      <c r="I83">
        <v>0</v>
      </c>
      <c r="J83">
        <v>0</v>
      </c>
      <c r="K83" t="s">
        <v>99</v>
      </c>
      <c r="L83">
        <v>99.937173315878596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435.10084425147198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0.55215520042502098</v>
      </c>
      <c r="AC83">
        <v>4353.74375535129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61.259491276657201</v>
      </c>
    </row>
    <row r="84" spans="1:38" x14ac:dyDescent="0.35">
      <c r="A84" t="s">
        <v>130</v>
      </c>
      <c r="B84" t="s">
        <v>19</v>
      </c>
      <c r="C84">
        <v>2030</v>
      </c>
      <c r="D84" t="s">
        <v>98</v>
      </c>
      <c r="E84">
        <v>2020</v>
      </c>
      <c r="F84" t="s">
        <v>43</v>
      </c>
      <c r="G84" t="s">
        <v>35</v>
      </c>
      <c r="H84" t="s">
        <v>44</v>
      </c>
      <c r="I84">
        <v>0</v>
      </c>
      <c r="J84">
        <v>0</v>
      </c>
      <c r="K84" t="s">
        <v>99</v>
      </c>
      <c r="L84">
        <v>136.63010305342101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594.85245796185905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0.55215520042502098</v>
      </c>
      <c r="AC84">
        <v>4353.74375535129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61.259491276657201</v>
      </c>
    </row>
    <row r="85" spans="1:38" x14ac:dyDescent="0.35">
      <c r="A85" t="s">
        <v>130</v>
      </c>
      <c r="B85" t="s">
        <v>55</v>
      </c>
      <c r="C85">
        <v>2030</v>
      </c>
      <c r="D85" t="s">
        <v>98</v>
      </c>
      <c r="E85">
        <v>2020</v>
      </c>
      <c r="F85" t="s">
        <v>43</v>
      </c>
      <c r="G85" t="s">
        <v>35</v>
      </c>
      <c r="H85" t="s">
        <v>44</v>
      </c>
      <c r="I85">
        <v>0</v>
      </c>
      <c r="J85">
        <v>0</v>
      </c>
      <c r="K85" t="s">
        <v>99</v>
      </c>
      <c r="L85">
        <v>944.84822371369103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8.0426863379949101</v>
      </c>
      <c r="V85">
        <v>0</v>
      </c>
      <c r="W85">
        <v>7.5601251577153699</v>
      </c>
      <c r="X85">
        <v>0</v>
      </c>
      <c r="Y85">
        <v>0</v>
      </c>
      <c r="Z85">
        <v>0</v>
      </c>
      <c r="AA85">
        <v>0</v>
      </c>
      <c r="AB85">
        <v>1.0795366300561499E-3</v>
      </c>
      <c r="AC85">
        <v>8.5121463279928005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61.259491276657201</v>
      </c>
    </row>
    <row r="86" spans="1:38" x14ac:dyDescent="0.35">
      <c r="A86" t="s">
        <v>130</v>
      </c>
      <c r="B86" t="s">
        <v>56</v>
      </c>
      <c r="C86">
        <v>2030</v>
      </c>
      <c r="D86" t="s">
        <v>98</v>
      </c>
      <c r="E86">
        <v>2020</v>
      </c>
      <c r="F86" t="s">
        <v>43</v>
      </c>
      <c r="G86" t="s">
        <v>35</v>
      </c>
      <c r="H86" t="s">
        <v>44</v>
      </c>
      <c r="I86">
        <v>0</v>
      </c>
      <c r="J86">
        <v>0</v>
      </c>
      <c r="K86" t="s">
        <v>99</v>
      </c>
      <c r="L86">
        <v>960.96793513888804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8.0316030456112397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1.0599652837517399E-3</v>
      </c>
      <c r="AC86">
        <v>8.3578262623825204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61.259491276657201</v>
      </c>
    </row>
    <row r="87" spans="1:38" x14ac:dyDescent="0.35">
      <c r="A87" t="s">
        <v>130</v>
      </c>
      <c r="B87" t="s">
        <v>57</v>
      </c>
      <c r="C87">
        <v>2030</v>
      </c>
      <c r="D87" t="s">
        <v>98</v>
      </c>
      <c r="E87">
        <v>2020</v>
      </c>
      <c r="F87" t="s">
        <v>43</v>
      </c>
      <c r="G87" t="s">
        <v>35</v>
      </c>
      <c r="H87" t="s">
        <v>44</v>
      </c>
      <c r="I87">
        <v>0</v>
      </c>
      <c r="J87">
        <v>0</v>
      </c>
      <c r="K87" t="s">
        <v>99</v>
      </c>
      <c r="L87">
        <v>123.14769315655001</v>
      </c>
      <c r="M87">
        <v>30.786923289137601</v>
      </c>
      <c r="N87">
        <v>2.5166111036565102</v>
      </c>
      <c r="O87">
        <v>0.92360769867412895</v>
      </c>
      <c r="P87">
        <v>0</v>
      </c>
      <c r="Q87">
        <v>0</v>
      </c>
      <c r="R87">
        <v>0</v>
      </c>
      <c r="S87">
        <v>0</v>
      </c>
      <c r="T87">
        <v>3.4402188023306399</v>
      </c>
      <c r="U87">
        <v>589.65888574207395</v>
      </c>
      <c r="V87">
        <v>0</v>
      </c>
      <c r="W87">
        <v>0</v>
      </c>
      <c r="X87">
        <v>0</v>
      </c>
      <c r="Y87">
        <v>0</v>
      </c>
      <c r="Z87">
        <v>0</v>
      </c>
      <c r="AA87">
        <v>5.8342524559791796E-3</v>
      </c>
      <c r="AB87">
        <v>0.60725747421041998</v>
      </c>
      <c r="AC87">
        <v>4788.2251841491598</v>
      </c>
      <c r="AD87">
        <v>0.511406681982567</v>
      </c>
      <c r="AE87">
        <v>0</v>
      </c>
      <c r="AF87">
        <v>0.511406681982567</v>
      </c>
      <c r="AG87" s="13">
        <v>6.4571550755373994E-5</v>
      </c>
      <c r="AH87">
        <v>0</v>
      </c>
      <c r="AI87">
        <v>0.12314769315655</v>
      </c>
      <c r="AJ87" s="13">
        <v>1.5548951156129899E-5</v>
      </c>
      <c r="AK87">
        <v>0</v>
      </c>
      <c r="AL87">
        <v>61.259491276657201</v>
      </c>
    </row>
    <row r="88" spans="1:38" x14ac:dyDescent="0.35">
      <c r="A88" t="s">
        <v>130</v>
      </c>
      <c r="B88" t="s">
        <v>126</v>
      </c>
      <c r="C88">
        <v>2030</v>
      </c>
      <c r="D88" t="s">
        <v>98</v>
      </c>
      <c r="E88">
        <v>2020</v>
      </c>
      <c r="F88" t="s">
        <v>43</v>
      </c>
      <c r="G88" t="s">
        <v>35</v>
      </c>
      <c r="H88" t="s">
        <v>44</v>
      </c>
      <c r="I88">
        <v>0</v>
      </c>
      <c r="J88">
        <v>0</v>
      </c>
      <c r="K88" t="s">
        <v>99</v>
      </c>
      <c r="L88">
        <v>2.9356515357022799</v>
      </c>
      <c r="M88">
        <v>5.86581431882282</v>
      </c>
      <c r="N88">
        <v>0.52104523066734199</v>
      </c>
      <c r="O88">
        <v>0.11036789754437901</v>
      </c>
      <c r="P88">
        <v>3.0931687128771E-2</v>
      </c>
      <c r="Q88">
        <v>0</v>
      </c>
      <c r="R88">
        <v>0</v>
      </c>
      <c r="S88">
        <v>0</v>
      </c>
      <c r="T88">
        <v>0.66234481534049205</v>
      </c>
      <c r="U88">
        <v>10.9860858064069</v>
      </c>
      <c r="V88">
        <v>0</v>
      </c>
      <c r="W88">
        <v>0</v>
      </c>
      <c r="X88">
        <v>0</v>
      </c>
      <c r="Y88">
        <v>0</v>
      </c>
      <c r="Z88">
        <v>0</v>
      </c>
      <c r="AA88">
        <v>6.02894267359739E-2</v>
      </c>
      <c r="AB88">
        <v>0.47460989220037397</v>
      </c>
      <c r="AC88">
        <v>3742.29899999995</v>
      </c>
      <c r="AD88">
        <v>104.815999612997</v>
      </c>
      <c r="AE88">
        <v>0</v>
      </c>
      <c r="AF88">
        <v>104.815999612997</v>
      </c>
      <c r="AG88">
        <v>1.32343433854793E-2</v>
      </c>
      <c r="AH88">
        <v>0</v>
      </c>
      <c r="AI88">
        <v>0.504814638079364</v>
      </c>
      <c r="AJ88" s="13">
        <v>6.37392219797171E-5</v>
      </c>
      <c r="AK88">
        <v>0</v>
      </c>
      <c r="AL88">
        <v>61.259491276657201</v>
      </c>
    </row>
    <row r="89" spans="1:38" x14ac:dyDescent="0.35">
      <c r="A89" t="s">
        <v>130</v>
      </c>
      <c r="B89" t="s">
        <v>127</v>
      </c>
      <c r="C89">
        <v>2030</v>
      </c>
      <c r="D89" t="s">
        <v>98</v>
      </c>
      <c r="E89">
        <v>2020</v>
      </c>
      <c r="F89" t="s">
        <v>43</v>
      </c>
      <c r="G89" t="s">
        <v>35</v>
      </c>
      <c r="H89" t="s">
        <v>44</v>
      </c>
      <c r="I89">
        <v>0</v>
      </c>
      <c r="J89">
        <v>0</v>
      </c>
      <c r="K89" t="s">
        <v>99</v>
      </c>
      <c r="L89">
        <v>974.38709462625798</v>
      </c>
      <c r="M89">
        <v>2237.79288500865</v>
      </c>
      <c r="N89">
        <v>198.77739842761801</v>
      </c>
      <c r="O89">
        <v>36.632772561866801</v>
      </c>
      <c r="P89">
        <v>11.3403526860087</v>
      </c>
      <c r="Q89">
        <v>0</v>
      </c>
      <c r="R89">
        <v>0</v>
      </c>
      <c r="S89">
        <v>0</v>
      </c>
      <c r="T89">
        <v>246.75052367549301</v>
      </c>
      <c r="U89">
        <v>4027.781839534</v>
      </c>
      <c r="V89">
        <v>0</v>
      </c>
      <c r="W89">
        <v>0</v>
      </c>
      <c r="X89">
        <v>0</v>
      </c>
      <c r="Y89">
        <v>0</v>
      </c>
      <c r="Z89">
        <v>0</v>
      </c>
      <c r="AA89">
        <v>6.1262137202555397E-2</v>
      </c>
      <c r="AB89">
        <v>0.52424309448318496</v>
      </c>
      <c r="AC89">
        <v>4133.6567999999197</v>
      </c>
      <c r="AD89">
        <v>34790.013763954099</v>
      </c>
      <c r="AE89">
        <v>0</v>
      </c>
      <c r="AF89">
        <v>34790.013763954099</v>
      </c>
      <c r="AG89">
        <v>4.3926785055497204</v>
      </c>
      <c r="AH89">
        <v>0</v>
      </c>
      <c r="AI89">
        <v>167.55560479193099</v>
      </c>
      <c r="AJ89">
        <v>2.1156010706051699E-2</v>
      </c>
      <c r="AK89">
        <v>0</v>
      </c>
      <c r="AL89">
        <v>61.259491276657201</v>
      </c>
    </row>
    <row r="90" spans="1:38" x14ac:dyDescent="0.35">
      <c r="A90" t="s">
        <v>130</v>
      </c>
      <c r="B90" t="s">
        <v>128</v>
      </c>
      <c r="C90">
        <v>2030</v>
      </c>
      <c r="D90" t="s">
        <v>98</v>
      </c>
      <c r="E90">
        <v>2020</v>
      </c>
      <c r="F90" t="s">
        <v>43</v>
      </c>
      <c r="G90" t="s">
        <v>35</v>
      </c>
      <c r="H90" t="s">
        <v>44</v>
      </c>
      <c r="I90">
        <v>0</v>
      </c>
      <c r="J90">
        <v>0</v>
      </c>
      <c r="K90" t="s">
        <v>99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27</v>
      </c>
      <c r="AC90" t="s">
        <v>27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61.259491276657201</v>
      </c>
    </row>
    <row r="91" spans="1:38" x14ac:dyDescent="0.35">
      <c r="A91" t="s">
        <v>130</v>
      </c>
      <c r="B91" t="s">
        <v>129</v>
      </c>
      <c r="C91">
        <v>2030</v>
      </c>
      <c r="D91" t="s">
        <v>98</v>
      </c>
      <c r="E91">
        <v>2020</v>
      </c>
      <c r="F91" t="s">
        <v>43</v>
      </c>
      <c r="G91" t="s">
        <v>35</v>
      </c>
      <c r="H91" t="s">
        <v>44</v>
      </c>
      <c r="I91">
        <v>0</v>
      </c>
      <c r="J91">
        <v>0</v>
      </c>
      <c r="K91" t="s">
        <v>99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27</v>
      </c>
      <c r="AC91" t="s">
        <v>27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61.259491276657201</v>
      </c>
    </row>
    <row r="92" spans="1:38" x14ac:dyDescent="0.35">
      <c r="A92" t="s">
        <v>130</v>
      </c>
      <c r="B92" t="s">
        <v>20</v>
      </c>
      <c r="C92">
        <v>2030</v>
      </c>
      <c r="D92" t="s">
        <v>98</v>
      </c>
      <c r="E92">
        <v>2020</v>
      </c>
      <c r="F92" t="s">
        <v>43</v>
      </c>
      <c r="G92" t="s">
        <v>35</v>
      </c>
      <c r="H92" t="s">
        <v>44</v>
      </c>
      <c r="I92">
        <v>0</v>
      </c>
      <c r="J92">
        <v>0</v>
      </c>
      <c r="K92" t="s">
        <v>99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27</v>
      </c>
      <c r="AC92" t="s">
        <v>27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61.259491276657201</v>
      </c>
    </row>
    <row r="93" spans="1:38" x14ac:dyDescent="0.35">
      <c r="A93" t="s">
        <v>130</v>
      </c>
      <c r="B93" t="s">
        <v>21</v>
      </c>
      <c r="C93">
        <v>2030</v>
      </c>
      <c r="D93" t="s">
        <v>98</v>
      </c>
      <c r="E93">
        <v>2020</v>
      </c>
      <c r="F93" t="s">
        <v>43</v>
      </c>
      <c r="G93" t="s">
        <v>35</v>
      </c>
      <c r="H93" t="s">
        <v>44</v>
      </c>
      <c r="I93">
        <v>0</v>
      </c>
      <c r="J93">
        <v>0</v>
      </c>
      <c r="K93" t="s">
        <v>99</v>
      </c>
      <c r="L93">
        <v>359.68220564366499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19.9579598593225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7.0371287100181997E-3</v>
      </c>
      <c r="AC93">
        <v>55.487759878493499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61.259491276657201</v>
      </c>
    </row>
    <row r="94" spans="1:38" x14ac:dyDescent="0.35">
      <c r="A94" t="s">
        <v>130</v>
      </c>
      <c r="B94" t="s">
        <v>22</v>
      </c>
      <c r="C94">
        <v>2030</v>
      </c>
      <c r="D94" t="s">
        <v>98</v>
      </c>
      <c r="E94">
        <v>2020</v>
      </c>
      <c r="F94" t="s">
        <v>43</v>
      </c>
      <c r="G94" t="s">
        <v>35</v>
      </c>
      <c r="H94" t="s">
        <v>44</v>
      </c>
      <c r="I94">
        <v>0</v>
      </c>
      <c r="J94">
        <v>0</v>
      </c>
      <c r="K94" t="s">
        <v>99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27</v>
      </c>
      <c r="AC94" t="s">
        <v>27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61.259491276657201</v>
      </c>
    </row>
    <row r="95" spans="1:38" x14ac:dyDescent="0.35">
      <c r="A95" t="s">
        <v>130</v>
      </c>
      <c r="B95" t="s">
        <v>23</v>
      </c>
      <c r="C95">
        <v>2030</v>
      </c>
      <c r="D95" t="s">
        <v>98</v>
      </c>
      <c r="E95">
        <v>2020</v>
      </c>
      <c r="F95" t="s">
        <v>43</v>
      </c>
      <c r="G95" t="s">
        <v>35</v>
      </c>
      <c r="H95" t="s">
        <v>44</v>
      </c>
      <c r="I95">
        <v>0</v>
      </c>
      <c r="J95">
        <v>0</v>
      </c>
      <c r="K95" t="s">
        <v>99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27</v>
      </c>
      <c r="AC95" t="s">
        <v>27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61.259491276657201</v>
      </c>
    </row>
    <row r="96" spans="1:38" x14ac:dyDescent="0.35">
      <c r="A96" t="s">
        <v>130</v>
      </c>
      <c r="B96" t="s">
        <v>5</v>
      </c>
      <c r="C96">
        <v>2030</v>
      </c>
      <c r="D96" t="s">
        <v>98</v>
      </c>
      <c r="E96">
        <v>2020</v>
      </c>
      <c r="F96" t="s">
        <v>43</v>
      </c>
      <c r="G96" t="s">
        <v>35</v>
      </c>
      <c r="H96" t="s">
        <v>44</v>
      </c>
      <c r="I96">
        <v>0</v>
      </c>
      <c r="J96">
        <v>0</v>
      </c>
      <c r="K96" t="s">
        <v>99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27</v>
      </c>
      <c r="AC96" t="s">
        <v>27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61.259491276657201</v>
      </c>
    </row>
    <row r="97" spans="1:38" x14ac:dyDescent="0.35">
      <c r="A97" t="s">
        <v>130</v>
      </c>
      <c r="B97" t="s">
        <v>42</v>
      </c>
      <c r="C97">
        <v>2030</v>
      </c>
      <c r="D97" t="s">
        <v>98</v>
      </c>
      <c r="E97">
        <v>2021</v>
      </c>
      <c r="F97" t="s">
        <v>43</v>
      </c>
      <c r="G97" t="s">
        <v>35</v>
      </c>
      <c r="H97" t="s">
        <v>44</v>
      </c>
      <c r="I97">
        <v>0</v>
      </c>
      <c r="J97">
        <v>0</v>
      </c>
      <c r="K97" t="s">
        <v>99</v>
      </c>
      <c r="L97">
        <v>77.448847781876495</v>
      </c>
      <c r="M97">
        <v>515.97661573850598</v>
      </c>
      <c r="N97">
        <v>45.661647410487298</v>
      </c>
      <c r="O97">
        <v>20.639064629540201</v>
      </c>
      <c r="P97">
        <v>0</v>
      </c>
      <c r="Q97">
        <v>0</v>
      </c>
      <c r="R97">
        <v>0</v>
      </c>
      <c r="S97">
        <v>0</v>
      </c>
      <c r="T97">
        <v>66.300712040027506</v>
      </c>
      <c r="U97">
        <v>425.80645161291</v>
      </c>
      <c r="V97">
        <v>0</v>
      </c>
      <c r="W97">
        <v>191.612903225808</v>
      </c>
      <c r="X97">
        <v>1.16723186985521</v>
      </c>
      <c r="Y97">
        <v>62.754401605119</v>
      </c>
      <c r="Z97">
        <v>225.91584577842801</v>
      </c>
      <c r="AA97">
        <v>0.15570621766975901</v>
      </c>
      <c r="AB97">
        <v>0.697261327842291</v>
      </c>
      <c r="AC97">
        <v>5497.9055700364597</v>
      </c>
      <c r="AD97">
        <v>1173.36945018035</v>
      </c>
      <c r="AE97">
        <v>0</v>
      </c>
      <c r="AF97">
        <v>1173.36945018035</v>
      </c>
      <c r="AG97">
        <v>0.148152708356102</v>
      </c>
      <c r="AH97">
        <v>5.1491172396726697</v>
      </c>
      <c r="AI97">
        <v>0</v>
      </c>
      <c r="AJ97">
        <v>0</v>
      </c>
      <c r="AK97">
        <v>2.3244177973870801E-2</v>
      </c>
      <c r="AL97">
        <v>66.1278308839549</v>
      </c>
    </row>
    <row r="98" spans="1:38" x14ac:dyDescent="0.35">
      <c r="A98" t="s">
        <v>130</v>
      </c>
      <c r="B98" t="s">
        <v>125</v>
      </c>
      <c r="C98">
        <v>2030</v>
      </c>
      <c r="D98" t="s">
        <v>98</v>
      </c>
      <c r="E98">
        <v>2021</v>
      </c>
      <c r="F98" t="s">
        <v>43</v>
      </c>
      <c r="G98" t="s">
        <v>35</v>
      </c>
      <c r="H98" t="s">
        <v>44</v>
      </c>
      <c r="I98">
        <v>0</v>
      </c>
      <c r="J98">
        <v>0</v>
      </c>
      <c r="K98" t="s">
        <v>99</v>
      </c>
      <c r="L98">
        <v>216.30393657190501</v>
      </c>
      <c r="M98">
        <v>26.171296806274398</v>
      </c>
      <c r="N98">
        <v>3.05758069626255</v>
      </c>
      <c r="O98">
        <v>0.78513890418823196</v>
      </c>
      <c r="P98">
        <v>0</v>
      </c>
      <c r="Q98">
        <v>0</v>
      </c>
      <c r="R98">
        <v>0</v>
      </c>
      <c r="S98">
        <v>5.6077338400341702E-2</v>
      </c>
      <c r="T98">
        <v>3.8987969388511199</v>
      </c>
      <c r="U98">
        <v>862.72828308218004</v>
      </c>
      <c r="V98">
        <v>0</v>
      </c>
      <c r="W98">
        <v>2.1568207077053798</v>
      </c>
      <c r="X98">
        <v>0</v>
      </c>
      <c r="Y98">
        <v>0</v>
      </c>
      <c r="Z98">
        <v>0</v>
      </c>
      <c r="AA98">
        <v>4.5191481667000597E-3</v>
      </c>
      <c r="AB98">
        <v>0.50583388056321799</v>
      </c>
      <c r="AC98">
        <v>3988.5001482409698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66.1278308839549</v>
      </c>
    </row>
    <row r="99" spans="1:38" x14ac:dyDescent="0.35">
      <c r="A99" t="s">
        <v>130</v>
      </c>
      <c r="B99" t="s">
        <v>36</v>
      </c>
      <c r="C99">
        <v>2030</v>
      </c>
      <c r="D99" t="s">
        <v>98</v>
      </c>
      <c r="E99">
        <v>2021</v>
      </c>
      <c r="F99" t="s">
        <v>43</v>
      </c>
      <c r="G99" t="s">
        <v>35</v>
      </c>
      <c r="H99" t="s">
        <v>44</v>
      </c>
      <c r="I99">
        <v>0</v>
      </c>
      <c r="J99">
        <v>0</v>
      </c>
      <c r="K99" t="s">
        <v>99</v>
      </c>
      <c r="L99">
        <v>19.227016584169299</v>
      </c>
      <c r="M99">
        <v>766.00434071330801</v>
      </c>
      <c r="N99">
        <v>67.787994753390095</v>
      </c>
      <c r="O99">
        <v>76.600434071330795</v>
      </c>
      <c r="P99">
        <v>0</v>
      </c>
      <c r="Q99">
        <v>0</v>
      </c>
      <c r="R99">
        <v>0</v>
      </c>
      <c r="S99">
        <v>0</v>
      </c>
      <c r="T99">
        <v>144.38842882472099</v>
      </c>
      <c r="U99">
        <v>76.686958496194194</v>
      </c>
      <c r="V99">
        <v>0</v>
      </c>
      <c r="W99">
        <v>3819.01053311025</v>
      </c>
      <c r="X99">
        <v>0</v>
      </c>
      <c r="Y99">
        <v>0</v>
      </c>
      <c r="Z99">
        <v>0</v>
      </c>
      <c r="AA99">
        <v>1.8828289927796</v>
      </c>
      <c r="AB99">
        <v>0.50583388056321799</v>
      </c>
      <c r="AC99">
        <v>3988.5001482409698</v>
      </c>
      <c r="AD99">
        <v>1480.12454146661</v>
      </c>
      <c r="AE99">
        <v>0</v>
      </c>
      <c r="AF99">
        <v>1480.12454146661</v>
      </c>
      <c r="AG99">
        <v>0.186884411801337</v>
      </c>
      <c r="AH99">
        <v>0</v>
      </c>
      <c r="AI99">
        <v>9.0943788443121204E-3</v>
      </c>
      <c r="AJ99" s="13">
        <v>1.1482801571100899E-6</v>
      </c>
      <c r="AK99">
        <v>0</v>
      </c>
      <c r="AL99">
        <v>66.1278308839549</v>
      </c>
    </row>
    <row r="100" spans="1:38" x14ac:dyDescent="0.35">
      <c r="A100" t="s">
        <v>130</v>
      </c>
      <c r="B100" t="s">
        <v>45</v>
      </c>
      <c r="C100">
        <v>2030</v>
      </c>
      <c r="D100" t="s">
        <v>98</v>
      </c>
      <c r="E100">
        <v>2021</v>
      </c>
      <c r="F100" t="s">
        <v>43</v>
      </c>
      <c r="G100" t="s">
        <v>35</v>
      </c>
      <c r="H100" t="s">
        <v>44</v>
      </c>
      <c r="I100">
        <v>0</v>
      </c>
      <c r="J100">
        <v>0</v>
      </c>
      <c r="K100" t="s">
        <v>99</v>
      </c>
      <c r="L100">
        <v>13.9407926007377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76.645161290313496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0.697261327842291</v>
      </c>
      <c r="AC100">
        <v>5497.9055700364597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66.1278308839549</v>
      </c>
    </row>
    <row r="101" spans="1:38" x14ac:dyDescent="0.35">
      <c r="A101" t="s">
        <v>130</v>
      </c>
      <c r="B101" t="s">
        <v>17</v>
      </c>
      <c r="C101">
        <v>2030</v>
      </c>
      <c r="D101" t="s">
        <v>98</v>
      </c>
      <c r="E101">
        <v>2021</v>
      </c>
      <c r="F101" t="s">
        <v>43</v>
      </c>
      <c r="G101" t="s">
        <v>35</v>
      </c>
      <c r="H101" t="s">
        <v>44</v>
      </c>
      <c r="I101">
        <v>0</v>
      </c>
      <c r="J101">
        <v>0</v>
      </c>
      <c r="K101" t="s">
        <v>99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27</v>
      </c>
      <c r="AC101" t="s">
        <v>27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66.1278308839549</v>
      </c>
    </row>
    <row r="102" spans="1:38" x14ac:dyDescent="0.35">
      <c r="A102" t="s">
        <v>130</v>
      </c>
      <c r="B102" t="s">
        <v>18</v>
      </c>
      <c r="C102">
        <v>2030</v>
      </c>
      <c r="D102" t="s">
        <v>98</v>
      </c>
      <c r="E102">
        <v>2021</v>
      </c>
      <c r="F102" t="s">
        <v>43</v>
      </c>
      <c r="G102" t="s">
        <v>35</v>
      </c>
      <c r="H102" t="s">
        <v>44</v>
      </c>
      <c r="I102">
        <v>0</v>
      </c>
      <c r="J102">
        <v>0</v>
      </c>
      <c r="K102" t="s">
        <v>99</v>
      </c>
      <c r="L102">
        <v>109.132546131745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435.27517642437698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0.50583388056321799</v>
      </c>
      <c r="AC102">
        <v>3988.5001482409698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66.1278308839549</v>
      </c>
    </row>
    <row r="103" spans="1:38" x14ac:dyDescent="0.35">
      <c r="A103" t="s">
        <v>130</v>
      </c>
      <c r="B103" t="s">
        <v>19</v>
      </c>
      <c r="C103">
        <v>2030</v>
      </c>
      <c r="D103" t="s">
        <v>98</v>
      </c>
      <c r="E103">
        <v>2021</v>
      </c>
      <c r="F103" t="s">
        <v>43</v>
      </c>
      <c r="G103" t="s">
        <v>35</v>
      </c>
      <c r="H103" t="s">
        <v>44</v>
      </c>
      <c r="I103">
        <v>0</v>
      </c>
      <c r="J103">
        <v>0</v>
      </c>
      <c r="K103" t="s">
        <v>99</v>
      </c>
      <c r="L103">
        <v>149.201648693154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595.09079793044498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0.50583388056321799</v>
      </c>
      <c r="AC103">
        <v>3988.5001482409698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66.1278308839549</v>
      </c>
    </row>
    <row r="104" spans="1:38" x14ac:dyDescent="0.35">
      <c r="A104" t="s">
        <v>130</v>
      </c>
      <c r="B104" t="s">
        <v>55</v>
      </c>
      <c r="C104">
        <v>2030</v>
      </c>
      <c r="D104" t="s">
        <v>98</v>
      </c>
      <c r="E104">
        <v>2021</v>
      </c>
      <c r="F104" t="s">
        <v>43</v>
      </c>
      <c r="G104" t="s">
        <v>35</v>
      </c>
      <c r="H104" t="s">
        <v>44</v>
      </c>
      <c r="I104">
        <v>0</v>
      </c>
      <c r="J104">
        <v>0</v>
      </c>
      <c r="K104" t="s">
        <v>99</v>
      </c>
      <c r="L104">
        <v>1042.0917775769201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25.5596777988101</v>
      </c>
      <c r="V104">
        <v>0</v>
      </c>
      <c r="W104">
        <v>24.026097130881499</v>
      </c>
      <c r="X104">
        <v>0</v>
      </c>
      <c r="Y104">
        <v>0</v>
      </c>
      <c r="Z104">
        <v>0</v>
      </c>
      <c r="AA104">
        <v>0</v>
      </c>
      <c r="AB104">
        <v>3.1106253576053799E-3</v>
      </c>
      <c r="AC104">
        <v>24.527280944718399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66.1278308839549</v>
      </c>
    </row>
    <row r="105" spans="1:38" x14ac:dyDescent="0.35">
      <c r="A105" t="s">
        <v>130</v>
      </c>
      <c r="B105" t="s">
        <v>56</v>
      </c>
      <c r="C105">
        <v>2030</v>
      </c>
      <c r="D105" t="s">
        <v>98</v>
      </c>
      <c r="E105">
        <v>2021</v>
      </c>
      <c r="F105" t="s">
        <v>43</v>
      </c>
      <c r="G105" t="s">
        <v>35</v>
      </c>
      <c r="H105" t="s">
        <v>44</v>
      </c>
      <c r="I105">
        <v>0</v>
      </c>
      <c r="J105">
        <v>0</v>
      </c>
      <c r="K105" t="s">
        <v>99</v>
      </c>
      <c r="L105">
        <v>1056.0325701776601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25.517880592938099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3.0645420882037902E-3</v>
      </c>
      <c r="AC105">
        <v>24.1639143654869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66.1278308839549</v>
      </c>
    </row>
    <row r="106" spans="1:38" x14ac:dyDescent="0.35">
      <c r="A106" t="s">
        <v>130</v>
      </c>
      <c r="B106" t="s">
        <v>57</v>
      </c>
      <c r="C106">
        <v>2030</v>
      </c>
      <c r="D106" t="s">
        <v>98</v>
      </c>
      <c r="E106">
        <v>2021</v>
      </c>
      <c r="F106" t="s">
        <v>43</v>
      </c>
      <c r="G106" t="s">
        <v>35</v>
      </c>
      <c r="H106" t="s">
        <v>44</v>
      </c>
      <c r="I106">
        <v>0</v>
      </c>
      <c r="J106">
        <v>0</v>
      </c>
      <c r="K106" t="s">
        <v>99</v>
      </c>
      <c r="L106">
        <v>464.413398576823</v>
      </c>
      <c r="M106">
        <v>116.103349644205</v>
      </c>
      <c r="N106">
        <v>9.4906196420547797</v>
      </c>
      <c r="O106">
        <v>3.4831004893261701</v>
      </c>
      <c r="P106">
        <v>0</v>
      </c>
      <c r="Q106">
        <v>0</v>
      </c>
      <c r="R106">
        <v>0</v>
      </c>
      <c r="S106">
        <v>0</v>
      </c>
      <c r="T106">
        <v>12.973720131380899</v>
      </c>
      <c r="U106">
        <v>2006.7829354744099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6.4649344490832596E-3</v>
      </c>
      <c r="AB106">
        <v>0.54801691157538002</v>
      </c>
      <c r="AC106">
        <v>4321.1133477718704</v>
      </c>
      <c r="AD106">
        <v>1.9286119710947001</v>
      </c>
      <c r="AE106">
        <v>0</v>
      </c>
      <c r="AF106">
        <v>1.9286119710947001</v>
      </c>
      <c r="AG106">
        <v>2.4351161251195299E-4</v>
      </c>
      <c r="AH106">
        <v>0</v>
      </c>
      <c r="AI106">
        <v>0.46441339857682301</v>
      </c>
      <c r="AJ106" s="13">
        <v>5.8638055375860598E-5</v>
      </c>
      <c r="AK106">
        <v>0</v>
      </c>
      <c r="AL106">
        <v>66.1278308839549</v>
      </c>
    </row>
    <row r="107" spans="1:38" x14ac:dyDescent="0.35">
      <c r="A107" t="s">
        <v>130</v>
      </c>
      <c r="B107" t="s">
        <v>126</v>
      </c>
      <c r="C107">
        <v>2030</v>
      </c>
      <c r="D107" t="s">
        <v>98</v>
      </c>
      <c r="E107">
        <v>2021</v>
      </c>
      <c r="F107" t="s">
        <v>43</v>
      </c>
      <c r="G107" t="s">
        <v>35</v>
      </c>
      <c r="H107" t="s">
        <v>44</v>
      </c>
      <c r="I107">
        <v>0</v>
      </c>
      <c r="J107">
        <v>0</v>
      </c>
      <c r="K107" t="s">
        <v>99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27</v>
      </c>
      <c r="AC107" t="s">
        <v>27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66.1278308839549</v>
      </c>
    </row>
    <row r="108" spans="1:38" x14ac:dyDescent="0.35">
      <c r="A108" t="s">
        <v>130</v>
      </c>
      <c r="B108" t="s">
        <v>127</v>
      </c>
      <c r="C108">
        <v>2030</v>
      </c>
      <c r="D108" t="s">
        <v>98</v>
      </c>
      <c r="E108">
        <v>2021</v>
      </c>
      <c r="F108" t="s">
        <v>43</v>
      </c>
      <c r="G108" t="s">
        <v>35</v>
      </c>
      <c r="H108" t="s">
        <v>44</v>
      </c>
      <c r="I108">
        <v>0</v>
      </c>
      <c r="J108">
        <v>0</v>
      </c>
      <c r="K108" t="s">
        <v>99</v>
      </c>
      <c r="L108">
        <v>1067.8086867622601</v>
      </c>
      <c r="M108">
        <v>2452.34639802324</v>
      </c>
      <c r="N108">
        <v>217.835636312926</v>
      </c>
      <c r="O108">
        <v>40.145023448562398</v>
      </c>
      <c r="P108">
        <v>11.4725430160748</v>
      </c>
      <c r="Q108">
        <v>0</v>
      </c>
      <c r="R108">
        <v>0</v>
      </c>
      <c r="S108">
        <v>0</v>
      </c>
      <c r="T108">
        <v>269.45320277756298</v>
      </c>
      <c r="U108">
        <v>4074.7322144955301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6.6127830883954894E-2</v>
      </c>
      <c r="AB108">
        <v>0.48395382371590301</v>
      </c>
      <c r="AC108">
        <v>3815.9758999998999</v>
      </c>
      <c r="AD108">
        <v>38125.585934590097</v>
      </c>
      <c r="AE108">
        <v>0</v>
      </c>
      <c r="AF108">
        <v>38125.585934590097</v>
      </c>
      <c r="AG108">
        <v>4.8138366079027204</v>
      </c>
      <c r="AH108">
        <v>0</v>
      </c>
      <c r="AI108">
        <v>183.620381775639</v>
      </c>
      <c r="AJ108">
        <v>2.3184391638337899E-2</v>
      </c>
      <c r="AK108">
        <v>0</v>
      </c>
      <c r="AL108">
        <v>66.1278308839549</v>
      </c>
    </row>
    <row r="109" spans="1:38" x14ac:dyDescent="0.35">
      <c r="A109" t="s">
        <v>130</v>
      </c>
      <c r="B109" t="s">
        <v>128</v>
      </c>
      <c r="C109">
        <v>2030</v>
      </c>
      <c r="D109" t="s">
        <v>98</v>
      </c>
      <c r="E109">
        <v>2021</v>
      </c>
      <c r="F109" t="s">
        <v>43</v>
      </c>
      <c r="G109" t="s">
        <v>35</v>
      </c>
      <c r="H109" t="s">
        <v>44</v>
      </c>
      <c r="I109">
        <v>0</v>
      </c>
      <c r="J109">
        <v>0</v>
      </c>
      <c r="K109" t="s">
        <v>99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27</v>
      </c>
      <c r="AC109" t="s">
        <v>27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66.1278308839549</v>
      </c>
    </row>
    <row r="110" spans="1:38" x14ac:dyDescent="0.35">
      <c r="A110" t="s">
        <v>130</v>
      </c>
      <c r="B110" t="s">
        <v>129</v>
      </c>
      <c r="C110">
        <v>2030</v>
      </c>
      <c r="D110" t="s">
        <v>98</v>
      </c>
      <c r="E110">
        <v>2021</v>
      </c>
      <c r="F110" t="s">
        <v>43</v>
      </c>
      <c r="G110" t="s">
        <v>35</v>
      </c>
      <c r="H110" t="s">
        <v>44</v>
      </c>
      <c r="I110">
        <v>0</v>
      </c>
      <c r="J110">
        <v>0</v>
      </c>
      <c r="K110" t="s">
        <v>99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27</v>
      </c>
      <c r="AC110" t="s">
        <v>27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66.1278308839549</v>
      </c>
    </row>
    <row r="111" spans="1:38" x14ac:dyDescent="0.35">
      <c r="A111" t="s">
        <v>130</v>
      </c>
      <c r="B111" t="s">
        <v>20</v>
      </c>
      <c r="C111">
        <v>2030</v>
      </c>
      <c r="D111" t="s">
        <v>98</v>
      </c>
      <c r="E111">
        <v>2021</v>
      </c>
      <c r="F111" t="s">
        <v>43</v>
      </c>
      <c r="G111" t="s">
        <v>35</v>
      </c>
      <c r="H111" t="s">
        <v>44</v>
      </c>
      <c r="I111">
        <v>0</v>
      </c>
      <c r="J111">
        <v>0</v>
      </c>
      <c r="K111" t="s">
        <v>99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27</v>
      </c>
      <c r="AC111" t="s">
        <v>27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66.1278308839549</v>
      </c>
    </row>
    <row r="112" spans="1:38" x14ac:dyDescent="0.35">
      <c r="A112" t="s">
        <v>130</v>
      </c>
      <c r="B112" t="s">
        <v>21</v>
      </c>
      <c r="C112">
        <v>2030</v>
      </c>
      <c r="D112" t="s">
        <v>98</v>
      </c>
      <c r="E112">
        <v>2021</v>
      </c>
      <c r="F112" t="s">
        <v>43</v>
      </c>
      <c r="G112" t="s">
        <v>35</v>
      </c>
      <c r="H112" t="s">
        <v>44</v>
      </c>
      <c r="I112">
        <v>0</v>
      </c>
      <c r="J112">
        <v>0</v>
      </c>
      <c r="K112" t="s">
        <v>99</v>
      </c>
      <c r="L112">
        <v>969.95599274144695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37.925860320619996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4.9588584655441501E-3</v>
      </c>
      <c r="AC112">
        <v>39.100599000815599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66.1278308839549</v>
      </c>
    </row>
    <row r="113" spans="1:38" x14ac:dyDescent="0.35">
      <c r="A113" t="s">
        <v>130</v>
      </c>
      <c r="B113" t="s">
        <v>22</v>
      </c>
      <c r="C113">
        <v>2030</v>
      </c>
      <c r="D113" t="s">
        <v>98</v>
      </c>
      <c r="E113">
        <v>2021</v>
      </c>
      <c r="F113" t="s">
        <v>43</v>
      </c>
      <c r="G113" t="s">
        <v>35</v>
      </c>
      <c r="H113" t="s">
        <v>44</v>
      </c>
      <c r="I113">
        <v>0</v>
      </c>
      <c r="J113">
        <v>0</v>
      </c>
      <c r="K113" t="s">
        <v>99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27</v>
      </c>
      <c r="AC113" t="s">
        <v>27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66.1278308839549</v>
      </c>
    </row>
    <row r="114" spans="1:38" x14ac:dyDescent="0.35">
      <c r="A114" t="s">
        <v>130</v>
      </c>
      <c r="B114" t="s">
        <v>23</v>
      </c>
      <c r="C114">
        <v>2030</v>
      </c>
      <c r="D114" t="s">
        <v>98</v>
      </c>
      <c r="E114">
        <v>2021</v>
      </c>
      <c r="F114" t="s">
        <v>43</v>
      </c>
      <c r="G114" t="s">
        <v>35</v>
      </c>
      <c r="H114" t="s">
        <v>44</v>
      </c>
      <c r="I114">
        <v>0</v>
      </c>
      <c r="J114">
        <v>0</v>
      </c>
      <c r="K114" t="s">
        <v>99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27</v>
      </c>
      <c r="AC114" t="s">
        <v>27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66.1278308839549</v>
      </c>
    </row>
    <row r="115" spans="1:38" x14ac:dyDescent="0.35">
      <c r="A115" t="s">
        <v>130</v>
      </c>
      <c r="B115" t="s">
        <v>5</v>
      </c>
      <c r="C115">
        <v>2030</v>
      </c>
      <c r="D115" t="s">
        <v>98</v>
      </c>
      <c r="E115">
        <v>2021</v>
      </c>
      <c r="F115" t="s">
        <v>43</v>
      </c>
      <c r="G115" t="s">
        <v>35</v>
      </c>
      <c r="H115" t="s">
        <v>44</v>
      </c>
      <c r="I115">
        <v>0</v>
      </c>
      <c r="J115">
        <v>0</v>
      </c>
      <c r="K115" t="s">
        <v>99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27</v>
      </c>
      <c r="AC115" t="s">
        <v>27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66.1278308839549</v>
      </c>
    </row>
    <row r="116" spans="1:38" x14ac:dyDescent="0.35">
      <c r="A116" t="s">
        <v>124</v>
      </c>
      <c r="B116" t="s">
        <v>42</v>
      </c>
      <c r="C116">
        <v>2030</v>
      </c>
      <c r="D116" t="s">
        <v>98</v>
      </c>
      <c r="E116">
        <v>2016</v>
      </c>
      <c r="F116" t="s">
        <v>43</v>
      </c>
      <c r="G116" t="s">
        <v>35</v>
      </c>
      <c r="H116" t="s">
        <v>44</v>
      </c>
      <c r="I116">
        <v>0</v>
      </c>
      <c r="J116">
        <v>0</v>
      </c>
      <c r="K116" t="s">
        <v>99</v>
      </c>
      <c r="L116">
        <v>96.1614179459539</v>
      </c>
      <c r="M116">
        <v>640.64275218281603</v>
      </c>
      <c r="N116">
        <v>56.694048865735901</v>
      </c>
      <c r="O116">
        <v>25.625710087312601</v>
      </c>
      <c r="P116">
        <v>0</v>
      </c>
      <c r="Q116">
        <v>0</v>
      </c>
      <c r="R116">
        <v>0</v>
      </c>
      <c r="S116">
        <v>0</v>
      </c>
      <c r="T116">
        <v>82.319758953048606</v>
      </c>
      <c r="U116">
        <v>425.80645161289601</v>
      </c>
      <c r="V116">
        <v>0</v>
      </c>
      <c r="W116">
        <v>191.61290322578199</v>
      </c>
      <c r="X116">
        <v>1.22930679643823</v>
      </c>
      <c r="Y116">
        <v>66.091763249367602</v>
      </c>
      <c r="Z116">
        <v>237.93034769772299</v>
      </c>
      <c r="AA116">
        <v>0.193326706632162</v>
      </c>
      <c r="AB116">
        <v>0.56157747668189895</v>
      </c>
      <c r="AC116">
        <v>4428.0384036367705</v>
      </c>
      <c r="AD116">
        <v>1456.86957695722</v>
      </c>
      <c r="AE116">
        <v>0</v>
      </c>
      <c r="AF116">
        <v>1456.86957695722</v>
      </c>
      <c r="AG116">
        <v>0.18394817890874299</v>
      </c>
      <c r="AH116">
        <v>5.4144665686079199</v>
      </c>
      <c r="AI116">
        <v>0</v>
      </c>
      <c r="AJ116">
        <v>0</v>
      </c>
      <c r="AK116">
        <v>2.4132656889887898E-2</v>
      </c>
      <c r="AL116">
        <v>68.297289852501393</v>
      </c>
    </row>
    <row r="117" spans="1:38" x14ac:dyDescent="0.35">
      <c r="A117" t="s">
        <v>124</v>
      </c>
      <c r="B117" t="s">
        <v>125</v>
      </c>
      <c r="C117">
        <v>2030</v>
      </c>
      <c r="D117" t="s">
        <v>98</v>
      </c>
      <c r="E117">
        <v>2016</v>
      </c>
      <c r="F117" t="s">
        <v>43</v>
      </c>
      <c r="G117" t="s">
        <v>35</v>
      </c>
      <c r="H117" t="s">
        <v>44</v>
      </c>
      <c r="I117">
        <v>0</v>
      </c>
      <c r="J117">
        <v>0</v>
      </c>
      <c r="K117" t="s">
        <v>99</v>
      </c>
      <c r="L117">
        <v>218.45764285069899</v>
      </c>
      <c r="M117">
        <v>26.431880534657498</v>
      </c>
      <c r="N117">
        <v>3.0880245746672799</v>
      </c>
      <c r="O117">
        <v>0.792956416039727</v>
      </c>
      <c r="P117">
        <v>0</v>
      </c>
      <c r="Q117">
        <v>0</v>
      </c>
      <c r="R117">
        <v>0</v>
      </c>
      <c r="S117">
        <v>5.6060309179808698E-2</v>
      </c>
      <c r="T117">
        <v>3.9370412998868201</v>
      </c>
      <c r="U117">
        <v>862.46629507406203</v>
      </c>
      <c r="V117">
        <v>0</v>
      </c>
      <c r="W117">
        <v>2.15616573768513</v>
      </c>
      <c r="X117">
        <v>0</v>
      </c>
      <c r="Y117">
        <v>0</v>
      </c>
      <c r="Z117">
        <v>0</v>
      </c>
      <c r="AA117">
        <v>4.5648639516385299E-3</v>
      </c>
      <c r="AB117">
        <v>0.50069492677550298</v>
      </c>
      <c r="AC117">
        <v>3947.97949762484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68.297289852501393</v>
      </c>
    </row>
    <row r="118" spans="1:38" x14ac:dyDescent="0.35">
      <c r="A118" t="s">
        <v>124</v>
      </c>
      <c r="B118" t="s">
        <v>36</v>
      </c>
      <c r="C118">
        <v>2030</v>
      </c>
      <c r="D118" t="s">
        <v>98</v>
      </c>
      <c r="E118">
        <v>2016</v>
      </c>
      <c r="F118" t="s">
        <v>43</v>
      </c>
      <c r="G118" t="s">
        <v>35</v>
      </c>
      <c r="H118" t="s">
        <v>44</v>
      </c>
      <c r="I118">
        <v>0</v>
      </c>
      <c r="J118">
        <v>0</v>
      </c>
      <c r="K118" t="s">
        <v>99</v>
      </c>
      <c r="L118">
        <v>19.418457142284399</v>
      </c>
      <c r="M118">
        <v>773.631332548611</v>
      </c>
      <c r="N118">
        <v>68.462949783062896</v>
      </c>
      <c r="O118">
        <v>77.363133254861097</v>
      </c>
      <c r="P118">
        <v>0</v>
      </c>
      <c r="Q118">
        <v>0</v>
      </c>
      <c r="R118">
        <v>0</v>
      </c>
      <c r="S118">
        <v>0</v>
      </c>
      <c r="T118">
        <v>145.82608303792401</v>
      </c>
      <c r="U118">
        <v>76.663670673245903</v>
      </c>
      <c r="V118">
        <v>0</v>
      </c>
      <c r="W118">
        <v>3817.8507995279501</v>
      </c>
      <c r="X118">
        <v>0</v>
      </c>
      <c r="Y118">
        <v>0</v>
      </c>
      <c r="Z118">
        <v>0</v>
      </c>
      <c r="AA118">
        <v>1.90215367666727</v>
      </c>
      <c r="AB118">
        <v>0.50069492677550298</v>
      </c>
      <c r="AC118">
        <v>3947.97949762484</v>
      </c>
      <c r="AD118">
        <v>1494.86192243561</v>
      </c>
      <c r="AE118">
        <v>0</v>
      </c>
      <c r="AF118">
        <v>1494.86192243561</v>
      </c>
      <c r="AG118">
        <v>0.18874519222672101</v>
      </c>
      <c r="AH118">
        <v>0</v>
      </c>
      <c r="AI118">
        <v>9.1849302283005304E-3</v>
      </c>
      <c r="AJ118" s="13">
        <v>1.15971341266422E-6</v>
      </c>
      <c r="AK118">
        <v>0</v>
      </c>
      <c r="AL118">
        <v>68.297289852501393</v>
      </c>
    </row>
    <row r="119" spans="1:38" x14ac:dyDescent="0.35">
      <c r="A119" t="s">
        <v>124</v>
      </c>
      <c r="B119" t="s">
        <v>45</v>
      </c>
      <c r="C119">
        <v>2030</v>
      </c>
      <c r="D119" t="s">
        <v>98</v>
      </c>
      <c r="E119">
        <v>2016</v>
      </c>
      <c r="F119" t="s">
        <v>43</v>
      </c>
      <c r="G119" t="s">
        <v>35</v>
      </c>
      <c r="H119" t="s">
        <v>44</v>
      </c>
      <c r="I119">
        <v>0</v>
      </c>
      <c r="J119">
        <v>0</v>
      </c>
      <c r="K119" t="s">
        <v>99</v>
      </c>
      <c r="L119">
        <v>17.309055230271699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76.645161290317105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0.56157747668189895</v>
      </c>
      <c r="AC119">
        <v>4428.0384036367705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68.297289852501393</v>
      </c>
    </row>
    <row r="120" spans="1:38" x14ac:dyDescent="0.35">
      <c r="A120" t="s">
        <v>124</v>
      </c>
      <c r="B120" t="s">
        <v>17</v>
      </c>
      <c r="C120">
        <v>2030</v>
      </c>
      <c r="D120" t="s">
        <v>98</v>
      </c>
      <c r="E120">
        <v>2016</v>
      </c>
      <c r="F120" t="s">
        <v>43</v>
      </c>
      <c r="G120" t="s">
        <v>35</v>
      </c>
      <c r="H120" t="s">
        <v>44</v>
      </c>
      <c r="I120">
        <v>0</v>
      </c>
      <c r="J120">
        <v>0</v>
      </c>
      <c r="K120" t="s">
        <v>99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27</v>
      </c>
      <c r="AC120" t="s">
        <v>27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68.297289852501393</v>
      </c>
    </row>
    <row r="121" spans="1:38" x14ac:dyDescent="0.35">
      <c r="A121" t="s">
        <v>124</v>
      </c>
      <c r="B121" t="s">
        <v>18</v>
      </c>
      <c r="C121">
        <v>2030</v>
      </c>
      <c r="D121" t="s">
        <v>98</v>
      </c>
      <c r="E121">
        <v>2016</v>
      </c>
      <c r="F121" t="s">
        <v>43</v>
      </c>
      <c r="G121" t="s">
        <v>35</v>
      </c>
      <c r="H121" t="s">
        <v>44</v>
      </c>
      <c r="I121">
        <v>0</v>
      </c>
      <c r="J121">
        <v>0</v>
      </c>
      <c r="K121" t="s">
        <v>99</v>
      </c>
      <c r="L121">
        <v>110.21916273960601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435.14299474136499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0.50069492677550298</v>
      </c>
      <c r="AC121">
        <v>3947.97949762484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68.297289852501393</v>
      </c>
    </row>
    <row r="122" spans="1:38" x14ac:dyDescent="0.35">
      <c r="A122" t="s">
        <v>124</v>
      </c>
      <c r="B122" t="s">
        <v>19</v>
      </c>
      <c r="C122">
        <v>2030</v>
      </c>
      <c r="D122" t="s">
        <v>98</v>
      </c>
      <c r="E122">
        <v>2016</v>
      </c>
      <c r="F122" t="s">
        <v>43</v>
      </c>
      <c r="G122" t="s">
        <v>35</v>
      </c>
      <c r="H122" t="s">
        <v>44</v>
      </c>
      <c r="I122">
        <v>0</v>
      </c>
      <c r="J122">
        <v>0</v>
      </c>
      <c r="K122" t="s">
        <v>99</v>
      </c>
      <c r="L122">
        <v>150.687227424127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594.910084424405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0.50069492677550298</v>
      </c>
      <c r="AC122">
        <v>3947.97949762484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68.297289852501393</v>
      </c>
    </row>
    <row r="123" spans="1:38" x14ac:dyDescent="0.35">
      <c r="A123" t="s">
        <v>124</v>
      </c>
      <c r="B123" t="s">
        <v>55</v>
      </c>
      <c r="C123">
        <v>2030</v>
      </c>
      <c r="D123" t="s">
        <v>98</v>
      </c>
      <c r="E123">
        <v>2016</v>
      </c>
      <c r="F123" t="s">
        <v>43</v>
      </c>
      <c r="G123" t="s">
        <v>35</v>
      </c>
      <c r="H123" t="s">
        <v>44</v>
      </c>
      <c r="I123">
        <v>0</v>
      </c>
      <c r="J123">
        <v>0</v>
      </c>
      <c r="K123" t="s">
        <v>99</v>
      </c>
      <c r="L123">
        <v>263.41860458677297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24.480931053507099</v>
      </c>
      <c r="V123">
        <v>0</v>
      </c>
      <c r="W123">
        <v>23.0120751902965</v>
      </c>
      <c r="X123">
        <v>0</v>
      </c>
      <c r="Y123">
        <v>0</v>
      </c>
      <c r="Z123">
        <v>0</v>
      </c>
      <c r="AA123">
        <v>0</v>
      </c>
      <c r="AB123">
        <v>1.17863623430523E-2</v>
      </c>
      <c r="AC123">
        <v>92.935467074967605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68.297289852501393</v>
      </c>
    </row>
    <row r="124" spans="1:38" x14ac:dyDescent="0.35">
      <c r="A124" t="s">
        <v>124</v>
      </c>
      <c r="B124" t="s">
        <v>56</v>
      </c>
      <c r="C124">
        <v>2030</v>
      </c>
      <c r="D124" t="s">
        <v>98</v>
      </c>
      <c r="E124">
        <v>2016</v>
      </c>
      <c r="F124" t="s">
        <v>43</v>
      </c>
      <c r="G124" t="s">
        <v>35</v>
      </c>
      <c r="H124" t="s">
        <v>44</v>
      </c>
      <c r="I124">
        <v>0</v>
      </c>
      <c r="J124">
        <v>0</v>
      </c>
      <c r="K124" t="s">
        <v>99</v>
      </c>
      <c r="L124">
        <v>265.528006498786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24.462421670575601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1.16838888126456E-2</v>
      </c>
      <c r="AC124">
        <v>92.127463287710597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68.297289852501393</v>
      </c>
    </row>
    <row r="125" spans="1:38" x14ac:dyDescent="0.35">
      <c r="A125" t="s">
        <v>124</v>
      </c>
      <c r="B125" t="s">
        <v>57</v>
      </c>
      <c r="C125">
        <v>2030</v>
      </c>
      <c r="D125" t="s">
        <v>98</v>
      </c>
      <c r="E125">
        <v>2016</v>
      </c>
      <c r="F125" t="s">
        <v>43</v>
      </c>
      <c r="G125" t="s">
        <v>35</v>
      </c>
      <c r="H125" t="s">
        <v>44</v>
      </c>
      <c r="I125">
        <v>0</v>
      </c>
      <c r="J125">
        <v>0</v>
      </c>
      <c r="K125" t="s">
        <v>99</v>
      </c>
      <c r="L125">
        <v>205.659810348126</v>
      </c>
      <c r="M125">
        <v>51.4149525870316</v>
      </c>
      <c r="N125">
        <v>4.2028051767079102</v>
      </c>
      <c r="O125">
        <v>1.54244857761094</v>
      </c>
      <c r="P125">
        <v>0</v>
      </c>
      <c r="Q125">
        <v>0</v>
      </c>
      <c r="R125">
        <v>0</v>
      </c>
      <c r="S125">
        <v>0</v>
      </c>
      <c r="T125">
        <v>5.7452537543188598</v>
      </c>
      <c r="U125">
        <v>908.33089906866996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6.3250669554559703E-3</v>
      </c>
      <c r="AB125">
        <v>0.56013532113960895</v>
      </c>
      <c r="AC125">
        <v>4416.6670071858098</v>
      </c>
      <c r="AD125">
        <v>0.85406229326273697</v>
      </c>
      <c r="AE125">
        <v>0</v>
      </c>
      <c r="AF125">
        <v>0.85406229326273697</v>
      </c>
      <c r="AG125">
        <v>1.07836148139236E-4</v>
      </c>
      <c r="AH125">
        <v>0</v>
      </c>
      <c r="AI125">
        <v>0.205659810348126</v>
      </c>
      <c r="AJ125" s="13">
        <v>2.59671477712284E-5</v>
      </c>
      <c r="AK125">
        <v>0</v>
      </c>
      <c r="AL125">
        <v>68.297289852501393</v>
      </c>
    </row>
    <row r="126" spans="1:38" x14ac:dyDescent="0.35">
      <c r="A126" t="s">
        <v>124</v>
      </c>
      <c r="B126" t="s">
        <v>126</v>
      </c>
      <c r="C126">
        <v>2030</v>
      </c>
      <c r="D126" t="s">
        <v>98</v>
      </c>
      <c r="E126">
        <v>2016</v>
      </c>
      <c r="F126" t="s">
        <v>43</v>
      </c>
      <c r="G126" t="s">
        <v>35</v>
      </c>
      <c r="H126" t="s">
        <v>44</v>
      </c>
      <c r="I126">
        <v>0</v>
      </c>
      <c r="J126">
        <v>0</v>
      </c>
      <c r="K126" t="s">
        <v>99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27</v>
      </c>
      <c r="AC126" t="s">
        <v>27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68.297289852501393</v>
      </c>
    </row>
    <row r="127" spans="1:38" x14ac:dyDescent="0.35">
      <c r="A127" t="s">
        <v>124</v>
      </c>
      <c r="B127" t="s">
        <v>127</v>
      </c>
      <c r="C127">
        <v>2030</v>
      </c>
      <c r="D127" t="s">
        <v>98</v>
      </c>
      <c r="E127">
        <v>2016</v>
      </c>
      <c r="F127" t="s">
        <v>43</v>
      </c>
      <c r="G127" t="s">
        <v>35</v>
      </c>
      <c r="H127" t="s">
        <v>44</v>
      </c>
      <c r="I127">
        <v>0</v>
      </c>
      <c r="J127">
        <v>0</v>
      </c>
      <c r="K127" t="s">
        <v>99</v>
      </c>
      <c r="L127">
        <v>1110.20583762563</v>
      </c>
      <c r="M127">
        <v>2549.7163684076099</v>
      </c>
      <c r="N127">
        <v>226.48476087116501</v>
      </c>
      <c r="O127">
        <v>41.738974346941802</v>
      </c>
      <c r="P127">
        <v>11.532872882304099</v>
      </c>
      <c r="Q127">
        <v>0</v>
      </c>
      <c r="R127">
        <v>0</v>
      </c>
      <c r="S127">
        <v>0</v>
      </c>
      <c r="T127">
        <v>279.75660810041097</v>
      </c>
      <c r="U127">
        <v>4096.1597261705201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6.82972898525014E-2</v>
      </c>
      <c r="AB127">
        <v>0.46792007609383501</v>
      </c>
      <c r="AC127">
        <v>3689.5497999998902</v>
      </c>
      <c r="AD127">
        <v>39639.355431562697</v>
      </c>
      <c r="AE127">
        <v>0</v>
      </c>
      <c r="AF127">
        <v>39639.355431562697</v>
      </c>
      <c r="AG127">
        <v>5.00496912014688</v>
      </c>
      <c r="AH127">
        <v>0</v>
      </c>
      <c r="AI127">
        <v>190.91099583810299</v>
      </c>
      <c r="AJ127">
        <v>2.41049237169326E-2</v>
      </c>
      <c r="AK127">
        <v>0</v>
      </c>
      <c r="AL127">
        <v>68.297289852501393</v>
      </c>
    </row>
    <row r="128" spans="1:38" x14ac:dyDescent="0.35">
      <c r="A128" t="s">
        <v>124</v>
      </c>
      <c r="B128" t="s">
        <v>128</v>
      </c>
      <c r="C128">
        <v>2030</v>
      </c>
      <c r="D128" t="s">
        <v>98</v>
      </c>
      <c r="E128">
        <v>2016</v>
      </c>
      <c r="F128" t="s">
        <v>43</v>
      </c>
      <c r="G128" t="s">
        <v>35</v>
      </c>
      <c r="H128" t="s">
        <v>44</v>
      </c>
      <c r="I128">
        <v>0</v>
      </c>
      <c r="J128">
        <v>0</v>
      </c>
      <c r="K128" t="s">
        <v>99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27</v>
      </c>
      <c r="AC128" t="s">
        <v>27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68.297289852501393</v>
      </c>
    </row>
    <row r="129" spans="1:38" x14ac:dyDescent="0.35">
      <c r="A129" t="s">
        <v>124</v>
      </c>
      <c r="B129" t="s">
        <v>129</v>
      </c>
      <c r="C129">
        <v>2030</v>
      </c>
      <c r="D129" t="s">
        <v>98</v>
      </c>
      <c r="E129">
        <v>2016</v>
      </c>
      <c r="F129" t="s">
        <v>43</v>
      </c>
      <c r="G129" t="s">
        <v>35</v>
      </c>
      <c r="H129" t="s">
        <v>44</v>
      </c>
      <c r="I129">
        <v>0</v>
      </c>
      <c r="J129">
        <v>0</v>
      </c>
      <c r="K129" t="s">
        <v>99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27</v>
      </c>
      <c r="AC129" t="s">
        <v>27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68.297289852501393</v>
      </c>
    </row>
    <row r="130" spans="1:38" x14ac:dyDescent="0.35">
      <c r="A130" t="s">
        <v>124</v>
      </c>
      <c r="B130" t="s">
        <v>20</v>
      </c>
      <c r="C130">
        <v>2030</v>
      </c>
      <c r="D130" t="s">
        <v>98</v>
      </c>
      <c r="E130">
        <v>2016</v>
      </c>
      <c r="F130" t="s">
        <v>43</v>
      </c>
      <c r="G130" t="s">
        <v>35</v>
      </c>
      <c r="H130" t="s">
        <v>44</v>
      </c>
      <c r="I130">
        <v>0</v>
      </c>
      <c r="J130">
        <v>0</v>
      </c>
      <c r="K130" t="s">
        <v>99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27</v>
      </c>
      <c r="AC130" t="s">
        <v>27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68.297289852501393</v>
      </c>
    </row>
    <row r="131" spans="1:38" x14ac:dyDescent="0.35">
      <c r="A131" t="s">
        <v>124</v>
      </c>
      <c r="B131" t="s">
        <v>21</v>
      </c>
      <c r="C131">
        <v>2030</v>
      </c>
      <c r="D131" t="s">
        <v>98</v>
      </c>
      <c r="E131">
        <v>2016</v>
      </c>
      <c r="F131" t="s">
        <v>43</v>
      </c>
      <c r="G131" t="s">
        <v>35</v>
      </c>
      <c r="H131" t="s">
        <v>44</v>
      </c>
      <c r="I131">
        <v>0</v>
      </c>
      <c r="J131">
        <v>0</v>
      </c>
      <c r="K131" t="s">
        <v>99</v>
      </c>
      <c r="L131">
        <v>1011.4229076686599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59.664578443712401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7.4813865250728598E-3</v>
      </c>
      <c r="AC131">
        <v>58.990732750199498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68.297289852501393</v>
      </c>
    </row>
    <row r="132" spans="1:38" x14ac:dyDescent="0.35">
      <c r="A132" t="s">
        <v>124</v>
      </c>
      <c r="B132" t="s">
        <v>22</v>
      </c>
      <c r="C132">
        <v>2030</v>
      </c>
      <c r="D132" t="s">
        <v>98</v>
      </c>
      <c r="E132">
        <v>2016</v>
      </c>
      <c r="F132" t="s">
        <v>43</v>
      </c>
      <c r="G132" t="s">
        <v>35</v>
      </c>
      <c r="H132" t="s">
        <v>44</v>
      </c>
      <c r="I132">
        <v>0</v>
      </c>
      <c r="J132">
        <v>0</v>
      </c>
      <c r="K132" t="s">
        <v>99</v>
      </c>
      <c r="L132">
        <v>92.686255783995307</v>
      </c>
      <c r="M132">
        <v>0</v>
      </c>
      <c r="N132">
        <v>0</v>
      </c>
      <c r="O132">
        <v>0</v>
      </c>
      <c r="P132">
        <v>3.4972749827831502E-2</v>
      </c>
      <c r="Q132">
        <v>0</v>
      </c>
      <c r="R132">
        <v>0</v>
      </c>
      <c r="S132">
        <v>0</v>
      </c>
      <c r="T132">
        <v>3.4972749827831502E-2</v>
      </c>
      <c r="U132">
        <v>18.6320404490898</v>
      </c>
      <c r="V132">
        <v>0</v>
      </c>
      <c r="W132">
        <v>0.93160202245448898</v>
      </c>
      <c r="X132">
        <v>0</v>
      </c>
      <c r="Y132">
        <v>0</v>
      </c>
      <c r="Z132">
        <v>0</v>
      </c>
      <c r="AA132">
        <v>1.8770219999999999E-3</v>
      </c>
      <c r="AB132">
        <v>2.54943170376766E-2</v>
      </c>
      <c r="AC132">
        <v>201.02268984208001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68.297289852501393</v>
      </c>
    </row>
    <row r="133" spans="1:38" x14ac:dyDescent="0.35">
      <c r="A133" t="s">
        <v>124</v>
      </c>
      <c r="B133" t="s">
        <v>23</v>
      </c>
      <c r="C133">
        <v>2030</v>
      </c>
      <c r="D133" t="s">
        <v>98</v>
      </c>
      <c r="E133">
        <v>2016</v>
      </c>
      <c r="F133" t="s">
        <v>43</v>
      </c>
      <c r="G133" t="s">
        <v>35</v>
      </c>
      <c r="H133" t="s">
        <v>44</v>
      </c>
      <c r="I133">
        <v>0</v>
      </c>
      <c r="J133">
        <v>0</v>
      </c>
      <c r="K133" t="s">
        <v>99</v>
      </c>
      <c r="L133">
        <v>277.037840184532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18.6320404490897</v>
      </c>
      <c r="V133">
        <v>0</v>
      </c>
      <c r="W133">
        <v>0.93160202245450097</v>
      </c>
      <c r="X133">
        <v>0</v>
      </c>
      <c r="Y133">
        <v>0</v>
      </c>
      <c r="Z133">
        <v>0</v>
      </c>
      <c r="AA133">
        <v>0</v>
      </c>
      <c r="AB133">
        <v>8.5294225092805206E-3</v>
      </c>
      <c r="AC133">
        <v>67.254496485676896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68.297289852501393</v>
      </c>
    </row>
    <row r="134" spans="1:38" x14ac:dyDescent="0.35">
      <c r="A134" t="s">
        <v>124</v>
      </c>
      <c r="B134" t="s">
        <v>5</v>
      </c>
      <c r="C134">
        <v>2030</v>
      </c>
      <c r="D134" t="s">
        <v>98</v>
      </c>
      <c r="E134">
        <v>2016</v>
      </c>
      <c r="F134" t="s">
        <v>43</v>
      </c>
      <c r="G134" t="s">
        <v>35</v>
      </c>
      <c r="H134" t="s">
        <v>44</v>
      </c>
      <c r="I134">
        <v>0</v>
      </c>
      <c r="J134">
        <v>0</v>
      </c>
      <c r="K134" t="s">
        <v>99</v>
      </c>
      <c r="L134">
        <v>277.037840184532</v>
      </c>
      <c r="M134">
        <v>49.866811233215699</v>
      </c>
      <c r="N134">
        <v>5.0790448710701197</v>
      </c>
      <c r="O134">
        <v>0.74800216849823598</v>
      </c>
      <c r="P134">
        <v>0</v>
      </c>
      <c r="Q134">
        <v>0</v>
      </c>
      <c r="R134">
        <v>0</v>
      </c>
      <c r="S134">
        <v>0</v>
      </c>
      <c r="T134">
        <v>5.8270470395683596</v>
      </c>
      <c r="U134">
        <v>1041.4386421905399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5.5951899646356799E-3</v>
      </c>
      <c r="AB134">
        <v>0.476752410505213</v>
      </c>
      <c r="AC134">
        <v>3759.1927568336</v>
      </c>
      <c r="AD134">
        <v>290.63423012530097</v>
      </c>
      <c r="AE134">
        <v>0</v>
      </c>
      <c r="AF134">
        <v>290.63423012530097</v>
      </c>
      <c r="AG134">
        <v>3.6696241177437597E-2</v>
      </c>
      <c r="AH134">
        <v>0</v>
      </c>
      <c r="AI134">
        <v>4.8019892298652202E-3</v>
      </c>
      <c r="AJ134" s="13">
        <v>6.0631177144763801E-7</v>
      </c>
      <c r="AK134">
        <v>0</v>
      </c>
      <c r="AL134">
        <v>68.297289852501393</v>
      </c>
    </row>
    <row r="135" spans="1:38" x14ac:dyDescent="0.35">
      <c r="A135" t="s">
        <v>124</v>
      </c>
      <c r="B135" t="s">
        <v>42</v>
      </c>
      <c r="C135">
        <v>2030</v>
      </c>
      <c r="D135" t="s">
        <v>98</v>
      </c>
      <c r="E135">
        <v>2017</v>
      </c>
      <c r="F135" t="s">
        <v>43</v>
      </c>
      <c r="G135" t="s">
        <v>35</v>
      </c>
      <c r="H135" t="s">
        <v>44</v>
      </c>
      <c r="I135">
        <v>0</v>
      </c>
      <c r="J135">
        <v>0</v>
      </c>
      <c r="K135" t="s">
        <v>99</v>
      </c>
      <c r="L135">
        <v>83.628262974111394</v>
      </c>
      <c r="M135">
        <v>557.144868455606</v>
      </c>
      <c r="N135">
        <v>49.304855615540298</v>
      </c>
      <c r="O135">
        <v>22.285794738224201</v>
      </c>
      <c r="P135">
        <v>0</v>
      </c>
      <c r="Q135">
        <v>0</v>
      </c>
      <c r="R135">
        <v>0</v>
      </c>
      <c r="S135">
        <v>0</v>
      </c>
      <c r="T135">
        <v>71.590650353764502</v>
      </c>
      <c r="U135">
        <v>425.80645161289601</v>
      </c>
      <c r="V135">
        <v>0</v>
      </c>
      <c r="W135">
        <v>191.612903225818</v>
      </c>
      <c r="X135">
        <v>1.06833410660344</v>
      </c>
      <c r="Y135">
        <v>57.437317559325102</v>
      </c>
      <c r="Z135">
        <v>206.77434321357001</v>
      </c>
      <c r="AA135">
        <v>0.16812955764899501</v>
      </c>
      <c r="AB135">
        <v>0.645739664124927</v>
      </c>
      <c r="AC135">
        <v>5091.6572516250499</v>
      </c>
      <c r="AD135">
        <v>1266.9891387129601</v>
      </c>
      <c r="AE135">
        <v>0</v>
      </c>
      <c r="AF135">
        <v>1266.9891387129601</v>
      </c>
      <c r="AG135">
        <v>0.15997337610012299</v>
      </c>
      <c r="AH135">
        <v>4.66218018408156</v>
      </c>
      <c r="AI135">
        <v>0</v>
      </c>
      <c r="AJ135">
        <v>0</v>
      </c>
      <c r="AK135">
        <v>2.0832041762820799E-2</v>
      </c>
      <c r="AL135">
        <v>59.866020435525598</v>
      </c>
    </row>
    <row r="136" spans="1:38" x14ac:dyDescent="0.35">
      <c r="A136" t="s">
        <v>124</v>
      </c>
      <c r="B136" t="s">
        <v>125</v>
      </c>
      <c r="C136">
        <v>2030</v>
      </c>
      <c r="D136" t="s">
        <v>98</v>
      </c>
      <c r="E136">
        <v>2017</v>
      </c>
      <c r="F136" t="s">
        <v>43</v>
      </c>
      <c r="G136" t="s">
        <v>35</v>
      </c>
      <c r="H136" t="s">
        <v>44</v>
      </c>
      <c r="I136">
        <v>0</v>
      </c>
      <c r="J136">
        <v>0</v>
      </c>
      <c r="K136" t="s">
        <v>99</v>
      </c>
      <c r="L136">
        <v>193.27424532323101</v>
      </c>
      <c r="M136">
        <v>23.384861688272899</v>
      </c>
      <c r="N136">
        <v>2.73204274943269</v>
      </c>
      <c r="O136">
        <v>0.70154585064818797</v>
      </c>
      <c r="P136">
        <v>0</v>
      </c>
      <c r="Q136">
        <v>0</v>
      </c>
      <c r="R136">
        <v>0</v>
      </c>
      <c r="S136">
        <v>5.6059618467151399E-2</v>
      </c>
      <c r="T136">
        <v>3.4896482185480302</v>
      </c>
      <c r="U136">
        <v>862.45566872531901</v>
      </c>
      <c r="V136">
        <v>0</v>
      </c>
      <c r="W136">
        <v>2.15613917181342</v>
      </c>
      <c r="X136">
        <v>0</v>
      </c>
      <c r="Y136">
        <v>0</v>
      </c>
      <c r="Z136">
        <v>0</v>
      </c>
      <c r="AA136">
        <v>4.0461769167864699E-3</v>
      </c>
      <c r="AB136">
        <v>0.56592788988242904</v>
      </c>
      <c r="AC136">
        <v>4462.3414117229504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59.866020435525598</v>
      </c>
    </row>
    <row r="137" spans="1:38" x14ac:dyDescent="0.35">
      <c r="A137" t="s">
        <v>124</v>
      </c>
      <c r="B137" t="s">
        <v>36</v>
      </c>
      <c r="C137">
        <v>2030</v>
      </c>
      <c r="D137" t="s">
        <v>98</v>
      </c>
      <c r="E137">
        <v>2017</v>
      </c>
      <c r="F137" t="s">
        <v>43</v>
      </c>
      <c r="G137" t="s">
        <v>35</v>
      </c>
      <c r="H137" t="s">
        <v>44</v>
      </c>
      <c r="I137">
        <v>0</v>
      </c>
      <c r="J137">
        <v>0</v>
      </c>
      <c r="K137" t="s">
        <v>99</v>
      </c>
      <c r="L137">
        <v>17.179932917620501</v>
      </c>
      <c r="M137">
        <v>684.44852743800197</v>
      </c>
      <c r="N137">
        <v>60.570666144955901</v>
      </c>
      <c r="O137">
        <v>68.444852743800197</v>
      </c>
      <c r="P137">
        <v>0</v>
      </c>
      <c r="Q137">
        <v>0</v>
      </c>
      <c r="R137">
        <v>0</v>
      </c>
      <c r="S137">
        <v>0</v>
      </c>
      <c r="T137">
        <v>129.01551888875599</v>
      </c>
      <c r="U137">
        <v>76.662726108918804</v>
      </c>
      <c r="V137">
        <v>0</v>
      </c>
      <c r="W137">
        <v>3817.8037602238101</v>
      </c>
      <c r="X137">
        <v>0</v>
      </c>
      <c r="Y137">
        <v>0</v>
      </c>
      <c r="Z137">
        <v>0</v>
      </c>
      <c r="AA137">
        <v>1.68289761448682</v>
      </c>
      <c r="AB137">
        <v>0.56592788988242904</v>
      </c>
      <c r="AC137">
        <v>4462.3414117229504</v>
      </c>
      <c r="AD137">
        <v>1322.5369739919399</v>
      </c>
      <c r="AE137">
        <v>0</v>
      </c>
      <c r="AF137">
        <v>1322.5369739919399</v>
      </c>
      <c r="AG137">
        <v>0.16698699166565101</v>
      </c>
      <c r="AH137">
        <v>0</v>
      </c>
      <c r="AI137">
        <v>8.1261082700345103E-3</v>
      </c>
      <c r="AJ137" s="13">
        <v>1.0260237714690099E-6</v>
      </c>
      <c r="AK137">
        <v>0</v>
      </c>
      <c r="AL137">
        <v>59.866020435525598</v>
      </c>
    </row>
    <row r="138" spans="1:38" x14ac:dyDescent="0.35">
      <c r="A138" t="s">
        <v>124</v>
      </c>
      <c r="B138" t="s">
        <v>45</v>
      </c>
      <c r="C138">
        <v>2030</v>
      </c>
      <c r="D138" t="s">
        <v>98</v>
      </c>
      <c r="E138">
        <v>2017</v>
      </c>
      <c r="F138" t="s">
        <v>43</v>
      </c>
      <c r="G138" t="s">
        <v>35</v>
      </c>
      <c r="H138" t="s">
        <v>44</v>
      </c>
      <c r="I138">
        <v>0</v>
      </c>
      <c r="J138">
        <v>0</v>
      </c>
      <c r="K138" t="s">
        <v>99</v>
      </c>
      <c r="L138">
        <v>15.053087335340001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76.645161290325802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0.645739664124927</v>
      </c>
      <c r="AC138">
        <v>5091.6572516250499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59.866020435525598</v>
      </c>
    </row>
    <row r="139" spans="1:38" x14ac:dyDescent="0.35">
      <c r="A139" t="s">
        <v>124</v>
      </c>
      <c r="B139" t="s">
        <v>17</v>
      </c>
      <c r="C139">
        <v>2030</v>
      </c>
      <c r="D139" t="s">
        <v>98</v>
      </c>
      <c r="E139">
        <v>2017</v>
      </c>
      <c r="F139" t="s">
        <v>43</v>
      </c>
      <c r="G139" t="s">
        <v>35</v>
      </c>
      <c r="H139" t="s">
        <v>44</v>
      </c>
      <c r="I139">
        <v>0</v>
      </c>
      <c r="J139">
        <v>0</v>
      </c>
      <c r="K139" t="s">
        <v>99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27</v>
      </c>
      <c r="AC139" t="s">
        <v>27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59.866020435525598</v>
      </c>
    </row>
    <row r="140" spans="1:38" x14ac:dyDescent="0.35">
      <c r="A140" t="s">
        <v>124</v>
      </c>
      <c r="B140" t="s">
        <v>18</v>
      </c>
      <c r="C140">
        <v>2030</v>
      </c>
      <c r="D140" t="s">
        <v>98</v>
      </c>
      <c r="E140">
        <v>2017</v>
      </c>
      <c r="F140" t="s">
        <v>43</v>
      </c>
      <c r="G140" t="s">
        <v>35</v>
      </c>
      <c r="H140" t="s">
        <v>44</v>
      </c>
      <c r="I140">
        <v>0</v>
      </c>
      <c r="J140">
        <v>0</v>
      </c>
      <c r="K140" t="s">
        <v>99</v>
      </c>
      <c r="L140">
        <v>97.513299240414099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435.137633394224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0.56592788988242904</v>
      </c>
      <c r="AC140">
        <v>4462.3414117229504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59.866020435525598</v>
      </c>
    </row>
    <row r="141" spans="1:38" x14ac:dyDescent="0.35">
      <c r="A141" t="s">
        <v>124</v>
      </c>
      <c r="B141" t="s">
        <v>19</v>
      </c>
      <c r="C141">
        <v>2030</v>
      </c>
      <c r="D141" t="s">
        <v>98</v>
      </c>
      <c r="E141">
        <v>2017</v>
      </c>
      <c r="F141" t="s">
        <v>43</v>
      </c>
      <c r="G141" t="s">
        <v>35</v>
      </c>
      <c r="H141" t="s">
        <v>44</v>
      </c>
      <c r="I141">
        <v>0</v>
      </c>
      <c r="J141">
        <v>0</v>
      </c>
      <c r="K141" t="s">
        <v>99</v>
      </c>
      <c r="L141">
        <v>133.316279440735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594.90275460524595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0.56592788988242904</v>
      </c>
      <c r="AC141">
        <v>4462.3414117229504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59.866020435525598</v>
      </c>
    </row>
    <row r="142" spans="1:38" x14ac:dyDescent="0.35">
      <c r="A142" t="s">
        <v>124</v>
      </c>
      <c r="B142" t="s">
        <v>55</v>
      </c>
      <c r="C142">
        <v>2030</v>
      </c>
      <c r="D142" t="s">
        <v>98</v>
      </c>
      <c r="E142">
        <v>2017</v>
      </c>
      <c r="F142" t="s">
        <v>43</v>
      </c>
      <c r="G142" t="s">
        <v>35</v>
      </c>
      <c r="H142" t="s">
        <v>44</v>
      </c>
      <c r="I142">
        <v>0</v>
      </c>
      <c r="J142">
        <v>0</v>
      </c>
      <c r="K142" t="s">
        <v>99</v>
      </c>
      <c r="L142">
        <v>928.43188572175802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20.251947185834201</v>
      </c>
      <c r="V142">
        <v>0</v>
      </c>
      <c r="W142">
        <v>19.0368303546846</v>
      </c>
      <c r="X142">
        <v>0</v>
      </c>
      <c r="Y142">
        <v>0</v>
      </c>
      <c r="Z142">
        <v>0</v>
      </c>
      <c r="AA142">
        <v>0</v>
      </c>
      <c r="AB142">
        <v>2.7664004156639698E-3</v>
      </c>
      <c r="AC142">
        <v>21.813067277510399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59.866020435525598</v>
      </c>
    </row>
    <row r="143" spans="1:38" x14ac:dyDescent="0.35">
      <c r="A143" t="s">
        <v>124</v>
      </c>
      <c r="B143" t="s">
        <v>56</v>
      </c>
      <c r="C143">
        <v>2030</v>
      </c>
      <c r="D143" t="s">
        <v>98</v>
      </c>
      <c r="E143">
        <v>2017</v>
      </c>
      <c r="F143" t="s">
        <v>43</v>
      </c>
      <c r="G143" t="s">
        <v>35</v>
      </c>
      <c r="H143" t="s">
        <v>44</v>
      </c>
      <c r="I143">
        <v>0</v>
      </c>
      <c r="J143">
        <v>0</v>
      </c>
      <c r="K143" t="s">
        <v>99</v>
      </c>
      <c r="L143">
        <v>943.48497305709805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20.234382367243601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2.7199020688547602E-3</v>
      </c>
      <c r="AC143">
        <v>21.446427812919801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59.866020435525598</v>
      </c>
    </row>
    <row r="144" spans="1:38" x14ac:dyDescent="0.35">
      <c r="A144" t="s">
        <v>124</v>
      </c>
      <c r="B144" t="s">
        <v>57</v>
      </c>
      <c r="C144">
        <v>2030</v>
      </c>
      <c r="D144" t="s">
        <v>98</v>
      </c>
      <c r="E144">
        <v>2017</v>
      </c>
      <c r="F144" t="s">
        <v>43</v>
      </c>
      <c r="G144" t="s">
        <v>35</v>
      </c>
      <c r="H144" t="s">
        <v>44</v>
      </c>
      <c r="I144">
        <v>0</v>
      </c>
      <c r="J144">
        <v>0</v>
      </c>
      <c r="K144" t="s">
        <v>99</v>
      </c>
      <c r="L144">
        <v>195.16465100984399</v>
      </c>
      <c r="M144">
        <v>48.791162752461098</v>
      </c>
      <c r="N144">
        <v>3.98832909641472</v>
      </c>
      <c r="O144">
        <v>1.4637348825738301</v>
      </c>
      <c r="P144">
        <v>0</v>
      </c>
      <c r="Q144">
        <v>0</v>
      </c>
      <c r="R144">
        <v>0</v>
      </c>
      <c r="S144">
        <v>0</v>
      </c>
      <c r="T144">
        <v>5.4520639789885603</v>
      </c>
      <c r="U144">
        <v>851.84327340789696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6.4003134721918303E-3</v>
      </c>
      <c r="AB144">
        <v>0.55354998246838405</v>
      </c>
      <c r="AC144">
        <v>4364.7416117632101</v>
      </c>
      <c r="AD144">
        <v>0.81047808574334701</v>
      </c>
      <c r="AE144">
        <v>0</v>
      </c>
      <c r="AF144">
        <v>0.81047808574334701</v>
      </c>
      <c r="AG144">
        <v>1.02333091634262E-4</v>
      </c>
      <c r="AH144">
        <v>0</v>
      </c>
      <c r="AI144">
        <v>0.19516465100984401</v>
      </c>
      <c r="AJ144" s="13">
        <v>2.46420013901322E-5</v>
      </c>
      <c r="AK144">
        <v>0</v>
      </c>
      <c r="AL144">
        <v>59.866020435525598</v>
      </c>
    </row>
    <row r="145" spans="1:38" x14ac:dyDescent="0.35">
      <c r="A145" t="s">
        <v>124</v>
      </c>
      <c r="B145" t="s">
        <v>126</v>
      </c>
      <c r="C145">
        <v>2030</v>
      </c>
      <c r="D145" t="s">
        <v>98</v>
      </c>
      <c r="E145">
        <v>2017</v>
      </c>
      <c r="F145" t="s">
        <v>43</v>
      </c>
      <c r="G145" t="s">
        <v>35</v>
      </c>
      <c r="H145" t="s">
        <v>44</v>
      </c>
      <c r="I145">
        <v>0</v>
      </c>
      <c r="J145">
        <v>0</v>
      </c>
      <c r="K145" t="s">
        <v>99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27</v>
      </c>
      <c r="AC145" t="s">
        <v>27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59.866020435525598</v>
      </c>
    </row>
    <row r="146" spans="1:38" x14ac:dyDescent="0.35">
      <c r="A146" t="s">
        <v>124</v>
      </c>
      <c r="B146" t="s">
        <v>127</v>
      </c>
      <c r="C146">
        <v>2030</v>
      </c>
      <c r="D146" t="s">
        <v>98</v>
      </c>
      <c r="E146">
        <v>2017</v>
      </c>
      <c r="F146" t="s">
        <v>43</v>
      </c>
      <c r="G146" t="s">
        <v>35</v>
      </c>
      <c r="H146" t="s">
        <v>44</v>
      </c>
      <c r="I146">
        <v>0</v>
      </c>
      <c r="J146">
        <v>0</v>
      </c>
      <c r="K146" t="s">
        <v>99</v>
      </c>
      <c r="L146">
        <v>958.27230622821298</v>
      </c>
      <c r="M146">
        <v>2200.78340590179</v>
      </c>
      <c r="N146">
        <v>195.48994138755501</v>
      </c>
      <c r="O146">
        <v>36.026925684867003</v>
      </c>
      <c r="P146">
        <v>11.4257284836634</v>
      </c>
      <c r="Q146">
        <v>0</v>
      </c>
      <c r="R146">
        <v>0</v>
      </c>
      <c r="S146">
        <v>0</v>
      </c>
      <c r="T146">
        <v>242.94259555608599</v>
      </c>
      <c r="U146">
        <v>4058.10497822767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5.9866020435525497E-2</v>
      </c>
      <c r="AB146">
        <v>0.53707216233352595</v>
      </c>
      <c r="AC146">
        <v>4234.8139999998502</v>
      </c>
      <c r="AD146">
        <v>34214.643140448301</v>
      </c>
      <c r="AE146">
        <v>0</v>
      </c>
      <c r="AF146">
        <v>34214.643140448301</v>
      </c>
      <c r="AG146">
        <v>4.3200306995516096</v>
      </c>
      <c r="AH146">
        <v>0</v>
      </c>
      <c r="AI146">
        <v>164.78450577900301</v>
      </c>
      <c r="AJ146">
        <v>2.0806124467046199E-2</v>
      </c>
      <c r="AK146">
        <v>0</v>
      </c>
      <c r="AL146">
        <v>59.866020435525598</v>
      </c>
    </row>
    <row r="147" spans="1:38" x14ac:dyDescent="0.35">
      <c r="A147" t="s">
        <v>124</v>
      </c>
      <c r="B147" t="s">
        <v>128</v>
      </c>
      <c r="C147">
        <v>2030</v>
      </c>
      <c r="D147" t="s">
        <v>98</v>
      </c>
      <c r="E147">
        <v>2017</v>
      </c>
      <c r="F147" t="s">
        <v>43</v>
      </c>
      <c r="G147" t="s">
        <v>35</v>
      </c>
      <c r="H147" t="s">
        <v>44</v>
      </c>
      <c r="I147">
        <v>0</v>
      </c>
      <c r="J147">
        <v>0</v>
      </c>
      <c r="K147" t="s">
        <v>99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27</v>
      </c>
      <c r="AC147" t="s">
        <v>27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59.866020435525598</v>
      </c>
    </row>
    <row r="148" spans="1:38" x14ac:dyDescent="0.35">
      <c r="A148" t="s">
        <v>124</v>
      </c>
      <c r="B148" t="s">
        <v>129</v>
      </c>
      <c r="C148">
        <v>2030</v>
      </c>
      <c r="D148" t="s">
        <v>98</v>
      </c>
      <c r="E148">
        <v>2017</v>
      </c>
      <c r="F148" t="s">
        <v>43</v>
      </c>
      <c r="G148" t="s">
        <v>35</v>
      </c>
      <c r="H148" t="s">
        <v>44</v>
      </c>
      <c r="I148">
        <v>0</v>
      </c>
      <c r="J148">
        <v>0</v>
      </c>
      <c r="K148" t="s">
        <v>99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27</v>
      </c>
      <c r="AC148" t="s">
        <v>27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59.866020435525598</v>
      </c>
    </row>
    <row r="149" spans="1:38" x14ac:dyDescent="0.35">
      <c r="A149" t="s">
        <v>124</v>
      </c>
      <c r="B149" t="s">
        <v>20</v>
      </c>
      <c r="C149">
        <v>2030</v>
      </c>
      <c r="D149" t="s">
        <v>98</v>
      </c>
      <c r="E149">
        <v>2017</v>
      </c>
      <c r="F149" t="s">
        <v>43</v>
      </c>
      <c r="G149" t="s">
        <v>35</v>
      </c>
      <c r="H149" t="s">
        <v>44</v>
      </c>
      <c r="I149">
        <v>0</v>
      </c>
      <c r="J149">
        <v>0</v>
      </c>
      <c r="K149" t="s">
        <v>99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27</v>
      </c>
      <c r="AC149" t="s">
        <v>27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59.866020435525598</v>
      </c>
    </row>
    <row r="150" spans="1:38" x14ac:dyDescent="0.35">
      <c r="A150" t="s">
        <v>124</v>
      </c>
      <c r="B150" t="s">
        <v>21</v>
      </c>
      <c r="C150">
        <v>2030</v>
      </c>
      <c r="D150" t="s">
        <v>98</v>
      </c>
      <c r="E150">
        <v>2017</v>
      </c>
      <c r="F150" t="s">
        <v>43</v>
      </c>
      <c r="G150" t="s">
        <v>35</v>
      </c>
      <c r="H150" t="s">
        <v>44</v>
      </c>
      <c r="I150">
        <v>0</v>
      </c>
      <c r="J150">
        <v>0</v>
      </c>
      <c r="K150" t="s">
        <v>99</v>
      </c>
      <c r="L150">
        <v>537.36635117569904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26.5669188975303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6.2700214130775598E-3</v>
      </c>
      <c r="AC150">
        <v>49.439118842116599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59.866020435525598</v>
      </c>
    </row>
    <row r="151" spans="1:38" x14ac:dyDescent="0.35">
      <c r="A151" t="s">
        <v>124</v>
      </c>
      <c r="B151" t="s">
        <v>22</v>
      </c>
      <c r="C151">
        <v>2030</v>
      </c>
      <c r="D151" t="s">
        <v>98</v>
      </c>
      <c r="E151">
        <v>2017</v>
      </c>
      <c r="F151" t="s">
        <v>43</v>
      </c>
      <c r="G151" t="s">
        <v>35</v>
      </c>
      <c r="H151" t="s">
        <v>44</v>
      </c>
      <c r="I151">
        <v>0</v>
      </c>
      <c r="J151">
        <v>0</v>
      </c>
      <c r="K151" t="s">
        <v>99</v>
      </c>
      <c r="L151">
        <v>99.913788041078305</v>
      </c>
      <c r="M151">
        <v>0</v>
      </c>
      <c r="N151">
        <v>0</v>
      </c>
      <c r="O151">
        <v>0</v>
      </c>
      <c r="P151">
        <v>1.74267669145176E-2</v>
      </c>
      <c r="Q151">
        <v>0</v>
      </c>
      <c r="R151">
        <v>0</v>
      </c>
      <c r="S151">
        <v>0</v>
      </c>
      <c r="T151">
        <v>1.74267669145176E-2</v>
      </c>
      <c r="U151">
        <v>9.2842635379434402</v>
      </c>
      <c r="V151">
        <v>0</v>
      </c>
      <c r="W151">
        <v>0.46421317689717101</v>
      </c>
      <c r="X151">
        <v>0</v>
      </c>
      <c r="Y151">
        <v>0</v>
      </c>
      <c r="Z151">
        <v>0</v>
      </c>
      <c r="AA151">
        <v>1.8770219999999899E-3</v>
      </c>
      <c r="AB151">
        <v>1.17847490043065E-2</v>
      </c>
      <c r="AC151">
        <v>92.922745898957402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59.866020435525598</v>
      </c>
    </row>
    <row r="152" spans="1:38" x14ac:dyDescent="0.35">
      <c r="A152" t="s">
        <v>124</v>
      </c>
      <c r="B152" t="s">
        <v>23</v>
      </c>
      <c r="C152">
        <v>2030</v>
      </c>
      <c r="D152" t="s">
        <v>98</v>
      </c>
      <c r="E152">
        <v>2017</v>
      </c>
      <c r="F152" t="s">
        <v>43</v>
      </c>
      <c r="G152" t="s">
        <v>35</v>
      </c>
      <c r="H152" t="s">
        <v>44</v>
      </c>
      <c r="I152">
        <v>0</v>
      </c>
      <c r="J152">
        <v>0</v>
      </c>
      <c r="K152" t="s">
        <v>99</v>
      </c>
      <c r="L152">
        <v>113.89749548898099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9.2842635379434295</v>
      </c>
      <c r="V152">
        <v>0</v>
      </c>
      <c r="W152">
        <v>0.46421317689717101</v>
      </c>
      <c r="X152">
        <v>0</v>
      </c>
      <c r="Y152">
        <v>0</v>
      </c>
      <c r="Z152">
        <v>0</v>
      </c>
      <c r="AA152">
        <v>0</v>
      </c>
      <c r="AB152">
        <v>1.0337882401000699E-2</v>
      </c>
      <c r="AC152">
        <v>81.514202731891004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59.866020435525598</v>
      </c>
    </row>
    <row r="153" spans="1:38" x14ac:dyDescent="0.35">
      <c r="A153" t="s">
        <v>124</v>
      </c>
      <c r="B153" t="s">
        <v>5</v>
      </c>
      <c r="C153">
        <v>2030</v>
      </c>
      <c r="D153" t="s">
        <v>98</v>
      </c>
      <c r="E153">
        <v>2017</v>
      </c>
      <c r="F153" t="s">
        <v>43</v>
      </c>
      <c r="G153" t="s">
        <v>35</v>
      </c>
      <c r="H153" t="s">
        <v>44</v>
      </c>
      <c r="I153">
        <v>0</v>
      </c>
      <c r="J153">
        <v>0</v>
      </c>
      <c r="K153" t="s">
        <v>99</v>
      </c>
      <c r="L153">
        <v>113.89749548898099</v>
      </c>
      <c r="M153">
        <v>20.5015491880166</v>
      </c>
      <c r="N153">
        <v>2.0881280690959598</v>
      </c>
      <c r="O153">
        <v>0.30752323782024898</v>
      </c>
      <c r="P153">
        <v>0</v>
      </c>
      <c r="Q153">
        <v>0</v>
      </c>
      <c r="R153">
        <v>0</v>
      </c>
      <c r="S153">
        <v>0</v>
      </c>
      <c r="T153">
        <v>2.3956513069162102</v>
      </c>
      <c r="U153">
        <v>455.61343973210802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5.2580786649419299E-3</v>
      </c>
      <c r="AB153">
        <v>0.50731844707084295</v>
      </c>
      <c r="AC153">
        <v>4000.2059551535999</v>
      </c>
      <c r="AD153">
        <v>119.487326686458</v>
      </c>
      <c r="AE153">
        <v>0</v>
      </c>
      <c r="AF153">
        <v>119.487326686458</v>
      </c>
      <c r="AG153">
        <v>1.50867836725328E-2</v>
      </c>
      <c r="AH153">
        <v>0</v>
      </c>
      <c r="AI153">
        <v>1.9742232551423402E-3</v>
      </c>
      <c r="AJ153" s="13">
        <v>2.4927061302302602E-7</v>
      </c>
      <c r="AK153">
        <v>0</v>
      </c>
      <c r="AL153">
        <v>59.866020435525598</v>
      </c>
    </row>
    <row r="154" spans="1:38" x14ac:dyDescent="0.35">
      <c r="A154" t="s">
        <v>124</v>
      </c>
      <c r="B154" t="s">
        <v>42</v>
      </c>
      <c r="C154">
        <v>2030</v>
      </c>
      <c r="D154" t="s">
        <v>98</v>
      </c>
      <c r="E154">
        <v>2018</v>
      </c>
      <c r="F154" t="s">
        <v>43</v>
      </c>
      <c r="G154" t="s">
        <v>35</v>
      </c>
      <c r="H154" t="s">
        <v>44</v>
      </c>
      <c r="I154">
        <v>0</v>
      </c>
      <c r="J154">
        <v>0</v>
      </c>
      <c r="K154" t="s">
        <v>99</v>
      </c>
      <c r="L154">
        <v>93.714204554132607</v>
      </c>
      <c r="M154">
        <v>624.33902501236003</v>
      </c>
      <c r="N154">
        <v>55.251241151536298</v>
      </c>
      <c r="O154">
        <v>24.973561000494399</v>
      </c>
      <c r="P154">
        <v>0</v>
      </c>
      <c r="Q154">
        <v>0</v>
      </c>
      <c r="R154">
        <v>0</v>
      </c>
      <c r="S154">
        <v>0</v>
      </c>
      <c r="T154">
        <v>80.224802152030705</v>
      </c>
      <c r="U154">
        <v>425.80645161289402</v>
      </c>
      <c r="V154">
        <v>0</v>
      </c>
      <c r="W154">
        <v>191.612903225808</v>
      </c>
      <c r="X154">
        <v>1.2268764852949201</v>
      </c>
      <c r="Y154">
        <v>65.961101359942404</v>
      </c>
      <c r="Z154">
        <v>237.45996489579201</v>
      </c>
      <c r="AA154">
        <v>0.18840673232674199</v>
      </c>
      <c r="AB154">
        <v>0.57624227512972004</v>
      </c>
      <c r="AC154">
        <v>4543.6703393978396</v>
      </c>
      <c r="AD154">
        <v>1419.7936808751699</v>
      </c>
      <c r="AE154">
        <v>0</v>
      </c>
      <c r="AF154">
        <v>1419.7936808751699</v>
      </c>
      <c r="AG154">
        <v>0.179266878898384</v>
      </c>
      <c r="AH154">
        <v>5.4134966510267599</v>
      </c>
      <c r="AI154">
        <v>0</v>
      </c>
      <c r="AJ154">
        <v>0</v>
      </c>
      <c r="AK154">
        <v>2.4214171491229699E-2</v>
      </c>
      <c r="AL154">
        <v>68.920884508464198</v>
      </c>
    </row>
    <row r="155" spans="1:38" x14ac:dyDescent="0.35">
      <c r="A155" t="s">
        <v>124</v>
      </c>
      <c r="B155" t="s">
        <v>125</v>
      </c>
      <c r="C155">
        <v>2030</v>
      </c>
      <c r="D155" t="s">
        <v>98</v>
      </c>
      <c r="E155">
        <v>2018</v>
      </c>
      <c r="F155" t="s">
        <v>43</v>
      </c>
      <c r="G155" t="s">
        <v>35</v>
      </c>
      <c r="H155" t="s">
        <v>44</v>
      </c>
      <c r="I155">
        <v>0</v>
      </c>
      <c r="J155">
        <v>0</v>
      </c>
      <c r="K155" t="s">
        <v>99</v>
      </c>
      <c r="L155">
        <v>220.47583712286601</v>
      </c>
      <c r="M155">
        <v>26.6760682371408</v>
      </c>
      <c r="N155">
        <v>3.1165529128273799</v>
      </c>
      <c r="O155">
        <v>0.80028204711422601</v>
      </c>
      <c r="P155">
        <v>0</v>
      </c>
      <c r="Q155">
        <v>0</v>
      </c>
      <c r="R155">
        <v>0</v>
      </c>
      <c r="S155">
        <v>5.6062954723682203E-2</v>
      </c>
      <c r="T155">
        <v>3.9728979146652899</v>
      </c>
      <c r="U155">
        <v>862.50699574898499</v>
      </c>
      <c r="V155">
        <v>0</v>
      </c>
      <c r="W155">
        <v>2.1562674893723002</v>
      </c>
      <c r="X155">
        <v>0</v>
      </c>
      <c r="Y155">
        <v>0</v>
      </c>
      <c r="Z155">
        <v>0</v>
      </c>
      <c r="AA155">
        <v>4.6062210906652398E-3</v>
      </c>
      <c r="AB155">
        <v>0.49613507177545502</v>
      </c>
      <c r="AC155">
        <v>3912.0250409494602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68.920884508464198</v>
      </c>
    </row>
    <row r="156" spans="1:38" x14ac:dyDescent="0.35">
      <c r="A156" t="s">
        <v>124</v>
      </c>
      <c r="B156" t="s">
        <v>36</v>
      </c>
      <c r="C156">
        <v>2030</v>
      </c>
      <c r="D156" t="s">
        <v>98</v>
      </c>
      <c r="E156">
        <v>2018</v>
      </c>
      <c r="F156" t="s">
        <v>43</v>
      </c>
      <c r="G156" t="s">
        <v>35</v>
      </c>
      <c r="H156" t="s">
        <v>44</v>
      </c>
      <c r="I156">
        <v>0</v>
      </c>
      <c r="J156">
        <v>0</v>
      </c>
      <c r="K156" t="s">
        <v>99</v>
      </c>
      <c r="L156">
        <v>19.5978521886992</v>
      </c>
      <c r="M156">
        <v>780.77843119777697</v>
      </c>
      <c r="N156">
        <v>69.095436389183803</v>
      </c>
      <c r="O156">
        <v>78.077843119777697</v>
      </c>
      <c r="P156">
        <v>0</v>
      </c>
      <c r="Q156">
        <v>0</v>
      </c>
      <c r="R156">
        <v>0</v>
      </c>
      <c r="S156">
        <v>0</v>
      </c>
      <c r="T156">
        <v>147.173279508961</v>
      </c>
      <c r="U156">
        <v>76.667288511018697</v>
      </c>
      <c r="V156">
        <v>0</v>
      </c>
      <c r="W156">
        <v>3818.0309678487602</v>
      </c>
      <c r="X156">
        <v>0</v>
      </c>
      <c r="Y156">
        <v>0</v>
      </c>
      <c r="Z156">
        <v>0</v>
      </c>
      <c r="AA156">
        <v>1.9196359016637099</v>
      </c>
      <c r="AB156">
        <v>0.49613507177545502</v>
      </c>
      <c r="AC156">
        <v>3912.0250409494602</v>
      </c>
      <c r="AD156">
        <v>1508.67202186802</v>
      </c>
      <c r="AE156">
        <v>0</v>
      </c>
      <c r="AF156">
        <v>1508.67202186802</v>
      </c>
      <c r="AG156">
        <v>0.19048889165000699</v>
      </c>
      <c r="AH156">
        <v>0</v>
      </c>
      <c r="AI156">
        <v>9.26978408525473E-3</v>
      </c>
      <c r="AJ156" s="13">
        <v>1.1704272834917799E-6</v>
      </c>
      <c r="AK156">
        <v>0</v>
      </c>
      <c r="AL156">
        <v>68.920884508464198</v>
      </c>
    </row>
    <row r="157" spans="1:38" x14ac:dyDescent="0.35">
      <c r="A157" t="s">
        <v>124</v>
      </c>
      <c r="B157" t="s">
        <v>45</v>
      </c>
      <c r="C157">
        <v>2030</v>
      </c>
      <c r="D157" t="s">
        <v>98</v>
      </c>
      <c r="E157">
        <v>2018</v>
      </c>
      <c r="F157" t="s">
        <v>43</v>
      </c>
      <c r="G157" t="s">
        <v>35</v>
      </c>
      <c r="H157" t="s">
        <v>44</v>
      </c>
      <c r="I157">
        <v>0</v>
      </c>
      <c r="J157">
        <v>0</v>
      </c>
      <c r="K157" t="s">
        <v>99</v>
      </c>
      <c r="L157">
        <v>16.868556819743802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76.645161290313595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0.57624227512972004</v>
      </c>
      <c r="AC157">
        <v>4543.6703393978396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68.920884508464198</v>
      </c>
    </row>
    <row r="158" spans="1:38" x14ac:dyDescent="0.35">
      <c r="A158" t="s">
        <v>124</v>
      </c>
      <c r="B158" t="s">
        <v>17</v>
      </c>
      <c r="C158">
        <v>2030</v>
      </c>
      <c r="D158" t="s">
        <v>98</v>
      </c>
      <c r="E158">
        <v>2018</v>
      </c>
      <c r="F158" t="s">
        <v>43</v>
      </c>
      <c r="G158" t="s">
        <v>35</v>
      </c>
      <c r="H158" t="s">
        <v>44</v>
      </c>
      <c r="I158">
        <v>0</v>
      </c>
      <c r="J158">
        <v>0</v>
      </c>
      <c r="K158" t="s">
        <v>99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27</v>
      </c>
      <c r="AC158" t="s">
        <v>27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68.920884508464198</v>
      </c>
    </row>
    <row r="159" spans="1:38" x14ac:dyDescent="0.35">
      <c r="A159" t="s">
        <v>124</v>
      </c>
      <c r="B159" t="s">
        <v>18</v>
      </c>
      <c r="C159">
        <v>2030</v>
      </c>
      <c r="D159" t="s">
        <v>98</v>
      </c>
      <c r="E159">
        <v>2018</v>
      </c>
      <c r="F159" t="s">
        <v>43</v>
      </c>
      <c r="G159" t="s">
        <v>35</v>
      </c>
      <c r="H159" t="s">
        <v>44</v>
      </c>
      <c r="I159">
        <v>0</v>
      </c>
      <c r="J159">
        <v>0</v>
      </c>
      <c r="K159" t="s">
        <v>99</v>
      </c>
      <c r="L159">
        <v>111.237409023056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435.16352958852298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0.49613507177545502</v>
      </c>
      <c r="AC159">
        <v>3912.0250409494602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68.920884508464198</v>
      </c>
    </row>
    <row r="160" spans="1:38" x14ac:dyDescent="0.35">
      <c r="A160" t="s">
        <v>124</v>
      </c>
      <c r="B160" t="s">
        <v>19</v>
      </c>
      <c r="C160">
        <v>2030</v>
      </c>
      <c r="D160" t="s">
        <v>98</v>
      </c>
      <c r="E160">
        <v>2018</v>
      </c>
      <c r="F160" t="s">
        <v>43</v>
      </c>
      <c r="G160" t="s">
        <v>35</v>
      </c>
      <c r="H160" t="s">
        <v>44</v>
      </c>
      <c r="I160">
        <v>0</v>
      </c>
      <c r="J160">
        <v>0</v>
      </c>
      <c r="K160" t="s">
        <v>99</v>
      </c>
      <c r="L160">
        <v>152.07933298430501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594.93815884551304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0.49613507177545502</v>
      </c>
      <c r="AC160">
        <v>3912.0250409494602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68.920884508464198</v>
      </c>
    </row>
    <row r="161" spans="1:38" x14ac:dyDescent="0.35">
      <c r="A161" t="s">
        <v>124</v>
      </c>
      <c r="B161" t="s">
        <v>55</v>
      </c>
      <c r="C161">
        <v>2030</v>
      </c>
      <c r="D161" t="s">
        <v>98</v>
      </c>
      <c r="E161">
        <v>2018</v>
      </c>
      <c r="F161" t="s">
        <v>43</v>
      </c>
      <c r="G161" t="s">
        <v>35</v>
      </c>
      <c r="H161" t="s">
        <v>44</v>
      </c>
      <c r="I161">
        <v>0</v>
      </c>
      <c r="J161">
        <v>0</v>
      </c>
      <c r="K161" t="s">
        <v>99</v>
      </c>
      <c r="L161">
        <v>1044.46594565805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16.707255957153201</v>
      </c>
      <c r="V161">
        <v>0</v>
      </c>
      <c r="W161">
        <v>15.7048205997254</v>
      </c>
      <c r="X161">
        <v>0</v>
      </c>
      <c r="Y161">
        <v>0</v>
      </c>
      <c r="Z161">
        <v>0</v>
      </c>
      <c r="AA161">
        <v>0</v>
      </c>
      <c r="AB161">
        <v>2.0286594289941101E-3</v>
      </c>
      <c r="AC161">
        <v>15.9959795976186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68.920884508464198</v>
      </c>
    </row>
    <row r="162" spans="1:38" x14ac:dyDescent="0.35">
      <c r="A162" t="s">
        <v>124</v>
      </c>
      <c r="B162" t="s">
        <v>56</v>
      </c>
      <c r="C162">
        <v>2030</v>
      </c>
      <c r="D162" t="s">
        <v>98</v>
      </c>
      <c r="E162">
        <v>2018</v>
      </c>
      <c r="F162" t="s">
        <v>43</v>
      </c>
      <c r="G162" t="s">
        <v>35</v>
      </c>
      <c r="H162" t="s">
        <v>44</v>
      </c>
      <c r="I162">
        <v>0</v>
      </c>
      <c r="J162">
        <v>0</v>
      </c>
      <c r="K162" t="s">
        <v>99</v>
      </c>
      <c r="L162">
        <v>1061.33450247779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16.685128736455098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1.9937724079087801E-3</v>
      </c>
      <c r="AC162">
        <v>15.720895436360699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68.920884508464198</v>
      </c>
    </row>
    <row r="163" spans="1:38" x14ac:dyDescent="0.35">
      <c r="A163" t="s">
        <v>124</v>
      </c>
      <c r="B163" t="s">
        <v>57</v>
      </c>
      <c r="C163">
        <v>2030</v>
      </c>
      <c r="D163" t="s">
        <v>98</v>
      </c>
      <c r="E163">
        <v>2018</v>
      </c>
      <c r="F163" t="s">
        <v>43</v>
      </c>
      <c r="G163" t="s">
        <v>35</v>
      </c>
      <c r="H163" t="s">
        <v>44</v>
      </c>
      <c r="I163">
        <v>0</v>
      </c>
      <c r="J163">
        <v>0</v>
      </c>
      <c r="K163" t="s">
        <v>99</v>
      </c>
      <c r="L163">
        <v>245.858007765178</v>
      </c>
      <c r="M163">
        <v>61.4645019412945</v>
      </c>
      <c r="N163">
        <v>5.0242840641615798</v>
      </c>
      <c r="O163">
        <v>1.8439350582388301</v>
      </c>
      <c r="P163">
        <v>0</v>
      </c>
      <c r="Q163">
        <v>0</v>
      </c>
      <c r="R163">
        <v>0</v>
      </c>
      <c r="S163">
        <v>0</v>
      </c>
      <c r="T163">
        <v>6.8682191224004203</v>
      </c>
      <c r="U163">
        <v>1061.7286431503001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6.4689025455896302E-3</v>
      </c>
      <c r="AB163">
        <v>0.54768075192899701</v>
      </c>
      <c r="AC163">
        <v>4318.4627289601403</v>
      </c>
      <c r="AD163">
        <v>1.0209970220895299</v>
      </c>
      <c r="AE163">
        <v>0</v>
      </c>
      <c r="AF163">
        <v>1.0209970220895299</v>
      </c>
      <c r="AG163">
        <v>1.28913765415348E-4</v>
      </c>
      <c r="AH163">
        <v>0</v>
      </c>
      <c r="AI163">
        <v>0.24585800776517799</v>
      </c>
      <c r="AJ163" s="13">
        <v>3.1042677748129102E-5</v>
      </c>
      <c r="AK163">
        <v>0</v>
      </c>
      <c r="AL163">
        <v>68.920884508464198</v>
      </c>
    </row>
    <row r="164" spans="1:38" x14ac:dyDescent="0.35">
      <c r="A164" t="s">
        <v>124</v>
      </c>
      <c r="B164" t="s">
        <v>126</v>
      </c>
      <c r="C164">
        <v>2030</v>
      </c>
      <c r="D164" t="s">
        <v>98</v>
      </c>
      <c r="E164">
        <v>2018</v>
      </c>
      <c r="F164" t="s">
        <v>43</v>
      </c>
      <c r="G164" t="s">
        <v>35</v>
      </c>
      <c r="H164" t="s">
        <v>44</v>
      </c>
      <c r="I164">
        <v>0</v>
      </c>
      <c r="J164">
        <v>0</v>
      </c>
      <c r="K164" t="s">
        <v>99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27</v>
      </c>
      <c r="AC164" t="s">
        <v>27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68.920884508464198</v>
      </c>
    </row>
    <row r="165" spans="1:38" x14ac:dyDescent="0.35">
      <c r="A165" t="s">
        <v>124</v>
      </c>
      <c r="B165" t="s">
        <v>127</v>
      </c>
      <c r="C165">
        <v>2030</v>
      </c>
      <c r="D165" t="s">
        <v>98</v>
      </c>
      <c r="E165">
        <v>2018</v>
      </c>
      <c r="F165" t="s">
        <v>43</v>
      </c>
      <c r="G165" t="s">
        <v>35</v>
      </c>
      <c r="H165" t="s">
        <v>44</v>
      </c>
      <c r="I165">
        <v>0</v>
      </c>
      <c r="J165">
        <v>0</v>
      </c>
      <c r="K165" t="s">
        <v>99</v>
      </c>
      <c r="L165">
        <v>1113.7365466259801</v>
      </c>
      <c r="M165">
        <v>2557.8250508025199</v>
      </c>
      <c r="N165">
        <v>227.20503431645699</v>
      </c>
      <c r="O165">
        <v>41.871713851093098</v>
      </c>
      <c r="P165">
        <v>11.460410491901399</v>
      </c>
      <c r="Q165">
        <v>0</v>
      </c>
      <c r="R165">
        <v>0</v>
      </c>
      <c r="S165">
        <v>0</v>
      </c>
      <c r="T165">
        <v>280.53715865945202</v>
      </c>
      <c r="U165">
        <v>4070.4230750985098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6.8920884508464203E-2</v>
      </c>
      <c r="AB165">
        <v>0.46350602409637298</v>
      </c>
      <c r="AC165">
        <v>3654.7449999998998</v>
      </c>
      <c r="AD165">
        <v>39765.417666372901</v>
      </c>
      <c r="AE165">
        <v>0</v>
      </c>
      <c r="AF165">
        <v>39765.417666372901</v>
      </c>
      <c r="AG165">
        <v>5.0208860689865702</v>
      </c>
      <c r="AH165">
        <v>0</v>
      </c>
      <c r="AI165">
        <v>191.51813655780401</v>
      </c>
      <c r="AJ165">
        <v>2.4181582898713101E-2</v>
      </c>
      <c r="AK165">
        <v>0</v>
      </c>
      <c r="AL165">
        <v>68.920884508464198</v>
      </c>
    </row>
    <row r="166" spans="1:38" x14ac:dyDescent="0.35">
      <c r="A166" t="s">
        <v>124</v>
      </c>
      <c r="B166" t="s">
        <v>128</v>
      </c>
      <c r="C166">
        <v>2030</v>
      </c>
      <c r="D166" t="s">
        <v>98</v>
      </c>
      <c r="E166">
        <v>2018</v>
      </c>
      <c r="F166" t="s">
        <v>43</v>
      </c>
      <c r="G166" t="s">
        <v>35</v>
      </c>
      <c r="H166" t="s">
        <v>44</v>
      </c>
      <c r="I166">
        <v>0</v>
      </c>
      <c r="J166">
        <v>0</v>
      </c>
      <c r="K166" t="s">
        <v>99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27</v>
      </c>
      <c r="AC166" t="s">
        <v>27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68.920884508464198</v>
      </c>
    </row>
    <row r="167" spans="1:38" x14ac:dyDescent="0.35">
      <c r="A167" t="s">
        <v>124</v>
      </c>
      <c r="B167" t="s">
        <v>129</v>
      </c>
      <c r="C167">
        <v>2030</v>
      </c>
      <c r="D167" t="s">
        <v>98</v>
      </c>
      <c r="E167">
        <v>2018</v>
      </c>
      <c r="F167" t="s">
        <v>43</v>
      </c>
      <c r="G167" t="s">
        <v>35</v>
      </c>
      <c r="H167" t="s">
        <v>44</v>
      </c>
      <c r="I167">
        <v>0</v>
      </c>
      <c r="J167">
        <v>0</v>
      </c>
      <c r="K167" t="s">
        <v>99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27</v>
      </c>
      <c r="AC167" t="s">
        <v>27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68.920884508464198</v>
      </c>
    </row>
    <row r="168" spans="1:38" x14ac:dyDescent="0.35">
      <c r="A168" t="s">
        <v>124</v>
      </c>
      <c r="B168" t="s">
        <v>20</v>
      </c>
      <c r="C168">
        <v>2030</v>
      </c>
      <c r="D168" t="s">
        <v>98</v>
      </c>
      <c r="E168">
        <v>2018</v>
      </c>
      <c r="F168" t="s">
        <v>43</v>
      </c>
      <c r="G168" t="s">
        <v>35</v>
      </c>
      <c r="H168" t="s">
        <v>44</v>
      </c>
      <c r="I168">
        <v>0</v>
      </c>
      <c r="J168">
        <v>0</v>
      </c>
      <c r="K168" t="s">
        <v>99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27</v>
      </c>
      <c r="AC168" t="s">
        <v>27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68.920884508464198</v>
      </c>
    </row>
    <row r="169" spans="1:38" x14ac:dyDescent="0.35">
      <c r="A169" t="s">
        <v>124</v>
      </c>
      <c r="B169" t="s">
        <v>21</v>
      </c>
      <c r="C169">
        <v>2030</v>
      </c>
      <c r="D169" t="s">
        <v>98</v>
      </c>
      <c r="E169">
        <v>2018</v>
      </c>
      <c r="F169" t="s">
        <v>43</v>
      </c>
      <c r="G169" t="s">
        <v>35</v>
      </c>
      <c r="H169" t="s">
        <v>44</v>
      </c>
      <c r="I169">
        <v>0</v>
      </c>
      <c r="J169">
        <v>0</v>
      </c>
      <c r="K169" t="s">
        <v>99</v>
      </c>
      <c r="L169">
        <v>447.34111107398002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41.485602668865504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1.1761342408707401E-2</v>
      </c>
      <c r="AC169">
        <v>92.738184892657799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68.920884508464198</v>
      </c>
    </row>
    <row r="170" spans="1:38" x14ac:dyDescent="0.35">
      <c r="A170" t="s">
        <v>124</v>
      </c>
      <c r="B170" t="s">
        <v>22</v>
      </c>
      <c r="C170">
        <v>2030</v>
      </c>
      <c r="D170" t="s">
        <v>98</v>
      </c>
      <c r="E170">
        <v>2018</v>
      </c>
      <c r="F170" t="s">
        <v>43</v>
      </c>
      <c r="G170" t="s">
        <v>35</v>
      </c>
      <c r="H170" t="s">
        <v>44</v>
      </c>
      <c r="I170">
        <v>0</v>
      </c>
      <c r="J170">
        <v>0</v>
      </c>
      <c r="K170" t="s">
        <v>99</v>
      </c>
      <c r="L170">
        <v>103.70875108875499</v>
      </c>
      <c r="M170">
        <v>0</v>
      </c>
      <c r="N170">
        <v>0</v>
      </c>
      <c r="O170">
        <v>0</v>
      </c>
      <c r="P170">
        <v>2.68885891554961E-2</v>
      </c>
      <c r="Q170">
        <v>0</v>
      </c>
      <c r="R170">
        <v>0</v>
      </c>
      <c r="S170">
        <v>0</v>
      </c>
      <c r="T170">
        <v>2.68885891554961E-2</v>
      </c>
      <c r="U170">
        <v>14.325132659870899</v>
      </c>
      <c r="V170">
        <v>0</v>
      </c>
      <c r="W170">
        <v>0.71625663299354303</v>
      </c>
      <c r="X170">
        <v>0</v>
      </c>
      <c r="Y170">
        <v>0</v>
      </c>
      <c r="Z170">
        <v>0</v>
      </c>
      <c r="AA170">
        <v>1.8770219999999899E-3</v>
      </c>
      <c r="AB170">
        <v>1.7517880140862498E-2</v>
      </c>
      <c r="AC170">
        <v>138.12848491070099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68.920884508464198</v>
      </c>
    </row>
    <row r="171" spans="1:38" x14ac:dyDescent="0.35">
      <c r="A171" t="s">
        <v>124</v>
      </c>
      <c r="B171" t="s">
        <v>23</v>
      </c>
      <c r="C171">
        <v>2030</v>
      </c>
      <c r="D171" t="s">
        <v>98</v>
      </c>
      <c r="E171">
        <v>2018</v>
      </c>
      <c r="F171" t="s">
        <v>43</v>
      </c>
      <c r="G171" t="s">
        <v>35</v>
      </c>
      <c r="H171" t="s">
        <v>44</v>
      </c>
      <c r="I171">
        <v>0</v>
      </c>
      <c r="J171">
        <v>0</v>
      </c>
      <c r="K171" t="s">
        <v>99</v>
      </c>
      <c r="L171">
        <v>171.56889698673999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14.3251326598708</v>
      </c>
      <c r="V171">
        <v>0</v>
      </c>
      <c r="W171">
        <v>0.71625663299354403</v>
      </c>
      <c r="X171">
        <v>0</v>
      </c>
      <c r="Y171">
        <v>0</v>
      </c>
      <c r="Z171">
        <v>0</v>
      </c>
      <c r="AA171">
        <v>0</v>
      </c>
      <c r="AB171">
        <v>1.0589084053339699E-2</v>
      </c>
      <c r="AC171">
        <v>83.494927760584105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68.920884508464198</v>
      </c>
    </row>
    <row r="172" spans="1:38" x14ac:dyDescent="0.35">
      <c r="A172" t="s">
        <v>124</v>
      </c>
      <c r="B172" t="s">
        <v>5</v>
      </c>
      <c r="C172">
        <v>2030</v>
      </c>
      <c r="D172" t="s">
        <v>98</v>
      </c>
      <c r="E172">
        <v>2018</v>
      </c>
      <c r="F172" t="s">
        <v>43</v>
      </c>
      <c r="G172" t="s">
        <v>35</v>
      </c>
      <c r="H172" t="s">
        <v>44</v>
      </c>
      <c r="I172">
        <v>0</v>
      </c>
      <c r="J172">
        <v>0</v>
      </c>
      <c r="K172" t="s">
        <v>99</v>
      </c>
      <c r="L172">
        <v>171.56889698673999</v>
      </c>
      <c r="M172">
        <v>30.882401457613199</v>
      </c>
      <c r="N172">
        <v>3.1454408022211902</v>
      </c>
      <c r="O172">
        <v>0.46323602186419799</v>
      </c>
      <c r="P172">
        <v>0</v>
      </c>
      <c r="Q172">
        <v>0</v>
      </c>
      <c r="R172">
        <v>0</v>
      </c>
      <c r="S172">
        <v>0</v>
      </c>
      <c r="T172">
        <v>3.6086768240853901</v>
      </c>
      <c r="U172">
        <v>654.60480370480104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5.5127564045691704E-3</v>
      </c>
      <c r="AB172">
        <v>0.48388140289743897</v>
      </c>
      <c r="AC172">
        <v>3815.4048618462998</v>
      </c>
      <c r="AD172">
        <v>179.98910999296899</v>
      </c>
      <c r="AE172">
        <v>0</v>
      </c>
      <c r="AF172">
        <v>179.98910999296899</v>
      </c>
      <c r="AG172">
        <v>2.2725897726385499E-2</v>
      </c>
      <c r="AH172">
        <v>0</v>
      </c>
      <c r="AI172">
        <v>2.9738608811034901E-3</v>
      </c>
      <c r="AJ172" s="13">
        <v>3.7548748498782201E-7</v>
      </c>
      <c r="AK172">
        <v>0</v>
      </c>
      <c r="AL172">
        <v>68.920884508464198</v>
      </c>
    </row>
    <row r="173" spans="1:38" x14ac:dyDescent="0.35">
      <c r="A173" t="s">
        <v>124</v>
      </c>
      <c r="B173" t="s">
        <v>42</v>
      </c>
      <c r="C173">
        <v>2030</v>
      </c>
      <c r="D173" t="s">
        <v>98</v>
      </c>
      <c r="E173">
        <v>2019</v>
      </c>
      <c r="F173" t="s">
        <v>43</v>
      </c>
      <c r="G173" t="s">
        <v>35</v>
      </c>
      <c r="H173" t="s">
        <v>44</v>
      </c>
      <c r="I173">
        <v>0</v>
      </c>
      <c r="J173">
        <v>0</v>
      </c>
      <c r="K173" t="s">
        <v>99</v>
      </c>
      <c r="L173">
        <v>84.841699480269796</v>
      </c>
      <c r="M173">
        <v>565.22897660947399</v>
      </c>
      <c r="N173">
        <v>50.020263416767598</v>
      </c>
      <c r="O173">
        <v>22.6091590643789</v>
      </c>
      <c r="P173">
        <v>0</v>
      </c>
      <c r="Q173">
        <v>0</v>
      </c>
      <c r="R173">
        <v>0</v>
      </c>
      <c r="S173">
        <v>0</v>
      </c>
      <c r="T173">
        <v>72.629422481146605</v>
      </c>
      <c r="U173">
        <v>425.80645161289902</v>
      </c>
      <c r="V173">
        <v>0</v>
      </c>
      <c r="W173">
        <v>191.61290322580001</v>
      </c>
      <c r="X173">
        <v>1.08030687315644</v>
      </c>
      <c r="Y173">
        <v>58.081014685830198</v>
      </c>
      <c r="Z173">
        <v>209.09165286898801</v>
      </c>
      <c r="AA173">
        <v>0.170569098251179</v>
      </c>
      <c r="AB173">
        <v>0.63650406315589603</v>
      </c>
      <c r="AC173">
        <v>5018.8345379842403</v>
      </c>
      <c r="AD173">
        <v>1285.3730058309</v>
      </c>
      <c r="AE173">
        <v>0</v>
      </c>
      <c r="AF173">
        <v>1285.3730058309</v>
      </c>
      <c r="AG173">
        <v>0.16229457144329701</v>
      </c>
      <c r="AH173">
        <v>4.7486835027368102</v>
      </c>
      <c r="AI173">
        <v>0</v>
      </c>
      <c r="AJ173">
        <v>0</v>
      </c>
      <c r="AK173">
        <v>2.1250156794580598E-2</v>
      </c>
      <c r="AL173">
        <v>60.808365238760203</v>
      </c>
    </row>
    <row r="174" spans="1:38" x14ac:dyDescent="0.35">
      <c r="A174" t="s">
        <v>124</v>
      </c>
      <c r="B174" t="s">
        <v>125</v>
      </c>
      <c r="C174">
        <v>2030</v>
      </c>
      <c r="D174" t="s">
        <v>98</v>
      </c>
      <c r="E174">
        <v>2019</v>
      </c>
      <c r="F174" t="s">
        <v>43</v>
      </c>
      <c r="G174" t="s">
        <v>35</v>
      </c>
      <c r="H174" t="s">
        <v>44</v>
      </c>
      <c r="I174">
        <v>0</v>
      </c>
      <c r="J174">
        <v>0</v>
      </c>
      <c r="K174" t="s">
        <v>99</v>
      </c>
      <c r="L174">
        <v>195.31699761637501</v>
      </c>
      <c r="M174">
        <v>23.6320207433177</v>
      </c>
      <c r="N174">
        <v>2.76091822936039</v>
      </c>
      <c r="O174">
        <v>0.70896062229953205</v>
      </c>
      <c r="P174">
        <v>0</v>
      </c>
      <c r="Q174">
        <v>0</v>
      </c>
      <c r="R174">
        <v>0</v>
      </c>
      <c r="S174">
        <v>5.6056750241931998E-2</v>
      </c>
      <c r="T174">
        <v>3.52593560190186</v>
      </c>
      <c r="U174">
        <v>862.41154218357099</v>
      </c>
      <c r="V174">
        <v>0</v>
      </c>
      <c r="W174">
        <v>2.1560288554588598</v>
      </c>
      <c r="X174">
        <v>0</v>
      </c>
      <c r="Y174">
        <v>0</v>
      </c>
      <c r="Z174">
        <v>0</v>
      </c>
      <c r="AA174">
        <v>4.0884605892152299E-3</v>
      </c>
      <c r="AB174">
        <v>0.55998039543489997</v>
      </c>
      <c r="AC174">
        <v>4415.4454180041803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60.808365238760203</v>
      </c>
    </row>
    <row r="175" spans="1:38" x14ac:dyDescent="0.35">
      <c r="A175" t="s">
        <v>124</v>
      </c>
      <c r="B175" t="s">
        <v>36</v>
      </c>
      <c r="C175">
        <v>2030</v>
      </c>
      <c r="D175" t="s">
        <v>98</v>
      </c>
      <c r="E175">
        <v>2019</v>
      </c>
      <c r="F175" t="s">
        <v>43</v>
      </c>
      <c r="G175" t="s">
        <v>35</v>
      </c>
      <c r="H175" t="s">
        <v>44</v>
      </c>
      <c r="I175">
        <v>0</v>
      </c>
      <c r="J175">
        <v>0</v>
      </c>
      <c r="K175" t="s">
        <v>99</v>
      </c>
      <c r="L175">
        <v>17.361510899233298</v>
      </c>
      <c r="M175">
        <v>691.68259422545805</v>
      </c>
      <c r="N175">
        <v>61.210849046500698</v>
      </c>
      <c r="O175">
        <v>69.168259422545802</v>
      </c>
      <c r="P175">
        <v>0</v>
      </c>
      <c r="Q175">
        <v>0</v>
      </c>
      <c r="R175">
        <v>0</v>
      </c>
      <c r="S175">
        <v>0</v>
      </c>
      <c r="T175">
        <v>130.379108469046</v>
      </c>
      <c r="U175">
        <v>76.658803749648001</v>
      </c>
      <c r="V175">
        <v>0</v>
      </c>
      <c r="W175">
        <v>3817.6084267328201</v>
      </c>
      <c r="X175">
        <v>0</v>
      </c>
      <c r="Y175">
        <v>0</v>
      </c>
      <c r="Z175">
        <v>0</v>
      </c>
      <c r="AA175">
        <v>1.70077149775044</v>
      </c>
      <c r="AB175">
        <v>0.55998039543489997</v>
      </c>
      <c r="AC175">
        <v>4415.4454180041803</v>
      </c>
      <c r="AD175">
        <v>1336.51511904625</v>
      </c>
      <c r="AE175">
        <v>0</v>
      </c>
      <c r="AF175">
        <v>1336.51511904625</v>
      </c>
      <c r="AG175">
        <v>0.168751908970487</v>
      </c>
      <c r="AH175">
        <v>0</v>
      </c>
      <c r="AI175">
        <v>8.2119946553373905E-3</v>
      </c>
      <c r="AJ175" s="13">
        <v>1.03686801203755E-6</v>
      </c>
      <c r="AK175">
        <v>0</v>
      </c>
      <c r="AL175">
        <v>60.808365238760203</v>
      </c>
    </row>
    <row r="176" spans="1:38" x14ac:dyDescent="0.35">
      <c r="A176" t="s">
        <v>124</v>
      </c>
      <c r="B176" t="s">
        <v>45</v>
      </c>
      <c r="C176">
        <v>2030</v>
      </c>
      <c r="D176" t="s">
        <v>98</v>
      </c>
      <c r="E176">
        <v>2019</v>
      </c>
      <c r="F176" t="s">
        <v>43</v>
      </c>
      <c r="G176" t="s">
        <v>35</v>
      </c>
      <c r="H176" t="s">
        <v>44</v>
      </c>
      <c r="I176">
        <v>0</v>
      </c>
      <c r="J176">
        <v>0</v>
      </c>
      <c r="K176" t="s">
        <v>99</v>
      </c>
      <c r="L176">
        <v>15.2715059064485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76.645161290311293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0.63650406315589603</v>
      </c>
      <c r="AC176">
        <v>5018.8345379842403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60.808365238760203</v>
      </c>
    </row>
    <row r="177" spans="1:38" x14ac:dyDescent="0.35">
      <c r="A177" t="s">
        <v>124</v>
      </c>
      <c r="B177" t="s">
        <v>17</v>
      </c>
      <c r="C177">
        <v>2030</v>
      </c>
      <c r="D177" t="s">
        <v>98</v>
      </c>
      <c r="E177">
        <v>2019</v>
      </c>
      <c r="F177" t="s">
        <v>43</v>
      </c>
      <c r="G177" t="s">
        <v>35</v>
      </c>
      <c r="H177" t="s">
        <v>44</v>
      </c>
      <c r="I177">
        <v>0</v>
      </c>
      <c r="J177">
        <v>0</v>
      </c>
      <c r="K177" t="s">
        <v>99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27</v>
      </c>
      <c r="AC177" t="s">
        <v>27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60.808365238760203</v>
      </c>
    </row>
    <row r="178" spans="1:38" x14ac:dyDescent="0.35">
      <c r="A178" t="s">
        <v>124</v>
      </c>
      <c r="B178" t="s">
        <v>18</v>
      </c>
      <c r="C178">
        <v>2030</v>
      </c>
      <c r="D178" t="s">
        <v>98</v>
      </c>
      <c r="E178">
        <v>2019</v>
      </c>
      <c r="F178" t="s">
        <v>43</v>
      </c>
      <c r="G178" t="s">
        <v>35</v>
      </c>
      <c r="H178" t="s">
        <v>44</v>
      </c>
      <c r="I178">
        <v>0</v>
      </c>
      <c r="J178">
        <v>0</v>
      </c>
      <c r="K178" t="s">
        <v>99</v>
      </c>
      <c r="L178">
        <v>98.543935864048706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435.11537008300797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0.55998039543489997</v>
      </c>
      <c r="AC178">
        <v>4415.4454180041803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60.808365238760203</v>
      </c>
    </row>
    <row r="179" spans="1:38" x14ac:dyDescent="0.35">
      <c r="A179" t="s">
        <v>124</v>
      </c>
      <c r="B179" t="s">
        <v>19</v>
      </c>
      <c r="C179">
        <v>2030</v>
      </c>
      <c r="D179" t="s">
        <v>98</v>
      </c>
      <c r="E179">
        <v>2019</v>
      </c>
      <c r="F179" t="s">
        <v>43</v>
      </c>
      <c r="G179" t="s">
        <v>35</v>
      </c>
      <c r="H179" t="s">
        <v>44</v>
      </c>
      <c r="I179">
        <v>0</v>
      </c>
      <c r="J179">
        <v>0</v>
      </c>
      <c r="K179" t="s">
        <v>99</v>
      </c>
      <c r="L179">
        <v>134.72532457805099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594.872317097277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0.55998039543489997</v>
      </c>
      <c r="AC179">
        <v>4415.4454180041803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60.808365238760203</v>
      </c>
    </row>
    <row r="180" spans="1:38" x14ac:dyDescent="0.35">
      <c r="A180" t="s">
        <v>124</v>
      </c>
      <c r="B180" t="s">
        <v>55</v>
      </c>
      <c r="C180">
        <v>2030</v>
      </c>
      <c r="D180" t="s">
        <v>98</v>
      </c>
      <c r="E180">
        <v>2019</v>
      </c>
      <c r="F180" t="s">
        <v>43</v>
      </c>
      <c r="G180" t="s">
        <v>35</v>
      </c>
      <c r="H180" t="s">
        <v>44</v>
      </c>
      <c r="I180">
        <v>0</v>
      </c>
      <c r="J180">
        <v>0</v>
      </c>
      <c r="K180" t="s">
        <v>99</v>
      </c>
      <c r="L180">
        <v>947.57295481994595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20.275399132918601</v>
      </c>
      <c r="V180">
        <v>0</v>
      </c>
      <c r="W180">
        <v>19.0588751849434</v>
      </c>
      <c r="X180">
        <v>0</v>
      </c>
      <c r="Y180">
        <v>0</v>
      </c>
      <c r="Z180">
        <v>0</v>
      </c>
      <c r="AA180">
        <v>0</v>
      </c>
      <c r="AB180">
        <v>2.7136576552761701E-3</v>
      </c>
      <c r="AC180">
        <v>21.397190611852601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60.808365238760203</v>
      </c>
    </row>
    <row r="181" spans="1:38" x14ac:dyDescent="0.35">
      <c r="A181" t="s">
        <v>124</v>
      </c>
      <c r="B181" t="s">
        <v>56</v>
      </c>
      <c r="C181">
        <v>2030</v>
      </c>
      <c r="D181" t="s">
        <v>98</v>
      </c>
      <c r="E181">
        <v>2019</v>
      </c>
      <c r="F181" t="s">
        <v>43</v>
      </c>
      <c r="G181" t="s">
        <v>35</v>
      </c>
      <c r="H181" t="s">
        <v>44</v>
      </c>
      <c r="I181">
        <v>0</v>
      </c>
      <c r="J181">
        <v>0</v>
      </c>
      <c r="K181" t="s">
        <v>99</v>
      </c>
      <c r="L181">
        <v>962.844460726394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20.261756673583601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2.66881986536533E-3</v>
      </c>
      <c r="AC181">
        <v>21.043644638405599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60.808365238760203</v>
      </c>
    </row>
    <row r="182" spans="1:38" x14ac:dyDescent="0.35">
      <c r="A182" t="s">
        <v>124</v>
      </c>
      <c r="B182" t="s">
        <v>57</v>
      </c>
      <c r="C182">
        <v>2030</v>
      </c>
      <c r="D182" t="s">
        <v>98</v>
      </c>
      <c r="E182">
        <v>2019</v>
      </c>
      <c r="F182" t="s">
        <v>43</v>
      </c>
      <c r="G182" t="s">
        <v>35</v>
      </c>
      <c r="H182" t="s">
        <v>44</v>
      </c>
      <c r="I182">
        <v>0</v>
      </c>
      <c r="J182">
        <v>0</v>
      </c>
      <c r="K182" t="s">
        <v>99</v>
      </c>
      <c r="L182">
        <v>151.58288150016901</v>
      </c>
      <c r="M182">
        <v>37.895720375042302</v>
      </c>
      <c r="N182">
        <v>3.0977044955493298</v>
      </c>
      <c r="O182">
        <v>1.13687161125127</v>
      </c>
      <c r="P182">
        <v>0</v>
      </c>
      <c r="Q182">
        <v>0</v>
      </c>
      <c r="R182">
        <v>0</v>
      </c>
      <c r="S182">
        <v>0</v>
      </c>
      <c r="T182">
        <v>4.2345761068006</v>
      </c>
      <c r="U182">
        <v>666.067955203677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6.35757368856712E-3</v>
      </c>
      <c r="AB182">
        <v>0.55727130881630205</v>
      </c>
      <c r="AC182">
        <v>4394.0842700165404</v>
      </c>
      <c r="AD182">
        <v>0.62949208780395804</v>
      </c>
      <c r="AE182">
        <v>0</v>
      </c>
      <c r="AF182">
        <v>0.62949208780395804</v>
      </c>
      <c r="AG182" s="13">
        <v>7.9481324217672194E-5</v>
      </c>
      <c r="AH182">
        <v>0</v>
      </c>
      <c r="AI182">
        <v>0.15158288150016899</v>
      </c>
      <c r="AJ182" s="13">
        <v>1.9139252714668E-5</v>
      </c>
      <c r="AK182">
        <v>0</v>
      </c>
      <c r="AL182">
        <v>60.808365238760203</v>
      </c>
    </row>
    <row r="183" spans="1:38" x14ac:dyDescent="0.35">
      <c r="A183" t="s">
        <v>124</v>
      </c>
      <c r="B183" t="s">
        <v>126</v>
      </c>
      <c r="C183">
        <v>2030</v>
      </c>
      <c r="D183" t="s">
        <v>98</v>
      </c>
      <c r="E183">
        <v>2019</v>
      </c>
      <c r="F183" t="s">
        <v>43</v>
      </c>
      <c r="G183" t="s">
        <v>35</v>
      </c>
      <c r="H183" t="s">
        <v>44</v>
      </c>
      <c r="I183">
        <v>0</v>
      </c>
      <c r="J183">
        <v>0</v>
      </c>
      <c r="K183" t="s">
        <v>99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27</v>
      </c>
      <c r="AC183" t="s">
        <v>27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60.808365238760203</v>
      </c>
    </row>
    <row r="184" spans="1:38" x14ac:dyDescent="0.35">
      <c r="A184" t="s">
        <v>124</v>
      </c>
      <c r="B184" t="s">
        <v>127</v>
      </c>
      <c r="C184">
        <v>2030</v>
      </c>
      <c r="D184" t="s">
        <v>98</v>
      </c>
      <c r="E184">
        <v>2019</v>
      </c>
      <c r="F184" t="s">
        <v>43</v>
      </c>
      <c r="G184" t="s">
        <v>35</v>
      </c>
      <c r="H184" t="s">
        <v>44</v>
      </c>
      <c r="I184">
        <v>0</v>
      </c>
      <c r="J184">
        <v>0</v>
      </c>
      <c r="K184" t="s">
        <v>99</v>
      </c>
      <c r="L184">
        <v>977.78667610196896</v>
      </c>
      <c r="M184">
        <v>2245.6004178467902</v>
      </c>
      <c r="N184">
        <v>199.470921530716</v>
      </c>
      <c r="O184">
        <v>36.760582233907897</v>
      </c>
      <c r="P184">
        <v>11.468962090876399</v>
      </c>
      <c r="Q184">
        <v>0</v>
      </c>
      <c r="R184">
        <v>0</v>
      </c>
      <c r="S184">
        <v>0</v>
      </c>
      <c r="T184">
        <v>247.70046585550099</v>
      </c>
      <c r="U184">
        <v>4073.4603682062598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6.0808365238760202E-2</v>
      </c>
      <c r="AB184">
        <v>0.52834509828787701</v>
      </c>
      <c r="AC184">
        <v>4166.0010999999104</v>
      </c>
      <c r="AD184">
        <v>34911.394154749498</v>
      </c>
      <c r="AE184">
        <v>0</v>
      </c>
      <c r="AF184">
        <v>34911.394154749498</v>
      </c>
      <c r="AG184">
        <v>4.4080043124684103</v>
      </c>
      <c r="AH184">
        <v>0</v>
      </c>
      <c r="AI184">
        <v>168.140196822494</v>
      </c>
      <c r="AJ184">
        <v>2.12298228311232E-2</v>
      </c>
      <c r="AK184">
        <v>0</v>
      </c>
      <c r="AL184">
        <v>60.808365238760203</v>
      </c>
    </row>
    <row r="185" spans="1:38" x14ac:dyDescent="0.35">
      <c r="A185" t="s">
        <v>124</v>
      </c>
      <c r="B185" t="s">
        <v>128</v>
      </c>
      <c r="C185">
        <v>2030</v>
      </c>
      <c r="D185" t="s">
        <v>98</v>
      </c>
      <c r="E185">
        <v>2019</v>
      </c>
      <c r="F185" t="s">
        <v>43</v>
      </c>
      <c r="G185" t="s">
        <v>35</v>
      </c>
      <c r="H185" t="s">
        <v>44</v>
      </c>
      <c r="I185">
        <v>0</v>
      </c>
      <c r="J185">
        <v>0</v>
      </c>
      <c r="K185" t="s">
        <v>99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27</v>
      </c>
      <c r="AC185" t="s">
        <v>27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60.808365238760203</v>
      </c>
    </row>
    <row r="186" spans="1:38" x14ac:dyDescent="0.35">
      <c r="A186" t="s">
        <v>124</v>
      </c>
      <c r="B186" t="s">
        <v>129</v>
      </c>
      <c r="C186">
        <v>2030</v>
      </c>
      <c r="D186" t="s">
        <v>98</v>
      </c>
      <c r="E186">
        <v>2019</v>
      </c>
      <c r="F186" t="s">
        <v>43</v>
      </c>
      <c r="G186" t="s">
        <v>35</v>
      </c>
      <c r="H186" t="s">
        <v>44</v>
      </c>
      <c r="I186">
        <v>0</v>
      </c>
      <c r="J186">
        <v>0</v>
      </c>
      <c r="K186" t="s">
        <v>99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27</v>
      </c>
      <c r="AC186" t="s">
        <v>27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60.808365238760203</v>
      </c>
    </row>
    <row r="187" spans="1:38" x14ac:dyDescent="0.35">
      <c r="A187" t="s">
        <v>124</v>
      </c>
      <c r="B187" t="s">
        <v>20</v>
      </c>
      <c r="C187">
        <v>2030</v>
      </c>
      <c r="D187" t="s">
        <v>98</v>
      </c>
      <c r="E187">
        <v>2019</v>
      </c>
      <c r="F187" t="s">
        <v>43</v>
      </c>
      <c r="G187" t="s">
        <v>35</v>
      </c>
      <c r="H187" t="s">
        <v>44</v>
      </c>
      <c r="I187">
        <v>0</v>
      </c>
      <c r="J187">
        <v>0</v>
      </c>
      <c r="K187" t="s">
        <v>99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27</v>
      </c>
      <c r="AC187" t="s">
        <v>27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60.808365238760203</v>
      </c>
    </row>
    <row r="188" spans="1:38" x14ac:dyDescent="0.35">
      <c r="A188" t="s">
        <v>124</v>
      </c>
      <c r="B188" t="s">
        <v>21</v>
      </c>
      <c r="C188">
        <v>2030</v>
      </c>
      <c r="D188" t="s">
        <v>98</v>
      </c>
      <c r="E188">
        <v>2019</v>
      </c>
      <c r="F188" t="s">
        <v>43</v>
      </c>
      <c r="G188" t="s">
        <v>35</v>
      </c>
      <c r="H188" t="s">
        <v>44</v>
      </c>
      <c r="I188">
        <v>0</v>
      </c>
      <c r="J188">
        <v>0</v>
      </c>
      <c r="K188" t="s">
        <v>99</v>
      </c>
      <c r="L188">
        <v>890.71857753074903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42.216611050744497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6.0109229241488201E-3</v>
      </c>
      <c r="AC188">
        <v>47.396127256913402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60.808365238760203</v>
      </c>
    </row>
    <row r="189" spans="1:38" x14ac:dyDescent="0.35">
      <c r="A189" t="s">
        <v>124</v>
      </c>
      <c r="B189" t="s">
        <v>22</v>
      </c>
      <c r="C189">
        <v>2030</v>
      </c>
      <c r="D189" t="s">
        <v>98</v>
      </c>
      <c r="E189">
        <v>2019</v>
      </c>
      <c r="F189" t="s">
        <v>43</v>
      </c>
      <c r="G189" t="s">
        <v>35</v>
      </c>
      <c r="H189" t="s">
        <v>44</v>
      </c>
      <c r="I189">
        <v>0</v>
      </c>
      <c r="J189">
        <v>0</v>
      </c>
      <c r="K189" t="s">
        <v>99</v>
      </c>
      <c r="L189">
        <v>53.497478058152097</v>
      </c>
      <c r="M189">
        <v>0</v>
      </c>
      <c r="N189">
        <v>0</v>
      </c>
      <c r="O189">
        <v>0</v>
      </c>
      <c r="P189">
        <v>1.51573872987101E-2</v>
      </c>
      <c r="Q189">
        <v>0</v>
      </c>
      <c r="R189">
        <v>0</v>
      </c>
      <c r="S189">
        <v>0</v>
      </c>
      <c r="T189">
        <v>1.51573872987101E-2</v>
      </c>
      <c r="U189">
        <v>8.0752315629279199</v>
      </c>
      <c r="V189">
        <v>0</v>
      </c>
      <c r="W189">
        <v>0.40376157814639602</v>
      </c>
      <c r="X189">
        <v>0</v>
      </c>
      <c r="Y189">
        <v>0</v>
      </c>
      <c r="Z189">
        <v>0</v>
      </c>
      <c r="AA189">
        <v>1.8770219999999999E-3</v>
      </c>
      <c r="AB189">
        <v>1.9143439845016399E-2</v>
      </c>
      <c r="AC189">
        <v>150.946023177954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60.808365238760203</v>
      </c>
    </row>
    <row r="190" spans="1:38" x14ac:dyDescent="0.35">
      <c r="A190" t="s">
        <v>124</v>
      </c>
      <c r="B190" t="s">
        <v>23</v>
      </c>
      <c r="C190">
        <v>2030</v>
      </c>
      <c r="D190" t="s">
        <v>98</v>
      </c>
      <c r="E190">
        <v>2019</v>
      </c>
      <c r="F190" t="s">
        <v>43</v>
      </c>
      <c r="G190" t="s">
        <v>35</v>
      </c>
      <c r="H190" t="s">
        <v>44</v>
      </c>
      <c r="I190">
        <v>0</v>
      </c>
      <c r="J190">
        <v>0</v>
      </c>
      <c r="K190" t="s">
        <v>99</v>
      </c>
      <c r="L190">
        <v>72.121986174380297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8.0752315629279305</v>
      </c>
      <c r="V190">
        <v>0</v>
      </c>
      <c r="W190">
        <v>0.40376157814639901</v>
      </c>
      <c r="X190">
        <v>0</v>
      </c>
      <c r="Y190">
        <v>0</v>
      </c>
      <c r="Z190">
        <v>0</v>
      </c>
      <c r="AA190">
        <v>0</v>
      </c>
      <c r="AB190">
        <v>1.4199910559730499E-2</v>
      </c>
      <c r="AC190">
        <v>111.96629476347501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60.808365238760203</v>
      </c>
    </row>
    <row r="191" spans="1:38" x14ac:dyDescent="0.35">
      <c r="A191" t="s">
        <v>124</v>
      </c>
      <c r="B191" t="s">
        <v>5</v>
      </c>
      <c r="C191">
        <v>2030</v>
      </c>
      <c r="D191" t="s">
        <v>98</v>
      </c>
      <c r="E191">
        <v>2019</v>
      </c>
      <c r="F191" t="s">
        <v>43</v>
      </c>
      <c r="G191" t="s">
        <v>35</v>
      </c>
      <c r="H191" t="s">
        <v>44</v>
      </c>
      <c r="I191">
        <v>0</v>
      </c>
      <c r="J191">
        <v>0</v>
      </c>
      <c r="K191" t="s">
        <v>99</v>
      </c>
      <c r="L191">
        <v>72.121986174380297</v>
      </c>
      <c r="M191">
        <v>12.9819575113884</v>
      </c>
      <c r="N191">
        <v>1.3222410473832</v>
      </c>
      <c r="O191">
        <v>0.194729362670826</v>
      </c>
      <c r="P191">
        <v>0</v>
      </c>
      <c r="Q191">
        <v>0</v>
      </c>
      <c r="R191">
        <v>0</v>
      </c>
      <c r="S191">
        <v>0</v>
      </c>
      <c r="T191">
        <v>1.51697041005403</v>
      </c>
      <c r="U191">
        <v>288.754681116759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5.2534920098512104E-3</v>
      </c>
      <c r="AB191">
        <v>0.50776137050797199</v>
      </c>
      <c r="AC191">
        <v>4003.6984064553499</v>
      </c>
      <c r="AD191">
        <v>75.661569960755799</v>
      </c>
      <c r="AE191">
        <v>0</v>
      </c>
      <c r="AF191">
        <v>75.661569960755799</v>
      </c>
      <c r="AG191">
        <v>9.5532285303985501E-3</v>
      </c>
      <c r="AH191">
        <v>0</v>
      </c>
      <c r="AI191">
        <v>1.2501144270225899E-3</v>
      </c>
      <c r="AJ191" s="13">
        <v>1.57842730684672E-7</v>
      </c>
      <c r="AK191">
        <v>0</v>
      </c>
      <c r="AL191">
        <v>60.808365238760203</v>
      </c>
    </row>
    <row r="192" spans="1:38" x14ac:dyDescent="0.35">
      <c r="A192" t="s">
        <v>124</v>
      </c>
      <c r="B192" t="s">
        <v>42</v>
      </c>
      <c r="C192">
        <v>2030</v>
      </c>
      <c r="D192" t="s">
        <v>98</v>
      </c>
      <c r="E192">
        <v>2020</v>
      </c>
      <c r="F192" t="s">
        <v>43</v>
      </c>
      <c r="G192" t="s">
        <v>35</v>
      </c>
      <c r="H192" t="s">
        <v>44</v>
      </c>
      <c r="I192">
        <v>0</v>
      </c>
      <c r="J192">
        <v>0</v>
      </c>
      <c r="K192" t="s">
        <v>99</v>
      </c>
      <c r="L192">
        <v>88.022694697406195</v>
      </c>
      <c r="M192">
        <v>586.42127570527202</v>
      </c>
      <c r="N192">
        <v>51.895688115510801</v>
      </c>
      <c r="O192">
        <v>23.456851028210799</v>
      </c>
      <c r="P192">
        <v>0</v>
      </c>
      <c r="Q192">
        <v>0</v>
      </c>
      <c r="R192">
        <v>0</v>
      </c>
      <c r="S192">
        <v>0</v>
      </c>
      <c r="T192">
        <v>75.3525391437216</v>
      </c>
      <c r="U192">
        <v>425.80645161290403</v>
      </c>
      <c r="V192">
        <v>0</v>
      </c>
      <c r="W192">
        <v>191.612903225812</v>
      </c>
      <c r="X192">
        <v>1.0966218470429701</v>
      </c>
      <c r="Y192">
        <v>58.958163819514503</v>
      </c>
      <c r="Z192">
        <v>212.24938975025199</v>
      </c>
      <c r="AA192">
        <v>0.176964296473891</v>
      </c>
      <c r="AB192">
        <v>0.61350185460571705</v>
      </c>
      <c r="AC192">
        <v>4837.4621235660798</v>
      </c>
      <c r="AD192">
        <v>1333.5658804295001</v>
      </c>
      <c r="AE192">
        <v>0</v>
      </c>
      <c r="AF192">
        <v>1333.5658804295001</v>
      </c>
      <c r="AG192">
        <v>0.168379530357259</v>
      </c>
      <c r="AH192">
        <v>4.7914137717091796</v>
      </c>
      <c r="AI192">
        <v>0</v>
      </c>
      <c r="AJ192">
        <v>0</v>
      </c>
      <c r="AK192">
        <v>2.1319642438067499E-2</v>
      </c>
      <c r="AL192">
        <v>61.262137202553099</v>
      </c>
    </row>
    <row r="193" spans="1:38" x14ac:dyDescent="0.35">
      <c r="A193" t="s">
        <v>124</v>
      </c>
      <c r="B193" t="s">
        <v>125</v>
      </c>
      <c r="C193">
        <v>2030</v>
      </c>
      <c r="D193" t="s">
        <v>98</v>
      </c>
      <c r="E193">
        <v>2020</v>
      </c>
      <c r="F193" t="s">
        <v>43</v>
      </c>
      <c r="G193" t="s">
        <v>35</v>
      </c>
      <c r="H193" t="s">
        <v>44</v>
      </c>
      <c r="I193">
        <v>0</v>
      </c>
      <c r="J193">
        <v>0</v>
      </c>
      <c r="K193" t="s">
        <v>99</v>
      </c>
      <c r="L193">
        <v>195.620209708255</v>
      </c>
      <c r="M193">
        <v>23.6687073324645</v>
      </c>
      <c r="N193">
        <v>2.7652043068756602</v>
      </c>
      <c r="O193">
        <v>0.71006121997393501</v>
      </c>
      <c r="P193">
        <v>0</v>
      </c>
      <c r="Q193">
        <v>0</v>
      </c>
      <c r="R193">
        <v>0</v>
      </c>
      <c r="S193">
        <v>5.60562870067675E-2</v>
      </c>
      <c r="T193">
        <v>3.53132181385637</v>
      </c>
      <c r="U193">
        <v>862.40441548869399</v>
      </c>
      <c r="V193">
        <v>0</v>
      </c>
      <c r="W193">
        <v>2.1560110387217701</v>
      </c>
      <c r="X193">
        <v>0</v>
      </c>
      <c r="Y193">
        <v>0</v>
      </c>
      <c r="Z193">
        <v>0</v>
      </c>
      <c r="AA193">
        <v>4.0947399508098397E-3</v>
      </c>
      <c r="AB193">
        <v>0.55910780329951104</v>
      </c>
      <c r="AC193">
        <v>4408.5650290166404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61.262137202553099</v>
      </c>
    </row>
    <row r="194" spans="1:38" x14ac:dyDescent="0.35">
      <c r="A194" t="s">
        <v>124</v>
      </c>
      <c r="B194" t="s">
        <v>36</v>
      </c>
      <c r="C194">
        <v>2030</v>
      </c>
      <c r="D194" t="s">
        <v>98</v>
      </c>
      <c r="E194">
        <v>2020</v>
      </c>
      <c r="F194" t="s">
        <v>43</v>
      </c>
      <c r="G194" t="s">
        <v>35</v>
      </c>
      <c r="H194" t="s">
        <v>44</v>
      </c>
      <c r="I194">
        <v>0</v>
      </c>
      <c r="J194">
        <v>0</v>
      </c>
      <c r="K194" t="s">
        <v>99</v>
      </c>
      <c r="L194">
        <v>17.388463085178198</v>
      </c>
      <c r="M194">
        <v>692.75636931350198</v>
      </c>
      <c r="N194">
        <v>61.3058733905754</v>
      </c>
      <c r="O194">
        <v>69.275636931350206</v>
      </c>
      <c r="P194">
        <v>0</v>
      </c>
      <c r="Q194">
        <v>0</v>
      </c>
      <c r="R194">
        <v>0</v>
      </c>
      <c r="S194">
        <v>0</v>
      </c>
      <c r="T194">
        <v>130.58151032192501</v>
      </c>
      <c r="U194">
        <v>76.658170265660004</v>
      </c>
      <c r="V194">
        <v>0</v>
      </c>
      <c r="W194">
        <v>3817.57687922993</v>
      </c>
      <c r="X194">
        <v>0</v>
      </c>
      <c r="Y194">
        <v>0</v>
      </c>
      <c r="Z194">
        <v>0</v>
      </c>
      <c r="AA194">
        <v>1.7034258692764599</v>
      </c>
      <c r="AB194">
        <v>0.55910780329951104</v>
      </c>
      <c r="AC194">
        <v>4408.5650290166404</v>
      </c>
      <c r="AD194">
        <v>1338.58993869851</v>
      </c>
      <c r="AE194">
        <v>0</v>
      </c>
      <c r="AF194">
        <v>1338.58993869851</v>
      </c>
      <c r="AG194">
        <v>0.169013881148801</v>
      </c>
      <c r="AH194">
        <v>0</v>
      </c>
      <c r="AI194">
        <v>8.2247430392893197E-3</v>
      </c>
      <c r="AJ194" s="13">
        <v>1.03847765647592E-6</v>
      </c>
      <c r="AK194">
        <v>0</v>
      </c>
      <c r="AL194">
        <v>61.262137202553099</v>
      </c>
    </row>
    <row r="195" spans="1:38" x14ac:dyDescent="0.35">
      <c r="A195" t="s">
        <v>124</v>
      </c>
      <c r="B195" t="s">
        <v>45</v>
      </c>
      <c r="C195">
        <v>2030</v>
      </c>
      <c r="D195" t="s">
        <v>98</v>
      </c>
      <c r="E195">
        <v>2020</v>
      </c>
      <c r="F195" t="s">
        <v>43</v>
      </c>
      <c r="G195" t="s">
        <v>35</v>
      </c>
      <c r="H195" t="s">
        <v>44</v>
      </c>
      <c r="I195">
        <v>0</v>
      </c>
      <c r="J195">
        <v>0</v>
      </c>
      <c r="K195" t="s">
        <v>99</v>
      </c>
      <c r="L195">
        <v>15.844085045533101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76.645161290323998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0.61350185460571705</v>
      </c>
      <c r="AC195">
        <v>4837.4621235660798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61.262137202553099</v>
      </c>
    </row>
    <row r="196" spans="1:38" x14ac:dyDescent="0.35">
      <c r="A196" t="s">
        <v>124</v>
      </c>
      <c r="B196" t="s">
        <v>17</v>
      </c>
      <c r="C196">
        <v>2030</v>
      </c>
      <c r="D196" t="s">
        <v>98</v>
      </c>
      <c r="E196">
        <v>2020</v>
      </c>
      <c r="F196" t="s">
        <v>43</v>
      </c>
      <c r="G196" t="s">
        <v>35</v>
      </c>
      <c r="H196" t="s">
        <v>44</v>
      </c>
      <c r="I196">
        <v>0</v>
      </c>
      <c r="J196">
        <v>0</v>
      </c>
      <c r="K196" t="s">
        <v>99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27</v>
      </c>
      <c r="AC196" t="s">
        <v>27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61.262137202553099</v>
      </c>
    </row>
    <row r="197" spans="1:38" x14ac:dyDescent="0.35">
      <c r="A197" t="s">
        <v>124</v>
      </c>
      <c r="B197" t="s">
        <v>18</v>
      </c>
      <c r="C197">
        <v>2030</v>
      </c>
      <c r="D197" t="s">
        <v>98</v>
      </c>
      <c r="E197">
        <v>2020</v>
      </c>
      <c r="F197" t="s">
        <v>43</v>
      </c>
      <c r="G197" t="s">
        <v>35</v>
      </c>
      <c r="H197" t="s">
        <v>44</v>
      </c>
      <c r="I197">
        <v>0</v>
      </c>
      <c r="J197">
        <v>0</v>
      </c>
      <c r="K197" t="s">
        <v>99</v>
      </c>
      <c r="L197">
        <v>98.696916471471795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435.11177442791899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0.55910780329951104</v>
      </c>
      <c r="AC197">
        <v>4408.5650290166404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61.262137202553099</v>
      </c>
    </row>
    <row r="198" spans="1:38" x14ac:dyDescent="0.35">
      <c r="A198" t="s">
        <v>124</v>
      </c>
      <c r="B198" t="s">
        <v>19</v>
      </c>
      <c r="C198">
        <v>2030</v>
      </c>
      <c r="D198" t="s">
        <v>98</v>
      </c>
      <c r="E198">
        <v>2020</v>
      </c>
      <c r="F198" t="s">
        <v>43</v>
      </c>
      <c r="G198" t="s">
        <v>35</v>
      </c>
      <c r="H198" t="s">
        <v>44</v>
      </c>
      <c r="I198">
        <v>0</v>
      </c>
      <c r="J198">
        <v>0</v>
      </c>
      <c r="K198" t="s">
        <v>99</v>
      </c>
      <c r="L198">
        <v>134.93447354098299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594.86740126153802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0.55910780329951104</v>
      </c>
      <c r="AC198">
        <v>4408.5650290166404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61.262137202553099</v>
      </c>
    </row>
    <row r="199" spans="1:38" x14ac:dyDescent="0.35">
      <c r="A199" t="s">
        <v>124</v>
      </c>
      <c r="B199" t="s">
        <v>55</v>
      </c>
      <c r="C199">
        <v>2030</v>
      </c>
      <c r="D199" t="s">
        <v>98</v>
      </c>
      <c r="E199">
        <v>2020</v>
      </c>
      <c r="F199" t="s">
        <v>43</v>
      </c>
      <c r="G199" t="s">
        <v>35</v>
      </c>
      <c r="H199" t="s">
        <v>44</v>
      </c>
      <c r="I199">
        <v>0</v>
      </c>
      <c r="J199">
        <v>0</v>
      </c>
      <c r="K199" t="s">
        <v>99</v>
      </c>
      <c r="L199">
        <v>445.55167788966298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18.225236800587599</v>
      </c>
      <c r="V199">
        <v>0</v>
      </c>
      <c r="W199">
        <v>17.131722592552201</v>
      </c>
      <c r="X199">
        <v>0</v>
      </c>
      <c r="Y199">
        <v>0</v>
      </c>
      <c r="Z199">
        <v>0</v>
      </c>
      <c r="AA199">
        <v>0</v>
      </c>
      <c r="AB199">
        <v>5.1876826242675802E-3</v>
      </c>
      <c r="AC199">
        <v>40.904877492349797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61.262137202553099</v>
      </c>
    </row>
    <row r="200" spans="1:38" x14ac:dyDescent="0.35">
      <c r="A200" t="s">
        <v>124</v>
      </c>
      <c r="B200" t="s">
        <v>56</v>
      </c>
      <c r="C200">
        <v>2030</v>
      </c>
      <c r="D200" t="s">
        <v>98</v>
      </c>
      <c r="E200">
        <v>2020</v>
      </c>
      <c r="F200" t="s">
        <v>43</v>
      </c>
      <c r="G200" t="s">
        <v>35</v>
      </c>
      <c r="H200" t="s">
        <v>44</v>
      </c>
      <c r="I200">
        <v>0</v>
      </c>
      <c r="J200">
        <v>0</v>
      </c>
      <c r="K200" t="s">
        <v>99</v>
      </c>
      <c r="L200">
        <v>451.89245789569799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18.2122278252467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5.1112401167597004E-3</v>
      </c>
      <c r="AC200">
        <v>40.302128320650198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61.262137202553099</v>
      </c>
    </row>
    <row r="201" spans="1:38" x14ac:dyDescent="0.35">
      <c r="A201" t="s">
        <v>124</v>
      </c>
      <c r="B201" t="s">
        <v>57</v>
      </c>
      <c r="C201">
        <v>2030</v>
      </c>
      <c r="D201" t="s">
        <v>98</v>
      </c>
      <c r="E201">
        <v>2020</v>
      </c>
      <c r="F201" t="s">
        <v>43</v>
      </c>
      <c r="G201" t="s">
        <v>35</v>
      </c>
      <c r="H201" t="s">
        <v>44</v>
      </c>
      <c r="I201">
        <v>0</v>
      </c>
      <c r="J201">
        <v>0</v>
      </c>
      <c r="K201" t="s">
        <v>99</v>
      </c>
      <c r="L201">
        <v>144.54417045528501</v>
      </c>
      <c r="M201">
        <v>36.136042613821303</v>
      </c>
      <c r="N201">
        <v>2.9538634059036899</v>
      </c>
      <c r="O201">
        <v>1.0840812784146301</v>
      </c>
      <c r="P201">
        <v>0</v>
      </c>
      <c r="Q201">
        <v>0</v>
      </c>
      <c r="R201">
        <v>0</v>
      </c>
      <c r="S201">
        <v>0</v>
      </c>
      <c r="T201">
        <v>4.0379446843183304</v>
      </c>
      <c r="U201">
        <v>578.46201210685501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6.9804837652371696E-3</v>
      </c>
      <c r="AB201">
        <v>0.50754267604883097</v>
      </c>
      <c r="AC201">
        <v>4001.9740006450302</v>
      </c>
      <c r="AD201">
        <v>0.60026178905754002</v>
      </c>
      <c r="AE201">
        <v>0</v>
      </c>
      <c r="AF201">
        <v>0.60026178905754002</v>
      </c>
      <c r="AG201" s="13">
        <v>7.5790629931507406E-5</v>
      </c>
      <c r="AH201">
        <v>0</v>
      </c>
      <c r="AI201">
        <v>0.144544170455285</v>
      </c>
      <c r="AJ201" s="13">
        <v>1.82505265726369E-5</v>
      </c>
      <c r="AK201">
        <v>0</v>
      </c>
      <c r="AL201">
        <v>61.262137202553099</v>
      </c>
    </row>
    <row r="202" spans="1:38" x14ac:dyDescent="0.35">
      <c r="A202" t="s">
        <v>124</v>
      </c>
      <c r="B202" t="s">
        <v>126</v>
      </c>
      <c r="C202">
        <v>2030</v>
      </c>
      <c r="D202" t="s">
        <v>98</v>
      </c>
      <c r="E202">
        <v>2020</v>
      </c>
      <c r="F202" t="s">
        <v>43</v>
      </c>
      <c r="G202" t="s">
        <v>35</v>
      </c>
      <c r="H202" t="s">
        <v>44</v>
      </c>
      <c r="I202">
        <v>0</v>
      </c>
      <c r="J202">
        <v>0</v>
      </c>
      <c r="K202" t="s">
        <v>99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27</v>
      </c>
      <c r="AC202" t="s">
        <v>27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61.262137202553099</v>
      </c>
    </row>
    <row r="203" spans="1:38" x14ac:dyDescent="0.35">
      <c r="A203" t="s">
        <v>124</v>
      </c>
      <c r="B203" t="s">
        <v>127</v>
      </c>
      <c r="C203">
        <v>2030</v>
      </c>
      <c r="D203" t="s">
        <v>98</v>
      </c>
      <c r="E203">
        <v>2020</v>
      </c>
      <c r="F203" t="s">
        <v>43</v>
      </c>
      <c r="G203" t="s">
        <v>35</v>
      </c>
      <c r="H203" t="s">
        <v>44</v>
      </c>
      <c r="I203">
        <v>0</v>
      </c>
      <c r="J203">
        <v>0</v>
      </c>
      <c r="K203" t="s">
        <v>99</v>
      </c>
      <c r="L203">
        <v>981.01122236987601</v>
      </c>
      <c r="M203">
        <v>2253.0059620452898</v>
      </c>
      <c r="N203">
        <v>200.128737014705</v>
      </c>
      <c r="O203">
        <v>36.881811333409402</v>
      </c>
      <c r="P203">
        <v>11.417447246542601</v>
      </c>
      <c r="Q203">
        <v>0</v>
      </c>
      <c r="R203">
        <v>0</v>
      </c>
      <c r="S203">
        <v>0</v>
      </c>
      <c r="T203">
        <v>248.42799559465701</v>
      </c>
      <c r="U203">
        <v>4055.16371022564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6.1262137202553101E-2</v>
      </c>
      <c r="AB203">
        <v>0.52424309448318496</v>
      </c>
      <c r="AC203">
        <v>4133.6567999999197</v>
      </c>
      <c r="AD203">
        <v>35026.524999217399</v>
      </c>
      <c r="AE203">
        <v>0</v>
      </c>
      <c r="AF203">
        <v>35026.524999217399</v>
      </c>
      <c r="AG203">
        <v>4.4225410352547101</v>
      </c>
      <c r="AH203">
        <v>0</v>
      </c>
      <c r="AI203">
        <v>168.694689798724</v>
      </c>
      <c r="AJ203">
        <v>2.1299834570545802E-2</v>
      </c>
      <c r="AK203">
        <v>0</v>
      </c>
      <c r="AL203">
        <v>61.262137202553099</v>
      </c>
    </row>
    <row r="204" spans="1:38" x14ac:dyDescent="0.35">
      <c r="A204" t="s">
        <v>124</v>
      </c>
      <c r="B204" t="s">
        <v>128</v>
      </c>
      <c r="C204">
        <v>2030</v>
      </c>
      <c r="D204" t="s">
        <v>98</v>
      </c>
      <c r="E204">
        <v>2020</v>
      </c>
      <c r="F204" t="s">
        <v>43</v>
      </c>
      <c r="G204" t="s">
        <v>35</v>
      </c>
      <c r="H204" t="s">
        <v>44</v>
      </c>
      <c r="I204">
        <v>0</v>
      </c>
      <c r="J204">
        <v>0</v>
      </c>
      <c r="K204" t="s">
        <v>99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27</v>
      </c>
      <c r="AC204" t="s">
        <v>27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61.262137202553099</v>
      </c>
    </row>
    <row r="205" spans="1:38" x14ac:dyDescent="0.35">
      <c r="A205" t="s">
        <v>124</v>
      </c>
      <c r="B205" t="s">
        <v>129</v>
      </c>
      <c r="C205">
        <v>2030</v>
      </c>
      <c r="D205" t="s">
        <v>98</v>
      </c>
      <c r="E205">
        <v>2020</v>
      </c>
      <c r="F205" t="s">
        <v>43</v>
      </c>
      <c r="G205" t="s">
        <v>35</v>
      </c>
      <c r="H205" t="s">
        <v>44</v>
      </c>
      <c r="I205">
        <v>0</v>
      </c>
      <c r="J205">
        <v>0</v>
      </c>
      <c r="K205" t="s">
        <v>99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27</v>
      </c>
      <c r="AC205" t="s">
        <v>27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61.262137202553099</v>
      </c>
    </row>
    <row r="206" spans="1:38" x14ac:dyDescent="0.35">
      <c r="A206" t="s">
        <v>124</v>
      </c>
      <c r="B206" t="s">
        <v>20</v>
      </c>
      <c r="C206">
        <v>2030</v>
      </c>
      <c r="D206" t="s">
        <v>98</v>
      </c>
      <c r="E206">
        <v>2020</v>
      </c>
      <c r="F206" t="s">
        <v>43</v>
      </c>
      <c r="G206" t="s">
        <v>35</v>
      </c>
      <c r="H206" t="s">
        <v>44</v>
      </c>
      <c r="I206">
        <v>0</v>
      </c>
      <c r="J206">
        <v>0</v>
      </c>
      <c r="K206" t="s">
        <v>99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27</v>
      </c>
      <c r="AC206" t="s">
        <v>27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61.262137202553099</v>
      </c>
    </row>
    <row r="207" spans="1:38" x14ac:dyDescent="0.35">
      <c r="A207" t="s">
        <v>124</v>
      </c>
      <c r="B207" t="s">
        <v>21</v>
      </c>
      <c r="C207">
        <v>2030</v>
      </c>
      <c r="D207" t="s">
        <v>98</v>
      </c>
      <c r="E207">
        <v>2020</v>
      </c>
      <c r="F207" t="s">
        <v>43</v>
      </c>
      <c r="G207" t="s">
        <v>35</v>
      </c>
      <c r="H207" t="s">
        <v>44</v>
      </c>
      <c r="I207">
        <v>0</v>
      </c>
      <c r="J207">
        <v>0</v>
      </c>
      <c r="K207" t="s">
        <v>99</v>
      </c>
      <c r="L207">
        <v>343.94361017327998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25.0487537431632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9.2362819108020994E-3</v>
      </c>
      <c r="AC207">
        <v>72.828082866674606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61.262137202553099</v>
      </c>
    </row>
    <row r="208" spans="1:38" x14ac:dyDescent="0.35">
      <c r="A208" t="s">
        <v>124</v>
      </c>
      <c r="B208" t="s">
        <v>22</v>
      </c>
      <c r="C208">
        <v>2030</v>
      </c>
      <c r="D208" t="s">
        <v>98</v>
      </c>
      <c r="E208">
        <v>2020</v>
      </c>
      <c r="F208" t="s">
        <v>43</v>
      </c>
      <c r="G208" t="s">
        <v>35</v>
      </c>
      <c r="H208" t="s">
        <v>44</v>
      </c>
      <c r="I208">
        <v>0</v>
      </c>
      <c r="J208">
        <v>0</v>
      </c>
      <c r="K208" t="s">
        <v>99</v>
      </c>
      <c r="L208">
        <v>63.051980497992702</v>
      </c>
      <c r="M208">
        <v>0</v>
      </c>
      <c r="N208">
        <v>0</v>
      </c>
      <c r="O208">
        <v>0</v>
      </c>
      <c r="P208">
        <v>3.0735116455527099E-2</v>
      </c>
      <c r="Q208">
        <v>0</v>
      </c>
      <c r="R208">
        <v>0</v>
      </c>
      <c r="S208">
        <v>0</v>
      </c>
      <c r="T208">
        <v>3.0735116455527099E-2</v>
      </c>
      <c r="U208">
        <v>16.374403952392299</v>
      </c>
      <c r="V208">
        <v>0</v>
      </c>
      <c r="W208">
        <v>0.81872019761960602</v>
      </c>
      <c r="X208">
        <v>0</v>
      </c>
      <c r="Y208">
        <v>0</v>
      </c>
      <c r="Z208">
        <v>0</v>
      </c>
      <c r="AA208">
        <v>1.8770219999999799E-3</v>
      </c>
      <c r="AB208">
        <v>3.2935561349435101E-2</v>
      </c>
      <c r="AC208">
        <v>259.69690124029501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61.262137202553099</v>
      </c>
    </row>
    <row r="209" spans="1:38" x14ac:dyDescent="0.35">
      <c r="A209" t="s">
        <v>124</v>
      </c>
      <c r="B209" t="s">
        <v>23</v>
      </c>
      <c r="C209">
        <v>2030</v>
      </c>
      <c r="D209" t="s">
        <v>98</v>
      </c>
      <c r="E209">
        <v>2020</v>
      </c>
      <c r="F209" t="s">
        <v>43</v>
      </c>
      <c r="G209" t="s">
        <v>35</v>
      </c>
      <c r="H209" t="s">
        <v>44</v>
      </c>
      <c r="I209">
        <v>0</v>
      </c>
      <c r="J209">
        <v>0</v>
      </c>
      <c r="K209" t="s">
        <v>99</v>
      </c>
      <c r="L209">
        <v>237.080612144556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16.374403952392299</v>
      </c>
      <c r="V209">
        <v>0</v>
      </c>
      <c r="W209">
        <v>0.818720197619622</v>
      </c>
      <c r="X209">
        <v>0</v>
      </c>
      <c r="Y209">
        <v>0</v>
      </c>
      <c r="Z209">
        <v>0</v>
      </c>
      <c r="AA209">
        <v>0</v>
      </c>
      <c r="AB209">
        <v>8.7592669561220894E-3</v>
      </c>
      <c r="AC209">
        <v>69.066819949022701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61.262137202553099</v>
      </c>
    </row>
    <row r="210" spans="1:38" x14ac:dyDescent="0.35">
      <c r="A210" t="s">
        <v>124</v>
      </c>
      <c r="B210" t="s">
        <v>5</v>
      </c>
      <c r="C210">
        <v>2030</v>
      </c>
      <c r="D210" t="s">
        <v>98</v>
      </c>
      <c r="E210">
        <v>2020</v>
      </c>
      <c r="F210" t="s">
        <v>43</v>
      </c>
      <c r="G210" t="s">
        <v>35</v>
      </c>
      <c r="H210" t="s">
        <v>44</v>
      </c>
      <c r="I210">
        <v>0</v>
      </c>
      <c r="J210">
        <v>0</v>
      </c>
      <c r="K210" t="s">
        <v>99</v>
      </c>
      <c r="L210">
        <v>237.080612144556</v>
      </c>
      <c r="M210">
        <v>42.6745101860201</v>
      </c>
      <c r="N210">
        <v>4.3464931228921904</v>
      </c>
      <c r="O210">
        <v>0.64011765279030197</v>
      </c>
      <c r="P210">
        <v>0</v>
      </c>
      <c r="Q210">
        <v>0</v>
      </c>
      <c r="R210">
        <v>0</v>
      </c>
      <c r="S210">
        <v>0</v>
      </c>
      <c r="T210">
        <v>4.9866107756824896</v>
      </c>
      <c r="U210">
        <v>877.09333714138404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5.6853821190055E-3</v>
      </c>
      <c r="AB210">
        <v>0.46918927295273999</v>
      </c>
      <c r="AC210">
        <v>3699.55741723235</v>
      </c>
      <c r="AD210">
        <v>248.715991802319</v>
      </c>
      <c r="AE210">
        <v>0</v>
      </c>
      <c r="AF210">
        <v>248.715991802319</v>
      </c>
      <c r="AG210">
        <v>3.1403534318474598E-2</v>
      </c>
      <c r="AH210">
        <v>0</v>
      </c>
      <c r="AI210">
        <v>4.1093972771723102E-3</v>
      </c>
      <c r="AJ210" s="13">
        <v>5.1886329257225996E-7</v>
      </c>
      <c r="AK210">
        <v>0</v>
      </c>
      <c r="AL210">
        <v>61.262137202553099</v>
      </c>
    </row>
    <row r="211" spans="1:38" x14ac:dyDescent="0.35">
      <c r="A211" t="s">
        <v>124</v>
      </c>
      <c r="B211" t="s">
        <v>42</v>
      </c>
      <c r="C211">
        <v>2030</v>
      </c>
      <c r="D211" t="s">
        <v>98</v>
      </c>
      <c r="E211">
        <v>2021</v>
      </c>
      <c r="F211" t="s">
        <v>43</v>
      </c>
      <c r="G211" t="s">
        <v>35</v>
      </c>
      <c r="H211" t="s">
        <v>44</v>
      </c>
      <c r="I211">
        <v>0</v>
      </c>
      <c r="J211">
        <v>0</v>
      </c>
      <c r="K211" t="s">
        <v>99</v>
      </c>
      <c r="L211">
        <v>75.460038673426297</v>
      </c>
      <c r="M211">
        <v>502.726851248554</v>
      </c>
      <c r="N211">
        <v>44.489101880402998</v>
      </c>
      <c r="O211">
        <v>20.109074049942102</v>
      </c>
      <c r="P211">
        <v>0</v>
      </c>
      <c r="Q211">
        <v>0</v>
      </c>
      <c r="R211">
        <v>0</v>
      </c>
      <c r="S211">
        <v>0</v>
      </c>
      <c r="T211">
        <v>64.598175930345107</v>
      </c>
      <c r="U211">
        <v>425.806451612898</v>
      </c>
      <c r="V211">
        <v>0</v>
      </c>
      <c r="W211">
        <v>191.612903225813</v>
      </c>
      <c r="X211">
        <v>1.1701761918042</v>
      </c>
      <c r="Y211">
        <v>62.912698484097199</v>
      </c>
      <c r="Z211">
        <v>226.48571454275</v>
      </c>
      <c r="AA211">
        <v>0.151707837412176</v>
      </c>
      <c r="AB211">
        <v>0.71563820259837196</v>
      </c>
      <c r="AC211">
        <v>5642.8072274881597</v>
      </c>
      <c r="AD211">
        <v>1143.2384938533</v>
      </c>
      <c r="AE211">
        <v>0</v>
      </c>
      <c r="AF211">
        <v>1143.2384938533</v>
      </c>
      <c r="AG211">
        <v>0.14434829467844901</v>
      </c>
      <c r="AH211">
        <v>5.16813183854884</v>
      </c>
      <c r="AI211">
        <v>0</v>
      </c>
      <c r="AJ211">
        <v>0</v>
      </c>
      <c r="AK211">
        <v>2.3288648194443901E-2</v>
      </c>
      <c r="AL211">
        <v>66.1278308839549</v>
      </c>
    </row>
    <row r="212" spans="1:38" x14ac:dyDescent="0.35">
      <c r="A212" t="s">
        <v>124</v>
      </c>
      <c r="B212" t="s">
        <v>125</v>
      </c>
      <c r="C212">
        <v>2030</v>
      </c>
      <c r="D212" t="s">
        <v>98</v>
      </c>
      <c r="E212">
        <v>2021</v>
      </c>
      <c r="F212" t="s">
        <v>43</v>
      </c>
      <c r="G212" t="s">
        <v>35</v>
      </c>
      <c r="H212" t="s">
        <v>44</v>
      </c>
      <c r="I212">
        <v>0</v>
      </c>
      <c r="J212">
        <v>0</v>
      </c>
      <c r="K212" t="s">
        <v>99</v>
      </c>
      <c r="L212">
        <v>215.12485472608799</v>
      </c>
      <c r="M212">
        <v>26.028635967850299</v>
      </c>
      <c r="N212">
        <v>3.0409136954292801</v>
      </c>
      <c r="O212">
        <v>0.78085907903551099</v>
      </c>
      <c r="P212">
        <v>0</v>
      </c>
      <c r="Q212">
        <v>0</v>
      </c>
      <c r="R212">
        <v>0</v>
      </c>
      <c r="S212">
        <v>5.6079287536539402E-2</v>
      </c>
      <c r="T212">
        <v>3.8778520620013301</v>
      </c>
      <c r="U212">
        <v>862.75826979289695</v>
      </c>
      <c r="V212">
        <v>0</v>
      </c>
      <c r="W212">
        <v>2.15689567448227</v>
      </c>
      <c r="X212">
        <v>0</v>
      </c>
      <c r="Y212">
        <v>0</v>
      </c>
      <c r="Z212">
        <v>0</v>
      </c>
      <c r="AA212">
        <v>4.4947144498912704E-3</v>
      </c>
      <c r="AB212">
        <v>0.50862399309302297</v>
      </c>
      <c r="AC212">
        <v>4010.5001855384899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66.1278308839549</v>
      </c>
    </row>
    <row r="213" spans="1:38" x14ac:dyDescent="0.35">
      <c r="A213" t="s">
        <v>124</v>
      </c>
      <c r="B213" t="s">
        <v>36</v>
      </c>
      <c r="C213">
        <v>2030</v>
      </c>
      <c r="D213" t="s">
        <v>98</v>
      </c>
      <c r="E213">
        <v>2021</v>
      </c>
      <c r="F213" t="s">
        <v>43</v>
      </c>
      <c r="G213" t="s">
        <v>35</v>
      </c>
      <c r="H213" t="s">
        <v>44</v>
      </c>
      <c r="I213">
        <v>0</v>
      </c>
      <c r="J213">
        <v>0</v>
      </c>
      <c r="K213" t="s">
        <v>99</v>
      </c>
      <c r="L213">
        <v>19.1222093089856</v>
      </c>
      <c r="M213">
        <v>761.82881886998803</v>
      </c>
      <c r="N213">
        <v>67.418479546016599</v>
      </c>
      <c r="O213">
        <v>76.1828818869988</v>
      </c>
      <c r="P213">
        <v>0</v>
      </c>
      <c r="Q213">
        <v>0</v>
      </c>
      <c r="R213">
        <v>0</v>
      </c>
      <c r="S213">
        <v>0</v>
      </c>
      <c r="T213">
        <v>143.601361433015</v>
      </c>
      <c r="U213">
        <v>76.689623981594707</v>
      </c>
      <c r="V213">
        <v>0</v>
      </c>
      <c r="W213">
        <v>3819.1432742829802</v>
      </c>
      <c r="X213">
        <v>0</v>
      </c>
      <c r="Y213">
        <v>0</v>
      </c>
      <c r="Z213">
        <v>0</v>
      </c>
      <c r="AA213">
        <v>1.8725005284610501</v>
      </c>
      <c r="AB213">
        <v>0.50862399309302297</v>
      </c>
      <c r="AC213">
        <v>4010.5001855384899</v>
      </c>
      <c r="AD213">
        <v>1472.05632040669</v>
      </c>
      <c r="AE213">
        <v>0</v>
      </c>
      <c r="AF213">
        <v>1472.05632040669</v>
      </c>
      <c r="AG213">
        <v>0.18586569702104999</v>
      </c>
      <c r="AH213">
        <v>0</v>
      </c>
      <c r="AI213">
        <v>9.0448050031502001E-3</v>
      </c>
      <c r="AJ213" s="13">
        <v>1.1420208337310899E-6</v>
      </c>
      <c r="AK213">
        <v>0</v>
      </c>
      <c r="AL213">
        <v>66.1278308839549</v>
      </c>
    </row>
    <row r="214" spans="1:38" x14ac:dyDescent="0.35">
      <c r="A214" t="s">
        <v>124</v>
      </c>
      <c r="B214" t="s">
        <v>45</v>
      </c>
      <c r="C214">
        <v>2030</v>
      </c>
      <c r="D214" t="s">
        <v>98</v>
      </c>
      <c r="E214">
        <v>2021</v>
      </c>
      <c r="F214" t="s">
        <v>43</v>
      </c>
      <c r="G214" t="s">
        <v>35</v>
      </c>
      <c r="H214" t="s">
        <v>44</v>
      </c>
      <c r="I214">
        <v>0</v>
      </c>
      <c r="J214">
        <v>0</v>
      </c>
      <c r="K214" t="s">
        <v>99</v>
      </c>
      <c r="L214">
        <v>13.582806961216701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76.645161290334002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0.71563820259837196</v>
      </c>
      <c r="AC214">
        <v>5642.8072274881597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66.1278308839549</v>
      </c>
    </row>
    <row r="215" spans="1:38" x14ac:dyDescent="0.35">
      <c r="A215" t="s">
        <v>124</v>
      </c>
      <c r="B215" t="s">
        <v>17</v>
      </c>
      <c r="C215">
        <v>2030</v>
      </c>
      <c r="D215" t="s">
        <v>98</v>
      </c>
      <c r="E215">
        <v>2021</v>
      </c>
      <c r="F215" t="s">
        <v>43</v>
      </c>
      <c r="G215" t="s">
        <v>35</v>
      </c>
      <c r="H215" t="s">
        <v>44</v>
      </c>
      <c r="I215">
        <v>0</v>
      </c>
      <c r="J215">
        <v>0</v>
      </c>
      <c r="K215" t="s">
        <v>99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27</v>
      </c>
      <c r="AC215" t="s">
        <v>27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66.1278308839549</v>
      </c>
    </row>
    <row r="216" spans="1:38" x14ac:dyDescent="0.35">
      <c r="A216" t="s">
        <v>124</v>
      </c>
      <c r="B216" t="s">
        <v>18</v>
      </c>
      <c r="C216">
        <v>2030</v>
      </c>
      <c r="D216" t="s">
        <v>98</v>
      </c>
      <c r="E216">
        <v>2021</v>
      </c>
      <c r="F216" t="s">
        <v>43</v>
      </c>
      <c r="G216" t="s">
        <v>35</v>
      </c>
      <c r="H216" t="s">
        <v>44</v>
      </c>
      <c r="I216">
        <v>0</v>
      </c>
      <c r="J216">
        <v>0</v>
      </c>
      <c r="K216" t="s">
        <v>99</v>
      </c>
      <c r="L216">
        <v>108.537660037802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435.29030571953399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0.50862399309302297</v>
      </c>
      <c r="AC216">
        <v>4010.5001855384899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66.1278308839549</v>
      </c>
    </row>
    <row r="217" spans="1:38" x14ac:dyDescent="0.35">
      <c r="A217" t="s">
        <v>124</v>
      </c>
      <c r="B217" t="s">
        <v>19</v>
      </c>
      <c r="C217">
        <v>2030</v>
      </c>
      <c r="D217" t="s">
        <v>98</v>
      </c>
      <c r="E217">
        <v>2021</v>
      </c>
      <c r="F217" t="s">
        <v>43</v>
      </c>
      <c r="G217" t="s">
        <v>35</v>
      </c>
      <c r="H217" t="s">
        <v>44</v>
      </c>
      <c r="I217">
        <v>0</v>
      </c>
      <c r="J217">
        <v>0</v>
      </c>
      <c r="K217" t="s">
        <v>99</v>
      </c>
      <c r="L217">
        <v>148.38834423772801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595.111482097156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0.50862399309302297</v>
      </c>
      <c r="AC217">
        <v>4010.5001855384899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66.1278308839549</v>
      </c>
    </row>
    <row r="218" spans="1:38" x14ac:dyDescent="0.35">
      <c r="A218" t="s">
        <v>124</v>
      </c>
      <c r="B218" t="s">
        <v>55</v>
      </c>
      <c r="C218">
        <v>2030</v>
      </c>
      <c r="D218" t="s">
        <v>98</v>
      </c>
      <c r="E218">
        <v>2021</v>
      </c>
      <c r="F218" t="s">
        <v>43</v>
      </c>
      <c r="G218" t="s">
        <v>35</v>
      </c>
      <c r="H218" t="s">
        <v>44</v>
      </c>
      <c r="I218">
        <v>0</v>
      </c>
      <c r="J218">
        <v>0</v>
      </c>
      <c r="K218" t="s">
        <v>99</v>
      </c>
      <c r="L218">
        <v>1044.9282044679501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33.360734229757398</v>
      </c>
      <c r="V218">
        <v>0</v>
      </c>
      <c r="W218">
        <v>31.3590901759706</v>
      </c>
      <c r="X218">
        <v>0</v>
      </c>
      <c r="Y218">
        <v>0</v>
      </c>
      <c r="Z218">
        <v>0</v>
      </c>
      <c r="AA218">
        <v>0</v>
      </c>
      <c r="AB218">
        <v>4.0489969627265096E-3</v>
      </c>
      <c r="AC218">
        <v>31.9263410510985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66.1278308839549</v>
      </c>
    </row>
    <row r="219" spans="1:38" x14ac:dyDescent="0.35">
      <c r="A219" t="s">
        <v>124</v>
      </c>
      <c r="B219" t="s">
        <v>56</v>
      </c>
      <c r="C219">
        <v>2030</v>
      </c>
      <c r="D219" t="s">
        <v>98</v>
      </c>
      <c r="E219">
        <v>2021</v>
      </c>
      <c r="F219" t="s">
        <v>43</v>
      </c>
      <c r="G219" t="s">
        <v>35</v>
      </c>
      <c r="H219" t="s">
        <v>44</v>
      </c>
      <c r="I219">
        <v>0</v>
      </c>
      <c r="J219">
        <v>0</v>
      </c>
      <c r="K219" t="s">
        <v>99</v>
      </c>
      <c r="L219">
        <v>1058.5110114291699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33.316271538494703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3.9917130620324903E-3</v>
      </c>
      <c r="AC219">
        <v>31.474657494126099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66.1278308839549</v>
      </c>
    </row>
    <row r="220" spans="1:38" x14ac:dyDescent="0.35">
      <c r="A220" t="s">
        <v>124</v>
      </c>
      <c r="B220" t="s">
        <v>57</v>
      </c>
      <c r="C220">
        <v>2030</v>
      </c>
      <c r="D220" t="s">
        <v>98</v>
      </c>
      <c r="E220">
        <v>2021</v>
      </c>
      <c r="F220" t="s">
        <v>43</v>
      </c>
      <c r="G220" t="s">
        <v>35</v>
      </c>
      <c r="H220" t="s">
        <v>44</v>
      </c>
      <c r="I220">
        <v>0</v>
      </c>
      <c r="J220">
        <v>0</v>
      </c>
      <c r="K220" t="s">
        <v>99</v>
      </c>
      <c r="L220">
        <v>494.029902908824</v>
      </c>
      <c r="M220">
        <v>123.507475727206</v>
      </c>
      <c r="N220">
        <v>10.0958540702681</v>
      </c>
      <c r="O220">
        <v>3.7052242718161801</v>
      </c>
      <c r="P220">
        <v>0</v>
      </c>
      <c r="Q220">
        <v>0</v>
      </c>
      <c r="R220">
        <v>0</v>
      </c>
      <c r="S220">
        <v>0</v>
      </c>
      <c r="T220">
        <v>13.801078342084301</v>
      </c>
      <c r="U220">
        <v>2186.54771923916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6.3118120956841403E-3</v>
      </c>
      <c r="AB220">
        <v>0.56131161013909603</v>
      </c>
      <c r="AC220">
        <v>4425.9420459467701</v>
      </c>
      <c r="AD220">
        <v>2.0516031358020799</v>
      </c>
      <c r="AE220">
        <v>0</v>
      </c>
      <c r="AF220">
        <v>2.0516031358020799</v>
      </c>
      <c r="AG220">
        <v>2.5904079997501298E-4</v>
      </c>
      <c r="AH220">
        <v>0</v>
      </c>
      <c r="AI220">
        <v>0.49402990290882398</v>
      </c>
      <c r="AJ220" s="13">
        <v>6.2377512993539103E-5</v>
      </c>
      <c r="AK220">
        <v>0</v>
      </c>
      <c r="AL220">
        <v>66.1278308839549</v>
      </c>
    </row>
    <row r="221" spans="1:38" x14ac:dyDescent="0.35">
      <c r="A221" t="s">
        <v>124</v>
      </c>
      <c r="B221" t="s">
        <v>126</v>
      </c>
      <c r="C221">
        <v>2030</v>
      </c>
      <c r="D221" t="s">
        <v>98</v>
      </c>
      <c r="E221">
        <v>2021</v>
      </c>
      <c r="F221" t="s">
        <v>43</v>
      </c>
      <c r="G221" t="s">
        <v>35</v>
      </c>
      <c r="H221" t="s">
        <v>44</v>
      </c>
      <c r="I221">
        <v>0</v>
      </c>
      <c r="J221">
        <v>0</v>
      </c>
      <c r="K221" t="s">
        <v>99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27</v>
      </c>
      <c r="AC221" t="s">
        <v>27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66.1278308839549</v>
      </c>
    </row>
    <row r="222" spans="1:38" x14ac:dyDescent="0.35">
      <c r="A222" t="s">
        <v>124</v>
      </c>
      <c r="B222" t="s">
        <v>127</v>
      </c>
      <c r="C222">
        <v>2030</v>
      </c>
      <c r="D222" t="s">
        <v>98</v>
      </c>
      <c r="E222">
        <v>2021</v>
      </c>
      <c r="F222" t="s">
        <v>43</v>
      </c>
      <c r="G222" t="s">
        <v>35</v>
      </c>
      <c r="H222" t="s">
        <v>44</v>
      </c>
      <c r="I222">
        <v>0</v>
      </c>
      <c r="J222">
        <v>0</v>
      </c>
      <c r="K222" t="s">
        <v>99</v>
      </c>
      <c r="L222">
        <v>1069.6731890557</v>
      </c>
      <c r="M222">
        <v>2456.62844361822</v>
      </c>
      <c r="N222">
        <v>218.21599943277499</v>
      </c>
      <c r="O222">
        <v>40.215120732109703</v>
      </c>
      <c r="P222">
        <v>11.492575240039899</v>
      </c>
      <c r="Q222">
        <v>0</v>
      </c>
      <c r="R222">
        <v>0</v>
      </c>
      <c r="S222">
        <v>0</v>
      </c>
      <c r="T222">
        <v>269.92369540492501</v>
      </c>
      <c r="U222">
        <v>4081.8471103128099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6.6127830883954894E-2</v>
      </c>
      <c r="AB222">
        <v>0.48395382371590301</v>
      </c>
      <c r="AC222">
        <v>3815.9758999998999</v>
      </c>
      <c r="AD222">
        <v>38192.157075371397</v>
      </c>
      <c r="AE222">
        <v>0</v>
      </c>
      <c r="AF222">
        <v>38192.157075371397</v>
      </c>
      <c r="AG222">
        <v>4.8222420549711904</v>
      </c>
      <c r="AH222">
        <v>0</v>
      </c>
      <c r="AI222">
        <v>183.941001590019</v>
      </c>
      <c r="AJ222">
        <v>2.3224873938134001E-2</v>
      </c>
      <c r="AK222">
        <v>0</v>
      </c>
      <c r="AL222">
        <v>66.1278308839549</v>
      </c>
    </row>
    <row r="223" spans="1:38" x14ac:dyDescent="0.35">
      <c r="A223" t="s">
        <v>124</v>
      </c>
      <c r="B223" t="s">
        <v>128</v>
      </c>
      <c r="C223">
        <v>2030</v>
      </c>
      <c r="D223" t="s">
        <v>98</v>
      </c>
      <c r="E223">
        <v>2021</v>
      </c>
      <c r="F223" t="s">
        <v>43</v>
      </c>
      <c r="G223" t="s">
        <v>35</v>
      </c>
      <c r="H223" t="s">
        <v>44</v>
      </c>
      <c r="I223">
        <v>0</v>
      </c>
      <c r="J223">
        <v>0</v>
      </c>
      <c r="K223" t="s">
        <v>99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27</v>
      </c>
      <c r="AC223" t="s">
        <v>27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66.1278308839549</v>
      </c>
    </row>
    <row r="224" spans="1:38" x14ac:dyDescent="0.35">
      <c r="A224" t="s">
        <v>124</v>
      </c>
      <c r="B224" t="s">
        <v>129</v>
      </c>
      <c r="C224">
        <v>2030</v>
      </c>
      <c r="D224" t="s">
        <v>98</v>
      </c>
      <c r="E224">
        <v>2021</v>
      </c>
      <c r="F224" t="s">
        <v>43</v>
      </c>
      <c r="G224" t="s">
        <v>35</v>
      </c>
      <c r="H224" t="s">
        <v>44</v>
      </c>
      <c r="I224">
        <v>0</v>
      </c>
      <c r="J224">
        <v>0</v>
      </c>
      <c r="K224" t="s">
        <v>99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27</v>
      </c>
      <c r="AC224" t="s">
        <v>27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66.1278308839549</v>
      </c>
    </row>
    <row r="225" spans="1:38" x14ac:dyDescent="0.35">
      <c r="A225" t="s">
        <v>124</v>
      </c>
      <c r="B225" t="s">
        <v>20</v>
      </c>
      <c r="C225">
        <v>2030</v>
      </c>
      <c r="D225" t="s">
        <v>98</v>
      </c>
      <c r="E225">
        <v>2021</v>
      </c>
      <c r="F225" t="s">
        <v>43</v>
      </c>
      <c r="G225" t="s">
        <v>35</v>
      </c>
      <c r="H225" t="s">
        <v>44</v>
      </c>
      <c r="I225">
        <v>0</v>
      </c>
      <c r="J225">
        <v>0</v>
      </c>
      <c r="K225" t="s">
        <v>99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27</v>
      </c>
      <c r="AC225" t="s">
        <v>27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66.1278308839549</v>
      </c>
    </row>
    <row r="226" spans="1:38" x14ac:dyDescent="0.35">
      <c r="A226" t="s">
        <v>124</v>
      </c>
      <c r="B226" t="s">
        <v>21</v>
      </c>
      <c r="C226">
        <v>2030</v>
      </c>
      <c r="D226" t="s">
        <v>98</v>
      </c>
      <c r="E226">
        <v>2021</v>
      </c>
      <c r="F226" t="s">
        <v>43</v>
      </c>
      <c r="G226" t="s">
        <v>35</v>
      </c>
      <c r="H226" t="s">
        <v>44</v>
      </c>
      <c r="I226">
        <v>0</v>
      </c>
      <c r="J226">
        <v>0</v>
      </c>
      <c r="K226" t="s">
        <v>99</v>
      </c>
      <c r="L226">
        <v>982.23251219988197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36.5967201301047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4.72526491747803E-3</v>
      </c>
      <c r="AC226">
        <v>37.258713874314203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66.1278308839549</v>
      </c>
    </row>
    <row r="227" spans="1:38" x14ac:dyDescent="0.35">
      <c r="A227" t="s">
        <v>124</v>
      </c>
      <c r="B227" t="s">
        <v>22</v>
      </c>
      <c r="C227">
        <v>2030</v>
      </c>
      <c r="D227" t="s">
        <v>98</v>
      </c>
      <c r="E227">
        <v>2021</v>
      </c>
      <c r="F227" t="s">
        <v>43</v>
      </c>
      <c r="G227" t="s">
        <v>35</v>
      </c>
      <c r="H227" t="s">
        <v>44</v>
      </c>
      <c r="I227">
        <v>0</v>
      </c>
      <c r="J227">
        <v>0</v>
      </c>
      <c r="K227" t="s">
        <v>99</v>
      </c>
      <c r="L227">
        <v>116.388580528137</v>
      </c>
      <c r="M227">
        <v>0</v>
      </c>
      <c r="N227">
        <v>0</v>
      </c>
      <c r="O227">
        <v>0</v>
      </c>
      <c r="P227">
        <v>1.8361532687857601E-2</v>
      </c>
      <c r="Q227">
        <v>0</v>
      </c>
      <c r="R227">
        <v>0</v>
      </c>
      <c r="S227">
        <v>0</v>
      </c>
      <c r="T227">
        <v>1.8361532687857601E-2</v>
      </c>
      <c r="U227">
        <v>9.7822682354589894</v>
      </c>
      <c r="V227">
        <v>0</v>
      </c>
      <c r="W227">
        <v>0.48911341177294998</v>
      </c>
      <c r="X227">
        <v>0</v>
      </c>
      <c r="Y227">
        <v>0</v>
      </c>
      <c r="Z227">
        <v>0</v>
      </c>
      <c r="AA227">
        <v>1.8770219999999899E-3</v>
      </c>
      <c r="AB227">
        <v>1.0659270857968001E-2</v>
      </c>
      <c r="AC227">
        <v>84.048350715077902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66.1278308839549</v>
      </c>
    </row>
    <row r="228" spans="1:38" x14ac:dyDescent="0.35">
      <c r="A228" t="s">
        <v>124</v>
      </c>
      <c r="B228" t="s">
        <v>23</v>
      </c>
      <c r="C228">
        <v>2030</v>
      </c>
      <c r="D228" t="s">
        <v>98</v>
      </c>
      <c r="E228">
        <v>2021</v>
      </c>
      <c r="F228" t="s">
        <v>43</v>
      </c>
      <c r="G228" t="s">
        <v>35</v>
      </c>
      <c r="H228" t="s">
        <v>44</v>
      </c>
      <c r="I228">
        <v>0</v>
      </c>
      <c r="J228">
        <v>0</v>
      </c>
      <c r="K228" t="s">
        <v>99</v>
      </c>
      <c r="L228">
        <v>116.388580528137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9.7822682354589396</v>
      </c>
      <c r="V228">
        <v>0</v>
      </c>
      <c r="W228">
        <v>0.48911341177294998</v>
      </c>
      <c r="X228">
        <v>0</v>
      </c>
      <c r="Y228">
        <v>0</v>
      </c>
      <c r="Z228">
        <v>0</v>
      </c>
      <c r="AA228">
        <v>0</v>
      </c>
      <c r="AB228">
        <v>1.0659270857968001E-2</v>
      </c>
      <c r="AC228">
        <v>84.0483507150782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66.1278308839549</v>
      </c>
    </row>
    <row r="229" spans="1:38" x14ac:dyDescent="0.35">
      <c r="A229" t="s">
        <v>124</v>
      </c>
      <c r="B229" t="s">
        <v>5</v>
      </c>
      <c r="C229">
        <v>2030</v>
      </c>
      <c r="D229" t="s">
        <v>98</v>
      </c>
      <c r="E229">
        <v>2021</v>
      </c>
      <c r="F229" t="s">
        <v>43</v>
      </c>
      <c r="G229" t="s">
        <v>35</v>
      </c>
      <c r="H229" t="s">
        <v>44</v>
      </c>
      <c r="I229">
        <v>0</v>
      </c>
      <c r="J229">
        <v>0</v>
      </c>
      <c r="K229" t="s">
        <v>99</v>
      </c>
      <c r="L229">
        <v>116.388580528137</v>
      </c>
      <c r="M229">
        <v>20.949944495064599</v>
      </c>
      <c r="N229">
        <v>2.1337981215447401</v>
      </c>
      <c r="O229">
        <v>0.31424916742596998</v>
      </c>
      <c r="P229">
        <v>0</v>
      </c>
      <c r="Q229">
        <v>0</v>
      </c>
      <c r="R229">
        <v>0</v>
      </c>
      <c r="S229">
        <v>0</v>
      </c>
      <c r="T229">
        <v>2.4480472889707099</v>
      </c>
      <c r="U229">
        <v>473.09243405501701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5.1745644460803597E-3</v>
      </c>
      <c r="AB229">
        <v>0.51550624804669198</v>
      </c>
      <c r="AC229">
        <v>4064.76676584816</v>
      </c>
      <c r="AD229">
        <v>122.100668539143</v>
      </c>
      <c r="AE229">
        <v>0</v>
      </c>
      <c r="AF229">
        <v>122.100668539143</v>
      </c>
      <c r="AG229">
        <v>1.5416751078174799E-2</v>
      </c>
      <c r="AH229">
        <v>0</v>
      </c>
      <c r="AI229">
        <v>2.0174020624877101E-3</v>
      </c>
      <c r="AJ229" s="13">
        <v>2.5472248263733999E-7</v>
      </c>
      <c r="AK229">
        <v>0</v>
      </c>
      <c r="AL229">
        <v>66.1278308839549</v>
      </c>
    </row>
    <row r="230" spans="1:38" x14ac:dyDescent="0.35">
      <c r="A230" t="s">
        <v>130</v>
      </c>
      <c r="B230" t="s">
        <v>42</v>
      </c>
      <c r="C230">
        <v>2030</v>
      </c>
      <c r="D230" t="s">
        <v>98</v>
      </c>
      <c r="E230">
        <v>2015</v>
      </c>
      <c r="F230" t="s">
        <v>43</v>
      </c>
      <c r="G230" t="s">
        <v>35</v>
      </c>
      <c r="H230" t="s">
        <v>44</v>
      </c>
      <c r="I230">
        <v>0</v>
      </c>
      <c r="J230">
        <v>0</v>
      </c>
      <c r="K230" t="s">
        <v>99</v>
      </c>
      <c r="L230">
        <v>85.548933436373403</v>
      </c>
      <c r="M230">
        <v>569.94068238246905</v>
      </c>
      <c r="N230">
        <v>50.437228529422001</v>
      </c>
      <c r="O230">
        <v>22.7976272952987</v>
      </c>
      <c r="P230">
        <v>0</v>
      </c>
      <c r="Q230">
        <v>0</v>
      </c>
      <c r="R230">
        <v>0</v>
      </c>
      <c r="S230">
        <v>0</v>
      </c>
      <c r="T230">
        <v>73.234855824720796</v>
      </c>
      <c r="U230">
        <v>425.80645161291199</v>
      </c>
      <c r="V230">
        <v>0</v>
      </c>
      <c r="W230">
        <v>191.612903225785</v>
      </c>
      <c r="X230">
        <v>1.0235294198740099</v>
      </c>
      <c r="Y230">
        <v>55.028463434086902</v>
      </c>
      <c r="Z230">
        <v>198.10246836271301</v>
      </c>
      <c r="AA230">
        <v>0.17199094928532499</v>
      </c>
      <c r="AB230">
        <v>0.63124207719563596</v>
      </c>
      <c r="AC230">
        <v>4977.3437786875902</v>
      </c>
      <c r="AD230">
        <v>1296.0877774768201</v>
      </c>
      <c r="AE230">
        <v>0</v>
      </c>
      <c r="AF230">
        <v>1296.0877774768201</v>
      </c>
      <c r="AG230">
        <v>0.16364744665111</v>
      </c>
      <c r="AH230">
        <v>4.4344585646612602</v>
      </c>
      <c r="AI230">
        <v>0</v>
      </c>
      <c r="AJ230">
        <v>0</v>
      </c>
      <c r="AK230">
        <v>1.9808528709398601E-2</v>
      </c>
      <c r="AL230">
        <v>57.552193082537102</v>
      </c>
    </row>
    <row r="231" spans="1:38" x14ac:dyDescent="0.35">
      <c r="A231" t="s">
        <v>130</v>
      </c>
      <c r="B231" t="s">
        <v>125</v>
      </c>
      <c r="C231">
        <v>2030</v>
      </c>
      <c r="D231" t="s">
        <v>98</v>
      </c>
      <c r="E231">
        <v>2015</v>
      </c>
      <c r="F231" t="s">
        <v>43</v>
      </c>
      <c r="G231" t="s">
        <v>35</v>
      </c>
      <c r="H231" t="s">
        <v>44</v>
      </c>
      <c r="I231">
        <v>0</v>
      </c>
      <c r="J231">
        <v>0</v>
      </c>
      <c r="K231" t="s">
        <v>99</v>
      </c>
      <c r="L231">
        <v>186.42419576188999</v>
      </c>
      <c r="M231">
        <v>22.556052545689699</v>
      </c>
      <c r="N231">
        <v>2.6352133544658898</v>
      </c>
      <c r="O231">
        <v>0.67668157637069204</v>
      </c>
      <c r="P231">
        <v>0</v>
      </c>
      <c r="Q231">
        <v>0</v>
      </c>
      <c r="R231">
        <v>0</v>
      </c>
      <c r="S231">
        <v>5.6054329048400901E-2</v>
      </c>
      <c r="T231">
        <v>3.3679492598849801</v>
      </c>
      <c r="U231">
        <v>862.37429305237094</v>
      </c>
      <c r="V231">
        <v>0</v>
      </c>
      <c r="W231">
        <v>2.1559357326308302</v>
      </c>
      <c r="X231">
        <v>0</v>
      </c>
      <c r="Y231">
        <v>0</v>
      </c>
      <c r="Z231">
        <v>0</v>
      </c>
      <c r="AA231">
        <v>3.9054379136976998E-3</v>
      </c>
      <c r="AB231">
        <v>0.58666722451870001</v>
      </c>
      <c r="AC231">
        <v>4625.8710653299504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57.552193082537102</v>
      </c>
    </row>
    <row r="232" spans="1:38" x14ac:dyDescent="0.35">
      <c r="A232" t="s">
        <v>130</v>
      </c>
      <c r="B232" t="s">
        <v>36</v>
      </c>
      <c r="C232">
        <v>2030</v>
      </c>
      <c r="D232" t="s">
        <v>98</v>
      </c>
      <c r="E232">
        <v>2015</v>
      </c>
      <c r="F232" t="s">
        <v>43</v>
      </c>
      <c r="G232" t="s">
        <v>35</v>
      </c>
      <c r="H232" t="s">
        <v>44</v>
      </c>
      <c r="I232">
        <v>0</v>
      </c>
      <c r="J232">
        <v>0</v>
      </c>
      <c r="K232" t="s">
        <v>99</v>
      </c>
      <c r="L232">
        <v>16.571039623279098</v>
      </c>
      <c r="M232">
        <v>660.19021859144198</v>
      </c>
      <c r="N232">
        <v>58.423913149685099</v>
      </c>
      <c r="O232">
        <v>66.019021859144203</v>
      </c>
      <c r="P232">
        <v>0</v>
      </c>
      <c r="Q232">
        <v>0</v>
      </c>
      <c r="R232">
        <v>0</v>
      </c>
      <c r="S232">
        <v>0</v>
      </c>
      <c r="T232">
        <v>124.442935008829</v>
      </c>
      <c r="U232">
        <v>76.655492715764495</v>
      </c>
      <c r="V232">
        <v>0</v>
      </c>
      <c r="W232">
        <v>3817.4435372449502</v>
      </c>
      <c r="X232">
        <v>0</v>
      </c>
      <c r="Y232">
        <v>0</v>
      </c>
      <c r="Z232">
        <v>0</v>
      </c>
      <c r="AA232">
        <v>1.6234053242637001</v>
      </c>
      <c r="AB232">
        <v>0.58666722451870001</v>
      </c>
      <c r="AC232">
        <v>4625.8710653299504</v>
      </c>
      <c r="AD232">
        <v>1275.6634559844099</v>
      </c>
      <c r="AE232">
        <v>0</v>
      </c>
      <c r="AF232">
        <v>1275.6634559844099</v>
      </c>
      <c r="AG232">
        <v>0.161068618179846</v>
      </c>
      <c r="AH232">
        <v>0</v>
      </c>
      <c r="AI232">
        <v>7.8381017418110398E-3</v>
      </c>
      <c r="AJ232" s="13">
        <v>9.896593108347061E-7</v>
      </c>
      <c r="AK232">
        <v>0</v>
      </c>
      <c r="AL232">
        <v>57.552193082537102</v>
      </c>
    </row>
    <row r="233" spans="1:38" x14ac:dyDescent="0.35">
      <c r="A233" t="s">
        <v>130</v>
      </c>
      <c r="B233" t="s">
        <v>45</v>
      </c>
      <c r="C233">
        <v>2030</v>
      </c>
      <c r="D233" t="s">
        <v>98</v>
      </c>
      <c r="E233">
        <v>2015</v>
      </c>
      <c r="F233" t="s">
        <v>43</v>
      </c>
      <c r="G233" t="s">
        <v>35</v>
      </c>
      <c r="H233" t="s">
        <v>44</v>
      </c>
      <c r="I233">
        <v>0</v>
      </c>
      <c r="J233">
        <v>0</v>
      </c>
      <c r="K233" t="s">
        <v>99</v>
      </c>
      <c r="L233">
        <v>15.3988080185472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76.645161290325206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0.63124207719563596</v>
      </c>
      <c r="AC233">
        <v>4977.3437786875902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57.552193082537102</v>
      </c>
    </row>
    <row r="234" spans="1:38" x14ac:dyDescent="0.35">
      <c r="A234" t="s">
        <v>130</v>
      </c>
      <c r="B234" t="s">
        <v>17</v>
      </c>
      <c r="C234">
        <v>2030</v>
      </c>
      <c r="D234" t="s">
        <v>98</v>
      </c>
      <c r="E234">
        <v>2015</v>
      </c>
      <c r="F234" t="s">
        <v>43</v>
      </c>
      <c r="G234" t="s">
        <v>35</v>
      </c>
      <c r="H234" t="s">
        <v>44</v>
      </c>
      <c r="I234">
        <v>0</v>
      </c>
      <c r="J234">
        <v>0</v>
      </c>
      <c r="K234" t="s">
        <v>99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27</v>
      </c>
      <c r="AC234" t="s">
        <v>27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57.552193082537102</v>
      </c>
    </row>
    <row r="235" spans="1:38" x14ac:dyDescent="0.35">
      <c r="A235" t="s">
        <v>130</v>
      </c>
      <c r="B235" t="s">
        <v>18</v>
      </c>
      <c r="C235">
        <v>2030</v>
      </c>
      <c r="D235" t="s">
        <v>98</v>
      </c>
      <c r="E235">
        <v>2015</v>
      </c>
      <c r="F235" t="s">
        <v>43</v>
      </c>
      <c r="G235" t="s">
        <v>35</v>
      </c>
      <c r="H235" t="s">
        <v>44</v>
      </c>
      <c r="I235">
        <v>0</v>
      </c>
      <c r="J235">
        <v>0</v>
      </c>
      <c r="K235" t="s">
        <v>99</v>
      </c>
      <c r="L235">
        <v>94.057220901732506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435.09657665466602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0.58666722451870001</v>
      </c>
      <c r="AC235">
        <v>4625.8710653299504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57.552193082537102</v>
      </c>
    </row>
    <row r="236" spans="1:38" x14ac:dyDescent="0.35">
      <c r="A236" t="s">
        <v>130</v>
      </c>
      <c r="B236" t="s">
        <v>19</v>
      </c>
      <c r="C236">
        <v>2030</v>
      </c>
      <c r="D236" t="s">
        <v>98</v>
      </c>
      <c r="E236">
        <v>2015</v>
      </c>
      <c r="F236" t="s">
        <v>43</v>
      </c>
      <c r="G236" t="s">
        <v>35</v>
      </c>
      <c r="H236" t="s">
        <v>44</v>
      </c>
      <c r="I236">
        <v>0</v>
      </c>
      <c r="J236">
        <v>0</v>
      </c>
      <c r="K236" t="s">
        <v>99</v>
      </c>
      <c r="L236">
        <v>128.59126747664601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594.84662347431004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0.58666722451870001</v>
      </c>
      <c r="AC236">
        <v>4625.8710653299504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57.552193082537102</v>
      </c>
    </row>
    <row r="237" spans="1:38" x14ac:dyDescent="0.35">
      <c r="A237" t="s">
        <v>130</v>
      </c>
      <c r="B237" t="s">
        <v>55</v>
      </c>
      <c r="C237">
        <v>2030</v>
      </c>
      <c r="D237" t="s">
        <v>98</v>
      </c>
      <c r="E237">
        <v>2015</v>
      </c>
      <c r="F237" t="s">
        <v>43</v>
      </c>
      <c r="G237" t="s">
        <v>35</v>
      </c>
      <c r="H237" t="s">
        <v>44</v>
      </c>
      <c r="I237">
        <v>0</v>
      </c>
      <c r="J237">
        <v>0</v>
      </c>
      <c r="K237" t="s">
        <v>99</v>
      </c>
      <c r="L237">
        <v>880.35640593347898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6.47861494030853</v>
      </c>
      <c r="V237">
        <v>0</v>
      </c>
      <c r="W237">
        <v>6.0898980438900701</v>
      </c>
      <c r="X237">
        <v>0</v>
      </c>
      <c r="Y237">
        <v>0</v>
      </c>
      <c r="Z237">
        <v>0</v>
      </c>
      <c r="AA237">
        <v>0</v>
      </c>
      <c r="AB237">
        <v>9.3330145267698898E-4</v>
      </c>
      <c r="AC237">
        <v>7.3590819543580599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57.552193082537102</v>
      </c>
    </row>
    <row r="238" spans="1:38" x14ac:dyDescent="0.35">
      <c r="A238" t="s">
        <v>130</v>
      </c>
      <c r="B238" t="s">
        <v>56</v>
      </c>
      <c r="C238">
        <v>2030</v>
      </c>
      <c r="D238" t="s">
        <v>98</v>
      </c>
      <c r="E238">
        <v>2015</v>
      </c>
      <c r="F238" t="s">
        <v>43</v>
      </c>
      <c r="G238" t="s">
        <v>35</v>
      </c>
      <c r="H238" t="s">
        <v>44</v>
      </c>
      <c r="I238">
        <v>0</v>
      </c>
      <c r="J238">
        <v>0</v>
      </c>
      <c r="K238" t="s">
        <v>99</v>
      </c>
      <c r="L238">
        <v>895.755213952026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6.46828351486581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9.1579444533503203E-4</v>
      </c>
      <c r="AC238">
        <v>7.2210392014667297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57.552193082537102</v>
      </c>
    </row>
    <row r="239" spans="1:38" x14ac:dyDescent="0.35">
      <c r="A239" t="s">
        <v>130</v>
      </c>
      <c r="B239" t="s">
        <v>57</v>
      </c>
      <c r="C239">
        <v>2030</v>
      </c>
      <c r="D239" t="s">
        <v>98</v>
      </c>
      <c r="E239">
        <v>2015</v>
      </c>
      <c r="F239" t="s">
        <v>43</v>
      </c>
      <c r="G239" t="s">
        <v>35</v>
      </c>
      <c r="H239" t="s">
        <v>44</v>
      </c>
      <c r="I239">
        <v>0</v>
      </c>
      <c r="J239">
        <v>0</v>
      </c>
      <c r="K239" t="s">
        <v>99</v>
      </c>
      <c r="L239">
        <v>114.793616030363</v>
      </c>
      <c r="M239">
        <v>28.698404007590799</v>
      </c>
      <c r="N239">
        <v>2.3458895682572298</v>
      </c>
      <c r="O239">
        <v>0.86095212022772405</v>
      </c>
      <c r="P239">
        <v>0</v>
      </c>
      <c r="Q239">
        <v>0</v>
      </c>
      <c r="R239">
        <v>0</v>
      </c>
      <c r="S239">
        <v>0</v>
      </c>
      <c r="T239">
        <v>3.20684168848496</v>
      </c>
      <c r="U239">
        <v>513.93793700527897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6.2397450306378504E-3</v>
      </c>
      <c r="AB239">
        <v>0.56779458021569895</v>
      </c>
      <c r="AC239">
        <v>4477.0602650007804</v>
      </c>
      <c r="AD239">
        <v>0.47671394227611702</v>
      </c>
      <c r="AE239">
        <v>0</v>
      </c>
      <c r="AF239">
        <v>0.47671394227611702</v>
      </c>
      <c r="AG239" s="13">
        <v>6.0191154327791303E-5</v>
      </c>
      <c r="AH239">
        <v>0</v>
      </c>
      <c r="AI239">
        <v>0.114793616030363</v>
      </c>
      <c r="AJ239" s="13">
        <v>1.44941434381768E-5</v>
      </c>
      <c r="AK239">
        <v>0</v>
      </c>
      <c r="AL239">
        <v>57.552193082537102</v>
      </c>
    </row>
    <row r="240" spans="1:38" x14ac:dyDescent="0.35">
      <c r="A240" t="s">
        <v>130</v>
      </c>
      <c r="B240" t="s">
        <v>126</v>
      </c>
      <c r="C240">
        <v>2030</v>
      </c>
      <c r="D240" t="s">
        <v>98</v>
      </c>
      <c r="E240">
        <v>2015</v>
      </c>
      <c r="F240" t="s">
        <v>43</v>
      </c>
      <c r="G240" t="s">
        <v>35</v>
      </c>
      <c r="H240" t="s">
        <v>44</v>
      </c>
      <c r="I240">
        <v>0</v>
      </c>
      <c r="J240">
        <v>0</v>
      </c>
      <c r="K240" t="s">
        <v>99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27</v>
      </c>
      <c r="AC240" t="s">
        <v>27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57.552193082537102</v>
      </c>
    </row>
    <row r="241" spans="1:38" x14ac:dyDescent="0.35">
      <c r="A241" t="s">
        <v>130</v>
      </c>
      <c r="B241" t="s">
        <v>127</v>
      </c>
      <c r="C241">
        <v>2030</v>
      </c>
      <c r="D241" t="s">
        <v>98</v>
      </c>
      <c r="E241">
        <v>2015</v>
      </c>
      <c r="F241" t="s">
        <v>43</v>
      </c>
      <c r="G241" t="s">
        <v>35</v>
      </c>
      <c r="H241" t="s">
        <v>44</v>
      </c>
      <c r="I241">
        <v>0</v>
      </c>
      <c r="J241">
        <v>0</v>
      </c>
      <c r="K241" t="s">
        <v>99</v>
      </c>
      <c r="L241">
        <v>911.612675393514</v>
      </c>
      <c r="M241">
        <v>2093.6241562823502</v>
      </c>
      <c r="N241">
        <v>185.97126028015401</v>
      </c>
      <c r="O241">
        <v>34.272723834683703</v>
      </c>
      <c r="P241">
        <v>11.328864501263601</v>
      </c>
      <c r="Q241">
        <v>0</v>
      </c>
      <c r="R241">
        <v>0</v>
      </c>
      <c r="S241">
        <v>0</v>
      </c>
      <c r="T241">
        <v>231.57284861610199</v>
      </c>
      <c r="U241">
        <v>4023.7015518070102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5.7552193082537097E-2</v>
      </c>
      <c r="AB241">
        <v>0.559775269499029</v>
      </c>
      <c r="AC241">
        <v>4413.8279999998404</v>
      </c>
      <c r="AD241">
        <v>32548.683884714399</v>
      </c>
      <c r="AE241">
        <v>0</v>
      </c>
      <c r="AF241">
        <v>32548.683884714399</v>
      </c>
      <c r="AG241">
        <v>4.1096823086759704</v>
      </c>
      <c r="AH241">
        <v>0</v>
      </c>
      <c r="AI241">
        <v>156.76091566066799</v>
      </c>
      <c r="AJ241">
        <v>1.9793044906649598E-2</v>
      </c>
      <c r="AK241">
        <v>0</v>
      </c>
      <c r="AL241">
        <v>57.552193082537102</v>
      </c>
    </row>
    <row r="242" spans="1:38" x14ac:dyDescent="0.35">
      <c r="A242" t="s">
        <v>130</v>
      </c>
      <c r="B242" t="s">
        <v>128</v>
      </c>
      <c r="C242">
        <v>2030</v>
      </c>
      <c r="D242" t="s">
        <v>98</v>
      </c>
      <c r="E242">
        <v>2015</v>
      </c>
      <c r="F242" t="s">
        <v>43</v>
      </c>
      <c r="G242" t="s">
        <v>35</v>
      </c>
      <c r="H242" t="s">
        <v>44</v>
      </c>
      <c r="I242">
        <v>0</v>
      </c>
      <c r="J242">
        <v>0</v>
      </c>
      <c r="K242" t="s">
        <v>99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27</v>
      </c>
      <c r="AC242" t="s">
        <v>27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57.552193082537102</v>
      </c>
    </row>
    <row r="243" spans="1:38" x14ac:dyDescent="0.35">
      <c r="A243" t="s">
        <v>130</v>
      </c>
      <c r="B243" t="s">
        <v>129</v>
      </c>
      <c r="C243">
        <v>2030</v>
      </c>
      <c r="D243" t="s">
        <v>98</v>
      </c>
      <c r="E243">
        <v>2015</v>
      </c>
      <c r="F243" t="s">
        <v>43</v>
      </c>
      <c r="G243" t="s">
        <v>35</v>
      </c>
      <c r="H243" t="s">
        <v>44</v>
      </c>
      <c r="I243">
        <v>0</v>
      </c>
      <c r="J243">
        <v>0</v>
      </c>
      <c r="K243" t="s">
        <v>99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27</v>
      </c>
      <c r="AC243" t="s">
        <v>27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57.552193082537102</v>
      </c>
    </row>
    <row r="244" spans="1:38" x14ac:dyDescent="0.35">
      <c r="A244" t="s">
        <v>130</v>
      </c>
      <c r="B244" t="s">
        <v>20</v>
      </c>
      <c r="C244">
        <v>2030</v>
      </c>
      <c r="D244" t="s">
        <v>98</v>
      </c>
      <c r="E244">
        <v>2015</v>
      </c>
      <c r="F244" t="s">
        <v>43</v>
      </c>
      <c r="G244" t="s">
        <v>35</v>
      </c>
      <c r="H244" t="s">
        <v>44</v>
      </c>
      <c r="I244">
        <v>0</v>
      </c>
      <c r="J244">
        <v>0</v>
      </c>
      <c r="K244" t="s">
        <v>99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27</v>
      </c>
      <c r="AC244" t="s">
        <v>27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57.552193082537102</v>
      </c>
    </row>
    <row r="245" spans="1:38" x14ac:dyDescent="0.35">
      <c r="A245" t="s">
        <v>130</v>
      </c>
      <c r="B245" t="s">
        <v>21</v>
      </c>
      <c r="C245">
        <v>2030</v>
      </c>
      <c r="D245" t="s">
        <v>98</v>
      </c>
      <c r="E245">
        <v>2015</v>
      </c>
      <c r="F245" t="s">
        <v>43</v>
      </c>
      <c r="G245" t="s">
        <v>35</v>
      </c>
      <c r="H245" t="s">
        <v>44</v>
      </c>
      <c r="I245">
        <v>0</v>
      </c>
      <c r="J245">
        <v>0</v>
      </c>
      <c r="K245" t="s">
        <v>99</v>
      </c>
      <c r="L245">
        <v>827.53502157747005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6.3992775593957001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9.8071511201395806E-4</v>
      </c>
      <c r="AC245">
        <v>7.7329386582300597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57.552193082537102</v>
      </c>
    </row>
    <row r="246" spans="1:38" x14ac:dyDescent="0.35">
      <c r="A246" t="s">
        <v>130</v>
      </c>
      <c r="B246" t="s">
        <v>22</v>
      </c>
      <c r="C246">
        <v>2030</v>
      </c>
      <c r="D246" t="s">
        <v>98</v>
      </c>
      <c r="E246">
        <v>2015</v>
      </c>
      <c r="F246" t="s">
        <v>43</v>
      </c>
      <c r="G246" t="s">
        <v>35</v>
      </c>
      <c r="H246" t="s">
        <v>44</v>
      </c>
      <c r="I246">
        <v>0</v>
      </c>
      <c r="J246">
        <v>0</v>
      </c>
      <c r="K246" t="s">
        <v>99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27</v>
      </c>
      <c r="AC246" t="s">
        <v>27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57.552193082537102</v>
      </c>
    </row>
    <row r="247" spans="1:38" x14ac:dyDescent="0.35">
      <c r="A247" t="s">
        <v>130</v>
      </c>
      <c r="B247" t="s">
        <v>23</v>
      </c>
      <c r="C247">
        <v>2030</v>
      </c>
      <c r="D247" t="s">
        <v>98</v>
      </c>
      <c r="E247">
        <v>2015</v>
      </c>
      <c r="F247" t="s">
        <v>43</v>
      </c>
      <c r="G247" t="s">
        <v>35</v>
      </c>
      <c r="H247" t="s">
        <v>44</v>
      </c>
      <c r="I247">
        <v>0</v>
      </c>
      <c r="J247">
        <v>0</v>
      </c>
      <c r="K247" t="s">
        <v>99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27</v>
      </c>
      <c r="AC247" t="s">
        <v>27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57.552193082537102</v>
      </c>
    </row>
    <row r="248" spans="1:38" x14ac:dyDescent="0.35">
      <c r="A248" t="s">
        <v>130</v>
      </c>
      <c r="B248" t="s">
        <v>5</v>
      </c>
      <c r="C248">
        <v>2030</v>
      </c>
      <c r="D248" t="s">
        <v>98</v>
      </c>
      <c r="E248">
        <v>2015</v>
      </c>
      <c r="F248" t="s">
        <v>43</v>
      </c>
      <c r="G248" t="s">
        <v>35</v>
      </c>
      <c r="H248" t="s">
        <v>44</v>
      </c>
      <c r="I248">
        <v>0</v>
      </c>
      <c r="J248">
        <v>0</v>
      </c>
      <c r="K248" t="s">
        <v>99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27</v>
      </c>
      <c r="AC248" t="s">
        <v>27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57.552193082537102</v>
      </c>
    </row>
    <row r="249" spans="1:38" x14ac:dyDescent="0.35">
      <c r="A249" t="s">
        <v>130</v>
      </c>
      <c r="B249" t="s">
        <v>42</v>
      </c>
      <c r="C249">
        <v>2030</v>
      </c>
      <c r="D249" t="s">
        <v>98</v>
      </c>
      <c r="E249">
        <v>2016</v>
      </c>
      <c r="F249" t="s">
        <v>43</v>
      </c>
      <c r="G249" t="s">
        <v>35</v>
      </c>
      <c r="H249" t="s">
        <v>44</v>
      </c>
      <c r="I249">
        <v>0</v>
      </c>
      <c r="J249">
        <v>0</v>
      </c>
      <c r="K249" t="s">
        <v>99</v>
      </c>
      <c r="L249">
        <v>104.98044729223901</v>
      </c>
      <c r="M249">
        <v>699.39653673246596</v>
      </c>
      <c r="N249">
        <v>61.893498825881899</v>
      </c>
      <c r="O249">
        <v>27.9758614692986</v>
      </c>
      <c r="P249">
        <v>0</v>
      </c>
      <c r="Q249">
        <v>0</v>
      </c>
      <c r="R249">
        <v>0</v>
      </c>
      <c r="S249">
        <v>0</v>
      </c>
      <c r="T249">
        <v>89.869360295180599</v>
      </c>
      <c r="U249">
        <v>425.80645161290499</v>
      </c>
      <c r="V249">
        <v>0</v>
      </c>
      <c r="W249">
        <v>191.61290322579899</v>
      </c>
      <c r="X249">
        <v>1.2183418641430701</v>
      </c>
      <c r="Y249">
        <v>65.502250760380306</v>
      </c>
      <c r="Z249">
        <v>235.80810273736901</v>
      </c>
      <c r="AA249">
        <v>0.211056830996256</v>
      </c>
      <c r="AB249">
        <v>0.51440137508575501</v>
      </c>
      <c r="AC249">
        <v>4056.0548425511802</v>
      </c>
      <c r="AD249">
        <v>1590.48008132933</v>
      </c>
      <c r="AE249">
        <v>0</v>
      </c>
      <c r="AF249">
        <v>1590.48008132933</v>
      </c>
      <c r="AG249">
        <v>0.200818192087036</v>
      </c>
      <c r="AH249">
        <v>5.3524171008631001</v>
      </c>
      <c r="AI249">
        <v>0</v>
      </c>
      <c r="AJ249">
        <v>0</v>
      </c>
      <c r="AK249">
        <v>2.3906052968377899E-2</v>
      </c>
      <c r="AL249">
        <v>68.297289852503994</v>
      </c>
    </row>
    <row r="250" spans="1:38" x14ac:dyDescent="0.35">
      <c r="A250" t="s">
        <v>130</v>
      </c>
      <c r="B250" t="s">
        <v>125</v>
      </c>
      <c r="C250">
        <v>2030</v>
      </c>
      <c r="D250" t="s">
        <v>98</v>
      </c>
      <c r="E250">
        <v>2016</v>
      </c>
      <c r="F250" t="s">
        <v>43</v>
      </c>
      <c r="G250" t="s">
        <v>35</v>
      </c>
      <c r="H250" t="s">
        <v>44</v>
      </c>
      <c r="I250">
        <v>0</v>
      </c>
      <c r="J250">
        <v>0</v>
      </c>
      <c r="K250" t="s">
        <v>99</v>
      </c>
      <c r="L250">
        <v>219.16277013697399</v>
      </c>
      <c r="M250">
        <v>26.517196113226099</v>
      </c>
      <c r="N250">
        <v>3.0979919548874002</v>
      </c>
      <c r="O250">
        <v>0.79551588339678403</v>
      </c>
      <c r="P250">
        <v>0</v>
      </c>
      <c r="Q250">
        <v>0</v>
      </c>
      <c r="R250">
        <v>0</v>
      </c>
      <c r="S250">
        <v>5.6049825051907802E-2</v>
      </c>
      <c r="T250">
        <v>3.9495576633360998</v>
      </c>
      <c r="U250">
        <v>862.30500079856904</v>
      </c>
      <c r="V250">
        <v>0</v>
      </c>
      <c r="W250">
        <v>2.1557625019965601</v>
      </c>
      <c r="X250">
        <v>0</v>
      </c>
      <c r="Y250">
        <v>0</v>
      </c>
      <c r="Z250">
        <v>0</v>
      </c>
      <c r="AA250">
        <v>4.5802328174815903E-3</v>
      </c>
      <c r="AB250">
        <v>0.49899067065654701</v>
      </c>
      <c r="AC250">
        <v>3934.5414381268702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68.297289852503994</v>
      </c>
    </row>
    <row r="251" spans="1:38" x14ac:dyDescent="0.35">
      <c r="A251" t="s">
        <v>130</v>
      </c>
      <c r="B251" t="s">
        <v>36</v>
      </c>
      <c r="C251">
        <v>2030</v>
      </c>
      <c r="D251" t="s">
        <v>98</v>
      </c>
      <c r="E251">
        <v>2016</v>
      </c>
      <c r="F251" t="s">
        <v>43</v>
      </c>
      <c r="G251" t="s">
        <v>35</v>
      </c>
      <c r="H251" t="s">
        <v>44</v>
      </c>
      <c r="I251">
        <v>0</v>
      </c>
      <c r="J251">
        <v>0</v>
      </c>
      <c r="K251" t="s">
        <v>99</v>
      </c>
      <c r="L251">
        <v>19.481135123286599</v>
      </c>
      <c r="M251">
        <v>776.12842331173795</v>
      </c>
      <c r="N251">
        <v>68.683931266525505</v>
      </c>
      <c r="O251">
        <v>77.612842331173795</v>
      </c>
      <c r="P251">
        <v>0</v>
      </c>
      <c r="Q251">
        <v>0</v>
      </c>
      <c r="R251">
        <v>0</v>
      </c>
      <c r="S251">
        <v>0</v>
      </c>
      <c r="T251">
        <v>146.296773597699</v>
      </c>
      <c r="U251">
        <v>76.649333404321098</v>
      </c>
      <c r="V251">
        <v>0</v>
      </c>
      <c r="W251">
        <v>3817.1368035352398</v>
      </c>
      <c r="X251">
        <v>0</v>
      </c>
      <c r="Y251">
        <v>0</v>
      </c>
      <c r="Z251">
        <v>0</v>
      </c>
      <c r="AA251">
        <v>1.90865030522824</v>
      </c>
      <c r="AB251">
        <v>0.49899067065654701</v>
      </c>
      <c r="AC251">
        <v>3934.5414381268702</v>
      </c>
      <c r="AD251">
        <v>1499.6869673137201</v>
      </c>
      <c r="AE251">
        <v>0</v>
      </c>
      <c r="AF251">
        <v>1499.6869673137201</v>
      </c>
      <c r="AG251">
        <v>0.189354415064863</v>
      </c>
      <c r="AH251">
        <v>0</v>
      </c>
      <c r="AI251">
        <v>9.2145769133145598E-3</v>
      </c>
      <c r="AJ251" s="13">
        <v>1.1634566809740499E-6</v>
      </c>
      <c r="AK251">
        <v>0</v>
      </c>
      <c r="AL251">
        <v>68.297289852503994</v>
      </c>
    </row>
    <row r="252" spans="1:38" x14ac:dyDescent="0.35">
      <c r="A252" t="s">
        <v>130</v>
      </c>
      <c r="B252" t="s">
        <v>45</v>
      </c>
      <c r="C252">
        <v>2030</v>
      </c>
      <c r="D252" t="s">
        <v>98</v>
      </c>
      <c r="E252">
        <v>2016</v>
      </c>
      <c r="F252" t="s">
        <v>43</v>
      </c>
      <c r="G252" t="s">
        <v>35</v>
      </c>
      <c r="H252" t="s">
        <v>44</v>
      </c>
      <c r="I252">
        <v>0</v>
      </c>
      <c r="J252">
        <v>0</v>
      </c>
      <c r="K252" t="s">
        <v>99</v>
      </c>
      <c r="L252">
        <v>18.896480512603102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76.645161290319095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0.51440137508575501</v>
      </c>
      <c r="AC252">
        <v>4056.0548425511802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68.297289852503994</v>
      </c>
    </row>
    <row r="253" spans="1:38" x14ac:dyDescent="0.35">
      <c r="A253" t="s">
        <v>130</v>
      </c>
      <c r="B253" t="s">
        <v>17</v>
      </c>
      <c r="C253">
        <v>2030</v>
      </c>
      <c r="D253" t="s">
        <v>98</v>
      </c>
      <c r="E253">
        <v>2016</v>
      </c>
      <c r="F253" t="s">
        <v>43</v>
      </c>
      <c r="G253" t="s">
        <v>35</v>
      </c>
      <c r="H253" t="s">
        <v>44</v>
      </c>
      <c r="I253">
        <v>0</v>
      </c>
      <c r="J253">
        <v>0</v>
      </c>
      <c r="K253" t="s">
        <v>99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27</v>
      </c>
      <c r="AC253" t="s">
        <v>27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68.297289852503994</v>
      </c>
    </row>
    <row r="254" spans="1:38" x14ac:dyDescent="0.35">
      <c r="A254" t="s">
        <v>130</v>
      </c>
      <c r="B254" t="s">
        <v>18</v>
      </c>
      <c r="C254">
        <v>2030</v>
      </c>
      <c r="D254" t="s">
        <v>98</v>
      </c>
      <c r="E254">
        <v>2016</v>
      </c>
      <c r="F254" t="s">
        <v>43</v>
      </c>
      <c r="G254" t="s">
        <v>35</v>
      </c>
      <c r="H254" t="s">
        <v>44</v>
      </c>
      <c r="I254">
        <v>0</v>
      </c>
      <c r="J254">
        <v>0</v>
      </c>
      <c r="K254" t="s">
        <v>99</v>
      </c>
      <c r="L254">
        <v>110.574922959774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435.06161640294499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0.49899067065654701</v>
      </c>
      <c r="AC254">
        <v>3934.5414381268702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68.297289852503994</v>
      </c>
    </row>
    <row r="255" spans="1:38" x14ac:dyDescent="0.35">
      <c r="A255" t="s">
        <v>130</v>
      </c>
      <c r="B255" t="s">
        <v>19</v>
      </c>
      <c r="C255">
        <v>2030</v>
      </c>
      <c r="D255" t="s">
        <v>98</v>
      </c>
      <c r="E255">
        <v>2016</v>
      </c>
      <c r="F255" t="s">
        <v>43</v>
      </c>
      <c r="G255" t="s">
        <v>35</v>
      </c>
      <c r="H255" t="s">
        <v>44</v>
      </c>
      <c r="I255">
        <v>0</v>
      </c>
      <c r="J255">
        <v>0</v>
      </c>
      <c r="K255" t="s">
        <v>99</v>
      </c>
      <c r="L255">
        <v>151.17360855670401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594.79882721752006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0.49899067065654701</v>
      </c>
      <c r="AC255">
        <v>3934.5414381268702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68.297289852503994</v>
      </c>
    </row>
    <row r="256" spans="1:38" x14ac:dyDescent="0.35">
      <c r="A256" t="s">
        <v>130</v>
      </c>
      <c r="B256" t="s">
        <v>55</v>
      </c>
      <c r="C256">
        <v>2030</v>
      </c>
      <c r="D256" t="s">
        <v>98</v>
      </c>
      <c r="E256">
        <v>2016</v>
      </c>
      <c r="F256" t="s">
        <v>43</v>
      </c>
      <c r="G256" t="s">
        <v>35</v>
      </c>
      <c r="H256" t="s">
        <v>44</v>
      </c>
      <c r="I256">
        <v>0</v>
      </c>
      <c r="J256">
        <v>0</v>
      </c>
      <c r="K256" t="s">
        <v>99</v>
      </c>
      <c r="L256">
        <v>1036.88324833907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7.1061179428168302</v>
      </c>
      <c r="V256">
        <v>0</v>
      </c>
      <c r="W256">
        <v>6.6797508662476597</v>
      </c>
      <c r="X256">
        <v>0</v>
      </c>
      <c r="Y256">
        <v>0</v>
      </c>
      <c r="Z256">
        <v>0</v>
      </c>
      <c r="AA256">
        <v>0</v>
      </c>
      <c r="AB256">
        <v>8.6916225003365495E-4</v>
      </c>
      <c r="AC256">
        <v>6.8533443415153696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68.297289852503994</v>
      </c>
    </row>
    <row r="257" spans="1:38" x14ac:dyDescent="0.35">
      <c r="A257" t="s">
        <v>130</v>
      </c>
      <c r="B257" t="s">
        <v>56</v>
      </c>
      <c r="C257">
        <v>2030</v>
      </c>
      <c r="D257" t="s">
        <v>98</v>
      </c>
      <c r="E257">
        <v>2016</v>
      </c>
      <c r="F257" t="s">
        <v>43</v>
      </c>
      <c r="G257" t="s">
        <v>35</v>
      </c>
      <c r="H257" t="s">
        <v>44</v>
      </c>
      <c r="I257">
        <v>0</v>
      </c>
      <c r="J257">
        <v>0</v>
      </c>
      <c r="K257" t="s">
        <v>99</v>
      </c>
      <c r="L257">
        <v>1055.7797288516699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7.1019458288147597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8.5310470752539204E-4</v>
      </c>
      <c r="AC257">
        <v>6.7267306188377098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68.297289852503994</v>
      </c>
    </row>
    <row r="258" spans="1:38" x14ac:dyDescent="0.35">
      <c r="A258" t="s">
        <v>130</v>
      </c>
      <c r="B258" t="s">
        <v>57</v>
      </c>
      <c r="C258">
        <v>2030</v>
      </c>
      <c r="D258" t="s">
        <v>98</v>
      </c>
      <c r="E258">
        <v>2016</v>
      </c>
      <c r="F258" t="s">
        <v>43</v>
      </c>
      <c r="G258" t="s">
        <v>35</v>
      </c>
      <c r="H258" t="s">
        <v>44</v>
      </c>
      <c r="I258">
        <v>0</v>
      </c>
      <c r="J258">
        <v>0</v>
      </c>
      <c r="K258" t="s">
        <v>99</v>
      </c>
      <c r="L258">
        <v>46.356822244338197</v>
      </c>
      <c r="M258">
        <v>11.5892055610845</v>
      </c>
      <c r="N258">
        <v>0.94733478638554103</v>
      </c>
      <c r="O258">
        <v>0.34767616683253599</v>
      </c>
      <c r="P258">
        <v>0</v>
      </c>
      <c r="Q258">
        <v>0</v>
      </c>
      <c r="R258">
        <v>0</v>
      </c>
      <c r="S258">
        <v>0</v>
      </c>
      <c r="T258">
        <v>1.29501095321807</v>
      </c>
      <c r="U258">
        <v>231.851572361986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5.5855172342596602E-3</v>
      </c>
      <c r="AB258">
        <v>0.63429996931940402</v>
      </c>
      <c r="AC258">
        <v>5001.4552580834998</v>
      </c>
      <c r="AD258">
        <v>0.192510213091</v>
      </c>
      <c r="AE258">
        <v>0</v>
      </c>
      <c r="AF258">
        <v>0.192510213091</v>
      </c>
      <c r="AG258" s="13">
        <v>2.4306845087247299E-5</v>
      </c>
      <c r="AH258">
        <v>0</v>
      </c>
      <c r="AI258">
        <v>4.6356822244338201E-2</v>
      </c>
      <c r="AJ258" s="13">
        <v>5.8531341217598397E-6</v>
      </c>
      <c r="AK258">
        <v>0</v>
      </c>
      <c r="AL258">
        <v>68.297289852503994</v>
      </c>
    </row>
    <row r="259" spans="1:38" x14ac:dyDescent="0.35">
      <c r="A259" t="s">
        <v>130</v>
      </c>
      <c r="B259" t="s">
        <v>126</v>
      </c>
      <c r="C259">
        <v>2030</v>
      </c>
      <c r="D259" t="s">
        <v>98</v>
      </c>
      <c r="E259">
        <v>2016</v>
      </c>
      <c r="F259" t="s">
        <v>43</v>
      </c>
      <c r="G259" t="s">
        <v>35</v>
      </c>
      <c r="H259" t="s">
        <v>44</v>
      </c>
      <c r="I259">
        <v>0</v>
      </c>
      <c r="J259">
        <v>0</v>
      </c>
      <c r="K259" t="s">
        <v>99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27</v>
      </c>
      <c r="AC259" t="s">
        <v>27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68.297289852503994</v>
      </c>
    </row>
    <row r="260" spans="1:38" x14ac:dyDescent="0.35">
      <c r="A260" t="s">
        <v>130</v>
      </c>
      <c r="B260" t="s">
        <v>127</v>
      </c>
      <c r="C260">
        <v>2030</v>
      </c>
      <c r="D260" t="s">
        <v>98</v>
      </c>
      <c r="E260">
        <v>2016</v>
      </c>
      <c r="F260" t="s">
        <v>43</v>
      </c>
      <c r="G260" t="s">
        <v>35</v>
      </c>
      <c r="H260" t="s">
        <v>44</v>
      </c>
      <c r="I260">
        <v>0</v>
      </c>
      <c r="J260">
        <v>0</v>
      </c>
      <c r="K260" t="s">
        <v>99</v>
      </c>
      <c r="L260">
        <v>1100.7232386042999</v>
      </c>
      <c r="M260">
        <v>2527.9384808120799</v>
      </c>
      <c r="N260">
        <v>224.55028701145699</v>
      </c>
      <c r="O260">
        <v>41.382469324287797</v>
      </c>
      <c r="P260">
        <v>11.4343671769649</v>
      </c>
      <c r="Q260">
        <v>0</v>
      </c>
      <c r="R260">
        <v>0</v>
      </c>
      <c r="S260">
        <v>0</v>
      </c>
      <c r="T260">
        <v>277.36712351271001</v>
      </c>
      <c r="U260">
        <v>4061.1732048477602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6.8297289852503995E-2</v>
      </c>
      <c r="AB260">
        <v>0.46792007609383501</v>
      </c>
      <c r="AC260">
        <v>3689.5497999998902</v>
      </c>
      <c r="AD260">
        <v>39300.783879979797</v>
      </c>
      <c r="AE260">
        <v>0</v>
      </c>
      <c r="AF260">
        <v>39300.783879979797</v>
      </c>
      <c r="AG260">
        <v>4.9622201868661104</v>
      </c>
      <c r="AH260">
        <v>0</v>
      </c>
      <c r="AI260">
        <v>189.28036811039601</v>
      </c>
      <c r="AJ260">
        <v>2.3899036377575199E-2</v>
      </c>
      <c r="AK260">
        <v>0</v>
      </c>
      <c r="AL260">
        <v>68.297289852503994</v>
      </c>
    </row>
    <row r="261" spans="1:38" x14ac:dyDescent="0.35">
      <c r="A261" t="s">
        <v>130</v>
      </c>
      <c r="B261" t="s">
        <v>128</v>
      </c>
      <c r="C261">
        <v>2030</v>
      </c>
      <c r="D261" t="s">
        <v>98</v>
      </c>
      <c r="E261">
        <v>2016</v>
      </c>
      <c r="F261" t="s">
        <v>43</v>
      </c>
      <c r="G261" t="s">
        <v>35</v>
      </c>
      <c r="H261" t="s">
        <v>44</v>
      </c>
      <c r="I261">
        <v>0</v>
      </c>
      <c r="J261">
        <v>0</v>
      </c>
      <c r="K261" t="s">
        <v>99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27</v>
      </c>
      <c r="AC261" t="s">
        <v>27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68.297289852503994</v>
      </c>
    </row>
    <row r="262" spans="1:38" x14ac:dyDescent="0.35">
      <c r="A262" t="s">
        <v>130</v>
      </c>
      <c r="B262" t="s">
        <v>129</v>
      </c>
      <c r="C262">
        <v>2030</v>
      </c>
      <c r="D262" t="s">
        <v>98</v>
      </c>
      <c r="E262">
        <v>2016</v>
      </c>
      <c r="F262" t="s">
        <v>43</v>
      </c>
      <c r="G262" t="s">
        <v>35</v>
      </c>
      <c r="H262" t="s">
        <v>44</v>
      </c>
      <c r="I262">
        <v>0</v>
      </c>
      <c r="J262">
        <v>0</v>
      </c>
      <c r="K262" t="s">
        <v>99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27</v>
      </c>
      <c r="AC262" t="s">
        <v>27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68.297289852503994</v>
      </c>
    </row>
    <row r="263" spans="1:38" x14ac:dyDescent="0.35">
      <c r="A263" t="s">
        <v>130</v>
      </c>
      <c r="B263" t="s">
        <v>20</v>
      </c>
      <c r="C263">
        <v>2030</v>
      </c>
      <c r="D263" t="s">
        <v>98</v>
      </c>
      <c r="E263">
        <v>2016</v>
      </c>
      <c r="F263" t="s">
        <v>43</v>
      </c>
      <c r="G263" t="s">
        <v>35</v>
      </c>
      <c r="H263" t="s">
        <v>44</v>
      </c>
      <c r="I263">
        <v>0</v>
      </c>
      <c r="J263">
        <v>0</v>
      </c>
      <c r="K263" t="s">
        <v>99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27</v>
      </c>
      <c r="AC263" t="s">
        <v>27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68.297289852503994</v>
      </c>
    </row>
    <row r="264" spans="1:38" x14ac:dyDescent="0.35">
      <c r="A264" t="s">
        <v>130</v>
      </c>
      <c r="B264" t="s">
        <v>21</v>
      </c>
      <c r="C264">
        <v>2030</v>
      </c>
      <c r="D264" t="s">
        <v>98</v>
      </c>
      <c r="E264">
        <v>2016</v>
      </c>
      <c r="F264" t="s">
        <v>43</v>
      </c>
      <c r="G264" t="s">
        <v>35</v>
      </c>
      <c r="H264" t="s">
        <v>44</v>
      </c>
      <c r="I264">
        <v>0</v>
      </c>
      <c r="J264">
        <v>0</v>
      </c>
      <c r="K264" t="s">
        <v>99</v>
      </c>
      <c r="L264">
        <v>184.148819380661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43.5879847184911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3.0018995343445001E-2</v>
      </c>
      <c r="AC264">
        <v>236.69977828306301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68.297289852503994</v>
      </c>
    </row>
    <row r="265" spans="1:38" x14ac:dyDescent="0.35">
      <c r="A265" t="s">
        <v>130</v>
      </c>
      <c r="B265" t="s">
        <v>22</v>
      </c>
      <c r="C265">
        <v>2030</v>
      </c>
      <c r="D265" t="s">
        <v>98</v>
      </c>
      <c r="E265">
        <v>2016</v>
      </c>
      <c r="F265" t="s">
        <v>43</v>
      </c>
      <c r="G265" t="s">
        <v>35</v>
      </c>
      <c r="H265" t="s">
        <v>44</v>
      </c>
      <c r="I265">
        <v>0</v>
      </c>
      <c r="J265">
        <v>0</v>
      </c>
      <c r="K265" t="s">
        <v>99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27</v>
      </c>
      <c r="AC265" t="s">
        <v>27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68.297289852503994</v>
      </c>
    </row>
    <row r="266" spans="1:38" x14ac:dyDescent="0.35">
      <c r="A266" t="s">
        <v>130</v>
      </c>
      <c r="B266" t="s">
        <v>23</v>
      </c>
      <c r="C266">
        <v>2030</v>
      </c>
      <c r="D266" t="s">
        <v>98</v>
      </c>
      <c r="E266">
        <v>2016</v>
      </c>
      <c r="F266" t="s">
        <v>43</v>
      </c>
      <c r="G266" t="s">
        <v>35</v>
      </c>
      <c r="H266" t="s">
        <v>44</v>
      </c>
      <c r="I266">
        <v>0</v>
      </c>
      <c r="J266">
        <v>0</v>
      </c>
      <c r="K266" t="s">
        <v>99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27</v>
      </c>
      <c r="AC266" t="s">
        <v>27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68.297289852503994</v>
      </c>
    </row>
    <row r="267" spans="1:38" x14ac:dyDescent="0.35">
      <c r="A267" t="s">
        <v>130</v>
      </c>
      <c r="B267" t="s">
        <v>5</v>
      </c>
      <c r="C267">
        <v>2030</v>
      </c>
      <c r="D267" t="s">
        <v>98</v>
      </c>
      <c r="E267">
        <v>2016</v>
      </c>
      <c r="F267" t="s">
        <v>43</v>
      </c>
      <c r="G267" t="s">
        <v>35</v>
      </c>
      <c r="H267" t="s">
        <v>44</v>
      </c>
      <c r="I267">
        <v>0</v>
      </c>
      <c r="J267">
        <v>0</v>
      </c>
      <c r="K267" t="s">
        <v>99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27</v>
      </c>
      <c r="AC267" t="s">
        <v>27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68.297289852503994</v>
      </c>
    </row>
  </sheetData>
  <pageMargins left="0.7" right="0.7" top="0.75" bottom="0.75" header="0.3" footer="0.3"/>
  <pageSetup paperSize="9" orientation="portrait" horizontalDpi="4294967293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M15"/>
  <sheetViews>
    <sheetView workbookViewId="0">
      <selection activeCell="D18" sqref="D18"/>
    </sheetView>
  </sheetViews>
  <sheetFormatPr defaultRowHeight="14.5" x14ac:dyDescent="0.35"/>
  <cols>
    <col min="1" max="1" width="28.81640625" customWidth="1"/>
    <col min="2" max="2" width="23" customWidth="1"/>
    <col min="3" max="3" width="11.81640625" customWidth="1"/>
    <col min="4" max="4" width="19.54296875" customWidth="1"/>
    <col min="5" max="5" width="11.81640625" customWidth="1"/>
    <col min="6" max="6" width="23.26953125" customWidth="1"/>
    <col min="7" max="7" width="11.81640625" customWidth="1"/>
    <col min="8" max="8" width="19.81640625" bestFit="1" customWidth="1"/>
    <col min="9" max="10" width="11.81640625" bestFit="1" customWidth="1"/>
    <col min="11" max="11" width="10.90625" bestFit="1" customWidth="1"/>
    <col min="12" max="13" width="11.90625" bestFit="1" customWidth="1"/>
    <col min="14" max="17" width="11.81640625" customWidth="1"/>
    <col min="18" max="19" width="10.81640625" customWidth="1"/>
    <col min="20" max="22" width="11.81640625" customWidth="1"/>
    <col min="23" max="24" width="11.453125" customWidth="1"/>
    <col min="25" max="25" width="11.81640625" customWidth="1"/>
    <col min="26" max="29" width="15.7265625" bestFit="1" customWidth="1"/>
    <col min="30" max="30" width="12.7265625" bestFit="1" customWidth="1"/>
    <col min="31" max="31" width="9.54296875" bestFit="1" customWidth="1"/>
    <col min="32" max="32" width="12.1796875" bestFit="1" customWidth="1"/>
    <col min="33" max="33" width="6.7265625" customWidth="1"/>
    <col min="34" max="34" width="11.81640625" bestFit="1" customWidth="1"/>
  </cols>
  <sheetData>
    <row r="3" spans="1:13" x14ac:dyDescent="0.35">
      <c r="A3" s="2" t="s">
        <v>37</v>
      </c>
      <c r="B3" s="2" t="s">
        <v>4</v>
      </c>
    </row>
    <row r="4" spans="1:13" x14ac:dyDescent="0.35">
      <c r="B4" t="s">
        <v>105</v>
      </c>
      <c r="D4" t="s">
        <v>107</v>
      </c>
      <c r="F4" t="s">
        <v>109</v>
      </c>
      <c r="H4" t="s">
        <v>112</v>
      </c>
      <c r="J4" t="s">
        <v>3</v>
      </c>
    </row>
    <row r="5" spans="1:13" x14ac:dyDescent="0.35">
      <c r="B5" t="s">
        <v>98</v>
      </c>
      <c r="D5" t="s">
        <v>98</v>
      </c>
      <c r="F5" t="s">
        <v>98</v>
      </c>
      <c r="H5" t="s">
        <v>98</v>
      </c>
    </row>
    <row r="6" spans="1:13" x14ac:dyDescent="0.35">
      <c r="A6" s="2" t="s">
        <v>2</v>
      </c>
      <c r="B6" t="s">
        <v>35</v>
      </c>
      <c r="C6" t="s">
        <v>58</v>
      </c>
      <c r="D6" t="s">
        <v>35</v>
      </c>
      <c r="E6" t="s">
        <v>58</v>
      </c>
      <c r="F6" t="s">
        <v>35</v>
      </c>
      <c r="G6" t="s">
        <v>58</v>
      </c>
      <c r="H6" t="s">
        <v>35</v>
      </c>
      <c r="I6" t="s">
        <v>58</v>
      </c>
    </row>
    <row r="7" spans="1:13" x14ac:dyDescent="0.35">
      <c r="A7" s="3" t="s">
        <v>47</v>
      </c>
      <c r="B7" s="5">
        <v>0</v>
      </c>
      <c r="C7">
        <v>0</v>
      </c>
      <c r="D7" s="5">
        <v>13969.40776285159</v>
      </c>
      <c r="E7">
        <v>5503.6486169504697</v>
      </c>
      <c r="F7" s="5">
        <v>0</v>
      </c>
      <c r="G7">
        <v>0</v>
      </c>
      <c r="H7" s="5">
        <v>1167.94178182223</v>
      </c>
      <c r="I7">
        <v>462.60033213672699</v>
      </c>
      <c r="J7">
        <v>21103.598493761016</v>
      </c>
    </row>
    <row r="8" spans="1:13" x14ac:dyDescent="0.35">
      <c r="A8" s="3" t="s">
        <v>100</v>
      </c>
      <c r="B8" s="5">
        <v>416.65211679011264</v>
      </c>
      <c r="C8">
        <v>317.88904623735198</v>
      </c>
      <c r="D8" s="5">
        <v>0</v>
      </c>
      <c r="E8">
        <v>0</v>
      </c>
      <c r="F8" s="5">
        <v>179.79229392754169</v>
      </c>
      <c r="G8">
        <v>84.405264079973591</v>
      </c>
      <c r="H8" s="5">
        <v>2.0919885487341108</v>
      </c>
      <c r="I8">
        <v>0.80629711272872107</v>
      </c>
      <c r="J8">
        <v>1001.6370066964427</v>
      </c>
    </row>
    <row r="9" spans="1:13" x14ac:dyDescent="0.35">
      <c r="A9" s="3" t="s">
        <v>3</v>
      </c>
      <c r="B9" s="5">
        <v>416.65211679011264</v>
      </c>
      <c r="C9">
        <v>317.88904623735198</v>
      </c>
      <c r="D9" s="5">
        <v>13969.40776285159</v>
      </c>
      <c r="E9">
        <v>5503.6486169504697</v>
      </c>
      <c r="F9" s="5">
        <v>179.79229392754169</v>
      </c>
      <c r="G9">
        <v>84.405264079973591</v>
      </c>
      <c r="H9" s="5">
        <v>1170.0337703709642</v>
      </c>
      <c r="I9">
        <v>463.4066292494557</v>
      </c>
      <c r="J9">
        <v>22105.235500457457</v>
      </c>
    </row>
    <row r="15" spans="1:13" x14ac:dyDescent="0.35">
      <c r="B15" s="5">
        <v>5101.8278315074167</v>
      </c>
      <c r="C15" s="5">
        <v>5167.3507823892633</v>
      </c>
      <c r="D15" s="5">
        <v>5090.9637794682276</v>
      </c>
      <c r="E15" s="5">
        <v>5140.7476002517978</v>
      </c>
      <c r="F15" s="5">
        <v>5259.3538463860323</v>
      </c>
      <c r="G15" s="5">
        <v>4888.539126576029</v>
      </c>
      <c r="H15" s="5">
        <v>4472.4609331841093</v>
      </c>
      <c r="I15" s="5">
        <v>3532.9419396936851</v>
      </c>
      <c r="J15" s="5">
        <v>4353.6569402990999</v>
      </c>
      <c r="K15" s="5">
        <v>3441.8849402989599</v>
      </c>
      <c r="L15" s="5">
        <v>4588.4133437515493</v>
      </c>
      <c r="M15" s="5">
        <v>3587.8806646870644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4:K39"/>
  <sheetViews>
    <sheetView zoomScale="85" zoomScaleNormal="85" workbookViewId="0">
      <selection activeCell="D13" sqref="D13"/>
    </sheetView>
  </sheetViews>
  <sheetFormatPr defaultRowHeight="14.5" x14ac:dyDescent="0.35"/>
  <cols>
    <col min="1" max="1" width="37.26953125" customWidth="1"/>
    <col min="2" max="2" width="19.90625" customWidth="1"/>
    <col min="3" max="3" width="10.81640625" customWidth="1"/>
    <col min="4" max="4" width="20.81640625" customWidth="1"/>
    <col min="5" max="5" width="21.90625" bestFit="1" customWidth="1"/>
    <col min="6" max="6" width="20.90625" bestFit="1" customWidth="1"/>
    <col min="7" max="7" width="10.81640625" bestFit="1" customWidth="1"/>
    <col min="8" max="8" width="17.08984375" bestFit="1" customWidth="1"/>
    <col min="9" max="9" width="20.54296875" bestFit="1" customWidth="1"/>
    <col min="10" max="10" width="18.26953125" bestFit="1" customWidth="1"/>
    <col min="11" max="11" width="14.36328125" bestFit="1" customWidth="1"/>
    <col min="12" max="12" width="26.08984375" bestFit="1" customWidth="1"/>
    <col min="13" max="13" width="27.36328125" bestFit="1" customWidth="1"/>
    <col min="14" max="14" width="21.54296875" bestFit="1" customWidth="1"/>
    <col min="15" max="15" width="12.453125" customWidth="1"/>
    <col min="16" max="16" width="17.81640625" bestFit="1" customWidth="1"/>
    <col min="17" max="17" width="12.453125" bestFit="1" customWidth="1"/>
    <col min="18" max="18" width="22.6328125" bestFit="1" customWidth="1"/>
    <col min="19" max="19" width="24.453125" bestFit="1" customWidth="1"/>
    <col min="20" max="20" width="19.90625" bestFit="1" customWidth="1"/>
    <col min="21" max="21" width="19.453125" bestFit="1" customWidth="1"/>
    <col min="22" max="25" width="16.26953125" bestFit="1" customWidth="1"/>
    <col min="26" max="33" width="15.7265625" bestFit="1" customWidth="1"/>
    <col min="34" max="34" width="12.7265625" bestFit="1" customWidth="1"/>
    <col min="35" max="35" width="9.54296875" bestFit="1" customWidth="1"/>
    <col min="36" max="36" width="12.1796875" bestFit="1" customWidth="1"/>
    <col min="37" max="37" width="6.7265625" customWidth="1"/>
    <col min="38" max="38" width="12.453125" bestFit="1" customWidth="1"/>
  </cols>
  <sheetData>
    <row r="4" spans="1:6" x14ac:dyDescent="0.35">
      <c r="A4" s="2" t="s">
        <v>118</v>
      </c>
      <c r="B4" s="2" t="s">
        <v>4</v>
      </c>
    </row>
    <row r="5" spans="1:6" x14ac:dyDescent="0.35">
      <c r="A5" s="2" t="s">
        <v>2</v>
      </c>
      <c r="B5" t="s">
        <v>42</v>
      </c>
      <c r="C5" t="s">
        <v>3</v>
      </c>
    </row>
    <row r="6" spans="1:6" x14ac:dyDescent="0.35">
      <c r="A6" s="3">
        <v>2015</v>
      </c>
      <c r="B6" s="5"/>
      <c r="C6" s="5"/>
      <c r="E6" t="s">
        <v>133</v>
      </c>
      <c r="F6" t="s">
        <v>134</v>
      </c>
    </row>
    <row r="7" spans="1:6" x14ac:dyDescent="0.35">
      <c r="A7" s="4" t="s">
        <v>130</v>
      </c>
      <c r="B7" s="14">
        <v>1.0235294198740099</v>
      </c>
      <c r="C7" s="5">
        <v>1.0235294198740099</v>
      </c>
      <c r="E7">
        <v>1.2243568100228099</v>
      </c>
      <c r="F7">
        <v>1.22503125830028</v>
      </c>
    </row>
    <row r="8" spans="1:6" x14ac:dyDescent="0.35">
      <c r="A8" s="3">
        <v>2016</v>
      </c>
      <c r="B8" s="5"/>
      <c r="C8" s="5"/>
    </row>
    <row r="9" spans="1:6" x14ac:dyDescent="0.35">
      <c r="A9" s="4" t="s">
        <v>130</v>
      </c>
      <c r="B9" s="14">
        <v>1.2183418641430701</v>
      </c>
      <c r="C9" s="5">
        <v>1.2183418641430701</v>
      </c>
    </row>
    <row r="10" spans="1:6" x14ac:dyDescent="0.35">
      <c r="A10" s="3">
        <v>2017</v>
      </c>
      <c r="B10" s="5"/>
      <c r="C10" s="5"/>
    </row>
    <row r="11" spans="1:6" x14ac:dyDescent="0.35">
      <c r="A11" s="4" t="s">
        <v>130</v>
      </c>
      <c r="B11" s="14">
        <v>1.0645768397108299</v>
      </c>
      <c r="C11" s="5">
        <v>1.0645768397108299</v>
      </c>
    </row>
    <row r="12" spans="1:6" x14ac:dyDescent="0.35">
      <c r="A12" s="3">
        <v>2018</v>
      </c>
      <c r="B12" s="5"/>
      <c r="C12" s="5"/>
    </row>
    <row r="13" spans="1:6" x14ac:dyDescent="0.35">
      <c r="A13" s="4" t="s">
        <v>130</v>
      </c>
      <c r="B13" s="14">
        <v>1.2219433018860399</v>
      </c>
      <c r="C13" s="5">
        <v>1.2219433018860399</v>
      </c>
    </row>
    <row r="14" spans="1:6" x14ac:dyDescent="0.35">
      <c r="A14" s="3">
        <v>2019</v>
      </c>
      <c r="B14" s="5"/>
      <c r="C14" s="5"/>
    </row>
    <row r="15" spans="1:6" x14ac:dyDescent="0.35">
      <c r="A15" s="4" t="s">
        <v>130</v>
      </c>
      <c r="B15" s="14">
        <v>1.0785670811849899</v>
      </c>
      <c r="C15" s="5">
        <v>1.0785670811849899</v>
      </c>
    </row>
    <row r="16" spans="1:6" x14ac:dyDescent="0.35">
      <c r="A16" s="3">
        <v>2020</v>
      </c>
      <c r="B16" s="5"/>
      <c r="C16" s="5"/>
    </row>
    <row r="17" spans="1:11" x14ac:dyDescent="0.35">
      <c r="A17" s="4" t="s">
        <v>130</v>
      </c>
      <c r="B17" s="14">
        <v>1.0880856806941701</v>
      </c>
      <c r="C17" s="5">
        <v>1.0880856806941701</v>
      </c>
    </row>
    <row r="18" spans="1:11" x14ac:dyDescent="0.35">
      <c r="A18" s="3">
        <v>2021</v>
      </c>
      <c r="B18" s="5"/>
      <c r="C18" s="5"/>
    </row>
    <row r="19" spans="1:11" x14ac:dyDescent="0.35">
      <c r="A19" s="4" t="s">
        <v>130</v>
      </c>
      <c r="B19" s="14">
        <v>1.16723186985521</v>
      </c>
      <c r="C19" s="5">
        <v>1.16723186985521</v>
      </c>
    </row>
    <row r="20" spans="1:11" x14ac:dyDescent="0.35">
      <c r="A20" s="3" t="s">
        <v>3</v>
      </c>
      <c r="B20" s="5">
        <v>7.8622760573483195</v>
      </c>
      <c r="C20" s="5">
        <v>7.8622760573483195</v>
      </c>
    </row>
    <row r="31" spans="1:11" x14ac:dyDescent="0.35">
      <c r="J31" s="7" t="s">
        <v>40</v>
      </c>
      <c r="K31" s="7" t="s">
        <v>43</v>
      </c>
    </row>
    <row r="32" spans="1:11" x14ac:dyDescent="0.35">
      <c r="I32" s="6" t="s">
        <v>48</v>
      </c>
      <c r="J32" s="5">
        <v>162.75143597377601</v>
      </c>
      <c r="K32" s="5">
        <v>149.903925128163</v>
      </c>
    </row>
    <row r="33" spans="9:11" x14ac:dyDescent="0.35">
      <c r="I33" s="6" t="s">
        <v>50</v>
      </c>
      <c r="J33" s="5">
        <v>154.068129240123</v>
      </c>
      <c r="K33" s="5">
        <v>139.50726704866</v>
      </c>
    </row>
    <row r="34" spans="9:11" x14ac:dyDescent="0.35">
      <c r="I34" s="6" t="s">
        <v>49</v>
      </c>
      <c r="J34" s="5">
        <v>138.33537197381801</v>
      </c>
      <c r="K34" s="5">
        <v>125.094053644276</v>
      </c>
    </row>
    <row r="35" spans="9:11" x14ac:dyDescent="0.35">
      <c r="I35" s="6" t="s">
        <v>51</v>
      </c>
      <c r="J35" s="5">
        <v>129.652065240166</v>
      </c>
      <c r="K35" s="5">
        <v>114.69739556478</v>
      </c>
    </row>
    <row r="36" spans="9:11" x14ac:dyDescent="0.35">
      <c r="I36" s="4"/>
      <c r="J36" s="7" t="s">
        <v>40</v>
      </c>
      <c r="K36" s="7" t="s">
        <v>43</v>
      </c>
    </row>
    <row r="37" spans="9:11" x14ac:dyDescent="0.35">
      <c r="I37" s="6" t="s">
        <v>52</v>
      </c>
      <c r="J37" s="8">
        <f t="shared" ref="J37:K39" si="0">((J33-J$32)/J$32)*100</f>
        <v>-5.3353180460122918</v>
      </c>
      <c r="K37" s="8">
        <f t="shared" si="0"/>
        <v>-6.9355475986463953</v>
      </c>
    </row>
    <row r="38" spans="9:11" x14ac:dyDescent="0.35">
      <c r="I38" s="6" t="s">
        <v>53</v>
      </c>
      <c r="J38" s="8">
        <f t="shared" si="0"/>
        <v>-15.002057495758217</v>
      </c>
      <c r="K38" s="8">
        <f t="shared" si="0"/>
        <v>-16.550514913252176</v>
      </c>
    </row>
    <row r="39" spans="9:11" x14ac:dyDescent="0.35">
      <c r="I39" s="6" t="s">
        <v>54</v>
      </c>
      <c r="J39" s="8">
        <f t="shared" si="0"/>
        <v>-20.337375541769898</v>
      </c>
      <c r="K39" s="8">
        <f t="shared" si="0"/>
        <v>-23.486062511893905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S34"/>
  <sheetViews>
    <sheetView zoomScale="70" zoomScaleNormal="70" workbookViewId="0">
      <selection activeCell="C22" sqref="C22"/>
    </sheetView>
  </sheetViews>
  <sheetFormatPr defaultRowHeight="14.5" x14ac:dyDescent="0.35"/>
  <cols>
    <col min="1" max="1" width="26" customWidth="1"/>
    <col min="2" max="2" width="15.26953125" bestFit="1" customWidth="1"/>
    <col min="3" max="3" width="11.81640625" bestFit="1" customWidth="1"/>
    <col min="4" max="4" width="26.08984375" bestFit="1" customWidth="1"/>
    <col min="5" max="5" width="14.36328125" bestFit="1" customWidth="1"/>
    <col min="6" max="6" width="15.453125" bestFit="1" customWidth="1"/>
    <col min="7" max="7" width="18.81640625" bestFit="1" customWidth="1"/>
    <col min="8" max="8" width="19.90625" bestFit="1" customWidth="1"/>
    <col min="9" max="9" width="15.453125" bestFit="1" customWidth="1"/>
    <col min="10" max="10" width="22.453125" bestFit="1" customWidth="1"/>
    <col min="11" max="11" width="15.26953125" bestFit="1" customWidth="1"/>
    <col min="12" max="12" width="25" bestFit="1" customWidth="1"/>
    <col min="13" max="13" width="26.1796875" bestFit="1" customWidth="1"/>
    <col min="14" max="14" width="11.81640625" bestFit="1" customWidth="1"/>
    <col min="15" max="15" width="22.1796875" bestFit="1" customWidth="1"/>
    <col min="16" max="16" width="14.7265625" bestFit="1" customWidth="1"/>
    <col min="17" max="17" width="11.81640625" bestFit="1" customWidth="1"/>
    <col min="18" max="18" width="16.1796875" bestFit="1" customWidth="1"/>
    <col min="19" max="19" width="11.81640625" customWidth="1"/>
    <col min="20" max="20" width="26" bestFit="1" customWidth="1"/>
    <col min="21" max="21" width="42.453125" customWidth="1"/>
    <col min="22" max="22" width="26" bestFit="1" customWidth="1"/>
    <col min="23" max="23" width="42.453125" customWidth="1"/>
    <col min="24" max="24" width="30.81640625" bestFit="1" customWidth="1"/>
    <col min="25" max="25" width="47.26953125" customWidth="1"/>
    <col min="26" max="28" width="15.7265625" bestFit="1" customWidth="1"/>
    <col min="29" max="29" width="12.7265625" bestFit="1" customWidth="1"/>
    <col min="30" max="30" width="9.54296875" bestFit="1" customWidth="1"/>
    <col min="31" max="31" width="12.1796875" bestFit="1" customWidth="1"/>
    <col min="32" max="32" width="21.08984375" bestFit="1" customWidth="1"/>
    <col min="33" max="33" width="15.453125" customWidth="1"/>
    <col min="34" max="34" width="11.81640625" customWidth="1"/>
    <col min="35" max="35" width="10.7265625" bestFit="1" customWidth="1"/>
    <col min="36" max="36" width="12.1796875" bestFit="1" customWidth="1"/>
    <col min="37" max="37" width="11.81640625" customWidth="1"/>
    <col min="38" max="38" width="12.453125" bestFit="1" customWidth="1"/>
  </cols>
  <sheetData>
    <row r="4" spans="1:19" x14ac:dyDescent="0.35">
      <c r="A4" s="2" t="s">
        <v>41</v>
      </c>
      <c r="B4" s="2" t="s">
        <v>4</v>
      </c>
    </row>
    <row r="5" spans="1:19" x14ac:dyDescent="0.35">
      <c r="A5" s="2" t="s">
        <v>2</v>
      </c>
      <c r="B5" t="s">
        <v>47</v>
      </c>
      <c r="C5" t="s">
        <v>28</v>
      </c>
      <c r="D5" t="s">
        <v>106</v>
      </c>
      <c r="E5" t="s">
        <v>36</v>
      </c>
      <c r="F5" t="s">
        <v>59</v>
      </c>
      <c r="G5" t="s">
        <v>113</v>
      </c>
      <c r="H5" t="s">
        <v>114</v>
      </c>
      <c r="I5" t="s">
        <v>85</v>
      </c>
      <c r="J5" t="s">
        <v>77</v>
      </c>
      <c r="K5" t="s">
        <v>110</v>
      </c>
      <c r="L5" t="s">
        <v>115</v>
      </c>
      <c r="M5" t="s">
        <v>116</v>
      </c>
      <c r="N5" t="s">
        <v>89</v>
      </c>
      <c r="O5" t="s">
        <v>60</v>
      </c>
      <c r="P5" t="s">
        <v>22</v>
      </c>
      <c r="Q5" t="s">
        <v>5</v>
      </c>
      <c r="R5" t="s">
        <v>1</v>
      </c>
      <c r="S5" t="s">
        <v>3</v>
      </c>
    </row>
    <row r="6" spans="1:19" x14ac:dyDescent="0.35">
      <c r="A6" s="3" t="s">
        <v>109</v>
      </c>
      <c r="B6">
        <v>0</v>
      </c>
      <c r="C6">
        <v>27.957248250338189</v>
      </c>
      <c r="D6">
        <v>100.22939861491416</v>
      </c>
      <c r="E6">
        <v>30.083117550532677</v>
      </c>
      <c r="F6">
        <v>16.120782598012262</v>
      </c>
      <c r="G6">
        <v>8.8079757797852007</v>
      </c>
      <c r="H6">
        <v>11.6141513736815</v>
      </c>
      <c r="I6">
        <v>20.088928455641561</v>
      </c>
      <c r="J6">
        <v>3.2595427705966098</v>
      </c>
      <c r="K6">
        <v>8.52278026675625</v>
      </c>
      <c r="L6">
        <v>8.1168780331215409</v>
      </c>
      <c r="M6">
        <v>8.0601148309636397</v>
      </c>
      <c r="N6">
        <v>8.6750638451906212</v>
      </c>
      <c r="O6">
        <v>6.3564163034904695</v>
      </c>
      <c r="P6">
        <v>3.2881286675668113E-3</v>
      </c>
      <c r="Q6">
        <v>0.23773156601886908</v>
      </c>
      <c r="R6">
        <v>0.50888178544237306</v>
      </c>
      <c r="S6">
        <v>258.64230015315349</v>
      </c>
    </row>
    <row r="7" spans="1:19" x14ac:dyDescent="0.35">
      <c r="A7" s="4" t="s">
        <v>40</v>
      </c>
      <c r="B7">
        <v>0</v>
      </c>
      <c r="C7">
        <v>11.66063974310608</v>
      </c>
      <c r="D7">
        <v>41.421378435294599</v>
      </c>
      <c r="E7">
        <v>17.296984280362359</v>
      </c>
      <c r="I7">
        <v>20.088928455641561</v>
      </c>
      <c r="J7">
        <v>3.2595427705966098</v>
      </c>
      <c r="K7">
        <v>8.52278026675625</v>
      </c>
      <c r="O7">
        <v>2.8475276689658831</v>
      </c>
      <c r="P7">
        <v>7.2602820524113299E-4</v>
      </c>
      <c r="Q7">
        <v>5.6740117336123101E-2</v>
      </c>
      <c r="R7">
        <v>0.20719866668822801</v>
      </c>
      <c r="S7">
        <v>105.36244643295294</v>
      </c>
    </row>
    <row r="8" spans="1:19" x14ac:dyDescent="0.35">
      <c r="A8" s="9" t="s">
        <v>111</v>
      </c>
    </row>
    <row r="9" spans="1:19" x14ac:dyDescent="0.35">
      <c r="A9" s="15" t="s">
        <v>35</v>
      </c>
      <c r="B9">
        <v>0</v>
      </c>
      <c r="C9">
        <v>5.8180563976619197</v>
      </c>
      <c r="D9">
        <v>21.749185309711098</v>
      </c>
      <c r="E9">
        <v>8.5670190155073591</v>
      </c>
      <c r="I9">
        <v>9.6262544896893605</v>
      </c>
      <c r="K9">
        <v>8.52278026675625</v>
      </c>
      <c r="O9">
        <v>1.91305934196211</v>
      </c>
      <c r="P9">
        <v>7.2602820524113299E-4</v>
      </c>
      <c r="Q9">
        <v>5.6740117336123101E-2</v>
      </c>
      <c r="R9">
        <v>0.10291626485755501</v>
      </c>
      <c r="S9">
        <v>56.356737231687021</v>
      </c>
    </row>
    <row r="10" spans="1:19" x14ac:dyDescent="0.35">
      <c r="A10" s="9" t="s">
        <v>88</v>
      </c>
    </row>
    <row r="11" spans="1:19" x14ac:dyDescent="0.35">
      <c r="A11" s="15" t="s">
        <v>35</v>
      </c>
      <c r="B11">
        <v>0</v>
      </c>
      <c r="C11">
        <v>5.8425833454441598</v>
      </c>
      <c r="D11">
        <v>19.672193125583501</v>
      </c>
      <c r="E11">
        <v>8.7299652648550001</v>
      </c>
      <c r="I11">
        <v>10.462673965952201</v>
      </c>
      <c r="J11">
        <v>3.2595427705966098</v>
      </c>
      <c r="O11">
        <v>0.93446832700377302</v>
      </c>
      <c r="P11">
        <v>0</v>
      </c>
      <c r="Q11">
        <v>0</v>
      </c>
      <c r="R11">
        <v>0.104282401830673</v>
      </c>
      <c r="S11">
        <v>49.005709201265908</v>
      </c>
    </row>
    <row r="12" spans="1:19" x14ac:dyDescent="0.35">
      <c r="A12" s="4" t="s">
        <v>43</v>
      </c>
      <c r="B12">
        <v>0</v>
      </c>
      <c r="C12">
        <v>10.509713934722129</v>
      </c>
      <c r="D12">
        <v>37.968833124687499</v>
      </c>
      <c r="E12">
        <v>8.352258734146</v>
      </c>
      <c r="F12">
        <v>10.442986524987001</v>
      </c>
      <c r="G12">
        <v>8.8079757797852007</v>
      </c>
      <c r="H12">
        <v>11.6141513736815</v>
      </c>
      <c r="O12">
        <v>1.517040688205479</v>
      </c>
      <c r="P12">
        <v>1.6023106607315101E-3</v>
      </c>
      <c r="Q12">
        <v>0.10903183296083099</v>
      </c>
      <c r="R12">
        <v>0.196233129689495</v>
      </c>
      <c r="S12">
        <v>89.519827433525876</v>
      </c>
    </row>
    <row r="13" spans="1:19" x14ac:dyDescent="0.35">
      <c r="A13" s="9" t="s">
        <v>117</v>
      </c>
    </row>
    <row r="14" spans="1:19" x14ac:dyDescent="0.35">
      <c r="A14" s="15" t="s">
        <v>35</v>
      </c>
      <c r="B14">
        <v>0</v>
      </c>
      <c r="C14">
        <v>5.3007482410549196</v>
      </c>
      <c r="D14">
        <v>19.1685872565706</v>
      </c>
      <c r="E14">
        <v>8.352258734146</v>
      </c>
      <c r="G14">
        <v>8.8079757797852007</v>
      </c>
      <c r="O14">
        <v>0.69475959478372495</v>
      </c>
      <c r="P14">
        <v>0</v>
      </c>
      <c r="Q14">
        <v>0</v>
      </c>
      <c r="R14">
        <v>0.10011757251933499</v>
      </c>
      <c r="S14">
        <v>42.424447178859786</v>
      </c>
    </row>
    <row r="15" spans="1:19" x14ac:dyDescent="0.35">
      <c r="A15" s="15" t="s">
        <v>58</v>
      </c>
      <c r="B15">
        <v>0</v>
      </c>
      <c r="C15">
        <v>5.20896569366721</v>
      </c>
      <c r="D15">
        <v>18.8002458681169</v>
      </c>
      <c r="F15">
        <v>10.442986524987001</v>
      </c>
      <c r="H15">
        <v>11.6141513736815</v>
      </c>
      <c r="O15">
        <v>0.82228109342175404</v>
      </c>
      <c r="P15">
        <v>1.6023106607315101E-3</v>
      </c>
      <c r="Q15">
        <v>0.10903183296083099</v>
      </c>
      <c r="R15">
        <v>9.6115557170160001E-2</v>
      </c>
      <c r="S15">
        <v>47.095380254666082</v>
      </c>
    </row>
    <row r="16" spans="1:19" x14ac:dyDescent="0.35">
      <c r="A16" s="4" t="s">
        <v>90</v>
      </c>
      <c r="B16">
        <v>0</v>
      </c>
      <c r="C16">
        <v>5.7868945725099801</v>
      </c>
      <c r="D16">
        <v>20.839187054932047</v>
      </c>
      <c r="E16">
        <v>4.4338745360243204</v>
      </c>
      <c r="F16">
        <v>5.6777960730252603</v>
      </c>
      <c r="L16">
        <v>8.1168780331215409</v>
      </c>
      <c r="M16">
        <v>8.0601148309636397</v>
      </c>
      <c r="N16">
        <v>8.6750638451906212</v>
      </c>
      <c r="O16">
        <v>1.9918479463191079</v>
      </c>
      <c r="P16">
        <v>9.5978980159416795E-4</v>
      </c>
      <c r="Q16">
        <v>7.1959615721915005E-2</v>
      </c>
      <c r="R16">
        <v>0.10544998906465</v>
      </c>
      <c r="S16">
        <v>63.760026286674673</v>
      </c>
    </row>
    <row r="17" spans="1:19" x14ac:dyDescent="0.35">
      <c r="A17" s="9" t="s">
        <v>117</v>
      </c>
    </row>
    <row r="18" spans="1:19" x14ac:dyDescent="0.35">
      <c r="A18" s="15" t="s">
        <v>35</v>
      </c>
      <c r="B18">
        <v>0</v>
      </c>
      <c r="C18">
        <v>2.94088562448762</v>
      </c>
      <c r="D18">
        <v>10.9016957081116</v>
      </c>
      <c r="E18">
        <v>4.4338745360243204</v>
      </c>
      <c r="L18">
        <v>8.1168780331215409</v>
      </c>
      <c r="N18">
        <v>4.3375319225951303</v>
      </c>
      <c r="O18">
        <v>1.01018409647768</v>
      </c>
      <c r="P18">
        <v>3.5505622108855097E-4</v>
      </c>
      <c r="Q18">
        <v>2.77223581881159E-2</v>
      </c>
      <c r="R18">
        <v>5.3361077537537299E-2</v>
      </c>
      <c r="S18">
        <v>31.822488412764631</v>
      </c>
    </row>
    <row r="19" spans="1:19" x14ac:dyDescent="0.35">
      <c r="A19" s="15" t="s">
        <v>58</v>
      </c>
      <c r="B19">
        <v>0</v>
      </c>
      <c r="C19">
        <v>2.84600894802236</v>
      </c>
      <c r="D19">
        <v>9.9374913468204493</v>
      </c>
      <c r="F19">
        <v>5.6777960730252603</v>
      </c>
      <c r="M19">
        <v>8.0601148309636397</v>
      </c>
      <c r="N19">
        <v>4.33753192259549</v>
      </c>
      <c r="O19">
        <v>0.98166384984142796</v>
      </c>
      <c r="P19">
        <v>6.0473358050561698E-4</v>
      </c>
      <c r="Q19">
        <v>4.4237257533799097E-2</v>
      </c>
      <c r="R19">
        <v>5.2088911527112702E-2</v>
      </c>
      <c r="S19">
        <v>31.937537873910038</v>
      </c>
    </row>
    <row r="20" spans="1:19" x14ac:dyDescent="0.35">
      <c r="A20" s="3" t="s">
        <v>112</v>
      </c>
      <c r="B20">
        <v>78.788096949119691</v>
      </c>
      <c r="C20">
        <v>12.622664478771618</v>
      </c>
      <c r="D20">
        <v>0</v>
      </c>
      <c r="E20">
        <v>17.120350454437428</v>
      </c>
      <c r="F20">
        <v>9.3907867247827106</v>
      </c>
      <c r="G20">
        <v>6.2458494284425399</v>
      </c>
      <c r="H20">
        <v>8.2546061613664801</v>
      </c>
      <c r="I20">
        <v>15.718418211870969</v>
      </c>
      <c r="J20">
        <v>2.4114670941467802</v>
      </c>
      <c r="K20">
        <v>6.7142353086812996</v>
      </c>
      <c r="L20">
        <v>6.4626676692007097</v>
      </c>
      <c r="M20">
        <v>6.4656146852590997</v>
      </c>
      <c r="N20">
        <v>8.6750638451917599</v>
      </c>
      <c r="O20">
        <v>0.24984145345556902</v>
      </c>
      <c r="P20">
        <v>0</v>
      </c>
      <c r="Q20">
        <v>0</v>
      </c>
      <c r="R20">
        <v>0.35660798227633073</v>
      </c>
      <c r="S20">
        <v>179.476270447003</v>
      </c>
    </row>
    <row r="21" spans="1:19" x14ac:dyDescent="0.35">
      <c r="A21" s="4" t="s">
        <v>40</v>
      </c>
      <c r="B21">
        <v>32.597899799083599</v>
      </c>
      <c r="C21">
        <v>5.2847463128406993</v>
      </c>
      <c r="D21">
        <v>0</v>
      </c>
      <c r="E21">
        <v>9.8123261812842202</v>
      </c>
      <c r="I21">
        <v>15.718418211870969</v>
      </c>
      <c r="J21">
        <v>2.4114670941467802</v>
      </c>
      <c r="K21">
        <v>6.7142353086812996</v>
      </c>
      <c r="O21">
        <v>0.17126671087900261</v>
      </c>
      <c r="P21">
        <v>0</v>
      </c>
      <c r="Q21">
        <v>0</v>
      </c>
      <c r="R21">
        <v>0.14401892138911249</v>
      </c>
      <c r="S21">
        <v>72.854378540175688</v>
      </c>
    </row>
    <row r="22" spans="1:19" x14ac:dyDescent="0.35">
      <c r="A22" s="9" t="s">
        <v>111</v>
      </c>
    </row>
    <row r="23" spans="1:19" x14ac:dyDescent="0.35">
      <c r="A23" s="15" t="s">
        <v>35</v>
      </c>
      <c r="B23">
        <v>16.704261422051999</v>
      </c>
      <c r="C23">
        <v>2.7266810275864199</v>
      </c>
      <c r="D23">
        <v>0</v>
      </c>
      <c r="E23">
        <v>4.9430476836452604</v>
      </c>
      <c r="I23">
        <v>7.8118932735173399</v>
      </c>
      <c r="K23">
        <v>6.7142353086812996</v>
      </c>
      <c r="O23">
        <v>0.128000463463178</v>
      </c>
      <c r="P23">
        <v>0</v>
      </c>
      <c r="Q23">
        <v>0</v>
      </c>
      <c r="R23">
        <v>7.2321074717362696E-2</v>
      </c>
      <c r="S23">
        <v>39.100440253662867</v>
      </c>
    </row>
    <row r="24" spans="1:19" x14ac:dyDescent="0.35">
      <c r="A24" s="9" t="s">
        <v>88</v>
      </c>
    </row>
    <row r="25" spans="1:19" x14ac:dyDescent="0.35">
      <c r="A25" s="15" t="s">
        <v>35</v>
      </c>
      <c r="B25">
        <v>15.8936383770316</v>
      </c>
      <c r="C25">
        <v>2.5580652852542798</v>
      </c>
      <c r="D25">
        <v>0</v>
      </c>
      <c r="E25">
        <v>4.8692784976389598</v>
      </c>
      <c r="I25">
        <v>7.9065249383536296</v>
      </c>
      <c r="J25">
        <v>2.4114670941467802</v>
      </c>
      <c r="O25">
        <v>4.3266247415824598E-2</v>
      </c>
      <c r="P25">
        <v>0</v>
      </c>
      <c r="Q25">
        <v>0</v>
      </c>
      <c r="R25">
        <v>7.1697846671749804E-2</v>
      </c>
      <c r="S25">
        <v>33.75393828651282</v>
      </c>
    </row>
    <row r="26" spans="1:19" x14ac:dyDescent="0.35">
      <c r="A26" s="4" t="s">
        <v>43</v>
      </c>
      <c r="B26">
        <v>30.004444955969099</v>
      </c>
      <c r="C26">
        <v>4.7744743397653693</v>
      </c>
      <c r="D26">
        <v>0</v>
      </c>
      <c r="E26">
        <v>4.7342866462151401</v>
      </c>
      <c r="F26">
        <v>6.1235893263295402</v>
      </c>
      <c r="G26">
        <v>6.2458494284425399</v>
      </c>
      <c r="H26">
        <v>8.2546061613664801</v>
      </c>
      <c r="O26">
        <v>1.1991827458824499E-2</v>
      </c>
      <c r="P26">
        <v>0</v>
      </c>
      <c r="Q26">
        <v>0</v>
      </c>
      <c r="R26">
        <v>0.13819657993728268</v>
      </c>
      <c r="S26">
        <v>60.287439265484281</v>
      </c>
    </row>
    <row r="27" spans="1:19" x14ac:dyDescent="0.35">
      <c r="A27" s="9" t="s">
        <v>117</v>
      </c>
    </row>
    <row r="28" spans="1:19" x14ac:dyDescent="0.35">
      <c r="A28" s="15" t="s">
        <v>35</v>
      </c>
      <c r="B28">
        <v>15.185241184356</v>
      </c>
      <c r="C28">
        <v>2.4727955539140298</v>
      </c>
      <c r="D28">
        <v>0</v>
      </c>
      <c r="E28">
        <v>4.7342866462151401</v>
      </c>
      <c r="G28">
        <v>6.2458494284425399</v>
      </c>
      <c r="O28">
        <v>1.1991827458824499E-2</v>
      </c>
      <c r="P28">
        <v>0</v>
      </c>
      <c r="Q28">
        <v>0</v>
      </c>
      <c r="R28">
        <v>6.9582923267348898E-2</v>
      </c>
      <c r="S28">
        <v>28.719747563653883</v>
      </c>
    </row>
    <row r="29" spans="1:19" x14ac:dyDescent="0.35">
      <c r="A29" s="15" t="s">
        <v>58</v>
      </c>
      <c r="B29">
        <v>14.8192037716131</v>
      </c>
      <c r="C29">
        <v>2.3016787858513399</v>
      </c>
      <c r="D29">
        <v>0</v>
      </c>
      <c r="F29">
        <v>6.1235893263295402</v>
      </c>
      <c r="H29">
        <v>8.2546061613664801</v>
      </c>
      <c r="O29">
        <v>0</v>
      </c>
      <c r="P29">
        <v>0</v>
      </c>
      <c r="Q29">
        <v>0</v>
      </c>
      <c r="R29">
        <v>6.8613656669933798E-2</v>
      </c>
      <c r="S29">
        <v>31.567691701830395</v>
      </c>
    </row>
    <row r="30" spans="1:19" x14ac:dyDescent="0.35">
      <c r="A30" s="4" t="s">
        <v>90</v>
      </c>
      <c r="B30">
        <v>16.185752194066989</v>
      </c>
      <c r="C30">
        <v>2.5634438261655501</v>
      </c>
      <c r="D30">
        <v>0</v>
      </c>
      <c r="E30">
        <v>2.5737376269380698</v>
      </c>
      <c r="F30">
        <v>3.2671973984531699</v>
      </c>
      <c r="L30">
        <v>6.4626676692007097</v>
      </c>
      <c r="M30">
        <v>6.4656146852590997</v>
      </c>
      <c r="N30">
        <v>8.6750638451917599</v>
      </c>
      <c r="O30">
        <v>6.6582915117741906E-2</v>
      </c>
      <c r="P30">
        <v>0</v>
      </c>
      <c r="Q30">
        <v>0</v>
      </c>
      <c r="R30">
        <v>7.4392480949935599E-2</v>
      </c>
      <c r="S30">
        <v>46.334452641343027</v>
      </c>
    </row>
    <row r="31" spans="1:19" x14ac:dyDescent="0.35">
      <c r="A31" s="9" t="s">
        <v>117</v>
      </c>
    </row>
    <row r="32" spans="1:19" x14ac:dyDescent="0.35">
      <c r="A32" s="15" t="s">
        <v>35</v>
      </c>
      <c r="B32">
        <v>8.37746972300579</v>
      </c>
      <c r="C32">
        <v>1.37084083862964</v>
      </c>
      <c r="D32">
        <v>0</v>
      </c>
      <c r="E32">
        <v>2.5737376269380698</v>
      </c>
      <c r="L32">
        <v>6.4626676692007097</v>
      </c>
      <c r="N32">
        <v>4.33753192259607</v>
      </c>
      <c r="O32">
        <v>6.6582915117741906E-2</v>
      </c>
      <c r="P32">
        <v>0</v>
      </c>
      <c r="Q32">
        <v>0</v>
      </c>
      <c r="R32">
        <v>3.7656721943613601E-2</v>
      </c>
      <c r="S32">
        <v>23.226487417431635</v>
      </c>
    </row>
    <row r="33" spans="1:19" x14ac:dyDescent="0.35">
      <c r="A33" s="15" t="s">
        <v>58</v>
      </c>
      <c r="B33">
        <v>7.8082824710612</v>
      </c>
      <c r="C33">
        <v>1.1926029875359101</v>
      </c>
      <c r="D33">
        <v>0</v>
      </c>
      <c r="F33">
        <v>3.2671973984531699</v>
      </c>
      <c r="M33">
        <v>6.4656146852590997</v>
      </c>
      <c r="N33">
        <v>4.3375319225956899</v>
      </c>
      <c r="O33">
        <v>0</v>
      </c>
      <c r="P33">
        <v>0</v>
      </c>
      <c r="Q33">
        <v>0</v>
      </c>
      <c r="R33">
        <v>3.6735759006321998E-2</v>
      </c>
      <c r="S33">
        <v>23.107965223911393</v>
      </c>
    </row>
    <row r="34" spans="1:19" x14ac:dyDescent="0.35">
      <c r="A34" s="3" t="s">
        <v>3</v>
      </c>
      <c r="B34">
        <v>78.788096949119691</v>
      </c>
      <c r="C34">
        <v>40.579912729109815</v>
      </c>
      <c r="D34">
        <v>100.22939861491416</v>
      </c>
      <c r="E34">
        <v>47.203468004970105</v>
      </c>
      <c r="F34">
        <v>25.511569322794973</v>
      </c>
      <c r="G34">
        <v>15.053825208227741</v>
      </c>
      <c r="H34">
        <v>19.86875753504798</v>
      </c>
      <c r="I34">
        <v>35.807346667512526</v>
      </c>
      <c r="J34">
        <v>5.6710098647433895</v>
      </c>
      <c r="K34">
        <v>15.23701557543755</v>
      </c>
      <c r="L34">
        <v>14.57954570232225</v>
      </c>
      <c r="M34">
        <v>14.525729516222739</v>
      </c>
      <c r="N34">
        <v>17.350127690382383</v>
      </c>
      <c r="O34">
        <v>6.6062577569460386</v>
      </c>
      <c r="P34">
        <v>3.2881286675668113E-3</v>
      </c>
      <c r="Q34">
        <v>0.23773156601886908</v>
      </c>
      <c r="R34">
        <v>0.8654897677187039</v>
      </c>
      <c r="S34">
        <v>438.11857060015643</v>
      </c>
    </row>
  </sheetData>
  <pageMargins left="0.7" right="0.7" top="0.75" bottom="0.75" header="0.3" footer="0.3"/>
  <pageSetup orientation="portrait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14"/>
  <sheetViews>
    <sheetView topLeftCell="A28" workbookViewId="0">
      <selection activeCell="H11" sqref="H11"/>
    </sheetView>
  </sheetViews>
  <sheetFormatPr defaultRowHeight="14.5" x14ac:dyDescent="0.35"/>
  <cols>
    <col min="1" max="1" width="28.81640625" bestFit="1" customWidth="1"/>
    <col min="2" max="2" width="15.26953125" customWidth="1"/>
    <col min="3" max="3" width="11.81640625" bestFit="1" customWidth="1"/>
    <col min="4" max="4" width="33" customWidth="1"/>
    <col min="5" max="5" width="11.81640625" customWidth="1"/>
    <col min="6" max="6" width="14.6328125" customWidth="1"/>
    <col min="7" max="7" width="11.81640625" customWidth="1"/>
    <col min="8" max="10" width="15.7265625" customWidth="1"/>
    <col min="11" max="11" width="15.7265625" bestFit="1" customWidth="1"/>
    <col min="12" max="14" width="15.7265625" customWidth="1"/>
    <col min="15" max="15" width="9.54296875" customWidth="1"/>
    <col min="16" max="16" width="12.1796875" customWidth="1"/>
    <col min="17" max="17" width="11.81640625" customWidth="1"/>
    <col min="18" max="18" width="22.6328125" bestFit="1" customWidth="1"/>
    <col min="19" max="19" width="24.453125" bestFit="1" customWidth="1"/>
    <col min="20" max="20" width="19.90625" bestFit="1" customWidth="1"/>
    <col min="21" max="21" width="19.453125" bestFit="1" customWidth="1"/>
    <col min="22" max="25" width="16.26953125" bestFit="1" customWidth="1"/>
    <col min="26" max="33" width="15.7265625" bestFit="1" customWidth="1"/>
    <col min="34" max="34" width="12.7265625" bestFit="1" customWidth="1"/>
    <col min="35" max="35" width="9.54296875" bestFit="1" customWidth="1"/>
    <col min="36" max="36" width="12.1796875" bestFit="1" customWidth="1"/>
    <col min="37" max="37" width="6.7265625" customWidth="1"/>
    <col min="38" max="38" width="12.453125" bestFit="1" customWidth="1"/>
  </cols>
  <sheetData>
    <row r="1" spans="1:3" x14ac:dyDescent="0.35">
      <c r="A1" s="2" t="s">
        <v>26</v>
      </c>
      <c r="B1" t="s">
        <v>35</v>
      </c>
    </row>
    <row r="2" spans="1:3" x14ac:dyDescent="0.35">
      <c r="A2" s="2" t="s">
        <v>34</v>
      </c>
      <c r="B2" t="s">
        <v>80</v>
      </c>
    </row>
    <row r="4" spans="1:3" x14ac:dyDescent="0.35">
      <c r="A4" s="2" t="s">
        <v>37</v>
      </c>
      <c r="B4" s="2" t="s">
        <v>4</v>
      </c>
    </row>
    <row r="5" spans="1:3" x14ac:dyDescent="0.35">
      <c r="A5" s="2" t="s">
        <v>2</v>
      </c>
      <c r="B5" t="s">
        <v>47</v>
      </c>
      <c r="C5" t="s">
        <v>3</v>
      </c>
    </row>
    <row r="6" spans="1:3" x14ac:dyDescent="0.35">
      <c r="A6" s="3" t="s">
        <v>105</v>
      </c>
      <c r="B6">
        <v>0</v>
      </c>
      <c r="C6">
        <v>0</v>
      </c>
    </row>
    <row r="7" spans="1:3" x14ac:dyDescent="0.35">
      <c r="A7" s="4" t="s">
        <v>98</v>
      </c>
      <c r="B7">
        <v>0</v>
      </c>
      <c r="C7">
        <v>0</v>
      </c>
    </row>
    <row r="8" spans="1:3" x14ac:dyDescent="0.35">
      <c r="A8" s="3" t="s">
        <v>107</v>
      </c>
      <c r="B8">
        <v>13967.877607748551</v>
      </c>
      <c r="C8">
        <v>13967.877607748551</v>
      </c>
    </row>
    <row r="9" spans="1:3" x14ac:dyDescent="0.35">
      <c r="A9" s="4" t="s">
        <v>98</v>
      </c>
      <c r="B9">
        <v>13967.877607748551</v>
      </c>
      <c r="C9">
        <v>13967.877607748551</v>
      </c>
    </row>
    <row r="10" spans="1:3" x14ac:dyDescent="0.35">
      <c r="A10" s="3" t="s">
        <v>109</v>
      </c>
      <c r="B10">
        <v>0</v>
      </c>
      <c r="C10">
        <v>0</v>
      </c>
    </row>
    <row r="11" spans="1:3" x14ac:dyDescent="0.35">
      <c r="A11" s="4" t="s">
        <v>98</v>
      </c>
      <c r="B11">
        <v>0</v>
      </c>
      <c r="C11">
        <v>0</v>
      </c>
    </row>
    <row r="12" spans="1:3" x14ac:dyDescent="0.35">
      <c r="A12" s="3" t="s">
        <v>112</v>
      </c>
      <c r="B12">
        <v>1396.7377761603821</v>
      </c>
      <c r="C12">
        <v>1396.7377761603821</v>
      </c>
    </row>
    <row r="13" spans="1:3" x14ac:dyDescent="0.35">
      <c r="A13" s="4" t="s">
        <v>98</v>
      </c>
      <c r="B13">
        <v>1396.7377761603821</v>
      </c>
      <c r="C13">
        <v>1396.7377761603821</v>
      </c>
    </row>
    <row r="14" spans="1:3" x14ac:dyDescent="0.35">
      <c r="A14" s="3" t="s">
        <v>3</v>
      </c>
      <c r="B14">
        <v>15364.615383908933</v>
      </c>
      <c r="C14">
        <v>15364.615383908933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4:G29"/>
  <sheetViews>
    <sheetView workbookViewId="0">
      <selection activeCell="G23" sqref="G23"/>
    </sheetView>
  </sheetViews>
  <sheetFormatPr defaultRowHeight="14.5" x14ac:dyDescent="0.35"/>
  <cols>
    <col min="1" max="1" width="32.54296875" customWidth="1"/>
    <col min="2" max="2" width="19.54296875" customWidth="1"/>
    <col min="3" max="3" width="12.453125" bestFit="1" customWidth="1"/>
    <col min="4" max="4" width="11.81640625" bestFit="1" customWidth="1"/>
    <col min="5" max="5" width="11.81640625" customWidth="1"/>
    <col min="6" max="6" width="11.81640625" bestFit="1" customWidth="1"/>
    <col min="7" max="7" width="23.26953125" bestFit="1" customWidth="1"/>
    <col min="8" max="8" width="11.81640625" bestFit="1" customWidth="1"/>
    <col min="9" max="9" width="19.81640625" bestFit="1" customWidth="1"/>
    <col min="10" max="11" width="11.81640625" bestFit="1" customWidth="1"/>
    <col min="12" max="15" width="11.81640625" customWidth="1"/>
    <col min="16" max="17" width="12.453125" customWidth="1"/>
    <col min="18" max="22" width="11.81640625" customWidth="1"/>
    <col min="23" max="23" width="16.54296875" customWidth="1"/>
    <col min="24" max="24" width="11.81640625" customWidth="1"/>
    <col min="25" max="25" width="19.54296875" customWidth="1"/>
    <col min="26" max="26" width="18" customWidth="1"/>
    <col min="27" max="27" width="11.81640625" customWidth="1"/>
    <col min="28" max="28" width="21.08984375" customWidth="1"/>
    <col min="29" max="29" width="18.90625" customWidth="1"/>
    <col min="30" max="30" width="11.81640625" customWidth="1"/>
    <col min="31" max="31" width="21.90625" customWidth="1"/>
    <col min="32" max="32" width="16.1796875" customWidth="1"/>
    <col min="33" max="33" width="19.1796875" customWidth="1"/>
    <col min="34" max="34" width="17.26953125" customWidth="1"/>
    <col min="35" max="35" width="20.26953125" customWidth="1"/>
    <col min="36" max="36" width="21.26953125" customWidth="1"/>
    <col min="37" max="37" width="24.26953125" customWidth="1"/>
    <col min="38" max="38" width="20.26953125" customWidth="1"/>
    <col min="39" max="39" width="10.81640625" customWidth="1"/>
    <col min="40" max="40" width="23.26953125" customWidth="1"/>
    <col min="41" max="41" width="22.36328125" customWidth="1"/>
    <col min="42" max="42" width="25.453125" customWidth="1"/>
    <col min="43" max="43" width="11.81640625" customWidth="1"/>
    <col min="44" max="44" width="16.54296875" customWidth="1"/>
    <col min="45" max="45" width="11.81640625" customWidth="1"/>
    <col min="46" max="46" width="19.54296875" customWidth="1"/>
    <col min="47" max="47" width="18" customWidth="1"/>
    <col min="48" max="48" width="11.81640625" customWidth="1"/>
    <col min="49" max="49" width="21.08984375" customWidth="1"/>
    <col min="50" max="50" width="18.90625" customWidth="1"/>
    <col min="51" max="51" width="11.81640625" customWidth="1"/>
    <col min="52" max="52" width="21.90625" customWidth="1"/>
    <col min="53" max="53" width="16.1796875" customWidth="1"/>
    <col min="54" max="54" width="19.1796875" customWidth="1"/>
    <col min="55" max="55" width="17.26953125" customWidth="1"/>
    <col min="56" max="56" width="20.26953125" customWidth="1"/>
    <col min="57" max="57" width="21.26953125" customWidth="1"/>
    <col min="58" max="58" width="24.26953125" customWidth="1"/>
    <col min="59" max="59" width="20.26953125" customWidth="1"/>
    <col min="60" max="60" width="11.81640625" customWidth="1"/>
    <col min="61" max="61" width="23.26953125" customWidth="1"/>
    <col min="62" max="62" width="22.36328125" customWidth="1"/>
    <col min="63" max="63" width="25.453125" customWidth="1"/>
    <col min="64" max="64" width="11.81640625" customWidth="1"/>
    <col min="65" max="65" width="17.26953125" customWidth="1"/>
    <col min="66" max="66" width="18" customWidth="1"/>
    <col min="67" max="67" width="11.81640625" customWidth="1"/>
    <col min="68" max="68" width="21.08984375" customWidth="1"/>
    <col min="69" max="69" width="16.1796875" customWidth="1"/>
    <col min="70" max="70" width="19.1796875" customWidth="1"/>
    <col min="71" max="71" width="17.26953125" customWidth="1"/>
    <col min="72" max="72" width="20.26953125" customWidth="1"/>
    <col min="73" max="73" width="21.26953125" customWidth="1"/>
    <col min="74" max="74" width="24.26953125" bestFit="1" customWidth="1"/>
    <col min="75" max="75" width="20.26953125" bestFit="1" customWidth="1"/>
    <col min="76" max="76" width="12.453125" bestFit="1" customWidth="1"/>
    <col min="77" max="77" width="23.26953125" bestFit="1" customWidth="1"/>
    <col min="78" max="78" width="22.36328125" bestFit="1" customWidth="1"/>
    <col min="79" max="79" width="25.453125" bestFit="1" customWidth="1"/>
    <col min="80" max="80" width="11.81640625" bestFit="1" customWidth="1"/>
    <col min="81" max="81" width="16.54296875" bestFit="1" customWidth="1"/>
    <col min="82" max="82" width="12.453125" bestFit="1" customWidth="1"/>
    <col min="83" max="83" width="19.54296875" bestFit="1" customWidth="1"/>
    <col min="84" max="84" width="18" bestFit="1" customWidth="1"/>
    <col min="85" max="85" width="11.81640625" bestFit="1" customWidth="1"/>
    <col min="86" max="86" width="21.08984375" bestFit="1" customWidth="1"/>
    <col min="87" max="87" width="18.90625" bestFit="1" customWidth="1"/>
    <col min="88" max="88" width="12.453125" bestFit="1" customWidth="1"/>
    <col min="89" max="89" width="21.90625" bestFit="1" customWidth="1"/>
    <col min="90" max="90" width="16.1796875" bestFit="1" customWidth="1"/>
    <col min="91" max="91" width="19.1796875" bestFit="1" customWidth="1"/>
    <col min="92" max="92" width="17.26953125" bestFit="1" customWidth="1"/>
    <col min="93" max="93" width="20.26953125" bestFit="1" customWidth="1"/>
    <col min="94" max="94" width="21.26953125" bestFit="1" customWidth="1"/>
    <col min="95" max="95" width="24.26953125" bestFit="1" customWidth="1"/>
    <col min="96" max="96" width="20.26953125" bestFit="1" customWidth="1"/>
    <col min="97" max="97" width="11.81640625" bestFit="1" customWidth="1"/>
    <col min="98" max="98" width="23.26953125" bestFit="1" customWidth="1"/>
    <col min="99" max="99" width="22.36328125" bestFit="1" customWidth="1"/>
    <col min="100" max="100" width="25.453125" bestFit="1" customWidth="1"/>
    <col min="101" max="101" width="11.81640625" bestFit="1" customWidth="1"/>
    <col min="102" max="102" width="16.54296875" bestFit="1" customWidth="1"/>
    <col min="103" max="103" width="11.81640625" bestFit="1" customWidth="1"/>
    <col min="104" max="104" width="19.54296875" bestFit="1" customWidth="1"/>
    <col min="105" max="105" width="18" bestFit="1" customWidth="1"/>
    <col min="106" max="106" width="11.81640625" bestFit="1" customWidth="1"/>
    <col min="107" max="107" width="21.08984375" bestFit="1" customWidth="1"/>
    <col min="108" max="108" width="18.90625" bestFit="1" customWidth="1"/>
    <col min="109" max="109" width="10.81640625" bestFit="1" customWidth="1"/>
    <col min="110" max="110" width="21.90625" bestFit="1" customWidth="1"/>
    <col min="111" max="111" width="16.1796875" bestFit="1" customWidth="1"/>
    <col min="112" max="112" width="19.1796875" bestFit="1" customWidth="1"/>
    <col min="113" max="113" width="17.26953125" bestFit="1" customWidth="1"/>
    <col min="114" max="114" width="20.26953125" bestFit="1" customWidth="1"/>
    <col min="115" max="115" width="21.26953125" bestFit="1" customWidth="1"/>
    <col min="116" max="116" width="24.26953125" bestFit="1" customWidth="1"/>
    <col min="117" max="117" width="20.26953125" bestFit="1" customWidth="1"/>
    <col min="118" max="118" width="11.81640625" bestFit="1" customWidth="1"/>
    <col min="119" max="119" width="23.26953125" bestFit="1" customWidth="1"/>
    <col min="120" max="120" width="22.36328125" bestFit="1" customWidth="1"/>
    <col min="121" max="121" width="25.453125" bestFit="1" customWidth="1"/>
    <col min="122" max="124" width="11.81640625" bestFit="1" customWidth="1"/>
  </cols>
  <sheetData>
    <row r="4" spans="1:4" x14ac:dyDescent="0.35">
      <c r="A4" s="2" t="s">
        <v>119</v>
      </c>
      <c r="B4" s="2" t="s">
        <v>4</v>
      </c>
    </row>
    <row r="5" spans="1:4" x14ac:dyDescent="0.35">
      <c r="B5" t="s">
        <v>107</v>
      </c>
      <c r="D5" t="s">
        <v>3</v>
      </c>
    </row>
    <row r="6" spans="1:4" x14ac:dyDescent="0.35">
      <c r="B6" t="s">
        <v>98</v>
      </c>
    </row>
    <row r="7" spans="1:4" x14ac:dyDescent="0.35">
      <c r="B7" t="s">
        <v>43</v>
      </c>
    </row>
    <row r="8" spans="1:4" x14ac:dyDescent="0.35">
      <c r="B8" t="s">
        <v>44</v>
      </c>
    </row>
    <row r="9" spans="1:4" x14ac:dyDescent="0.35">
      <c r="A9" s="2" t="s">
        <v>2</v>
      </c>
      <c r="B9" t="s">
        <v>35</v>
      </c>
      <c r="C9" t="s">
        <v>58</v>
      </c>
    </row>
    <row r="10" spans="1:4" x14ac:dyDescent="0.35">
      <c r="A10" s="3" t="s">
        <v>5</v>
      </c>
      <c r="B10">
        <v>0</v>
      </c>
      <c r="C10">
        <v>0</v>
      </c>
      <c r="D10">
        <v>0</v>
      </c>
    </row>
    <row r="11" spans="1:4" x14ac:dyDescent="0.35">
      <c r="A11" s="3" t="s">
        <v>22</v>
      </c>
      <c r="B11">
        <v>0</v>
      </c>
      <c r="C11">
        <v>0</v>
      </c>
      <c r="D11">
        <v>0</v>
      </c>
    </row>
    <row r="12" spans="1:4" x14ac:dyDescent="0.35">
      <c r="A12" s="3" t="s">
        <v>1</v>
      </c>
      <c r="B12">
        <v>4.5776804600227399</v>
      </c>
      <c r="C12">
        <v>4.5776615894314796</v>
      </c>
      <c r="D12">
        <v>9.1553420494542195</v>
      </c>
    </row>
    <row r="13" spans="1:4" x14ac:dyDescent="0.35">
      <c r="A13" s="3" t="s">
        <v>23</v>
      </c>
      <c r="B13">
        <v>0</v>
      </c>
      <c r="C13">
        <v>0</v>
      </c>
      <c r="D13">
        <v>0</v>
      </c>
    </row>
    <row r="14" spans="1:4" x14ac:dyDescent="0.35">
      <c r="A14" s="3" t="s">
        <v>20</v>
      </c>
      <c r="B14">
        <v>0</v>
      </c>
      <c r="C14">
        <v>0</v>
      </c>
      <c r="D14">
        <v>0</v>
      </c>
    </row>
    <row r="15" spans="1:4" x14ac:dyDescent="0.35">
      <c r="A15" s="3" t="s">
        <v>21</v>
      </c>
      <c r="B15">
        <v>0</v>
      </c>
      <c r="C15">
        <v>0</v>
      </c>
      <c r="D15">
        <v>0</v>
      </c>
    </row>
    <row r="16" spans="1:4" x14ac:dyDescent="0.35">
      <c r="A16" s="3" t="s">
        <v>36</v>
      </c>
      <c r="B16">
        <v>3626.7817864641602</v>
      </c>
      <c r="D16">
        <v>3626.7817864641602</v>
      </c>
    </row>
    <row r="17" spans="1:7" x14ac:dyDescent="0.35">
      <c r="A17" s="3" t="s">
        <v>17</v>
      </c>
      <c r="B17">
        <v>0</v>
      </c>
      <c r="C17">
        <v>0</v>
      </c>
      <c r="D17">
        <v>0</v>
      </c>
    </row>
    <row r="18" spans="1:7" x14ac:dyDescent="0.35">
      <c r="A18" s="3" t="s">
        <v>18</v>
      </c>
      <c r="B18">
        <v>0</v>
      </c>
      <c r="C18">
        <v>0</v>
      </c>
      <c r="D18">
        <v>0</v>
      </c>
    </row>
    <row r="19" spans="1:7" x14ac:dyDescent="0.35">
      <c r="A19" s="3" t="s">
        <v>19</v>
      </c>
      <c r="B19">
        <v>0</v>
      </c>
      <c r="C19">
        <v>0</v>
      </c>
      <c r="D19">
        <v>0</v>
      </c>
    </row>
    <row r="20" spans="1:7" x14ac:dyDescent="0.35">
      <c r="A20" s="3" t="s">
        <v>28</v>
      </c>
      <c r="B20">
        <v>0</v>
      </c>
      <c r="C20">
        <v>0</v>
      </c>
      <c r="D20">
        <v>0</v>
      </c>
    </row>
    <row r="21" spans="1:7" x14ac:dyDescent="0.35">
      <c r="A21" s="3" t="s">
        <v>42</v>
      </c>
      <c r="B21">
        <v>161.80645161291201</v>
      </c>
      <c r="D21">
        <v>161.80645161291201</v>
      </c>
    </row>
    <row r="22" spans="1:7" x14ac:dyDescent="0.35">
      <c r="A22" s="3" t="s">
        <v>45</v>
      </c>
      <c r="B22">
        <v>0</v>
      </c>
      <c r="C22">
        <v>0</v>
      </c>
      <c r="D22">
        <v>0</v>
      </c>
    </row>
    <row r="23" spans="1:7" x14ac:dyDescent="0.35">
      <c r="A23" s="3" t="s">
        <v>55</v>
      </c>
      <c r="B23">
        <v>0.31171687336659998</v>
      </c>
      <c r="C23">
        <v>-2.2655513021167399E-15</v>
      </c>
      <c r="D23">
        <v>0.3117168733665977</v>
      </c>
      <c r="G23" s="16"/>
    </row>
    <row r="24" spans="1:7" x14ac:dyDescent="0.35">
      <c r="A24" s="3" t="s">
        <v>56</v>
      </c>
      <c r="B24">
        <v>0</v>
      </c>
      <c r="C24">
        <v>0</v>
      </c>
      <c r="D24">
        <v>0</v>
      </c>
    </row>
    <row r="25" spans="1:7" x14ac:dyDescent="0.35">
      <c r="A25" s="3" t="s">
        <v>57</v>
      </c>
      <c r="B25">
        <v>0</v>
      </c>
      <c r="C25">
        <v>0</v>
      </c>
      <c r="D25">
        <v>0</v>
      </c>
    </row>
    <row r="26" spans="1:7" x14ac:dyDescent="0.35">
      <c r="A26" s="3" t="s">
        <v>106</v>
      </c>
      <c r="B26">
        <v>0</v>
      </c>
      <c r="C26">
        <v>0</v>
      </c>
      <c r="D26">
        <v>0</v>
      </c>
    </row>
    <row r="27" spans="1:7" x14ac:dyDescent="0.35">
      <c r="A27" s="3" t="s">
        <v>59</v>
      </c>
      <c r="C27">
        <v>3258.72284397663</v>
      </c>
      <c r="D27">
        <v>3258.72284397663</v>
      </c>
    </row>
    <row r="28" spans="1:7" x14ac:dyDescent="0.35">
      <c r="A28" s="3" t="s">
        <v>108</v>
      </c>
      <c r="C28">
        <v>353.419354838679</v>
      </c>
      <c r="D28">
        <v>353.419354838679</v>
      </c>
    </row>
    <row r="29" spans="1:7" x14ac:dyDescent="0.35">
      <c r="A29" s="3" t="s">
        <v>3</v>
      </c>
      <c r="B29" s="12">
        <v>3793.4776354104615</v>
      </c>
      <c r="C29">
        <v>3616.7198604047403</v>
      </c>
      <c r="D29">
        <v>7410.1974958152023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3:X53"/>
  <sheetViews>
    <sheetView workbookViewId="0">
      <selection activeCell="J22" sqref="J22"/>
    </sheetView>
  </sheetViews>
  <sheetFormatPr defaultRowHeight="14.5" x14ac:dyDescent="0.35"/>
  <cols>
    <col min="1" max="1" width="32.1796875" customWidth="1"/>
    <col min="2" max="2" width="15.26953125" customWidth="1"/>
    <col min="3" max="8" width="5.36328125" customWidth="1"/>
    <col min="9" max="9" width="18" customWidth="1"/>
    <col min="10" max="15" width="4.81640625" customWidth="1"/>
    <col min="16" max="16" width="11.81640625" customWidth="1"/>
    <col min="17" max="17" width="12.26953125" customWidth="1"/>
    <col min="18" max="18" width="11.81640625" customWidth="1"/>
    <col min="19" max="19" width="12.26953125" customWidth="1"/>
    <col min="20" max="20" width="11.453125" customWidth="1"/>
    <col min="21" max="22" width="11.81640625" customWidth="1"/>
    <col min="23" max="23" width="10.7265625" customWidth="1"/>
    <col min="24" max="24" width="11.81640625" customWidth="1"/>
    <col min="25" max="25" width="12.26953125" customWidth="1"/>
    <col min="26" max="28" width="11.81640625" customWidth="1"/>
    <col min="29" max="29" width="21.08984375" customWidth="1"/>
    <col min="30" max="30" width="18.90625" customWidth="1"/>
    <col min="31" max="31" width="11.81640625" customWidth="1"/>
    <col min="32" max="32" width="12.08984375" customWidth="1"/>
    <col min="33" max="33" width="15.08984375" customWidth="1"/>
    <col min="34" max="35" width="11.81640625" customWidth="1"/>
    <col min="36" max="36" width="21.90625" bestFit="1" customWidth="1"/>
    <col min="37" max="37" width="22.36328125" bestFit="1" customWidth="1"/>
    <col min="38" max="38" width="10.7265625" customWidth="1"/>
    <col min="39" max="39" width="12.08984375" customWidth="1"/>
    <col min="40" max="40" width="15.08984375" bestFit="1" customWidth="1"/>
    <col min="41" max="41" width="8.08984375" customWidth="1"/>
    <col min="42" max="42" width="11" customWidth="1"/>
    <col min="43" max="43" width="25.453125" bestFit="1" customWidth="1"/>
    <col min="44" max="44" width="20.08984375" bestFit="1" customWidth="1"/>
    <col min="45" max="45" width="11.81640625" bestFit="1" customWidth="1"/>
    <col min="46" max="46" width="12.08984375" bestFit="1" customWidth="1"/>
    <col min="47" max="47" width="15.08984375" bestFit="1" customWidth="1"/>
    <col min="48" max="49" width="11.81640625" bestFit="1" customWidth="1"/>
    <col min="50" max="50" width="23.08984375" bestFit="1" customWidth="1"/>
    <col min="51" max="51" width="16.1796875" bestFit="1" customWidth="1"/>
    <col min="52" max="52" width="10.81640625" bestFit="1" customWidth="1"/>
    <col min="53" max="53" width="12.08984375" bestFit="1" customWidth="1"/>
    <col min="54" max="54" width="15.08984375" bestFit="1" customWidth="1"/>
    <col min="55" max="56" width="11.81640625" bestFit="1" customWidth="1"/>
    <col min="57" max="57" width="19.1796875" bestFit="1" customWidth="1"/>
    <col min="58" max="58" width="29.1796875" bestFit="1" customWidth="1"/>
    <col min="59" max="59" width="11.81640625" bestFit="1" customWidth="1"/>
    <col min="60" max="60" width="12.08984375" bestFit="1" customWidth="1"/>
    <col min="61" max="61" width="15.08984375" bestFit="1" customWidth="1"/>
    <col min="62" max="63" width="11.81640625" bestFit="1" customWidth="1"/>
    <col min="64" max="64" width="32.1796875" bestFit="1" customWidth="1"/>
    <col min="65" max="66" width="11.81640625" bestFit="1" customWidth="1"/>
    <col min="67" max="67" width="12.08984375" bestFit="1" customWidth="1"/>
    <col min="68" max="68" width="15.08984375" bestFit="1" customWidth="1"/>
    <col min="69" max="70" width="11.81640625" bestFit="1" customWidth="1"/>
    <col min="71" max="71" width="12.08984375" bestFit="1" customWidth="1"/>
    <col min="72" max="72" width="19.6328125" bestFit="1" customWidth="1"/>
    <col min="73" max="73" width="11.81640625" bestFit="1" customWidth="1"/>
    <col min="74" max="74" width="12.08984375" bestFit="1" customWidth="1"/>
    <col min="75" max="75" width="15.08984375" bestFit="1" customWidth="1"/>
    <col min="76" max="77" width="11.81640625" bestFit="1" customWidth="1"/>
    <col min="78" max="78" width="22.6328125" bestFit="1" customWidth="1"/>
    <col min="79" max="79" width="13.90625" bestFit="1" customWidth="1"/>
    <col min="80" max="80" width="11.81640625" bestFit="1" customWidth="1"/>
    <col min="81" max="81" width="12.08984375" bestFit="1" customWidth="1"/>
    <col min="82" max="82" width="15.08984375" bestFit="1" customWidth="1"/>
    <col min="83" max="84" width="11.81640625" bestFit="1" customWidth="1"/>
    <col min="85" max="85" width="17" bestFit="1" customWidth="1"/>
    <col min="86" max="86" width="24.453125" bestFit="1" customWidth="1"/>
    <col min="87" max="87" width="10.7265625" bestFit="1" customWidth="1"/>
    <col min="88" max="88" width="12.08984375" bestFit="1" customWidth="1"/>
    <col min="89" max="89" width="15.08984375" bestFit="1" customWidth="1"/>
    <col min="90" max="90" width="8.08984375" customWidth="1"/>
    <col min="91" max="91" width="11" bestFit="1" customWidth="1"/>
    <col min="92" max="92" width="27.453125" bestFit="1" customWidth="1"/>
    <col min="93" max="93" width="26.26953125" bestFit="1" customWidth="1"/>
    <col min="94" max="94" width="11.81640625" bestFit="1" customWidth="1"/>
    <col min="95" max="95" width="12.08984375" bestFit="1" customWidth="1"/>
    <col min="96" max="96" width="15.08984375" bestFit="1" customWidth="1"/>
    <col min="97" max="98" width="11.81640625" bestFit="1" customWidth="1"/>
    <col min="99" max="99" width="29.36328125" bestFit="1" customWidth="1"/>
    <col min="100" max="100" width="21.7265625" bestFit="1" customWidth="1"/>
    <col min="101" max="101" width="11.81640625" bestFit="1" customWidth="1"/>
    <col min="102" max="102" width="12.08984375" bestFit="1" customWidth="1"/>
    <col min="103" max="103" width="15.08984375" bestFit="1" customWidth="1"/>
    <col min="104" max="105" width="11.81640625" bestFit="1" customWidth="1"/>
    <col min="106" max="106" width="24.7265625" bestFit="1" customWidth="1"/>
    <col min="107" max="107" width="14.54296875" bestFit="1" customWidth="1"/>
    <col min="108" max="108" width="11.81640625" bestFit="1" customWidth="1"/>
    <col min="109" max="109" width="12.08984375" bestFit="1" customWidth="1"/>
    <col min="110" max="110" width="15.08984375" bestFit="1" customWidth="1"/>
    <col min="111" max="112" width="11.81640625" bestFit="1" customWidth="1"/>
    <col min="113" max="113" width="17.6328125" bestFit="1" customWidth="1"/>
    <col min="114" max="114" width="11.36328125" bestFit="1" customWidth="1"/>
    <col min="115" max="115" width="10.7265625" bestFit="1" customWidth="1"/>
    <col min="116" max="116" width="12.08984375" bestFit="1" customWidth="1"/>
    <col min="117" max="117" width="15.08984375" bestFit="1" customWidth="1"/>
    <col min="118" max="118" width="8.08984375" customWidth="1"/>
    <col min="119" max="119" width="11" bestFit="1" customWidth="1"/>
    <col min="120" max="120" width="14.36328125" bestFit="1" customWidth="1"/>
    <col min="121" max="121" width="14" bestFit="1" customWidth="1"/>
    <col min="122" max="122" width="11.81640625" bestFit="1" customWidth="1"/>
    <col min="123" max="123" width="12.08984375" bestFit="1" customWidth="1"/>
    <col min="124" max="124" width="15.08984375" bestFit="1" customWidth="1"/>
    <col min="125" max="126" width="11.81640625" bestFit="1" customWidth="1"/>
    <col min="127" max="127" width="17.08984375" bestFit="1" customWidth="1"/>
    <col min="128" max="128" width="14.453125" bestFit="1" customWidth="1"/>
    <col min="129" max="129" width="10.7265625" bestFit="1" customWidth="1"/>
    <col min="130" max="130" width="12.08984375" bestFit="1" customWidth="1"/>
    <col min="131" max="131" width="15.08984375" bestFit="1" customWidth="1"/>
    <col min="132" max="133" width="11.81640625" bestFit="1" customWidth="1"/>
    <col min="134" max="134" width="17.54296875" bestFit="1" customWidth="1"/>
    <col min="135" max="135" width="14.7265625" bestFit="1" customWidth="1"/>
    <col min="136" max="136" width="10.7265625" bestFit="1" customWidth="1"/>
    <col min="137" max="137" width="12.08984375" bestFit="1" customWidth="1"/>
    <col min="138" max="138" width="15.08984375" bestFit="1" customWidth="1"/>
    <col min="139" max="139" width="8.08984375" customWidth="1"/>
    <col min="140" max="140" width="11" bestFit="1" customWidth="1"/>
    <col min="141" max="141" width="17.7265625" bestFit="1" customWidth="1"/>
    <col min="142" max="142" width="11.81640625" bestFit="1" customWidth="1"/>
  </cols>
  <sheetData>
    <row r="3" spans="1:24" x14ac:dyDescent="0.35">
      <c r="A3" s="2" t="s">
        <v>46</v>
      </c>
      <c r="B3" s="2" t="s">
        <v>4</v>
      </c>
    </row>
    <row r="4" spans="1:24" x14ac:dyDescent="0.35">
      <c r="B4" t="s">
        <v>124</v>
      </c>
      <c r="I4" t="s">
        <v>130</v>
      </c>
    </row>
    <row r="5" spans="1:24" x14ac:dyDescent="0.35">
      <c r="B5" t="s">
        <v>35</v>
      </c>
      <c r="I5" t="s">
        <v>35</v>
      </c>
    </row>
    <row r="6" spans="1:24" x14ac:dyDescent="0.35">
      <c r="B6" t="s">
        <v>43</v>
      </c>
      <c r="I6" t="s">
        <v>43</v>
      </c>
    </row>
    <row r="7" spans="1:24" x14ac:dyDescent="0.35">
      <c r="B7" t="s">
        <v>44</v>
      </c>
      <c r="I7" t="s">
        <v>44</v>
      </c>
    </row>
    <row r="8" spans="1:24" x14ac:dyDescent="0.35">
      <c r="A8" s="2" t="s">
        <v>2</v>
      </c>
      <c r="B8">
        <v>2015</v>
      </c>
      <c r="C8">
        <v>2016</v>
      </c>
      <c r="D8">
        <v>2017</v>
      </c>
      <c r="E8">
        <v>2018</v>
      </c>
      <c r="F8">
        <v>2019</v>
      </c>
      <c r="G8">
        <v>2020</v>
      </c>
      <c r="H8">
        <v>2021</v>
      </c>
      <c r="I8">
        <v>2015</v>
      </c>
      <c r="J8">
        <v>2016</v>
      </c>
      <c r="K8">
        <v>2017</v>
      </c>
      <c r="L8">
        <v>2018</v>
      </c>
      <c r="M8">
        <v>2019</v>
      </c>
      <c r="N8">
        <v>2020</v>
      </c>
      <c r="O8">
        <v>2021</v>
      </c>
      <c r="Q8" s="17" t="s">
        <v>131</v>
      </c>
      <c r="R8" t="s">
        <v>132</v>
      </c>
    </row>
    <row r="9" spans="1:24" x14ac:dyDescent="0.35">
      <c r="A9" s="3" t="s">
        <v>101</v>
      </c>
      <c r="B9" s="5">
        <v>85.175352370948104</v>
      </c>
      <c r="C9" s="5">
        <v>96.1614179459539</v>
      </c>
      <c r="D9" s="5">
        <v>83.628262974111394</v>
      </c>
      <c r="E9" s="5">
        <v>93.714204554132607</v>
      </c>
      <c r="F9" s="5">
        <v>84.841699480269796</v>
      </c>
      <c r="G9" s="5">
        <v>88.022694697406195</v>
      </c>
      <c r="H9" s="5">
        <v>75.460038673426297</v>
      </c>
      <c r="I9" s="5">
        <v>85.548933436373403</v>
      </c>
      <c r="J9" s="5">
        <v>104.98044729223901</v>
      </c>
      <c r="K9" s="5">
        <v>85.342854176083307</v>
      </c>
      <c r="L9" s="5">
        <v>94.543189332053501</v>
      </c>
      <c r="M9" s="5">
        <v>84.863295535122504</v>
      </c>
      <c r="N9" s="5">
        <v>89.553952362204996</v>
      </c>
      <c r="O9" s="5">
        <v>77.448847781876495</v>
      </c>
      <c r="Q9" s="16">
        <v>94.5501783417225</v>
      </c>
      <c r="R9" s="5"/>
      <c r="S9" s="5"/>
      <c r="T9" s="14">
        <v>85.342854176083307</v>
      </c>
      <c r="U9" s="14">
        <v>94.543189332053501</v>
      </c>
      <c r="V9" s="14">
        <v>84.863295535122504</v>
      </c>
      <c r="W9" s="14">
        <v>89.553952362204996</v>
      </c>
      <c r="X9">
        <v>77.448847781876495</v>
      </c>
    </row>
    <row r="10" spans="1:24" x14ac:dyDescent="0.35">
      <c r="A10" s="3" t="s">
        <v>141</v>
      </c>
      <c r="B10" s="5">
        <v>184.685185489849</v>
      </c>
      <c r="C10" s="5">
        <v>218.45764285069899</v>
      </c>
      <c r="D10" s="5">
        <v>193.27424532323101</v>
      </c>
      <c r="E10" s="5">
        <v>220.47583712286601</v>
      </c>
      <c r="F10" s="5">
        <v>195.31699761637501</v>
      </c>
      <c r="G10" s="5">
        <v>195.620209708255</v>
      </c>
      <c r="H10" s="5">
        <v>215.12485472608799</v>
      </c>
      <c r="I10" s="5">
        <v>186.42419576188999</v>
      </c>
      <c r="J10" s="5">
        <v>219.16277013697399</v>
      </c>
      <c r="K10" s="5">
        <v>194.60926039629399</v>
      </c>
      <c r="L10" s="5">
        <v>223.07407492446501</v>
      </c>
      <c r="M10" s="5">
        <v>196.36014127335099</v>
      </c>
      <c r="N10" s="5">
        <v>198.07843548337399</v>
      </c>
      <c r="O10" s="5">
        <v>216.30393657190501</v>
      </c>
      <c r="Q10" s="16">
        <v>223.10336077000301</v>
      </c>
      <c r="R10" s="5"/>
      <c r="S10" s="5"/>
      <c r="T10">
        <v>194.60926039629399</v>
      </c>
      <c r="U10">
        <v>223.07407492446501</v>
      </c>
      <c r="V10">
        <v>196.36014127335099</v>
      </c>
      <c r="W10">
        <v>198.07843548337399</v>
      </c>
      <c r="X10">
        <v>216.30393657190501</v>
      </c>
    </row>
    <row r="11" spans="1:24" x14ac:dyDescent="0.35">
      <c r="A11" s="3" t="s">
        <v>102</v>
      </c>
      <c r="B11" s="16">
        <v>16.416460932431001</v>
      </c>
      <c r="C11" s="16">
        <v>19.418457142284399</v>
      </c>
      <c r="D11" s="16">
        <v>17.179932917620501</v>
      </c>
      <c r="E11" s="16">
        <v>19.5978521886992</v>
      </c>
      <c r="F11" s="16">
        <v>17.361510899233298</v>
      </c>
      <c r="G11" s="16">
        <v>17.388463085178198</v>
      </c>
      <c r="H11" s="16">
        <v>19.1222093089856</v>
      </c>
      <c r="I11" s="5">
        <v>16.571039623279098</v>
      </c>
      <c r="J11" s="5">
        <v>19.481135123286599</v>
      </c>
      <c r="K11" s="5">
        <v>17.298600924115</v>
      </c>
      <c r="L11" s="5">
        <v>19.828806659952502</v>
      </c>
      <c r="M11" s="5">
        <v>17.454234779853401</v>
      </c>
      <c r="N11" s="5">
        <v>17.6069720429666</v>
      </c>
      <c r="O11" s="5">
        <v>19.227016584169299</v>
      </c>
      <c r="Q11" s="16">
        <v>19.831409846222499</v>
      </c>
      <c r="R11" s="5"/>
      <c r="T11">
        <v>17.298600924115</v>
      </c>
      <c r="U11">
        <v>19.828806659952502</v>
      </c>
      <c r="V11">
        <v>17.454234779853401</v>
      </c>
      <c r="W11">
        <v>17.6069720429666</v>
      </c>
      <c r="X11">
        <v>19.227016584169299</v>
      </c>
    </row>
    <row r="12" spans="1:24" x14ac:dyDescent="0.35">
      <c r="A12" s="3" t="s">
        <v>104</v>
      </c>
      <c r="B12" s="5">
        <v>114.63251678103499</v>
      </c>
      <c r="C12" s="5">
        <v>205.659810348126</v>
      </c>
      <c r="D12" s="5">
        <v>195.16465100984399</v>
      </c>
      <c r="E12" s="5">
        <v>245.858007765178</v>
      </c>
      <c r="F12" s="5">
        <v>151.58288150016901</v>
      </c>
      <c r="G12" s="5">
        <v>144.54417045528501</v>
      </c>
      <c r="H12" s="5">
        <v>494.029902908824</v>
      </c>
      <c r="I12" s="5">
        <v>114.793616030363</v>
      </c>
      <c r="J12" s="5">
        <v>46.356822244338197</v>
      </c>
      <c r="K12" s="5">
        <v>163.236923202496</v>
      </c>
      <c r="L12" s="5">
        <v>231.056453662244</v>
      </c>
      <c r="M12" s="5">
        <v>156.31958116332399</v>
      </c>
      <c r="N12" s="5">
        <v>123.14769315655001</v>
      </c>
      <c r="O12" s="5">
        <v>464.413398576823</v>
      </c>
      <c r="Q12" s="16">
        <v>230.98083482201801</v>
      </c>
      <c r="R12" s="5"/>
      <c r="T12">
        <v>163.236923202496</v>
      </c>
      <c r="U12">
        <v>231.056453662244</v>
      </c>
      <c r="V12">
        <v>156.31958116332399</v>
      </c>
      <c r="W12">
        <v>123.14769315655001</v>
      </c>
      <c r="X12">
        <v>464.413398576823</v>
      </c>
    </row>
    <row r="13" spans="1:24" x14ac:dyDescent="0.35">
      <c r="A13" s="3" t="s">
        <v>126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2.9356515357022799</v>
      </c>
      <c r="O13" s="5">
        <v>0</v>
      </c>
      <c r="R13" s="5"/>
      <c r="T13">
        <v>0</v>
      </c>
      <c r="U13">
        <v>0</v>
      </c>
      <c r="V13">
        <v>0</v>
      </c>
      <c r="W13">
        <v>2.9356515357022799</v>
      </c>
      <c r="X13">
        <v>0</v>
      </c>
    </row>
    <row r="14" spans="1:24" x14ac:dyDescent="0.35">
      <c r="A14" s="3" t="s">
        <v>127</v>
      </c>
      <c r="B14" s="5">
        <v>887.81644832931499</v>
      </c>
      <c r="C14" s="5">
        <v>1110.20583762563</v>
      </c>
      <c r="D14" s="5">
        <v>958.27230622821298</v>
      </c>
      <c r="E14" s="5">
        <v>1113.7365466259801</v>
      </c>
      <c r="F14" s="5">
        <v>977.78667610196896</v>
      </c>
      <c r="G14" s="5">
        <v>981.01122236987601</v>
      </c>
      <c r="H14" s="5">
        <v>1069.6731890557</v>
      </c>
      <c r="I14" s="5">
        <v>911.612675393514</v>
      </c>
      <c r="J14" s="5">
        <v>1100.7232386042999</v>
      </c>
      <c r="K14" s="5">
        <v>955.59983846333398</v>
      </c>
      <c r="L14" s="5">
        <v>1111.5858662482401</v>
      </c>
      <c r="M14" s="5">
        <v>977.49316410915299</v>
      </c>
      <c r="N14" s="5">
        <v>974.38709462625798</v>
      </c>
      <c r="O14" s="5">
        <v>1067.8086867622601</v>
      </c>
      <c r="Q14" s="16">
        <v>1111.4910014817699</v>
      </c>
      <c r="R14" s="5"/>
      <c r="T14">
        <v>955.59983846333398</v>
      </c>
      <c r="U14">
        <v>1111.5858662482401</v>
      </c>
      <c r="V14">
        <v>977.49316410915299</v>
      </c>
      <c r="W14">
        <v>974.38709462625798</v>
      </c>
      <c r="X14">
        <v>1067.8086867622601</v>
      </c>
    </row>
    <row r="15" spans="1:24" x14ac:dyDescent="0.35">
      <c r="A15" s="3" t="s">
        <v>128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16"/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35">
      <c r="A16" s="3" t="s">
        <v>129</v>
      </c>
      <c r="B16" s="5">
        <v>28.853831842444201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16"/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35">
      <c r="A17" s="3" t="s">
        <v>103</v>
      </c>
      <c r="B17" s="5">
        <v>148.04475677727399</v>
      </c>
      <c r="C17" s="5">
        <v>277.037840184532</v>
      </c>
      <c r="D17" s="5">
        <v>113.89749548898099</v>
      </c>
      <c r="E17" s="5">
        <v>171.56889698673999</v>
      </c>
      <c r="F17" s="5">
        <v>72.121986174380297</v>
      </c>
      <c r="G17" s="5">
        <v>237.080612144556</v>
      </c>
      <c r="H17" s="5">
        <v>116.388580528137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16"/>
      <c r="T17">
        <v>0</v>
      </c>
      <c r="U17">
        <v>0</v>
      </c>
      <c r="V17">
        <v>0</v>
      </c>
      <c r="W17">
        <v>0</v>
      </c>
      <c r="X17">
        <v>0</v>
      </c>
    </row>
    <row r="19" spans="1:24" x14ac:dyDescent="0.35">
      <c r="B19">
        <v>16.416460932431001</v>
      </c>
      <c r="C19">
        <v>19.418457142284399</v>
      </c>
      <c r="D19">
        <v>17.179932917620501</v>
      </c>
      <c r="E19">
        <v>19.5978521886992</v>
      </c>
      <c r="F19">
        <v>17.361510899233298</v>
      </c>
      <c r="G19">
        <v>17.388463085178198</v>
      </c>
      <c r="H19">
        <v>19.1222093089856</v>
      </c>
    </row>
    <row r="20" spans="1:24" x14ac:dyDescent="0.35">
      <c r="B20">
        <f>B19*51.5</f>
        <v>845.44773802019654</v>
      </c>
      <c r="C20">
        <f t="shared" ref="C20:H20" si="0">C19*51.5</f>
        <v>1000.0505428276466</v>
      </c>
      <c r="D20">
        <f t="shared" si="0"/>
        <v>884.76654525745585</v>
      </c>
      <c r="E20">
        <f t="shared" si="0"/>
        <v>1009.2893877180088</v>
      </c>
      <c r="F20">
        <f t="shared" si="0"/>
        <v>894.11781131051487</v>
      </c>
      <c r="G20">
        <f t="shared" si="0"/>
        <v>895.5058488866772</v>
      </c>
      <c r="H20">
        <f t="shared" si="0"/>
        <v>984.79377941275834</v>
      </c>
      <c r="Q20" s="16"/>
    </row>
    <row r="21" spans="1:24" x14ac:dyDescent="0.35">
      <c r="Q21" s="16"/>
    </row>
    <row r="22" spans="1:24" x14ac:dyDescent="0.35">
      <c r="Q22" s="16"/>
    </row>
    <row r="23" spans="1:24" x14ac:dyDescent="0.35">
      <c r="Q23" s="16"/>
    </row>
    <row r="24" spans="1:24" x14ac:dyDescent="0.35">
      <c r="H24">
        <f>16*51</f>
        <v>816</v>
      </c>
      <c r="Q24" s="16"/>
    </row>
    <row r="40" spans="3:13" x14ac:dyDescent="0.35">
      <c r="C40" s="10" t="s">
        <v>58</v>
      </c>
      <c r="D40" s="10" t="s">
        <v>35</v>
      </c>
      <c r="E40" s="10" t="s">
        <v>58</v>
      </c>
      <c r="F40" s="10" t="s">
        <v>35</v>
      </c>
      <c r="G40" s="10" t="s">
        <v>58</v>
      </c>
      <c r="H40" s="10" t="s">
        <v>35</v>
      </c>
      <c r="I40" s="10" t="s">
        <v>58</v>
      </c>
      <c r="J40" s="10" t="s">
        <v>35</v>
      </c>
      <c r="K40" s="10" t="s">
        <v>58</v>
      </c>
      <c r="L40" s="10" t="s">
        <v>35</v>
      </c>
      <c r="M40" s="10" t="s">
        <v>58</v>
      </c>
    </row>
    <row r="41" spans="3:13" x14ac:dyDescent="0.35">
      <c r="C41" s="11">
        <v>0</v>
      </c>
      <c r="D41" s="11">
        <v>0</v>
      </c>
      <c r="E41" s="11">
        <v>0</v>
      </c>
      <c r="F41" s="11">
        <v>0</v>
      </c>
      <c r="G41" s="11">
        <v>0</v>
      </c>
      <c r="H41" s="11">
        <v>578.35661716765799</v>
      </c>
      <c r="I41" s="11">
        <v>437.15806291626598</v>
      </c>
      <c r="J41" s="11">
        <v>557.51785635784302</v>
      </c>
      <c r="K41" s="11">
        <v>436.632280445839</v>
      </c>
      <c r="L41" s="11">
        <v>733.022234306614</v>
      </c>
      <c r="M41" s="11">
        <v>454.02040166026302</v>
      </c>
    </row>
    <row r="42" spans="3:13" x14ac:dyDescent="0.35">
      <c r="C42" s="11">
        <v>1828.7830954984399</v>
      </c>
      <c r="D42" s="11">
        <v>972.27227166067496</v>
      </c>
      <c r="E42" s="11">
        <v>845.32684668181196</v>
      </c>
      <c r="F42" s="11">
        <v>1472.01291645581</v>
      </c>
      <c r="G42" s="11">
        <v>898.20229703094401</v>
      </c>
      <c r="H42" s="11">
        <v>782.62059156652003</v>
      </c>
      <c r="I42" s="11">
        <v>593.15883706413297</v>
      </c>
      <c r="J42" s="11">
        <v>0</v>
      </c>
      <c r="K42" s="11">
        <v>0</v>
      </c>
      <c r="L42" s="11">
        <v>1054.2849315803401</v>
      </c>
      <c r="M42" s="11">
        <v>657.71194632858806</v>
      </c>
    </row>
    <row r="43" spans="3:13" x14ac:dyDescent="0.35">
      <c r="C43" s="11">
        <v>0</v>
      </c>
      <c r="D43" s="11">
        <v>553.47405424466206</v>
      </c>
      <c r="E43" s="11">
        <v>380.03305333078401</v>
      </c>
      <c r="F43" s="11">
        <v>685.09121004061103</v>
      </c>
      <c r="G43" s="11">
        <v>380.66874968358701</v>
      </c>
      <c r="H43" s="11">
        <v>0</v>
      </c>
      <c r="I43" s="11">
        <v>0</v>
      </c>
      <c r="J43" s="11">
        <v>0</v>
      </c>
      <c r="K43" s="11">
        <v>0</v>
      </c>
      <c r="L43" s="11">
        <v>12.981929973638399</v>
      </c>
      <c r="M43" s="11">
        <v>46.355815679153999</v>
      </c>
    </row>
    <row r="44" spans="3:13" x14ac:dyDescent="0.35">
      <c r="C44" s="11">
        <v>0</v>
      </c>
      <c r="D44" s="11">
        <v>498.06894792229002</v>
      </c>
      <c r="E44" s="11">
        <v>568.899836413044</v>
      </c>
      <c r="F44" s="11">
        <v>0</v>
      </c>
      <c r="G44" s="11">
        <v>418.864388672968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</row>
    <row r="45" spans="3:13" x14ac:dyDescent="0.35">
      <c r="C45" s="11"/>
      <c r="D45" s="11">
        <v>17.367919423350902</v>
      </c>
      <c r="E45" s="11"/>
      <c r="F45" s="11">
        <v>20.171472021862701</v>
      </c>
      <c r="G45" s="11"/>
      <c r="H45" s="11">
        <v>10.797147796394601</v>
      </c>
      <c r="I45" s="11"/>
      <c r="J45" s="11">
        <v>10.407222435651001</v>
      </c>
      <c r="K45" s="11"/>
      <c r="L45" s="11">
        <v>13.765541647460701</v>
      </c>
      <c r="M45" s="11"/>
    </row>
    <row r="46" spans="3:13" x14ac:dyDescent="0.35">
      <c r="C46" s="11">
        <v>24.830506387468098</v>
      </c>
      <c r="D46" s="11"/>
      <c r="E46" s="11">
        <v>14.4835040968232</v>
      </c>
      <c r="F46" s="11"/>
      <c r="G46" s="11">
        <v>14.829546186985301</v>
      </c>
      <c r="H46" s="11"/>
      <c r="I46" s="11">
        <v>10.3222032082582</v>
      </c>
      <c r="J46" s="11"/>
      <c r="K46" s="11">
        <v>10.3097884000607</v>
      </c>
      <c r="L46" s="11"/>
      <c r="M46" s="11">
        <v>10.7595623112631</v>
      </c>
    </row>
    <row r="47" spans="3:13" x14ac:dyDescent="0.35">
      <c r="C47" s="11"/>
      <c r="D47" s="11">
        <v>73.234734041193207</v>
      </c>
      <c r="E47" s="11"/>
      <c r="F47" s="11">
        <v>68.308249260374595</v>
      </c>
      <c r="G47" s="11"/>
      <c r="H47" s="11">
        <v>56.903480131882198</v>
      </c>
      <c r="I47" s="11"/>
      <c r="J47" s="11">
        <v>55.064668971698602</v>
      </c>
      <c r="K47" s="11"/>
      <c r="L47" s="11">
        <v>61.145823291751597</v>
      </c>
      <c r="M47" s="11"/>
    </row>
    <row r="48" spans="3:13" x14ac:dyDescent="0.35">
      <c r="C48" s="11">
        <v>63.201940581386403</v>
      </c>
      <c r="D48" s="11"/>
      <c r="E48" s="11">
        <v>67.933280294316504</v>
      </c>
      <c r="F48" s="11"/>
      <c r="G48" s="11">
        <v>66.137770212055898</v>
      </c>
      <c r="H48" s="11"/>
      <c r="I48" s="11">
        <v>54.614831789726502</v>
      </c>
      <c r="J48" s="11"/>
      <c r="K48" s="11">
        <v>54.549144973866802</v>
      </c>
      <c r="L48" s="11"/>
      <c r="M48" s="11">
        <v>56.350726249780102</v>
      </c>
    </row>
    <row r="49" spans="3:13" x14ac:dyDescent="0.35">
      <c r="C49" s="11">
        <v>147.68774183737801</v>
      </c>
      <c r="D49" s="11">
        <v>283.67179583528099</v>
      </c>
      <c r="E49" s="11">
        <v>186.87102655433301</v>
      </c>
      <c r="F49" s="11">
        <v>138.374356635526</v>
      </c>
      <c r="G49" s="11">
        <v>129.03899984795299</v>
      </c>
      <c r="H49" s="11">
        <v>7.1537371003361798</v>
      </c>
      <c r="I49" s="11">
        <v>4.9105146100615201E-12</v>
      </c>
      <c r="J49" s="11">
        <v>0</v>
      </c>
      <c r="K49" s="11">
        <v>0</v>
      </c>
      <c r="L49" s="11">
        <v>47.6493933393511</v>
      </c>
      <c r="M49" s="11">
        <v>28.0886696998903</v>
      </c>
    </row>
    <row r="50" spans="3:13" x14ac:dyDescent="0.35">
      <c r="C50" s="11">
        <v>756.84859791126098</v>
      </c>
      <c r="D50" s="11">
        <v>104.985369179705</v>
      </c>
      <c r="E50" s="11">
        <v>364.13097582564501</v>
      </c>
      <c r="F50" s="11">
        <v>100.931825617187</v>
      </c>
      <c r="G50" s="11">
        <v>218.97991775123</v>
      </c>
      <c r="H50" s="11">
        <v>0</v>
      </c>
      <c r="I50" s="11">
        <v>0</v>
      </c>
      <c r="J50" s="11">
        <v>0</v>
      </c>
      <c r="K50" s="11">
        <v>0</v>
      </c>
      <c r="L50" s="11">
        <v>0.38577356642378602</v>
      </c>
      <c r="M50" s="11">
        <v>7.6932199746923597</v>
      </c>
    </row>
    <row r="51" spans="3:13" x14ac:dyDescent="0.35"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</row>
    <row r="52" spans="3:13" x14ac:dyDescent="0.3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</row>
    <row r="53" spans="3:13" x14ac:dyDescent="0.3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3:C55"/>
  <sheetViews>
    <sheetView workbookViewId="0">
      <selection activeCell="E14" sqref="E14"/>
    </sheetView>
  </sheetViews>
  <sheetFormatPr defaultRowHeight="14.5" x14ac:dyDescent="0.35"/>
  <cols>
    <col min="1" max="1" width="34.1796875" bestFit="1" customWidth="1"/>
    <col min="2" max="2" width="15.26953125" customWidth="1"/>
    <col min="3" max="3" width="18" bestFit="1" customWidth="1"/>
    <col min="4" max="4" width="6.1796875" customWidth="1"/>
    <col min="5" max="5" width="12.26953125" bestFit="1" customWidth="1"/>
    <col min="6" max="6" width="7" customWidth="1"/>
    <col min="7" max="7" width="12.26953125" bestFit="1" customWidth="1"/>
    <col min="8" max="8" width="19.81640625" bestFit="1" customWidth="1"/>
    <col min="9" max="9" width="3.81640625" bestFit="1" customWidth="1"/>
    <col min="10" max="10" width="6.1796875" customWidth="1"/>
    <col min="11" max="11" width="12.26953125" customWidth="1"/>
    <col min="12" max="12" width="7" customWidth="1"/>
    <col min="13" max="13" width="12.26953125" customWidth="1"/>
    <col min="14" max="14" width="11.81640625" bestFit="1" customWidth="1"/>
    <col min="15" max="16" width="11.81640625" customWidth="1"/>
    <col min="17" max="17" width="12.26953125" customWidth="1"/>
    <col min="18" max="18" width="11.81640625" customWidth="1"/>
    <col min="19" max="19" width="12.26953125" customWidth="1"/>
    <col min="20" max="20" width="19.81640625" customWidth="1"/>
    <col min="21" max="22" width="11.81640625" customWidth="1"/>
    <col min="23" max="23" width="12.26953125" customWidth="1"/>
    <col min="24" max="24" width="11.81640625" customWidth="1"/>
    <col min="25" max="25" width="12.26953125" customWidth="1"/>
    <col min="26" max="26" width="10.81640625" customWidth="1"/>
    <col min="27" max="28" width="11.81640625" customWidth="1"/>
    <col min="29" max="29" width="21.08984375" customWidth="1"/>
    <col min="30" max="30" width="18.90625" customWidth="1"/>
    <col min="31" max="31" width="11.81640625" customWidth="1"/>
    <col min="32" max="32" width="12.08984375" customWidth="1"/>
    <col min="33" max="33" width="15.08984375" customWidth="1"/>
    <col min="34" max="35" width="11.81640625" customWidth="1"/>
    <col min="36" max="36" width="21.90625" bestFit="1" customWidth="1"/>
    <col min="37" max="37" width="22.36328125" bestFit="1" customWidth="1"/>
    <col min="38" max="38" width="10.7265625" customWidth="1"/>
    <col min="39" max="39" width="12.08984375" customWidth="1"/>
    <col min="40" max="40" width="15.08984375" bestFit="1" customWidth="1"/>
    <col min="41" max="41" width="8.08984375" customWidth="1"/>
    <col min="42" max="42" width="11" customWidth="1"/>
    <col min="43" max="43" width="25.453125" bestFit="1" customWidth="1"/>
    <col min="44" max="44" width="20.08984375" bestFit="1" customWidth="1"/>
    <col min="45" max="45" width="11.81640625" bestFit="1" customWidth="1"/>
    <col min="46" max="46" width="12.08984375" bestFit="1" customWidth="1"/>
    <col min="47" max="47" width="15.08984375" bestFit="1" customWidth="1"/>
    <col min="48" max="49" width="11.81640625" bestFit="1" customWidth="1"/>
    <col min="50" max="50" width="23.08984375" bestFit="1" customWidth="1"/>
    <col min="51" max="51" width="16.1796875" bestFit="1" customWidth="1"/>
    <col min="52" max="52" width="10.81640625" bestFit="1" customWidth="1"/>
    <col min="53" max="53" width="12.08984375" bestFit="1" customWidth="1"/>
    <col min="54" max="54" width="15.08984375" bestFit="1" customWidth="1"/>
    <col min="55" max="56" width="11.81640625" bestFit="1" customWidth="1"/>
    <col min="57" max="57" width="19.1796875" bestFit="1" customWidth="1"/>
    <col min="58" max="58" width="29.1796875" bestFit="1" customWidth="1"/>
    <col min="59" max="59" width="11.81640625" bestFit="1" customWidth="1"/>
    <col min="60" max="60" width="12.08984375" bestFit="1" customWidth="1"/>
    <col min="61" max="61" width="15.08984375" bestFit="1" customWidth="1"/>
    <col min="62" max="63" width="11.81640625" bestFit="1" customWidth="1"/>
    <col min="64" max="64" width="32.1796875" bestFit="1" customWidth="1"/>
    <col min="65" max="66" width="11.81640625" bestFit="1" customWidth="1"/>
    <col min="67" max="67" width="12.08984375" bestFit="1" customWidth="1"/>
    <col min="68" max="68" width="15.08984375" bestFit="1" customWidth="1"/>
    <col min="69" max="70" width="11.81640625" bestFit="1" customWidth="1"/>
    <col min="71" max="71" width="12.08984375" bestFit="1" customWidth="1"/>
    <col min="72" max="72" width="19.6328125" bestFit="1" customWidth="1"/>
    <col min="73" max="73" width="11.81640625" bestFit="1" customWidth="1"/>
    <col min="74" max="74" width="12.08984375" bestFit="1" customWidth="1"/>
    <col min="75" max="75" width="15.08984375" bestFit="1" customWidth="1"/>
    <col min="76" max="77" width="11.81640625" bestFit="1" customWidth="1"/>
    <col min="78" max="78" width="22.6328125" bestFit="1" customWidth="1"/>
    <col min="79" max="79" width="13.90625" bestFit="1" customWidth="1"/>
    <col min="80" max="80" width="11.81640625" bestFit="1" customWidth="1"/>
    <col min="81" max="81" width="12.08984375" bestFit="1" customWidth="1"/>
    <col min="82" max="82" width="15.08984375" bestFit="1" customWidth="1"/>
    <col min="83" max="84" width="11.81640625" bestFit="1" customWidth="1"/>
    <col min="85" max="85" width="17" bestFit="1" customWidth="1"/>
    <col min="86" max="86" width="24.453125" bestFit="1" customWidth="1"/>
    <col min="87" max="87" width="10.7265625" bestFit="1" customWidth="1"/>
    <col min="88" max="88" width="12.08984375" bestFit="1" customWidth="1"/>
    <col min="89" max="89" width="15.08984375" bestFit="1" customWidth="1"/>
    <col min="90" max="90" width="8.08984375" customWidth="1"/>
    <col min="91" max="91" width="11" bestFit="1" customWidth="1"/>
    <col min="92" max="92" width="27.453125" bestFit="1" customWidth="1"/>
    <col min="93" max="93" width="26.26953125" bestFit="1" customWidth="1"/>
    <col min="94" max="94" width="11.81640625" bestFit="1" customWidth="1"/>
    <col min="95" max="95" width="12.08984375" bestFit="1" customWidth="1"/>
    <col min="96" max="96" width="15.08984375" bestFit="1" customWidth="1"/>
    <col min="97" max="98" width="11.81640625" bestFit="1" customWidth="1"/>
    <col min="99" max="99" width="29.36328125" bestFit="1" customWidth="1"/>
    <col min="100" max="100" width="21.7265625" bestFit="1" customWidth="1"/>
    <col min="101" max="101" width="11.81640625" bestFit="1" customWidth="1"/>
    <col min="102" max="102" width="12.08984375" bestFit="1" customWidth="1"/>
    <col min="103" max="103" width="15.08984375" bestFit="1" customWidth="1"/>
    <col min="104" max="105" width="11.81640625" bestFit="1" customWidth="1"/>
    <col min="106" max="106" width="24.7265625" bestFit="1" customWidth="1"/>
    <col min="107" max="107" width="14.54296875" bestFit="1" customWidth="1"/>
    <col min="108" max="108" width="11.81640625" bestFit="1" customWidth="1"/>
    <col min="109" max="109" width="12.08984375" bestFit="1" customWidth="1"/>
    <col min="110" max="110" width="15.08984375" bestFit="1" customWidth="1"/>
    <col min="111" max="112" width="11.81640625" bestFit="1" customWidth="1"/>
    <col min="113" max="113" width="17.6328125" bestFit="1" customWidth="1"/>
    <col min="114" max="114" width="11.36328125" bestFit="1" customWidth="1"/>
    <col min="115" max="115" width="10.7265625" bestFit="1" customWidth="1"/>
    <col min="116" max="116" width="12.08984375" bestFit="1" customWidth="1"/>
    <col min="117" max="117" width="15.08984375" bestFit="1" customWidth="1"/>
    <col min="118" max="118" width="8.08984375" customWidth="1"/>
    <col min="119" max="119" width="11" bestFit="1" customWidth="1"/>
    <col min="120" max="120" width="14.36328125" bestFit="1" customWidth="1"/>
    <col min="121" max="121" width="14" bestFit="1" customWidth="1"/>
    <col min="122" max="122" width="11.81640625" bestFit="1" customWidth="1"/>
    <col min="123" max="123" width="12.08984375" bestFit="1" customWidth="1"/>
    <col min="124" max="124" width="15.08984375" bestFit="1" customWidth="1"/>
    <col min="125" max="126" width="11.81640625" bestFit="1" customWidth="1"/>
    <col min="127" max="127" width="17.08984375" bestFit="1" customWidth="1"/>
    <col min="128" max="128" width="14.453125" bestFit="1" customWidth="1"/>
    <col min="129" max="129" width="10.7265625" bestFit="1" customWidth="1"/>
    <col min="130" max="130" width="12.08984375" bestFit="1" customWidth="1"/>
    <col min="131" max="131" width="15.08984375" bestFit="1" customWidth="1"/>
    <col min="132" max="133" width="11.81640625" bestFit="1" customWidth="1"/>
    <col min="134" max="134" width="17.54296875" bestFit="1" customWidth="1"/>
    <col min="135" max="135" width="14.7265625" bestFit="1" customWidth="1"/>
    <col min="136" max="136" width="10.7265625" bestFit="1" customWidth="1"/>
    <col min="137" max="137" width="12.08984375" bestFit="1" customWidth="1"/>
    <col min="138" max="138" width="15.08984375" bestFit="1" customWidth="1"/>
    <col min="139" max="139" width="8.08984375" customWidth="1"/>
    <col min="140" max="140" width="11" bestFit="1" customWidth="1"/>
    <col min="141" max="141" width="17.7265625" bestFit="1" customWidth="1"/>
    <col min="142" max="142" width="11.81640625" bestFit="1" customWidth="1"/>
  </cols>
  <sheetData>
    <row r="3" spans="1:3" x14ac:dyDescent="0.35">
      <c r="A3" s="2" t="s">
        <v>37</v>
      </c>
      <c r="B3" s="2" t="s">
        <v>4</v>
      </c>
    </row>
    <row r="4" spans="1:3" x14ac:dyDescent="0.35">
      <c r="B4" t="s">
        <v>124</v>
      </c>
      <c r="C4" t="s">
        <v>130</v>
      </c>
    </row>
    <row r="5" spans="1:3" x14ac:dyDescent="0.35">
      <c r="B5" t="s">
        <v>35</v>
      </c>
      <c r="C5" t="s">
        <v>35</v>
      </c>
    </row>
    <row r="6" spans="1:3" x14ac:dyDescent="0.35">
      <c r="B6" t="s">
        <v>43</v>
      </c>
      <c r="C6" t="s">
        <v>43</v>
      </c>
    </row>
    <row r="7" spans="1:3" x14ac:dyDescent="0.35">
      <c r="A7" s="2" t="s">
        <v>2</v>
      </c>
      <c r="B7" t="s">
        <v>44</v>
      </c>
      <c r="C7" t="s">
        <v>44</v>
      </c>
    </row>
    <row r="8" spans="1:3" x14ac:dyDescent="0.35">
      <c r="A8" s="3" t="s">
        <v>135</v>
      </c>
      <c r="B8" s="5"/>
      <c r="C8" s="5"/>
    </row>
    <row r="9" spans="1:3" x14ac:dyDescent="0.35">
      <c r="A9" s="4">
        <v>2015</v>
      </c>
      <c r="B9">
        <v>425.80645161289902</v>
      </c>
      <c r="C9">
        <v>425.80645161291199</v>
      </c>
    </row>
    <row r="10" spans="1:3" x14ac:dyDescent="0.35">
      <c r="A10" s="4">
        <v>2016</v>
      </c>
      <c r="B10">
        <v>425.80645161289601</v>
      </c>
      <c r="C10">
        <v>425.80645161290499</v>
      </c>
    </row>
    <row r="11" spans="1:3" x14ac:dyDescent="0.35">
      <c r="A11" s="4">
        <v>2017</v>
      </c>
      <c r="B11">
        <v>425.80645161289601</v>
      </c>
      <c r="C11">
        <v>425.80645161291397</v>
      </c>
    </row>
    <row r="12" spans="1:3" x14ac:dyDescent="0.35">
      <c r="A12" s="4">
        <v>2018</v>
      </c>
      <c r="B12">
        <v>425.80645161289402</v>
      </c>
      <c r="C12">
        <v>425.80645161289402</v>
      </c>
    </row>
    <row r="13" spans="1:3" x14ac:dyDescent="0.35">
      <c r="A13" s="4">
        <v>2019</v>
      </c>
      <c r="B13">
        <v>425.80645161289902</v>
      </c>
      <c r="C13">
        <v>425.80645161290403</v>
      </c>
    </row>
    <row r="14" spans="1:3" x14ac:dyDescent="0.35">
      <c r="A14" s="4">
        <v>2020</v>
      </c>
      <c r="B14">
        <v>425.80645161290403</v>
      </c>
      <c r="C14">
        <v>425.80645161290698</v>
      </c>
    </row>
    <row r="15" spans="1:3" x14ac:dyDescent="0.35">
      <c r="A15" s="4">
        <v>2021</v>
      </c>
      <c r="B15">
        <v>425.806451612898</v>
      </c>
      <c r="C15">
        <v>425.80645161291</v>
      </c>
    </row>
    <row r="16" spans="1:3" x14ac:dyDescent="0.35">
      <c r="A16" s="3" t="s">
        <v>136</v>
      </c>
      <c r="B16" s="5"/>
      <c r="C16" s="5"/>
    </row>
    <row r="17" spans="1:3" x14ac:dyDescent="0.35">
      <c r="A17" s="4">
        <v>2015</v>
      </c>
      <c r="B17">
        <v>76.655478216829593</v>
      </c>
      <c r="C17">
        <v>76.655492715764495</v>
      </c>
    </row>
    <row r="18" spans="1:3" x14ac:dyDescent="0.35">
      <c r="A18" s="4">
        <v>2016</v>
      </c>
      <c r="B18">
        <v>76.663670673245903</v>
      </c>
      <c r="C18">
        <v>76.649333404321098</v>
      </c>
    </row>
    <row r="19" spans="1:3" x14ac:dyDescent="0.35">
      <c r="A19" s="4">
        <v>2017</v>
      </c>
      <c r="B19">
        <v>76.662726108918804</v>
      </c>
      <c r="C19">
        <v>76.659852613407594</v>
      </c>
    </row>
    <row r="20" spans="1:3" x14ac:dyDescent="0.35">
      <c r="A20" s="4">
        <v>2018</v>
      </c>
      <c r="B20">
        <v>76.667288511018697</v>
      </c>
      <c r="C20">
        <v>76.665956371144702</v>
      </c>
    </row>
    <row r="21" spans="1:3" x14ac:dyDescent="0.35">
      <c r="A21" s="4">
        <v>2019</v>
      </c>
      <c r="B21">
        <v>76.658803749648001</v>
      </c>
      <c r="C21">
        <v>76.659230052625404</v>
      </c>
    </row>
    <row r="22" spans="1:3" x14ac:dyDescent="0.35">
      <c r="A22" s="4">
        <v>2020</v>
      </c>
      <c r="B22">
        <v>76.658170265660004</v>
      </c>
      <c r="C22">
        <v>76.656244582712901</v>
      </c>
    </row>
    <row r="23" spans="1:3" x14ac:dyDescent="0.35">
      <c r="A23" s="4">
        <v>2021</v>
      </c>
      <c r="B23">
        <v>76.689623981594707</v>
      </c>
      <c r="C23">
        <v>76.686958496194194</v>
      </c>
    </row>
    <row r="24" spans="1:3" x14ac:dyDescent="0.35">
      <c r="A24" s="3" t="s">
        <v>137</v>
      </c>
      <c r="B24" s="5"/>
      <c r="C24" s="5"/>
    </row>
    <row r="25" spans="1:3" x14ac:dyDescent="0.35">
      <c r="A25" s="4">
        <v>2015</v>
      </c>
      <c r="B25">
        <v>435.09649435872598</v>
      </c>
      <c r="C25">
        <v>435.09657665466602</v>
      </c>
    </row>
    <row r="26" spans="1:3" x14ac:dyDescent="0.35">
      <c r="A26" s="4">
        <v>2016</v>
      </c>
      <c r="B26">
        <v>435.14299474136499</v>
      </c>
      <c r="C26">
        <v>435.06161640294499</v>
      </c>
    </row>
    <row r="27" spans="1:3" x14ac:dyDescent="0.35">
      <c r="A27" s="4">
        <v>2017</v>
      </c>
      <c r="B27">
        <v>435.137633394224</v>
      </c>
      <c r="C27">
        <v>435.12132343371599</v>
      </c>
    </row>
    <row r="28" spans="1:3" x14ac:dyDescent="0.35">
      <c r="A28" s="4">
        <v>2018</v>
      </c>
      <c r="B28">
        <v>435.16352958852298</v>
      </c>
      <c r="C28">
        <v>435.15596836261398</v>
      </c>
    </row>
    <row r="29" spans="1:3" x14ac:dyDescent="0.35">
      <c r="A29" s="4">
        <v>2019</v>
      </c>
      <c r="B29">
        <v>435.11537008300797</v>
      </c>
      <c r="C29">
        <v>435.117789778705</v>
      </c>
    </row>
    <row r="30" spans="1:3" x14ac:dyDescent="0.35">
      <c r="A30" s="4">
        <v>2020</v>
      </c>
      <c r="B30">
        <v>435.11177442791899</v>
      </c>
      <c r="C30">
        <v>435.10084425147198</v>
      </c>
    </row>
    <row r="31" spans="1:3" x14ac:dyDescent="0.35">
      <c r="A31" s="4">
        <v>2021</v>
      </c>
      <c r="B31">
        <v>435.29030571953399</v>
      </c>
      <c r="C31">
        <v>435.27517642437698</v>
      </c>
    </row>
    <row r="32" spans="1:3" x14ac:dyDescent="0.35">
      <c r="A32" s="3" t="s">
        <v>138</v>
      </c>
      <c r="B32" s="5"/>
      <c r="C32" s="5"/>
    </row>
    <row r="33" spans="1:3" x14ac:dyDescent="0.35">
      <c r="A33" s="4">
        <v>2015</v>
      </c>
      <c r="B33">
        <v>594.84651096257505</v>
      </c>
      <c r="C33">
        <v>594.84662347431004</v>
      </c>
    </row>
    <row r="34" spans="1:3" x14ac:dyDescent="0.35">
      <c r="A34" s="4">
        <v>2016</v>
      </c>
      <c r="B34">
        <v>594.910084424405</v>
      </c>
      <c r="C34">
        <v>594.79882721752006</v>
      </c>
    </row>
    <row r="35" spans="1:3" x14ac:dyDescent="0.35">
      <c r="A35" s="4">
        <v>2017</v>
      </c>
      <c r="B35">
        <v>594.90275460524595</v>
      </c>
      <c r="C35">
        <v>594.88045628006103</v>
      </c>
    </row>
    <row r="36" spans="1:3" x14ac:dyDescent="0.35">
      <c r="A36" s="4">
        <v>2018</v>
      </c>
      <c r="B36">
        <v>594.93815884551304</v>
      </c>
      <c r="C36">
        <v>594.927821440098</v>
      </c>
    </row>
    <row r="37" spans="1:3" x14ac:dyDescent="0.35">
      <c r="A37" s="4">
        <v>2019</v>
      </c>
      <c r="B37">
        <v>594.872317097277</v>
      </c>
      <c r="C37">
        <v>594.87562520836298</v>
      </c>
    </row>
    <row r="38" spans="1:3" x14ac:dyDescent="0.35">
      <c r="A38" s="4">
        <v>2020</v>
      </c>
      <c r="B38">
        <v>594.86740126153802</v>
      </c>
      <c r="C38">
        <v>594.85245796185905</v>
      </c>
    </row>
    <row r="39" spans="1:3" x14ac:dyDescent="0.35">
      <c r="A39" s="4">
        <v>2021</v>
      </c>
      <c r="B39">
        <v>595.111482097156</v>
      </c>
      <c r="C39">
        <v>595.09079793044498</v>
      </c>
    </row>
    <row r="40" spans="1:3" x14ac:dyDescent="0.35">
      <c r="A40" s="3" t="s">
        <v>139</v>
      </c>
      <c r="B40" s="5"/>
      <c r="C40" s="5"/>
    </row>
    <row r="41" spans="1:3" x14ac:dyDescent="0.35">
      <c r="A41" s="4">
        <v>2015</v>
      </c>
      <c r="B41">
        <v>0</v>
      </c>
      <c r="C41">
        <v>0</v>
      </c>
    </row>
    <row r="42" spans="1:3" x14ac:dyDescent="0.35">
      <c r="A42" s="4">
        <v>2016</v>
      </c>
      <c r="B42">
        <v>0</v>
      </c>
      <c r="C42">
        <v>0</v>
      </c>
    </row>
    <row r="43" spans="1:3" x14ac:dyDescent="0.35">
      <c r="A43" s="4">
        <v>2017</v>
      </c>
      <c r="B43">
        <v>0</v>
      </c>
      <c r="C43">
        <v>0</v>
      </c>
    </row>
    <row r="44" spans="1:3" x14ac:dyDescent="0.35">
      <c r="A44" s="4">
        <v>2018</v>
      </c>
      <c r="B44">
        <v>0</v>
      </c>
      <c r="C44">
        <v>0</v>
      </c>
    </row>
    <row r="45" spans="1:3" x14ac:dyDescent="0.35">
      <c r="A45" s="4">
        <v>2019</v>
      </c>
      <c r="B45">
        <v>0</v>
      </c>
      <c r="C45">
        <v>0</v>
      </c>
    </row>
    <row r="46" spans="1:3" x14ac:dyDescent="0.35">
      <c r="A46" s="4">
        <v>2020</v>
      </c>
      <c r="B46">
        <v>0</v>
      </c>
      <c r="C46">
        <v>0</v>
      </c>
    </row>
    <row r="47" spans="1:3" x14ac:dyDescent="0.35">
      <c r="A47" s="4">
        <v>2021</v>
      </c>
      <c r="B47">
        <v>0</v>
      </c>
      <c r="C47">
        <v>0</v>
      </c>
    </row>
    <row r="48" spans="1:3" x14ac:dyDescent="0.35">
      <c r="A48" s="3" t="s">
        <v>140</v>
      </c>
      <c r="B48" s="5"/>
      <c r="C48" s="5"/>
    </row>
    <row r="49" spans="1:3" x14ac:dyDescent="0.35">
      <c r="A49" s="4">
        <v>2015</v>
      </c>
      <c r="B49">
        <v>14.9660571671211</v>
      </c>
      <c r="C49">
        <v>6.3992775593957001</v>
      </c>
    </row>
    <row r="50" spans="1:3" x14ac:dyDescent="0.35">
      <c r="A50" s="4">
        <v>2016</v>
      </c>
      <c r="B50">
        <v>59.664578443712401</v>
      </c>
      <c r="C50">
        <v>43.5879847184911</v>
      </c>
    </row>
    <row r="51" spans="1:3" x14ac:dyDescent="0.35">
      <c r="A51" s="4">
        <v>2017</v>
      </c>
      <c r="B51">
        <v>26.5669188975303</v>
      </c>
      <c r="C51">
        <v>19.661605116565902</v>
      </c>
    </row>
    <row r="52" spans="1:3" x14ac:dyDescent="0.35">
      <c r="A52" s="4">
        <v>2018</v>
      </c>
      <c r="B52">
        <v>41.485602668865504</v>
      </c>
      <c r="C52">
        <v>40.411265441996498</v>
      </c>
    </row>
    <row r="53" spans="1:3" x14ac:dyDescent="0.35">
      <c r="A53" s="4">
        <v>2019</v>
      </c>
      <c r="B53">
        <v>42.216611050744497</v>
      </c>
      <c r="C53">
        <v>51.248407635495703</v>
      </c>
    </row>
    <row r="54" spans="1:3" x14ac:dyDescent="0.35">
      <c r="A54" s="4">
        <v>2020</v>
      </c>
      <c r="B54">
        <v>25.0487537431632</v>
      </c>
      <c r="C54">
        <v>19.9579598593225</v>
      </c>
    </row>
    <row r="55" spans="1:3" x14ac:dyDescent="0.35">
      <c r="A55" s="4">
        <v>2021</v>
      </c>
      <c r="B55">
        <v>36.5967201301047</v>
      </c>
      <c r="C55">
        <v>37.925860320619996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4:F22"/>
  <sheetViews>
    <sheetView zoomScale="115" zoomScaleNormal="115" workbookViewId="0">
      <selection activeCell="D2" sqref="D2"/>
    </sheetView>
  </sheetViews>
  <sheetFormatPr defaultRowHeight="14.5" x14ac:dyDescent="0.35"/>
  <cols>
    <col min="1" max="1" width="27.26953125" bestFit="1" customWidth="1"/>
    <col min="2" max="2" width="22.1796875" customWidth="1"/>
    <col min="3" max="3" width="14.36328125" customWidth="1"/>
    <col min="4" max="4" width="18.81640625" customWidth="1"/>
    <col min="5" max="5" width="12.1796875" customWidth="1"/>
    <col min="6" max="6" width="12.1796875" bestFit="1" customWidth="1"/>
    <col min="7" max="7" width="22.26953125" customWidth="1"/>
    <col min="8" max="9" width="12" customWidth="1"/>
    <col min="10" max="10" width="22.1796875" customWidth="1"/>
    <col min="11" max="13" width="11.81640625" customWidth="1"/>
    <col min="14" max="14" width="12.7265625" customWidth="1"/>
    <col min="15" max="15" width="19.90625" customWidth="1"/>
    <col min="16" max="16" width="15.453125" customWidth="1"/>
    <col min="17" max="17" width="22.453125" customWidth="1"/>
    <col min="18" max="18" width="15.26953125" customWidth="1"/>
    <col min="19" max="19" width="25" customWidth="1"/>
    <col min="20" max="20" width="26.1796875" customWidth="1"/>
    <col min="21" max="21" width="7.7265625" customWidth="1"/>
    <col min="22" max="22" width="22.1796875" customWidth="1"/>
    <col min="23" max="23" width="14.7265625" customWidth="1"/>
    <col min="24" max="24" width="27.36328125" customWidth="1"/>
    <col min="25" max="25" width="26.08984375" customWidth="1"/>
    <col min="26" max="26" width="11.81640625" customWidth="1"/>
    <col min="27" max="27" width="16.1796875" customWidth="1"/>
    <col min="28" max="29" width="11.81640625" customWidth="1"/>
    <col min="30" max="30" width="26" bestFit="1" customWidth="1"/>
    <col min="31" max="31" width="27.26953125" customWidth="1"/>
    <col min="32" max="32" width="26" bestFit="1" customWidth="1"/>
    <col min="33" max="33" width="27.26953125" customWidth="1"/>
    <col min="34" max="34" width="30.81640625" customWidth="1"/>
    <col min="35" max="35" width="32.08984375" customWidth="1"/>
    <col min="36" max="36" width="12.1796875" bestFit="1" customWidth="1"/>
    <col min="37" max="37" width="11.81640625" customWidth="1"/>
    <col min="38" max="38" width="12.453125" bestFit="1" customWidth="1"/>
  </cols>
  <sheetData>
    <row r="4" spans="1:6" x14ac:dyDescent="0.35">
      <c r="A4" s="2" t="s">
        <v>120</v>
      </c>
      <c r="B4" s="2" t="s">
        <v>4</v>
      </c>
    </row>
    <row r="5" spans="1:6" x14ac:dyDescent="0.35">
      <c r="A5" s="2" t="s">
        <v>2</v>
      </c>
      <c r="B5" t="s">
        <v>60</v>
      </c>
      <c r="C5" t="s">
        <v>36</v>
      </c>
      <c r="D5" t="s">
        <v>113</v>
      </c>
      <c r="E5" t="s">
        <v>5</v>
      </c>
      <c r="F5" t="s">
        <v>3</v>
      </c>
    </row>
    <row r="6" spans="1:6" x14ac:dyDescent="0.35">
      <c r="A6" s="3" t="s">
        <v>124</v>
      </c>
      <c r="B6" s="16">
        <v>1.551471940768461</v>
      </c>
      <c r="C6" s="16">
        <v>5.982735130240658E-2</v>
      </c>
      <c r="D6" s="16">
        <v>0</v>
      </c>
      <c r="E6" s="16">
        <v>1.9693096250266412E-2</v>
      </c>
      <c r="F6">
        <v>1.6309923883211339</v>
      </c>
    </row>
    <row r="7" spans="1:6" x14ac:dyDescent="0.35">
      <c r="A7" s="4">
        <v>2015</v>
      </c>
      <c r="B7">
        <v>0.114632516781035</v>
      </c>
      <c r="C7">
        <v>7.7649860210398996E-3</v>
      </c>
      <c r="D7">
        <v>0</v>
      </c>
      <c r="E7">
        <v>2.5661091174727499E-3</v>
      </c>
      <c r="F7">
        <v>0.12496361191954765</v>
      </c>
    </row>
    <row r="8" spans="1:6" x14ac:dyDescent="0.35">
      <c r="A8" s="4">
        <v>2016</v>
      </c>
      <c r="B8">
        <v>0.205659810348126</v>
      </c>
      <c r="C8">
        <v>9.1849302283005304E-3</v>
      </c>
      <c r="D8">
        <v>0</v>
      </c>
      <c r="E8">
        <v>4.8019892298652202E-3</v>
      </c>
      <c r="F8">
        <v>0.21964672980629174</v>
      </c>
    </row>
    <row r="9" spans="1:6" x14ac:dyDescent="0.35">
      <c r="A9" s="4">
        <v>2017</v>
      </c>
      <c r="B9">
        <v>0.19516465100984401</v>
      </c>
      <c r="C9">
        <v>8.1261082700345103E-3</v>
      </c>
      <c r="D9">
        <v>0</v>
      </c>
      <c r="E9">
        <v>1.9742232551423402E-3</v>
      </c>
      <c r="F9">
        <v>0.20526498253502087</v>
      </c>
    </row>
    <row r="10" spans="1:6" x14ac:dyDescent="0.35">
      <c r="A10" s="4">
        <v>2018</v>
      </c>
      <c r="B10">
        <v>0.24585800776517799</v>
      </c>
      <c r="C10">
        <v>9.26978408525473E-3</v>
      </c>
      <c r="D10">
        <v>0</v>
      </c>
      <c r="E10">
        <v>2.9738608811034901E-3</v>
      </c>
      <c r="F10">
        <v>0.25810165273153618</v>
      </c>
    </row>
    <row r="11" spans="1:6" x14ac:dyDescent="0.35">
      <c r="A11" s="4">
        <v>2019</v>
      </c>
      <c r="B11">
        <v>0.15158288150016899</v>
      </c>
      <c r="C11">
        <v>8.2119946553373905E-3</v>
      </c>
      <c r="D11">
        <v>0</v>
      </c>
      <c r="E11">
        <v>1.2501144270225899E-3</v>
      </c>
      <c r="F11">
        <v>0.16104499058252897</v>
      </c>
    </row>
    <row r="12" spans="1:6" x14ac:dyDescent="0.35">
      <c r="A12" s="4">
        <v>2020</v>
      </c>
      <c r="B12">
        <v>0.144544170455285</v>
      </c>
      <c r="C12">
        <v>8.2247430392893197E-3</v>
      </c>
      <c r="D12">
        <v>0</v>
      </c>
      <c r="E12">
        <v>4.1093972771723102E-3</v>
      </c>
      <c r="F12">
        <v>0.15687831077174663</v>
      </c>
    </row>
    <row r="13" spans="1:6" x14ac:dyDescent="0.35">
      <c r="A13" s="4">
        <v>2021</v>
      </c>
      <c r="B13">
        <v>0.49402990290882398</v>
      </c>
      <c r="C13">
        <v>9.0448050031502001E-3</v>
      </c>
      <c r="D13">
        <v>0</v>
      </c>
      <c r="E13">
        <v>2.0174020624877101E-3</v>
      </c>
      <c r="F13">
        <v>0.50509210997446186</v>
      </c>
    </row>
    <row r="14" spans="1:6" x14ac:dyDescent="0.35">
      <c r="A14" s="3" t="s">
        <v>130</v>
      </c>
      <c r="B14" s="16">
        <v>1.2993244880361383</v>
      </c>
      <c r="C14" s="16">
        <v>6.0292272113895602E-2</v>
      </c>
      <c r="D14" s="16">
        <v>0</v>
      </c>
      <c r="E14" s="16">
        <v>0</v>
      </c>
      <c r="F14">
        <v>1.359616760150034</v>
      </c>
    </row>
    <row r="15" spans="1:6" x14ac:dyDescent="0.35">
      <c r="A15" s="4">
        <v>2015</v>
      </c>
      <c r="B15">
        <v>0.114793616030363</v>
      </c>
      <c r="C15">
        <v>7.8381017418110398E-3</v>
      </c>
      <c r="D15">
        <v>0</v>
      </c>
      <c r="E15">
        <v>0</v>
      </c>
      <c r="F15">
        <v>0.12263171777217405</v>
      </c>
    </row>
    <row r="16" spans="1:6" x14ac:dyDescent="0.35">
      <c r="A16" s="4">
        <v>2016</v>
      </c>
      <c r="B16">
        <v>4.6356822244338201E-2</v>
      </c>
      <c r="C16">
        <v>9.2145769133145598E-3</v>
      </c>
      <c r="D16">
        <v>0</v>
      </c>
      <c r="E16">
        <v>0</v>
      </c>
      <c r="F16">
        <v>5.5571399157652759E-2</v>
      </c>
    </row>
    <row r="17" spans="1:6" x14ac:dyDescent="0.35">
      <c r="A17" s="4">
        <v>2017</v>
      </c>
      <c r="B17">
        <v>0.163236923202496</v>
      </c>
      <c r="C17">
        <v>8.1822382371064296E-3</v>
      </c>
      <c r="D17">
        <v>0</v>
      </c>
      <c r="E17">
        <v>0</v>
      </c>
      <c r="F17">
        <v>0.17141916143960242</v>
      </c>
    </row>
    <row r="18" spans="1:6" x14ac:dyDescent="0.35">
      <c r="A18" s="4">
        <v>2018</v>
      </c>
      <c r="B18">
        <v>0.231056453662244</v>
      </c>
      <c r="C18">
        <v>9.3790255501575402E-3</v>
      </c>
      <c r="D18">
        <v>0</v>
      </c>
      <c r="E18">
        <v>0</v>
      </c>
      <c r="F18">
        <v>0.24043547921240155</v>
      </c>
    </row>
    <row r="19" spans="1:6" x14ac:dyDescent="0.35">
      <c r="A19" s="4">
        <v>2019</v>
      </c>
      <c r="B19">
        <v>0.15631958116332401</v>
      </c>
      <c r="C19">
        <v>8.2558530508706901E-3</v>
      </c>
      <c r="D19">
        <v>0</v>
      </c>
      <c r="E19">
        <v>0</v>
      </c>
      <c r="F19">
        <v>0.16457543421419468</v>
      </c>
    </row>
    <row r="20" spans="1:6" x14ac:dyDescent="0.35">
      <c r="A20" s="4">
        <v>2020</v>
      </c>
      <c r="B20">
        <v>0.12314769315655</v>
      </c>
      <c r="C20">
        <v>8.3280977763232206E-3</v>
      </c>
      <c r="D20">
        <v>0</v>
      </c>
      <c r="E20">
        <v>0</v>
      </c>
      <c r="F20">
        <v>0.1314757909328732</v>
      </c>
    </row>
    <row r="21" spans="1:6" x14ac:dyDescent="0.35">
      <c r="A21" s="4">
        <v>2021</v>
      </c>
      <c r="B21">
        <v>0.46441339857682301</v>
      </c>
      <c r="C21">
        <v>9.0943788443121204E-3</v>
      </c>
      <c r="D21">
        <v>0</v>
      </c>
      <c r="E21">
        <v>0</v>
      </c>
      <c r="F21">
        <v>0.47350777742113515</v>
      </c>
    </row>
    <row r="22" spans="1:6" x14ac:dyDescent="0.35">
      <c r="A22" s="3" t="s">
        <v>3</v>
      </c>
      <c r="B22">
        <v>2.8507964288045993</v>
      </c>
      <c r="C22">
        <v>0.12011962341630218</v>
      </c>
      <c r="D22">
        <v>0</v>
      </c>
      <c r="E22">
        <v>1.9693096250266412E-2</v>
      </c>
      <c r="F22">
        <v>2.9906091484711679</v>
      </c>
    </row>
  </sheetData>
  <pageMargins left="0.7" right="0.7" top="0.75" bottom="0.75" header="0.3" footer="0.3"/>
  <pageSetup orientation="portrait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N35"/>
  <sheetViews>
    <sheetView workbookViewId="0">
      <selection activeCell="E54" sqref="E54"/>
    </sheetView>
  </sheetViews>
  <sheetFormatPr defaultRowHeight="14.5" x14ac:dyDescent="0.35"/>
  <cols>
    <col min="1" max="1" width="33.08984375" customWidth="1"/>
    <col min="2" max="2" width="20.54296875" bestFit="1" customWidth="1"/>
    <col min="3" max="3" width="12.1796875" bestFit="1" customWidth="1"/>
    <col min="4" max="4" width="32.6328125" bestFit="1" customWidth="1"/>
    <col min="5" max="5" width="14.36328125" bestFit="1" customWidth="1"/>
    <col min="6" max="6" width="11.81640625" bestFit="1" customWidth="1"/>
    <col min="7" max="7" width="14" bestFit="1" customWidth="1"/>
    <col min="8" max="8" width="11.81640625" bestFit="1" customWidth="1"/>
    <col min="9" max="9" width="14.6328125" bestFit="1" customWidth="1"/>
    <col min="10" max="10" width="13.7265625" bestFit="1" customWidth="1"/>
    <col min="11" max="11" width="19.90625" bestFit="1" customWidth="1"/>
    <col min="12" max="12" width="11.81640625" bestFit="1" customWidth="1"/>
    <col min="13" max="13" width="20.26953125" bestFit="1" customWidth="1"/>
    <col min="14" max="14" width="11.81640625" bestFit="1" customWidth="1"/>
    <col min="15" max="15" width="11.81640625" customWidth="1"/>
    <col min="16" max="16" width="16.26953125" bestFit="1" customWidth="1"/>
    <col min="17" max="19" width="16.26953125" customWidth="1"/>
    <col min="20" max="27" width="15.7265625" customWidth="1"/>
    <col min="28" max="28" width="12.7265625" customWidth="1"/>
    <col min="29" max="29" width="11.81640625" customWidth="1"/>
    <col min="30" max="30" width="12.1796875" customWidth="1"/>
    <col min="31" max="31" width="13.7265625" bestFit="1" customWidth="1"/>
    <col min="32" max="32" width="21.08984375" bestFit="1" customWidth="1"/>
    <col min="33" max="33" width="15.453125" bestFit="1" customWidth="1"/>
    <col min="34" max="34" width="27.36328125" bestFit="1" customWidth="1"/>
    <col min="35" max="35" width="20.54296875" bestFit="1" customWidth="1"/>
    <col min="36" max="36" width="19.90625" bestFit="1" customWidth="1"/>
    <col min="37" max="37" width="11.81640625" bestFit="1" customWidth="1"/>
    <col min="38" max="38" width="23.1796875" customWidth="1"/>
    <col min="39" max="39" width="27.54296875" customWidth="1"/>
    <col min="40" max="40" width="23.1796875" customWidth="1"/>
    <col min="41" max="41" width="27.54296875" customWidth="1"/>
    <col min="42" max="42" width="23.1796875" customWidth="1"/>
    <col min="43" max="43" width="27.54296875" bestFit="1" customWidth="1"/>
    <col min="44" max="44" width="23.1796875" bestFit="1" customWidth="1"/>
    <col min="45" max="45" width="27.54296875" customWidth="1"/>
    <col min="46" max="46" width="23.1796875" customWidth="1"/>
    <col min="47" max="47" width="27.54296875" customWidth="1"/>
    <col min="48" max="48" width="23.1796875" customWidth="1"/>
    <col min="49" max="49" width="27.54296875" bestFit="1" customWidth="1"/>
    <col min="50" max="50" width="23.1796875" bestFit="1" customWidth="1"/>
    <col min="51" max="51" width="27.54296875" customWidth="1"/>
    <col min="52" max="52" width="23.1796875" customWidth="1"/>
    <col min="53" max="53" width="27.54296875" customWidth="1"/>
    <col min="54" max="54" width="23.1796875" customWidth="1"/>
    <col min="55" max="55" width="27.54296875" bestFit="1" customWidth="1"/>
    <col min="56" max="56" width="23.1796875" bestFit="1" customWidth="1"/>
    <col min="57" max="57" width="27.54296875" customWidth="1"/>
    <col min="58" max="58" width="23.1796875" customWidth="1"/>
    <col min="59" max="59" width="27.54296875" customWidth="1"/>
    <col min="60" max="60" width="28" customWidth="1"/>
    <col min="61" max="61" width="32.36328125" customWidth="1"/>
    <col min="62" max="62" width="23.1796875" bestFit="1" customWidth="1"/>
    <col min="63" max="63" width="31.453125" customWidth="1"/>
    <col min="64" max="64" width="27.54296875" bestFit="1" customWidth="1"/>
    <col min="65" max="65" width="23.1796875" bestFit="1" customWidth="1"/>
    <col min="66" max="66" width="31.453125" customWidth="1"/>
    <col min="67" max="67" width="27.54296875" bestFit="1" customWidth="1"/>
    <col min="68" max="68" width="23.1796875" bestFit="1" customWidth="1"/>
    <col min="69" max="69" width="31.453125" customWidth="1"/>
    <col min="70" max="70" width="27.54296875" bestFit="1" customWidth="1"/>
    <col min="71" max="71" width="23.1796875" bestFit="1" customWidth="1"/>
    <col min="72" max="72" width="31.453125" customWidth="1"/>
    <col min="73" max="73" width="27.54296875" bestFit="1" customWidth="1"/>
    <col min="74" max="74" width="23.1796875" bestFit="1" customWidth="1"/>
    <col min="75" max="75" width="31.453125" customWidth="1"/>
    <col min="76" max="76" width="27.54296875" bestFit="1" customWidth="1"/>
    <col min="77" max="77" width="23.1796875" bestFit="1" customWidth="1"/>
    <col min="78" max="78" width="31.453125" customWidth="1"/>
    <col min="79" max="79" width="27.54296875" bestFit="1" customWidth="1"/>
    <col min="80" max="80" width="23.1796875" bestFit="1" customWidth="1"/>
    <col min="81" max="81" width="31.453125" customWidth="1"/>
    <col min="82" max="82" width="27.54296875" bestFit="1" customWidth="1"/>
    <col min="83" max="83" width="23.1796875" bestFit="1" customWidth="1"/>
    <col min="84" max="84" width="31.453125" customWidth="1"/>
    <col min="85" max="85" width="27.54296875" bestFit="1" customWidth="1"/>
    <col min="86" max="86" width="23.1796875" bestFit="1" customWidth="1"/>
    <col min="87" max="87" width="31.453125" customWidth="1"/>
    <col min="88" max="88" width="27.54296875" bestFit="1" customWidth="1"/>
    <col min="89" max="89" width="28" bestFit="1" customWidth="1"/>
    <col min="90" max="90" width="36.26953125" customWidth="1"/>
    <col min="91" max="91" width="32.36328125" bestFit="1" customWidth="1"/>
  </cols>
  <sheetData>
    <row r="1" spans="1:14" x14ac:dyDescent="0.35">
      <c r="A1" s="2" t="s">
        <v>26</v>
      </c>
      <c r="B1" t="s">
        <v>35</v>
      </c>
    </row>
    <row r="3" spans="1:14" x14ac:dyDescent="0.35">
      <c r="A3" s="2" t="s">
        <v>76</v>
      </c>
      <c r="B3" s="2" t="s">
        <v>4</v>
      </c>
    </row>
    <row r="4" spans="1:14" x14ac:dyDescent="0.35">
      <c r="A4" s="2" t="s">
        <v>2</v>
      </c>
      <c r="B4" t="s">
        <v>20</v>
      </c>
      <c r="C4" t="s">
        <v>29</v>
      </c>
      <c r="D4" t="s">
        <v>79</v>
      </c>
      <c r="E4" t="s">
        <v>36</v>
      </c>
      <c r="F4" t="s">
        <v>84</v>
      </c>
      <c r="G4" t="s">
        <v>57</v>
      </c>
      <c r="H4" t="s">
        <v>5</v>
      </c>
      <c r="I4" t="s">
        <v>87</v>
      </c>
      <c r="J4" t="s">
        <v>68</v>
      </c>
      <c r="K4" t="s">
        <v>69</v>
      </c>
      <c r="L4" t="s">
        <v>89</v>
      </c>
      <c r="M4" t="s">
        <v>91</v>
      </c>
      <c r="N4" t="s">
        <v>3</v>
      </c>
    </row>
    <row r="5" spans="1:14" x14ac:dyDescent="0.35">
      <c r="A5" s="3" t="s">
        <v>82</v>
      </c>
      <c r="B5">
        <v>550.81591416598781</v>
      </c>
      <c r="C5">
        <v>0</v>
      </c>
      <c r="D5">
        <v>0</v>
      </c>
      <c r="E5">
        <v>0.74530667406958939</v>
      </c>
      <c r="F5">
        <v>0.31150288496428902</v>
      </c>
      <c r="G5">
        <v>-7.2512500490635971E-19</v>
      </c>
      <c r="H5">
        <v>0</v>
      </c>
      <c r="I5">
        <v>0</v>
      </c>
      <c r="J5">
        <v>4.1672361809039098E-2</v>
      </c>
      <c r="K5">
        <v>0.23604596152090601</v>
      </c>
      <c r="L5">
        <v>3.6365383627493503E-2</v>
      </c>
      <c r="M5">
        <v>0.23590140611141702</v>
      </c>
      <c r="N5">
        <v>552.42270883809056</v>
      </c>
    </row>
    <row r="6" spans="1:14" x14ac:dyDescent="0.35">
      <c r="A6" s="4" t="s">
        <v>43</v>
      </c>
      <c r="B6">
        <v>218.60380853926398</v>
      </c>
      <c r="C6">
        <v>0</v>
      </c>
      <c r="D6">
        <v>0</v>
      </c>
      <c r="E6">
        <v>0.29915097344763097</v>
      </c>
      <c r="F6">
        <v>0.31150288496428902</v>
      </c>
      <c r="G6">
        <v>-7.12541490721435E-19</v>
      </c>
      <c r="H6">
        <v>0</v>
      </c>
      <c r="I6">
        <v>0</v>
      </c>
      <c r="N6">
        <v>219.2144623976759</v>
      </c>
    </row>
    <row r="7" spans="1:14" x14ac:dyDescent="0.35">
      <c r="A7" s="9" t="s">
        <v>78</v>
      </c>
      <c r="B7">
        <v>108.98404920496399</v>
      </c>
      <c r="C7">
        <v>0</v>
      </c>
      <c r="D7">
        <v>0</v>
      </c>
      <c r="E7">
        <v>0.150342364410565</v>
      </c>
      <c r="F7">
        <v>0.156549984466094</v>
      </c>
      <c r="G7">
        <v>0</v>
      </c>
      <c r="H7">
        <v>0</v>
      </c>
      <c r="I7">
        <v>0</v>
      </c>
      <c r="N7">
        <v>109.29094155384065</v>
      </c>
    </row>
    <row r="8" spans="1:14" x14ac:dyDescent="0.35">
      <c r="A8" s="9" t="s">
        <v>92</v>
      </c>
      <c r="B8">
        <v>109.6197593343</v>
      </c>
      <c r="C8">
        <v>0</v>
      </c>
      <c r="D8">
        <v>0</v>
      </c>
      <c r="E8">
        <v>0.148808609037066</v>
      </c>
      <c r="F8">
        <v>0.15495290049819499</v>
      </c>
      <c r="G8">
        <v>-7.12541490721435E-19</v>
      </c>
      <c r="H8">
        <v>0</v>
      </c>
      <c r="I8">
        <v>0</v>
      </c>
      <c r="N8">
        <v>109.92352084383526</v>
      </c>
    </row>
    <row r="9" spans="1:14" x14ac:dyDescent="0.35">
      <c r="A9" s="4" t="s">
        <v>40</v>
      </c>
      <c r="B9">
        <v>217.58072340274501</v>
      </c>
      <c r="C9">
        <v>0</v>
      </c>
      <c r="D9">
        <v>0</v>
      </c>
      <c r="E9">
        <v>0.29344962876410496</v>
      </c>
      <c r="G9">
        <v>-1.25835141849247E-20</v>
      </c>
      <c r="H9">
        <v>0</v>
      </c>
      <c r="I9">
        <v>0</v>
      </c>
      <c r="J9">
        <v>4.1672361809039098E-2</v>
      </c>
      <c r="K9">
        <v>0.23604596152090601</v>
      </c>
      <c r="N9">
        <v>218.15189135483905</v>
      </c>
    </row>
    <row r="10" spans="1:14" x14ac:dyDescent="0.35">
      <c r="A10" s="9" t="s">
        <v>78</v>
      </c>
      <c r="B10">
        <v>108.594406181528</v>
      </c>
      <c r="C10">
        <v>0</v>
      </c>
      <c r="D10">
        <v>0</v>
      </c>
      <c r="E10">
        <v>0.147077352360444</v>
      </c>
      <c r="G10">
        <v>-1.25835141849247E-20</v>
      </c>
      <c r="H10">
        <v>0</v>
      </c>
      <c r="I10">
        <v>0</v>
      </c>
      <c r="J10">
        <v>2.0836180904520399E-2</v>
      </c>
      <c r="K10">
        <v>0.11830655639976299</v>
      </c>
      <c r="N10">
        <v>108.88062627119272</v>
      </c>
    </row>
    <row r="11" spans="1:14" x14ac:dyDescent="0.35">
      <c r="A11" s="9" t="s">
        <v>92</v>
      </c>
      <c r="B11">
        <v>108.98631722121701</v>
      </c>
      <c r="C11">
        <v>0</v>
      </c>
      <c r="D11">
        <v>0</v>
      </c>
      <c r="E11">
        <v>0.14637227640366099</v>
      </c>
      <c r="G11">
        <v>0</v>
      </c>
      <c r="H11">
        <v>0</v>
      </c>
      <c r="I11">
        <v>0</v>
      </c>
      <c r="J11">
        <v>2.0836180904518699E-2</v>
      </c>
      <c r="K11">
        <v>0.117739405121143</v>
      </c>
      <c r="N11">
        <v>109.27126508364634</v>
      </c>
    </row>
    <row r="12" spans="1:14" x14ac:dyDescent="0.35">
      <c r="A12" s="4" t="s">
        <v>90</v>
      </c>
      <c r="B12">
        <v>114.6313822239788</v>
      </c>
      <c r="C12">
        <v>0</v>
      </c>
      <c r="D12">
        <v>0</v>
      </c>
      <c r="E12">
        <v>0.15270607185785351</v>
      </c>
      <c r="G12">
        <v>0</v>
      </c>
      <c r="H12">
        <v>0</v>
      </c>
      <c r="I12">
        <v>0</v>
      </c>
      <c r="L12">
        <v>3.6365383627493503E-2</v>
      </c>
      <c r="M12">
        <v>0.23590140611141702</v>
      </c>
      <c r="N12">
        <v>115.05635508557558</v>
      </c>
    </row>
    <row r="13" spans="1:14" x14ac:dyDescent="0.35">
      <c r="A13" s="9" t="s">
        <v>78</v>
      </c>
      <c r="B13">
        <v>57.236045972765602</v>
      </c>
      <c r="C13">
        <v>0</v>
      </c>
      <c r="D13">
        <v>0</v>
      </c>
      <c r="E13">
        <v>7.6489815434021904E-2</v>
      </c>
      <c r="G13">
        <v>0</v>
      </c>
      <c r="H13">
        <v>0</v>
      </c>
      <c r="I13">
        <v>0</v>
      </c>
      <c r="L13">
        <v>1.8215264448971001E-2</v>
      </c>
      <c r="M13">
        <v>0.118162000990274</v>
      </c>
      <c r="N13">
        <v>57.448913053638869</v>
      </c>
    </row>
    <row r="14" spans="1:14" x14ac:dyDescent="0.35">
      <c r="A14" s="9" t="s">
        <v>92</v>
      </c>
      <c r="B14">
        <v>57.395336251213202</v>
      </c>
      <c r="C14">
        <v>0</v>
      </c>
      <c r="D14">
        <v>0</v>
      </c>
      <c r="E14">
        <v>7.6216256423831605E-2</v>
      </c>
      <c r="G14">
        <v>0</v>
      </c>
      <c r="H14">
        <v>0</v>
      </c>
      <c r="I14">
        <v>0</v>
      </c>
      <c r="L14">
        <v>1.8150119178522502E-2</v>
      </c>
      <c r="M14">
        <v>0.117739405121143</v>
      </c>
      <c r="N14">
        <v>57.607442031936699</v>
      </c>
    </row>
    <row r="15" spans="1:14" x14ac:dyDescent="0.35">
      <c r="A15" s="3" t="s">
        <v>81</v>
      </c>
      <c r="B15">
        <v>838.71443150934761</v>
      </c>
      <c r="C15">
        <v>47.312006032454931</v>
      </c>
      <c r="D15">
        <v>0</v>
      </c>
      <c r="E15">
        <v>0.82711431769741484</v>
      </c>
      <c r="F15">
        <v>0.31615224093215399</v>
      </c>
      <c r="G15">
        <v>1.0114694438087977E-4</v>
      </c>
      <c r="H15">
        <v>0</v>
      </c>
      <c r="I15">
        <v>0</v>
      </c>
      <c r="J15">
        <v>4.16723618090446E-2</v>
      </c>
      <c r="K15">
        <v>0.236721040508832</v>
      </c>
      <c r="L15">
        <v>3.6445494945261801E-2</v>
      </c>
      <c r="M15">
        <v>0.23642108638484699</v>
      </c>
      <c r="N15">
        <v>887.72106523102457</v>
      </c>
    </row>
    <row r="16" spans="1:14" x14ac:dyDescent="0.35">
      <c r="A16" s="4" t="s">
        <v>43</v>
      </c>
      <c r="B16">
        <v>333.63080502752098</v>
      </c>
      <c r="C16">
        <v>18.73823889669162</v>
      </c>
      <c r="D16">
        <v>0</v>
      </c>
      <c r="E16">
        <v>0.33009679685799997</v>
      </c>
      <c r="F16">
        <v>0.31615224093215399</v>
      </c>
      <c r="G16">
        <v>3.64481351282166E-5</v>
      </c>
      <c r="H16">
        <v>0</v>
      </c>
      <c r="I16">
        <v>0</v>
      </c>
      <c r="N16">
        <v>353.01532941013784</v>
      </c>
    </row>
    <row r="17" spans="1:14" x14ac:dyDescent="0.35">
      <c r="A17" s="9" t="s">
        <v>78</v>
      </c>
      <c r="B17">
        <v>168.10952726235999</v>
      </c>
      <c r="C17">
        <v>9.2501182202011396</v>
      </c>
      <c r="D17">
        <v>0</v>
      </c>
      <c r="E17">
        <v>0.162963694988811</v>
      </c>
      <c r="F17">
        <v>0.16127794685149099</v>
      </c>
      <c r="G17">
        <v>1.1017852284303101E-5</v>
      </c>
      <c r="H17">
        <v>0</v>
      </c>
      <c r="I17">
        <v>0</v>
      </c>
      <c r="N17">
        <v>177.6838981422537</v>
      </c>
    </row>
    <row r="18" spans="1:14" x14ac:dyDescent="0.35">
      <c r="A18" s="9" t="s">
        <v>92</v>
      </c>
      <c r="B18">
        <v>165.52127776516099</v>
      </c>
      <c r="C18">
        <v>9.48812067649048</v>
      </c>
      <c r="D18">
        <v>0</v>
      </c>
      <c r="E18">
        <v>0.167133101869189</v>
      </c>
      <c r="F18">
        <v>0.154874294080663</v>
      </c>
      <c r="G18">
        <v>2.5430282843913501E-5</v>
      </c>
      <c r="H18">
        <v>0</v>
      </c>
      <c r="I18">
        <v>0</v>
      </c>
      <c r="N18">
        <v>175.33143126788414</v>
      </c>
    </row>
    <row r="19" spans="1:14" x14ac:dyDescent="0.35">
      <c r="A19" s="4" t="s">
        <v>40</v>
      </c>
      <c r="B19">
        <v>330.79686798676903</v>
      </c>
      <c r="C19">
        <v>18.719055890104691</v>
      </c>
      <c r="D19">
        <v>0</v>
      </c>
      <c r="E19">
        <v>0.32674121857115801</v>
      </c>
      <c r="G19">
        <v>4.2371449866919898E-5</v>
      </c>
      <c r="H19">
        <v>0</v>
      </c>
      <c r="I19">
        <v>0</v>
      </c>
      <c r="J19">
        <v>4.16723618090446E-2</v>
      </c>
      <c r="K19">
        <v>0.236721040508832</v>
      </c>
      <c r="N19">
        <v>350.12110086921257</v>
      </c>
    </row>
    <row r="20" spans="1:14" x14ac:dyDescent="0.35">
      <c r="A20" s="9" t="s">
        <v>78</v>
      </c>
      <c r="B20">
        <v>166.22731078350901</v>
      </c>
      <c r="C20">
        <v>9.2929046596548996</v>
      </c>
      <c r="D20">
        <v>0</v>
      </c>
      <c r="E20">
        <v>0.16215218635541401</v>
      </c>
      <c r="G20">
        <v>1.7178207454370699E-5</v>
      </c>
      <c r="H20">
        <v>0</v>
      </c>
      <c r="I20">
        <v>0</v>
      </c>
      <c r="J20">
        <v>2.0836180904525901E-2</v>
      </c>
      <c r="K20">
        <v>0.11898163538768899</v>
      </c>
      <c r="N20">
        <v>175.82220262401901</v>
      </c>
    </row>
    <row r="21" spans="1:14" x14ac:dyDescent="0.35">
      <c r="A21" s="9" t="s">
        <v>92</v>
      </c>
      <c r="B21">
        <v>164.56955720325999</v>
      </c>
      <c r="C21">
        <v>9.4261512304497899</v>
      </c>
      <c r="D21">
        <v>0</v>
      </c>
      <c r="E21">
        <v>0.164589032215744</v>
      </c>
      <c r="G21">
        <v>2.5193242412549199E-5</v>
      </c>
      <c r="H21">
        <v>0</v>
      </c>
      <c r="I21">
        <v>0</v>
      </c>
      <c r="J21">
        <v>2.0836180904518699E-2</v>
      </c>
      <c r="K21">
        <v>0.117739405121143</v>
      </c>
      <c r="N21">
        <v>174.29889824519358</v>
      </c>
    </row>
    <row r="22" spans="1:14" x14ac:dyDescent="0.35">
      <c r="A22" s="4" t="s">
        <v>90</v>
      </c>
      <c r="B22">
        <v>174.2867584950578</v>
      </c>
      <c r="C22">
        <v>9.8547112456586206</v>
      </c>
      <c r="D22">
        <v>0</v>
      </c>
      <c r="E22">
        <v>0.17027630226825691</v>
      </c>
      <c r="G22">
        <v>2.232735938574326E-5</v>
      </c>
      <c r="H22">
        <v>0</v>
      </c>
      <c r="I22">
        <v>0</v>
      </c>
      <c r="L22">
        <v>3.6445494945261801E-2</v>
      </c>
      <c r="M22">
        <v>0.23642108638484699</v>
      </c>
      <c r="N22">
        <v>184.58463495167419</v>
      </c>
    </row>
    <row r="23" spans="1:14" x14ac:dyDescent="0.35">
      <c r="A23" s="9" t="s">
        <v>78</v>
      </c>
      <c r="B23">
        <v>87.585785355623699</v>
      </c>
      <c r="C23">
        <v>4.8929849035826596</v>
      </c>
      <c r="D23">
        <v>0</v>
      </c>
      <c r="E23">
        <v>8.45088421074396E-2</v>
      </c>
      <c r="G23">
        <v>9.1086041403565599E-6</v>
      </c>
      <c r="H23">
        <v>0</v>
      </c>
      <c r="I23">
        <v>0</v>
      </c>
      <c r="L23">
        <v>1.82953757667393E-2</v>
      </c>
      <c r="M23">
        <v>0.118681681263704</v>
      </c>
      <c r="N23">
        <v>92.700265266948392</v>
      </c>
    </row>
    <row r="24" spans="1:14" x14ac:dyDescent="0.35">
      <c r="A24" s="9" t="s">
        <v>92</v>
      </c>
      <c r="B24">
        <v>86.700973139434097</v>
      </c>
      <c r="C24">
        <v>4.9617263420759601</v>
      </c>
      <c r="D24">
        <v>0</v>
      </c>
      <c r="E24">
        <v>8.5767460160817294E-2</v>
      </c>
      <c r="G24">
        <v>1.32187552453867E-5</v>
      </c>
      <c r="H24">
        <v>0</v>
      </c>
      <c r="I24">
        <v>0</v>
      </c>
      <c r="L24">
        <v>1.8150119178522502E-2</v>
      </c>
      <c r="M24">
        <v>0.117739405121143</v>
      </c>
      <c r="N24">
        <v>91.884369684725797</v>
      </c>
    </row>
    <row r="25" spans="1:14" x14ac:dyDescent="0.35">
      <c r="A25" s="3" t="s">
        <v>83</v>
      </c>
      <c r="B25">
        <v>374.58110797829488</v>
      </c>
      <c r="C25">
        <v>64.125039506775522</v>
      </c>
      <c r="D25">
        <v>0.65867744001251405</v>
      </c>
      <c r="E25">
        <v>1.0680700698377299</v>
      </c>
      <c r="F25">
        <v>0.32557564250248699</v>
      </c>
      <c r="G25">
        <v>3.688955216267946E-4</v>
      </c>
      <c r="H25">
        <v>8.2933994617249572E-4</v>
      </c>
      <c r="I25">
        <v>0.48703002848807386</v>
      </c>
      <c r="J25">
        <v>4.1672361809044302E-2</v>
      </c>
      <c r="K25">
        <v>0.239699159669298</v>
      </c>
      <c r="L25">
        <v>3.6776628096116704E-2</v>
      </c>
      <c r="M25">
        <v>0.238569139508579</v>
      </c>
      <c r="N25">
        <v>441.80341619046214</v>
      </c>
    </row>
    <row r="26" spans="1:14" x14ac:dyDescent="0.35">
      <c r="A26" s="4" t="s">
        <v>43</v>
      </c>
      <c r="B26">
        <v>147.84365738938891</v>
      </c>
      <c r="C26">
        <v>25.6035773589055</v>
      </c>
      <c r="D26">
        <v>0.21957055728447578</v>
      </c>
      <c r="E26">
        <v>0.42876575102370396</v>
      </c>
      <c r="F26">
        <v>0.32557564250248699</v>
      </c>
      <c r="G26">
        <v>1.3966440290768821E-4</v>
      </c>
      <c r="H26">
        <v>1.1828119963855531E-4</v>
      </c>
      <c r="I26">
        <v>0.1612111725596112</v>
      </c>
      <c r="N26">
        <v>174.58261581726723</v>
      </c>
    </row>
    <row r="27" spans="1:14" x14ac:dyDescent="0.35">
      <c r="A27" s="9" t="s">
        <v>78</v>
      </c>
      <c r="B27">
        <v>74.354495150199696</v>
      </c>
      <c r="C27">
        <v>12.7177756525471</v>
      </c>
      <c r="D27">
        <v>6.9152075177696795E-2</v>
      </c>
      <c r="E27">
        <v>0.212710309752254</v>
      </c>
      <c r="F27">
        <v>0.17061961481775101</v>
      </c>
      <c r="G27">
        <v>5.0958496661306302E-5</v>
      </c>
      <c r="H27">
        <v>8.3919287142918201E-5</v>
      </c>
      <c r="I27">
        <v>4.7759593876973198E-2</v>
      </c>
      <c r="N27">
        <v>87.572647274155287</v>
      </c>
    </row>
    <row r="28" spans="1:14" x14ac:dyDescent="0.35">
      <c r="A28" s="9" t="s">
        <v>92</v>
      </c>
      <c r="B28">
        <v>73.489162239189199</v>
      </c>
      <c r="C28">
        <v>12.8858017063584</v>
      </c>
      <c r="D28">
        <v>0.15041848210677899</v>
      </c>
      <c r="E28">
        <v>0.21605544127144999</v>
      </c>
      <c r="F28">
        <v>0.15495602768473599</v>
      </c>
      <c r="G28">
        <v>8.8705906246381905E-5</v>
      </c>
      <c r="H28">
        <v>3.4361912495637101E-5</v>
      </c>
      <c r="I28">
        <v>0.113451578682638</v>
      </c>
      <c r="N28">
        <v>87.009968543111938</v>
      </c>
    </row>
    <row r="29" spans="1:14" x14ac:dyDescent="0.35">
      <c r="A29" s="4" t="s">
        <v>40</v>
      </c>
      <c r="B29">
        <v>148.50624923049259</v>
      </c>
      <c r="C29">
        <v>25.247074880208601</v>
      </c>
      <c r="D29">
        <v>0.27599373376804087</v>
      </c>
      <c r="E29">
        <v>0.42011993595283703</v>
      </c>
      <c r="G29">
        <v>1.4956341223401661E-4</v>
      </c>
      <c r="H29">
        <v>2.6158842507071137E-4</v>
      </c>
      <c r="I29">
        <v>0.19264590054436809</v>
      </c>
      <c r="J29">
        <v>4.1672361809044302E-2</v>
      </c>
      <c r="K29">
        <v>0.239699159669298</v>
      </c>
      <c r="N29">
        <v>174.92386635428213</v>
      </c>
    </row>
    <row r="30" spans="1:14" x14ac:dyDescent="0.35">
      <c r="A30" s="9" t="s">
        <v>78</v>
      </c>
      <c r="B30">
        <v>75.547391366921204</v>
      </c>
      <c r="C30">
        <v>12.4975003329969</v>
      </c>
      <c r="D30">
        <v>8.9127676567345895E-2</v>
      </c>
      <c r="E30">
        <v>0.207535955250646</v>
      </c>
      <c r="G30">
        <v>6.2053539380010705E-5</v>
      </c>
      <c r="H30">
        <v>1.74360539955726E-4</v>
      </c>
      <c r="I30">
        <v>5.1300701734927102E-2</v>
      </c>
      <c r="J30">
        <v>2.08361809045257E-2</v>
      </c>
      <c r="K30">
        <v>0.121949064041824</v>
      </c>
      <c r="N30">
        <v>88.535877692496726</v>
      </c>
    </row>
    <row r="31" spans="1:14" x14ac:dyDescent="0.35">
      <c r="A31" s="9" t="s">
        <v>92</v>
      </c>
      <c r="B31">
        <v>72.958857863571396</v>
      </c>
      <c r="C31">
        <v>12.749574547211701</v>
      </c>
      <c r="D31">
        <v>0.18686605720069499</v>
      </c>
      <c r="E31">
        <v>0.21258398070219101</v>
      </c>
      <c r="G31">
        <v>8.7509872854005903E-5</v>
      </c>
      <c r="H31">
        <v>8.7227885114985398E-5</v>
      </c>
      <c r="I31">
        <v>0.14134519880944099</v>
      </c>
      <c r="J31">
        <v>2.0836180904518602E-2</v>
      </c>
      <c r="K31">
        <v>0.117750095627474</v>
      </c>
      <c r="N31">
        <v>86.3879886617854</v>
      </c>
    </row>
    <row r="32" spans="1:14" x14ac:dyDescent="0.35">
      <c r="A32" s="4" t="s">
        <v>90</v>
      </c>
      <c r="B32">
        <v>78.231201358413401</v>
      </c>
      <c r="C32">
        <v>13.274387267661421</v>
      </c>
      <c r="D32">
        <v>0.1631131489599974</v>
      </c>
      <c r="E32">
        <v>0.21918438286118902</v>
      </c>
      <c r="G32">
        <v>7.9667706485089812E-5</v>
      </c>
      <c r="H32">
        <v>4.4947032146322897E-4</v>
      </c>
      <c r="I32">
        <v>0.1331729553840946</v>
      </c>
      <c r="L32">
        <v>3.6776628096116704E-2</v>
      </c>
      <c r="M32">
        <v>0.238569139508579</v>
      </c>
      <c r="N32">
        <v>92.296934018912751</v>
      </c>
    </row>
    <row r="33" spans="1:14" x14ac:dyDescent="0.35">
      <c r="A33" s="9" t="s">
        <v>78</v>
      </c>
      <c r="B33">
        <v>39.789682423090902</v>
      </c>
      <c r="C33">
        <v>6.5757386525225501</v>
      </c>
      <c r="D33">
        <v>5.7543335978828401E-2</v>
      </c>
      <c r="E33">
        <v>0.108406153067583</v>
      </c>
      <c r="G33">
        <v>3.4002377660940502E-5</v>
      </c>
      <c r="H33">
        <v>1.2683589862846301E-4</v>
      </c>
      <c r="I33">
        <v>3.2716342038949603E-2</v>
      </c>
      <c r="L33">
        <v>1.8624937108324802E-2</v>
      </c>
      <c r="M33">
        <v>0.120819538096904</v>
      </c>
      <c r="N33">
        <v>46.703692220180336</v>
      </c>
    </row>
    <row r="34" spans="1:14" x14ac:dyDescent="0.35">
      <c r="A34" s="9" t="s">
        <v>92</v>
      </c>
      <c r="B34">
        <v>38.441518935322499</v>
      </c>
      <c r="C34">
        <v>6.69864861513887</v>
      </c>
      <c r="D34">
        <v>0.10556981298116901</v>
      </c>
      <c r="E34">
        <v>0.11077822979360601</v>
      </c>
      <c r="G34">
        <v>4.5665328824149303E-5</v>
      </c>
      <c r="H34">
        <v>3.2263442283476598E-4</v>
      </c>
      <c r="I34">
        <v>0.100456613345145</v>
      </c>
      <c r="L34">
        <v>1.8151690987791898E-2</v>
      </c>
      <c r="M34">
        <v>0.117749601411675</v>
      </c>
      <c r="N34">
        <v>45.593241798732414</v>
      </c>
    </row>
    <row r="35" spans="1:14" x14ac:dyDescent="0.35">
      <c r="A35" s="3" t="s">
        <v>3</v>
      </c>
      <c r="B35">
        <v>1764.1114536536306</v>
      </c>
      <c r="C35">
        <v>111.43704553923044</v>
      </c>
      <c r="D35">
        <v>0.65867744001251405</v>
      </c>
      <c r="E35">
        <v>2.640491061604735</v>
      </c>
      <c r="F35">
        <v>0.95323076839893006</v>
      </c>
      <c r="G35">
        <v>4.7004246600767364E-4</v>
      </c>
      <c r="H35">
        <v>8.2933994617249572E-4</v>
      </c>
      <c r="I35">
        <v>0.48703002848807386</v>
      </c>
      <c r="J35">
        <v>0.125017085427128</v>
      </c>
      <c r="K35">
        <v>0.71246616169903598</v>
      </c>
      <c r="L35">
        <v>0.10958750666887201</v>
      </c>
      <c r="M35">
        <v>0.71089163200484307</v>
      </c>
      <c r="N35">
        <v>1881.9471902595772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2:K39"/>
  <sheetViews>
    <sheetView topLeftCell="E7" zoomScale="85" zoomScaleNormal="85" workbookViewId="0">
      <selection activeCell="L22" sqref="L22"/>
    </sheetView>
  </sheetViews>
  <sheetFormatPr defaultRowHeight="14.5" x14ac:dyDescent="0.35"/>
  <cols>
    <col min="1" max="1" width="38.6328125" customWidth="1"/>
    <col min="2" max="2" width="19.90625" customWidth="1"/>
    <col min="3" max="4" width="10.81640625" customWidth="1"/>
    <col min="5" max="5" width="43.1796875" customWidth="1"/>
    <col min="6" max="6" width="11.81640625" customWidth="1"/>
    <col min="7" max="7" width="16.1796875" bestFit="1" customWidth="1"/>
    <col min="8" max="8" width="17.08984375" bestFit="1" customWidth="1"/>
    <col min="9" max="9" width="20.54296875" bestFit="1" customWidth="1"/>
    <col min="10" max="10" width="18.26953125" bestFit="1" customWidth="1"/>
    <col min="11" max="11" width="14.36328125" bestFit="1" customWidth="1"/>
    <col min="12" max="12" width="26.08984375" bestFit="1" customWidth="1"/>
    <col min="13" max="13" width="27.36328125" bestFit="1" customWidth="1"/>
    <col min="14" max="14" width="21.54296875" bestFit="1" customWidth="1"/>
    <col min="15" max="15" width="12.453125" customWidth="1"/>
    <col min="16" max="16" width="17.81640625" bestFit="1" customWidth="1"/>
    <col min="17" max="17" width="12.453125" bestFit="1" customWidth="1"/>
    <col min="18" max="18" width="22.6328125" bestFit="1" customWidth="1"/>
    <col min="19" max="19" width="24.453125" bestFit="1" customWidth="1"/>
    <col min="20" max="20" width="19.90625" bestFit="1" customWidth="1"/>
    <col min="21" max="21" width="19.453125" bestFit="1" customWidth="1"/>
    <col min="22" max="25" width="16.26953125" bestFit="1" customWidth="1"/>
    <col min="26" max="33" width="15.7265625" bestFit="1" customWidth="1"/>
    <col min="34" max="34" width="12.7265625" bestFit="1" customWidth="1"/>
    <col min="35" max="35" width="9.54296875" bestFit="1" customWidth="1"/>
    <col min="36" max="36" width="12.1796875" bestFit="1" customWidth="1"/>
    <col min="37" max="37" width="6.7265625" customWidth="1"/>
    <col min="38" max="38" width="12.453125" bestFit="1" customWidth="1"/>
  </cols>
  <sheetData>
    <row r="2" spans="1:3" x14ac:dyDescent="0.35">
      <c r="A2" s="2" t="s">
        <v>26</v>
      </c>
      <c r="B2" t="s">
        <v>35</v>
      </c>
    </row>
    <row r="4" spans="1:3" x14ac:dyDescent="0.35">
      <c r="A4" s="2" t="s">
        <v>86</v>
      </c>
      <c r="B4" s="2" t="s">
        <v>4</v>
      </c>
    </row>
    <row r="5" spans="1:3" x14ac:dyDescent="0.35">
      <c r="A5" s="2" t="s">
        <v>2</v>
      </c>
      <c r="B5" t="s">
        <v>42</v>
      </c>
      <c r="C5" t="s">
        <v>3</v>
      </c>
    </row>
    <row r="6" spans="1:3" x14ac:dyDescent="0.35">
      <c r="A6" s="3" t="s">
        <v>78</v>
      </c>
      <c r="B6" s="5"/>
      <c r="C6" s="5"/>
    </row>
    <row r="7" spans="1:3" x14ac:dyDescent="0.35">
      <c r="A7" s="4" t="s">
        <v>82</v>
      </c>
      <c r="B7" s="5"/>
      <c r="C7" s="5"/>
    </row>
    <row r="8" spans="1:3" x14ac:dyDescent="0.35">
      <c r="A8" s="9" t="s">
        <v>43</v>
      </c>
      <c r="B8" s="5">
        <v>109.29094155384099</v>
      </c>
      <c r="C8" s="5">
        <v>109.29094155384099</v>
      </c>
    </row>
    <row r="9" spans="1:3" x14ac:dyDescent="0.35">
      <c r="A9" s="3" t="s">
        <v>3</v>
      </c>
      <c r="B9" s="5">
        <v>109.29094155384099</v>
      </c>
      <c r="C9" s="5">
        <v>109.29094155384099</v>
      </c>
    </row>
    <row r="31" spans="9:11" x14ac:dyDescent="0.35">
      <c r="J31" s="7" t="s">
        <v>40</v>
      </c>
      <c r="K31" s="7" t="s">
        <v>43</v>
      </c>
    </row>
    <row r="32" spans="9:11" x14ac:dyDescent="0.35">
      <c r="I32" s="6" t="s">
        <v>48</v>
      </c>
      <c r="J32" s="5">
        <v>162.75143597377601</v>
      </c>
      <c r="K32" s="5">
        <v>149.903925128163</v>
      </c>
    </row>
    <row r="33" spans="9:11" x14ac:dyDescent="0.35">
      <c r="I33" s="6" t="s">
        <v>50</v>
      </c>
      <c r="J33" s="5">
        <v>154.068129240123</v>
      </c>
      <c r="K33" s="5">
        <v>139.50726704866</v>
      </c>
    </row>
    <row r="34" spans="9:11" x14ac:dyDescent="0.35">
      <c r="I34" s="6" t="s">
        <v>49</v>
      </c>
      <c r="J34" s="5">
        <v>138.33537197381801</v>
      </c>
      <c r="K34" s="5">
        <v>125.094053644276</v>
      </c>
    </row>
    <row r="35" spans="9:11" x14ac:dyDescent="0.35">
      <c r="I35" s="6" t="s">
        <v>51</v>
      </c>
      <c r="J35" s="5">
        <v>129.652065240166</v>
      </c>
      <c r="K35" s="5">
        <v>114.69739556478</v>
      </c>
    </row>
    <row r="36" spans="9:11" x14ac:dyDescent="0.35">
      <c r="I36" s="4"/>
      <c r="J36" s="7" t="s">
        <v>40</v>
      </c>
      <c r="K36" s="7" t="s">
        <v>43</v>
      </c>
    </row>
    <row r="37" spans="9:11" x14ac:dyDescent="0.35">
      <c r="I37" s="6" t="s">
        <v>52</v>
      </c>
      <c r="J37" s="8">
        <f t="shared" ref="J37:K39" si="0">((J33-J$32)/J$32)*100</f>
        <v>-5.3353180460122918</v>
      </c>
      <c r="K37" s="8">
        <f t="shared" si="0"/>
        <v>-6.9355475986463953</v>
      </c>
    </row>
    <row r="38" spans="9:11" x14ac:dyDescent="0.35">
      <c r="I38" s="6" t="s">
        <v>53</v>
      </c>
      <c r="J38" s="8">
        <f t="shared" si="0"/>
        <v>-15.002057495758217</v>
      </c>
      <c r="K38" s="8">
        <f t="shared" si="0"/>
        <v>-16.550514913252176</v>
      </c>
    </row>
    <row r="39" spans="9:11" x14ac:dyDescent="0.35">
      <c r="I39" s="6" t="s">
        <v>54</v>
      </c>
      <c r="J39" s="8">
        <f t="shared" si="0"/>
        <v>-20.337375541769898</v>
      </c>
      <c r="K39" s="8">
        <f t="shared" si="0"/>
        <v>-23.486062511893905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Charts</vt:lpstr>
      </vt:variant>
      <vt:variant>
        <vt:i4>1</vt:i4>
      </vt:variant>
    </vt:vector>
  </HeadingPairs>
  <TitlesOfParts>
    <vt:vector size="13" baseType="lpstr">
      <vt:lpstr>Import</vt:lpstr>
      <vt:lpstr>All_Scenarios</vt:lpstr>
      <vt:lpstr>Elec production</vt:lpstr>
      <vt:lpstr>Production cost</vt:lpstr>
      <vt:lpstr>Cost breakdown</vt:lpstr>
      <vt:lpstr>Electricity share</vt:lpstr>
      <vt:lpstr>Electricity consumption</vt:lpstr>
      <vt:lpstr>Installed capacities</vt:lpstr>
      <vt:lpstr>Ressources used</vt:lpstr>
      <vt:lpstr>Land use </vt:lpstr>
      <vt:lpstr>Emissions</vt:lpstr>
      <vt:lpstr>Emission total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2023-03-08T13:17:43Z</dcterms:modified>
</cp:coreProperties>
</file>